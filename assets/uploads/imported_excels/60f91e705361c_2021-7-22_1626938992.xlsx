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0224B4FB-AB53-42D4-8C17-3887276074B3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<sst xmlns="http://schemas.openxmlformats.org/spreadsheetml/2006/main" count="201" uniqueCount="128">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</sst>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-2380800</c:v>
                </c:pt>
                <c:pt idx="2">
                  <c:v>-229580.00000000003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2" sqref="M22:O2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/>
      <c r="M18" s="72">
        <v>58</v>
      </c>
      <c r="N18" s="72">
        <v>117</v>
      </c>
      <c r="O18" s="72">
        <v>270</v>
      </c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/>
      <c r="M19" s="72">
        <v>58</v>
      </c>
      <c r="N19" s="72">
        <v>119</v>
      </c>
      <c r="O19" s="72">
        <v>272</v>
      </c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>
        <v>23509.999999998628</v>
      </c>
      <c r="F20" s="48">
        <v>0.14000000000000001</v>
      </c>
      <c r="G20" s="107">
        <v>6641</v>
      </c>
      <c r="H20" s="48">
        <v>0.45</v>
      </c>
      <c r="I20" s="65">
        <v>306</v>
      </c>
      <c r="J20" s="76">
        <v>0.4</v>
      </c>
      <c r="K20" s="108"/>
      <c r="L20" s="76"/>
      <c r="M20" s="72">
        <v>16</v>
      </c>
      <c r="N20" s="72">
        <v>41</v>
      </c>
      <c r="O20" s="72">
        <v>173</v>
      </c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>
        <v>25200.000000000728</v>
      </c>
      <c r="F21" s="48">
        <v>0.14000000000000001</v>
      </c>
      <c r="G21" s="107">
        <v>6679</v>
      </c>
      <c r="H21" s="48">
        <v>0.45</v>
      </c>
      <c r="I21" s="65">
        <v>270</v>
      </c>
      <c r="J21" s="76">
        <v>0.4</v>
      </c>
      <c r="K21" s="108"/>
      <c r="L21" s="76"/>
      <c r="M21" s="72">
        <v>15</v>
      </c>
      <c r="N21" s="72">
        <v>57</v>
      </c>
      <c r="O21" s="72">
        <v>152</v>
      </c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>
        <v>22999.999999999091</v>
      </c>
      <c r="F22" s="48">
        <v>0.14000000000000001</v>
      </c>
      <c r="G22" s="107">
        <v>6094</v>
      </c>
      <c r="H22" s="48">
        <v>0.45</v>
      </c>
      <c r="I22" s="65">
        <v>323</v>
      </c>
      <c r="J22" s="76">
        <v>0.4</v>
      </c>
      <c r="K22" s="108"/>
      <c r="L22" s="76"/>
      <c r="M22" s="72">
        <v>32</v>
      </c>
      <c r="N22" s="72">
        <v>100</v>
      </c>
      <c r="O22" s="72">
        <v>245</v>
      </c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483489.99999999965</v>
      </c>
      <c r="F33" s="104">
        <v>0</v>
      </c>
      <c r="G33" s="101">
        <f>SUM(G2:G32)</f>
        <v>130986</v>
      </c>
      <c r="H33" s="102">
        <v>0</v>
      </c>
      <c r="I33" s="103">
        <f>SUM(I2:I32)</f>
        <v>5751</v>
      </c>
      <c r="J33" s="104">
        <v>0</v>
      </c>
      <c r="K33" s="105">
        <v>0</v>
      </c>
      <c r="L33" s="102">
        <v>0</v>
      </c>
      <c r="M33" s="106">
        <f t="shared" ref="M33:O33" si="1">SUM(M2:M32)</f>
        <v>512</v>
      </c>
      <c r="N33" s="106">
        <f t="shared" si="1"/>
        <v>1213</v>
      </c>
      <c r="O33" s="106">
        <f t="shared" si="1"/>
        <v>3101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Q29" sqref="Q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>
        <v>58</v>
      </c>
      <c r="W20" s="71">
        <v>117</v>
      </c>
      <c r="X20" s="71">
        <v>270</v>
      </c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>
        <v>58</v>
      </c>
      <c r="W21" s="71">
        <v>119</v>
      </c>
      <c r="X21" s="71">
        <v>272</v>
      </c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>
        <v>16</v>
      </c>
      <c r="W22" s="71">
        <v>41</v>
      </c>
      <c r="X22" s="71">
        <v>173</v>
      </c>
      <c r="Y22" s="17"/>
    </row>
    <row r="23" spans="1:25" ht="21" customHeight="1" x14ac:dyDescent="0.25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71">
        <v>15</v>
      </c>
      <c r="W23" s="71">
        <v>57</v>
      </c>
      <c r="X23" s="71">
        <v>152</v>
      </c>
      <c r="Y23" s="17"/>
    </row>
    <row r="24" spans="1:25" ht="21" customHeight="1" x14ac:dyDescent="0.25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71">
        <v>32</v>
      </c>
      <c r="W24" s="71">
        <v>100</v>
      </c>
      <c r="X24" s="71">
        <v>245</v>
      </c>
      <c r="Y24" s="17"/>
    </row>
    <row r="25" spans="1:25" ht="21" customHeight="1" x14ac:dyDescent="0.25">
      <c r="A25" s="8">
        <v>44399</v>
      </c>
      <c r="B25" s="1">
        <v>1009.8</v>
      </c>
      <c r="C25" s="1">
        <v>234.51</v>
      </c>
      <c r="D25" s="1">
        <v>7532650.8099999996</v>
      </c>
      <c r="E25" s="1">
        <v>8253979</v>
      </c>
      <c r="F25" s="1">
        <v>2.4314</v>
      </c>
      <c r="G25" s="1">
        <v>764.11</v>
      </c>
      <c r="H25" s="1">
        <v>631.91999999999996</v>
      </c>
      <c r="I25" s="1">
        <v>243.01</v>
      </c>
      <c r="J25" s="1">
        <v>321.08</v>
      </c>
      <c r="K25" s="1">
        <v>346.37</v>
      </c>
      <c r="L25" s="1">
        <v>237.97</v>
      </c>
      <c r="M25" s="1">
        <v>535.24</v>
      </c>
      <c r="N25" s="1">
        <v>488.27</v>
      </c>
      <c r="O25" s="1">
        <v>156.11000000000001</v>
      </c>
      <c r="P25" s="1">
        <v>641.30999999999995</v>
      </c>
      <c r="Q25" s="1">
        <v>476.17</v>
      </c>
      <c r="R25" s="1">
        <v>164.05</v>
      </c>
      <c r="S25" s="1">
        <v>117.71</v>
      </c>
      <c r="T25" s="1">
        <v>430.4</v>
      </c>
      <c r="V25" s="71"/>
      <c r="W25" s="71"/>
      <c r="X25" s="71"/>
      <c r="Y25" s="17"/>
    </row>
    <row r="26" spans="1:25" ht="21" customHeight="1" x14ac:dyDescent="0.25">
      <c r="A26" s="8">
        <v>44400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512</v>
      </c>
      <c r="W35" s="78">
        <f>SUM(W4:W34)</f>
        <v>1213</v>
      </c>
      <c r="X35" s="78">
        <f>SUM(X4:X34)</f>
        <v>3101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4">
        <f>'Kwh Reading'!E23-'Kwh Reading'!E22</f>
        <v>3320.5300000002608</v>
      </c>
      <c r="T22" s="34">
        <f>'Kwh Reading'!D23-'Kwh Reading'!D22</f>
        <v>2561.6200000001118</v>
      </c>
      <c r="U22" s="27">
        <f>('Kwh Reading'!O23-'Kwh Reading'!O22)*1000</f>
        <v>229.99999999998977</v>
      </c>
      <c r="V22" s="16">
        <f t="shared" si="1"/>
        <v>6807.8499999985615</v>
      </c>
    </row>
    <row r="23" spans="1:22" x14ac:dyDescent="0.25">
      <c r="A23" s="3">
        <f>'Kwh Reading'!A23</f>
        <v>44397</v>
      </c>
      <c r="B23" s="26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4">
        <f>'Kwh Reading'!E24-'Kwh Reading'!E23</f>
        <v>3858.109999999404</v>
      </c>
      <c r="T23" s="34">
        <f>'Kwh Reading'!D24-'Kwh Reading'!D23</f>
        <v>2646.9500000001863</v>
      </c>
      <c r="U23" s="27">
        <f>('Kwh Reading'!O24-'Kwh Reading'!O23)*1000</f>
        <v>240.00000000000909</v>
      </c>
      <c r="V23" s="16">
        <f t="shared" si="1"/>
        <v>6504.9400000011665</v>
      </c>
    </row>
    <row r="24" spans="1:22" x14ac:dyDescent="0.25">
      <c r="A24" s="3">
        <f>'Kwh Reading'!A24</f>
        <v>44398</v>
      </c>
      <c r="B24" s="26">
        <f>TOTAL!E22</f>
        <v>22999.999999999091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219.99999999999886</v>
      </c>
      <c r="F24" s="2">
        <f>('Kwh Reading'!J25-'Kwh Reading'!J24)*1000</f>
        <v>240.00000000000909</v>
      </c>
      <c r="G24" s="2">
        <f>('Kwh Reading'!K25-'Kwh Reading'!K24)*1000</f>
        <v>259.99999999999091</v>
      </c>
      <c r="H24" s="2">
        <f>('Kwh Reading'!L25-'Kwh Reading'!L24)*1000</f>
        <v>180.00000000000682</v>
      </c>
      <c r="I24" s="2">
        <f>('Kwh Reading'!R25-'Kwh Reading'!R24)*1000</f>
        <v>200.00000000001705</v>
      </c>
      <c r="J24" s="2">
        <f>('Kwh Reading'!S25-'Kwh Reading'!S24)*1000</f>
        <v>119.99999999999034</v>
      </c>
      <c r="K24" s="2">
        <f>('Kwh Reading'!I25-'Kwh Reading'!I24)*1000</f>
        <v>319.99999999999318</v>
      </c>
      <c r="L24" s="2">
        <f>('Kwh Reading'!B25-'Kwh Reading'!B24)*1000</f>
        <v>1399.9999999999773</v>
      </c>
      <c r="M24" s="2">
        <f>('Kwh Reading'!M25-'Kwh Reading'!M24)*1000</f>
        <v>820.00000000005002</v>
      </c>
      <c r="N24" s="2">
        <f>('Kwh Reading'!H25-'Kwh Reading'!H24)*1000</f>
        <v>479.9999999999045</v>
      </c>
      <c r="O24" s="2">
        <f>('Kwh Reading'!P25-'Kwh Reading'!P24)*1000</f>
        <v>1049.9999999999545</v>
      </c>
      <c r="P24" s="2">
        <f>('Kwh Reading'!G25-'Kwh Reading'!G24)*1000</f>
        <v>889.99999999998636</v>
      </c>
      <c r="Q24" s="2">
        <f>('Kwh Reading'!Q25-'Kwh Reading'!Q24)*1000</f>
        <v>680.00000000000682</v>
      </c>
      <c r="R24" s="2">
        <f>('Kwh Reading'!N25-'Kwh Reading'!N24)*1000</f>
        <v>709.99999999997954</v>
      </c>
      <c r="S24" s="2">
        <f>'Kwh Reading'!E25-'Kwh Reading'!E24</f>
        <v>3725.980000000447</v>
      </c>
      <c r="T24" s="2">
        <f>'Kwh Reading'!D25-'Kwh Reading'!D24</f>
        <v>2374.6499999994412</v>
      </c>
      <c r="U24" s="27">
        <f>('Kwh Reading'!O25-'Kwh Reading'!O24)*1000</f>
        <v>240.00000000000909</v>
      </c>
      <c r="V24" s="16">
        <f t="shared" si="1"/>
        <v>6179.3699999991586</v>
      </c>
    </row>
    <row r="25" spans="1:22" x14ac:dyDescent="0.25">
      <c r="A25" s="3">
        <f>'Kwh Reading'!A25</f>
        <v>44399</v>
      </c>
      <c r="B25" s="26">
        <f>TOTAL!E23</f>
        <v>0</v>
      </c>
      <c r="C25" s="4">
        <f>('Kwh Reading'!T26-'Kwh Reading'!T25)*1000</f>
        <v>-430400</v>
      </c>
      <c r="D25" s="2">
        <f>('Kwh Reading'!F26-'Kwh Reading'!F25)*1000000</f>
        <v>-2431400</v>
      </c>
      <c r="E25" s="2">
        <f>('Kwh Reading'!C26-'Kwh Reading'!C25)*1000</f>
        <v>-234510</v>
      </c>
      <c r="F25" s="2">
        <f>('Kwh Reading'!J26-'Kwh Reading'!J25)*1000</f>
        <v>-321080</v>
      </c>
      <c r="G25" s="2">
        <f>('Kwh Reading'!K26-'Kwh Reading'!K25)*1000</f>
        <v>-346370</v>
      </c>
      <c r="H25" s="2">
        <f>('Kwh Reading'!L26-'Kwh Reading'!L25)*1000</f>
        <v>-237970</v>
      </c>
      <c r="I25" s="2">
        <f>('Kwh Reading'!R26-'Kwh Reading'!R25)*1000</f>
        <v>-164050</v>
      </c>
      <c r="J25" s="2">
        <f>('Kwh Reading'!S26-'Kwh Reading'!S25)*1000</f>
        <v>-117710</v>
      </c>
      <c r="K25" s="2">
        <f>('Kwh Reading'!I26-'Kwh Reading'!I25)*1000</f>
        <v>-243010</v>
      </c>
      <c r="L25" s="2">
        <f>('Kwh Reading'!B26-'Kwh Reading'!B25)*1000</f>
        <v>-1009800</v>
      </c>
      <c r="M25" s="2">
        <f>('Kwh Reading'!M26-'Kwh Reading'!M25)*1000</f>
        <v>-535240</v>
      </c>
      <c r="N25" s="2">
        <f>('Kwh Reading'!H26-'Kwh Reading'!H25)*1000</f>
        <v>-631920</v>
      </c>
      <c r="O25" s="2">
        <f>('Kwh Reading'!P26-'Kwh Reading'!P25)*1000</f>
        <v>-641310</v>
      </c>
      <c r="P25" s="2">
        <f>('Kwh Reading'!G26-'Kwh Reading'!G25)*1000</f>
        <v>-764110</v>
      </c>
      <c r="Q25" s="2">
        <f>('Kwh Reading'!Q26-'Kwh Reading'!Q25)*1000</f>
        <v>-476170</v>
      </c>
      <c r="R25" s="2">
        <f>('Kwh Reading'!N26-'Kwh Reading'!N25)*1000</f>
        <v>-488270</v>
      </c>
      <c r="S25" s="2">
        <f>'Kwh Reading'!E26-'Kwh Reading'!E25</f>
        <v>-8253979</v>
      </c>
      <c r="T25" s="2">
        <f>'Kwh Reading'!D26-'Kwh Reading'!D25</f>
        <v>-7532650.8099999996</v>
      </c>
      <c r="U25" s="27">
        <f>('Kwh Reading'!O26-'Kwh Reading'!O25)*1000</f>
        <v>-156110</v>
      </c>
      <c r="V25" s="16">
        <f t="shared" si="1"/>
        <v>25016059.809999999</v>
      </c>
    </row>
    <row r="26" spans="1:22" x14ac:dyDescent="0.25">
      <c r="A26" s="3">
        <f>'Kwh Reading'!A26</f>
        <v>44400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486689.99999999953</v>
      </c>
      <c r="C35" s="75">
        <f t="shared" ref="C35" si="2">SUM(C4:C34)</f>
        <v>-420700</v>
      </c>
      <c r="D35" s="75">
        <f t="shared" ref="D35" si="3">SUM(D4:D34)</f>
        <v>-2380800</v>
      </c>
      <c r="E35" s="75">
        <f t="shared" ref="E35" si="4">SUM(E4:E34)</f>
        <v>-229580.00000000003</v>
      </c>
      <c r="F35" s="75">
        <f t="shared" ref="F35" si="5">SUM(F4:F34)</f>
        <v>-316460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-157729.99999999997</v>
      </c>
      <c r="J35" s="75">
        <f t="shared" si="6"/>
        <v>-115160</v>
      </c>
      <c r="K35" s="75">
        <f t="shared" si="6"/>
        <v>-236040</v>
      </c>
      <c r="L35" s="75">
        <f t="shared" si="6"/>
        <v>-981180</v>
      </c>
      <c r="M35" s="75">
        <f t="shared" si="6"/>
        <v>-518450.00000000006</v>
      </c>
      <c r="N35" s="75">
        <f t="shared" si="6"/>
        <v>-622150</v>
      </c>
      <c r="O35" s="75">
        <f t="shared" si="6"/>
        <v>-618580.00000000012</v>
      </c>
      <c r="P35" s="75">
        <f t="shared" si="6"/>
        <v>-746170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-151379.99999999997</v>
      </c>
      <c r="V35" s="75">
        <f>SUM(V4:V34)</f>
        <v>25154671.439999998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6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2">
        <f t="shared" si="0"/>
        <v>6807.8499999985697</v>
      </c>
    </row>
    <row r="22" spans="1:12" x14ac:dyDescent="0.25">
      <c r="A22" s="14">
        <f>'Kwh Reading'!A23</f>
        <v>44397</v>
      </c>
      <c r="B22" s="83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6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2">
        <f t="shared" si="0"/>
        <v>6504.9400000011647</v>
      </c>
    </row>
    <row r="23" spans="1:12" x14ac:dyDescent="0.25">
      <c r="A23" s="14">
        <f>'Kwh Reading'!A24</f>
        <v>44398</v>
      </c>
      <c r="B23" s="83">
        <f>TOTAL!E22</f>
        <v>22999.999999999091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219.99999999999886</v>
      </c>
      <c r="F23" s="1">
        <f>('Kwh Consumption'!F24+'Kwh Consumption'!G24+'Kwh Consumption'!H24)</f>
        <v>680.00000000000682</v>
      </c>
      <c r="G23" s="16">
        <f>('Kwh Consumption'!I24+'Kwh Consumption'!J24)</f>
        <v>320.00000000000739</v>
      </c>
      <c r="H23" s="1">
        <f>('Kwh Consumption'!K24+'Kwh Consumption'!L24)</f>
        <v>1719.9999999999704</v>
      </c>
      <c r="I23" s="1">
        <f>('Kwh Consumption'!M24+'Kwh Consumption'!N24+'Kwh Consumption'!O24+'Kwh Consumption'!P24+'Kwh Consumption'!Q24+'Kwh Consumption'!R24)</f>
        <v>4629.9999999998818</v>
      </c>
      <c r="J23" s="1">
        <f>('Kwh Consumption'!S24+'Kwh Consumption'!T24)</f>
        <v>6100.6299999998882</v>
      </c>
      <c r="K23" s="1">
        <f>'Kwh Consumption'!U24</f>
        <v>240.00000000000909</v>
      </c>
      <c r="L23" s="32">
        <f t="shared" si="0"/>
        <v>6179.369999999155</v>
      </c>
    </row>
    <row r="24" spans="1:12" x14ac:dyDescent="0.25">
      <c r="A24" s="14">
        <f>'Kwh Reading'!A25</f>
        <v>44399</v>
      </c>
      <c r="B24" s="83">
        <f>TOTAL!E23</f>
        <v>0</v>
      </c>
      <c r="C24" s="1">
        <f>'Kwh Consumption'!C25</f>
        <v>-430400</v>
      </c>
      <c r="D24" s="1">
        <f>'Kwh Consumption'!D25</f>
        <v>-2431400</v>
      </c>
      <c r="E24" s="1">
        <f>'Kwh Consumption'!E25</f>
        <v>-234510</v>
      </c>
      <c r="F24" s="1">
        <f>('Kwh Consumption'!F25+'Kwh Consumption'!G25+'Kwh Consumption'!H25)</f>
        <v>-905420</v>
      </c>
      <c r="G24" s="16">
        <f>('Kwh Consumption'!I25+'Kwh Consumption'!J25)</f>
        <v>-281760</v>
      </c>
      <c r="H24" s="1">
        <f>('Kwh Consumption'!K25+'Kwh Consumption'!L25)</f>
        <v>-1252810</v>
      </c>
      <c r="I24" s="1">
        <f>('Kwh Consumption'!M25+'Kwh Consumption'!N25+'Kwh Consumption'!O25+'Kwh Consumption'!P25+'Kwh Consumption'!Q25+'Kwh Consumption'!R25)</f>
        <v>-3537020</v>
      </c>
      <c r="J24" s="1">
        <f>('Kwh Consumption'!S25+'Kwh Consumption'!T25)</f>
        <v>-15786629.809999999</v>
      </c>
      <c r="K24" s="1">
        <f>'Kwh Consumption'!U25</f>
        <v>-156110</v>
      </c>
      <c r="L24" s="32">
        <f t="shared" si="0"/>
        <v>25016059.809999999</v>
      </c>
    </row>
    <row r="25" spans="1:12" x14ac:dyDescent="0.25">
      <c r="A25" s="14">
        <f>'Kwh Reading'!A26</f>
        <v>44400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483489.99999999965</v>
      </c>
      <c r="C34" s="75">
        <f>SUM(C3:C33)</f>
        <v>-420700</v>
      </c>
      <c r="D34" s="75">
        <f t="shared" ref="D34:L34" si="1">SUM(D3:D33)</f>
        <v>-2380800</v>
      </c>
      <c r="E34" s="75">
        <f t="shared" si="1"/>
        <v>-229580.00000000003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-15665211.439999998</v>
      </c>
      <c r="K34" s="75">
        <f t="shared" si="1"/>
        <v>-151379.99999999997</v>
      </c>
      <c r="L34" s="75">
        <f t="shared" si="1"/>
        <v>25151471.439999998</v>
      </c>
      <c r="M34" s="84">
        <f>C34+D34+E34+F34+G34+H34+I34+J34+K34+L34</f>
        <v>483490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-333312.00000000006</v>
      </c>
      <c r="E36" s="75">
        <f>E34*B36</f>
        <v>-32141.200000000008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-2193129.6015999997</v>
      </c>
      <c r="K36" s="75">
        <f>K34*B36</f>
        <v>-21193.199999999997</v>
      </c>
      <c r="L36" s="75">
        <f>L34*B36</f>
        <v>3521206.0016000001</v>
      </c>
      <c r="M36" s="84">
        <f>C36+D36+E36+F36+G36+H36+I36+J36+K36+L36</f>
        <v>67688.600000000093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3291.3999999998082</v>
      </c>
      <c r="D21" s="1">
        <f>'Kwh Consumption'!C22*' Kwh area wise $ '!B21</f>
        <v>71.399999999998727</v>
      </c>
      <c r="E21" s="1">
        <f>'Kwh Consumption'!D22*' Kwh area wise $ '!B21</f>
        <v>321.99999999999562</v>
      </c>
      <c r="F21" s="1">
        <f>'Kwh Consumption'!E22*' Kwh area wise $ '!B21</f>
        <v>29.399999999997139</v>
      </c>
      <c r="G21" s="1">
        <f>('Kwh Consumption'!F22+'Kwh Consumption'!G22+'Kwh Consumption'!H22)*' Kwh area wise $ '!B21</f>
        <v>89.599999999994125</v>
      </c>
      <c r="H21" s="16">
        <f>('Kwh Consumption'!I22+'Kwh Consumption'!J22)*' Kwh area wise $ '!B21</f>
        <v>51.799999999996665</v>
      </c>
      <c r="I21" s="1">
        <f>('Kwh Consumption'!K22+'Kwh Consumption'!L22)*' Kwh area wise $ '!B21</f>
        <v>239.39999999999716</v>
      </c>
      <c r="J21" s="1">
        <f>('Kwh Consumption'!M22+'Kwh Consumption'!N22+'Kwh Consumption'!O22+'Kwh Consumption'!P22+'Kwh Consumption'!Q22+'Kwh Consumption'!R22)*' Kwh area wise $ '!B21</f>
        <v>678.99999999997942</v>
      </c>
      <c r="K21" s="1">
        <f>('Kwh Consumption'!S22+'Kwh Consumption'!T22)*' Kwh area wise $ '!B21</f>
        <v>823.50100000005227</v>
      </c>
      <c r="L21" s="1">
        <f>'Kwh Consumption'!U22*' Kwh area wise $ '!B21</f>
        <v>32.199999999998568</v>
      </c>
      <c r="M21" s="1">
        <f>'Kwh Consumption'!V22*' Kwh area wise $ '!B21</f>
        <v>953.09899999979871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3528.0000000001023</v>
      </c>
      <c r="D22" s="1">
        <f>'Kwh Consumption'!C23*' Kwh area wise $ '!B22</f>
        <v>61.599999999999689</v>
      </c>
      <c r="E22" s="1">
        <f>'Kwh Consumption'!D23*' Kwh area wise $ '!B22</f>
        <v>377.99999999998948</v>
      </c>
      <c r="F22" s="1">
        <f>'Kwh Consumption'!E23*' Kwh area wise $ '!B22</f>
        <v>39.200000000000166</v>
      </c>
      <c r="G22" s="1">
        <f>('Kwh Consumption'!F23+'Kwh Consumption'!G23+'Kwh Consumption'!H23)*' Kwh area wise $ '!B22</f>
        <v>145.59999999999491</v>
      </c>
      <c r="H22" s="16">
        <f>('Kwh Consumption'!I23+'Kwh Consumption'!J23)*' Kwh area wise $ '!B22</f>
        <v>61.600000000001678</v>
      </c>
      <c r="I22" s="1">
        <f>('Kwh Consumption'!K23+'Kwh Consumption'!L23)*' Kwh area wise $ '!B22</f>
        <v>256.19999999999777</v>
      </c>
      <c r="J22" s="1">
        <f>('Kwh Consumption'!M23+'Kwh Consumption'!N23+'Kwh Consumption'!O23+'Kwh Consumption'!P23+'Kwh Consumption'!Q23+'Kwh Consumption'!R23)*' Kwh area wise $ '!B22</f>
        <v>730.80000000001178</v>
      </c>
      <c r="K22" s="1">
        <f>('Kwh Consumption'!S23+'Kwh Consumption'!T23)*' Kwh area wise $ '!B22</f>
        <v>910.70839999994269</v>
      </c>
      <c r="L22" s="1">
        <f>'Kwh Consumption'!U23*' Kwh area wise $ '!B22</f>
        <v>33.600000000001273</v>
      </c>
      <c r="M22" s="1">
        <f>'Kwh Consumption'!V23*' Kwh area wise $ '!B22</f>
        <v>910.69160000016336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3219.9999999998731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30.799999999999844</v>
      </c>
      <c r="G23" s="1">
        <f>('Kwh Consumption'!F24+'Kwh Consumption'!G24+'Kwh Consumption'!H24)*' Kwh area wise $ '!B23</f>
        <v>95.200000000000969</v>
      </c>
      <c r="H23" s="16">
        <f>('Kwh Consumption'!I24+'Kwh Consumption'!J24)*' Kwh area wise $ '!B23</f>
        <v>44.800000000001042</v>
      </c>
      <c r="I23" s="1">
        <f>('Kwh Consumption'!K24+'Kwh Consumption'!L24)*' Kwh area wise $ '!B23</f>
        <v>240.79999999999589</v>
      </c>
      <c r="J23" s="1">
        <f>('Kwh Consumption'!M24+'Kwh Consumption'!N24+'Kwh Consumption'!O24+'Kwh Consumption'!P24+'Kwh Consumption'!Q24+'Kwh Consumption'!R24)*' Kwh area wise $ '!B23</f>
        <v>648.19999999998356</v>
      </c>
      <c r="K23" s="1">
        <f>('Kwh Consumption'!S24+'Kwh Consumption'!T24)*' Kwh area wise $ '!B23</f>
        <v>854.08819999998445</v>
      </c>
      <c r="L23" s="1">
        <f>'Kwh Consumption'!U24*' Kwh area wise $ '!B23</f>
        <v>33.600000000001273</v>
      </c>
      <c r="M23" s="1">
        <f>'Kwh Consumption'!V24*' Kwh area wise $ '!B23</f>
        <v>865.11179999988224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-60256.000000000007</v>
      </c>
      <c r="E24" s="1">
        <f>'Kwh Consumption'!D25*' Kwh area wise $ '!B24</f>
        <v>-340396.00000000006</v>
      </c>
      <c r="F24" s="1">
        <f>'Kwh Consumption'!E25*' Kwh area wise $ '!B24</f>
        <v>-32831.4</v>
      </c>
      <c r="G24" s="1">
        <f>('Kwh Consumption'!F25+'Kwh Consumption'!G25+'Kwh Consumption'!H25)*' Kwh area wise $ '!B24</f>
        <v>-126758.80000000002</v>
      </c>
      <c r="H24" s="16">
        <f>('Kwh Consumption'!I25+'Kwh Consumption'!J25)*' Kwh area wise $ '!B24</f>
        <v>-39446.400000000001</v>
      </c>
      <c r="I24" s="1">
        <f>('Kwh Consumption'!K25+'Kwh Consumption'!L25)*' Kwh area wise $ '!B24</f>
        <v>-175393.40000000002</v>
      </c>
      <c r="J24" s="1">
        <f>('Kwh Consumption'!M25+'Kwh Consumption'!N25+'Kwh Consumption'!O25+'Kwh Consumption'!P25+'Kwh Consumption'!Q25+'Kwh Consumption'!R25)*' Kwh area wise $ '!B24</f>
        <v>-495182.80000000005</v>
      </c>
      <c r="K24" s="1">
        <f>('Kwh Consumption'!S25+'Kwh Consumption'!T25)*' Kwh area wise $ '!B24</f>
        <v>-2210128.1734000002</v>
      </c>
      <c r="L24" s="1">
        <f>'Kwh Consumption'!U25*' Kwh area wise $ '!B24</f>
        <v>-21855.4</v>
      </c>
      <c r="M24" s="1">
        <f>'Kwh Consumption'!V25*' Kwh area wise $ '!B24</f>
        <v>3502248.3733999999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68136.599999999962</v>
      </c>
      <c r="D34" s="75">
        <f t="shared" si="0"/>
        <v>-58898.000000000007</v>
      </c>
      <c r="E34" s="75">
        <f t="shared" si="0"/>
        <v>-333312.00000000006</v>
      </c>
      <c r="F34" s="75">
        <f t="shared" si="0"/>
        <v>-32141.200000000004</v>
      </c>
      <c r="G34" s="75">
        <f t="shared" si="0"/>
        <v>-124762.40000000002</v>
      </c>
      <c r="H34" s="75">
        <f t="shared" si="0"/>
        <v>-38204.6</v>
      </c>
      <c r="I34" s="75">
        <f t="shared" si="0"/>
        <v>-170410.80000000002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-21193.199999999997</v>
      </c>
      <c r="M34" s="75">
        <f>SUM(M3:M33)</f>
        <v>3521654.0016000001</v>
      </c>
      <c r="N34" s="84">
        <f>D34+E34+F34+G34+H34+I34+J34+K34+L34+M34</f>
        <v>68136.599999999627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4" sqref="R2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>
        <v>171066</v>
      </c>
      <c r="C22" s="56">
        <v>132485</v>
      </c>
      <c r="D22" s="55">
        <v>211813</v>
      </c>
      <c r="E22" s="55">
        <v>248993</v>
      </c>
      <c r="F22" s="55">
        <v>66947</v>
      </c>
      <c r="G22" s="55">
        <v>111947</v>
      </c>
      <c r="H22" s="33">
        <v>53830</v>
      </c>
      <c r="I22" s="55">
        <v>64111</v>
      </c>
      <c r="J22" s="55">
        <v>20529</v>
      </c>
      <c r="K22" s="55">
        <v>1024</v>
      </c>
      <c r="L22" s="55">
        <v>17379</v>
      </c>
      <c r="M22" s="55">
        <v>24455</v>
      </c>
      <c r="N22" s="55">
        <v>7386</v>
      </c>
      <c r="O22" s="55">
        <v>1687</v>
      </c>
      <c r="P22" s="55">
        <v>27186</v>
      </c>
      <c r="Q22" s="33">
        <v>737</v>
      </c>
      <c r="R22" s="55">
        <v>6331</v>
      </c>
    </row>
    <row r="23" spans="1:22" x14ac:dyDescent="0.25">
      <c r="A23" s="54">
        <v>44398</v>
      </c>
      <c r="B23" s="33">
        <v>171066</v>
      </c>
      <c r="C23" s="33">
        <v>132519</v>
      </c>
      <c r="D23" s="55">
        <v>211967</v>
      </c>
      <c r="E23" s="55">
        <v>249055</v>
      </c>
      <c r="F23" s="55">
        <v>66948</v>
      </c>
      <c r="G23" s="55">
        <v>111970</v>
      </c>
      <c r="H23" s="33">
        <v>53869</v>
      </c>
      <c r="I23" s="55">
        <v>64151</v>
      </c>
      <c r="J23" s="55">
        <v>20541</v>
      </c>
      <c r="K23" s="55">
        <v>1024</v>
      </c>
      <c r="L23" s="55">
        <v>17387</v>
      </c>
      <c r="M23" s="55">
        <v>24471</v>
      </c>
      <c r="N23" s="55">
        <v>7388</v>
      </c>
      <c r="O23" s="55">
        <v>1689</v>
      </c>
      <c r="P23" s="55">
        <v>27201</v>
      </c>
      <c r="Q23" s="33">
        <v>739</v>
      </c>
      <c r="R23" s="55">
        <v>6335</v>
      </c>
    </row>
    <row r="24" spans="1:22" x14ac:dyDescent="0.25">
      <c r="A24" s="54">
        <v>44399</v>
      </c>
      <c r="B24" s="33">
        <v>171248</v>
      </c>
      <c r="C24" s="56">
        <v>133104</v>
      </c>
      <c r="D24" s="55">
        <v>212049</v>
      </c>
      <c r="E24" s="55">
        <v>249113</v>
      </c>
      <c r="F24" s="55">
        <v>66948</v>
      </c>
      <c r="G24" s="55">
        <v>111988</v>
      </c>
      <c r="H24" s="33">
        <v>53927</v>
      </c>
      <c r="I24" s="55">
        <v>64181</v>
      </c>
      <c r="J24" s="55">
        <v>20552</v>
      </c>
      <c r="K24" s="55">
        <v>1024</v>
      </c>
      <c r="L24" s="55">
        <v>17395</v>
      </c>
      <c r="M24" s="55">
        <v>24488</v>
      </c>
      <c r="N24" s="55">
        <v>7395</v>
      </c>
      <c r="O24" s="55">
        <v>1691</v>
      </c>
      <c r="P24" s="55">
        <v>27213</v>
      </c>
      <c r="Q24" s="33">
        <v>744</v>
      </c>
      <c r="R24" s="55">
        <v>6342</v>
      </c>
    </row>
    <row r="25" spans="1:22" x14ac:dyDescent="0.25">
      <c r="A25" s="54">
        <v>44400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44401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28" sqref="C2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306</v>
      </c>
      <c r="C22" s="66">
        <f>('Water Reading'!B22-'Water Reading'!B21)+('Water Reading'!C22-'Water Reading'!C21)</f>
        <v>17</v>
      </c>
      <c r="D22" s="67">
        <f t="shared" si="2"/>
        <v>5.5555555555555552E-2</v>
      </c>
      <c r="E22" s="87">
        <f>'Water Reading'!H22-'Water Reading'!H21</f>
        <v>35</v>
      </c>
      <c r="F22" s="89">
        <f t="shared" si="3"/>
        <v>2.0588235294117645</v>
      </c>
      <c r="G22" s="93">
        <f>('Water Reading'!D22-'Water Reading'!D21)-('Water Reading'!R22-'Water Reading'!R21)-('Water Reading'!Q22-'Water Reading'!Q21)</f>
        <v>153</v>
      </c>
      <c r="H22" s="89">
        <f t="shared" si="4"/>
        <v>9</v>
      </c>
      <c r="I22" s="90">
        <f>'Water Reading'!P22-'Water Reading'!P21</f>
        <v>6</v>
      </c>
      <c r="J22" s="68">
        <f t="shared" si="5"/>
        <v>0.35294117647058826</v>
      </c>
      <c r="K22" s="91">
        <f>('Water Reading'!I22-'Water Reading'!I21)-('Water Reading'!P22-'Water Reading'!P21)</f>
        <v>20</v>
      </c>
      <c r="L22" s="68">
        <f t="shared" si="6"/>
        <v>1.1764705882352942</v>
      </c>
      <c r="M22" s="90">
        <f>'Water Reading'!R22-'Water Reading'!R21</f>
        <v>6</v>
      </c>
      <c r="N22" s="92">
        <f t="shared" si="7"/>
        <v>0.35294117647058826</v>
      </c>
      <c r="O22" s="90">
        <f>'Water Reading'!Q22-'Water Reading'!Q21</f>
        <v>5</v>
      </c>
      <c r="P22" s="99">
        <f t="shared" si="8"/>
        <v>0.29411764705882354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56</v>
      </c>
      <c r="T22" s="100">
        <f t="shared" si="10"/>
        <v>3.2941176470588234</v>
      </c>
      <c r="U22" s="90">
        <f>'Water Reading'!G22-'Water Reading'!G21</f>
        <v>15</v>
      </c>
      <c r="V22" s="100">
        <f t="shared" si="11"/>
        <v>0.88235294117647056</v>
      </c>
      <c r="W22" s="90">
        <f>'Water Reading'!J22-'Water Reading'!J21</f>
        <v>10</v>
      </c>
      <c r="X22" s="100">
        <f t="shared" si="12"/>
        <v>0.58823529411764708</v>
      </c>
      <c r="Y22" s="66">
        <f t="shared" si="0"/>
        <v>306</v>
      </c>
      <c r="Z22" s="67">
        <f t="shared" si="1"/>
        <v>1</v>
      </c>
    </row>
    <row r="23" spans="1:26" x14ac:dyDescent="0.25">
      <c r="A23" s="8">
        <f>'Water Reading'!A22</f>
        <v>44397</v>
      </c>
      <c r="B23" s="65">
        <f>TOTAL!I21</f>
        <v>270</v>
      </c>
      <c r="C23" s="66">
        <f>('Water Reading'!B23-'Water Reading'!B22)+('Water Reading'!C23-'Water Reading'!C22)</f>
        <v>34</v>
      </c>
      <c r="D23" s="67">
        <f t="shared" si="2"/>
        <v>0.12592592592592591</v>
      </c>
      <c r="E23" s="87">
        <f>'Water Reading'!H23-'Water Reading'!H22</f>
        <v>39</v>
      </c>
      <c r="F23" s="89">
        <f t="shared" si="3"/>
        <v>1.1470588235294117</v>
      </c>
      <c r="G23" s="93">
        <f>('Water Reading'!D23-'Water Reading'!D22)-('Water Reading'!R23-'Water Reading'!R22)-('Water Reading'!Q23-'Water Reading'!Q22)</f>
        <v>148</v>
      </c>
      <c r="H23" s="89">
        <f t="shared" si="4"/>
        <v>4.3529411764705879</v>
      </c>
      <c r="I23" s="90">
        <f>'Water Reading'!P23-'Water Reading'!P22</f>
        <v>15</v>
      </c>
      <c r="J23" s="68">
        <f t="shared" si="5"/>
        <v>0.44117647058823528</v>
      </c>
      <c r="K23" s="91">
        <f>('Water Reading'!I23-'Water Reading'!I22)-('Water Reading'!P23-'Water Reading'!P22)</f>
        <v>25</v>
      </c>
      <c r="L23" s="68">
        <f t="shared" si="6"/>
        <v>0.73529411764705888</v>
      </c>
      <c r="M23" s="90">
        <f>'Water Reading'!R23-'Water Reading'!R22</f>
        <v>4</v>
      </c>
      <c r="N23" s="92">
        <f t="shared" si="7"/>
        <v>0.11764705882352941</v>
      </c>
      <c r="O23" s="90">
        <f>'Water Reading'!Q23-'Water Reading'!Q22</f>
        <v>2</v>
      </c>
      <c r="P23" s="99">
        <f t="shared" si="8"/>
        <v>5.8823529411764705E-2</v>
      </c>
      <c r="Q23" s="91">
        <f>'Water Reading'!F23-'Water Reading'!F22</f>
        <v>1</v>
      </c>
      <c r="R23" s="100">
        <f t="shared" si="9"/>
        <v>2.9411764705882353E-2</v>
      </c>
      <c r="S23" s="94">
        <f>'Water Reading'!E23-'Water Reading'!E22</f>
        <v>62</v>
      </c>
      <c r="T23" s="100">
        <f t="shared" si="10"/>
        <v>1.8235294117647058</v>
      </c>
      <c r="U23" s="90">
        <f>'Water Reading'!G23-'Water Reading'!G22</f>
        <v>23</v>
      </c>
      <c r="V23" s="100">
        <f t="shared" si="11"/>
        <v>0.67647058823529416</v>
      </c>
      <c r="W23" s="90">
        <f>'Water Reading'!J23-'Water Reading'!J22</f>
        <v>12</v>
      </c>
      <c r="X23" s="100">
        <f t="shared" si="12"/>
        <v>0.35294117647058826</v>
      </c>
      <c r="Y23" s="66">
        <f t="shared" si="0"/>
        <v>331</v>
      </c>
      <c r="Z23" s="67">
        <f t="shared" si="1"/>
        <v>1.2259259259259259</v>
      </c>
    </row>
    <row r="24" spans="1:26" x14ac:dyDescent="0.25">
      <c r="A24" s="8">
        <f>'Water Reading'!A23</f>
        <v>44398</v>
      </c>
      <c r="B24" s="65">
        <f>TOTAL!I22</f>
        <v>323</v>
      </c>
      <c r="C24" s="66">
        <f>('Water Reading'!B24-'Water Reading'!B23)+('Water Reading'!C24-'Water Reading'!C23)</f>
        <v>767</v>
      </c>
      <c r="D24" s="67">
        <f t="shared" si="2"/>
        <v>2.3746130030959751</v>
      </c>
      <c r="E24" s="87">
        <f>'Water Reading'!H24-'Water Reading'!H23</f>
        <v>58</v>
      </c>
      <c r="F24" s="89">
        <f t="shared" si="3"/>
        <v>7.5619295958279015E-2</v>
      </c>
      <c r="G24" s="93">
        <f>('Water Reading'!D24-'Water Reading'!D23)-('Water Reading'!R24-'Water Reading'!R23)-('Water Reading'!Q24-'Water Reading'!Q23)</f>
        <v>70</v>
      </c>
      <c r="H24" s="89">
        <f t="shared" si="4"/>
        <v>9.126466753585398E-2</v>
      </c>
      <c r="I24" s="90">
        <f>'Water Reading'!P24-'Water Reading'!P23</f>
        <v>12</v>
      </c>
      <c r="J24" s="68">
        <f t="shared" si="5"/>
        <v>1.5645371577574969E-2</v>
      </c>
      <c r="K24" s="91">
        <f>('Water Reading'!I24-'Water Reading'!I23)-('Water Reading'!P24-'Water Reading'!P23)</f>
        <v>18</v>
      </c>
      <c r="L24" s="68">
        <f t="shared" si="6"/>
        <v>2.3468057366362451E-2</v>
      </c>
      <c r="M24" s="90">
        <f>'Water Reading'!R24-'Water Reading'!R23</f>
        <v>7</v>
      </c>
      <c r="N24" s="92">
        <f t="shared" si="7"/>
        <v>9.126466753585397E-3</v>
      </c>
      <c r="O24" s="90">
        <f>'Water Reading'!Q24-'Water Reading'!Q23</f>
        <v>5</v>
      </c>
      <c r="P24" s="99">
        <f t="shared" si="8"/>
        <v>6.51890482398957E-3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7.5619295958279015E-2</v>
      </c>
      <c r="U24" s="90">
        <f>'Water Reading'!G24-'Water Reading'!G23</f>
        <v>18</v>
      </c>
      <c r="V24" s="100">
        <f t="shared" si="11"/>
        <v>2.3468057366362451E-2</v>
      </c>
      <c r="W24" s="90">
        <f>'Water Reading'!J24-'Water Reading'!J23</f>
        <v>11</v>
      </c>
      <c r="X24" s="100">
        <f t="shared" si="12"/>
        <v>1.4341590612777053E-2</v>
      </c>
      <c r="Y24" s="66">
        <f t="shared" si="0"/>
        <v>257</v>
      </c>
      <c r="Z24" s="67">
        <f t="shared" si="1"/>
        <v>0.79566563467492257</v>
      </c>
    </row>
    <row r="25" spans="1:26" x14ac:dyDescent="0.25">
      <c r="A25" s="8">
        <f>'Water Reading'!A24</f>
        <v>44399</v>
      </c>
      <c r="B25" s="65">
        <f>TOTAL!I23</f>
        <v>0</v>
      </c>
      <c r="C25" s="66">
        <f>('Water Reading'!B25-'Water Reading'!B24)+('Water Reading'!C25-'Water Reading'!C24)</f>
        <v>-304352</v>
      </c>
      <c r="D25" s="67" t="e">
        <f t="shared" si="2"/>
        <v>#DIV/0!</v>
      </c>
      <c r="E25" s="87">
        <f>'Water Reading'!H25-'Water Reading'!H24</f>
        <v>-53927</v>
      </c>
      <c r="F25" s="89">
        <f t="shared" si="3"/>
        <v>0.1771862843023867</v>
      </c>
      <c r="G25" s="93">
        <f>('Water Reading'!D25-'Water Reading'!D24)-('Water Reading'!R25-'Water Reading'!R24)-('Water Reading'!Q25-'Water Reading'!Q24)</f>
        <v>-204963</v>
      </c>
      <c r="H25" s="89">
        <f t="shared" si="4"/>
        <v>0.67344062138576388</v>
      </c>
      <c r="I25" s="90">
        <f>'Water Reading'!P25-'Water Reading'!P24</f>
        <v>-27213</v>
      </c>
      <c r="J25" s="68">
        <f t="shared" si="5"/>
        <v>8.9412916622857747E-2</v>
      </c>
      <c r="K25" s="91">
        <f>('Water Reading'!I25-'Water Reading'!I24)-('Water Reading'!P25-'Water Reading'!P24)</f>
        <v>-36968</v>
      </c>
      <c r="L25" s="68">
        <f t="shared" si="6"/>
        <v>0.12146461991378404</v>
      </c>
      <c r="M25" s="90">
        <f>'Water Reading'!R25-'Water Reading'!R24</f>
        <v>-6342</v>
      </c>
      <c r="N25" s="92">
        <f t="shared" si="7"/>
        <v>2.0837714225633477E-2</v>
      </c>
      <c r="O25" s="90">
        <f>'Water Reading'!Q25-'Water Reading'!Q24</f>
        <v>-744</v>
      </c>
      <c r="P25" s="99">
        <f t="shared" si="8"/>
        <v>2.444537903480181E-3</v>
      </c>
      <c r="Q25" s="91">
        <f>'Water Reading'!F25-'Water Reading'!F24</f>
        <v>-66948</v>
      </c>
      <c r="R25" s="100">
        <f t="shared" si="9"/>
        <v>0.21996898328251499</v>
      </c>
      <c r="S25" s="94">
        <f>'Water Reading'!E25-'Water Reading'!E24</f>
        <v>-249113</v>
      </c>
      <c r="T25" s="100">
        <f t="shared" si="10"/>
        <v>0.81850291767427186</v>
      </c>
      <c r="U25" s="90">
        <f>'Water Reading'!G25-'Water Reading'!G24</f>
        <v>-111988</v>
      </c>
      <c r="V25" s="100">
        <f t="shared" si="11"/>
        <v>0.36795552518136893</v>
      </c>
      <c r="W25" s="90">
        <f>'Water Reading'!J25-'Water Reading'!J24</f>
        <v>-20552</v>
      </c>
      <c r="X25" s="100">
        <f t="shared" si="12"/>
        <v>6.7527073914414884E-2</v>
      </c>
      <c r="Y25" s="66">
        <f t="shared" si="0"/>
        <v>-778758</v>
      </c>
      <c r="Z25" s="67" t="e">
        <f t="shared" si="1"/>
        <v>#DIV/0!</v>
      </c>
    </row>
    <row r="26" spans="1:26" x14ac:dyDescent="0.25">
      <c r="A26" s="8">
        <f>'Water Reading'!A25</f>
        <v>44400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5993</v>
      </c>
      <c r="C35" s="75">
        <f>SUM(C4:C34)</f>
        <v>-297465</v>
      </c>
      <c r="D35" s="96">
        <f>C35/B35</f>
        <v>-49.635407975971965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-128.91189721341564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2021-07-22T07:28:57Z</dcterms:modified>
  <cp:category/>
  <cp:contentStatus/>
</cp:coreProperties>
</file>