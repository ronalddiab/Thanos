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ltfp1.blt.fshq.fs\departments$\Engineering\Meter Readings\Meter Readings\2021\"/>
    </mc:Choice>
  </mc:AlternateContent>
  <xr:revisionPtr revIDLastSave="0" documentId="13_ncr:1_{62A5F203-E351-4379-AFC7-2DE41D88A8AB}" xr6:coauthVersionLast="46" xr6:coauthVersionMax="47" xr10:uidLastSave="{00000000-0000-0000-0000-000000000000}"/>
  <bookViews>
    <workbookView xWindow="2148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C38" i="1" s="1"/>
  <c r="C39" i="1" s="1"/>
  <c r="D36" i="1"/>
  <c r="F36" i="1"/>
  <c r="F38" i="1" s="1"/>
  <c r="F39" i="1" s="1"/>
  <c r="G36" i="1"/>
  <c r="G38" i="1" s="1"/>
  <c r="G39" i="1" s="1"/>
  <c r="H38" i="1"/>
  <c r="I36" i="1"/>
  <c r="I38" i="1" s="1"/>
  <c r="I39" i="1" s="1"/>
  <c r="J36" i="1"/>
  <c r="J38" i="1" s="1"/>
  <c r="J39" i="1" s="1"/>
  <c r="K36" i="1"/>
  <c r="K38" i="1" s="1"/>
  <c r="K39" i="1" s="1"/>
  <c r="M36" i="1"/>
  <c r="M38" i="1" s="1"/>
  <c r="M39" i="1" s="1"/>
  <c r="N36" i="1"/>
  <c r="N38" i="1" s="1"/>
  <c r="N39" i="1" s="1"/>
  <c r="O36" i="1"/>
  <c r="O38" i="1" s="1"/>
  <c r="O39" i="1" s="1"/>
  <c r="R36" i="1"/>
  <c r="S36" i="1"/>
  <c r="S38" i="1" s="1"/>
  <c r="S39" i="1" s="1"/>
  <c r="T36" i="1"/>
  <c r="T38" i="1" s="1"/>
  <c r="T39" i="1" s="1"/>
  <c r="U36" i="1"/>
  <c r="V36" i="1"/>
  <c r="V38" i="1" s="1"/>
  <c r="V39" i="1" s="1"/>
  <c r="B36" i="1"/>
  <c r="B38" i="1" s="1"/>
  <c r="B39" i="1" s="1"/>
  <c r="R38" i="1"/>
  <c r="Q38" i="1"/>
  <c r="L38" i="1"/>
  <c r="E38" i="1"/>
  <c r="D38" i="1"/>
  <c r="D39" i="1" s="1"/>
  <c r="U38" i="1"/>
  <c r="U39" i="1" s="1"/>
</calcChain>
</file>

<file path=xl/sharedStrings.xml><?xml version="1.0" encoding="utf-8"?>
<sst xmlns="http://schemas.openxmlformats.org/spreadsheetml/2006/main" count="29" uniqueCount="27">
  <si>
    <t>Date</t>
  </si>
  <si>
    <t>Electric (kWh)</t>
  </si>
  <si>
    <t>Gas (therm)</t>
  </si>
  <si>
    <t>Water</t>
  </si>
  <si>
    <t>Anthropologie (Effective 10/2/2012)</t>
  </si>
  <si>
    <t>Bygone</t>
  </si>
  <si>
    <t>Engineer</t>
  </si>
  <si>
    <t>Meter</t>
  </si>
  <si>
    <t xml:space="preserve">Meter </t>
  </si>
  <si>
    <t>Mina</t>
  </si>
  <si>
    <t>Main</t>
  </si>
  <si>
    <t>Main (ft3)</t>
  </si>
  <si>
    <t>Chilled (ton-hour)</t>
  </si>
  <si>
    <t>Hot (MMBtu)</t>
  </si>
  <si>
    <t>Electric      Main</t>
  </si>
  <si>
    <t>Electric    Chilled</t>
  </si>
  <si>
    <t>Electric        Hot</t>
  </si>
  <si>
    <t>Chilled</t>
  </si>
  <si>
    <t>Hot</t>
  </si>
  <si>
    <t>Heat</t>
  </si>
  <si>
    <t>Gas</t>
  </si>
  <si>
    <t xml:space="preserve">Water </t>
  </si>
  <si>
    <t>Electric</t>
  </si>
  <si>
    <t>Total</t>
  </si>
  <si>
    <t>November</t>
  </si>
  <si>
    <t>Varience</t>
  </si>
  <si>
    <t>Varience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</si>
</sst>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8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/>
    <xf numFmtId="0" fontId="5" fillId="0" borderId="2" xfId="0" applyFont="1" applyBorder="1"/>
    <xf numFmtId="1" fontId="5" fillId="0" borderId="2" xfId="0" applyNumberFormat="1" applyFont="1" applyBorder="1"/>
    <xf numFmtId="0" fontId="5" fillId="0" borderId="2" xfId="0" applyFont="1" applyBorder="1" applyAlignment="1">
      <alignment horizontal="right"/>
    </xf>
    <xf numFmtId="164" fontId="5" fillId="0" borderId="2" xfId="0" applyNumberFormat="1" applyFont="1" applyBorder="1"/>
    <xf numFmtId="1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/>
    <xf numFmtId="0" fontId="5" fillId="2" borderId="2" xfId="0" applyFont="1" applyFill="1" applyBorder="1"/>
    <xf numFmtId="0" fontId="5" fillId="2" borderId="3" xfId="0" applyFont="1" applyFill="1" applyBorder="1"/>
    <xf numFmtId="164" fontId="5" fillId="2" borderId="2" xfId="0" applyNumberFormat="1" applyFont="1" applyFill="1" applyBorder="1"/>
    <xf numFmtId="0" fontId="5" fillId="2" borderId="2" xfId="0" applyFont="1" applyFill="1" applyBorder="1" applyAlignment="1">
      <alignment horizontal="right"/>
    </xf>
    <xf numFmtId="0" fontId="6" fillId="2" borderId="2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/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5" fillId="0" borderId="6" xfId="0" applyFont="1" applyBorder="1"/>
    <xf numFmtId="1" fontId="5" fillId="0" borderId="7" xfId="0" applyNumberFormat="1" applyFont="1" applyBorder="1"/>
    <xf numFmtId="0" fontId="0" fillId="0" borderId="2" xfId="0" applyBorder="1"/>
    <xf numFmtId="0" fontId="9" fillId="0" borderId="2" xfId="0" applyFont="1" applyBorder="1" applyAlignment="1">
      <alignment wrapText="1"/>
    </xf>
    <xf numFmtId="0" fontId="9" fillId="3" borderId="2" xfId="0" applyFont="1" applyFill="1" applyBorder="1" applyAlignment="1">
      <alignment wrapText="1"/>
    </xf>
    <xf numFmtId="9" fontId="0" fillId="0" borderId="2" xfId="1" applyFont="1" applyBorder="1"/>
    <xf numFmtId="9" fontId="0" fillId="2" borderId="2" xfId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9"/>
  <sheetViews>
    <sheetView tabSelected="1" topLeftCell="A19" workbookViewId="0">
      <selection activeCell="G35" sqref="G35"/>
    </sheetView>
  </sheetViews>
  <sheetFormatPr defaultRowHeight="15" x14ac:dyDescent="0.25"/>
  <cols>
    <col min="1" max="1" width="12.42578125" bestFit="1" customWidth="1"/>
    <col min="2" max="2" width="15.7109375" customWidth="1"/>
    <col min="3" max="3" width="11.85546875" customWidth="1"/>
    <col min="4" max="4" width="11" customWidth="1"/>
    <col min="5" max="5" width="1.42578125" customWidth="1"/>
    <col min="6" max="6" width="10.140625" customWidth="1"/>
    <col min="7" max="7" width="10.28515625" customWidth="1"/>
    <col min="8" max="8" width="1.5703125" customWidth="1"/>
    <col min="9" max="9" width="10.28515625" customWidth="1"/>
    <col min="10" max="10" width="12.5703125" customWidth="1"/>
    <col min="11" max="11" width="14" customWidth="1"/>
    <col min="12" max="12" width="1.5703125" customWidth="1"/>
    <col min="13" max="13" width="10.7109375" customWidth="1"/>
    <col min="14" max="14" width="11.140625" customWidth="1"/>
    <col min="15" max="15" width="9.42578125" customWidth="1"/>
    <col min="18" max="18" width="11.42578125" customWidth="1"/>
    <col min="20" max="20" width="13.42578125" bestFit="1" customWidth="1"/>
    <col min="21" max="21" width="9.140625" customWidth="1"/>
    <col min="22" max="22" width="7.7109375" customWidth="1"/>
    <col min="23" max="23" width="10.5703125" customWidth="1"/>
  </cols>
  <sheetData>
    <row r="1" spans="1:23" ht="15.75" customHeight="1" x14ac:dyDescent="0.25">
      <c r="A1" s="31" t="s">
        <v>0</v>
      </c>
      <c r="B1" s="34" t="s">
        <v>1</v>
      </c>
      <c r="C1" s="34"/>
      <c r="D1" s="34"/>
      <c r="E1" s="17"/>
      <c r="F1" s="34" t="s">
        <v>2</v>
      </c>
      <c r="G1" s="34"/>
      <c r="H1" s="17"/>
      <c r="I1" s="34" t="s">
        <v>3</v>
      </c>
      <c r="J1" s="34"/>
      <c r="K1" s="34"/>
      <c r="L1" s="23"/>
      <c r="M1" s="35" t="s">
        <v>4</v>
      </c>
      <c r="N1" s="36"/>
      <c r="O1" s="36"/>
      <c r="P1" s="36"/>
      <c r="Q1" s="37"/>
      <c r="R1" s="45" t="s">
        <v>5</v>
      </c>
      <c r="S1" s="46"/>
      <c r="T1" s="46"/>
      <c r="U1" s="46"/>
      <c r="V1" s="47"/>
      <c r="W1" s="31" t="s">
        <v>6</v>
      </c>
    </row>
    <row r="2" spans="1:23" ht="15" customHeight="1" x14ac:dyDescent="0.25">
      <c r="A2" s="32"/>
      <c r="B2" s="1" t="s">
        <v>7</v>
      </c>
      <c r="C2" s="1" t="s">
        <v>8</v>
      </c>
      <c r="D2" s="1" t="s">
        <v>8</v>
      </c>
      <c r="E2" s="18"/>
      <c r="F2" s="43" t="s">
        <v>9</v>
      </c>
      <c r="G2" s="43" t="s">
        <v>10</v>
      </c>
      <c r="H2" s="20"/>
      <c r="I2" s="38" t="s">
        <v>11</v>
      </c>
      <c r="J2" s="38" t="s">
        <v>12</v>
      </c>
      <c r="K2" s="38" t="s">
        <v>13</v>
      </c>
      <c r="L2" s="20"/>
      <c r="M2" s="40" t="s">
        <v>14</v>
      </c>
      <c r="N2" s="42" t="s">
        <v>15</v>
      </c>
      <c r="O2" s="42" t="s">
        <v>16</v>
      </c>
      <c r="P2" s="40" t="s">
        <v>17</v>
      </c>
      <c r="Q2" s="40" t="s">
        <v>18</v>
      </c>
      <c r="R2" s="44" t="s">
        <v>19</v>
      </c>
      <c r="S2" s="44" t="s">
        <v>17</v>
      </c>
      <c r="T2" s="44" t="s">
        <v>20</v>
      </c>
      <c r="U2" s="44" t="s">
        <v>21</v>
      </c>
      <c r="V2" s="44" t="s">
        <v>22</v>
      </c>
      <c r="W2" s="32"/>
    </row>
    <row r="3" spans="1:23" ht="15" customHeight="1" x14ac:dyDescent="0.25">
      <c r="A3" s="33"/>
      <c r="B3" s="1">
        <v>1</v>
      </c>
      <c r="C3" s="1">
        <v>2</v>
      </c>
      <c r="D3" s="1">
        <v>3</v>
      </c>
      <c r="E3" s="18"/>
      <c r="F3" s="43"/>
      <c r="G3" s="43"/>
      <c r="H3" s="21"/>
      <c r="I3" s="39"/>
      <c r="J3" s="39"/>
      <c r="K3" s="39"/>
      <c r="L3" s="21"/>
      <c r="M3" s="41"/>
      <c r="N3" s="41"/>
      <c r="O3" s="41"/>
      <c r="P3" s="41"/>
      <c r="Q3" s="41"/>
      <c r="R3" s="39"/>
      <c r="S3" s="39"/>
      <c r="T3" s="39"/>
      <c r="U3" s="39"/>
      <c r="V3" s="39"/>
      <c r="W3" s="33"/>
    </row>
    <row r="4" spans="1:23" ht="24.75" customHeight="1" x14ac:dyDescent="0.25">
      <c r="A4" s="2">
        <v>44531</v>
      </c>
      <c r="B4" s="3">
        <v>437694</v>
      </c>
      <c r="C4" s="3">
        <v>28398844</v>
      </c>
      <c r="D4" s="3">
        <v>7656398</v>
      </c>
      <c r="E4" s="12"/>
      <c r="F4" s="3">
        <v>67702</v>
      </c>
      <c r="G4" s="3">
        <v>20011</v>
      </c>
      <c r="H4" s="12"/>
      <c r="I4" s="3">
        <v>46707</v>
      </c>
      <c r="J4" s="4">
        <v>51633921</v>
      </c>
      <c r="K4" s="4">
        <v>218552</v>
      </c>
      <c r="L4" s="22"/>
      <c r="M4" s="3">
        <v>14270</v>
      </c>
      <c r="N4" s="3">
        <v>88</v>
      </c>
      <c r="O4" s="3">
        <v>50</v>
      </c>
      <c r="P4" s="12"/>
      <c r="Q4" s="12"/>
      <c r="R4" s="3">
        <v>50509</v>
      </c>
      <c r="S4" s="4">
        <v>199278</v>
      </c>
      <c r="T4" s="25">
        <v>9886491</v>
      </c>
      <c r="U4" s="4">
        <v>28281</v>
      </c>
      <c r="V4" s="4">
        <v>13117</v>
      </c>
      <c r="W4" s="3"/>
    </row>
    <row r="5" spans="1:23" ht="23.25" customHeight="1" x14ac:dyDescent="0.25">
      <c r="A5" s="2">
        <v>44532</v>
      </c>
      <c r="B5" s="3">
        <v>442425</v>
      </c>
      <c r="C5" s="3">
        <v>28408556</v>
      </c>
      <c r="D5" s="11">
        <v>7659881</v>
      </c>
      <c r="E5" s="19"/>
      <c r="F5" s="3">
        <v>67795</v>
      </c>
      <c r="G5" s="3">
        <v>20017</v>
      </c>
      <c r="H5" s="12"/>
      <c r="I5" s="3">
        <v>46762</v>
      </c>
      <c r="J5" s="3">
        <v>51638479</v>
      </c>
      <c r="K5" s="3">
        <v>218654</v>
      </c>
      <c r="L5" s="12"/>
      <c r="M5" s="3">
        <v>14720</v>
      </c>
      <c r="N5" s="3">
        <v>98</v>
      </c>
      <c r="O5" s="3">
        <v>52</v>
      </c>
      <c r="P5" s="12"/>
      <c r="Q5" s="12"/>
      <c r="R5" s="3">
        <v>50509</v>
      </c>
      <c r="S5" s="3">
        <v>199439</v>
      </c>
      <c r="T5" s="3">
        <v>989343</v>
      </c>
      <c r="U5" s="3">
        <v>28291</v>
      </c>
      <c r="V5" s="3">
        <v>3893</v>
      </c>
      <c r="W5" s="3"/>
    </row>
    <row r="6" spans="1:23" ht="24" customHeight="1" x14ac:dyDescent="0.25">
      <c r="A6" s="2">
        <v>44533</v>
      </c>
      <c r="B6" s="10">
        <v>446912</v>
      </c>
      <c r="C6" s="3">
        <v>28418226</v>
      </c>
      <c r="D6" s="11">
        <v>7663450</v>
      </c>
      <c r="E6" s="19"/>
      <c r="F6" s="3">
        <v>67905</v>
      </c>
      <c r="G6" s="3">
        <v>20024</v>
      </c>
      <c r="H6" s="12"/>
      <c r="I6" s="3">
        <v>46828</v>
      </c>
      <c r="J6" s="3">
        <v>51643882</v>
      </c>
      <c r="K6" s="3">
        <v>218751</v>
      </c>
      <c r="L6" s="12"/>
      <c r="M6" s="5">
        <v>15103</v>
      </c>
      <c r="N6" s="3">
        <v>106</v>
      </c>
      <c r="O6" s="3">
        <v>53</v>
      </c>
      <c r="P6" s="12"/>
      <c r="Q6" s="12"/>
      <c r="R6" s="3">
        <v>50509</v>
      </c>
      <c r="S6" s="3">
        <v>199598</v>
      </c>
      <c r="T6" s="3">
        <v>9901446</v>
      </c>
      <c r="U6" s="3">
        <v>28293</v>
      </c>
      <c r="V6" s="3">
        <v>4657</v>
      </c>
      <c r="W6" s="3"/>
    </row>
    <row r="7" spans="1:23" ht="24" customHeight="1" x14ac:dyDescent="0.25">
      <c r="A7" s="2">
        <v>44534</v>
      </c>
      <c r="B7" s="3">
        <v>451447</v>
      </c>
      <c r="C7" s="3">
        <v>28427645</v>
      </c>
      <c r="D7" s="3">
        <v>7667095</v>
      </c>
      <c r="E7" s="12"/>
      <c r="F7" s="3">
        <v>68017</v>
      </c>
      <c r="G7" s="3">
        <v>20029</v>
      </c>
      <c r="H7" s="12"/>
      <c r="I7" s="6">
        <v>461885</v>
      </c>
      <c r="J7" s="6">
        <v>51648529</v>
      </c>
      <c r="K7" s="4">
        <v>218849</v>
      </c>
      <c r="L7" s="22"/>
      <c r="M7" s="4">
        <v>15614</v>
      </c>
      <c r="N7" s="4">
        <v>118</v>
      </c>
      <c r="O7" s="4">
        <v>54</v>
      </c>
      <c r="P7" s="12"/>
      <c r="Q7" s="13"/>
      <c r="R7" s="6">
        <v>50509</v>
      </c>
      <c r="S7" s="6">
        <v>199762</v>
      </c>
      <c r="T7" s="6">
        <v>9912339</v>
      </c>
      <c r="U7" s="6">
        <v>28298</v>
      </c>
      <c r="V7" s="4">
        <v>5555</v>
      </c>
      <c r="W7" s="3"/>
    </row>
    <row r="8" spans="1:23" ht="24" customHeight="1" x14ac:dyDescent="0.25">
      <c r="A8" s="2">
        <v>44535</v>
      </c>
      <c r="B8" s="3">
        <v>456035</v>
      </c>
      <c r="C8" s="3">
        <v>28436949</v>
      </c>
      <c r="D8" s="3">
        <v>7670748</v>
      </c>
      <c r="E8" s="12"/>
      <c r="F8" s="3">
        <v>68135</v>
      </c>
      <c r="G8" s="4">
        <v>20034</v>
      </c>
      <c r="H8" s="22"/>
      <c r="I8" s="6">
        <v>46945</v>
      </c>
      <c r="J8" s="6">
        <v>51653639</v>
      </c>
      <c r="K8" s="4">
        <v>218946</v>
      </c>
      <c r="L8" s="22"/>
      <c r="M8" s="4">
        <v>16048</v>
      </c>
      <c r="N8" s="4">
        <v>124</v>
      </c>
      <c r="O8" s="4">
        <v>56</v>
      </c>
      <c r="P8" s="14"/>
      <c r="Q8" s="14"/>
      <c r="R8" s="6">
        <v>50509</v>
      </c>
      <c r="S8" s="6">
        <v>199924</v>
      </c>
      <c r="T8" s="6">
        <v>9922339</v>
      </c>
      <c r="U8" s="6">
        <v>28304</v>
      </c>
      <c r="V8" s="4">
        <v>6413</v>
      </c>
      <c r="W8" s="3"/>
    </row>
    <row r="9" spans="1:23" ht="22.5" customHeight="1" x14ac:dyDescent="0.25">
      <c r="A9" s="2">
        <v>44536</v>
      </c>
      <c r="B9" s="6">
        <v>460478</v>
      </c>
      <c r="C9" s="3">
        <v>28446317</v>
      </c>
      <c r="D9" s="3">
        <v>7674324</v>
      </c>
      <c r="E9" s="12"/>
      <c r="F9" s="3">
        <v>68229</v>
      </c>
      <c r="G9" s="4">
        <v>20039</v>
      </c>
      <c r="H9" s="22"/>
      <c r="I9" s="6">
        <v>46997</v>
      </c>
      <c r="J9" s="6">
        <v>51658213</v>
      </c>
      <c r="K9" s="4">
        <v>219044</v>
      </c>
      <c r="L9" s="22"/>
      <c r="M9" s="4">
        <v>16475</v>
      </c>
      <c r="N9" s="4">
        <v>127</v>
      </c>
      <c r="O9" s="4">
        <v>58</v>
      </c>
      <c r="P9" s="14"/>
      <c r="Q9" s="14"/>
      <c r="R9" s="6">
        <v>50509</v>
      </c>
      <c r="S9" s="6">
        <v>200083</v>
      </c>
      <c r="T9" s="6">
        <v>9930721</v>
      </c>
      <c r="U9" s="6">
        <v>28306</v>
      </c>
      <c r="V9" s="4">
        <v>7316</v>
      </c>
      <c r="W9" s="3"/>
    </row>
    <row r="10" spans="1:23" ht="22.5" customHeight="1" x14ac:dyDescent="0.25">
      <c r="A10" s="2">
        <v>44537</v>
      </c>
      <c r="B10" s="6">
        <v>464599</v>
      </c>
      <c r="C10" s="3">
        <v>28455740</v>
      </c>
      <c r="D10" s="6">
        <v>7677775</v>
      </c>
      <c r="E10" s="14"/>
      <c r="F10" s="3">
        <v>68324</v>
      </c>
      <c r="G10" s="4">
        <v>20044</v>
      </c>
      <c r="H10" s="22"/>
      <c r="I10" s="3">
        <v>47043</v>
      </c>
      <c r="J10" s="3">
        <v>51663009</v>
      </c>
      <c r="K10" s="4">
        <v>219133</v>
      </c>
      <c r="L10" s="22"/>
      <c r="M10" s="4">
        <v>16928</v>
      </c>
      <c r="N10" s="4">
        <v>129</v>
      </c>
      <c r="O10" s="4">
        <v>59</v>
      </c>
      <c r="P10" s="14"/>
      <c r="Q10" s="14"/>
      <c r="R10" s="3">
        <v>50509</v>
      </c>
      <c r="S10" s="3">
        <v>200231</v>
      </c>
      <c r="T10" s="3">
        <v>9937061</v>
      </c>
      <c r="U10" s="3">
        <v>28307</v>
      </c>
      <c r="V10" s="4">
        <v>8825</v>
      </c>
      <c r="W10" s="3"/>
    </row>
    <row r="11" spans="1:23" ht="23.25" customHeight="1" x14ac:dyDescent="0.25">
      <c r="A11" s="2">
        <v>44538</v>
      </c>
      <c r="B11" s="6">
        <v>468842</v>
      </c>
      <c r="C11" s="3">
        <v>28465228</v>
      </c>
      <c r="D11" s="3">
        <v>7681250</v>
      </c>
      <c r="E11" s="12"/>
      <c r="F11" s="3">
        <v>68408</v>
      </c>
      <c r="G11" s="3">
        <v>20050</v>
      </c>
      <c r="H11" s="12"/>
      <c r="I11" s="3">
        <v>47086</v>
      </c>
      <c r="J11" s="3">
        <v>51666716</v>
      </c>
      <c r="K11" s="3">
        <v>219253</v>
      </c>
      <c r="L11" s="12"/>
      <c r="M11" s="3">
        <v>17383</v>
      </c>
      <c r="N11" s="3">
        <v>131</v>
      </c>
      <c r="O11" s="3">
        <v>60</v>
      </c>
      <c r="P11" s="12"/>
      <c r="Q11" s="12"/>
      <c r="R11" s="3">
        <v>50509</v>
      </c>
      <c r="S11" s="3">
        <v>200359</v>
      </c>
      <c r="T11" s="3">
        <v>9943192</v>
      </c>
      <c r="U11" s="3">
        <v>28309</v>
      </c>
      <c r="V11" s="3">
        <v>8757</v>
      </c>
      <c r="W11" s="3"/>
    </row>
    <row r="12" spans="1:23" ht="21.75" customHeight="1" x14ac:dyDescent="0.25">
      <c r="A12" s="2">
        <v>44539</v>
      </c>
      <c r="B12" s="3">
        <v>473406</v>
      </c>
      <c r="C12" s="3">
        <v>28475087</v>
      </c>
      <c r="D12" s="3">
        <v>7684944</v>
      </c>
      <c r="E12" s="12"/>
      <c r="F12" s="3">
        <v>68500</v>
      </c>
      <c r="G12" s="3">
        <v>20055</v>
      </c>
      <c r="H12" s="12"/>
      <c r="I12" s="3">
        <v>47149</v>
      </c>
      <c r="J12" s="3">
        <v>51670296</v>
      </c>
      <c r="K12" s="3">
        <v>219373</v>
      </c>
      <c r="L12" s="12"/>
      <c r="M12" s="3">
        <v>17851</v>
      </c>
      <c r="N12" s="3">
        <v>140</v>
      </c>
      <c r="O12" s="5">
        <v>63</v>
      </c>
      <c r="P12" s="15"/>
      <c r="Q12" s="15"/>
      <c r="R12" s="3">
        <v>50509</v>
      </c>
      <c r="S12" s="3">
        <v>200523</v>
      </c>
      <c r="T12" s="3">
        <v>950965</v>
      </c>
      <c r="U12" s="3">
        <v>28312</v>
      </c>
      <c r="V12" s="3">
        <v>9560</v>
      </c>
      <c r="W12" s="3"/>
    </row>
    <row r="13" spans="1:23" ht="21.75" customHeight="1" x14ac:dyDescent="0.25">
      <c r="A13" s="2">
        <v>44540</v>
      </c>
      <c r="B13" s="3">
        <v>478076</v>
      </c>
      <c r="C13" s="3">
        <v>28484763</v>
      </c>
      <c r="D13" s="3">
        <v>7688600</v>
      </c>
      <c r="E13" s="12"/>
      <c r="F13" s="3">
        <v>68603</v>
      </c>
      <c r="G13" s="3">
        <v>20060</v>
      </c>
      <c r="H13" s="12"/>
      <c r="I13" s="3">
        <v>47207</v>
      </c>
      <c r="J13" s="3">
        <v>51673439</v>
      </c>
      <c r="K13" s="3">
        <v>219482</v>
      </c>
      <c r="L13" s="12"/>
      <c r="M13" s="3">
        <v>18329</v>
      </c>
      <c r="N13" s="3">
        <v>161</v>
      </c>
      <c r="O13" s="5">
        <v>66</v>
      </c>
      <c r="P13" s="15"/>
      <c r="Q13" s="15"/>
      <c r="R13" s="3">
        <v>50509</v>
      </c>
      <c r="S13" s="3">
        <v>200660</v>
      </c>
      <c r="T13" s="3">
        <v>9959249</v>
      </c>
      <c r="U13" s="3">
        <v>28315</v>
      </c>
      <c r="V13" s="3">
        <v>20409</v>
      </c>
      <c r="W13" s="3"/>
    </row>
    <row r="14" spans="1:23" ht="22.5" customHeight="1" x14ac:dyDescent="0.25">
      <c r="A14" s="2">
        <v>44541</v>
      </c>
      <c r="B14" s="3">
        <v>482427</v>
      </c>
      <c r="C14" s="3">
        <v>28493803</v>
      </c>
      <c r="D14" s="3">
        <v>7692080</v>
      </c>
      <c r="E14" s="12"/>
      <c r="F14" s="3">
        <v>68707</v>
      </c>
      <c r="G14" s="3">
        <v>20066</v>
      </c>
      <c r="H14" s="12"/>
      <c r="I14" s="3">
        <v>47266</v>
      </c>
      <c r="J14" s="3">
        <v>51676805</v>
      </c>
      <c r="K14" s="4">
        <v>219571</v>
      </c>
      <c r="L14" s="22"/>
      <c r="M14" s="3">
        <v>18770</v>
      </c>
      <c r="N14" s="3">
        <v>191</v>
      </c>
      <c r="O14" s="5">
        <v>76</v>
      </c>
      <c r="P14" s="15"/>
      <c r="Q14" s="15"/>
      <c r="R14" s="3">
        <v>50509</v>
      </c>
      <c r="S14" s="3">
        <v>201021</v>
      </c>
      <c r="T14" s="3">
        <v>9979744</v>
      </c>
      <c r="U14" s="3">
        <v>283327</v>
      </c>
      <c r="V14" s="4">
        <v>8522</v>
      </c>
      <c r="W14" s="3"/>
    </row>
    <row r="15" spans="1:23" ht="22.5" customHeight="1" x14ac:dyDescent="0.25">
      <c r="A15" s="2">
        <v>44542</v>
      </c>
      <c r="B15" s="3">
        <v>486720</v>
      </c>
      <c r="C15" s="3">
        <v>28503365</v>
      </c>
      <c r="D15" s="3">
        <v>7695736</v>
      </c>
      <c r="E15" s="12"/>
      <c r="F15" s="3">
        <v>68820</v>
      </c>
      <c r="G15" s="3">
        <v>20073</v>
      </c>
      <c r="H15" s="12"/>
      <c r="I15" s="3">
        <v>47334</v>
      </c>
      <c r="J15" s="4">
        <v>51681991</v>
      </c>
      <c r="K15" s="3">
        <v>219654</v>
      </c>
      <c r="L15" s="12"/>
      <c r="M15" s="3">
        <v>19242</v>
      </c>
      <c r="N15" s="3">
        <v>177</v>
      </c>
      <c r="O15" s="5">
        <v>89</v>
      </c>
      <c r="P15" s="15"/>
      <c r="Q15" s="15"/>
      <c r="R15" s="3">
        <v>50509</v>
      </c>
      <c r="S15" s="4">
        <v>201165</v>
      </c>
      <c r="T15" s="4">
        <v>9988052</v>
      </c>
      <c r="U15" s="4">
        <v>28329</v>
      </c>
      <c r="V15" s="3">
        <v>8530</v>
      </c>
      <c r="W15" s="3"/>
    </row>
    <row r="16" spans="1:23" ht="21" customHeight="1" x14ac:dyDescent="0.25">
      <c r="A16" s="2">
        <v>44543</v>
      </c>
      <c r="B16" s="3">
        <v>490827</v>
      </c>
      <c r="C16" s="3">
        <v>28512373</v>
      </c>
      <c r="D16" s="3">
        <v>7699264</v>
      </c>
      <c r="E16" s="12"/>
      <c r="F16" s="3">
        <v>68907</v>
      </c>
      <c r="G16" s="3">
        <v>20078</v>
      </c>
      <c r="H16" s="12"/>
      <c r="I16" s="3">
        <v>47384</v>
      </c>
      <c r="J16" s="3">
        <v>51685699</v>
      </c>
      <c r="K16" s="4">
        <v>2197151</v>
      </c>
      <c r="L16" s="22"/>
      <c r="M16" s="3">
        <v>19705</v>
      </c>
      <c r="N16" s="3">
        <v>194</v>
      </c>
      <c r="O16" s="5">
        <v>102</v>
      </c>
      <c r="P16" s="15"/>
      <c r="Q16" s="15"/>
      <c r="R16" s="3"/>
      <c r="S16" s="3"/>
      <c r="T16" s="3"/>
      <c r="U16" s="3"/>
      <c r="V16" s="4"/>
      <c r="W16" s="3"/>
    </row>
    <row r="17" spans="1:23" ht="19.5" customHeight="1" x14ac:dyDescent="0.25">
      <c r="A17" s="2">
        <v>44544</v>
      </c>
      <c r="B17" s="3">
        <v>495114</v>
      </c>
      <c r="C17" s="3">
        <v>28522037</v>
      </c>
      <c r="D17" s="3">
        <v>7702807</v>
      </c>
      <c r="E17" s="12"/>
      <c r="F17" s="3">
        <v>69000</v>
      </c>
      <c r="G17" s="3">
        <v>20083</v>
      </c>
      <c r="H17" s="12"/>
      <c r="I17" s="3">
        <v>47444</v>
      </c>
      <c r="J17" s="4">
        <v>51689877</v>
      </c>
      <c r="K17" s="3">
        <v>219842</v>
      </c>
      <c r="L17" s="12"/>
      <c r="M17" s="3">
        <v>20187</v>
      </c>
      <c r="N17" s="3">
        <v>212</v>
      </c>
      <c r="O17" s="5">
        <v>116</v>
      </c>
      <c r="P17" s="15"/>
      <c r="Q17" s="15"/>
      <c r="R17" s="3">
        <v>50509</v>
      </c>
      <c r="S17" s="4">
        <v>201324</v>
      </c>
      <c r="T17" s="4">
        <v>9994974</v>
      </c>
      <c r="U17" s="4">
        <v>28337</v>
      </c>
      <c r="V17" s="3">
        <v>8537</v>
      </c>
      <c r="W17" s="3"/>
    </row>
    <row r="18" spans="1:23" ht="19.5" customHeight="1" x14ac:dyDescent="0.25">
      <c r="A18" s="2">
        <v>44545</v>
      </c>
      <c r="B18" s="3">
        <v>499084</v>
      </c>
      <c r="C18" s="3">
        <v>28531328</v>
      </c>
      <c r="D18" s="3">
        <v>7706249</v>
      </c>
      <c r="E18" s="12"/>
      <c r="F18" s="3">
        <v>69086</v>
      </c>
      <c r="G18" s="3">
        <v>20089</v>
      </c>
      <c r="H18" s="12"/>
      <c r="I18" s="3">
        <v>47497</v>
      </c>
      <c r="J18" s="3">
        <v>51694372</v>
      </c>
      <c r="K18" s="3">
        <v>219922</v>
      </c>
      <c r="L18" s="12"/>
      <c r="M18" s="3">
        <v>20651</v>
      </c>
      <c r="N18" s="3">
        <v>232</v>
      </c>
      <c r="O18" s="5">
        <v>127</v>
      </c>
      <c r="P18" s="15"/>
      <c r="Q18" s="15"/>
      <c r="R18" s="3">
        <v>50509</v>
      </c>
      <c r="S18" s="3">
        <v>201452</v>
      </c>
      <c r="T18" s="3">
        <v>10001290</v>
      </c>
      <c r="U18" s="3">
        <v>28333</v>
      </c>
      <c r="V18" s="3">
        <v>4472</v>
      </c>
      <c r="W18" s="3"/>
    </row>
    <row r="19" spans="1:23" ht="24" customHeight="1" x14ac:dyDescent="0.25">
      <c r="A19" s="2">
        <v>44546</v>
      </c>
      <c r="B19" s="3">
        <v>503421</v>
      </c>
      <c r="C19" s="3">
        <v>28541284</v>
      </c>
      <c r="D19" s="3">
        <v>7709850</v>
      </c>
      <c r="E19" s="12"/>
      <c r="F19" s="3">
        <v>69187</v>
      </c>
      <c r="G19" s="3">
        <v>20096</v>
      </c>
      <c r="H19" s="12"/>
      <c r="I19" s="3">
        <v>47569</v>
      </c>
      <c r="J19" s="3">
        <v>51699228</v>
      </c>
      <c r="K19" s="3">
        <v>220006</v>
      </c>
      <c r="L19" s="12"/>
      <c r="M19" s="3">
        <v>21140</v>
      </c>
      <c r="N19" s="4">
        <v>250</v>
      </c>
      <c r="O19" s="7">
        <v>141</v>
      </c>
      <c r="P19" s="15"/>
      <c r="Q19" s="15"/>
      <c r="R19" s="3">
        <v>50509</v>
      </c>
      <c r="S19" s="3">
        <v>201598</v>
      </c>
      <c r="T19" s="3">
        <v>10008951</v>
      </c>
      <c r="U19" s="3">
        <v>28335</v>
      </c>
      <c r="V19" s="3">
        <v>5273</v>
      </c>
      <c r="W19" s="3"/>
    </row>
    <row r="20" spans="1:23" ht="20.25" customHeight="1" x14ac:dyDescent="0.25">
      <c r="A20" s="2">
        <v>44547</v>
      </c>
      <c r="B20" s="3">
        <v>507279</v>
      </c>
      <c r="C20" s="3">
        <v>28551121</v>
      </c>
      <c r="D20" s="3">
        <v>7713427</v>
      </c>
      <c r="E20" s="12"/>
      <c r="F20" s="3">
        <v>69293</v>
      </c>
      <c r="G20" s="3">
        <v>20102</v>
      </c>
      <c r="H20" s="12"/>
      <c r="I20" s="3">
        <v>47622</v>
      </c>
      <c r="J20" s="3">
        <v>51704869</v>
      </c>
      <c r="K20" s="3">
        <v>220071</v>
      </c>
      <c r="L20" s="12"/>
      <c r="M20" s="3">
        <v>21618</v>
      </c>
      <c r="N20" s="3">
        <v>267</v>
      </c>
      <c r="O20" s="5">
        <v>154</v>
      </c>
      <c r="P20" s="15"/>
      <c r="Q20" s="15"/>
      <c r="R20" s="3">
        <v>50509</v>
      </c>
      <c r="S20" s="3">
        <v>201784</v>
      </c>
      <c r="T20" s="3">
        <v>10019849</v>
      </c>
      <c r="U20" s="3">
        <v>28339</v>
      </c>
      <c r="V20" s="3">
        <v>6055</v>
      </c>
      <c r="W20" s="3"/>
    </row>
    <row r="21" spans="1:23" ht="21" customHeight="1" x14ac:dyDescent="0.25">
      <c r="A21" s="2">
        <v>44548</v>
      </c>
      <c r="B21" s="3">
        <v>511124</v>
      </c>
      <c r="C21" s="3">
        <v>28560382</v>
      </c>
      <c r="D21" s="3">
        <v>7716933</v>
      </c>
      <c r="E21" s="12"/>
      <c r="F21" s="3">
        <v>69405</v>
      </c>
      <c r="G21" s="3">
        <v>20106</v>
      </c>
      <c r="H21" s="12"/>
      <c r="I21" s="5">
        <v>47673</v>
      </c>
      <c r="J21" s="3">
        <v>51709734</v>
      </c>
      <c r="K21" s="3">
        <v>220144</v>
      </c>
      <c r="L21" s="12"/>
      <c r="M21" s="3">
        <v>22068</v>
      </c>
      <c r="N21" s="3">
        <v>283</v>
      </c>
      <c r="O21" s="5">
        <v>163</v>
      </c>
      <c r="P21" s="15"/>
      <c r="Q21" s="15"/>
      <c r="R21" s="5">
        <v>50509</v>
      </c>
      <c r="S21" s="3">
        <v>201953</v>
      </c>
      <c r="T21" s="3">
        <v>10028277</v>
      </c>
      <c r="U21" s="3">
        <v>28344</v>
      </c>
      <c r="V21" s="3">
        <v>6901</v>
      </c>
      <c r="W21" s="3"/>
    </row>
    <row r="22" spans="1:23" ht="18.75" customHeight="1" x14ac:dyDescent="0.25">
      <c r="A22" s="2">
        <v>44549</v>
      </c>
      <c r="B22" s="3">
        <v>515301</v>
      </c>
      <c r="C22" s="3">
        <v>28569436</v>
      </c>
      <c r="D22" s="3">
        <v>7720509</v>
      </c>
      <c r="E22" s="12"/>
      <c r="F22" s="3">
        <v>69578</v>
      </c>
      <c r="G22" s="3">
        <v>20111</v>
      </c>
      <c r="H22" s="12"/>
      <c r="I22" s="3">
        <v>47732</v>
      </c>
      <c r="J22" s="4">
        <v>51714171</v>
      </c>
      <c r="K22" s="3">
        <v>220232</v>
      </c>
      <c r="L22" s="12"/>
      <c r="M22" s="3">
        <v>22525</v>
      </c>
      <c r="N22" s="3">
        <v>303</v>
      </c>
      <c r="O22" s="5">
        <v>174</v>
      </c>
      <c r="P22" s="15"/>
      <c r="Q22" s="15"/>
      <c r="R22" s="3">
        <v>50509</v>
      </c>
      <c r="S22" s="4">
        <v>202138</v>
      </c>
      <c r="T22" s="4"/>
      <c r="U22" s="4">
        <v>28351</v>
      </c>
      <c r="V22" s="3">
        <v>7834</v>
      </c>
      <c r="W22" s="3"/>
    </row>
    <row r="23" spans="1:23" ht="21" customHeight="1" x14ac:dyDescent="0.25">
      <c r="A23" s="2">
        <v>44550</v>
      </c>
      <c r="B23" s="3">
        <v>519238</v>
      </c>
      <c r="C23" s="3">
        <v>28578339</v>
      </c>
      <c r="D23" s="3">
        <v>7724093</v>
      </c>
      <c r="E23" s="12"/>
      <c r="F23" s="3">
        <v>69616</v>
      </c>
      <c r="G23" s="3">
        <v>20116</v>
      </c>
      <c r="H23" s="12"/>
      <c r="I23" s="3">
        <v>47784</v>
      </c>
      <c r="J23" s="4">
        <v>51718011</v>
      </c>
      <c r="K23" s="3">
        <v>220345</v>
      </c>
      <c r="L23" s="12"/>
      <c r="M23" s="3">
        <v>22988</v>
      </c>
      <c r="N23" s="3">
        <v>322</v>
      </c>
      <c r="O23" s="5">
        <v>188</v>
      </c>
      <c r="P23" s="15"/>
      <c r="Q23" s="15"/>
      <c r="R23" s="3">
        <v>50509</v>
      </c>
      <c r="S23" s="4">
        <v>202307</v>
      </c>
      <c r="T23" s="4">
        <v>10041383</v>
      </c>
      <c r="U23" s="4">
        <v>28353</v>
      </c>
      <c r="V23" s="3">
        <v>8587</v>
      </c>
      <c r="W23" s="3"/>
    </row>
    <row r="24" spans="1:23" ht="22.5" customHeight="1" x14ac:dyDescent="0.25">
      <c r="A24" s="2">
        <v>44551</v>
      </c>
      <c r="B24" s="3">
        <v>523334</v>
      </c>
      <c r="C24" s="3">
        <v>28587494</v>
      </c>
      <c r="D24" s="3">
        <v>7727526</v>
      </c>
      <c r="E24" s="12"/>
      <c r="F24" s="3">
        <v>69707</v>
      </c>
      <c r="G24" s="3">
        <v>20121</v>
      </c>
      <c r="H24" s="12"/>
      <c r="I24" s="3">
        <v>47827</v>
      </c>
      <c r="J24" s="4">
        <v>51721870</v>
      </c>
      <c r="K24" s="3">
        <v>220457</v>
      </c>
      <c r="L24" s="12"/>
      <c r="M24" s="3">
        <v>23448</v>
      </c>
      <c r="N24" s="3">
        <v>341</v>
      </c>
      <c r="O24" s="5">
        <v>202</v>
      </c>
      <c r="P24" s="15"/>
      <c r="Q24" s="15"/>
      <c r="R24" s="3">
        <v>50509</v>
      </c>
      <c r="S24" s="4">
        <v>202447</v>
      </c>
      <c r="T24" s="4">
        <v>10054134</v>
      </c>
      <c r="U24" s="4">
        <v>28355</v>
      </c>
      <c r="V24" s="3">
        <v>8595</v>
      </c>
      <c r="W24" s="3"/>
    </row>
    <row r="25" spans="1:23" ht="22.5" customHeight="1" x14ac:dyDescent="0.25">
      <c r="A25" s="2">
        <v>44552</v>
      </c>
      <c r="B25" s="3">
        <v>527447</v>
      </c>
      <c r="C25" s="3">
        <v>28596673</v>
      </c>
      <c r="D25" s="3">
        <v>7730991</v>
      </c>
      <c r="E25" s="12"/>
      <c r="F25" s="3">
        <v>69792</v>
      </c>
      <c r="G25" s="3">
        <v>20126</v>
      </c>
      <c r="H25" s="12"/>
      <c r="I25" s="3">
        <v>47884</v>
      </c>
      <c r="J25" s="3">
        <v>51725341</v>
      </c>
      <c r="K25" s="3">
        <v>220568</v>
      </c>
      <c r="L25" s="12"/>
      <c r="M25" s="8">
        <v>23921</v>
      </c>
      <c r="N25" s="3">
        <v>360</v>
      </c>
      <c r="O25" s="5">
        <v>215</v>
      </c>
      <c r="P25" s="15"/>
      <c r="Q25" s="15"/>
      <c r="R25" s="3"/>
      <c r="S25" s="3"/>
      <c r="T25" s="3"/>
      <c r="U25" s="3"/>
      <c r="V25" s="3"/>
      <c r="W25" s="3"/>
    </row>
    <row r="26" spans="1:23" ht="22.5" customHeight="1" x14ac:dyDescent="0.25">
      <c r="A26" s="2">
        <v>44553</v>
      </c>
      <c r="B26" s="3">
        <v>531643</v>
      </c>
      <c r="C26" s="3">
        <v>28605993</v>
      </c>
      <c r="D26" s="3">
        <v>7734331</v>
      </c>
      <c r="E26" s="12"/>
      <c r="F26" s="3">
        <v>69879</v>
      </c>
      <c r="G26" s="3">
        <v>20132</v>
      </c>
      <c r="H26" s="12"/>
      <c r="I26" s="3">
        <v>47961</v>
      </c>
      <c r="J26" s="4">
        <v>51728997</v>
      </c>
      <c r="K26" s="3">
        <v>220677</v>
      </c>
      <c r="L26" s="12"/>
      <c r="M26" s="3">
        <v>24390</v>
      </c>
      <c r="N26" s="3">
        <v>377</v>
      </c>
      <c r="O26" s="5">
        <v>227</v>
      </c>
      <c r="P26" s="15"/>
      <c r="Q26" s="15"/>
      <c r="R26" s="3">
        <v>50509</v>
      </c>
      <c r="S26" s="4">
        <v>202710</v>
      </c>
      <c r="T26" s="4">
        <v>10068440</v>
      </c>
      <c r="U26" s="4">
        <v>28359</v>
      </c>
      <c r="V26" s="3">
        <v>21063</v>
      </c>
      <c r="W26" s="3"/>
    </row>
    <row r="27" spans="1:23" ht="21" customHeight="1" x14ac:dyDescent="0.25">
      <c r="A27" s="2">
        <v>44554</v>
      </c>
      <c r="B27" s="3">
        <v>535940</v>
      </c>
      <c r="C27" s="3">
        <v>28615456</v>
      </c>
      <c r="D27" s="3">
        <v>7737848</v>
      </c>
      <c r="E27" s="12"/>
      <c r="F27" s="3">
        <v>69974</v>
      </c>
      <c r="G27" s="3">
        <v>20138</v>
      </c>
      <c r="H27" s="12"/>
      <c r="I27" s="3">
        <v>48016</v>
      </c>
      <c r="J27" s="3">
        <v>51732760</v>
      </c>
      <c r="K27" s="3">
        <v>220788</v>
      </c>
      <c r="L27" s="12"/>
      <c r="M27" s="3">
        <v>24856</v>
      </c>
      <c r="N27" s="3">
        <v>175</v>
      </c>
      <c r="O27" s="5">
        <v>227</v>
      </c>
      <c r="P27" s="15"/>
      <c r="Q27" s="15"/>
      <c r="R27" s="3">
        <v>50509</v>
      </c>
      <c r="S27" s="3">
        <v>202865</v>
      </c>
      <c r="T27" s="3">
        <v>10076464</v>
      </c>
      <c r="U27" s="3">
        <v>28361</v>
      </c>
      <c r="V27" s="3">
        <v>1894</v>
      </c>
      <c r="W27" s="3"/>
    </row>
    <row r="28" spans="1:23" ht="22.5" customHeight="1" x14ac:dyDescent="0.25">
      <c r="A28" s="2">
        <v>44555</v>
      </c>
      <c r="B28" s="3">
        <v>539903</v>
      </c>
      <c r="C28" s="3">
        <v>28624396</v>
      </c>
      <c r="D28" s="3">
        <v>7741207</v>
      </c>
      <c r="E28" s="12"/>
      <c r="F28" s="3">
        <v>70068</v>
      </c>
      <c r="G28" s="3">
        <v>20143</v>
      </c>
      <c r="H28" s="12"/>
      <c r="I28" s="3">
        <v>48064</v>
      </c>
      <c r="J28" s="3">
        <v>51736649</v>
      </c>
      <c r="K28" s="3">
        <v>220880</v>
      </c>
      <c r="L28" s="12"/>
      <c r="M28" s="3">
        <v>25310</v>
      </c>
      <c r="N28" s="3">
        <v>413</v>
      </c>
      <c r="O28" s="5">
        <v>253</v>
      </c>
      <c r="P28" s="15"/>
      <c r="Q28" s="15"/>
      <c r="R28" s="3">
        <v>50509</v>
      </c>
      <c r="S28" s="3">
        <v>203011</v>
      </c>
      <c r="T28" s="3">
        <v>10083897</v>
      </c>
      <c r="U28" s="3">
        <v>28363</v>
      </c>
      <c r="V28" s="3">
        <v>2696</v>
      </c>
      <c r="W28" s="3"/>
    </row>
    <row r="29" spans="1:23" ht="21" customHeight="1" x14ac:dyDescent="0.25">
      <c r="A29" s="2">
        <v>44556</v>
      </c>
      <c r="B29" s="3">
        <v>543594</v>
      </c>
      <c r="C29" s="3">
        <v>28633102</v>
      </c>
      <c r="D29" s="3">
        <v>7744283</v>
      </c>
      <c r="E29" s="12"/>
      <c r="F29" s="3">
        <v>70128</v>
      </c>
      <c r="G29" s="3">
        <v>20148</v>
      </c>
      <c r="H29" s="12"/>
      <c r="I29" s="3">
        <v>48103</v>
      </c>
      <c r="J29" s="4">
        <v>51741091</v>
      </c>
      <c r="K29" s="3">
        <v>220949</v>
      </c>
      <c r="L29" s="12"/>
      <c r="M29" s="3">
        <v>25759</v>
      </c>
      <c r="N29" s="3">
        <v>429</v>
      </c>
      <c r="O29" s="5">
        <v>264</v>
      </c>
      <c r="P29" s="15"/>
      <c r="Q29" s="15"/>
      <c r="R29" s="3">
        <v>50509</v>
      </c>
      <c r="S29" s="4">
        <v>203115</v>
      </c>
      <c r="T29" s="4">
        <v>10085187</v>
      </c>
      <c r="U29" s="4">
        <v>28363</v>
      </c>
      <c r="V29" s="3">
        <v>3312</v>
      </c>
      <c r="W29" s="3"/>
    </row>
    <row r="30" spans="1:23" ht="22.5" customHeight="1" x14ac:dyDescent="0.25">
      <c r="A30" s="2">
        <v>44557</v>
      </c>
      <c r="B30" s="3">
        <v>547331</v>
      </c>
      <c r="C30" s="3">
        <v>28642154</v>
      </c>
      <c r="D30" s="3">
        <v>7747855</v>
      </c>
      <c r="E30" s="12"/>
      <c r="F30" s="3">
        <v>70174</v>
      </c>
      <c r="G30" s="3">
        <v>20153</v>
      </c>
      <c r="H30" s="12"/>
      <c r="I30" s="3">
        <v>48149</v>
      </c>
      <c r="J30" s="4">
        <v>51745715</v>
      </c>
      <c r="K30" s="3">
        <v>221030</v>
      </c>
      <c r="L30" s="12"/>
      <c r="M30" s="3">
        <v>26228</v>
      </c>
      <c r="N30" s="3">
        <v>446</v>
      </c>
      <c r="O30" s="5">
        <v>276</v>
      </c>
      <c r="P30" s="15"/>
      <c r="Q30" s="15"/>
      <c r="R30" s="3">
        <v>50509</v>
      </c>
      <c r="S30" s="4">
        <v>203268</v>
      </c>
      <c r="T30" s="4">
        <v>10092424</v>
      </c>
      <c r="U30" s="4">
        <v>28365</v>
      </c>
      <c r="V30" s="3">
        <v>4182</v>
      </c>
      <c r="W30" s="3"/>
    </row>
    <row r="31" spans="1:23" ht="23.25" customHeight="1" x14ac:dyDescent="0.25">
      <c r="A31" s="2">
        <v>44558</v>
      </c>
      <c r="B31" s="3">
        <v>551386</v>
      </c>
      <c r="C31" s="3">
        <v>28651262</v>
      </c>
      <c r="D31" s="3">
        <v>7751284</v>
      </c>
      <c r="E31" s="12"/>
      <c r="F31" s="3">
        <v>70218</v>
      </c>
      <c r="G31" s="3">
        <v>20159</v>
      </c>
      <c r="H31" s="12"/>
      <c r="I31" s="3">
        <v>48197</v>
      </c>
      <c r="J31" s="4">
        <v>51749351</v>
      </c>
      <c r="K31" s="3">
        <v>221135</v>
      </c>
      <c r="L31" s="12"/>
      <c r="M31" s="3">
        <v>26692</v>
      </c>
      <c r="N31" s="3">
        <v>464</v>
      </c>
      <c r="O31" s="5">
        <v>288</v>
      </c>
      <c r="P31" s="15"/>
      <c r="Q31" s="15"/>
      <c r="R31" s="3">
        <v>50509</v>
      </c>
      <c r="S31" s="4">
        <v>203436</v>
      </c>
      <c r="T31" s="4">
        <v>10100143</v>
      </c>
      <c r="U31" s="4">
        <v>28367</v>
      </c>
      <c r="V31" s="3">
        <v>5085</v>
      </c>
      <c r="W31" s="3"/>
    </row>
    <row r="32" spans="1:23" ht="23.25" customHeight="1" x14ac:dyDescent="0.25">
      <c r="A32" s="2">
        <v>44559</v>
      </c>
      <c r="B32" s="3">
        <v>555178</v>
      </c>
      <c r="C32" s="3">
        <v>28660196</v>
      </c>
      <c r="D32" s="3">
        <v>7754732</v>
      </c>
      <c r="E32" s="12"/>
      <c r="F32" s="3">
        <v>70274</v>
      </c>
      <c r="G32" s="3">
        <v>20163</v>
      </c>
      <c r="H32" s="12"/>
      <c r="I32" s="3">
        <v>48242</v>
      </c>
      <c r="J32" s="3">
        <v>51753273</v>
      </c>
      <c r="K32" s="3">
        <v>221224</v>
      </c>
      <c r="L32" s="12"/>
      <c r="M32" s="3">
        <v>27160</v>
      </c>
      <c r="N32" s="3">
        <v>482</v>
      </c>
      <c r="O32" s="5">
        <v>301</v>
      </c>
      <c r="P32" s="15"/>
      <c r="Q32" s="15"/>
      <c r="R32" s="3">
        <v>50509</v>
      </c>
      <c r="S32" s="3">
        <v>203585</v>
      </c>
      <c r="T32" s="3">
        <v>10107776</v>
      </c>
      <c r="U32" s="3">
        <v>28369</v>
      </c>
      <c r="V32" s="3">
        <v>5915</v>
      </c>
      <c r="W32" s="3"/>
    </row>
    <row r="33" spans="1:23" ht="21.75" customHeight="1" x14ac:dyDescent="0.25">
      <c r="A33" s="2">
        <v>44560</v>
      </c>
      <c r="B33" s="24">
        <v>558749</v>
      </c>
      <c r="C33" s="3">
        <v>28668151</v>
      </c>
      <c r="D33" s="24">
        <v>775772</v>
      </c>
      <c r="E33" s="12"/>
      <c r="F33" s="3">
        <v>70364</v>
      </c>
      <c r="G33" s="3">
        <v>20168</v>
      </c>
      <c r="H33" s="12"/>
      <c r="I33" s="3">
        <v>48284</v>
      </c>
      <c r="J33" s="3">
        <v>51756788</v>
      </c>
      <c r="K33" s="3">
        <v>221300</v>
      </c>
      <c r="L33" s="12"/>
      <c r="M33" s="3">
        <v>27550</v>
      </c>
      <c r="N33" s="3">
        <v>182</v>
      </c>
      <c r="O33" s="5">
        <v>295</v>
      </c>
      <c r="P33" s="15"/>
      <c r="Q33" s="15"/>
      <c r="R33" s="3">
        <v>50509</v>
      </c>
      <c r="S33" s="3">
        <v>203723</v>
      </c>
      <c r="T33" s="3">
        <v>10115062</v>
      </c>
      <c r="U33" s="3">
        <v>28371</v>
      </c>
      <c r="V33" s="3">
        <v>6641</v>
      </c>
      <c r="W33" s="3"/>
    </row>
    <row r="34" spans="1:23" ht="21" customHeight="1" x14ac:dyDescent="0.25">
      <c r="A34" s="2">
        <v>44561</v>
      </c>
      <c r="B34" s="3">
        <v>563461</v>
      </c>
      <c r="C34" s="3">
        <v>28678528</v>
      </c>
      <c r="D34" s="3">
        <v>7761705</v>
      </c>
      <c r="E34" s="12"/>
      <c r="F34" s="3">
        <v>70475</v>
      </c>
      <c r="G34" s="3">
        <v>20174</v>
      </c>
      <c r="H34" s="12"/>
      <c r="I34" s="3">
        <v>48342</v>
      </c>
      <c r="J34" s="3">
        <v>51761640</v>
      </c>
      <c r="K34" s="3">
        <v>221392</v>
      </c>
      <c r="L34" s="12"/>
      <c r="M34" s="3">
        <v>28023</v>
      </c>
      <c r="N34" s="3">
        <v>516</v>
      </c>
      <c r="O34" s="5">
        <v>325</v>
      </c>
      <c r="P34" s="15"/>
      <c r="Q34" s="15"/>
      <c r="R34" s="3">
        <v>50509</v>
      </c>
      <c r="S34" s="3">
        <v>203883</v>
      </c>
      <c r="T34" s="3">
        <v>10124018</v>
      </c>
      <c r="U34" s="3">
        <v>28375</v>
      </c>
      <c r="V34" s="3">
        <v>27459</v>
      </c>
      <c r="W34" s="3"/>
    </row>
    <row r="35" spans="1:23" ht="19.5" customHeight="1" x14ac:dyDescent="0.25">
      <c r="A35" s="2"/>
      <c r="B35" s="9"/>
      <c r="C35" s="9"/>
      <c r="D35" s="9"/>
      <c r="E35" s="16"/>
      <c r="F35" s="9"/>
      <c r="G35" s="9"/>
      <c r="H35" s="16"/>
      <c r="I35" s="9"/>
      <c r="J35" s="9"/>
      <c r="K35" s="9"/>
      <c r="L35" s="16"/>
      <c r="M35" s="9"/>
      <c r="N35" s="9"/>
      <c r="O35" s="9"/>
      <c r="P35" s="16"/>
      <c r="Q35" s="16"/>
      <c r="R35" s="9"/>
      <c r="S35" s="9"/>
      <c r="T35" s="9"/>
      <c r="U35" s="9"/>
      <c r="V35" s="9"/>
      <c r="W35" s="9"/>
    </row>
    <row r="36" spans="1:23" ht="15.75" x14ac:dyDescent="0.25">
      <c r="A36" s="26" t="s">
        <v>23</v>
      </c>
      <c r="B36" s="3">
        <f>B34-B4</f>
        <v>125767</v>
      </c>
      <c r="C36" s="3">
        <f t="shared" ref="C36:V36" si="0">C34-C4</f>
        <v>279684</v>
      </c>
      <c r="D36" s="3">
        <f t="shared" si="0"/>
        <v>105307</v>
      </c>
      <c r="E36" s="16"/>
      <c r="F36" s="3">
        <f t="shared" si="0"/>
        <v>2773</v>
      </c>
      <c r="G36" s="3">
        <f t="shared" si="0"/>
        <v>163</v>
      </c>
      <c r="H36" s="16"/>
      <c r="I36" s="3">
        <f t="shared" si="0"/>
        <v>1635</v>
      </c>
      <c r="J36" s="3">
        <f t="shared" si="0"/>
        <v>127719</v>
      </c>
      <c r="K36" s="3">
        <f t="shared" si="0"/>
        <v>2840</v>
      </c>
      <c r="L36" s="16"/>
      <c r="M36" s="3">
        <f t="shared" si="0"/>
        <v>13753</v>
      </c>
      <c r="N36" s="3">
        <f t="shared" si="0"/>
        <v>428</v>
      </c>
      <c r="O36" s="3">
        <f t="shared" si="0"/>
        <v>275</v>
      </c>
      <c r="P36" s="16"/>
      <c r="Q36" s="16"/>
      <c r="R36" s="3">
        <f t="shared" si="0"/>
        <v>0</v>
      </c>
      <c r="S36" s="3">
        <f t="shared" si="0"/>
        <v>4605</v>
      </c>
      <c r="T36" s="3">
        <f t="shared" si="0"/>
        <v>237527</v>
      </c>
      <c r="U36" s="3">
        <f t="shared" si="0"/>
        <v>94</v>
      </c>
      <c r="V36" s="3">
        <f t="shared" si="0"/>
        <v>14342</v>
      </c>
    </row>
    <row r="37" spans="1:23" x14ac:dyDescent="0.25">
      <c r="A37" s="26" t="s">
        <v>24</v>
      </c>
      <c r="B37" s="27">
        <v>135442</v>
      </c>
      <c r="C37" s="27">
        <v>276520</v>
      </c>
      <c r="D37" s="27">
        <v>107924</v>
      </c>
      <c r="E37" s="28"/>
      <c r="F37" s="27">
        <v>2857</v>
      </c>
      <c r="G37" s="27">
        <v>155</v>
      </c>
      <c r="H37" s="28">
        <v>1757</v>
      </c>
      <c r="I37" s="27">
        <v>147883</v>
      </c>
      <c r="J37" s="27">
        <v>2739</v>
      </c>
      <c r="K37" s="27">
        <v>1599</v>
      </c>
      <c r="L37" s="28">
        <v>12241</v>
      </c>
      <c r="M37" s="27">
        <v>75</v>
      </c>
      <c r="N37" s="27">
        <v>45</v>
      </c>
      <c r="O37" s="27">
        <v>43</v>
      </c>
      <c r="P37" s="28"/>
      <c r="Q37" s="28">
        <v>0</v>
      </c>
      <c r="R37" s="27">
        <v>118</v>
      </c>
      <c r="S37" s="27">
        <v>4144</v>
      </c>
      <c r="T37" s="27">
        <v>210848</v>
      </c>
      <c r="U37" s="27">
        <v>74</v>
      </c>
      <c r="V37" s="27">
        <v>22519</v>
      </c>
    </row>
    <row r="38" spans="1:23" ht="15.75" x14ac:dyDescent="0.25">
      <c r="A38" s="26" t="s">
        <v>25</v>
      </c>
      <c r="B38" s="3">
        <f>B36-B37</f>
        <v>-9675</v>
      </c>
      <c r="C38" s="3">
        <f t="shared" ref="C38:V38" si="1">C36-C37</f>
        <v>3164</v>
      </c>
      <c r="D38" s="3">
        <f t="shared" si="1"/>
        <v>-2617</v>
      </c>
      <c r="E38" s="12">
        <f t="shared" si="1"/>
        <v>0</v>
      </c>
      <c r="F38" s="3">
        <f t="shared" si="1"/>
        <v>-84</v>
      </c>
      <c r="G38" s="3">
        <f t="shared" si="1"/>
        <v>8</v>
      </c>
      <c r="H38" s="12">
        <f t="shared" si="1"/>
        <v>-1757</v>
      </c>
      <c r="I38" s="3">
        <f t="shared" si="1"/>
        <v>-146248</v>
      </c>
      <c r="J38" s="3">
        <f t="shared" si="1"/>
        <v>124980</v>
      </c>
      <c r="K38" s="3">
        <f t="shared" si="1"/>
        <v>1241</v>
      </c>
      <c r="L38" s="12">
        <f t="shared" si="1"/>
        <v>-12241</v>
      </c>
      <c r="M38" s="3">
        <f t="shared" si="1"/>
        <v>13678</v>
      </c>
      <c r="N38" s="3">
        <f t="shared" si="1"/>
        <v>383</v>
      </c>
      <c r="O38" s="3">
        <f t="shared" si="1"/>
        <v>232</v>
      </c>
      <c r="P38" s="12"/>
      <c r="Q38" s="12">
        <f t="shared" si="1"/>
        <v>0</v>
      </c>
      <c r="R38" s="3">
        <f t="shared" si="1"/>
        <v>-118</v>
      </c>
      <c r="S38" s="3">
        <f t="shared" si="1"/>
        <v>461</v>
      </c>
      <c r="T38" s="3">
        <f t="shared" si="1"/>
        <v>26679</v>
      </c>
      <c r="U38" s="3">
        <f t="shared" si="1"/>
        <v>20</v>
      </c>
      <c r="V38" s="3">
        <f t="shared" si="1"/>
        <v>-8177</v>
      </c>
    </row>
    <row r="39" spans="1:23" x14ac:dyDescent="0.25">
      <c r="A39" s="26" t="s">
        <v>26</v>
      </c>
      <c r="B39" s="29">
        <f>B38/B37</f>
        <v>-7.1432790419515363E-2</v>
      </c>
      <c r="C39" s="29">
        <f t="shared" ref="C39:V39" si="2">C38/C37</f>
        <v>1.1442210328366845E-2</v>
      </c>
      <c r="D39" s="29">
        <f t="shared" si="2"/>
        <v>-2.4248545272599238E-2</v>
      </c>
      <c r="E39" s="30"/>
      <c r="F39" s="29">
        <f t="shared" si="2"/>
        <v>-2.9401470073503674E-2</v>
      </c>
      <c r="G39" s="29">
        <f t="shared" si="2"/>
        <v>5.1612903225806452E-2</v>
      </c>
      <c r="H39" s="30"/>
      <c r="I39" s="29">
        <f t="shared" si="2"/>
        <v>-0.98894396245680705</v>
      </c>
      <c r="J39" s="29">
        <f t="shared" si="2"/>
        <v>45.629791894852133</v>
      </c>
      <c r="K39" s="29">
        <f t="shared" si="2"/>
        <v>0.7761100687929956</v>
      </c>
      <c r="L39" s="30"/>
      <c r="M39" s="29">
        <f t="shared" si="2"/>
        <v>182.37333333333333</v>
      </c>
      <c r="N39" s="29">
        <f t="shared" si="2"/>
        <v>8.5111111111111111</v>
      </c>
      <c r="O39" s="29">
        <f t="shared" si="2"/>
        <v>5.3953488372093021</v>
      </c>
      <c r="P39" s="30"/>
      <c r="Q39" s="30"/>
      <c r="R39" s="29">
        <v>0</v>
      </c>
      <c r="S39" s="29">
        <f t="shared" si="2"/>
        <v>0.11124517374517374</v>
      </c>
      <c r="T39" s="29">
        <f t="shared" si="2"/>
        <v>0.12653190924267718</v>
      </c>
      <c r="U39" s="29">
        <f t="shared" si="2"/>
        <v>0.27027027027027029</v>
      </c>
      <c r="V39" s="29">
        <f t="shared" si="2"/>
        <v>-0.36311559127847598</v>
      </c>
    </row>
  </sheetData>
  <mergeCells count="22">
    <mergeCell ref="W1:W3"/>
    <mergeCell ref="R2:R3"/>
    <mergeCell ref="S2:S3"/>
    <mergeCell ref="T2:T3"/>
    <mergeCell ref="U2:U3"/>
    <mergeCell ref="V2:V3"/>
    <mergeCell ref="R1:V1"/>
    <mergeCell ref="A1:A3"/>
    <mergeCell ref="B1:D1"/>
    <mergeCell ref="F1:G1"/>
    <mergeCell ref="I1:K1"/>
    <mergeCell ref="M1:Q1"/>
    <mergeCell ref="K2:K3"/>
    <mergeCell ref="M2:M3"/>
    <mergeCell ref="N2:N3"/>
    <mergeCell ref="O2:O3"/>
    <mergeCell ref="P2:P3"/>
    <mergeCell ref="F2:F3"/>
    <mergeCell ref="G2:G3"/>
    <mergeCell ref="I2:I3"/>
    <mergeCell ref="J2:J3"/>
    <mergeCell ref="Q2:Q3"/>
  </mergeCells>
  <pageMargins left="0" right="0" top="0" bottom="0" header="0" footer="0"/>
  <pageSetup paperSize="5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Four Seasons Hotel Baltimore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>Robin Baugus</cp:lastModifiedBy>
  <cp:revision/>
  <dcterms:created xsi:type="dcterms:W3CDTF">2014-07-01T13:26:04Z</dcterms:created>
  <dcterms:modified xsi:type="dcterms:W3CDTF">2022-01-04T20:33:11Z</dcterms:modified>
  <cp:category/>
  <cp:contentStatus/>
</cp:coreProperties>
</file>