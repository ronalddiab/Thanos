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 calcOnSave="0"/>
</workbook>
</file>

<file path=xl/calcChain.xml><?xml version="1.0" encoding="utf-8"?>
<calcChain xmlns="http://schemas.openxmlformats.org/spreadsheetml/2006/main">
  <c r="K39" i="5" l="1"/>
  <c r="L16" i="3"/>
  <c r="K16" i="3"/>
  <c r="I16" i="3"/>
  <c r="G16" i="3"/>
  <c r="E16" i="3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L17" i="3"/>
  <c r="K17" i="3"/>
  <c r="I17" i="3"/>
  <c r="G17" i="3"/>
  <c r="E17" i="3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<sst xmlns="http://schemas.openxmlformats.org/spreadsheetml/2006/main" count="107" uniqueCount="38">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</sst>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Q23" sqref="Q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'10 - 2021'!B21-'10 - 2021'!B20+'10 - 2021'!C21-'10 - 2021'!C20</f>
        <v>9979</v>
      </c>
      <c r="F15" s="16">
        <v>0.11799999999999999</v>
      </c>
      <c r="G15" s="18">
        <f>'10 - 2021'!D21-'10 - 2021'!D20+'10 - 2021'!E21-'10 - 2021'!E20</f>
        <v>25.880000000000109</v>
      </c>
      <c r="H15" s="16">
        <v>0.99</v>
      </c>
      <c r="I15" s="18">
        <f>'10 - 2021'!J21-'10 - 2021'!J20</f>
        <v>26646</v>
      </c>
      <c r="J15" s="16">
        <v>8.1000000000000003E-2</v>
      </c>
      <c r="K15" s="33">
        <f>'10 - 2021'!H21-'10 - 2021'!H20</f>
        <v>0</v>
      </c>
      <c r="L15" s="18">
        <f>'10 - 2021'!I21-'10 - 2021'!I20</f>
        <v>114</v>
      </c>
      <c r="M15" s="17">
        <v>4.393629424766913</v>
      </c>
      <c r="N15" s="18">
        <v>97</v>
      </c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9947</v>
      </c>
      <c r="F16" s="16">
        <v>0.11799999999999999</v>
      </c>
      <c r="G16" s="18">
        <f>'10 - 2021'!D22-'10 - 2021'!D21+'10 - 2021'!E22-'10 - 2021'!E21</f>
        <v>23.909999999999854</v>
      </c>
      <c r="H16" s="16">
        <v>0.99</v>
      </c>
      <c r="I16" s="18">
        <f>'10 - 2021'!J22-'10 - 2021'!J21</f>
        <v>32625</v>
      </c>
      <c r="J16" s="16">
        <v>8.1000000000000003E-2</v>
      </c>
      <c r="K16" s="33">
        <f>'10 - 2021'!H22-'10 - 2021'!H21</f>
        <v>0</v>
      </c>
      <c r="L16" s="18">
        <f>'10 - 2021'!I22-'10 - 2021'!I21</f>
        <v>119</v>
      </c>
      <c r="M16" s="17">
        <v>4.393629424766913</v>
      </c>
      <c r="N16" s="18">
        <v>97</v>
      </c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10040</v>
      </c>
      <c r="F17" s="16">
        <v>0.11799999999999999</v>
      </c>
      <c r="G17" s="18">
        <f>'10 - 2021'!D23-'10 - 2021'!D22+'10 - 2021'!E23-'10 - 2021'!E22</f>
        <v>28.840000000000146</v>
      </c>
      <c r="H17" s="16">
        <v>0.99</v>
      </c>
      <c r="I17" s="18">
        <f>'10 - 2021'!J23-'10 - 2021'!J22</f>
        <v>33048</v>
      </c>
      <c r="J17" s="16">
        <v>8.1000000000000003E-2</v>
      </c>
      <c r="K17" s="33">
        <f>'10 - 2021'!H23-'10 - 2021'!H22</f>
        <v>0</v>
      </c>
      <c r="L17" s="18">
        <f>'10 - 2021'!I23-'10 - 2021'!I22</f>
        <v>126</v>
      </c>
      <c r="M17" s="17">
        <v>4.393629424766913</v>
      </c>
      <c r="N17" s="18">
        <v>94</v>
      </c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9979</v>
      </c>
      <c r="F18" s="16">
        <v>0.11799999999999999</v>
      </c>
      <c r="G18" s="18">
        <f>'10 - 2021'!D24-'10 - 2021'!D23+'10 - 2021'!E24-'10 - 2021'!E23</f>
        <v>23.900000000000546</v>
      </c>
      <c r="H18" s="16">
        <v>0.99</v>
      </c>
      <c r="I18" s="18">
        <f>'10 - 2021'!J24-'10 - 2021'!J23</f>
        <v>33065</v>
      </c>
      <c r="J18" s="16">
        <v>8.1000000000000003E-2</v>
      </c>
      <c r="K18" s="33">
        <f>'10 - 2021'!H24-'10 - 2021'!H23</f>
        <v>0</v>
      </c>
      <c r="L18" s="18">
        <f>'10 - 2021'!I24-'10 - 2021'!I23</f>
        <v>149</v>
      </c>
      <c r="M18" s="17">
        <v>4.393629424766913</v>
      </c>
      <c r="N18" s="18">
        <v>98</v>
      </c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v>0</v>
      </c>
      <c r="F19" s="16">
        <v>0.11799999999999999</v>
      </c>
      <c r="G19" s="18">
        <v>0</v>
      </c>
      <c r="H19" s="16">
        <v>0.99</v>
      </c>
      <c r="I19" s="18">
        <v>0</v>
      </c>
      <c r="J19" s="16">
        <v>8.1000000000000003E-2</v>
      </c>
      <c r="K19" s="33">
        <v>0</v>
      </c>
      <c r="L19" s="18"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f>'10 - 2021'!B21-'10 - 2021'!B20</f>
        <v>4182</v>
      </c>
      <c r="F15" s="18">
        <f>'10 - 2021'!C21-'10 - 2021'!C20</f>
        <v>5797</v>
      </c>
      <c r="G15" s="16">
        <v>0.11799999999999999</v>
      </c>
      <c r="H15" s="18">
        <f>'10 - 2021'!E21-'10 - 2021'!E20</f>
        <v>25.960000000000036</v>
      </c>
      <c r="I15" s="18">
        <f>'10 - 2021'!F21-'10 - 2021'!F20</f>
        <v>7.5400000000000773</v>
      </c>
      <c r="J15" s="18">
        <f>'10 - 2021'!G21-'10 - 2021'!G20</f>
        <v>33.169999999998254</v>
      </c>
      <c r="K15" s="16">
        <v>0.74</v>
      </c>
      <c r="L15" s="18">
        <v>97</v>
      </c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4110</v>
      </c>
      <c r="F16" s="18">
        <f>'10 - 2021'!C22-'10 - 2021'!C21</f>
        <v>5837</v>
      </c>
      <c r="G16" s="16">
        <v>0.11799999999999999</v>
      </c>
      <c r="H16" s="18">
        <f>'10 - 2021'!E22-'10 - 2021'!E21</f>
        <v>23.979999999999563</v>
      </c>
      <c r="I16" s="18">
        <f>'10 - 2021'!F22-'10 - 2021'!F21</f>
        <v>7.0699999999999363</v>
      </c>
      <c r="J16" s="18">
        <f>'10 - 2021'!G22-'10 - 2021'!G21</f>
        <v>34.25</v>
      </c>
      <c r="K16" s="16">
        <v>0.74</v>
      </c>
      <c r="L16" s="18">
        <v>97</v>
      </c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4163</v>
      </c>
      <c r="F17" s="18">
        <f>'10 - 2021'!C23-'10 - 2021'!C22</f>
        <v>5877</v>
      </c>
      <c r="G17" s="16">
        <v>0.11799999999999999</v>
      </c>
      <c r="H17" s="18">
        <f>'10 - 2021'!E23-'10 - 2021'!E22</f>
        <v>28.460000000000036</v>
      </c>
      <c r="I17" s="18">
        <f>'10 - 2021'!F23-'10 - 2021'!F22</f>
        <v>8.0199999999999818</v>
      </c>
      <c r="J17" s="18">
        <f>'10 - 2021'!G23-'10 - 2021'!G22</f>
        <v>36.5</v>
      </c>
      <c r="K17" s="16">
        <v>0.74</v>
      </c>
      <c r="L17" s="18">
        <v>94</v>
      </c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4184</v>
      </c>
      <c r="F18" s="18">
        <f>'10 - 2021'!C24-'10 - 2021'!C23</f>
        <v>5795</v>
      </c>
      <c r="G18" s="16">
        <v>0.11799999999999999</v>
      </c>
      <c r="H18" s="18">
        <f>'10 - 2021'!E24-'10 - 2021'!E23</f>
        <v>23.980000000000473</v>
      </c>
      <c r="I18" s="18">
        <f>'10 - 2021'!F24-'10 - 2021'!F23</f>
        <v>8.1000000000000227</v>
      </c>
      <c r="J18" s="18">
        <f>'10 - 2021'!G24-'10 - 2021'!G23</f>
        <v>36.620000000002619</v>
      </c>
      <c r="K18" s="16">
        <v>0.74</v>
      </c>
      <c r="L18" s="18">
        <v>98</v>
      </c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v>0</v>
      </c>
      <c r="F19" s="18">
        <v>0</v>
      </c>
      <c r="G19" s="16">
        <v>0.11799999999999999</v>
      </c>
      <c r="H19" s="18">
        <v>0</v>
      </c>
      <c r="I19" s="18">
        <v>0</v>
      </c>
      <c r="J19" s="18"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zoomScaleNormal="100" workbookViewId="0">
      <selection activeCell="O25" sqref="O25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0" t="s">
        <v>30</v>
      </c>
      <c r="B3" s="90"/>
      <c r="C3" s="90"/>
      <c r="D3" s="90"/>
      <c r="E3" s="90"/>
      <c r="F3" s="90"/>
      <c r="G3" s="90"/>
      <c r="H3" s="90"/>
      <c r="I3" s="90"/>
      <c r="J3" s="90"/>
    </row>
    <row r="4" spans="1:17" ht="16.5" thickBot="1" x14ac:dyDescent="0.3">
      <c r="A4" s="91" t="s">
        <v>37</v>
      </c>
      <c r="B4" s="91"/>
      <c r="C4" s="91"/>
      <c r="D4" s="91"/>
      <c r="E4" s="91"/>
      <c r="F4" s="91"/>
      <c r="G4" s="91"/>
      <c r="H4" s="91"/>
      <c r="I4" s="91"/>
      <c r="J4" s="91"/>
    </row>
    <row r="5" spans="1:17" ht="16.5" thickBot="1" x14ac:dyDescent="0.3">
      <c r="A5" s="2"/>
      <c r="B5" s="92" t="s">
        <v>36</v>
      </c>
      <c r="C5" s="93"/>
      <c r="D5" s="92" t="s">
        <v>0</v>
      </c>
      <c r="E5" s="94"/>
      <c r="F5" s="94"/>
      <c r="G5" s="95"/>
      <c r="H5" s="96" t="s">
        <v>1</v>
      </c>
      <c r="I5" s="97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2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4"/>
      <c r="L7" s="69"/>
      <c r="M7" s="26"/>
    </row>
    <row r="8" spans="1:17" s="51" customFormat="1" ht="12.95" customHeight="1" x14ac:dyDescent="0.25">
      <c r="A8" s="25">
        <f>A7+1</f>
        <v>44470</v>
      </c>
      <c r="B8" s="85">
        <v>1169308</v>
      </c>
      <c r="C8" s="85">
        <v>520265</v>
      </c>
      <c r="D8" s="48">
        <v>0.38</v>
      </c>
      <c r="E8" s="82">
        <v>5838</v>
      </c>
      <c r="F8" s="49">
        <v>440.06</v>
      </c>
      <c r="G8" s="85">
        <v>33408.53</v>
      </c>
      <c r="H8" s="85">
        <v>14528</v>
      </c>
      <c r="I8" s="85">
        <v>132511</v>
      </c>
      <c r="J8" s="85">
        <v>51019892</v>
      </c>
      <c r="K8" s="86"/>
      <c r="L8" s="70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2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4">
        <v>3600</v>
      </c>
      <c r="L9" s="64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3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4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83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87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5">
        <v>1189633</v>
      </c>
      <c r="C13" s="37">
        <v>548697</v>
      </c>
      <c r="D13" s="53">
        <v>0.52</v>
      </c>
      <c r="E13" s="83">
        <f>E12+27</f>
        <v>5974.05</v>
      </c>
      <c r="F13" s="37">
        <v>478.89</v>
      </c>
      <c r="G13" s="37">
        <v>33574.22</v>
      </c>
      <c r="H13" s="54">
        <v>14528</v>
      </c>
      <c r="I13" s="37">
        <v>133070</v>
      </c>
      <c r="J13" s="37">
        <v>51205104</v>
      </c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>
        <v>1193590</v>
      </c>
      <c r="C14" s="54">
        <v>554654</v>
      </c>
      <c r="D14" s="53">
        <v>0.46</v>
      </c>
      <c r="E14" s="83">
        <f>E13+27</f>
        <v>6001.05</v>
      </c>
      <c r="F14" s="37">
        <v>485.84</v>
      </c>
      <c r="G14" s="37">
        <v>33605</v>
      </c>
      <c r="H14" s="54">
        <v>14528</v>
      </c>
      <c r="I14" s="54">
        <v>133185</v>
      </c>
      <c r="J14" s="54">
        <v>51239200</v>
      </c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>
        <v>1198278</v>
      </c>
      <c r="C15" s="54">
        <v>560360</v>
      </c>
      <c r="D15" s="53">
        <v>0.4</v>
      </c>
      <c r="E15" s="37">
        <v>6025.2</v>
      </c>
      <c r="F15" s="88">
        <v>493.31</v>
      </c>
      <c r="G15" s="37">
        <v>33644</v>
      </c>
      <c r="H15" s="54">
        <v>14528</v>
      </c>
      <c r="I15" s="54">
        <v>133311</v>
      </c>
      <c r="J15" s="54">
        <v>51270587</v>
      </c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89">
        <v>1202499</v>
      </c>
      <c r="C16" s="54">
        <v>566299</v>
      </c>
      <c r="D16" s="53">
        <v>0.35</v>
      </c>
      <c r="E16" s="37">
        <v>6050.31</v>
      </c>
      <c r="F16" s="88">
        <v>500.19</v>
      </c>
      <c r="G16" s="37">
        <v>33677.599999999999</v>
      </c>
      <c r="H16" s="54">
        <v>14528</v>
      </c>
      <c r="I16" s="54">
        <v>133431</v>
      </c>
      <c r="J16" s="54">
        <v>51308635</v>
      </c>
      <c r="K16" s="55">
        <v>3600</v>
      </c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3">
        <v>0.78</v>
      </c>
      <c r="E17" s="37">
        <v>6074.2</v>
      </c>
      <c r="F17" s="88">
        <v>507.35</v>
      </c>
      <c r="G17" s="37">
        <v>33709.1</v>
      </c>
      <c r="H17" s="54">
        <v>14528</v>
      </c>
      <c r="I17" s="37">
        <v>133548</v>
      </c>
      <c r="J17" s="37">
        <v>51348636</v>
      </c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>
        <v>1210602</v>
      </c>
      <c r="C18" s="54">
        <v>578390</v>
      </c>
      <c r="D18" s="53">
        <v>0.72</v>
      </c>
      <c r="E18" s="37">
        <v>6098.84</v>
      </c>
      <c r="F18" s="37">
        <v>514.61</v>
      </c>
      <c r="G18" s="37">
        <v>33740.65</v>
      </c>
      <c r="H18" s="54">
        <v>14528</v>
      </c>
      <c r="I18" s="54">
        <v>133643</v>
      </c>
      <c r="J18" s="54">
        <v>51385440</v>
      </c>
      <c r="K18" s="55"/>
      <c r="L18" s="45"/>
      <c r="M18" s="50"/>
      <c r="N18" s="56"/>
      <c r="O18" s="58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>
        <v>1214623</v>
      </c>
      <c r="C19" s="40">
        <v>584411</v>
      </c>
      <c r="D19" s="53">
        <v>0.63</v>
      </c>
      <c r="E19" s="37">
        <v>6127.93</v>
      </c>
      <c r="F19" s="37">
        <v>521.66</v>
      </c>
      <c r="G19" s="38">
        <v>33772.620000000003</v>
      </c>
      <c r="H19" s="54">
        <v>14528</v>
      </c>
      <c r="I19" s="40">
        <v>133742</v>
      </c>
      <c r="J19" s="40">
        <v>51418298</v>
      </c>
      <c r="K19" s="55"/>
      <c r="L19" s="45"/>
      <c r="M19" s="50"/>
      <c r="N19" s="56"/>
      <c r="O19" s="58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>
        <v>1218651</v>
      </c>
      <c r="C20" s="40">
        <v>590221</v>
      </c>
      <c r="D20" s="53">
        <v>0.55000000000000004</v>
      </c>
      <c r="E20" s="54">
        <v>6151.84</v>
      </c>
      <c r="F20" s="54">
        <v>529.91</v>
      </c>
      <c r="G20" s="38">
        <v>33804.28</v>
      </c>
      <c r="H20" s="54">
        <v>14528</v>
      </c>
      <c r="I20" s="40">
        <v>133861</v>
      </c>
      <c r="J20" s="40">
        <v>51444560</v>
      </c>
      <c r="K20" s="55"/>
      <c r="L20" s="66"/>
      <c r="M20" s="50"/>
      <c r="N20" s="59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>
        <v>1222833</v>
      </c>
      <c r="C21" s="40">
        <v>596018</v>
      </c>
      <c r="D21" s="53">
        <v>0.47</v>
      </c>
      <c r="E21" s="38">
        <v>6177.8</v>
      </c>
      <c r="F21" s="37">
        <v>537.45000000000005</v>
      </c>
      <c r="G21" s="38">
        <v>33837.449999999997</v>
      </c>
      <c r="H21" s="54">
        <v>14528</v>
      </c>
      <c r="I21" s="40">
        <v>133975</v>
      </c>
      <c r="J21" s="40">
        <v>51471206</v>
      </c>
      <c r="K21" s="55"/>
      <c r="L21" s="66"/>
      <c r="M21" s="50"/>
      <c r="N21" s="59"/>
      <c r="O21" s="59"/>
      <c r="P21" s="60"/>
      <c r="Q21" s="60"/>
      <c r="S21" s="50"/>
    </row>
    <row r="22" spans="1:19" s="51" customFormat="1" ht="12.95" customHeight="1" x14ac:dyDescent="0.25">
      <c r="A22" s="25">
        <f t="shared" si="0"/>
        <v>44484</v>
      </c>
      <c r="B22" s="54">
        <v>1226943</v>
      </c>
      <c r="C22" s="89">
        <v>601855</v>
      </c>
      <c r="D22" s="53">
        <v>0.4</v>
      </c>
      <c r="E22" s="37">
        <v>6201.78</v>
      </c>
      <c r="F22" s="37">
        <v>544.52</v>
      </c>
      <c r="G22" s="38">
        <v>33871.699999999997</v>
      </c>
      <c r="H22" s="54">
        <v>14528</v>
      </c>
      <c r="I22" s="38">
        <v>134094</v>
      </c>
      <c r="J22" s="40">
        <v>51503831</v>
      </c>
      <c r="K22" s="55">
        <v>3200</v>
      </c>
      <c r="L22" s="66"/>
      <c r="M22" s="50"/>
      <c r="N22" s="59"/>
      <c r="O22" s="59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>
        <v>1231106</v>
      </c>
      <c r="C23" s="40">
        <v>607732</v>
      </c>
      <c r="D23" s="53">
        <v>0.78</v>
      </c>
      <c r="E23" s="38">
        <v>6230.24</v>
      </c>
      <c r="F23" s="37">
        <v>552.54</v>
      </c>
      <c r="G23" s="38">
        <v>33908.199999999997</v>
      </c>
      <c r="H23" s="54">
        <v>14528</v>
      </c>
      <c r="I23" s="40">
        <v>134220</v>
      </c>
      <c r="J23" s="40">
        <v>51536879</v>
      </c>
      <c r="K23" s="55"/>
      <c r="L23" s="66"/>
      <c r="M23" s="50"/>
      <c r="N23" s="59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>
        <v>1235290</v>
      </c>
      <c r="C24" s="40">
        <v>613527</v>
      </c>
      <c r="D24" s="53">
        <v>0.7</v>
      </c>
      <c r="E24" s="38">
        <v>6254.22</v>
      </c>
      <c r="F24" s="37">
        <v>560.64</v>
      </c>
      <c r="G24" s="38">
        <v>33944.82</v>
      </c>
      <c r="H24" s="54">
        <v>14528</v>
      </c>
      <c r="I24" s="40">
        <v>134369</v>
      </c>
      <c r="J24" s="40">
        <v>51569944</v>
      </c>
      <c r="K24" s="55"/>
      <c r="L24" s="71"/>
      <c r="M24" s="50"/>
      <c r="N24" s="59"/>
      <c r="O24" s="59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1"/>
      <c r="L25" s="71"/>
      <c r="M25" s="50"/>
      <c r="N25" s="59"/>
      <c r="O25" s="59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7"/>
      <c r="E26" s="38"/>
      <c r="F26" s="37"/>
      <c r="G26" s="38"/>
      <c r="H26" s="54"/>
      <c r="I26" s="40"/>
      <c r="J26" s="40"/>
      <c r="K26" s="55"/>
      <c r="L26" s="71"/>
      <c r="M26" s="50"/>
      <c r="N26" s="59"/>
      <c r="O26" s="59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7"/>
      <c r="L27" s="66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6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6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6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6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6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6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7"/>
      <c r="E34" s="38"/>
      <c r="F34" s="37"/>
      <c r="G34" s="38"/>
      <c r="H34" s="54"/>
      <c r="I34" s="38"/>
      <c r="J34" s="38"/>
      <c r="K34" s="55"/>
      <c r="L34" s="72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2"/>
      <c r="D35" s="53"/>
      <c r="E35" s="38"/>
      <c r="F35" s="37"/>
      <c r="G35" s="37"/>
      <c r="H35" s="54"/>
      <c r="I35" s="54"/>
      <c r="J35" s="54"/>
      <c r="K35" s="55"/>
      <c r="L35" s="66"/>
      <c r="M35" s="50"/>
      <c r="N35" s="50"/>
      <c r="O35" s="50"/>
    </row>
    <row r="36" spans="1:16" s="63" customFormat="1" x14ac:dyDescent="0.25">
      <c r="A36" s="44">
        <f t="shared" si="0"/>
        <v>44498</v>
      </c>
      <c r="B36" s="54"/>
      <c r="C36" s="62"/>
      <c r="D36" s="53"/>
      <c r="E36" s="42"/>
      <c r="F36" s="37"/>
      <c r="G36" s="37"/>
      <c r="H36" s="54"/>
      <c r="I36" s="54"/>
      <c r="J36" s="54"/>
      <c r="K36" s="55"/>
      <c r="L36" s="73"/>
    </row>
    <row r="37" spans="1:16" s="63" customFormat="1" x14ac:dyDescent="0.25">
      <c r="A37" s="44">
        <f t="shared" si="0"/>
        <v>44499</v>
      </c>
      <c r="B37" s="54"/>
      <c r="C37" s="62"/>
      <c r="D37" s="53"/>
      <c r="E37" s="42"/>
      <c r="F37" s="37"/>
      <c r="G37" s="37"/>
      <c r="H37" s="54"/>
      <c r="I37" s="54"/>
      <c r="J37" s="54"/>
      <c r="K37" s="55"/>
      <c r="L37" s="66"/>
    </row>
    <row r="38" spans="1:16" ht="15.75" thickBot="1" x14ac:dyDescent="0.3">
      <c r="A38" s="74">
        <f>A37+1</f>
        <v>44500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81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10400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8"/>
      <c r="C41" s="68"/>
      <c r="D41" s="34"/>
      <c r="E41" s="68"/>
      <c r="F41" s="68"/>
      <c r="G41" s="68"/>
      <c r="H41" s="68"/>
      <c r="I41" s="68"/>
      <c r="J41" s="68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2021-10-17T04:21:03Z</dcterms:modified>
</cp:coreProperties>
</file>