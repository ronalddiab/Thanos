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598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9" l="1"/>
  <c r="K3" i="9" l="1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2" i="9"/>
  <c r="W29" i="8" l="1"/>
  <c r="V29" i="8"/>
  <c r="U29" i="8"/>
  <c r="T29" i="8"/>
  <c r="S29" i="8"/>
  <c r="R29" i="8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C4" i="5"/>
  <c r="C5" i="5"/>
  <c r="C6" i="5"/>
  <c r="C7" i="5"/>
  <c r="C8" i="5"/>
  <c r="C9" i="5"/>
  <c r="J35" i="11"/>
  <c r="J32" i="11"/>
  <c r="J30" i="11"/>
  <c r="J31" i="11"/>
  <c r="J29" i="11"/>
  <c r="J12" i="11"/>
  <c r="J10" i="11"/>
  <c r="J9" i="11"/>
  <c r="J8" i="11"/>
  <c r="J7" i="11"/>
  <c r="J6" i="11"/>
  <c r="J4" i="11"/>
  <c r="J3" i="11"/>
  <c r="C31" i="4"/>
  <c r="J26" i="11"/>
  <c r="J25" i="11"/>
  <c r="J24" i="11"/>
  <c r="J23" i="11"/>
  <c r="J22" i="11"/>
  <c r="J21" i="11"/>
  <c r="J19" i="11"/>
  <c r="J18" i="11"/>
  <c r="J16" i="11"/>
  <c r="O33" i="2"/>
  <c r="M33" i="2"/>
  <c r="I33" i="2"/>
  <c r="E33" i="2"/>
  <c r="U31" i="2"/>
  <c r="U32" i="2"/>
  <c r="Q32" i="2"/>
  <c r="Q31" i="2"/>
  <c r="O31" i="2"/>
  <c r="O32" i="2"/>
  <c r="M31" i="2"/>
  <c r="M32" i="2"/>
  <c r="I31" i="2"/>
  <c r="I32" i="2"/>
  <c r="G31" i="2"/>
  <c r="G32" i="2"/>
  <c r="E31" i="2"/>
  <c r="E32" i="2"/>
  <c r="C31" i="2"/>
  <c r="C32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D28" i="4"/>
  <c r="W25" i="4"/>
  <c r="F25" i="4"/>
  <c r="H23" i="4"/>
  <c r="F21" i="4"/>
  <c r="I20" i="8" s="1"/>
  <c r="J21" i="2"/>
  <c r="J22" i="2"/>
  <c r="J23" i="2" s="1"/>
  <c r="J24" i="2" s="1"/>
  <c r="J25" i="2" s="1"/>
  <c r="R21" i="2"/>
  <c r="R22" i="2" s="1"/>
  <c r="I20" i="3"/>
  <c r="Q20" i="2"/>
  <c r="R30" i="1"/>
  <c r="S30" i="1" s="1"/>
  <c r="O30" i="1"/>
  <c r="P30" i="1"/>
  <c r="L30" i="1"/>
  <c r="M30" i="1" s="1"/>
  <c r="I30" i="1"/>
  <c r="J30" i="1" s="1"/>
  <c r="F30" i="1"/>
  <c r="C30" i="1"/>
  <c r="C30" i="5"/>
  <c r="U30" i="2"/>
  <c r="D30" i="1"/>
  <c r="C18" i="1"/>
  <c r="R17" i="8" s="1"/>
  <c r="C19" i="1"/>
  <c r="C20" i="1"/>
  <c r="W15" i="4"/>
  <c r="S15" i="4"/>
  <c r="Q15" i="4"/>
  <c r="O15" i="4"/>
  <c r="Z15" i="4"/>
  <c r="M15" i="4"/>
  <c r="X15" i="4" s="1"/>
  <c r="K15" i="4"/>
  <c r="H15" i="4"/>
  <c r="I15" i="4" s="1"/>
  <c r="F15" i="4"/>
  <c r="D15" i="4"/>
  <c r="W14" i="4"/>
  <c r="S14" i="4"/>
  <c r="Q14" i="4"/>
  <c r="N13" i="8" s="1"/>
  <c r="O14" i="4"/>
  <c r="M14" i="4"/>
  <c r="K14" i="4"/>
  <c r="H14" i="4"/>
  <c r="F14" i="4"/>
  <c r="D14" i="4"/>
  <c r="R15" i="1"/>
  <c r="W14" i="8" s="1"/>
  <c r="S15" i="1"/>
  <c r="O15" i="1"/>
  <c r="P15" i="1"/>
  <c r="L15" i="1"/>
  <c r="M15" i="1" s="1"/>
  <c r="I15" i="1"/>
  <c r="J15" i="1" s="1"/>
  <c r="F15" i="1"/>
  <c r="C15" i="1"/>
  <c r="D15" i="1"/>
  <c r="R14" i="1"/>
  <c r="S14" i="1" s="1"/>
  <c r="O14" i="1"/>
  <c r="P14" i="1" s="1"/>
  <c r="L14" i="1"/>
  <c r="M14" i="1"/>
  <c r="I14" i="1"/>
  <c r="J14" i="1"/>
  <c r="F14" i="1"/>
  <c r="G14" i="1" s="1"/>
  <c r="C14" i="1"/>
  <c r="D14" i="1" s="1"/>
  <c r="C15" i="5"/>
  <c r="G14" i="9" s="1"/>
  <c r="C14" i="5"/>
  <c r="G13" i="9" s="1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R14" i="2"/>
  <c r="S14" i="2" s="1"/>
  <c r="AC13" i="8" s="1"/>
  <c r="Q14" i="2"/>
  <c r="O14" i="2"/>
  <c r="M14" i="2"/>
  <c r="J14" i="2"/>
  <c r="I14" i="2"/>
  <c r="G14" i="2"/>
  <c r="E14" i="2"/>
  <c r="C14" i="2"/>
  <c r="Y15" i="4"/>
  <c r="I14" i="4"/>
  <c r="R15" i="2"/>
  <c r="F5" i="4"/>
  <c r="F6" i="4"/>
  <c r="I5" i="8" s="1"/>
  <c r="E11" i="2"/>
  <c r="C10" i="5"/>
  <c r="C11" i="5"/>
  <c r="C12" i="5"/>
  <c r="C13" i="5"/>
  <c r="C16" i="5"/>
  <c r="C17" i="5"/>
  <c r="G16" i="9" s="1"/>
  <c r="C18" i="5"/>
  <c r="G17" i="9" s="1"/>
  <c r="C19" i="5"/>
  <c r="C20" i="5"/>
  <c r="G19" i="9" s="1"/>
  <c r="C21" i="5"/>
  <c r="C22" i="5"/>
  <c r="C23" i="5"/>
  <c r="C24" i="5"/>
  <c r="C25" i="5"/>
  <c r="C26" i="5"/>
  <c r="G25" i="9" s="1"/>
  <c r="C27" i="5"/>
  <c r="C28" i="5"/>
  <c r="C29" i="5"/>
  <c r="C19" i="2"/>
  <c r="C3" i="2"/>
  <c r="C13" i="2"/>
  <c r="C26" i="2"/>
  <c r="I19" i="2"/>
  <c r="I20" i="2"/>
  <c r="G10" i="2"/>
  <c r="H10" i="4"/>
  <c r="H12" i="4"/>
  <c r="H11" i="4"/>
  <c r="H5" i="4"/>
  <c r="H6" i="4"/>
  <c r="H7" i="4"/>
  <c r="J6" i="8" s="1"/>
  <c r="C4" i="3"/>
  <c r="C5" i="3"/>
  <c r="J5" i="3" s="1"/>
  <c r="C6" i="3"/>
  <c r="C7" i="3"/>
  <c r="C8" i="3"/>
  <c r="H13" i="4"/>
  <c r="I12" i="11"/>
  <c r="K12" i="11" s="1"/>
  <c r="I10" i="11"/>
  <c r="K10" i="11" s="1"/>
  <c r="I9" i="11"/>
  <c r="I8" i="11"/>
  <c r="K8" i="11" s="1"/>
  <c r="I7" i="11"/>
  <c r="K7" i="11" s="1"/>
  <c r="I6" i="11"/>
  <c r="I4" i="11"/>
  <c r="I3" i="11"/>
  <c r="K3" i="11"/>
  <c r="K11" i="11"/>
  <c r="K6" i="11"/>
  <c r="K9" i="1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Y9" i="8" s="1"/>
  <c r="E3" i="3"/>
  <c r="F2" i="8" s="1"/>
  <c r="E6" i="2"/>
  <c r="O5" i="2"/>
  <c r="AB4" i="8"/>
  <c r="O6" i="2"/>
  <c r="AB5" i="8" s="1"/>
  <c r="C5" i="1"/>
  <c r="R4" i="8" s="1"/>
  <c r="C6" i="1"/>
  <c r="D6" i="1" s="1"/>
  <c r="C7" i="1"/>
  <c r="D7" i="1"/>
  <c r="C8" i="1"/>
  <c r="D8" i="1" s="1"/>
  <c r="C9" i="1"/>
  <c r="C10" i="1"/>
  <c r="D10" i="1" s="1"/>
  <c r="G2" i="9"/>
  <c r="E3" i="2"/>
  <c r="G3" i="2"/>
  <c r="K3" i="2"/>
  <c r="M3" i="2"/>
  <c r="O3" i="2"/>
  <c r="AB2" i="8" s="1"/>
  <c r="Q3" i="2"/>
  <c r="AC2" i="8"/>
  <c r="U3" i="2"/>
  <c r="S18" i="2"/>
  <c r="S19" i="2"/>
  <c r="D8" i="4"/>
  <c r="Q7" i="8" s="1"/>
  <c r="K8" i="2"/>
  <c r="R10" i="1"/>
  <c r="W9" i="8"/>
  <c r="L10" i="1"/>
  <c r="M5" i="4"/>
  <c r="M78" i="10"/>
  <c r="E4" i="2"/>
  <c r="F7" i="1"/>
  <c r="G7" i="1"/>
  <c r="I6" i="1"/>
  <c r="T5" i="8"/>
  <c r="L7" i="1"/>
  <c r="V6" i="8" s="1"/>
  <c r="R5" i="1"/>
  <c r="W4" i="8" s="1"/>
  <c r="R6" i="1"/>
  <c r="W5" i="8" s="1"/>
  <c r="I5" i="1"/>
  <c r="T4" i="8"/>
  <c r="G6" i="9"/>
  <c r="K5" i="4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N94" i="10"/>
  <c r="I16" i="11"/>
  <c r="K16" i="11" s="1"/>
  <c r="D17" i="11"/>
  <c r="I17" i="11"/>
  <c r="D18" i="11"/>
  <c r="I18" i="11"/>
  <c r="K18" i="11"/>
  <c r="C10" i="11" s="1"/>
  <c r="D10" i="11" s="1"/>
  <c r="D19" i="11"/>
  <c r="I19" i="11"/>
  <c r="K19" i="11" s="1"/>
  <c r="D20" i="11"/>
  <c r="I20" i="11"/>
  <c r="D21" i="11"/>
  <c r="I21" i="11"/>
  <c r="K21" i="11" s="1"/>
  <c r="I22" i="11"/>
  <c r="I23" i="11"/>
  <c r="K23" i="11" s="1"/>
  <c r="I24" i="11"/>
  <c r="I25" i="11"/>
  <c r="K25" i="11" s="1"/>
  <c r="I26" i="11"/>
  <c r="K26" i="11" s="1"/>
  <c r="I29" i="11"/>
  <c r="K29" i="11" s="1"/>
  <c r="C14" i="11" s="1"/>
  <c r="D14" i="11" s="1"/>
  <c r="I30" i="11"/>
  <c r="K30" i="11" s="1"/>
  <c r="C15" i="11" s="1"/>
  <c r="I31" i="11"/>
  <c r="K31" i="11" s="1"/>
  <c r="I32" i="11"/>
  <c r="K32" i="11" s="1"/>
  <c r="I35" i="11"/>
  <c r="K35" i="11" s="1"/>
  <c r="C26" i="11" s="1"/>
  <c r="C27" i="11" s="1"/>
  <c r="D27" i="11" s="1"/>
  <c r="C3" i="1"/>
  <c r="F3" i="1"/>
  <c r="G3" i="1" s="1"/>
  <c r="I3" i="1"/>
  <c r="T2" i="8" s="1"/>
  <c r="L3" i="1"/>
  <c r="M3" i="1"/>
  <c r="O3" i="1"/>
  <c r="U2" i="8"/>
  <c r="C4" i="1"/>
  <c r="D4" i="1" s="1"/>
  <c r="F4" i="1"/>
  <c r="I4" i="1"/>
  <c r="J4" i="1" s="1"/>
  <c r="L4" i="1"/>
  <c r="V3" i="8"/>
  <c r="R4" i="1"/>
  <c r="L5" i="1"/>
  <c r="L6" i="1"/>
  <c r="M6" i="1" s="1"/>
  <c r="G3" i="9"/>
  <c r="G4" i="9"/>
  <c r="G5" i="9"/>
  <c r="D3" i="4"/>
  <c r="F3" i="4"/>
  <c r="I3" i="4" s="1"/>
  <c r="H3" i="4"/>
  <c r="K3" i="4"/>
  <c r="K2" i="8" s="1"/>
  <c r="M3" i="4"/>
  <c r="O3" i="4"/>
  <c r="Q3" i="4"/>
  <c r="S3" i="4"/>
  <c r="W3" i="4"/>
  <c r="P2" i="8" s="1"/>
  <c r="D4" i="4"/>
  <c r="Q3" i="8"/>
  <c r="F4" i="4"/>
  <c r="H4" i="4"/>
  <c r="J3" i="8"/>
  <c r="K4" i="4"/>
  <c r="K3" i="8"/>
  <c r="M4" i="4"/>
  <c r="O4" i="4"/>
  <c r="Q4" i="4"/>
  <c r="N3" i="8"/>
  <c r="S4" i="4"/>
  <c r="O3" i="8"/>
  <c r="W4" i="4"/>
  <c r="P3" i="8" s="1"/>
  <c r="D5" i="4"/>
  <c r="Q4" i="8" s="1"/>
  <c r="J4" i="8"/>
  <c r="Q5" i="4"/>
  <c r="N4" i="8"/>
  <c r="S5" i="4"/>
  <c r="O4" i="8" s="1"/>
  <c r="W5" i="4"/>
  <c r="C3" i="3"/>
  <c r="E2" i="8" s="1"/>
  <c r="G3" i="3"/>
  <c r="G2" i="8" s="1"/>
  <c r="I3" i="3"/>
  <c r="H2" i="8"/>
  <c r="E3" i="8"/>
  <c r="E4" i="3"/>
  <c r="F3" i="8" s="1"/>
  <c r="G4" i="3"/>
  <c r="I4" i="3"/>
  <c r="H3" i="8" s="1"/>
  <c r="E4" i="8"/>
  <c r="E5" i="3"/>
  <c r="F4" i="8" s="1"/>
  <c r="G5" i="3"/>
  <c r="G4" i="8" s="1"/>
  <c r="I5" i="3"/>
  <c r="G4" i="2"/>
  <c r="K4" i="2"/>
  <c r="M4" i="2"/>
  <c r="O4" i="2"/>
  <c r="AB3" i="8" s="1"/>
  <c r="Q4" i="2"/>
  <c r="AC3" i="8" s="1"/>
  <c r="S4" i="2"/>
  <c r="U4" i="2"/>
  <c r="E5" i="2"/>
  <c r="G5" i="2"/>
  <c r="K5" i="2"/>
  <c r="M5" i="2"/>
  <c r="AA4" i="8" s="1"/>
  <c r="Q5" i="2"/>
  <c r="S5" i="2"/>
  <c r="AC4" i="8" s="1"/>
  <c r="U5" i="2"/>
  <c r="K6" i="2"/>
  <c r="X2" i="8"/>
  <c r="B3" i="8"/>
  <c r="B4" i="8"/>
  <c r="B5" i="8"/>
  <c r="B6" i="8" s="1"/>
  <c r="B7" i="8" s="1"/>
  <c r="B8" i="8" s="1"/>
  <c r="B9" i="8" s="1"/>
  <c r="B10" i="8" s="1"/>
  <c r="B11" i="8" s="1"/>
  <c r="B12" i="8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I6" i="3"/>
  <c r="H5" i="8" s="1"/>
  <c r="F6" i="1"/>
  <c r="G6" i="1" s="1"/>
  <c r="F5" i="1"/>
  <c r="S6" i="4"/>
  <c r="O5" i="8"/>
  <c r="O6" i="4"/>
  <c r="M5" i="8" s="1"/>
  <c r="O5" i="4"/>
  <c r="M4" i="8" s="1"/>
  <c r="K7" i="2"/>
  <c r="D6" i="4"/>
  <c r="Q5" i="8" s="1"/>
  <c r="F7" i="4"/>
  <c r="I7" i="4" s="1"/>
  <c r="K6" i="4"/>
  <c r="K7" i="4"/>
  <c r="K6" i="8" s="1"/>
  <c r="Y6" i="8" s="1"/>
  <c r="M6" i="4"/>
  <c r="L5" i="8" s="1"/>
  <c r="O7" i="4"/>
  <c r="M6" i="8"/>
  <c r="Q6" i="4"/>
  <c r="N5" i="8"/>
  <c r="W6" i="4"/>
  <c r="I7" i="1"/>
  <c r="I8" i="1"/>
  <c r="J8" i="1" s="1"/>
  <c r="O7" i="1"/>
  <c r="U6" i="8" s="1"/>
  <c r="O6" i="1"/>
  <c r="S8" i="2"/>
  <c r="D7" i="4"/>
  <c r="Q6" i="8"/>
  <c r="K8" i="4"/>
  <c r="K7" i="8"/>
  <c r="O8" i="4"/>
  <c r="M7" i="8"/>
  <c r="O9" i="1"/>
  <c r="P9" i="1" s="1"/>
  <c r="O8" i="1"/>
  <c r="U7" i="8" s="1"/>
  <c r="S9" i="2"/>
  <c r="Q7" i="2"/>
  <c r="S7" i="4"/>
  <c r="O6" i="8"/>
  <c r="W7" i="4"/>
  <c r="P6" i="8" s="1"/>
  <c r="Q7" i="4"/>
  <c r="N6" i="8"/>
  <c r="M7" i="4"/>
  <c r="L6" i="8" s="1"/>
  <c r="C7" i="2"/>
  <c r="E7" i="2"/>
  <c r="G7" i="2"/>
  <c r="Z6" i="8" s="1"/>
  <c r="I7" i="2"/>
  <c r="M7" i="2"/>
  <c r="O7" i="2"/>
  <c r="AB6" i="8" s="1"/>
  <c r="Q6" i="2"/>
  <c r="C6" i="2"/>
  <c r="G6" i="2"/>
  <c r="I6" i="2"/>
  <c r="M6" i="2"/>
  <c r="AA5" i="8" s="1"/>
  <c r="O9" i="4"/>
  <c r="H8" i="4"/>
  <c r="J7" i="8" s="1"/>
  <c r="L8" i="1"/>
  <c r="G8" i="9"/>
  <c r="G7" i="9"/>
  <c r="W8" i="4"/>
  <c r="P7" i="8" s="1"/>
  <c r="R7" i="1"/>
  <c r="R8" i="1"/>
  <c r="S8" i="1" s="1"/>
  <c r="W9" i="4"/>
  <c r="S8" i="4"/>
  <c r="O7" i="8" s="1"/>
  <c r="Q8" i="4"/>
  <c r="M8" i="4"/>
  <c r="S9" i="4"/>
  <c r="M9" i="4"/>
  <c r="L8" i="8" s="1"/>
  <c r="K9" i="4"/>
  <c r="K8" i="8"/>
  <c r="I9" i="1"/>
  <c r="F8" i="1"/>
  <c r="G8" i="1"/>
  <c r="F9" i="4"/>
  <c r="I8" i="8" s="1"/>
  <c r="F8" i="4"/>
  <c r="I7" i="8" s="1"/>
  <c r="R9" i="1"/>
  <c r="Q8" i="2"/>
  <c r="S20" i="1"/>
  <c r="W19" i="8"/>
  <c r="O10" i="1"/>
  <c r="P10" i="1" s="1"/>
  <c r="L9" i="1"/>
  <c r="M9" i="1" s="1"/>
  <c r="F9" i="1"/>
  <c r="G9" i="1"/>
  <c r="H9" i="4"/>
  <c r="J8" i="8"/>
  <c r="L11" i="1"/>
  <c r="V10" i="8" s="1"/>
  <c r="I10" i="1"/>
  <c r="J10" i="1" s="1"/>
  <c r="F10" i="1"/>
  <c r="S9" i="8" s="1"/>
  <c r="R11" i="1"/>
  <c r="S11" i="1"/>
  <c r="I11" i="1"/>
  <c r="J11" i="1" s="1"/>
  <c r="S11" i="2"/>
  <c r="S12" i="2"/>
  <c r="S10" i="2"/>
  <c r="S13" i="2"/>
  <c r="AC12" i="8" s="1"/>
  <c r="S20" i="2"/>
  <c r="S21" i="2"/>
  <c r="K24" i="2"/>
  <c r="P24" i="8"/>
  <c r="O4" i="1"/>
  <c r="U3" i="8" s="1"/>
  <c r="O5" i="1"/>
  <c r="R3" i="1"/>
  <c r="C4" i="2"/>
  <c r="I5" i="2"/>
  <c r="I4" i="2"/>
  <c r="I3" i="2"/>
  <c r="C8" i="2"/>
  <c r="E8" i="2"/>
  <c r="G8" i="2"/>
  <c r="I8" i="2"/>
  <c r="M8" i="2"/>
  <c r="O8" i="2"/>
  <c r="AB7" i="8"/>
  <c r="C5" i="2"/>
  <c r="E6" i="3"/>
  <c r="F5" i="8"/>
  <c r="E7" i="3"/>
  <c r="F6" i="8"/>
  <c r="G6" i="3"/>
  <c r="G5" i="8" s="1"/>
  <c r="E8" i="3"/>
  <c r="F7" i="8" s="1"/>
  <c r="U6" i="2"/>
  <c r="U7" i="2"/>
  <c r="U9" i="2"/>
  <c r="C9" i="2"/>
  <c r="Z8" i="8" s="1"/>
  <c r="M10" i="2"/>
  <c r="M9" i="2"/>
  <c r="E9" i="3"/>
  <c r="F8" i="8" s="1"/>
  <c r="I7" i="3"/>
  <c r="H6" i="8" s="1"/>
  <c r="G9" i="3"/>
  <c r="G8" i="8"/>
  <c r="G8" i="3"/>
  <c r="G7" i="8" s="1"/>
  <c r="G7" i="3"/>
  <c r="G6" i="8" s="1"/>
  <c r="E5" i="8"/>
  <c r="I8" i="3"/>
  <c r="H7" i="8" s="1"/>
  <c r="E6" i="8"/>
  <c r="AD6" i="8" s="1"/>
  <c r="AE6" i="8" s="1"/>
  <c r="I6" i="9" s="1"/>
  <c r="E7" i="8"/>
  <c r="C10" i="3"/>
  <c r="E9" i="8"/>
  <c r="C11" i="3"/>
  <c r="E10" i="8"/>
  <c r="C9" i="3"/>
  <c r="C31" i="3" s="1"/>
  <c r="E11" i="3"/>
  <c r="U8" i="2"/>
  <c r="M11" i="2"/>
  <c r="E9" i="2"/>
  <c r="O9" i="2"/>
  <c r="AB8" i="8"/>
  <c r="I9" i="2"/>
  <c r="G9" i="2"/>
  <c r="D9" i="4"/>
  <c r="Q8" i="8" s="1"/>
  <c r="O10" i="2"/>
  <c r="AB9" i="8"/>
  <c r="I10" i="2"/>
  <c r="I10" i="3"/>
  <c r="H9" i="8" s="1"/>
  <c r="I9" i="3"/>
  <c r="H8" i="8"/>
  <c r="C12" i="3"/>
  <c r="E11" i="8" s="1"/>
  <c r="S11" i="4"/>
  <c r="O10" i="8" s="1"/>
  <c r="E10" i="9" s="1"/>
  <c r="S10" i="4"/>
  <c r="O9" i="8" s="1"/>
  <c r="Q12" i="4"/>
  <c r="N11" i="8"/>
  <c r="Q9" i="4"/>
  <c r="N8" i="8" s="1"/>
  <c r="D10" i="4"/>
  <c r="Q9" i="8" s="1"/>
  <c r="W10" i="4"/>
  <c r="P9" i="8"/>
  <c r="W11" i="4"/>
  <c r="P10" i="8"/>
  <c r="O10" i="4"/>
  <c r="M9" i="8" s="1"/>
  <c r="M10" i="4"/>
  <c r="L9" i="8" s="1"/>
  <c r="K10" i="4"/>
  <c r="K9" i="8"/>
  <c r="K11" i="4"/>
  <c r="K10" i="8"/>
  <c r="F10" i="4"/>
  <c r="I9" i="8" s="1"/>
  <c r="U10" i="2"/>
  <c r="O11" i="2"/>
  <c r="AB10" i="8"/>
  <c r="C10" i="2"/>
  <c r="G10" i="3"/>
  <c r="G9" i="8" s="1"/>
  <c r="W12" i="4"/>
  <c r="U12" i="2"/>
  <c r="U11" i="2"/>
  <c r="O12" i="2"/>
  <c r="AB11" i="8"/>
  <c r="O13" i="2"/>
  <c r="AB12" i="8"/>
  <c r="AB13" i="8"/>
  <c r="I12" i="3"/>
  <c r="I11" i="3"/>
  <c r="H10" i="8" s="1"/>
  <c r="G12" i="3"/>
  <c r="G11" i="8" s="1"/>
  <c r="G11" i="3"/>
  <c r="G10" i="8"/>
  <c r="E10" i="3"/>
  <c r="F9" i="8" s="1"/>
  <c r="S13" i="4"/>
  <c r="O12" i="8" s="1"/>
  <c r="S12" i="4"/>
  <c r="O11" i="8"/>
  <c r="O11" i="4"/>
  <c r="M11" i="4"/>
  <c r="L10" i="8" s="1"/>
  <c r="M12" i="2"/>
  <c r="E12" i="2"/>
  <c r="E10" i="2"/>
  <c r="Q10" i="2"/>
  <c r="Q9" i="2"/>
  <c r="AC8" i="8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/>
  <c r="H13" i="8"/>
  <c r="E13" i="3"/>
  <c r="F12" i="8" s="1"/>
  <c r="O14" i="8"/>
  <c r="M13" i="4"/>
  <c r="L12" i="8" s="1"/>
  <c r="E13" i="2"/>
  <c r="S16" i="4"/>
  <c r="O15" i="8" s="1"/>
  <c r="M16" i="2"/>
  <c r="Q13" i="2"/>
  <c r="H14" i="8"/>
  <c r="E14" i="8"/>
  <c r="I17" i="2"/>
  <c r="I16" i="2"/>
  <c r="F11" i="1"/>
  <c r="S10" i="8"/>
  <c r="C12" i="1"/>
  <c r="D12" i="1" s="1"/>
  <c r="C11" i="1"/>
  <c r="D11" i="1" s="1"/>
  <c r="W13" i="4"/>
  <c r="P12" i="8"/>
  <c r="Q13" i="4"/>
  <c r="N12" i="8"/>
  <c r="M13" i="8"/>
  <c r="J14" i="8"/>
  <c r="F11" i="4"/>
  <c r="G11" i="9"/>
  <c r="G10" i="9"/>
  <c r="G13" i="3"/>
  <c r="G12" i="8" s="1"/>
  <c r="F13" i="8"/>
  <c r="O17" i="1"/>
  <c r="P17" i="1"/>
  <c r="T14" i="8"/>
  <c r="P13" i="8"/>
  <c r="M14" i="8"/>
  <c r="O16" i="4"/>
  <c r="G12" i="9"/>
  <c r="G13" i="8"/>
  <c r="E16" i="3"/>
  <c r="F15" i="8"/>
  <c r="F14" i="8"/>
  <c r="V13" i="8"/>
  <c r="I16" i="1"/>
  <c r="J16" i="1" s="1"/>
  <c r="N14" i="8"/>
  <c r="G16" i="3"/>
  <c r="G15" i="8"/>
  <c r="R16" i="1"/>
  <c r="L16" i="1"/>
  <c r="M16" i="1" s="1"/>
  <c r="K13" i="8"/>
  <c r="Q13" i="8"/>
  <c r="K14" i="8"/>
  <c r="Q14" i="8"/>
  <c r="D16" i="4"/>
  <c r="Q15" i="8"/>
  <c r="K16" i="4"/>
  <c r="K15" i="8" s="1"/>
  <c r="I16" i="3"/>
  <c r="H15" i="8" s="1"/>
  <c r="I17" i="3"/>
  <c r="H16" i="8" s="1"/>
  <c r="C16" i="3"/>
  <c r="E15" i="8"/>
  <c r="G15" i="9"/>
  <c r="M17" i="4"/>
  <c r="L16" i="8"/>
  <c r="M16" i="4"/>
  <c r="L15" i="8" s="1"/>
  <c r="L14" i="8"/>
  <c r="I14" i="8"/>
  <c r="F16" i="1"/>
  <c r="G16" i="1"/>
  <c r="G17" i="3"/>
  <c r="E17" i="3"/>
  <c r="F16" i="8" s="1"/>
  <c r="Q16" i="2"/>
  <c r="W16" i="4"/>
  <c r="Q16" i="4"/>
  <c r="F16" i="4"/>
  <c r="C16" i="2"/>
  <c r="E16" i="2"/>
  <c r="G16" i="2"/>
  <c r="O16" i="2"/>
  <c r="AB15" i="8"/>
  <c r="O19" i="2"/>
  <c r="AB18" i="8" s="1"/>
  <c r="AB14" i="8"/>
  <c r="E17" i="2"/>
  <c r="C17" i="2"/>
  <c r="D17" i="4"/>
  <c r="Q16" i="8" s="1"/>
  <c r="R17" i="1"/>
  <c r="W16" i="8" s="1"/>
  <c r="O16" i="1"/>
  <c r="U15" i="8"/>
  <c r="L17" i="1"/>
  <c r="W17" i="4"/>
  <c r="P16" i="8"/>
  <c r="Q17" i="4"/>
  <c r="N16" i="8"/>
  <c r="F17" i="4"/>
  <c r="I16" i="8" s="1"/>
  <c r="F19" i="4"/>
  <c r="I18" i="8" s="1"/>
  <c r="U16" i="2"/>
  <c r="Q18" i="2"/>
  <c r="AC17" i="8" s="1"/>
  <c r="F18" i="4"/>
  <c r="C18" i="2"/>
  <c r="E18" i="2"/>
  <c r="G18" i="2"/>
  <c r="M18" i="2"/>
  <c r="Q17" i="2"/>
  <c r="G17" i="2"/>
  <c r="M17" i="2"/>
  <c r="O17" i="2"/>
  <c r="AB16" i="8"/>
  <c r="R18" i="1"/>
  <c r="S18" i="1" s="1"/>
  <c r="E19" i="2"/>
  <c r="G19" i="2"/>
  <c r="M19" i="2"/>
  <c r="Q19" i="2"/>
  <c r="U17" i="2"/>
  <c r="R19" i="1"/>
  <c r="W18" i="8" s="1"/>
  <c r="M22" i="4"/>
  <c r="L21" i="8"/>
  <c r="U18" i="2"/>
  <c r="U19" i="2"/>
  <c r="G20" i="2"/>
  <c r="L20" i="1"/>
  <c r="M20" i="1"/>
  <c r="U20" i="2"/>
  <c r="G21" i="2"/>
  <c r="U22" i="2"/>
  <c r="U21" i="2"/>
  <c r="W20" i="4"/>
  <c r="P19" i="8" s="1"/>
  <c r="F20" i="4"/>
  <c r="I19" i="8"/>
  <c r="L21" i="1"/>
  <c r="M21" i="1"/>
  <c r="I17" i="1"/>
  <c r="U23" i="2"/>
  <c r="E20" i="2"/>
  <c r="E21" i="2"/>
  <c r="C20" i="2"/>
  <c r="Z19" i="8" s="1"/>
  <c r="S22" i="4"/>
  <c r="O21" i="8" s="1"/>
  <c r="K20" i="4"/>
  <c r="K19" i="8" s="1"/>
  <c r="G18" i="9"/>
  <c r="O18" i="1"/>
  <c r="U17" i="8"/>
  <c r="L23" i="1"/>
  <c r="M23" i="1" s="1"/>
  <c r="L22" i="1"/>
  <c r="M22" i="1" s="1"/>
  <c r="I20" i="1"/>
  <c r="T20" i="1" s="1"/>
  <c r="U20" i="1" s="1"/>
  <c r="F20" i="1"/>
  <c r="U24" i="2"/>
  <c r="M20" i="2"/>
  <c r="AA19" i="8" s="1"/>
  <c r="C21" i="2"/>
  <c r="S20" i="4"/>
  <c r="O19" i="8"/>
  <c r="K21" i="4"/>
  <c r="D20" i="4"/>
  <c r="Q19" i="8" s="1"/>
  <c r="O19" i="1"/>
  <c r="P19" i="1"/>
  <c r="U25" i="2"/>
  <c r="Q21" i="2"/>
  <c r="AC20" i="8" s="1"/>
  <c r="C22" i="2"/>
  <c r="C23" i="2"/>
  <c r="O20" i="4"/>
  <c r="K22" i="4"/>
  <c r="K21" i="8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D29" i="4"/>
  <c r="Q28" i="8" s="1"/>
  <c r="O29" i="4"/>
  <c r="M28" i="8" s="1"/>
  <c r="Q29" i="4"/>
  <c r="N28" i="8"/>
  <c r="K29" i="4"/>
  <c r="K28" i="8" s="1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D30" i="4"/>
  <c r="Q29" i="8" s="1"/>
  <c r="O30" i="4"/>
  <c r="M29" i="8"/>
  <c r="Q30" i="4"/>
  <c r="N29" i="8"/>
  <c r="K30" i="4"/>
  <c r="K29" i="8" s="1"/>
  <c r="M30" i="4"/>
  <c r="L29" i="8" s="1"/>
  <c r="C30" i="2"/>
  <c r="E30" i="2"/>
  <c r="G30" i="2"/>
  <c r="I30" i="2"/>
  <c r="Z29" i="8" s="1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/>
  <c r="G19" i="3"/>
  <c r="G18" i="8"/>
  <c r="G20" i="3"/>
  <c r="G21" i="3"/>
  <c r="G20" i="8"/>
  <c r="C21" i="3"/>
  <c r="E20" i="8" s="1"/>
  <c r="AD20" i="8" s="1"/>
  <c r="G22" i="3"/>
  <c r="G21" i="8" s="1"/>
  <c r="G23" i="3"/>
  <c r="G22" i="8" s="1"/>
  <c r="O21" i="1"/>
  <c r="U20" i="8"/>
  <c r="O22" i="1"/>
  <c r="U21" i="8" s="1"/>
  <c r="O20" i="1"/>
  <c r="U19" i="8" s="1"/>
  <c r="I21" i="1"/>
  <c r="F22" i="1"/>
  <c r="G22" i="1"/>
  <c r="F23" i="1"/>
  <c r="G23" i="1" s="1"/>
  <c r="I22" i="3"/>
  <c r="H21" i="8" s="1"/>
  <c r="E22" i="3"/>
  <c r="F21" i="8"/>
  <c r="E21" i="3"/>
  <c r="F20" i="8"/>
  <c r="E20" i="3"/>
  <c r="F19" i="8" s="1"/>
  <c r="C22" i="3"/>
  <c r="E21" i="8" s="1"/>
  <c r="O23" i="1"/>
  <c r="P23" i="1" s="1"/>
  <c r="I22" i="1"/>
  <c r="J22" i="1" s="1"/>
  <c r="I23" i="3"/>
  <c r="H22" i="8" s="1"/>
  <c r="C23" i="3"/>
  <c r="E22" i="8"/>
  <c r="I26" i="1"/>
  <c r="T25" i="8"/>
  <c r="I23" i="1"/>
  <c r="J23" i="1" s="1"/>
  <c r="I24" i="3"/>
  <c r="H23" i="8" s="1"/>
  <c r="C24" i="3"/>
  <c r="E23" i="8"/>
  <c r="S21" i="4"/>
  <c r="O20" i="8"/>
  <c r="Q22" i="4"/>
  <c r="N21" i="8" s="1"/>
  <c r="Q21" i="4"/>
  <c r="Q20" i="4"/>
  <c r="N19" i="8"/>
  <c r="O21" i="4"/>
  <c r="M20" i="8"/>
  <c r="O22" i="4"/>
  <c r="D21" i="4"/>
  <c r="Q20" i="8" s="1"/>
  <c r="D22" i="4"/>
  <c r="Q21" i="8"/>
  <c r="O21" i="2"/>
  <c r="AB20" i="8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/>
  <c r="Q23" i="4"/>
  <c r="N22" i="8"/>
  <c r="O23" i="4"/>
  <c r="M22" i="8" s="1"/>
  <c r="M22" i="2"/>
  <c r="G23" i="2"/>
  <c r="E23" i="2"/>
  <c r="W22" i="4"/>
  <c r="P21" i="8" s="1"/>
  <c r="O24" i="4"/>
  <c r="M23" i="8" s="1"/>
  <c r="W24" i="4"/>
  <c r="P23" i="8"/>
  <c r="W26" i="4"/>
  <c r="W23" i="4"/>
  <c r="S23" i="4"/>
  <c r="O22" i="8" s="1"/>
  <c r="L24" i="1"/>
  <c r="M24" i="1" s="1"/>
  <c r="R21" i="1"/>
  <c r="W20" i="8"/>
  <c r="E23" i="3"/>
  <c r="F22" i="8" s="1"/>
  <c r="F23" i="4"/>
  <c r="F22" i="4"/>
  <c r="I21" i="8"/>
  <c r="F24" i="1"/>
  <c r="R22" i="1"/>
  <c r="R23" i="1"/>
  <c r="W22" i="8"/>
  <c r="M23" i="2"/>
  <c r="I25" i="3"/>
  <c r="H24" i="8" s="1"/>
  <c r="G24" i="3"/>
  <c r="G23" i="8"/>
  <c r="E24" i="3"/>
  <c r="F23" i="8" s="1"/>
  <c r="I25" i="1"/>
  <c r="J25" i="1" s="1"/>
  <c r="I24" i="1"/>
  <c r="T23" i="8"/>
  <c r="S24" i="4"/>
  <c r="O23" i="8"/>
  <c r="S25" i="4"/>
  <c r="M23" i="4"/>
  <c r="L22" i="8" s="1"/>
  <c r="G23" i="9"/>
  <c r="C24" i="2"/>
  <c r="O23" i="2"/>
  <c r="AB22" i="8"/>
  <c r="M24" i="2"/>
  <c r="I24" i="2"/>
  <c r="E24" i="2"/>
  <c r="E25" i="3"/>
  <c r="F24" i="8"/>
  <c r="R24" i="1"/>
  <c r="W23" i="8" s="1"/>
  <c r="O24" i="1"/>
  <c r="P24" i="1"/>
  <c r="S26" i="4"/>
  <c r="O25" i="8"/>
  <c r="D23" i="4"/>
  <c r="Q22" i="8"/>
  <c r="O25" i="2"/>
  <c r="AB24" i="8" s="1"/>
  <c r="O24" i="2"/>
  <c r="AB23" i="8" s="1"/>
  <c r="M25" i="2"/>
  <c r="I25" i="2"/>
  <c r="I26" i="2"/>
  <c r="D24" i="4"/>
  <c r="Q23" i="8" s="1"/>
  <c r="D25" i="4"/>
  <c r="Q24" i="8"/>
  <c r="D26" i="4"/>
  <c r="Q25" i="8" s="1"/>
  <c r="G25" i="2"/>
  <c r="E25" i="2"/>
  <c r="G26" i="3"/>
  <c r="G25" i="8"/>
  <c r="G25" i="3"/>
  <c r="G24" i="8"/>
  <c r="C26" i="3"/>
  <c r="E25" i="8" s="1"/>
  <c r="AD25" i="8" s="1"/>
  <c r="C25" i="3"/>
  <c r="E24" i="8" s="1"/>
  <c r="W27" i="4"/>
  <c r="Q25" i="4"/>
  <c r="N24" i="8"/>
  <c r="Q24" i="4"/>
  <c r="N23" i="8" s="1"/>
  <c r="M25" i="4"/>
  <c r="L24" i="8" s="1"/>
  <c r="M24" i="4"/>
  <c r="K26" i="4"/>
  <c r="K25" i="8"/>
  <c r="K25" i="4"/>
  <c r="K24" i="8" s="1"/>
  <c r="R25" i="1"/>
  <c r="W24" i="8"/>
  <c r="L25" i="1"/>
  <c r="M25" i="1" s="1"/>
  <c r="I27" i="1"/>
  <c r="E26" i="2"/>
  <c r="Q26" i="4"/>
  <c r="N25" i="8" s="1"/>
  <c r="Q27" i="4"/>
  <c r="N26" i="8"/>
  <c r="O25" i="4"/>
  <c r="M24" i="8"/>
  <c r="M26" i="4"/>
  <c r="R26" i="1"/>
  <c r="W25" i="8" s="1"/>
  <c r="E27" i="2"/>
  <c r="O26" i="4"/>
  <c r="M25" i="8" s="1"/>
  <c r="M27" i="4"/>
  <c r="L26" i="8"/>
  <c r="E28" i="2"/>
  <c r="O26" i="2"/>
  <c r="AB25" i="8" s="1"/>
  <c r="I28" i="2"/>
  <c r="Z27" i="8" s="1"/>
  <c r="I27" i="2"/>
  <c r="G27" i="2"/>
  <c r="G26" i="2"/>
  <c r="E26" i="3"/>
  <c r="F25" i="8" s="1"/>
  <c r="O27" i="4"/>
  <c r="M26" i="8" s="1"/>
  <c r="M28" i="4"/>
  <c r="S28" i="4"/>
  <c r="O27" i="8"/>
  <c r="S27" i="4"/>
  <c r="O28" i="4"/>
  <c r="M27" i="8" s="1"/>
  <c r="K27" i="4"/>
  <c r="K26" i="8"/>
  <c r="I27" i="3"/>
  <c r="H26" i="8"/>
  <c r="I26" i="3"/>
  <c r="H25" i="8" s="1"/>
  <c r="E27" i="3"/>
  <c r="F26" i="8" s="1"/>
  <c r="C29" i="3"/>
  <c r="E28" i="8" s="1"/>
  <c r="C28" i="3"/>
  <c r="E27" i="8" s="1"/>
  <c r="C27" i="3"/>
  <c r="E26" i="8"/>
  <c r="O27" i="2"/>
  <c r="AB26" i="8"/>
  <c r="M27" i="2"/>
  <c r="M26" i="2"/>
  <c r="C25" i="2"/>
  <c r="G28" i="2"/>
  <c r="W28" i="4"/>
  <c r="P27" i="8"/>
  <c r="Q28" i="4"/>
  <c r="N27" i="8"/>
  <c r="K28" i="4"/>
  <c r="K27" i="8"/>
  <c r="D27" i="4"/>
  <c r="Q26" i="8" s="1"/>
  <c r="I29" i="3"/>
  <c r="I28" i="3"/>
  <c r="H27" i="8" s="1"/>
  <c r="G27" i="3"/>
  <c r="G26" i="8" s="1"/>
  <c r="E28" i="3"/>
  <c r="F27" i="8" s="1"/>
  <c r="C30" i="3"/>
  <c r="E29" i="8"/>
  <c r="O28" i="2"/>
  <c r="AB27" i="8" s="1"/>
  <c r="M28" i="2"/>
  <c r="C27" i="2"/>
  <c r="Q27" i="8"/>
  <c r="I30" i="3"/>
  <c r="H29" i="8"/>
  <c r="G28" i="3"/>
  <c r="G27" i="8" s="1"/>
  <c r="G29" i="3"/>
  <c r="G28" i="8" s="1"/>
  <c r="E29" i="3"/>
  <c r="F28" i="8" s="1"/>
  <c r="C28" i="2"/>
  <c r="R27" i="1"/>
  <c r="W26" i="8" s="1"/>
  <c r="S27" i="1"/>
  <c r="R28" i="1"/>
  <c r="W27" i="8"/>
  <c r="O26" i="1"/>
  <c r="U25" i="8"/>
  <c r="O25" i="1"/>
  <c r="F26" i="1"/>
  <c r="S25" i="8" s="1"/>
  <c r="G26" i="1"/>
  <c r="F25" i="1"/>
  <c r="S24" i="8"/>
  <c r="E30" i="3"/>
  <c r="F29" i="8"/>
  <c r="O27" i="1"/>
  <c r="U26" i="8"/>
  <c r="L26" i="1"/>
  <c r="I28" i="1"/>
  <c r="J28" i="1" s="1"/>
  <c r="I29" i="1"/>
  <c r="J29" i="1" s="1"/>
  <c r="F27" i="1"/>
  <c r="G27" i="1" s="1"/>
  <c r="G27" i="9"/>
  <c r="G26" i="9"/>
  <c r="G28" i="9"/>
  <c r="O28" i="1"/>
  <c r="U27" i="8" s="1"/>
  <c r="P28" i="1"/>
  <c r="L27" i="1"/>
  <c r="M27" i="1"/>
  <c r="F28" i="1"/>
  <c r="S27" i="8"/>
  <c r="O29" i="1"/>
  <c r="P29" i="1" s="1"/>
  <c r="L28" i="1"/>
  <c r="V27" i="8"/>
  <c r="F29" i="1"/>
  <c r="G29" i="1" s="1"/>
  <c r="L29" i="1"/>
  <c r="M29" i="1" s="1"/>
  <c r="AC18" i="8"/>
  <c r="AA2" i="8"/>
  <c r="S5" i="1"/>
  <c r="AA6" i="8"/>
  <c r="AA23" i="8"/>
  <c r="AC10" i="8"/>
  <c r="AC7" i="8"/>
  <c r="AA3" i="8"/>
  <c r="S19" i="1"/>
  <c r="V15" i="8"/>
  <c r="J5" i="1"/>
  <c r="G11" i="1"/>
  <c r="T13" i="8"/>
  <c r="P3" i="1"/>
  <c r="AC19" i="8"/>
  <c r="AC11" i="8"/>
  <c r="S21" i="1"/>
  <c r="U13" i="8"/>
  <c r="V21" i="8"/>
  <c r="Z20" i="8"/>
  <c r="U18" i="8"/>
  <c r="P26" i="1"/>
  <c r="P20" i="1"/>
  <c r="V19" i="8"/>
  <c r="V26" i="8"/>
  <c r="T24" i="8"/>
  <c r="H16" i="4"/>
  <c r="I16" i="4" s="1"/>
  <c r="S26" i="1"/>
  <c r="W17" i="8"/>
  <c r="U16" i="8"/>
  <c r="P22" i="1"/>
  <c r="M28" i="1"/>
  <c r="V14" i="8"/>
  <c r="T15" i="8"/>
  <c r="S22" i="8"/>
  <c r="S28" i="8"/>
  <c r="G25" i="1"/>
  <c r="S15" i="8"/>
  <c r="V9" i="8"/>
  <c r="T9" i="8"/>
  <c r="I15" i="8"/>
  <c r="Z16" i="8"/>
  <c r="AC9" i="8"/>
  <c r="J25" i="3"/>
  <c r="K25" i="3" s="1"/>
  <c r="J13" i="3"/>
  <c r="K13" i="3" s="1"/>
  <c r="J22" i="3"/>
  <c r="K22" i="3" s="1"/>
  <c r="Z10" i="4"/>
  <c r="AA7" i="8"/>
  <c r="I6" i="8"/>
  <c r="U8" i="8"/>
  <c r="P8" i="1"/>
  <c r="S6" i="8"/>
  <c r="V5" i="8"/>
  <c r="R6" i="8"/>
  <c r="M4" i="1"/>
  <c r="V28" i="8"/>
  <c r="P27" i="1"/>
  <c r="J26" i="1"/>
  <c r="V22" i="8"/>
  <c r="S13" i="8"/>
  <c r="U14" i="8"/>
  <c r="U9" i="8"/>
  <c r="M11" i="1"/>
  <c r="S5" i="8"/>
  <c r="R5" i="8"/>
  <c r="S28" i="1"/>
  <c r="V20" i="8"/>
  <c r="T22" i="8"/>
  <c r="P18" i="1"/>
  <c r="W7" i="8"/>
  <c r="R7" i="8"/>
  <c r="G10" i="1"/>
  <c r="M7" i="1"/>
  <c r="T6" i="1"/>
  <c r="U6" i="1" s="1"/>
  <c r="S10" i="1"/>
  <c r="W13" i="8"/>
  <c r="W10" i="8"/>
  <c r="S17" i="1"/>
  <c r="P21" i="1"/>
  <c r="V24" i="8"/>
  <c r="T27" i="8"/>
  <c r="J6" i="1"/>
  <c r="S7" i="8"/>
  <c r="R10" i="8"/>
  <c r="R11" i="8"/>
  <c r="R9" i="8"/>
  <c r="I4" i="4"/>
  <c r="S2" i="8"/>
  <c r="R3" i="8"/>
  <c r="V2" i="8"/>
  <c r="Z23" i="4"/>
  <c r="Z8" i="4"/>
  <c r="X22" i="4"/>
  <c r="Y22" i="4" s="1"/>
  <c r="X10" i="4"/>
  <c r="I10" i="4"/>
  <c r="I9" i="4"/>
  <c r="I3" i="8"/>
  <c r="I13" i="8"/>
  <c r="X4" i="4"/>
  <c r="J23" i="3"/>
  <c r="K23" i="3" s="1"/>
  <c r="J16" i="3"/>
  <c r="K16" i="3" s="1"/>
  <c r="AD24" i="8"/>
  <c r="AD10" i="8"/>
  <c r="AE10" i="8"/>
  <c r="I10" i="9" s="1"/>
  <c r="J3" i="3"/>
  <c r="Z5" i="8"/>
  <c r="Z24" i="8"/>
  <c r="Z23" i="8"/>
  <c r="Z14" i="8"/>
  <c r="Z13" i="8"/>
  <c r="Z21" i="8"/>
  <c r="Z22" i="8"/>
  <c r="Z3" i="8"/>
  <c r="Z26" i="4"/>
  <c r="P25" i="8"/>
  <c r="R29" i="1"/>
  <c r="Z18" i="8"/>
  <c r="I18" i="2"/>
  <c r="Z17" i="8"/>
  <c r="M5" i="1"/>
  <c r="V4" i="8"/>
  <c r="L4" i="8"/>
  <c r="F13" i="1"/>
  <c r="S12" i="8" s="1"/>
  <c r="F12" i="1"/>
  <c r="O13" i="1"/>
  <c r="P13" i="1" s="1"/>
  <c r="O11" i="1"/>
  <c r="T11" i="1"/>
  <c r="U11" i="1" s="1"/>
  <c r="G28" i="1"/>
  <c r="S26" i="8"/>
  <c r="S25" i="1"/>
  <c r="X23" i="4"/>
  <c r="U23" i="8"/>
  <c r="I22" i="8"/>
  <c r="Y22" i="8" s="1"/>
  <c r="S21" i="8"/>
  <c r="M20" i="4"/>
  <c r="M21" i="4"/>
  <c r="O18" i="2"/>
  <c r="AB17" i="8" s="1"/>
  <c r="Q18" i="4"/>
  <c r="N17" i="8" s="1"/>
  <c r="Q19" i="4"/>
  <c r="N18" i="8"/>
  <c r="W18" i="4"/>
  <c r="Z18" i="4" s="1"/>
  <c r="W19" i="4"/>
  <c r="P15" i="8"/>
  <c r="P14" i="8"/>
  <c r="K13" i="4"/>
  <c r="K12" i="4"/>
  <c r="F13" i="4"/>
  <c r="I13" i="4"/>
  <c r="F12" i="4"/>
  <c r="D11" i="4"/>
  <c r="Q10" i="8" s="1"/>
  <c r="C11" i="2"/>
  <c r="Z10" i="8" s="1"/>
  <c r="U5" i="8"/>
  <c r="P6" i="1"/>
  <c r="I17" i="8"/>
  <c r="I11" i="2"/>
  <c r="G4" i="1"/>
  <c r="U28" i="8"/>
  <c r="G30" i="3"/>
  <c r="G29" i="8" s="1"/>
  <c r="X25" i="4"/>
  <c r="Y25" i="4" s="1"/>
  <c r="P22" i="8"/>
  <c r="T21" i="8"/>
  <c r="U22" i="8"/>
  <c r="Z28" i="8"/>
  <c r="J17" i="1"/>
  <c r="T16" i="8"/>
  <c r="M18" i="4"/>
  <c r="L17" i="8"/>
  <c r="M19" i="4"/>
  <c r="L18" i="8"/>
  <c r="K17" i="4"/>
  <c r="I10" i="8"/>
  <c r="M10" i="8"/>
  <c r="P11" i="8"/>
  <c r="S9" i="1"/>
  <c r="W8" i="8"/>
  <c r="J9" i="1"/>
  <c r="P8" i="8"/>
  <c r="Z9" i="4"/>
  <c r="M8" i="8"/>
  <c r="Z28" i="4"/>
  <c r="J24" i="3"/>
  <c r="K24" i="3" s="1"/>
  <c r="S24" i="1"/>
  <c r="J24" i="1"/>
  <c r="S23" i="1"/>
  <c r="W29" i="4"/>
  <c r="W30" i="4"/>
  <c r="N15" i="8"/>
  <c r="X16" i="4"/>
  <c r="Y16" i="4" s="1"/>
  <c r="S14" i="8"/>
  <c r="C17" i="3"/>
  <c r="D19" i="4"/>
  <c r="Q18" i="8" s="1"/>
  <c r="D18" i="4"/>
  <c r="Q17" i="8"/>
  <c r="S16" i="1"/>
  <c r="W15" i="8"/>
  <c r="O17" i="4"/>
  <c r="M16" i="8" s="1"/>
  <c r="S17" i="4"/>
  <c r="X17" i="4" s="1"/>
  <c r="T9" i="1"/>
  <c r="U9" i="1" s="1"/>
  <c r="O12" i="4"/>
  <c r="M11" i="8" s="1"/>
  <c r="O13" i="4"/>
  <c r="X13" i="4" s="1"/>
  <c r="Z4" i="8"/>
  <c r="K5" i="8"/>
  <c r="H4" i="8"/>
  <c r="K5" i="3"/>
  <c r="J5" i="8"/>
  <c r="I6" i="4"/>
  <c r="K9" i="2"/>
  <c r="G21" i="1"/>
  <c r="J10" i="8"/>
  <c r="S3" i="1"/>
  <c r="W2" i="8"/>
  <c r="N7" i="8"/>
  <c r="S7" i="1"/>
  <c r="W6" i="8"/>
  <c r="M8" i="1"/>
  <c r="V7" i="8"/>
  <c r="P4" i="8"/>
  <c r="Z5" i="4"/>
  <c r="R2" i="8"/>
  <c r="K17" i="2"/>
  <c r="T6" i="8"/>
  <c r="J7" i="1"/>
  <c r="G3" i="8"/>
  <c r="J4" i="3"/>
  <c r="K4" i="3" s="1"/>
  <c r="Z3" i="4"/>
  <c r="Q11" i="4"/>
  <c r="J6" i="3"/>
  <c r="K6" i="3" s="1"/>
  <c r="P7" i="1"/>
  <c r="M17" i="1"/>
  <c r="V16" i="8"/>
  <c r="F18" i="1"/>
  <c r="T18" i="1" s="1"/>
  <c r="U18" i="1" s="1"/>
  <c r="F19" i="1"/>
  <c r="L13" i="1"/>
  <c r="M13" i="1" s="1"/>
  <c r="L12" i="1"/>
  <c r="R12" i="1"/>
  <c r="S12" i="1" s="1"/>
  <c r="R13" i="1"/>
  <c r="G20" i="1"/>
  <c r="S19" i="8"/>
  <c r="I18" i="1"/>
  <c r="J18" i="1" s="1"/>
  <c r="I19" i="1"/>
  <c r="I13" i="1"/>
  <c r="T12" i="8" s="1"/>
  <c r="I12" i="1"/>
  <c r="J12" i="1" s="1"/>
  <c r="O12" i="1"/>
  <c r="P12" i="1" s="1"/>
  <c r="P16" i="1"/>
  <c r="F17" i="1"/>
  <c r="T8" i="1"/>
  <c r="U8" i="1"/>
  <c r="V8" i="8"/>
  <c r="T7" i="1"/>
  <c r="U7" i="1" s="1"/>
  <c r="P4" i="1"/>
  <c r="J3" i="1"/>
  <c r="T3" i="8"/>
  <c r="T4" i="1"/>
  <c r="W3" i="8"/>
  <c r="T10" i="8"/>
  <c r="S8" i="8"/>
  <c r="S6" i="1"/>
  <c r="L2" i="8"/>
  <c r="O2" i="8"/>
  <c r="N2" i="8"/>
  <c r="M2" i="8"/>
  <c r="J2" i="8"/>
  <c r="I2" i="8"/>
  <c r="Y2" i="8" s="1"/>
  <c r="Q2" i="8"/>
  <c r="G19" i="8"/>
  <c r="J20" i="3"/>
  <c r="K20" i="3" s="1"/>
  <c r="G16" i="8"/>
  <c r="E18" i="3"/>
  <c r="E31" i="3" s="1"/>
  <c r="E19" i="3"/>
  <c r="J19" i="3" s="1"/>
  <c r="K19" i="3" s="1"/>
  <c r="AD29" i="8"/>
  <c r="AE29" i="8"/>
  <c r="I29" i="9"/>
  <c r="AD21" i="8"/>
  <c r="AE21" i="8"/>
  <c r="I21" i="9"/>
  <c r="AD7" i="8"/>
  <c r="AE7" i="8" s="1"/>
  <c r="I7" i="9" s="1"/>
  <c r="AD3" i="8"/>
  <c r="AE3" i="8" s="1"/>
  <c r="I3" i="9" s="1"/>
  <c r="AD19" i="8"/>
  <c r="AE19" i="8"/>
  <c r="I19" i="9" s="1"/>
  <c r="AD5" i="8"/>
  <c r="J28" i="3"/>
  <c r="K28" i="3" s="1"/>
  <c r="F10" i="8"/>
  <c r="J11" i="3"/>
  <c r="K11" i="3"/>
  <c r="J10" i="3"/>
  <c r="K10" i="3" s="1"/>
  <c r="J8" i="3"/>
  <c r="K8" i="3" s="1"/>
  <c r="J29" i="3"/>
  <c r="K29" i="3" s="1"/>
  <c r="H28" i="8"/>
  <c r="AD27" i="8"/>
  <c r="AE27" i="8"/>
  <c r="I27" i="9" s="1"/>
  <c r="AD26" i="8"/>
  <c r="AE26" i="8"/>
  <c r="I26" i="9"/>
  <c r="J27" i="3"/>
  <c r="K27" i="3" s="1"/>
  <c r="J26" i="3"/>
  <c r="K26" i="3" s="1"/>
  <c r="AD23" i="8"/>
  <c r="AD22" i="8"/>
  <c r="AE22" i="8"/>
  <c r="I22" i="9" s="1"/>
  <c r="H17" i="8"/>
  <c r="AD14" i="8"/>
  <c r="AE14" i="8" s="1"/>
  <c r="I14" i="9" s="1"/>
  <c r="AE20" i="8"/>
  <c r="I20" i="9"/>
  <c r="J21" i="3"/>
  <c r="K21" i="3"/>
  <c r="H11" i="8"/>
  <c r="AD11" i="8" s="1"/>
  <c r="I31" i="3"/>
  <c r="J12" i="3"/>
  <c r="K12" i="3" s="1"/>
  <c r="J7" i="3"/>
  <c r="K7" i="3"/>
  <c r="H17" i="4"/>
  <c r="J16" i="8" s="1"/>
  <c r="J15" i="8"/>
  <c r="Z12" i="4"/>
  <c r="W31" i="4"/>
  <c r="Y10" i="4"/>
  <c r="AD28" i="8"/>
  <c r="AE28" i="8"/>
  <c r="I28" i="9" s="1"/>
  <c r="K10" i="2"/>
  <c r="AA9" i="8"/>
  <c r="Z13" i="4"/>
  <c r="S19" i="4"/>
  <c r="O18" i="8" s="1"/>
  <c r="S18" i="4"/>
  <c r="O17" i="8" s="1"/>
  <c r="P29" i="8"/>
  <c r="Z30" i="4"/>
  <c r="X30" i="4"/>
  <c r="K16" i="8"/>
  <c r="I12" i="2"/>
  <c r="I13" i="2"/>
  <c r="D12" i="4"/>
  <c r="D13" i="4"/>
  <c r="Q12" i="8" s="1"/>
  <c r="I12" i="8"/>
  <c r="K12" i="8"/>
  <c r="P18" i="8"/>
  <c r="G12" i="1"/>
  <c r="S11" i="8"/>
  <c r="S29" i="1"/>
  <c r="W28" i="8"/>
  <c r="J12" i="8"/>
  <c r="J11" i="8"/>
  <c r="C12" i="2"/>
  <c r="K11" i="8"/>
  <c r="X12" i="4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L20" i="8"/>
  <c r="J30" i="3"/>
  <c r="K30" i="3"/>
  <c r="I11" i="8"/>
  <c r="Y11" i="8" s="1"/>
  <c r="Z11" i="4"/>
  <c r="N10" i="8"/>
  <c r="G11" i="2"/>
  <c r="Y14" i="8"/>
  <c r="I11" i="4"/>
  <c r="X11" i="4"/>
  <c r="X29" i="4"/>
  <c r="P11" i="1"/>
  <c r="U10" i="8"/>
  <c r="U4" i="1"/>
  <c r="L18" i="1"/>
  <c r="M18" i="1" s="1"/>
  <c r="L19" i="1"/>
  <c r="U11" i="8"/>
  <c r="W11" i="8"/>
  <c r="S17" i="8"/>
  <c r="G17" i="1"/>
  <c r="S16" i="8"/>
  <c r="T11" i="8"/>
  <c r="T12" i="1"/>
  <c r="U12" i="1" s="1"/>
  <c r="T18" i="8"/>
  <c r="J19" i="1"/>
  <c r="W12" i="8"/>
  <c r="S13" i="1"/>
  <c r="V11" i="8"/>
  <c r="M12" i="1"/>
  <c r="G19" i="1"/>
  <c r="S18" i="8"/>
  <c r="F18" i="8"/>
  <c r="H18" i="4"/>
  <c r="I12" i="4"/>
  <c r="Y12" i="4"/>
  <c r="K17" i="8"/>
  <c r="K11" i="2"/>
  <c r="AA13" i="4"/>
  <c r="E17" i="8"/>
  <c r="AD17" i="8"/>
  <c r="J18" i="3"/>
  <c r="K18" i="3" s="1"/>
  <c r="K19" i="2"/>
  <c r="AA18" i="8"/>
  <c r="AD18" i="8"/>
  <c r="Q11" i="8"/>
  <c r="G12" i="2"/>
  <c r="Z11" i="8" s="1"/>
  <c r="G13" i="2"/>
  <c r="Z12" i="8"/>
  <c r="K18" i="8"/>
  <c r="X19" i="4"/>
  <c r="M17" i="8"/>
  <c r="Z19" i="4"/>
  <c r="Y13" i="4"/>
  <c r="Y10" i="8"/>
  <c r="V18" i="8"/>
  <c r="M19" i="1"/>
  <c r="J17" i="8"/>
  <c r="I18" i="4"/>
  <c r="H19" i="4"/>
  <c r="J18" i="8" s="1"/>
  <c r="Y18" i="8" s="1"/>
  <c r="K12" i="2"/>
  <c r="AA11" i="8"/>
  <c r="K21" i="2"/>
  <c r="AA20" i="8"/>
  <c r="AA10" i="8"/>
  <c r="I19" i="4"/>
  <c r="Y19" i="4" s="1"/>
  <c r="H20" i="4"/>
  <c r="J19" i="8" s="1"/>
  <c r="K22" i="2"/>
  <c r="AA21" i="8" s="1"/>
  <c r="K23" i="2"/>
  <c r="AA22" i="8" s="1"/>
  <c r="K13" i="2"/>
  <c r="AA12" i="8" s="1"/>
  <c r="H21" i="4"/>
  <c r="J20" i="8" s="1"/>
  <c r="I21" i="4"/>
  <c r="H22" i="4"/>
  <c r="J21" i="8" s="1"/>
  <c r="I22" i="4"/>
  <c r="H24" i="4"/>
  <c r="J23" i="8" s="1"/>
  <c r="I23" i="4"/>
  <c r="Y23" i="4" s="1"/>
  <c r="J22" i="8"/>
  <c r="H25" i="4"/>
  <c r="I25" i="4" s="1"/>
  <c r="J24" i="8"/>
  <c r="H26" i="4"/>
  <c r="J25" i="8"/>
  <c r="H27" i="4"/>
  <c r="H28" i="4"/>
  <c r="J27" i="8" s="1"/>
  <c r="J26" i="8"/>
  <c r="H29" i="4"/>
  <c r="H30" i="4"/>
  <c r="J29" i="8" s="1"/>
  <c r="J28" i="8"/>
  <c r="K4" i="11"/>
  <c r="K5" i="11" s="1"/>
  <c r="C13" i="1"/>
  <c r="R12" i="8" s="1"/>
  <c r="R13" i="8"/>
  <c r="C16" i="1"/>
  <c r="T16" i="1" s="1"/>
  <c r="U16" i="1" s="1"/>
  <c r="R14" i="8"/>
  <c r="C17" i="1"/>
  <c r="D17" i="1"/>
  <c r="R16" i="8"/>
  <c r="T17" i="1"/>
  <c r="U17" i="1" s="1"/>
  <c r="D18" i="1"/>
  <c r="R18" i="8"/>
  <c r="T19" i="1"/>
  <c r="U19" i="1" s="1"/>
  <c r="D19" i="1"/>
  <c r="C21" i="1"/>
  <c r="D20" i="1"/>
  <c r="R19" i="8"/>
  <c r="C22" i="1"/>
  <c r="R21" i="8" s="1"/>
  <c r="R20" i="8"/>
  <c r="T21" i="1"/>
  <c r="U21" i="1" s="1"/>
  <c r="D21" i="1"/>
  <c r="C23" i="1"/>
  <c r="R22" i="8" s="1"/>
  <c r="C24" i="1"/>
  <c r="D24" i="1" s="1"/>
  <c r="T23" i="1"/>
  <c r="U23" i="1" s="1"/>
  <c r="C25" i="1"/>
  <c r="T25" i="1" s="1"/>
  <c r="U25" i="1" s="1"/>
  <c r="R23" i="8"/>
  <c r="T24" i="1"/>
  <c r="U24" i="1" s="1"/>
  <c r="C26" i="1"/>
  <c r="D25" i="1"/>
  <c r="R24" i="8"/>
  <c r="C27" i="1"/>
  <c r="T26" i="1"/>
  <c r="U26" i="1" s="1"/>
  <c r="D26" i="1"/>
  <c r="R25" i="8"/>
  <c r="T27" i="1"/>
  <c r="U27" i="1" s="1"/>
  <c r="D27" i="1"/>
  <c r="R26" i="8"/>
  <c r="C28" i="1"/>
  <c r="C29" i="1"/>
  <c r="T28" i="1"/>
  <c r="U28" i="1" s="1"/>
  <c r="R27" i="8"/>
  <c r="D28" i="1"/>
  <c r="T29" i="1"/>
  <c r="U29" i="1"/>
  <c r="D29" i="1"/>
  <c r="R28" i="8"/>
  <c r="C32" i="1"/>
  <c r="F24" i="4"/>
  <c r="I24" i="4" s="1"/>
  <c r="I23" i="8"/>
  <c r="I24" i="8"/>
  <c r="F27" i="4"/>
  <c r="I26" i="8" s="1"/>
  <c r="F26" i="4"/>
  <c r="I26" i="4" s="1"/>
  <c r="I25" i="8"/>
  <c r="F28" i="4"/>
  <c r="I28" i="4" s="1"/>
  <c r="F29" i="4"/>
  <c r="I28" i="8" s="1"/>
  <c r="Y28" i="8" s="1"/>
  <c r="E31" i="4"/>
  <c r="F31" i="4"/>
  <c r="F30" i="4"/>
  <c r="I29" i="8" s="1"/>
  <c r="I29" i="4"/>
  <c r="Y29" i="4" s="1"/>
  <c r="Y26" i="8" l="1"/>
  <c r="Y29" i="8"/>
  <c r="E11" i="9"/>
  <c r="Y24" i="4"/>
  <c r="AD9" i="8"/>
  <c r="AE9" i="8"/>
  <c r="I9" i="9" s="1"/>
  <c r="Y21" i="4"/>
  <c r="Y20" i="8"/>
  <c r="Y23" i="8"/>
  <c r="Y25" i="8"/>
  <c r="L19" i="8"/>
  <c r="Y19" i="8" s="1"/>
  <c r="E19" i="9" s="1"/>
  <c r="X20" i="4"/>
  <c r="Z27" i="4"/>
  <c r="AA30" i="4" s="1"/>
  <c r="P26" i="8"/>
  <c r="M3" i="8"/>
  <c r="Z4" i="4"/>
  <c r="AA5" i="4" s="1"/>
  <c r="O31" i="4"/>
  <c r="AA18" i="4"/>
  <c r="G18" i="1"/>
  <c r="Y11" i="4"/>
  <c r="AA14" i="4"/>
  <c r="F17" i="8"/>
  <c r="E16" i="8"/>
  <c r="J17" i="3"/>
  <c r="K17" i="3" s="1"/>
  <c r="X18" i="4"/>
  <c r="Y18" i="4" s="1"/>
  <c r="Y13" i="8"/>
  <c r="E13" i="9" s="1"/>
  <c r="Y4" i="4"/>
  <c r="S22" i="1"/>
  <c r="W21" i="8"/>
  <c r="V23" i="8"/>
  <c r="M21" i="8"/>
  <c r="Y21" i="8" s="1"/>
  <c r="Z22" i="4"/>
  <c r="AA25" i="4" s="1"/>
  <c r="I32" i="1"/>
  <c r="T8" i="8"/>
  <c r="L3" i="8"/>
  <c r="Y3" i="8" s="1"/>
  <c r="E3" i="9" s="1"/>
  <c r="M31" i="4"/>
  <c r="S15" i="2"/>
  <c r="S16" i="2"/>
  <c r="J15" i="2"/>
  <c r="K14" i="2"/>
  <c r="AA13" i="8" s="1"/>
  <c r="Z14" i="4"/>
  <c r="P5" i="8"/>
  <c r="Z6" i="4"/>
  <c r="X6" i="4"/>
  <c r="Y6" i="4" s="1"/>
  <c r="K31" i="4"/>
  <c r="Z7" i="4"/>
  <c r="AA10" i="4" s="1"/>
  <c r="X7" i="4"/>
  <c r="Y7" i="4" s="1"/>
  <c r="V25" i="8"/>
  <c r="M26" i="1"/>
  <c r="M32" i="1" s="1"/>
  <c r="L23" i="8"/>
  <c r="X24" i="4"/>
  <c r="M19" i="8"/>
  <c r="Z20" i="4"/>
  <c r="K20" i="8"/>
  <c r="X21" i="4"/>
  <c r="F32" i="1"/>
  <c r="S3" i="8"/>
  <c r="T3" i="1"/>
  <c r="D3" i="1"/>
  <c r="T15" i="1"/>
  <c r="U15" i="1" s="1"/>
  <c r="AE11" i="8"/>
  <c r="I11" i="9" s="1"/>
  <c r="K3" i="3"/>
  <c r="AE5" i="8"/>
  <c r="I5" i="9" s="1"/>
  <c r="I30" i="4"/>
  <c r="Y30" i="4" s="1"/>
  <c r="I27" i="4"/>
  <c r="T22" i="1"/>
  <c r="U22" i="1" s="1"/>
  <c r="D16" i="1"/>
  <c r="D13" i="1"/>
  <c r="V17" i="8"/>
  <c r="AE17" i="8"/>
  <c r="I17" i="9" s="1"/>
  <c r="I17" i="4"/>
  <c r="Y17" i="4" s="1"/>
  <c r="U12" i="8"/>
  <c r="T17" i="8"/>
  <c r="G31" i="3"/>
  <c r="G13" i="1"/>
  <c r="O26" i="8"/>
  <c r="X27" i="4"/>
  <c r="T26" i="8"/>
  <c r="J27" i="1"/>
  <c r="O24" i="8"/>
  <c r="Y24" i="8" s="1"/>
  <c r="Z25" i="4"/>
  <c r="AE23" i="8"/>
  <c r="I23" i="9" s="1"/>
  <c r="Z15" i="8"/>
  <c r="Z7" i="8"/>
  <c r="AD4" i="8"/>
  <c r="AE4" i="8" s="1"/>
  <c r="I4" i="9" s="1"/>
  <c r="AD2" i="8"/>
  <c r="AE2" i="8" s="1"/>
  <c r="I2" i="9" s="1"/>
  <c r="G24" i="1"/>
  <c r="S23" i="8"/>
  <c r="I20" i="4"/>
  <c r="Y20" i="4" s="1"/>
  <c r="O16" i="8"/>
  <c r="D22" i="1"/>
  <c r="L32" i="1"/>
  <c r="AE18" i="8"/>
  <c r="I18" i="9" s="1"/>
  <c r="J32" i="1"/>
  <c r="I8" i="4"/>
  <c r="Z24" i="4"/>
  <c r="L25" i="8"/>
  <c r="X26" i="4"/>
  <c r="Y26" i="4" s="1"/>
  <c r="AE24" i="8"/>
  <c r="I24" i="9" s="1"/>
  <c r="AE15" i="8"/>
  <c r="I15" i="9" s="1"/>
  <c r="AD15" i="8"/>
  <c r="M15" i="8"/>
  <c r="Z16" i="4"/>
  <c r="O8" i="8"/>
  <c r="E8" i="9" s="1"/>
  <c r="X9" i="4"/>
  <c r="Y9" i="4" s="1"/>
  <c r="G9" i="9"/>
  <c r="C31" i="5"/>
  <c r="AC14" i="8"/>
  <c r="G14" i="8"/>
  <c r="J15" i="3"/>
  <c r="K15" i="3" s="1"/>
  <c r="AA3" i="4"/>
  <c r="J20" i="1"/>
  <c r="T19" i="8"/>
  <c r="U4" i="8"/>
  <c r="P5" i="1"/>
  <c r="R15" i="8"/>
  <c r="D23" i="1"/>
  <c r="H31" i="4"/>
  <c r="I31" i="4" s="1"/>
  <c r="J13" i="1"/>
  <c r="P17" i="8"/>
  <c r="Y17" i="8" s="1"/>
  <c r="E17" i="9" s="1"/>
  <c r="M12" i="8"/>
  <c r="Y12" i="8" s="1"/>
  <c r="Q31" i="4"/>
  <c r="AE25" i="8"/>
  <c r="I25" i="9" s="1"/>
  <c r="Y5" i="8"/>
  <c r="T28" i="8"/>
  <c r="Y15" i="8"/>
  <c r="N20" i="8"/>
  <c r="Z21" i="4"/>
  <c r="AA24" i="4" s="1"/>
  <c r="Y8" i="8"/>
  <c r="L7" i="8"/>
  <c r="Y7" i="8" s="1"/>
  <c r="X8" i="4"/>
  <c r="T10" i="1"/>
  <c r="U10" i="1" s="1"/>
  <c r="M10" i="1"/>
  <c r="V12" i="8"/>
  <c r="Z17" i="4"/>
  <c r="AA20" i="4" s="1"/>
  <c r="E8" i="8"/>
  <c r="J9" i="3"/>
  <c r="K9" i="3" s="1"/>
  <c r="S4" i="8"/>
  <c r="G5" i="1"/>
  <c r="T13" i="1"/>
  <c r="U13" i="1" s="1"/>
  <c r="D31" i="4"/>
  <c r="I27" i="8"/>
  <c r="Y27" i="8" s="1"/>
  <c r="AA12" i="4"/>
  <c r="AA11" i="4"/>
  <c r="O32" i="1"/>
  <c r="AA16" i="8"/>
  <c r="T5" i="1"/>
  <c r="U5" i="1" s="1"/>
  <c r="X28" i="4"/>
  <c r="Y28" i="4" s="1"/>
  <c r="L27" i="8"/>
  <c r="J21" i="1"/>
  <c r="T20" i="8"/>
  <c r="AD12" i="8"/>
  <c r="AE12" i="8"/>
  <c r="I12" i="9" s="1"/>
  <c r="R32" i="1"/>
  <c r="S4" i="1"/>
  <c r="S32" i="1" s="1"/>
  <c r="R8" i="8"/>
  <c r="D9" i="1"/>
  <c r="E34" i="2"/>
  <c r="E13" i="8"/>
  <c r="J14" i="3"/>
  <c r="K14" i="3" s="1"/>
  <c r="X14" i="4"/>
  <c r="Y14" i="4" s="1"/>
  <c r="T30" i="1"/>
  <c r="U30" i="1" s="1"/>
  <c r="J26" i="2"/>
  <c r="K25" i="2"/>
  <c r="AA24" i="8" s="1"/>
  <c r="U34" i="2"/>
  <c r="S31" i="4"/>
  <c r="X5" i="4"/>
  <c r="Z26" i="8"/>
  <c r="L13" i="8"/>
  <c r="C5" i="11"/>
  <c r="D5" i="11" s="1"/>
  <c r="G15" i="1"/>
  <c r="R23" i="2"/>
  <c r="S22" i="2"/>
  <c r="AC21" i="8" s="1"/>
  <c r="E21" i="9" s="1"/>
  <c r="X3" i="4"/>
  <c r="X31" i="4" s="1"/>
  <c r="D5" i="1"/>
  <c r="U24" i="8"/>
  <c r="P25" i="1"/>
  <c r="M34" i="2"/>
  <c r="Z25" i="8"/>
  <c r="I4" i="8"/>
  <c r="Y4" i="8" s="1"/>
  <c r="I5" i="4"/>
  <c r="Y5" i="4" s="1"/>
  <c r="Z2" i="8"/>
  <c r="E2" i="9" s="1"/>
  <c r="G34" i="2"/>
  <c r="G30" i="1"/>
  <c r="T14" i="1"/>
  <c r="U14" i="1" s="1"/>
  <c r="T7" i="8"/>
  <c r="I34" i="2"/>
  <c r="Q34" i="2"/>
  <c r="C34" i="2"/>
  <c r="O34" i="2"/>
  <c r="D26" i="11"/>
  <c r="C16" i="11"/>
  <c r="D16" i="11" s="1"/>
  <c r="D15" i="11"/>
  <c r="K13" i="11"/>
  <c r="K14" i="11" s="1"/>
  <c r="C2" i="11" s="1"/>
  <c r="D2" i="11" s="1"/>
  <c r="C6" i="11"/>
  <c r="D6" i="11" s="1"/>
  <c r="K24" i="11"/>
  <c r="K22" i="11"/>
  <c r="E18" i="9"/>
  <c r="E9" i="9"/>
  <c r="E20" i="9"/>
  <c r="N64" i="10"/>
  <c r="E15" i="9" l="1"/>
  <c r="J31" i="3"/>
  <c r="C22" i="11"/>
  <c r="D22" i="11" s="1"/>
  <c r="R24" i="2"/>
  <c r="S23" i="2"/>
  <c r="AC22" i="8" s="1"/>
  <c r="E22" i="9" s="1"/>
  <c r="E7" i="9"/>
  <c r="K31" i="3"/>
  <c r="AA17" i="4"/>
  <c r="AA16" i="4"/>
  <c r="E16" i="9"/>
  <c r="Y16" i="8"/>
  <c r="AA22" i="4"/>
  <c r="AA23" i="4"/>
  <c r="K16" i="2"/>
  <c r="AA15" i="8" s="1"/>
  <c r="K15" i="2"/>
  <c r="AA14" i="8" s="1"/>
  <c r="E14" i="9" s="1"/>
  <c r="AD16" i="8"/>
  <c r="AE16" i="8" s="1"/>
  <c r="I16" i="9" s="1"/>
  <c r="Y3" i="4"/>
  <c r="AA29" i="4"/>
  <c r="AA7" i="4"/>
  <c r="Z31" i="4"/>
  <c r="AA6" i="4"/>
  <c r="AA19" i="4"/>
  <c r="AA27" i="4"/>
  <c r="AA26" i="4"/>
  <c r="AA28" i="4"/>
  <c r="S17" i="2"/>
  <c r="AC16" i="8" s="1"/>
  <c r="AC15" i="8"/>
  <c r="AA15" i="4"/>
  <c r="AA21" i="4"/>
  <c r="AE8" i="8"/>
  <c r="I8" i="9" s="1"/>
  <c r="AD8" i="8"/>
  <c r="K26" i="2"/>
  <c r="AA25" i="8" s="1"/>
  <c r="J27" i="2"/>
  <c r="G32" i="1"/>
  <c r="Y8" i="4"/>
  <c r="Y27" i="4"/>
  <c r="D32" i="1"/>
  <c r="AA9" i="4"/>
  <c r="AA8" i="4"/>
  <c r="E12" i="9"/>
  <c r="AE13" i="8"/>
  <c r="I13" i="9" s="1"/>
  <c r="AD13" i="8"/>
  <c r="AA4" i="4"/>
  <c r="P32" i="1"/>
  <c r="U3" i="1"/>
  <c r="U32" i="1" s="1"/>
  <c r="T32" i="1"/>
  <c r="C8" i="11"/>
  <c r="K27" i="2" l="1"/>
  <c r="J28" i="2"/>
  <c r="S24" i="2"/>
  <c r="AC23" i="8" s="1"/>
  <c r="E23" i="9" s="1"/>
  <c r="R25" i="2"/>
  <c r="Y31" i="4"/>
  <c r="D8" i="11"/>
  <c r="S25" i="2" l="1"/>
  <c r="AC24" i="8" s="1"/>
  <c r="E24" i="9" s="1"/>
  <c r="R26" i="2"/>
  <c r="K28" i="2"/>
  <c r="AA27" i="8" s="1"/>
  <c r="J29" i="2"/>
  <c r="AA26" i="8"/>
  <c r="K29" i="2" l="1"/>
  <c r="J30" i="2"/>
  <c r="R27" i="2"/>
  <c r="S26" i="2"/>
  <c r="AC25" i="8" s="1"/>
  <c r="E25" i="9" s="1"/>
  <c r="S27" i="2" l="1"/>
  <c r="AC26" i="8" s="1"/>
  <c r="E26" i="9" s="1"/>
  <c r="R28" i="2"/>
  <c r="J31" i="2"/>
  <c r="K30" i="2"/>
  <c r="AA29" i="8" s="1"/>
  <c r="AA28" i="8"/>
  <c r="J32" i="2" l="1"/>
  <c r="K31" i="2"/>
  <c r="R29" i="2"/>
  <c r="S28" i="2"/>
  <c r="AC27" i="8" s="1"/>
  <c r="E27" i="9" s="1"/>
  <c r="K34" i="2" l="1"/>
  <c r="K32" i="2"/>
  <c r="J33" i="2"/>
  <c r="J17" i="11" s="1"/>
  <c r="K17" i="11" s="1"/>
  <c r="C9" i="11" s="1"/>
  <c r="R30" i="2"/>
  <c r="S29" i="2"/>
  <c r="AC28" i="8" s="1"/>
  <c r="E28" i="9" s="1"/>
  <c r="D9" i="11" l="1"/>
  <c r="R31" i="2"/>
  <c r="S30" i="2"/>
  <c r="AC29" i="8" s="1"/>
  <c r="E29" i="9" s="1"/>
  <c r="S7" i="2"/>
  <c r="AC6" i="8" s="1"/>
  <c r="E6" i="9" s="1"/>
  <c r="S6" i="2"/>
  <c r="AC5" i="8" l="1"/>
  <c r="E5" i="9" s="1"/>
  <c r="R32" i="2"/>
  <c r="S31" i="2"/>
  <c r="S32" i="2" l="1"/>
  <c r="S34" i="2" s="1"/>
  <c r="R33" i="2"/>
  <c r="J20" i="11" s="1"/>
  <c r="K20" i="11" s="1"/>
  <c r="C11" i="11" s="1"/>
  <c r="D11" i="11" l="1"/>
  <c r="C7" i="11"/>
  <c r="D7" i="11" s="1"/>
</calcChain>
</file>

<file path=xl/sharedStrings.xml><?xml version="1.0" encoding="utf-8"?>
<sst xmlns="http://schemas.openxmlformats.org/spreadsheetml/2006/main" count="452" uniqueCount="144">
  <si>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</si>
  <si>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</si>
  <si>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</si>
  <si>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</si>
  <si>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</si>
  <si>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</si>
  <si>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</si>
  <si>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</si>
  <si>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</si>
  <si>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</si>
  <si>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</si>
  <si>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</si>
  <si>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</si>
  <si>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</si>
  <si>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</si>
  <si>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</si>
  <si>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</si>
  <si>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</si>
  <si>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</si>
  <si>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</si>
  <si>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</si>
  <si>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</si>
  <si>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</si>
  <si>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</si>
  <si>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</si>
  <si>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</si>
  <si>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</si>
  <si>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</si>
  <si>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</si>
  <si>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</si>
  <si>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</si>
  <si>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</si>
  <si>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</si>
  <si>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</si>
  <si>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</si>
  <si>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</si>
  <si>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</si>
  <si>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</si>
  <si>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</si>
  <si>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</si>
  <si>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</si>
  <si>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</si>
  <si>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</si>
  <si>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</si>
  <si>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</si>
  <si>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</si>
  <si>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</si>
  <si>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</si>
  <si>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</si>
  <si>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</si>
  <si>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</si>
  <si>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</si>
  <si>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</si>
  <si>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</si>
  <si>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</si>
  <si>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</si>
  <si>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</si>
  <si>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</si>
  <si>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</si>
  <si>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</si>
  <si>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</si>
  <si>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</si>
  <si>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</si>
  <si>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</si>
  <si>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</si>
  <si>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</si>
  <si>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</si>
  <si>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</si>
  <si>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</si>
  <si>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</si>
  <si>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</si>
  <si>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</si>
  <si>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</si>
  <si>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</si>
  <si>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</si>
  <si>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</si>
  <si>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</si>
  <si>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</si>
  <si>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</si>
  <si>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</si>
  <si>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</si>
  <si>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</si>
  <si>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</si>
  <si>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</si>
  <si>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</si>
  <si>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</si>
  <si>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</si>
  <si>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</si>
  <si>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</si>
  <si>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</si>
  <si>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</si>
  <si>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</si>
  <si>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</si>
  <si>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</si>
  <si>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</si>
  <si>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</si>
  <si>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</si>
  <si>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</si>
  <si>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</si>
  <si>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</si>
  <si>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</si>
  <si>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</si>
  <si>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</si>
  <si>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</si>
  <si>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</si>
  <si>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</si>
  <si>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</si>
  <si>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</si>
  <si>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</si>
  <si>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</si>
  <si>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</si>
  <si>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</si>
  <si>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</si>
  <si>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</si>
  <si>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</si>
  <si>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</si>
  <si>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</si>
  <si>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</si>
  <si>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</si>
  <si>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</si>
  <si>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</si>
  <si>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</si>
  <si>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</si>
  <si>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</si>
  <si>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</si>
  <si>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</si>
  <si>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</si>
  <si>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</si>
  <si>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</si>
  <si>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</si>
  <si>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</si>
  <si>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</si>
  <si>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</si>
  <si>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</si>
  <si>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</si>
  <si>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</si>
  <si>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</si>
  <si>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</si>
  <si>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</si>
  <si>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</si>
  <si>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Energy Monthly Statement Feb 2021</t>
  </si>
  <si>
    <t>Acutal till Februry   2021</t>
  </si>
  <si>
    <t>Acutal till Dec 2020</t>
  </si>
  <si>
    <t xml:space="preserve">without &amp; occupied should be install meter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</si>
</sst>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7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Calibri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color indexed="12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b/>
      <sz val="9"/>
      <color indexed="12"/>
      <name val="Trebuchet MS"/>
      <family val="2"/>
    </font>
    <font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5" fillId="2" borderId="0" applyNumberFormat="0" applyBorder="0" applyAlignment="0" applyProtection="0"/>
    <xf numFmtId="165" fontId="15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31" fillId="0" borderId="0"/>
    <xf numFmtId="0" fontId="1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/>
    <xf numFmtId="0" fontId="4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6" fillId="0" borderId="0" xfId="0" applyFont="1"/>
    <xf numFmtId="0" fontId="1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0" borderId="1" xfId="0" applyFont="1" applyBorder="1"/>
    <xf numFmtId="0" fontId="18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167" fontId="16" fillId="3" borderId="1" xfId="0" applyNumberFormat="1" applyFont="1" applyFill="1" applyBorder="1" applyAlignment="1">
      <alignment horizontal="center"/>
    </xf>
    <xf numFmtId="167" fontId="18" fillId="4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2" borderId="4" xfId="0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33" fillId="13" borderId="1" xfId="0" applyFont="1" applyFill="1" applyBorder="1" applyAlignment="1">
      <alignment horizontal="center"/>
    </xf>
    <xf numFmtId="0" fontId="34" fillId="13" borderId="1" xfId="0" applyFont="1" applyFill="1" applyBorder="1" applyAlignment="1">
      <alignment horizontal="center"/>
    </xf>
    <xf numFmtId="0" fontId="32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5" fillId="0" borderId="1" xfId="0" applyNumberFormat="1" applyFont="1" applyBorder="1" applyAlignment="1">
      <alignment horizontal="center" vertical="center"/>
    </xf>
    <xf numFmtId="1" fontId="36" fillId="0" borderId="0" xfId="0" applyNumberFormat="1" applyFont="1"/>
    <xf numFmtId="1" fontId="35" fillId="0" borderId="0" xfId="0" applyNumberFormat="1" applyFont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5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/>
    </xf>
    <xf numFmtId="1" fontId="38" fillId="0" borderId="1" xfId="0" applyNumberFormat="1" applyFont="1" applyBorder="1" applyAlignment="1">
      <alignment horizontal="center" vertical="center"/>
    </xf>
    <xf numFmtId="0" fontId="21" fillId="0" borderId="0" xfId="0" applyFont="1"/>
    <xf numFmtId="0" fontId="39" fillId="0" borderId="5" xfId="0" applyFont="1" applyBorder="1"/>
    <xf numFmtId="0" fontId="40" fillId="0" borderId="0" xfId="0" applyFont="1"/>
    <xf numFmtId="1" fontId="32" fillId="0" borderId="5" xfId="0" applyNumberFormat="1" applyFont="1" applyBorder="1" applyAlignment="1">
      <alignment wrapText="1"/>
    </xf>
    <xf numFmtId="0" fontId="32" fillId="0" borderId="5" xfId="0" applyFont="1" applyBorder="1" applyAlignment="1">
      <alignment horizontal="center" wrapText="1"/>
    </xf>
    <xf numFmtId="0" fontId="41" fillId="0" borderId="5" xfId="0" applyFont="1" applyBorder="1" applyAlignment="1">
      <alignment horizontal="center"/>
    </xf>
    <xf numFmtId="1" fontId="32" fillId="0" borderId="5" xfId="0" applyNumberFormat="1" applyFont="1" applyBorder="1" applyAlignment="1">
      <alignment horizontal="center" wrapText="1"/>
    </xf>
    <xf numFmtId="0" fontId="40" fillId="0" borderId="0" xfId="0" applyFont="1" applyAlignment="1">
      <alignment horizontal="center"/>
    </xf>
    <xf numFmtId="2" fontId="32" fillId="0" borderId="5" xfId="0" applyNumberFormat="1" applyFont="1" applyBorder="1" applyAlignment="1">
      <alignment horizontal="center" wrapText="1"/>
    </xf>
    <xf numFmtId="166" fontId="22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3" fillId="4" borderId="4" xfId="8" applyFont="1" applyFill="1" applyBorder="1" applyAlignment="1">
      <alignment horizontal="center" vertical="center" wrapText="1"/>
    </xf>
    <xf numFmtId="0" fontId="23" fillId="4" borderId="4" xfId="8" applyFont="1" applyFill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 wrapText="1"/>
    </xf>
    <xf numFmtId="0" fontId="25" fillId="0" borderId="4" xfId="8" applyFont="1" applyBorder="1" applyAlignment="1">
      <alignment horizontal="left" vertical="center" wrapText="1"/>
    </xf>
    <xf numFmtId="3" fontId="25" fillId="5" borderId="4" xfId="8" applyNumberFormat="1" applyFont="1" applyFill="1" applyBorder="1" applyAlignment="1">
      <alignment horizontal="left" vertical="center" wrapText="1"/>
    </xf>
    <xf numFmtId="3" fontId="23" fillId="0" borderId="4" xfId="8" applyNumberFormat="1" applyFont="1" applyBorder="1" applyAlignment="1">
      <alignment horizontal="left" vertical="center" wrapText="1"/>
    </xf>
    <xf numFmtId="0" fontId="26" fillId="0" borderId="4" xfId="8" applyFont="1" applyBorder="1" applyAlignment="1">
      <alignment horizontal="center" vertical="center" wrapText="1"/>
    </xf>
    <xf numFmtId="3" fontId="23" fillId="0" borderId="4" xfId="8" applyNumberFormat="1" applyFont="1" applyFill="1" applyBorder="1" applyAlignment="1">
      <alignment horizontal="left" vertical="center" wrapText="1"/>
    </xf>
    <xf numFmtId="0" fontId="24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5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7" fillId="5" borderId="4" xfId="8" applyNumberFormat="1" applyFont="1" applyFill="1" applyBorder="1" applyAlignment="1">
      <alignment horizontal="left" vertical="center" wrapText="1"/>
    </xf>
    <xf numFmtId="0" fontId="26" fillId="3" borderId="4" xfId="8" applyFont="1" applyFill="1" applyBorder="1" applyAlignment="1">
      <alignment horizontal="center" vertical="center" wrapText="1"/>
    </xf>
    <xf numFmtId="0" fontId="23" fillId="6" borderId="7" xfId="8" applyFont="1" applyFill="1" applyBorder="1" applyAlignment="1">
      <alignment horizontal="center" vertical="center" wrapText="1"/>
    </xf>
    <xf numFmtId="0" fontId="25" fillId="6" borderId="4" xfId="8" applyFont="1" applyFill="1" applyBorder="1" applyAlignment="1">
      <alignment horizontal="left" vertical="center" wrapText="1"/>
    </xf>
    <xf numFmtId="3" fontId="25" fillId="6" borderId="4" xfId="8" applyNumberFormat="1" applyFont="1" applyFill="1" applyBorder="1" applyAlignment="1">
      <alignment horizontal="left" vertical="center" wrapText="1"/>
    </xf>
    <xf numFmtId="0" fontId="26" fillId="6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6" fillId="5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center" vertical="center" wrapText="1"/>
    </xf>
    <xf numFmtId="0" fontId="28" fillId="0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3" fontId="29" fillId="4" borderId="4" xfId="8" applyNumberFormat="1" applyFont="1" applyFill="1" applyBorder="1" applyAlignment="1">
      <alignment horizontal="left" vertical="center"/>
    </xf>
    <xf numFmtId="0" fontId="30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43" fontId="40" fillId="0" borderId="1" xfId="0" applyNumberFormat="1" applyFont="1" applyFill="1" applyBorder="1" applyAlignment="1">
      <alignment horizontal="center" vertical="center"/>
    </xf>
    <xf numFmtId="43" fontId="40" fillId="0" borderId="0" xfId="0" applyNumberFormat="1" applyFont="1" applyFill="1" applyBorder="1" applyAlignment="1">
      <alignment horizontal="center" vertical="center"/>
    </xf>
    <xf numFmtId="0" fontId="40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40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164" fontId="40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40" fillId="0" borderId="1" xfId="13" applyFont="1" applyFill="1" applyBorder="1" applyAlignment="1">
      <alignment horizontal="center" vertical="center"/>
    </xf>
    <xf numFmtId="164" fontId="40" fillId="0" borderId="1" xfId="13" applyNumberFormat="1" applyFont="1" applyFill="1" applyBorder="1" applyAlignment="1">
      <alignment horizontal="center" vertical="center"/>
    </xf>
    <xf numFmtId="164" fontId="40" fillId="0" borderId="0" xfId="13" applyNumberFormat="1" applyFont="1" applyFill="1" applyBorder="1" applyAlignment="1">
      <alignment horizontal="center" vertical="center"/>
    </xf>
    <xf numFmtId="164" fontId="40" fillId="0" borderId="1" xfId="3" applyNumberFormat="1" applyFont="1" applyFill="1" applyBorder="1" applyAlignment="1">
      <alignment horizontal="center" vertical="center"/>
    </xf>
    <xf numFmtId="0" fontId="40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40" fillId="0" borderId="8" xfId="13" applyNumberFormat="1" applyFont="1" applyFill="1" applyBorder="1" applyAlignment="1">
      <alignment horizontal="center" vertical="center"/>
    </xf>
    <xf numFmtId="164" fontId="43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40" fillId="0" borderId="0" xfId="13" applyFont="1" applyFill="1" applyBorder="1" applyAlignment="1">
      <alignment horizontal="center"/>
    </xf>
    <xf numFmtId="0" fontId="40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1" fontId="16" fillId="0" borderId="1" xfId="0" applyNumberFormat="1" applyFont="1" applyFill="1" applyBorder="1" applyAlignment="1">
      <alignment horizontal="center"/>
    </xf>
    <xf numFmtId="1" fontId="17" fillId="4" borderId="1" xfId="0" applyNumberFormat="1" applyFont="1" applyFill="1" applyBorder="1" applyAlignment="1">
      <alignment horizontal="center"/>
    </xf>
    <xf numFmtId="168" fontId="16" fillId="0" borderId="1" xfId="0" applyNumberFormat="1" applyFont="1" applyBorder="1" applyAlignment="1">
      <alignment horizontal="center"/>
    </xf>
    <xf numFmtId="41" fontId="40" fillId="0" borderId="1" xfId="3" applyNumberFormat="1" applyFont="1" applyFill="1" applyBorder="1" applyAlignment="1">
      <alignment horizontal="center" vertical="center"/>
    </xf>
    <xf numFmtId="1" fontId="32" fillId="0" borderId="0" xfId="0" applyNumberFormat="1" applyFont="1" applyBorder="1" applyAlignment="1">
      <alignment wrapText="1"/>
    </xf>
    <xf numFmtId="0" fontId="32" fillId="0" borderId="0" xfId="0" applyFont="1" applyAlignment="1">
      <alignment horizontal="center" vertical="center" wrapText="1"/>
    </xf>
    <xf numFmtId="1" fontId="16" fillId="0" borderId="0" xfId="0" applyNumberFormat="1" applyFont="1"/>
    <xf numFmtId="1" fontId="35" fillId="13" borderId="1" xfId="0" applyNumberFormat="1" applyFont="1" applyFill="1" applyBorder="1" applyAlignment="1">
      <alignment horizontal="center" vertical="center"/>
    </xf>
    <xf numFmtId="1" fontId="16" fillId="13" borderId="1" xfId="0" applyNumberFormat="1" applyFont="1" applyFill="1" applyBorder="1" applyAlignment="1">
      <alignment horizontal="center"/>
    </xf>
    <xf numFmtId="1" fontId="18" fillId="13" borderId="1" xfId="0" applyNumberFormat="1" applyFont="1" applyFill="1" applyBorder="1" applyAlignment="1">
      <alignment horizontal="center"/>
    </xf>
    <xf numFmtId="167" fontId="16" fillId="13" borderId="1" xfId="0" applyNumberFormat="1" applyFont="1" applyFill="1" applyBorder="1" applyAlignment="1">
      <alignment horizontal="center"/>
    </xf>
    <xf numFmtId="0" fontId="16" fillId="13" borderId="1" xfId="0" applyFont="1" applyFill="1" applyBorder="1" applyAlignment="1">
      <alignment horizontal="center"/>
    </xf>
    <xf numFmtId="0" fontId="16" fillId="13" borderId="0" xfId="0" applyFont="1" applyFill="1"/>
    <xf numFmtId="1" fontId="21" fillId="0" borderId="0" xfId="0" applyNumberFormat="1" applyFont="1"/>
    <xf numFmtId="0" fontId="0" fillId="13" borderId="0" xfId="0" applyFill="1"/>
    <xf numFmtId="1" fontId="14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9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8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165" fontId="14" fillId="0" borderId="9" xfId="0" applyNumberFormat="1" applyFont="1" applyBorder="1" applyAlignment="1">
      <alignment horizontal="center" vertical="center"/>
    </xf>
    <xf numFmtId="0" fontId="44" fillId="0" borderId="0" xfId="0" applyFont="1" applyFill="1" applyBorder="1" applyAlignment="1">
      <alignment horizontal="center" vertical="center"/>
    </xf>
    <xf numFmtId="0" fontId="16" fillId="18" borderId="10" xfId="0" applyFont="1" applyFill="1" applyBorder="1" applyAlignment="1">
      <alignment horizontal="left" vertical="center"/>
    </xf>
    <xf numFmtId="0" fontId="16" fillId="18" borderId="0" xfId="0" applyFont="1" applyFill="1" applyBorder="1" applyAlignment="1">
      <alignment horizontal="left" vertical="center"/>
    </xf>
    <xf numFmtId="0" fontId="23" fillId="0" borderId="12" xfId="8" applyFont="1" applyBorder="1" applyAlignment="1">
      <alignment horizontal="center" vertical="center" wrapText="1"/>
    </xf>
    <xf numFmtId="0" fontId="23" fillId="0" borderId="13" xfId="8" applyFont="1" applyBorder="1" applyAlignment="1">
      <alignment horizontal="center" vertical="center" wrapText="1"/>
    </xf>
    <xf numFmtId="0" fontId="23" fillId="0" borderId="7" xfId="8" applyFont="1" applyBorder="1" applyAlignment="1">
      <alignment horizontal="center" vertical="center" wrapText="1"/>
    </xf>
    <xf numFmtId="0" fontId="23" fillId="0" borderId="12" xfId="8" applyFont="1" applyFill="1" applyBorder="1" applyAlignment="1">
      <alignment horizontal="center" vertical="center" wrapText="1"/>
    </xf>
    <xf numFmtId="0" fontId="23" fillId="0" borderId="7" xfId="8" applyFont="1" applyFill="1" applyBorder="1" applyAlignment="1">
      <alignment horizontal="center" vertical="center" wrapText="1"/>
    </xf>
    <xf numFmtId="0" fontId="23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5" fillId="0" borderId="12" xfId="8" applyFont="1" applyBorder="1" applyAlignment="1">
      <alignment horizontal="left" vertical="center" wrapText="1"/>
    </xf>
    <xf numFmtId="0" fontId="25" fillId="0" borderId="13" xfId="8" applyFont="1" applyBorder="1" applyAlignment="1">
      <alignment horizontal="left" vertical="center" wrapText="1"/>
    </xf>
    <xf numFmtId="0" fontId="24" fillId="0" borderId="12" xfId="8" applyFont="1" applyBorder="1" applyAlignment="1">
      <alignment horizontal="left" vertical="center" wrapText="1"/>
    </xf>
    <xf numFmtId="0" fontId="24" fillId="0" borderId="13" xfId="8" applyFont="1" applyBorder="1" applyAlignment="1">
      <alignment horizontal="left" vertical="center" wrapText="1"/>
    </xf>
    <xf numFmtId="0" fontId="29" fillId="4" borderId="4" xfId="8" applyFont="1" applyFill="1" applyBorder="1" applyAlignment="1">
      <alignment horizontal="center" vertical="center"/>
    </xf>
    <xf numFmtId="0" fontId="45" fillId="0" borderId="12" xfId="8" applyFont="1" applyBorder="1" applyAlignment="1">
      <alignment horizontal="left" vertical="center" wrapText="1"/>
    </xf>
    <xf numFmtId="0" fontId="46" fillId="0" borderId="13" xfId="0" applyFont="1" applyBorder="1" applyAlignment="1">
      <alignment horizontal="left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4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0"/>
  <sheetViews>
    <sheetView tabSelected="1" zoomScale="85" zoomScaleNormal="85" workbookViewId="0">
      <selection activeCell="E5" sqref="E5"/>
    </sheetView>
  </sheetViews>
  <sheetFormatPr defaultColWidth="11.5703125" defaultRowHeight="12.75" x14ac:dyDescent="0.2"/>
  <cols>
    <col min="1" max="1" width="15.85546875" style="66" bestFit="1" customWidth="1"/>
    <col min="2" max="3" width="11.5703125" style="71"/>
    <col min="4" max="4" width="13.42578125" style="71" customWidth="1"/>
    <col min="5" max="6" width="12.5703125" style="16" customWidth="1"/>
    <col min="7" max="11" width="11.5703125" style="16"/>
  </cols>
  <sheetData>
    <row r="1" spans="1:14" s="51" customFormat="1" ht="60" x14ac:dyDescent="0.25">
      <c r="A1" s="65" t="s">
        <v>46</v>
      </c>
      <c r="B1" s="69" t="s">
        <v>0</v>
      </c>
      <c r="C1" s="69" t="s">
        <v>47</v>
      </c>
      <c r="D1" s="69" t="s">
        <v>48</v>
      </c>
      <c r="E1" s="68" t="s">
        <v>49</v>
      </c>
      <c r="F1" s="68" t="s">
        <v>50</v>
      </c>
      <c r="G1" s="68" t="s">
        <v>75</v>
      </c>
      <c r="H1" s="68" t="s">
        <v>76</v>
      </c>
      <c r="I1" s="68" t="s">
        <v>51</v>
      </c>
      <c r="J1" s="68" t="s">
        <v>52</v>
      </c>
      <c r="K1" s="68" t="s">
        <v>53</v>
      </c>
    </row>
    <row r="2" spans="1:14" x14ac:dyDescent="0.2">
      <c r="A2" s="66" t="s">
        <v>54</v>
      </c>
      <c r="B2" s="71">
        <v>1</v>
      </c>
      <c r="C2" s="71">
        <v>2</v>
      </c>
      <c r="D2" s="71">
        <v>2021</v>
      </c>
      <c r="E2" s="54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90191.938968000002</v>
      </c>
      <c r="F2" s="16">
        <v>1.27</v>
      </c>
      <c r="G2" s="54">
        <f>Gas!C3*0.9147</f>
        <v>0</v>
      </c>
      <c r="H2" s="16">
        <v>3.65</v>
      </c>
      <c r="I2" s="54">
        <f>Submetering!AE2+Submetering!AD2+Submetering!H2</f>
        <v>1416</v>
      </c>
      <c r="J2" s="55">
        <v>10.029999999999999</v>
      </c>
      <c r="K2" s="54">
        <f>ELECT.!B3</f>
        <v>69.349999999999994</v>
      </c>
      <c r="L2" s="52"/>
    </row>
    <row r="3" spans="1:14" x14ac:dyDescent="0.2">
      <c r="A3" s="66" t="s">
        <v>54</v>
      </c>
      <c r="B3" s="71">
        <f>B2+1</f>
        <v>2</v>
      </c>
      <c r="C3" s="71">
        <v>2</v>
      </c>
      <c r="D3" s="71">
        <v>2021</v>
      </c>
      <c r="E3" s="54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49685.370360000001</v>
      </c>
      <c r="F3" s="16">
        <v>1.27</v>
      </c>
      <c r="G3" s="54">
        <f>Gas!C4*0.9147</f>
        <v>2126.6774999999998</v>
      </c>
      <c r="H3" s="16">
        <v>3.65</v>
      </c>
      <c r="I3" s="54">
        <f>Submetering!AE3+Submetering!AD3+Submetering!H3</f>
        <v>296</v>
      </c>
      <c r="J3" s="55">
        <v>10.029999999999999</v>
      </c>
      <c r="K3" s="54">
        <f>ELECT.!B4</f>
        <v>69.349999999999994</v>
      </c>
      <c r="L3" s="52"/>
    </row>
    <row r="4" spans="1:14" x14ac:dyDescent="0.2">
      <c r="A4" s="66" t="s">
        <v>54</v>
      </c>
      <c r="B4" s="71">
        <f t="shared" ref="B4:B29" si="0">B3+1</f>
        <v>3</v>
      </c>
      <c r="C4" s="71">
        <v>2</v>
      </c>
      <c r="D4" s="71">
        <v>2021</v>
      </c>
      <c r="E4" s="54">
        <v>0</v>
      </c>
      <c r="F4" s="16">
        <v>1.27</v>
      </c>
      <c r="G4" s="54">
        <f>Gas!C5*0.9147</f>
        <v>0</v>
      </c>
      <c r="H4" s="16">
        <v>3.65</v>
      </c>
      <c r="I4" s="54">
        <f>Submetering!AE4+Submetering!AD4+Submetering!H4</f>
        <v>325.99999999999994</v>
      </c>
      <c r="J4" s="55">
        <v>10.029999999999999</v>
      </c>
      <c r="K4" s="54">
        <f>ELECT.!B5</f>
        <v>80</v>
      </c>
      <c r="L4" s="52"/>
    </row>
    <row r="5" spans="1:14" x14ac:dyDescent="0.2">
      <c r="A5" s="66" t="s">
        <v>54</v>
      </c>
      <c r="B5" s="71">
        <f t="shared" si="0"/>
        <v>4</v>
      </c>
      <c r="C5" s="71">
        <v>2</v>
      </c>
      <c r="D5" s="71">
        <v>2021</v>
      </c>
      <c r="E5" s="54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89995.148719999997</v>
      </c>
      <c r="F5" s="16">
        <v>1.27</v>
      </c>
      <c r="G5" s="54">
        <f>Gas!C6*0.9147</f>
        <v>0</v>
      </c>
      <c r="H5" s="16">
        <v>3.65</v>
      </c>
      <c r="I5" s="54">
        <f>Submetering!AE5+Submetering!AD5+Submetering!H5</f>
        <v>306</v>
      </c>
      <c r="J5" s="55">
        <v>10.029999999999999</v>
      </c>
      <c r="K5" s="54">
        <f>ELECT.!B6</f>
        <v>62.05</v>
      </c>
      <c r="L5" s="52"/>
    </row>
    <row r="6" spans="1:14" x14ac:dyDescent="0.2">
      <c r="A6" s="66" t="s">
        <v>54</v>
      </c>
      <c r="B6" s="71">
        <f t="shared" si="0"/>
        <v>5</v>
      </c>
      <c r="C6" s="71">
        <v>2</v>
      </c>
      <c r="D6" s="71">
        <v>2021</v>
      </c>
      <c r="E6" s="54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76197.076639999999</v>
      </c>
      <c r="F6" s="16">
        <v>1.27</v>
      </c>
      <c r="G6" s="54">
        <f>Gas!C7*0.9147</f>
        <v>0</v>
      </c>
      <c r="H6" s="16">
        <v>3.65</v>
      </c>
      <c r="I6" s="54">
        <f>Submetering!AE6+Submetering!AD6+Submetering!H6</f>
        <v>475.99999999999994</v>
      </c>
      <c r="J6" s="55">
        <v>10.029999999999999</v>
      </c>
      <c r="K6" s="54">
        <f>ELECT.!B7</f>
        <v>62.05</v>
      </c>
      <c r="L6" s="52"/>
    </row>
    <row r="7" spans="1:14" x14ac:dyDescent="0.2">
      <c r="A7" s="66" t="s">
        <v>54</v>
      </c>
      <c r="B7" s="71">
        <f t="shared" si="0"/>
        <v>6</v>
      </c>
      <c r="C7" s="71">
        <v>2</v>
      </c>
      <c r="D7" s="71">
        <v>2021</v>
      </c>
      <c r="E7" s="54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23073.915472000001</v>
      </c>
      <c r="F7" s="16">
        <v>1.27</v>
      </c>
      <c r="G7" s="54">
        <f>Gas!C8*0.9147</f>
        <v>0</v>
      </c>
      <c r="H7" s="16">
        <v>3.65</v>
      </c>
      <c r="I7" s="54">
        <f>Submetering!AE7+Submetering!AD7+Submetering!H7</f>
        <v>296</v>
      </c>
      <c r="J7" s="55">
        <v>10.029999999999999</v>
      </c>
      <c r="K7" s="54">
        <f>ELECT.!B8</f>
        <v>58.4</v>
      </c>
      <c r="L7" s="52"/>
    </row>
    <row r="8" spans="1:14" x14ac:dyDescent="0.2">
      <c r="A8" s="66" t="s">
        <v>54</v>
      </c>
      <c r="B8" s="71">
        <f t="shared" si="0"/>
        <v>7</v>
      </c>
      <c r="C8" s="71">
        <v>2</v>
      </c>
      <c r="D8" s="71">
        <v>2021</v>
      </c>
      <c r="E8" s="54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49729.028176</v>
      </c>
      <c r="F8" s="16">
        <v>1.27</v>
      </c>
      <c r="G8" s="54">
        <f>Gas!C9*0.9147</f>
        <v>0</v>
      </c>
      <c r="H8" s="16">
        <v>3.65</v>
      </c>
      <c r="I8" s="54">
        <f>Submetering!AE8+Submetering!AD8+Submetering!H8</f>
        <v>216</v>
      </c>
      <c r="J8" s="55">
        <v>10.029999999999999</v>
      </c>
      <c r="K8" s="54">
        <f>ELECT.!B9</f>
        <v>58.4</v>
      </c>
      <c r="L8" s="52"/>
    </row>
    <row r="9" spans="1:14" x14ac:dyDescent="0.2">
      <c r="A9" s="66" t="s">
        <v>54</v>
      </c>
      <c r="B9" s="71">
        <f t="shared" si="0"/>
        <v>8</v>
      </c>
      <c r="C9" s="71">
        <v>2</v>
      </c>
      <c r="D9" s="71">
        <v>2021</v>
      </c>
      <c r="E9" s="54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41927.048723999993</v>
      </c>
      <c r="F9" s="16">
        <v>1.27</v>
      </c>
      <c r="G9" s="54">
        <f>Gas!C10*0.9147</f>
        <v>15519.714899999999</v>
      </c>
      <c r="H9" s="16">
        <v>3.65</v>
      </c>
      <c r="I9" s="54">
        <f>Submetering!AE9+Submetering!AD9+Submetering!H9</f>
        <v>325.99999999999994</v>
      </c>
      <c r="J9" s="55">
        <v>10.029999999999999</v>
      </c>
      <c r="K9" s="54">
        <f>ELECT.!B10</f>
        <v>88</v>
      </c>
      <c r="L9" s="52"/>
      <c r="N9" t="s">
        <v>13</v>
      </c>
    </row>
    <row r="10" spans="1:14" x14ac:dyDescent="0.2">
      <c r="A10" s="66" t="s">
        <v>54</v>
      </c>
      <c r="B10" s="71">
        <f t="shared" si="0"/>
        <v>9</v>
      </c>
      <c r="C10" s="71">
        <v>2</v>
      </c>
      <c r="D10" s="71">
        <v>2021</v>
      </c>
      <c r="E10" s="54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58770.884548000002</v>
      </c>
      <c r="F10" s="16">
        <v>1.27</v>
      </c>
      <c r="G10" s="54">
        <f>Gas!C11*0.9147</f>
        <v>2745.0146999999997</v>
      </c>
      <c r="H10" s="16">
        <v>3.65</v>
      </c>
      <c r="I10" s="54">
        <f>Submetering!AE10+Submetering!AD10+Submetering!H10</f>
        <v>356.00000000000006</v>
      </c>
      <c r="J10" s="55">
        <v>10.029999999999999</v>
      </c>
      <c r="K10" s="54">
        <f>ELECT.!B11</f>
        <v>73</v>
      </c>
      <c r="L10" s="52"/>
    </row>
    <row r="11" spans="1:14" x14ac:dyDescent="0.2">
      <c r="A11" s="66" t="s">
        <v>54</v>
      </c>
      <c r="B11" s="71">
        <f t="shared" si="0"/>
        <v>10</v>
      </c>
      <c r="C11" s="71">
        <v>2</v>
      </c>
      <c r="D11" s="71">
        <v>2021</v>
      </c>
      <c r="E11" s="54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40243.240100000003</v>
      </c>
      <c r="F11" s="16">
        <v>1.27</v>
      </c>
      <c r="G11" s="54">
        <f>Gas!C12*0.9147</f>
        <v>1884.2819999999999</v>
      </c>
      <c r="H11" s="16">
        <v>3.65</v>
      </c>
      <c r="I11" s="54">
        <f>Submetering!AE11+Submetering!AD11+Submetering!H11</f>
        <v>346</v>
      </c>
      <c r="J11" s="55">
        <v>10.029999999999999</v>
      </c>
      <c r="K11" s="54">
        <f>ELECT.!B12</f>
        <v>73</v>
      </c>
      <c r="L11" s="52"/>
    </row>
    <row r="12" spans="1:14" x14ac:dyDescent="0.2">
      <c r="A12" s="66" t="s">
        <v>54</v>
      </c>
      <c r="B12" s="71">
        <f t="shared" si="0"/>
        <v>11</v>
      </c>
      <c r="C12" s="71">
        <v>2</v>
      </c>
      <c r="D12" s="71">
        <v>2021</v>
      </c>
      <c r="E12" s="54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45905.617059999997</v>
      </c>
      <c r="F12" s="16">
        <v>1.27</v>
      </c>
      <c r="G12" s="54">
        <f>Gas!C13*0.9147</f>
        <v>1721.4653999999998</v>
      </c>
      <c r="H12" s="16">
        <v>3.65</v>
      </c>
      <c r="I12" s="54">
        <f>Submetering!AE12+Submetering!AD12+Submetering!H12</f>
        <v>326</v>
      </c>
      <c r="J12" s="55">
        <v>10.029999999999999</v>
      </c>
      <c r="K12" s="54">
        <f>ELECT.!B13</f>
        <v>54.75</v>
      </c>
      <c r="L12" s="52"/>
    </row>
    <row r="13" spans="1:14" x14ac:dyDescent="0.2">
      <c r="A13" s="66" t="s">
        <v>54</v>
      </c>
      <c r="B13" s="71">
        <f t="shared" si="0"/>
        <v>12</v>
      </c>
      <c r="C13" s="71">
        <v>2</v>
      </c>
      <c r="D13" s="71">
        <v>2021</v>
      </c>
      <c r="E13" s="54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66057.997864000004</v>
      </c>
      <c r="F13" s="16">
        <v>1.27</v>
      </c>
      <c r="G13" s="54">
        <f>Gas!C14*0.9147</f>
        <v>2198.0241000000001</v>
      </c>
      <c r="H13" s="16">
        <v>3.65</v>
      </c>
      <c r="I13" s="54">
        <f>Submetering!AE13+Submetering!AD13+Submetering!H13</f>
        <v>446.00000000000006</v>
      </c>
      <c r="J13" s="55">
        <v>10.029999999999999</v>
      </c>
      <c r="K13" s="54">
        <f>ELECT.!B14</f>
        <v>54.75</v>
      </c>
      <c r="L13" s="52"/>
    </row>
    <row r="14" spans="1:14" x14ac:dyDescent="0.2">
      <c r="A14" s="66" t="s">
        <v>54</v>
      </c>
      <c r="B14" s="71">
        <f t="shared" si="0"/>
        <v>13</v>
      </c>
      <c r="C14" s="71">
        <v>2</v>
      </c>
      <c r="D14" s="71">
        <v>2021</v>
      </c>
      <c r="E14" s="54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40860.419271999999</v>
      </c>
      <c r="F14" s="16">
        <v>1.27</v>
      </c>
      <c r="G14" s="54">
        <f>Gas!C15*0.9147</f>
        <v>2122.1039999999998</v>
      </c>
      <c r="H14" s="16">
        <v>3.65</v>
      </c>
      <c r="I14" s="54">
        <f>Submetering!AE14+Submetering!AD14+Submetering!H14</f>
        <v>385.99999999999994</v>
      </c>
      <c r="J14" s="55">
        <v>10.029999999999999</v>
      </c>
      <c r="K14" s="54">
        <f>ELECT.!B15</f>
        <v>54.75</v>
      </c>
      <c r="L14" s="52"/>
    </row>
    <row r="15" spans="1:14" x14ac:dyDescent="0.2">
      <c r="A15" s="66" t="s">
        <v>54</v>
      </c>
      <c r="B15" s="71">
        <f t="shared" si="0"/>
        <v>14</v>
      </c>
      <c r="C15" s="71">
        <v>2</v>
      </c>
      <c r="D15" s="71">
        <v>2021</v>
      </c>
      <c r="E15" s="54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45938.444616000001</v>
      </c>
      <c r="F15" s="16">
        <v>1.27</v>
      </c>
      <c r="G15" s="54">
        <f>Gas!C16*0.9147</f>
        <v>2135.8244999999997</v>
      </c>
      <c r="H15" s="16">
        <v>3.65</v>
      </c>
      <c r="I15" s="54">
        <f>Submetering!AE15+Submetering!AD15+Submetering!H15</f>
        <v>445.99999999999994</v>
      </c>
      <c r="J15" s="55">
        <v>10.029999999999999</v>
      </c>
      <c r="K15" s="54">
        <f>ELECT.!B16</f>
        <v>78</v>
      </c>
      <c r="L15" s="52"/>
    </row>
    <row r="16" spans="1:14" x14ac:dyDescent="0.2">
      <c r="A16" s="66" t="s">
        <v>54</v>
      </c>
      <c r="B16" s="71">
        <f t="shared" si="0"/>
        <v>15</v>
      </c>
      <c r="C16" s="71">
        <v>2</v>
      </c>
      <c r="D16" s="71">
        <v>2021</v>
      </c>
      <c r="E16" s="54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49773.083007999994</v>
      </c>
      <c r="F16" s="16">
        <v>1.27</v>
      </c>
      <c r="G16" s="54">
        <f>Gas!C17*0.9147</f>
        <v>2233.6974</v>
      </c>
      <c r="H16" s="16">
        <v>3.65</v>
      </c>
      <c r="I16" s="54">
        <f>Submetering!AE16+Submetering!AD16+Submetering!H16</f>
        <v>296</v>
      </c>
      <c r="J16" s="55">
        <v>10.029999999999999</v>
      </c>
      <c r="K16" s="54">
        <f>ELECT.!B17</f>
        <v>65.7</v>
      </c>
      <c r="L16" s="52"/>
    </row>
    <row r="17" spans="1:13" x14ac:dyDescent="0.2">
      <c r="A17" s="66" t="s">
        <v>54</v>
      </c>
      <c r="B17" s="71">
        <f t="shared" si="0"/>
        <v>16</v>
      </c>
      <c r="C17" s="71">
        <v>2</v>
      </c>
      <c r="D17" s="71">
        <v>2021</v>
      </c>
      <c r="E17" s="54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43166.648676000004</v>
      </c>
      <c r="F17" s="16">
        <v>1.27</v>
      </c>
      <c r="G17" s="54">
        <f>Gas!C18*0.9147</f>
        <v>2351.6936999999998</v>
      </c>
      <c r="H17" s="16">
        <v>3.65</v>
      </c>
      <c r="I17" s="54">
        <f>Submetering!AE17+Submetering!AD17+Submetering!H17</f>
        <v>306.00000000000006</v>
      </c>
      <c r="J17" s="55">
        <v>10.029999999999999</v>
      </c>
      <c r="K17" s="54">
        <f>ELECT.!B18</f>
        <v>73</v>
      </c>
      <c r="L17" s="52"/>
    </row>
    <row r="18" spans="1:13" x14ac:dyDescent="0.2">
      <c r="A18" s="66" t="s">
        <v>54</v>
      </c>
      <c r="B18" s="71">
        <f t="shared" si="0"/>
        <v>17</v>
      </c>
      <c r="C18" s="71">
        <v>2</v>
      </c>
      <c r="D18" s="71">
        <v>2021</v>
      </c>
      <c r="E18" s="54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43965.102564000008</v>
      </c>
      <c r="F18" s="16">
        <v>1.27</v>
      </c>
      <c r="G18" s="54">
        <f>Gas!C19*0.9147</f>
        <v>1831.2293999999999</v>
      </c>
      <c r="H18" s="16">
        <v>3.65</v>
      </c>
      <c r="I18" s="54">
        <f>Submetering!AE18+Submetering!AD18+Submetering!H18</f>
        <v>306</v>
      </c>
      <c r="J18" s="55">
        <v>10.029999999999999</v>
      </c>
      <c r="K18" s="54">
        <f>ELECT.!B19</f>
        <v>80</v>
      </c>
      <c r="L18" s="52"/>
    </row>
    <row r="19" spans="1:13" x14ac:dyDescent="0.2">
      <c r="A19" s="66" t="s">
        <v>54</v>
      </c>
      <c r="B19" s="71">
        <f t="shared" si="0"/>
        <v>18</v>
      </c>
      <c r="C19" s="71">
        <v>2</v>
      </c>
      <c r="D19" s="71">
        <v>2021</v>
      </c>
      <c r="E19" s="54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55488.487204000005</v>
      </c>
      <c r="F19" s="16">
        <v>1.27</v>
      </c>
      <c r="G19" s="54">
        <f>Gas!C20*0.9147</f>
        <v>3667.9469999999997</v>
      </c>
      <c r="H19" s="16">
        <v>3.65</v>
      </c>
      <c r="I19" s="54">
        <f>Submetering!AE19+Submetering!AD19+Submetering!H19</f>
        <v>255.99999999999997</v>
      </c>
      <c r="J19" s="55">
        <v>10.029999999999999</v>
      </c>
      <c r="K19" s="54">
        <f>ELECT.!B20</f>
        <v>69.349999999999994</v>
      </c>
      <c r="L19" s="52"/>
    </row>
    <row r="20" spans="1:13" x14ac:dyDescent="0.2">
      <c r="A20" s="66" t="s">
        <v>54</v>
      </c>
      <c r="B20" s="71">
        <f t="shared" si="0"/>
        <v>19</v>
      </c>
      <c r="C20" s="71">
        <v>2</v>
      </c>
      <c r="D20" s="71">
        <v>2021</v>
      </c>
      <c r="E20" s="54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44422.631351999997</v>
      </c>
      <c r="F20" s="16">
        <v>1.27</v>
      </c>
      <c r="G20" s="54">
        <f>Gas!C21*0.9147</f>
        <v>3824.3606999999997</v>
      </c>
      <c r="H20" s="16">
        <v>3.65</v>
      </c>
      <c r="I20" s="54">
        <f>Submetering!AE20+Submetering!AD20+Submetering!H20</f>
        <v>386</v>
      </c>
      <c r="J20" s="55">
        <v>10.029999999999999</v>
      </c>
      <c r="K20" s="54">
        <f>ELECT.!B21</f>
        <v>69.349999999999994</v>
      </c>
      <c r="L20" s="52"/>
    </row>
    <row r="21" spans="1:13" x14ac:dyDescent="0.2">
      <c r="A21" s="66" t="s">
        <v>54</v>
      </c>
      <c r="B21" s="71">
        <f t="shared" si="0"/>
        <v>20</v>
      </c>
      <c r="C21" s="71">
        <v>2</v>
      </c>
      <c r="D21" s="71">
        <v>2021</v>
      </c>
      <c r="E21" s="54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31974.506459999997</v>
      </c>
      <c r="F21" s="16">
        <v>1.27</v>
      </c>
      <c r="G21" s="54">
        <f>Gas!C22*0.9147</f>
        <v>3241.6967999999997</v>
      </c>
      <c r="H21" s="16">
        <v>3.65</v>
      </c>
      <c r="I21" s="54">
        <f>Submetering!AE21+Submetering!AD21+Submetering!H21</f>
        <v>326.00000000000006</v>
      </c>
      <c r="J21" s="55">
        <v>10.029999999999999</v>
      </c>
      <c r="K21" s="54">
        <f>ELECT.!B22</f>
        <v>69.349999999999994</v>
      </c>
      <c r="L21" s="52"/>
    </row>
    <row r="22" spans="1:13" x14ac:dyDescent="0.2">
      <c r="A22" s="66" t="s">
        <v>54</v>
      </c>
      <c r="B22" s="71">
        <f t="shared" si="0"/>
        <v>21</v>
      </c>
      <c r="C22" s="71">
        <v>2</v>
      </c>
      <c r="D22" s="71">
        <v>2021</v>
      </c>
      <c r="E22" s="54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50850.326759999996</v>
      </c>
      <c r="F22" s="16">
        <v>1.27</v>
      </c>
      <c r="G22" s="54">
        <f>Gas!C23*0.9147</f>
        <v>2656.2887999999998</v>
      </c>
      <c r="H22" s="16">
        <v>3.65</v>
      </c>
      <c r="I22" s="54">
        <f>Submetering!AE22+Submetering!AD22+Submetering!H22</f>
        <v>306</v>
      </c>
      <c r="J22" s="55">
        <v>10.029999999999999</v>
      </c>
      <c r="K22" s="54">
        <f>ELECT.!B23</f>
        <v>62.05</v>
      </c>
      <c r="L22" s="52"/>
    </row>
    <row r="23" spans="1:13" x14ac:dyDescent="0.2">
      <c r="A23" s="66" t="s">
        <v>54</v>
      </c>
      <c r="B23" s="71">
        <f t="shared" si="0"/>
        <v>22</v>
      </c>
      <c r="C23" s="71">
        <v>2</v>
      </c>
      <c r="D23" s="71">
        <v>2021</v>
      </c>
      <c r="E23" s="54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51817.067560000003</v>
      </c>
      <c r="F23" s="16">
        <v>1.27</v>
      </c>
      <c r="G23" s="54">
        <f>Gas!C24*0.9147</f>
        <v>1932.7610999999999</v>
      </c>
      <c r="H23" s="16">
        <v>3.65</v>
      </c>
      <c r="I23" s="54">
        <f>Submetering!AE23+Submetering!AD23+Submetering!H23</f>
        <v>256</v>
      </c>
      <c r="J23" s="55">
        <v>10.029999999999999</v>
      </c>
      <c r="K23" s="54">
        <f>ELECT.!B24</f>
        <v>80</v>
      </c>
      <c r="L23" s="52"/>
    </row>
    <row r="24" spans="1:13" x14ac:dyDescent="0.2">
      <c r="A24" s="66" t="s">
        <v>54</v>
      </c>
      <c r="B24" s="71">
        <f t="shared" si="0"/>
        <v>23</v>
      </c>
      <c r="C24" s="71">
        <v>2</v>
      </c>
      <c r="D24" s="71">
        <v>2021</v>
      </c>
      <c r="E24" s="54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49770.518400000001</v>
      </c>
      <c r="F24" s="16">
        <v>1.27</v>
      </c>
      <c r="G24" s="54">
        <f>Gas!C25*0.9147</f>
        <v>2957.2250999999997</v>
      </c>
      <c r="H24" s="16">
        <v>3.65</v>
      </c>
      <c r="I24" s="54">
        <f>Submetering!AE24+Submetering!AD24+Submetering!H24</f>
        <v>256.00000000000006</v>
      </c>
      <c r="J24" s="55">
        <v>10.029999999999999</v>
      </c>
      <c r="K24" s="54">
        <f>ELECT.!B25</f>
        <v>70</v>
      </c>
      <c r="L24" s="52"/>
    </row>
    <row r="25" spans="1:13" x14ac:dyDescent="0.2">
      <c r="A25" s="66" t="s">
        <v>54</v>
      </c>
      <c r="B25" s="71">
        <f t="shared" si="0"/>
        <v>24</v>
      </c>
      <c r="C25" s="71">
        <v>2</v>
      </c>
      <c r="D25" s="71">
        <v>2021</v>
      </c>
      <c r="E25" s="54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38629.814420000002</v>
      </c>
      <c r="F25" s="16">
        <v>1.27</v>
      </c>
      <c r="G25" s="54">
        <f>Gas!C26*0.9147</f>
        <v>2801.7260999999999</v>
      </c>
      <c r="H25" s="16">
        <v>3.65</v>
      </c>
      <c r="I25" s="54">
        <f>Submetering!AE25+Submetering!AD25+Submetering!H25</f>
        <v>306</v>
      </c>
      <c r="J25" s="55">
        <v>10.029999999999999</v>
      </c>
      <c r="K25" s="54">
        <f>ELECT.!B26</f>
        <v>74</v>
      </c>
      <c r="L25" s="52"/>
    </row>
    <row r="26" spans="1:13" x14ac:dyDescent="0.2">
      <c r="A26" s="66" t="s">
        <v>54</v>
      </c>
      <c r="B26" s="71">
        <f>B25+1</f>
        <v>25</v>
      </c>
      <c r="C26" s="71">
        <v>2</v>
      </c>
      <c r="D26" s="71">
        <v>2021</v>
      </c>
      <c r="E26" s="54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60424.603164000007</v>
      </c>
      <c r="F26" s="16">
        <v>1.27</v>
      </c>
      <c r="G26" s="54">
        <f>Gas!C27*0.9147</f>
        <v>2217.2327999999998</v>
      </c>
      <c r="H26" s="16">
        <v>3.65</v>
      </c>
      <c r="I26" s="54">
        <f>Submetering!AE26+Submetering!AD26+Submetering!H26</f>
        <v>316</v>
      </c>
      <c r="J26" s="55">
        <v>10.029999999999999</v>
      </c>
      <c r="K26" s="54">
        <f>ELECT.!B27</f>
        <v>74</v>
      </c>
      <c r="L26" s="52"/>
      <c r="M26" s="41" t="s">
        <v>13</v>
      </c>
    </row>
    <row r="27" spans="1:13" x14ac:dyDescent="0.2">
      <c r="A27" s="66" t="s">
        <v>54</v>
      </c>
      <c r="B27" s="71">
        <f t="shared" si="0"/>
        <v>26</v>
      </c>
      <c r="C27" s="71">
        <v>2</v>
      </c>
      <c r="D27" s="71">
        <v>2021</v>
      </c>
      <c r="E27" s="54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51550.659080000005</v>
      </c>
      <c r="F27" s="16">
        <v>1.27</v>
      </c>
      <c r="G27" s="54">
        <f>Gas!C28*0.9147</f>
        <v>2296.8116999999997</v>
      </c>
      <c r="H27" s="16">
        <v>3.65</v>
      </c>
      <c r="I27" s="54">
        <f>Submetering!AE27+Submetering!AD27+Submetering!H27</f>
        <v>536</v>
      </c>
      <c r="J27" s="55">
        <v>10.029999999999999</v>
      </c>
      <c r="K27" s="54">
        <f>ELECT.!B28</f>
        <v>73</v>
      </c>
      <c r="L27" s="52"/>
    </row>
    <row r="28" spans="1:13" x14ac:dyDescent="0.2">
      <c r="A28" s="66" t="s">
        <v>54</v>
      </c>
      <c r="B28" s="71">
        <f t="shared" si="0"/>
        <v>27</v>
      </c>
      <c r="C28" s="71">
        <v>2</v>
      </c>
      <c r="D28" s="71">
        <v>2021</v>
      </c>
      <c r="E28" s="54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36994.269876000006</v>
      </c>
      <c r="F28" s="16">
        <v>1.27</v>
      </c>
      <c r="G28" s="54">
        <f>Gas!C29*0.9147</f>
        <v>2756.9058</v>
      </c>
      <c r="H28" s="16">
        <v>3.65</v>
      </c>
      <c r="I28" s="54">
        <f>Submetering!AE28+Submetering!AD28+Submetering!H28</f>
        <v>235.99999999999997</v>
      </c>
      <c r="J28" s="55">
        <v>10.029999999999999</v>
      </c>
      <c r="K28" s="54">
        <f>ELECT.!B29</f>
        <v>73</v>
      </c>
      <c r="L28" s="52"/>
    </row>
    <row r="29" spans="1:13" x14ac:dyDescent="0.2">
      <c r="A29" s="66" t="s">
        <v>54</v>
      </c>
      <c r="B29" s="71">
        <f t="shared" si="0"/>
        <v>28</v>
      </c>
      <c r="C29" s="71">
        <v>2</v>
      </c>
      <c r="D29" s="71">
        <v>2021</v>
      </c>
      <c r="E29" s="54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33203.034315999997</v>
      </c>
      <c r="F29" s="16">
        <v>1.27</v>
      </c>
      <c r="G29" s="54">
        <f>Gas!C30*0.9147</f>
        <v>2734.0382999999997</v>
      </c>
      <c r="H29" s="16">
        <v>3.65</v>
      </c>
      <c r="I29" s="54">
        <f>Submetering!AE29+Submetering!AD29+Submetering!H29</f>
        <v>276</v>
      </c>
      <c r="J29" s="55">
        <v>10.029999999999999</v>
      </c>
      <c r="K29" s="54">
        <f>ELECT.!B30</f>
        <v>73</v>
      </c>
      <c r="L29" s="52"/>
    </row>
    <row r="30" spans="1:13" x14ac:dyDescent="0.2">
      <c r="G30" s="54"/>
      <c r="K30" s="54"/>
      <c r="L30" s="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G1" zoomScale="85" zoomScaleNormal="85" workbookViewId="0">
      <selection activeCell="Y22" sqref="Y22"/>
    </sheetView>
  </sheetViews>
  <sheetFormatPr defaultColWidth="11.5703125" defaultRowHeight="12.75" x14ac:dyDescent="0.2"/>
  <cols>
    <col min="1" max="1" width="15.85546875" style="66" bestFit="1" customWidth="1"/>
    <col min="2" max="3" width="11.5703125" style="71"/>
    <col min="4" max="4" width="13.42578125" style="71" customWidth="1"/>
    <col min="5" max="17" width="12.5703125" style="54" customWidth="1"/>
    <col min="18" max="23" width="12.5703125" style="55" customWidth="1"/>
    <col min="24" max="25" width="11.5703125" style="52"/>
    <col min="27" max="27" width="13.7109375" bestFit="1" customWidth="1"/>
    <col min="28" max="28" width="13.5703125" bestFit="1" customWidth="1"/>
    <col min="30" max="30" width="15.5703125" customWidth="1"/>
  </cols>
  <sheetData>
    <row r="1" spans="1:31" s="51" customFormat="1" ht="60" x14ac:dyDescent="0.25">
      <c r="A1" s="65" t="s">
        <v>46</v>
      </c>
      <c r="B1" s="69" t="s">
        <v>0</v>
      </c>
      <c r="C1" s="69" t="s">
        <v>47</v>
      </c>
      <c r="D1" s="69" t="s">
        <v>48</v>
      </c>
      <c r="E1" s="70" t="s">
        <v>65</v>
      </c>
      <c r="F1" s="70" t="s">
        <v>66</v>
      </c>
      <c r="G1" s="70" t="s">
        <v>67</v>
      </c>
      <c r="H1" s="70" t="s">
        <v>68</v>
      </c>
      <c r="I1" s="70" t="s">
        <v>58</v>
      </c>
      <c r="J1" s="70" t="s">
        <v>57</v>
      </c>
      <c r="K1" s="70" t="s">
        <v>56</v>
      </c>
      <c r="L1" s="70" t="s">
        <v>59</v>
      </c>
      <c r="M1" s="70" t="s">
        <v>60</v>
      </c>
      <c r="N1" s="70" t="s">
        <v>61</v>
      </c>
      <c r="O1" s="70" t="s">
        <v>62</v>
      </c>
      <c r="P1" s="70" t="s">
        <v>63</v>
      </c>
      <c r="Q1" s="70" t="s">
        <v>77</v>
      </c>
      <c r="R1" s="72" t="s">
        <v>69</v>
      </c>
      <c r="S1" s="72" t="s">
        <v>70</v>
      </c>
      <c r="T1" s="72" t="s">
        <v>71</v>
      </c>
      <c r="U1" s="72" t="s">
        <v>72</v>
      </c>
      <c r="V1" s="72" t="s">
        <v>73</v>
      </c>
      <c r="W1" s="72" t="s">
        <v>74</v>
      </c>
      <c r="X1" s="67" t="s">
        <v>53</v>
      </c>
      <c r="Y1" s="154" t="s">
        <v>129</v>
      </c>
      <c r="Z1" s="51" t="s">
        <v>130</v>
      </c>
      <c r="AA1" s="51" t="s">
        <v>131</v>
      </c>
      <c r="AB1" s="51" t="s">
        <v>132</v>
      </c>
      <c r="AC1" s="51" t="s">
        <v>133</v>
      </c>
      <c r="AD1" s="155" t="s">
        <v>134</v>
      </c>
      <c r="AE1" s="155" t="s">
        <v>135</v>
      </c>
    </row>
    <row r="2" spans="1:31" x14ac:dyDescent="0.2">
      <c r="A2" s="66" t="s">
        <v>54</v>
      </c>
      <c r="B2" s="71">
        <v>1</v>
      </c>
      <c r="C2" s="71">
        <v>2</v>
      </c>
      <c r="D2" s="71">
        <v>2021</v>
      </c>
      <c r="E2" s="54">
        <f>Water!C3</f>
        <v>1610</v>
      </c>
      <c r="F2" s="54">
        <f>Water!E3</f>
        <v>445.5</v>
      </c>
      <c r="G2" s="54">
        <f>Water!G3</f>
        <v>337.5</v>
      </c>
      <c r="H2" s="54">
        <f>Water!I3</f>
        <v>8.8290000000000006</v>
      </c>
      <c r="I2" s="54">
        <f>ELECT.!F3</f>
        <v>14596</v>
      </c>
      <c r="J2" s="54">
        <f>ELECT.!H3</f>
        <v>80974</v>
      </c>
      <c r="K2" s="54">
        <f>ELECT.!K3</f>
        <v>11068</v>
      </c>
      <c r="L2" s="54">
        <f>ELECT.!M3</f>
        <v>11167</v>
      </c>
      <c r="M2" s="54">
        <f>ELECT.!O3</f>
        <v>3144</v>
      </c>
      <c r="N2" s="54">
        <f>ELECT.!Q3</f>
        <v>14328</v>
      </c>
      <c r="O2" s="54">
        <f>ELECT.!S3</f>
        <v>16552</v>
      </c>
      <c r="P2" s="54">
        <f>ELECT.!W3*2</f>
        <v>37550</v>
      </c>
      <c r="Q2" s="54">
        <f>ELECT.!D3</f>
        <v>960</v>
      </c>
      <c r="R2" s="55">
        <f>BTU!C3</f>
        <v>6.6270000000004075</v>
      </c>
      <c r="S2" s="55">
        <f>BTU!F3</f>
        <v>1.9140000000002146</v>
      </c>
      <c r="T2" s="55">
        <f>BTU!I3</f>
        <v>9</v>
      </c>
      <c r="U2" s="55">
        <f>BTU!O3</f>
        <v>1.73700000000008</v>
      </c>
      <c r="V2" s="55">
        <f>BTU!L3</f>
        <v>2.0200000000004366</v>
      </c>
      <c r="W2" s="55">
        <f>BTU!R3</f>
        <v>2.9999999999745341E-2</v>
      </c>
      <c r="X2" s="52">
        <f>ELECT.!B3</f>
        <v>69.349999999999994</v>
      </c>
      <c r="Y2" s="52">
        <f>I2+J2-(K2+L2+M2+N2+O2+P2)</f>
        <v>1761</v>
      </c>
      <c r="Z2">
        <f>'Mall, Citadel, Rotana'!C3+'Mall, Citadel, Rotana'!E3+'Mall, Citadel, Rotana'!G3+'Mall, Citadel, Rotana'!I3</f>
        <v>2564</v>
      </c>
      <c r="AA2">
        <f>'Mall, Citadel, Rotana'!K3+'Mall, Citadel, Rotana'!M3</f>
        <v>1440</v>
      </c>
      <c r="AB2">
        <f>'Mall, Citadel, Rotana'!O3</f>
        <v>268</v>
      </c>
      <c r="AC2">
        <f>'Mall, Citadel, Rotana'!Q3+'Mall, Citadel, Rotana'!S3</f>
        <v>128</v>
      </c>
      <c r="AD2" s="52">
        <f>(E2-H2-194)*0.1318</f>
        <v>185.46513780000001</v>
      </c>
      <c r="AE2" s="52">
        <f>E2-H2-AD2-194</f>
        <v>1221.7058622</v>
      </c>
    </row>
    <row r="3" spans="1:31" x14ac:dyDescent="0.2">
      <c r="A3" s="66" t="s">
        <v>54</v>
      </c>
      <c r="B3" s="71">
        <f>B2+1</f>
        <v>2</v>
      </c>
      <c r="C3" s="71">
        <v>2</v>
      </c>
      <c r="D3" s="71">
        <v>2021</v>
      </c>
      <c r="E3" s="54">
        <f>Water!C4</f>
        <v>490</v>
      </c>
      <c r="F3" s="54">
        <f>Water!E4</f>
        <v>305.10000000000002</v>
      </c>
      <c r="G3" s="54">
        <f>Water!G4</f>
        <v>245.7</v>
      </c>
      <c r="H3" s="54">
        <f>Water!I4</f>
        <v>6.0750000000000002</v>
      </c>
      <c r="I3" s="54">
        <f>ELECT.!F4</f>
        <v>8139</v>
      </c>
      <c r="J3" s="54">
        <f>ELECT.!H4</f>
        <v>44555</v>
      </c>
      <c r="K3" s="54">
        <f>ELECT.!K4</f>
        <v>6347</v>
      </c>
      <c r="L3" s="54">
        <f>ELECT.!M4</f>
        <v>5518</v>
      </c>
      <c r="M3" s="54">
        <f>ELECT.!O4</f>
        <v>2454</v>
      </c>
      <c r="N3" s="54">
        <f>ELECT.!Q4</f>
        <v>7332</v>
      </c>
      <c r="O3" s="54">
        <f>ELECT.!S4</f>
        <v>9352</v>
      </c>
      <c r="P3" s="54">
        <f>ELECT.!W4*2</f>
        <v>20638</v>
      </c>
      <c r="Q3" s="54">
        <f>ELECT.!D4</f>
        <v>320</v>
      </c>
      <c r="R3" s="55">
        <f>BTU!C4</f>
        <v>3.3300000000017462</v>
      </c>
      <c r="S3" s="55">
        <f>BTU!F4</f>
        <v>0.8930000000000291</v>
      </c>
      <c r="T3" s="55">
        <f>BTU!I4</f>
        <v>4</v>
      </c>
      <c r="U3" s="55">
        <f>BTU!O4</f>
        <v>0.86299999999982901</v>
      </c>
      <c r="V3" s="55">
        <f>BTU!L4</f>
        <v>4.0999999999257852E-2</v>
      </c>
      <c r="W3" s="55">
        <f>BTU!R4</f>
        <v>0</v>
      </c>
      <c r="X3" s="52">
        <f>ELECT.!B4</f>
        <v>69.349999999999994</v>
      </c>
      <c r="Y3" s="52">
        <f t="shared" ref="Y3:Y29" si="0">I3+J3-(K3+L3+M3+N3+O3+P3)</f>
        <v>1053</v>
      </c>
      <c r="Z3">
        <f>'Mall, Citadel, Rotana'!C4+'Mall, Citadel, Rotana'!E4+'Mall, Citadel, Rotana'!G4+'Mall, Citadel, Rotana'!I4</f>
        <v>1391</v>
      </c>
      <c r="AA3">
        <f>'Mall, Citadel, Rotana'!K4+'Mall, Citadel, Rotana'!M4</f>
        <v>960</v>
      </c>
      <c r="AB3">
        <f>'Mall, Citadel, Rotana'!O4</f>
        <v>78</v>
      </c>
      <c r="AC3">
        <f>'Mall, Citadel, Rotana'!Q4+'Mall, Citadel, Rotana'!S4</f>
        <v>0</v>
      </c>
      <c r="AD3" s="52">
        <f t="shared" ref="AD3:AD29" si="1">(E3-H3-194)*0.1318</f>
        <v>38.212115000000004</v>
      </c>
      <c r="AE3" s="52">
        <f t="shared" ref="AE3:AE29" si="2">E3-H3-AD3-194</f>
        <v>251.71288500000003</v>
      </c>
    </row>
    <row r="4" spans="1:31" x14ac:dyDescent="0.2">
      <c r="A4" s="66" t="s">
        <v>54</v>
      </c>
      <c r="B4" s="71">
        <f t="shared" ref="B4:B29" si="3">B3+1</f>
        <v>3</v>
      </c>
      <c r="C4" s="71">
        <v>2</v>
      </c>
      <c r="D4" s="71">
        <v>2021</v>
      </c>
      <c r="E4" s="54">
        <f>Water!C5</f>
        <v>520</v>
      </c>
      <c r="F4" s="54">
        <f>Water!E5</f>
        <v>256.5</v>
      </c>
      <c r="G4" s="54">
        <f>Water!G5</f>
        <v>186.3</v>
      </c>
      <c r="H4" s="54">
        <f>Water!I5</f>
        <v>5.0220000000000002</v>
      </c>
      <c r="I4" s="54">
        <f>ELECT.!F5</f>
        <v>0</v>
      </c>
      <c r="J4" s="54">
        <f>ELECT.!H5</f>
        <v>0</v>
      </c>
      <c r="K4" s="54">
        <f>ELECT.!K5</f>
        <v>0</v>
      </c>
      <c r="L4" s="54">
        <f>ELECT.!M5</f>
        <v>0</v>
      </c>
      <c r="M4" s="54">
        <f>ELECT.!O5</f>
        <v>0</v>
      </c>
      <c r="N4" s="54">
        <f>ELECT.!Q5</f>
        <v>0</v>
      </c>
      <c r="O4" s="54">
        <f>ELECT.!S5</f>
        <v>0</v>
      </c>
      <c r="P4" s="54">
        <f>ELECT.!W5*2</f>
        <v>0</v>
      </c>
      <c r="Q4" s="54">
        <f>ELECT.!D5</f>
        <v>320</v>
      </c>
      <c r="R4" s="55">
        <f>BTU!C5</f>
        <v>0</v>
      </c>
      <c r="S4" s="55">
        <f>BTU!F5</f>
        <v>0</v>
      </c>
      <c r="T4" s="55">
        <f>BTU!I5</f>
        <v>0</v>
      </c>
      <c r="U4" s="55">
        <f>BTU!O5</f>
        <v>0</v>
      </c>
      <c r="V4" s="55">
        <f>BTU!L5</f>
        <v>0</v>
      </c>
      <c r="W4" s="55">
        <f>BTU!R5</f>
        <v>0</v>
      </c>
      <c r="X4" s="52">
        <f>ELECT.!B5</f>
        <v>80</v>
      </c>
      <c r="Y4" s="52">
        <f t="shared" si="0"/>
        <v>0</v>
      </c>
      <c r="Z4">
        <f>'Mall, Citadel, Rotana'!C5+'Mall, Citadel, Rotana'!E5+'Mall, Citadel, Rotana'!G5+'Mall, Citadel, Rotana'!I5</f>
        <v>1653</v>
      </c>
      <c r="AA4">
        <f>'Mall, Citadel, Rotana'!K5+'Mall, Citadel, Rotana'!M5</f>
        <v>320</v>
      </c>
      <c r="AB4">
        <f>'Mall, Citadel, Rotana'!O5</f>
        <v>90</v>
      </c>
      <c r="AC4">
        <f>'Mall, Citadel, Rotana'!Q5+'Mall, Citadel, Rotana'!S5</f>
        <v>101</v>
      </c>
      <c r="AD4" s="52">
        <f t="shared" si="1"/>
        <v>42.304900399999994</v>
      </c>
      <c r="AE4" s="52">
        <f t="shared" si="2"/>
        <v>278.67309959999994</v>
      </c>
    </row>
    <row r="5" spans="1:31" x14ac:dyDescent="0.2">
      <c r="A5" s="66" t="s">
        <v>54</v>
      </c>
      <c r="B5" s="71">
        <f t="shared" si="3"/>
        <v>4</v>
      </c>
      <c r="C5" s="71">
        <v>2</v>
      </c>
      <c r="D5" s="71">
        <v>2021</v>
      </c>
      <c r="E5" s="54">
        <f>Water!C6</f>
        <v>500</v>
      </c>
      <c r="F5" s="54">
        <f>Water!E6</f>
        <v>383.4</v>
      </c>
      <c r="G5" s="54">
        <f>Water!G6</f>
        <v>189</v>
      </c>
      <c r="H5" s="54">
        <f>Water!I6</f>
        <v>5.4</v>
      </c>
      <c r="I5" s="54">
        <f>ELECT.!F6</f>
        <v>15054</v>
      </c>
      <c r="J5" s="54">
        <f>ELECT.!H6</f>
        <v>77640</v>
      </c>
      <c r="K5" s="54">
        <f>ELECT.!K6</f>
        <v>10727</v>
      </c>
      <c r="L5" s="54">
        <f>ELECT.!M6</f>
        <v>10427</v>
      </c>
      <c r="M5" s="54">
        <f>ELECT.!O6</f>
        <v>4324</v>
      </c>
      <c r="N5" s="54">
        <f>ELECT.!Q6</f>
        <v>12734</v>
      </c>
      <c r="O5" s="54">
        <f>ELECT.!S6</f>
        <v>16354</v>
      </c>
      <c r="P5" s="54">
        <f>ELECT.!W6*2</f>
        <v>36226</v>
      </c>
      <c r="Q5" s="54">
        <f>ELECT.!D6</f>
        <v>480</v>
      </c>
      <c r="R5" s="55">
        <f>BTU!C6</f>
        <v>6.8760000000002037</v>
      </c>
      <c r="S5" s="55">
        <f>BTU!F6</f>
        <v>2.0769999999997708</v>
      </c>
      <c r="T5" s="55">
        <f>BTU!I6</f>
        <v>9</v>
      </c>
      <c r="U5" s="55">
        <f>BTU!O6</f>
        <v>1.8340000000002874</v>
      </c>
      <c r="V5" s="55">
        <f>BTU!L6</f>
        <v>3.3590000000003783</v>
      </c>
      <c r="W5" s="55">
        <f>BTU!R6</f>
        <v>0</v>
      </c>
      <c r="X5" s="52">
        <f>ELECT.!B6</f>
        <v>62.05</v>
      </c>
      <c r="Y5" s="52">
        <f t="shared" si="0"/>
        <v>1902</v>
      </c>
      <c r="Z5">
        <f>'Mall, Citadel, Rotana'!C6+'Mall, Citadel, Rotana'!E6+'Mall, Citadel, Rotana'!G6+'Mall, Citadel, Rotana'!I6</f>
        <v>1251</v>
      </c>
      <c r="AA5">
        <f>'Mall, Citadel, Rotana'!K6+'Mall, Citadel, Rotana'!M6</f>
        <v>320</v>
      </c>
      <c r="AB5">
        <f>'Mall, Citadel, Rotana'!O6</f>
        <v>24</v>
      </c>
      <c r="AC5">
        <f>'Mall, Citadel, Rotana'!Q6+'Mall, Citadel, Rotana'!S6</f>
        <v>77</v>
      </c>
      <c r="AD5" s="52">
        <f t="shared" si="1"/>
        <v>39.619080000000004</v>
      </c>
      <c r="AE5" s="52">
        <f t="shared" si="2"/>
        <v>260.98092000000003</v>
      </c>
    </row>
    <row r="6" spans="1:31" x14ac:dyDescent="0.2">
      <c r="A6" s="66" t="s">
        <v>54</v>
      </c>
      <c r="B6" s="71">
        <f t="shared" si="3"/>
        <v>5</v>
      </c>
      <c r="C6" s="71">
        <v>2</v>
      </c>
      <c r="D6" s="71">
        <v>2021</v>
      </c>
      <c r="E6" s="54">
        <f>Water!C7</f>
        <v>670</v>
      </c>
      <c r="F6" s="54">
        <f>Water!E7</f>
        <v>191.7</v>
      </c>
      <c r="G6" s="54">
        <f>Water!G7</f>
        <v>221.4</v>
      </c>
      <c r="H6" s="54">
        <f>Water!I7</f>
        <v>4.59</v>
      </c>
      <c r="I6" s="54">
        <f>ELECT.!F7</f>
        <v>7154</v>
      </c>
      <c r="J6" s="54">
        <f>ELECT.!H7</f>
        <v>71772</v>
      </c>
      <c r="K6" s="54">
        <f>ELECT.!K7</f>
        <v>7830</v>
      </c>
      <c r="L6" s="54">
        <f>ELECT.!M7</f>
        <v>7085</v>
      </c>
      <c r="M6" s="54">
        <f>ELECT.!O7</f>
        <v>3464</v>
      </c>
      <c r="N6" s="54">
        <f>ELECT.!Q7</f>
        <v>10340</v>
      </c>
      <c r="O6" s="54">
        <f>ELECT.!S7</f>
        <v>12968</v>
      </c>
      <c r="P6" s="54">
        <f>ELECT.!W7*2</f>
        <v>29292</v>
      </c>
      <c r="Q6" s="54">
        <f>ELECT.!D7</f>
        <v>0</v>
      </c>
      <c r="R6" s="55">
        <f>BTU!C7</f>
        <v>3.1859999999978754</v>
      </c>
      <c r="S6" s="55">
        <f>BTU!F7</f>
        <v>0.46100000000024011</v>
      </c>
      <c r="T6" s="55">
        <f>BTU!I7</f>
        <v>3</v>
      </c>
      <c r="U6" s="55">
        <f>BTU!O7</f>
        <v>0.93299999999999272</v>
      </c>
      <c r="V6" s="55">
        <f>BTU!L7</f>
        <v>1.4099999999998545</v>
      </c>
      <c r="W6" s="55">
        <f>BTU!R7</f>
        <v>0</v>
      </c>
      <c r="X6" s="52">
        <f>ELECT.!B7</f>
        <v>62.05</v>
      </c>
      <c r="Y6" s="52">
        <f t="shared" si="0"/>
        <v>7947</v>
      </c>
      <c r="Z6">
        <f>'Mall, Citadel, Rotana'!C7+'Mall, Citadel, Rotana'!E7+'Mall, Citadel, Rotana'!G7+'Mall, Citadel, Rotana'!I7</f>
        <v>1068</v>
      </c>
      <c r="AA6">
        <f>'Mall, Citadel, Rotana'!K7+'Mall, Citadel, Rotana'!M7</f>
        <v>480</v>
      </c>
      <c r="AB6">
        <f>'Mall, Citadel, Rotana'!O7</f>
        <v>82</v>
      </c>
      <c r="AC6">
        <f>'Mall, Citadel, Rotana'!Q7+'Mall, Citadel, Rotana'!S7</f>
        <v>0</v>
      </c>
      <c r="AD6" s="52">
        <f t="shared" si="1"/>
        <v>62.131837999999995</v>
      </c>
      <c r="AE6" s="52">
        <f t="shared" si="2"/>
        <v>409.27816199999995</v>
      </c>
    </row>
    <row r="7" spans="1:31" x14ac:dyDescent="0.2">
      <c r="A7" s="66" t="s">
        <v>54</v>
      </c>
      <c r="B7" s="71">
        <f t="shared" si="3"/>
        <v>6</v>
      </c>
      <c r="C7" s="71">
        <v>2</v>
      </c>
      <c r="D7" s="71">
        <v>2021</v>
      </c>
      <c r="E7" s="54">
        <f>Water!C8</f>
        <v>490</v>
      </c>
      <c r="F7" s="54">
        <f>Water!E8</f>
        <v>224.1</v>
      </c>
      <c r="G7" s="54">
        <f>Water!G8</f>
        <v>189</v>
      </c>
      <c r="H7" s="54">
        <f>Water!I8</f>
        <v>4.9139999999999997</v>
      </c>
      <c r="I7" s="54">
        <f>ELECT.!F8</f>
        <v>9045</v>
      </c>
      <c r="J7" s="54">
        <f>ELECT.!H8</f>
        <v>15682</v>
      </c>
      <c r="K7" s="54">
        <f>ELECT.!K8</f>
        <v>3375</v>
      </c>
      <c r="L7" s="54">
        <f>ELECT.!M8</f>
        <v>3958</v>
      </c>
      <c r="M7" s="54">
        <f>ELECT.!O8</f>
        <v>1356</v>
      </c>
      <c r="N7" s="54">
        <f>ELECT.!Q8</f>
        <v>4344</v>
      </c>
      <c r="O7" s="54">
        <f>ELECT.!S8</f>
        <v>5390</v>
      </c>
      <c r="P7" s="54">
        <f>ELECT.!W8*2</f>
        <v>12118</v>
      </c>
      <c r="Q7" s="54">
        <f>ELECT.!D8</f>
        <v>640</v>
      </c>
      <c r="R7" s="55">
        <f>BTU!C8</f>
        <v>3.2560000000012224</v>
      </c>
      <c r="S7" s="55">
        <f>BTU!F8</f>
        <v>0.56100000000014916</v>
      </c>
      <c r="T7" s="55">
        <f>BTU!I8</f>
        <v>5</v>
      </c>
      <c r="U7" s="55">
        <f>BTU!O8</f>
        <v>0.98900000000003274</v>
      </c>
      <c r="V7" s="55">
        <f>BTU!L8</f>
        <v>1.2799999999988358</v>
      </c>
      <c r="W7" s="55">
        <f>BTU!R8</f>
        <v>0</v>
      </c>
      <c r="X7" s="52">
        <f>ELECT.!B8</f>
        <v>58.4</v>
      </c>
      <c r="Y7" s="52">
        <f t="shared" si="0"/>
        <v>-5814</v>
      </c>
      <c r="Z7">
        <f>'Mall, Citadel, Rotana'!C8+'Mall, Citadel, Rotana'!E8+'Mall, Citadel, Rotana'!G8+'Mall, Citadel, Rotana'!I8</f>
        <v>1062</v>
      </c>
      <c r="AA7">
        <f>'Mall, Citadel, Rotana'!K8+'Mall, Citadel, Rotana'!M8</f>
        <v>320</v>
      </c>
      <c r="AB7">
        <f>'Mall, Citadel, Rotana'!O8</f>
        <v>214</v>
      </c>
      <c r="AC7">
        <f>'Mall, Citadel, Rotana'!Q8+'Mall, Citadel, Rotana'!S8</f>
        <v>0</v>
      </c>
      <c r="AD7" s="52">
        <f t="shared" si="1"/>
        <v>38.3651348</v>
      </c>
      <c r="AE7" s="52">
        <f t="shared" si="2"/>
        <v>252.72086519999999</v>
      </c>
    </row>
    <row r="8" spans="1:31" x14ac:dyDescent="0.2">
      <c r="A8" s="66" t="s">
        <v>54</v>
      </c>
      <c r="B8" s="71">
        <f t="shared" si="3"/>
        <v>7</v>
      </c>
      <c r="C8" s="71">
        <v>2</v>
      </c>
      <c r="D8" s="71">
        <v>2021</v>
      </c>
      <c r="E8" s="54">
        <f>Water!C9</f>
        <v>410</v>
      </c>
      <c r="F8" s="54">
        <f>Water!E9</f>
        <v>205.2</v>
      </c>
      <c r="G8" s="54">
        <f>Water!G9</f>
        <v>135</v>
      </c>
      <c r="H8" s="54">
        <f>Water!I9</f>
        <v>4.32</v>
      </c>
      <c r="I8" s="54">
        <f>ELECT.!F9</f>
        <v>8099</v>
      </c>
      <c r="J8" s="54">
        <f>ELECT.!H9</f>
        <v>43934</v>
      </c>
      <c r="K8" s="54">
        <f>ELECT.!K9</f>
        <v>5902</v>
      </c>
      <c r="L8" s="54">
        <f>ELECT.!M9</f>
        <v>5625</v>
      </c>
      <c r="M8" s="54">
        <f>ELECT.!O9</f>
        <v>2318</v>
      </c>
      <c r="N8" s="54">
        <f>ELECT.!Q9</f>
        <v>8445</v>
      </c>
      <c r="O8" s="54">
        <f>ELECT.!S9</f>
        <v>9062</v>
      </c>
      <c r="P8" s="54">
        <f>ELECT.!W9*2</f>
        <v>24302</v>
      </c>
      <c r="Q8" s="54">
        <f>ELECT.!D9</f>
        <v>320</v>
      </c>
      <c r="R8" s="55">
        <f>BTU!C9</f>
        <v>3.419000000001688</v>
      </c>
      <c r="S8" s="55">
        <f>BTU!F9</f>
        <v>1.2329999999997199</v>
      </c>
      <c r="T8" s="55">
        <f>BTU!I9</f>
        <v>4</v>
      </c>
      <c r="U8" s="55">
        <f>BTU!O9</f>
        <v>0.9819999999999709</v>
      </c>
      <c r="V8" s="55">
        <f>BTU!L9</f>
        <v>1.3600000000005821</v>
      </c>
      <c r="W8" s="55">
        <f>BTU!R9</f>
        <v>0</v>
      </c>
      <c r="X8" s="52">
        <f>ELECT.!B9</f>
        <v>58.4</v>
      </c>
      <c r="Y8" s="52">
        <f t="shared" si="0"/>
        <v>-3621</v>
      </c>
      <c r="Z8">
        <f>'Mall, Citadel, Rotana'!C9+'Mall, Citadel, Rotana'!E9+'Mall, Citadel, Rotana'!G9+'Mall, Citadel, Rotana'!I9</f>
        <v>1054</v>
      </c>
      <c r="AA8">
        <f>'Mall, Citadel, Rotana'!K9+'Mall, Citadel, Rotana'!M9</f>
        <v>640</v>
      </c>
      <c r="AB8">
        <f>'Mall, Citadel, Rotana'!O9</f>
        <v>123</v>
      </c>
      <c r="AC8">
        <f>'Mall, Citadel, Rotana'!Q9+'Mall, Citadel, Rotana'!S9</f>
        <v>0</v>
      </c>
      <c r="AD8" s="52">
        <f t="shared" si="1"/>
        <v>27.899424</v>
      </c>
      <c r="AE8" s="52">
        <f t="shared" si="2"/>
        <v>183.780576</v>
      </c>
    </row>
    <row r="9" spans="1:31" x14ac:dyDescent="0.2">
      <c r="A9" s="66" t="s">
        <v>54</v>
      </c>
      <c r="B9" s="71">
        <f t="shared" si="3"/>
        <v>8</v>
      </c>
      <c r="C9" s="71">
        <v>2</v>
      </c>
      <c r="D9" s="71">
        <v>2021</v>
      </c>
      <c r="E9" s="54">
        <f>Water!C10</f>
        <v>520</v>
      </c>
      <c r="F9" s="54">
        <f>Water!E10</f>
        <v>261.89999999999998</v>
      </c>
      <c r="G9" s="54">
        <f>Water!G10</f>
        <v>170.1</v>
      </c>
      <c r="H9" s="54">
        <f>Water!I10</f>
        <v>4.9409999999999998</v>
      </c>
      <c r="I9" s="54">
        <f>ELECT.!F10</f>
        <v>6442</v>
      </c>
      <c r="J9" s="54">
        <f>ELECT.!H10</f>
        <v>38105</v>
      </c>
      <c r="K9" s="54">
        <f>ELECT.!K10</f>
        <v>4962</v>
      </c>
      <c r="L9" s="54">
        <f>ELECT.!M10</f>
        <v>4277</v>
      </c>
      <c r="M9" s="54">
        <f>ELECT.!O10</f>
        <v>2024</v>
      </c>
      <c r="N9" s="54">
        <f>ELECT.!Q10</f>
        <v>5912</v>
      </c>
      <c r="O9" s="54">
        <f>ELECT.!S10</f>
        <v>7773</v>
      </c>
      <c r="P9" s="54">
        <f>ELECT.!W10*2</f>
        <v>14038</v>
      </c>
      <c r="Q9" s="54">
        <f>ELECT.!D10</f>
        <v>320</v>
      </c>
      <c r="R9" s="55">
        <f>BTU!C10</f>
        <v>3.8629999999975553</v>
      </c>
      <c r="S9" s="55">
        <f>BTU!F10</f>
        <v>1.1610000000000582</v>
      </c>
      <c r="T9" s="55">
        <f>BTU!I10</f>
        <v>4</v>
      </c>
      <c r="U9" s="55">
        <f>BTU!O10</f>
        <v>1.0859999999997854</v>
      </c>
      <c r="V9" s="55">
        <f>BTU!L10</f>
        <v>0.23999999999978172</v>
      </c>
      <c r="W9" s="55">
        <f>BTU!R10</f>
        <v>1.3000000000001819</v>
      </c>
      <c r="X9" s="52">
        <f>ELECT.!B10</f>
        <v>88</v>
      </c>
      <c r="Y9" s="52">
        <f t="shared" si="0"/>
        <v>5561</v>
      </c>
      <c r="Z9">
        <f>'Mall, Citadel, Rotana'!C10+'Mall, Citadel, Rotana'!E10+'Mall, Citadel, Rotana'!G10+'Mall, Citadel, Rotana'!I10</f>
        <v>1168</v>
      </c>
      <c r="AA9">
        <f>'Mall, Citadel, Rotana'!K10+'Mall, Citadel, Rotana'!M10</f>
        <v>480</v>
      </c>
      <c r="AB9">
        <f>'Mall, Citadel, Rotana'!O10</f>
        <v>54</v>
      </c>
      <c r="AC9">
        <f>'Mall, Citadel, Rotana'!Q10+'Mall, Citadel, Rotana'!S10</f>
        <v>323</v>
      </c>
      <c r="AD9" s="52">
        <f t="shared" si="1"/>
        <v>42.315576199999995</v>
      </c>
      <c r="AE9" s="52">
        <f t="shared" si="2"/>
        <v>278.74342379999996</v>
      </c>
    </row>
    <row r="10" spans="1:31" x14ac:dyDescent="0.2">
      <c r="A10" s="66" t="s">
        <v>54</v>
      </c>
      <c r="B10" s="71">
        <f t="shared" si="3"/>
        <v>9</v>
      </c>
      <c r="C10" s="71">
        <v>2</v>
      </c>
      <c r="D10" s="71">
        <v>2021</v>
      </c>
      <c r="E10" s="54">
        <f>Water!C11</f>
        <v>550</v>
      </c>
      <c r="F10" s="54">
        <f>Water!E11</f>
        <v>278.10000000000002</v>
      </c>
      <c r="G10" s="54">
        <f>Water!G11</f>
        <v>186.3</v>
      </c>
      <c r="H10" s="54">
        <f>Water!I11</f>
        <v>4.7519999999999998</v>
      </c>
      <c r="I10" s="54">
        <f>ELECT.!F11</f>
        <v>9356</v>
      </c>
      <c r="J10" s="54">
        <f>ELECT.!H11</f>
        <v>52416</v>
      </c>
      <c r="K10" s="54">
        <f>ELECT.!K11</f>
        <v>6907</v>
      </c>
      <c r="L10" s="54">
        <f>ELECT.!M11</f>
        <v>6424</v>
      </c>
      <c r="M10" s="54">
        <f>ELECT.!O11</f>
        <v>2754</v>
      </c>
      <c r="N10" s="54">
        <f>ELECT.!Q11</f>
        <v>9271</v>
      </c>
      <c r="O10" s="54">
        <f>ELECT.!S11</f>
        <v>10727</v>
      </c>
      <c r="P10" s="54">
        <f>ELECT.!W11*2</f>
        <v>24420</v>
      </c>
      <c r="Q10" s="54">
        <f>ELECT.!D11</f>
        <v>320</v>
      </c>
      <c r="R10" s="55">
        <f>BTU!C11</f>
        <v>4.6160000000018044</v>
      </c>
      <c r="S10" s="55">
        <f>BTU!F11</f>
        <v>1.2869999999998072</v>
      </c>
      <c r="T10" s="55">
        <f>BTU!I11</f>
        <v>5</v>
      </c>
      <c r="U10" s="55">
        <f>BTU!O11</f>
        <v>1.2049999999999272</v>
      </c>
      <c r="V10" s="55">
        <f>BTU!L11</f>
        <v>1.1700000000000728</v>
      </c>
      <c r="W10" s="55">
        <f>BTU!R11</f>
        <v>0.53000000000065484</v>
      </c>
      <c r="X10" s="52">
        <f>ELECT.!B11</f>
        <v>73</v>
      </c>
      <c r="Y10" s="52">
        <f t="shared" si="0"/>
        <v>1269</v>
      </c>
      <c r="Z10">
        <f>'Mall, Citadel, Rotana'!C11+'Mall, Citadel, Rotana'!E11+'Mall, Citadel, Rotana'!G11+'Mall, Citadel, Rotana'!I11</f>
        <v>1338</v>
      </c>
      <c r="AA10">
        <f>'Mall, Citadel, Rotana'!K11+'Mall, Citadel, Rotana'!M11</f>
        <v>800</v>
      </c>
      <c r="AB10">
        <f>'Mall, Citadel, Rotana'!O11</f>
        <v>62</v>
      </c>
      <c r="AC10">
        <f>'Mall, Citadel, Rotana'!Q11+'Mall, Citadel, Rotana'!S11</f>
        <v>94</v>
      </c>
      <c r="AD10" s="52">
        <f t="shared" si="1"/>
        <v>46.294486400000004</v>
      </c>
      <c r="AE10" s="52">
        <f t="shared" si="2"/>
        <v>304.95351360000006</v>
      </c>
    </row>
    <row r="11" spans="1:31" x14ac:dyDescent="0.2">
      <c r="A11" s="66" t="s">
        <v>54</v>
      </c>
      <c r="B11" s="71">
        <f t="shared" si="3"/>
        <v>10</v>
      </c>
      <c r="C11" s="71">
        <v>2</v>
      </c>
      <c r="D11" s="71">
        <v>2021</v>
      </c>
      <c r="E11" s="54">
        <f>Water!C12</f>
        <v>540</v>
      </c>
      <c r="F11" s="54">
        <f>Water!E12</f>
        <v>410.4</v>
      </c>
      <c r="G11" s="54">
        <f>Water!G12</f>
        <v>216</v>
      </c>
      <c r="H11" s="54">
        <f>Water!I12</f>
        <v>6.1020000000000003</v>
      </c>
      <c r="I11" s="54">
        <f>ELECT.!F12</f>
        <v>6593</v>
      </c>
      <c r="J11" s="54">
        <f>ELECT.!H12</f>
        <v>35584</v>
      </c>
      <c r="K11" s="54">
        <f>ELECT.!K12</f>
        <v>4660</v>
      </c>
      <c r="L11" s="54">
        <f>ELECT.!M12</f>
        <v>4648</v>
      </c>
      <c r="M11" s="54">
        <f>ELECT.!O12</f>
        <v>1806</v>
      </c>
      <c r="N11" s="54">
        <f>ELECT.!Q12</f>
        <v>6516</v>
      </c>
      <c r="O11" s="54">
        <f>ELECT.!S12</f>
        <v>7165</v>
      </c>
      <c r="P11" s="54">
        <f>ELECT.!W12*2</f>
        <v>16310</v>
      </c>
      <c r="Q11" s="54">
        <f>ELECT.!D12</f>
        <v>480</v>
      </c>
      <c r="R11" s="55">
        <f>BTU!C12</f>
        <v>4.5639999999984866</v>
      </c>
      <c r="S11" s="55">
        <f>BTU!F12</f>
        <v>1.3240000000000691</v>
      </c>
      <c r="T11" s="55">
        <f>BTU!I12</f>
        <v>5</v>
      </c>
      <c r="U11" s="55">
        <f>BTU!O12</f>
        <v>1.0070000000000618</v>
      </c>
      <c r="V11" s="55">
        <f>BTU!L12</f>
        <v>1.3800000000010186</v>
      </c>
      <c r="W11" s="55">
        <f>BTU!R12</f>
        <v>0.6499999999996362</v>
      </c>
      <c r="X11" s="52">
        <f>ELECT.!B12</f>
        <v>73</v>
      </c>
      <c r="Y11" s="52">
        <f t="shared" si="0"/>
        <v>1072</v>
      </c>
      <c r="Z11">
        <f>'Mall, Citadel, Rotana'!C12+'Mall, Citadel, Rotana'!E12+'Mall, Citadel, Rotana'!G12+'Mall, Citadel, Rotana'!I12</f>
        <v>709</v>
      </c>
      <c r="AA11">
        <f>'Mall, Citadel, Rotana'!K12+'Mall, Citadel, Rotana'!M12</f>
        <v>480</v>
      </c>
      <c r="AB11">
        <f>'Mall, Citadel, Rotana'!O12</f>
        <v>45</v>
      </c>
      <c r="AC11">
        <f>'Mall, Citadel, Rotana'!Q12+'Mall, Citadel, Rotana'!S12</f>
        <v>250</v>
      </c>
      <c r="AD11" s="52">
        <f t="shared" si="1"/>
        <v>44.798556400000002</v>
      </c>
      <c r="AE11" s="52">
        <f t="shared" si="2"/>
        <v>295.09944360000003</v>
      </c>
    </row>
    <row r="12" spans="1:31" x14ac:dyDescent="0.2">
      <c r="A12" s="66" t="s">
        <v>54</v>
      </c>
      <c r="B12" s="71">
        <f t="shared" si="3"/>
        <v>11</v>
      </c>
      <c r="C12" s="71">
        <v>2</v>
      </c>
      <c r="D12" s="71">
        <v>2021</v>
      </c>
      <c r="E12" s="54">
        <f>Water!C13</f>
        <v>520</v>
      </c>
      <c r="F12" s="54">
        <f>Water!E13</f>
        <v>283.5</v>
      </c>
      <c r="G12" s="54">
        <f>Water!G13</f>
        <v>137.69999999999999</v>
      </c>
      <c r="H12" s="54">
        <f>Water!I13</f>
        <v>4.7789999999999999</v>
      </c>
      <c r="I12" s="54">
        <f>ELECT.!F13</f>
        <v>7485</v>
      </c>
      <c r="J12" s="54">
        <f>ELECT.!H13</f>
        <v>41788</v>
      </c>
      <c r="K12" s="54">
        <f>ELECT.!K13</f>
        <v>5380</v>
      </c>
      <c r="L12" s="54">
        <f>ELECT.!M13</f>
        <v>5183</v>
      </c>
      <c r="M12" s="54">
        <f>ELECT.!O13</f>
        <v>2154</v>
      </c>
      <c r="N12" s="54">
        <f>ELECT.!Q13</f>
        <v>7245</v>
      </c>
      <c r="O12" s="54">
        <f>ELECT.!S13</f>
        <v>8501</v>
      </c>
      <c r="P12" s="54">
        <f>ELECT.!W13*2</f>
        <v>19714</v>
      </c>
      <c r="Q12" s="54">
        <f>ELECT.!D13</f>
        <v>320</v>
      </c>
      <c r="R12" s="55">
        <f>BTU!C13</f>
        <v>1.3630000000011933</v>
      </c>
      <c r="S12" s="55">
        <f>BTU!F13</f>
        <v>1.1790000000000873</v>
      </c>
      <c r="T12" s="55">
        <f>BTU!I13</f>
        <v>5</v>
      </c>
      <c r="U12" s="55">
        <f>BTU!O13</f>
        <v>1.0470000000000255</v>
      </c>
      <c r="V12" s="55">
        <f>BTU!L13</f>
        <v>1.5</v>
      </c>
      <c r="W12" s="55">
        <f>BTU!R13</f>
        <v>0.72999999999956344</v>
      </c>
      <c r="X12" s="52">
        <f>ELECT.!B13</f>
        <v>54.75</v>
      </c>
      <c r="Y12" s="52">
        <f t="shared" si="0"/>
        <v>1096</v>
      </c>
      <c r="Z12">
        <f>'Mall, Citadel, Rotana'!C13+'Mall, Citadel, Rotana'!E13+'Mall, Citadel, Rotana'!G13+'Mall, Citadel, Rotana'!I13</f>
        <v>2320</v>
      </c>
      <c r="AA12">
        <f>'Mall, Citadel, Rotana'!K13+'Mall, Citadel, Rotana'!M13</f>
        <v>320</v>
      </c>
      <c r="AB12">
        <f>'Mall, Citadel, Rotana'!O13</f>
        <v>39</v>
      </c>
      <c r="AC12">
        <f>'Mall, Citadel, Rotana'!Q13+'Mall, Citadel, Rotana'!S13</f>
        <v>136</v>
      </c>
      <c r="AD12" s="52">
        <f t="shared" si="1"/>
        <v>42.336927799999998</v>
      </c>
      <c r="AE12" s="52">
        <f t="shared" si="2"/>
        <v>278.88407219999999</v>
      </c>
    </row>
    <row r="13" spans="1:31" x14ac:dyDescent="0.2">
      <c r="A13" s="66" t="s">
        <v>54</v>
      </c>
      <c r="B13" s="71">
        <f t="shared" si="3"/>
        <v>12</v>
      </c>
      <c r="C13" s="71">
        <v>2</v>
      </c>
      <c r="D13" s="71">
        <v>2021</v>
      </c>
      <c r="E13" s="54">
        <f>Water!C14</f>
        <v>640</v>
      </c>
      <c r="F13" s="54">
        <f>Water!E14</f>
        <v>234.9</v>
      </c>
      <c r="G13" s="54">
        <f>Water!G14</f>
        <v>135</v>
      </c>
      <c r="H13" s="54">
        <f>Water!I14</f>
        <v>3.9420000000000002</v>
      </c>
      <c r="I13" s="54">
        <f>ELECT.!F14</f>
        <v>10714</v>
      </c>
      <c r="J13" s="54">
        <f>ELECT.!H14</f>
        <v>57739</v>
      </c>
      <c r="K13" s="54">
        <f>ELECT.!K14</f>
        <v>7098</v>
      </c>
      <c r="L13" s="54">
        <f>ELECT.!M14</f>
        <v>7402</v>
      </c>
      <c r="M13" s="54">
        <f>ELECT.!O14</f>
        <v>3090</v>
      </c>
      <c r="N13" s="54">
        <f>ELECT.!Q14</f>
        <v>10301</v>
      </c>
      <c r="O13" s="54">
        <f>ELECT.!S14</f>
        <v>12050</v>
      </c>
      <c r="P13" s="54">
        <f>ELECT.!W14*2</f>
        <v>27096</v>
      </c>
      <c r="Q13" s="54">
        <f>ELECT.!D14</f>
        <v>320</v>
      </c>
      <c r="R13" s="55">
        <f>BTU!C14</f>
        <v>7.3230000000003201</v>
      </c>
      <c r="S13" s="55">
        <f>BTU!F14</f>
        <v>0.49400000000014188</v>
      </c>
      <c r="T13" s="55">
        <f>BTU!I14</f>
        <v>5</v>
      </c>
      <c r="U13" s="55">
        <f>BTU!O14</f>
        <v>0.98900000000003274</v>
      </c>
      <c r="V13" s="55">
        <f>BTU!L14</f>
        <v>1.4200000000000728</v>
      </c>
      <c r="W13" s="55">
        <f>BTU!R14</f>
        <v>0.82000000000061846</v>
      </c>
      <c r="X13" s="52">
        <f>ELECT.!B14</f>
        <v>54.75</v>
      </c>
      <c r="Y13" s="52">
        <f t="shared" si="0"/>
        <v>1416</v>
      </c>
      <c r="Z13">
        <f>'Mall, Citadel, Rotana'!C14+'Mall, Citadel, Rotana'!E14+'Mall, Citadel, Rotana'!G14+'Mall, Citadel, Rotana'!I14</f>
        <v>1029</v>
      </c>
      <c r="AA13">
        <f>'Mall, Citadel, Rotana'!K14+'Mall, Citadel, Rotana'!M14</f>
        <v>480</v>
      </c>
      <c r="AB13">
        <f>'Mall, Citadel, Rotana'!O14</f>
        <v>67</v>
      </c>
      <c r="AC13">
        <f>'Mall, Citadel, Rotana'!Q14+'Mall, Citadel, Rotana'!S14</f>
        <v>26</v>
      </c>
      <c r="AD13" s="52">
        <f t="shared" si="1"/>
        <v>58.263244399999998</v>
      </c>
      <c r="AE13" s="52">
        <f t="shared" si="2"/>
        <v>383.79475560000003</v>
      </c>
    </row>
    <row r="14" spans="1:31" x14ac:dyDescent="0.2">
      <c r="A14" s="66" t="s">
        <v>54</v>
      </c>
      <c r="B14" s="71">
        <f t="shared" si="3"/>
        <v>13</v>
      </c>
      <c r="C14" s="71">
        <v>2</v>
      </c>
      <c r="D14" s="71">
        <v>2021</v>
      </c>
      <c r="E14" s="54">
        <f>Water!C15</f>
        <v>580</v>
      </c>
      <c r="F14" s="54">
        <f>Water!E15</f>
        <v>253.79999999999998</v>
      </c>
      <c r="G14" s="54">
        <f>Water!G15</f>
        <v>159.30000000000001</v>
      </c>
      <c r="H14" s="54">
        <f>Water!I15</f>
        <v>4.6710000000000003</v>
      </c>
      <c r="I14" s="54">
        <f>ELECT.!F15</f>
        <v>7020</v>
      </c>
      <c r="J14" s="54">
        <f>ELECT.!H15</f>
        <v>36178</v>
      </c>
      <c r="K14" s="54">
        <f>ELECT.!K15</f>
        <v>4578</v>
      </c>
      <c r="L14" s="54">
        <f>ELECT.!M15</f>
        <v>4927</v>
      </c>
      <c r="M14" s="54">
        <f>ELECT.!O15</f>
        <v>1958</v>
      </c>
      <c r="N14" s="54">
        <f>ELECT.!Q15</f>
        <v>6294</v>
      </c>
      <c r="O14" s="54">
        <f>ELECT.!S15</f>
        <v>7544</v>
      </c>
      <c r="P14" s="54">
        <f>ELECT.!W15*2</f>
        <v>17114</v>
      </c>
      <c r="Q14" s="54">
        <f>ELECT.!D15</f>
        <v>640</v>
      </c>
      <c r="R14" s="55">
        <f>BTU!C15</f>
        <v>4.2160000000003492</v>
      </c>
      <c r="S14" s="55">
        <f>BTU!F15</f>
        <v>0.53499999999985448</v>
      </c>
      <c r="T14" s="55">
        <f>BTU!I15</f>
        <v>5</v>
      </c>
      <c r="U14" s="55">
        <f>BTU!O15</f>
        <v>1.0619999999998981</v>
      </c>
      <c r="V14" s="55">
        <f>BTU!L15</f>
        <v>1.2399999999997817</v>
      </c>
      <c r="W14" s="55">
        <f>BTU!R15</f>
        <v>0.73999999999978172</v>
      </c>
      <c r="X14" s="52">
        <f>ELECT.!B15</f>
        <v>54.75</v>
      </c>
      <c r="Y14" s="52">
        <f t="shared" si="0"/>
        <v>783</v>
      </c>
      <c r="Z14">
        <f>'Mall, Citadel, Rotana'!C15+'Mall, Citadel, Rotana'!E15+'Mall, Citadel, Rotana'!G15+'Mall, Citadel, Rotana'!I15</f>
        <v>982</v>
      </c>
      <c r="AA14">
        <f>'Mall, Citadel, Rotana'!K15+'Mall, Citadel, Rotana'!M15</f>
        <v>480</v>
      </c>
      <c r="AB14">
        <f>'Mall, Citadel, Rotana'!O15</f>
        <v>375</v>
      </c>
      <c r="AC14">
        <f>'Mall, Citadel, Rotana'!Q15+'Mall, Citadel, Rotana'!S15</f>
        <v>76</v>
      </c>
      <c r="AD14" s="52">
        <f t="shared" si="1"/>
        <v>50.259162199999992</v>
      </c>
      <c r="AE14" s="52">
        <f t="shared" si="2"/>
        <v>331.06983779999996</v>
      </c>
    </row>
    <row r="15" spans="1:31" x14ac:dyDescent="0.2">
      <c r="A15" s="66" t="s">
        <v>54</v>
      </c>
      <c r="B15" s="71">
        <f t="shared" si="3"/>
        <v>14</v>
      </c>
      <c r="C15" s="71">
        <v>2</v>
      </c>
      <c r="D15" s="71">
        <v>2021</v>
      </c>
      <c r="E15" s="54">
        <f>Water!C16</f>
        <v>640</v>
      </c>
      <c r="F15" s="54">
        <f>Water!E16</f>
        <v>348.3</v>
      </c>
      <c r="G15" s="54">
        <f>Water!G16</f>
        <v>270</v>
      </c>
      <c r="H15" s="54">
        <f>Water!I16</f>
        <v>6.2910000000000004</v>
      </c>
      <c r="I15" s="54">
        <f>ELECT.!F16</f>
        <v>7632</v>
      </c>
      <c r="J15" s="54">
        <f>ELECT.!H16</f>
        <v>41200</v>
      </c>
      <c r="K15" s="54">
        <f>ELECT.!K16</f>
        <v>5494</v>
      </c>
      <c r="L15" s="54">
        <f>ELECT.!M16</f>
        <v>5302</v>
      </c>
      <c r="M15" s="54">
        <f>ELECT.!O16</f>
        <v>2184</v>
      </c>
      <c r="N15" s="54">
        <f>ELECT.!Q16</f>
        <v>7178</v>
      </c>
      <c r="O15" s="54">
        <f>ELECT.!S16</f>
        <v>8462</v>
      </c>
      <c r="P15" s="54">
        <f>ELECT.!W16*2</f>
        <v>9312</v>
      </c>
      <c r="Q15" s="54">
        <f>ELECT.!D16</f>
        <v>320</v>
      </c>
      <c r="R15" s="55">
        <f>BTU!C16</f>
        <v>4.172999999998865</v>
      </c>
      <c r="S15" s="55">
        <f>BTU!F16</f>
        <v>1.3470000000002074</v>
      </c>
      <c r="T15" s="55">
        <f>BTU!I16</f>
        <v>5</v>
      </c>
      <c r="U15" s="55">
        <f>BTU!O16</f>
        <v>1.1860000000001492</v>
      </c>
      <c r="V15" s="55">
        <f>BTU!L16</f>
        <v>1.4099999999998545</v>
      </c>
      <c r="W15" s="55">
        <f>BTU!R16</f>
        <v>0.48999999999978172</v>
      </c>
      <c r="X15" s="52">
        <f>ELECT.!B16</f>
        <v>78</v>
      </c>
      <c r="Y15" s="52">
        <f t="shared" si="0"/>
        <v>10900</v>
      </c>
      <c r="Z15">
        <f>'Mall, Citadel, Rotana'!C16+'Mall, Citadel, Rotana'!E16+'Mall, Citadel, Rotana'!G16+'Mall, Citadel, Rotana'!I16</f>
        <v>1355</v>
      </c>
      <c r="AA15">
        <f>'Mall, Citadel, Rotana'!K16+'Mall, Citadel, Rotana'!M16</f>
        <v>640</v>
      </c>
      <c r="AB15">
        <f>'Mall, Citadel, Rotana'!O16</f>
        <v>115</v>
      </c>
      <c r="AC15">
        <f>'Mall, Citadel, Rotana'!Q16+'Mall, Citadel, Rotana'!S16</f>
        <v>0</v>
      </c>
      <c r="AD15" s="52">
        <f t="shared" si="1"/>
        <v>57.953646199999994</v>
      </c>
      <c r="AE15" s="52">
        <f t="shared" si="2"/>
        <v>381.75535379999997</v>
      </c>
    </row>
    <row r="16" spans="1:31" x14ac:dyDescent="0.2">
      <c r="A16" s="66" t="s">
        <v>54</v>
      </c>
      <c r="B16" s="71">
        <f t="shared" si="3"/>
        <v>15</v>
      </c>
      <c r="C16" s="71">
        <v>2</v>
      </c>
      <c r="D16" s="71">
        <v>2021</v>
      </c>
      <c r="E16" s="54">
        <f>Water!C17</f>
        <v>490</v>
      </c>
      <c r="F16" s="54">
        <f>Water!E17</f>
        <v>251.1</v>
      </c>
      <c r="G16" s="54">
        <f>Water!G17</f>
        <v>172.8</v>
      </c>
      <c r="H16" s="54">
        <f>Water!I17</f>
        <v>4.617</v>
      </c>
      <c r="I16" s="54">
        <f>ELECT.!F17</f>
        <v>8254</v>
      </c>
      <c r="J16" s="54">
        <f>ELECT.!H17</f>
        <v>43954</v>
      </c>
      <c r="K16" s="54">
        <f>ELECT.!K17</f>
        <v>5668</v>
      </c>
      <c r="L16" s="54">
        <f>ELECT.!M17</f>
        <v>5770</v>
      </c>
      <c r="M16" s="54">
        <f>ELECT.!O17</f>
        <v>2324</v>
      </c>
      <c r="N16" s="54">
        <f>ELECT.!Q17</f>
        <v>7427</v>
      </c>
      <c r="O16" s="54">
        <f>ELECT.!S17</f>
        <v>8764</v>
      </c>
      <c r="P16" s="54">
        <f>ELECT.!W17*2</f>
        <v>31148</v>
      </c>
      <c r="Q16" s="54">
        <f>ELECT.!D17</f>
        <v>480</v>
      </c>
      <c r="R16" s="55">
        <f>BTU!C17</f>
        <v>3.9470000000001164</v>
      </c>
      <c r="S16" s="55">
        <f>BTU!F17</f>
        <v>1.2249999999999091</v>
      </c>
      <c r="T16" s="55">
        <f>BTU!I17</f>
        <v>4</v>
      </c>
      <c r="U16" s="55">
        <f>BTU!O17</f>
        <v>0.98300000000017462</v>
      </c>
      <c r="V16" s="55">
        <f>BTU!L17</f>
        <v>1.1000000000003638</v>
      </c>
      <c r="W16" s="55">
        <f>BTU!R17</f>
        <v>0.63000000000010914</v>
      </c>
      <c r="X16" s="52">
        <f>ELECT.!B17</f>
        <v>65.7</v>
      </c>
      <c r="Y16" s="52">
        <f t="shared" si="0"/>
        <v>-8893</v>
      </c>
      <c r="Z16">
        <f>'Mall, Citadel, Rotana'!C17+'Mall, Citadel, Rotana'!E17+'Mall, Citadel, Rotana'!G17+'Mall, Citadel, Rotana'!I17</f>
        <v>1357</v>
      </c>
      <c r="AA16">
        <f>'Mall, Citadel, Rotana'!K17+'Mall, Citadel, Rotana'!M17</f>
        <v>640</v>
      </c>
      <c r="AB16">
        <f>'Mall, Citadel, Rotana'!O17</f>
        <v>125</v>
      </c>
      <c r="AC16">
        <f>'Mall, Citadel, Rotana'!Q17+'Mall, Citadel, Rotana'!S17</f>
        <v>0</v>
      </c>
      <c r="AD16" s="52">
        <f t="shared" si="1"/>
        <v>38.4042794</v>
      </c>
      <c r="AE16" s="52">
        <f t="shared" si="2"/>
        <v>252.97872059999997</v>
      </c>
    </row>
    <row r="17" spans="1:31" x14ac:dyDescent="0.2">
      <c r="A17" s="66" t="s">
        <v>54</v>
      </c>
      <c r="B17" s="71">
        <f t="shared" si="3"/>
        <v>16</v>
      </c>
      <c r="C17" s="71">
        <v>2</v>
      </c>
      <c r="D17" s="71">
        <v>2021</v>
      </c>
      <c r="E17" s="54">
        <f>Water!C18</f>
        <v>500</v>
      </c>
      <c r="F17" s="54">
        <f>Water!E18</f>
        <v>270</v>
      </c>
      <c r="G17" s="54">
        <f>Water!G18</f>
        <v>145.80000000000001</v>
      </c>
      <c r="H17" s="54">
        <f>Water!I18</f>
        <v>4.968</v>
      </c>
      <c r="I17" s="54">
        <f>ELECT.!F18</f>
        <v>7086</v>
      </c>
      <c r="J17" s="54">
        <f>ELECT.!H18</f>
        <v>39211</v>
      </c>
      <c r="K17" s="54">
        <f>ELECT.!K18</f>
        <v>5293</v>
      </c>
      <c r="L17" s="54">
        <f>ELECT.!M18</f>
        <v>4872</v>
      </c>
      <c r="M17" s="54">
        <f>ELECT.!O18</f>
        <v>2066</v>
      </c>
      <c r="N17" s="54">
        <f>ELECT.!Q18</f>
        <v>6097</v>
      </c>
      <c r="O17" s="54">
        <f>ELECT.!S18</f>
        <v>8059</v>
      </c>
      <c r="P17" s="54">
        <f>ELECT.!W18*2</f>
        <v>18980</v>
      </c>
      <c r="Q17" s="54">
        <f>ELECT.!D18</f>
        <v>320</v>
      </c>
      <c r="R17" s="55">
        <f>BTU!C18</f>
        <v>3.614000000001397</v>
      </c>
      <c r="S17" s="55">
        <f>BTU!F18</f>
        <v>0.89800000000013824</v>
      </c>
      <c r="T17" s="55">
        <f>BTU!I18</f>
        <v>5</v>
      </c>
      <c r="U17" s="55">
        <f>BTU!O18</f>
        <v>0.90699999999969805</v>
      </c>
      <c r="V17" s="55">
        <f>BTU!L18</f>
        <v>1.0599999999994907</v>
      </c>
      <c r="W17" s="55">
        <f>BTU!R18</f>
        <v>0.28999999999996362</v>
      </c>
      <c r="X17" s="52">
        <f>ELECT.!B18</f>
        <v>73</v>
      </c>
      <c r="Y17" s="52">
        <f t="shared" si="0"/>
        <v>930</v>
      </c>
      <c r="Z17">
        <f>'Mall, Citadel, Rotana'!C18+'Mall, Citadel, Rotana'!E18+'Mall, Citadel, Rotana'!G18+'Mall, Citadel, Rotana'!I18</f>
        <v>1378</v>
      </c>
      <c r="AA17">
        <f>'Mall, Citadel, Rotana'!K18+'Mall, Citadel, Rotana'!M18</f>
        <v>480</v>
      </c>
      <c r="AB17">
        <f>'Mall, Citadel, Rotana'!O18</f>
        <v>115</v>
      </c>
      <c r="AC17">
        <f>'Mall, Citadel, Rotana'!Q18+'Mall, Citadel, Rotana'!S18</f>
        <v>662</v>
      </c>
      <c r="AD17" s="52">
        <f t="shared" si="1"/>
        <v>39.676017599999994</v>
      </c>
      <c r="AE17" s="52">
        <f t="shared" si="2"/>
        <v>261.35598240000002</v>
      </c>
    </row>
    <row r="18" spans="1:31" x14ac:dyDescent="0.2">
      <c r="A18" s="66" t="s">
        <v>54</v>
      </c>
      <c r="B18" s="71">
        <f t="shared" si="3"/>
        <v>17</v>
      </c>
      <c r="C18" s="71">
        <v>2</v>
      </c>
      <c r="D18" s="71">
        <v>2021</v>
      </c>
      <c r="E18" s="54">
        <f>Water!C19</f>
        <v>500</v>
      </c>
      <c r="F18" s="54">
        <f>Water!E19</f>
        <v>315.89999999999998</v>
      </c>
      <c r="G18" s="54">
        <f>Water!G19</f>
        <v>132.30000000000001</v>
      </c>
      <c r="H18" s="54">
        <f>Water!I19</f>
        <v>5.0220000000000002</v>
      </c>
      <c r="I18" s="54">
        <f>ELECT.!F19</f>
        <v>6182</v>
      </c>
      <c r="J18" s="54">
        <f>ELECT.!H19</f>
        <v>40326</v>
      </c>
      <c r="K18" s="54">
        <f>ELECT.!K19</f>
        <v>5407</v>
      </c>
      <c r="L18" s="54">
        <f>ELECT.!M19</f>
        <v>4463</v>
      </c>
      <c r="M18" s="54">
        <f>ELECT.!O19</f>
        <v>1582</v>
      </c>
      <c r="N18" s="54">
        <f>ELECT.!Q19</f>
        <v>6111</v>
      </c>
      <c r="O18" s="54">
        <f>ELECT.!S19</f>
        <v>8663</v>
      </c>
      <c r="P18" s="54">
        <f>ELECT.!W19*2</f>
        <v>19408</v>
      </c>
      <c r="Q18" s="54">
        <f>ELECT.!D19</f>
        <v>160</v>
      </c>
      <c r="R18" s="55">
        <f>BTU!C19</f>
        <v>3.080999999998312</v>
      </c>
      <c r="S18" s="55">
        <f>BTU!F19</f>
        <v>0.65799999999990177</v>
      </c>
      <c r="T18" s="55">
        <f>BTU!I19</f>
        <v>4</v>
      </c>
      <c r="U18" s="55">
        <f>BTU!O19</f>
        <v>0.92000000000007276</v>
      </c>
      <c r="V18" s="55">
        <f>BTU!L19</f>
        <v>1.0000000000218279E-2</v>
      </c>
      <c r="W18" s="55">
        <f>BTU!R19</f>
        <v>0</v>
      </c>
      <c r="X18" s="52">
        <f>ELECT.!B19</f>
        <v>80</v>
      </c>
      <c r="Y18" s="52">
        <f t="shared" si="0"/>
        <v>874</v>
      </c>
      <c r="Z18">
        <f>'Mall, Citadel, Rotana'!C19+'Mall, Citadel, Rotana'!E19+'Mall, Citadel, Rotana'!G19+'Mall, Citadel, Rotana'!I19</f>
        <v>1220</v>
      </c>
      <c r="AA18">
        <f>'Mall, Citadel, Rotana'!K19+'Mall, Citadel, Rotana'!M19</f>
        <v>640</v>
      </c>
      <c r="AB18">
        <f>'Mall, Citadel, Rotana'!O19</f>
        <v>121</v>
      </c>
      <c r="AC18">
        <f>'Mall, Citadel, Rotana'!Q19+'Mall, Citadel, Rotana'!S19</f>
        <v>51</v>
      </c>
      <c r="AD18" s="52">
        <f t="shared" si="1"/>
        <v>39.668900399999998</v>
      </c>
      <c r="AE18" s="52">
        <f t="shared" si="2"/>
        <v>261.30909960000002</v>
      </c>
    </row>
    <row r="19" spans="1:31" x14ac:dyDescent="0.2">
      <c r="A19" s="66" t="s">
        <v>54</v>
      </c>
      <c r="B19" s="71">
        <f t="shared" si="3"/>
        <v>18</v>
      </c>
      <c r="C19" s="71">
        <v>2</v>
      </c>
      <c r="D19" s="71">
        <v>2021</v>
      </c>
      <c r="E19" s="54">
        <f>Water!C20</f>
        <v>450</v>
      </c>
      <c r="F19" s="54">
        <f>Water!E20</f>
        <v>270</v>
      </c>
      <c r="G19" s="54">
        <f>Water!G20</f>
        <v>108</v>
      </c>
      <c r="H19" s="54">
        <f>Water!I20</f>
        <v>4.05</v>
      </c>
      <c r="I19" s="54">
        <f>ELECT.!F20</f>
        <v>7719</v>
      </c>
      <c r="J19" s="54">
        <f>ELECT.!H20</f>
        <v>50464</v>
      </c>
      <c r="K19" s="54">
        <f>ELECT.!K20</f>
        <v>6956</v>
      </c>
      <c r="L19" s="54">
        <f>ELECT.!M20</f>
        <v>5620</v>
      </c>
      <c r="M19" s="54">
        <f>ELECT.!O20</f>
        <v>1912</v>
      </c>
      <c r="N19" s="54">
        <f>ELECT.!Q20</f>
        <v>7743</v>
      </c>
      <c r="O19" s="54">
        <f>ELECT.!S20</f>
        <v>10565</v>
      </c>
      <c r="P19" s="54">
        <f>ELECT.!W20*2</f>
        <v>24166</v>
      </c>
      <c r="Q19" s="54">
        <f>ELECT.!D20</f>
        <v>640</v>
      </c>
      <c r="R19" s="55">
        <f>BTU!C20</f>
        <v>3.1320000000014261</v>
      </c>
      <c r="S19" s="55">
        <f>BTU!F20</f>
        <v>0.66499999999996362</v>
      </c>
      <c r="T19" s="55">
        <f>BTU!I20</f>
        <v>4</v>
      </c>
      <c r="U19" s="55">
        <f>BTU!O20</f>
        <v>0.99200000000018917</v>
      </c>
      <c r="V19" s="55">
        <f>BTU!L20</f>
        <v>0</v>
      </c>
      <c r="W19" s="55">
        <f>BTU!R20</f>
        <v>0</v>
      </c>
      <c r="X19" s="52">
        <f>ELECT.!B20</f>
        <v>69.349999999999994</v>
      </c>
      <c r="Y19" s="52">
        <f t="shared" si="0"/>
        <v>1221</v>
      </c>
      <c r="Z19">
        <f>'Mall, Citadel, Rotana'!C20+'Mall, Citadel, Rotana'!E20+'Mall, Citadel, Rotana'!G20+'Mall, Citadel, Rotana'!I20</f>
        <v>1335</v>
      </c>
      <c r="AA19">
        <f>'Mall, Citadel, Rotana'!K20+'Mall, Citadel, Rotana'!M20</f>
        <v>480</v>
      </c>
      <c r="AB19">
        <f>'Mall, Citadel, Rotana'!O20</f>
        <v>127</v>
      </c>
      <c r="AC19">
        <f>'Mall, Citadel, Rotana'!Q20+'Mall, Citadel, Rotana'!S20</f>
        <v>177</v>
      </c>
      <c r="AD19" s="52">
        <f t="shared" si="1"/>
        <v>33.207009999999997</v>
      </c>
      <c r="AE19" s="52">
        <f t="shared" si="2"/>
        <v>218.74298999999996</v>
      </c>
    </row>
    <row r="20" spans="1:31" x14ac:dyDescent="0.2">
      <c r="A20" s="66" t="s">
        <v>54</v>
      </c>
      <c r="B20" s="71">
        <f t="shared" si="3"/>
        <v>19</v>
      </c>
      <c r="C20" s="71">
        <v>2</v>
      </c>
      <c r="D20" s="71">
        <v>2021</v>
      </c>
      <c r="E20" s="54">
        <f>Water!C21</f>
        <v>580</v>
      </c>
      <c r="F20" s="54">
        <f>Water!E21</f>
        <v>305.10000000000002</v>
      </c>
      <c r="G20" s="54">
        <f>Water!G21</f>
        <v>118.8</v>
      </c>
      <c r="H20" s="54">
        <f>Water!I21</f>
        <v>3.4830000000000001</v>
      </c>
      <c r="I20" s="54">
        <f>ELECT.!F21</f>
        <v>6245</v>
      </c>
      <c r="J20" s="54">
        <f>ELECT.!H21</f>
        <v>40674</v>
      </c>
      <c r="K20" s="54">
        <f>ELECT.!K21</f>
        <v>5334</v>
      </c>
      <c r="L20" s="54">
        <f>ELECT.!M21</f>
        <v>4529</v>
      </c>
      <c r="M20" s="54">
        <f>ELECT.!O21</f>
        <v>1568</v>
      </c>
      <c r="N20" s="54">
        <f>ELECT.!Q21</f>
        <v>6383</v>
      </c>
      <c r="O20" s="54">
        <f>ELECT.!S21</f>
        <v>8582</v>
      </c>
      <c r="P20" s="54">
        <f>ELECT.!W21*2</f>
        <v>19596</v>
      </c>
      <c r="Q20" s="54">
        <f>ELECT.!D21</f>
        <v>320</v>
      </c>
      <c r="R20" s="55">
        <f>BTU!C21</f>
        <v>3.0829999999987194</v>
      </c>
      <c r="S20" s="55">
        <f>BTU!F21</f>
        <v>0.37300000000004729</v>
      </c>
      <c r="T20" s="55">
        <f>BTU!I21</f>
        <v>5</v>
      </c>
      <c r="U20" s="55">
        <f>BTU!O21</f>
        <v>0.82600000000002183</v>
      </c>
      <c r="V20" s="55">
        <f>BTU!L21</f>
        <v>4.9999999999272404E-2</v>
      </c>
      <c r="W20" s="55">
        <f>BTU!R21</f>
        <v>0.34000000000014552</v>
      </c>
      <c r="X20" s="52">
        <f>ELECT.!B21</f>
        <v>69.349999999999994</v>
      </c>
      <c r="Y20" s="52">
        <f t="shared" si="0"/>
        <v>927</v>
      </c>
      <c r="Z20">
        <f>'Mall, Citadel, Rotana'!C21+'Mall, Citadel, Rotana'!E21+'Mall, Citadel, Rotana'!G21+'Mall, Citadel, Rotana'!I21</f>
        <v>1377</v>
      </c>
      <c r="AA20">
        <f>'Mall, Citadel, Rotana'!K21+'Mall, Citadel, Rotana'!M21</f>
        <v>480</v>
      </c>
      <c r="AB20">
        <f>'Mall, Citadel, Rotana'!O21</f>
        <v>69</v>
      </c>
      <c r="AC20">
        <f>'Mall, Citadel, Rotana'!Q21+'Mall, Citadel, Rotana'!S21</f>
        <v>72</v>
      </c>
      <c r="AD20" s="52">
        <f t="shared" si="1"/>
        <v>50.415740600000007</v>
      </c>
      <c r="AE20" s="52">
        <f t="shared" si="2"/>
        <v>332.1012594</v>
      </c>
    </row>
    <row r="21" spans="1:31" x14ac:dyDescent="0.2">
      <c r="A21" s="66" t="s">
        <v>54</v>
      </c>
      <c r="B21" s="71">
        <f t="shared" si="3"/>
        <v>20</v>
      </c>
      <c r="C21" s="71">
        <v>2</v>
      </c>
      <c r="D21" s="71">
        <v>2021</v>
      </c>
      <c r="E21" s="54">
        <f>Water!C22</f>
        <v>520</v>
      </c>
      <c r="F21" s="54">
        <f>Water!E22</f>
        <v>278.10000000000002</v>
      </c>
      <c r="G21" s="54">
        <f>Water!G22</f>
        <v>175.5</v>
      </c>
      <c r="H21" s="54">
        <f>Water!I22</f>
        <v>3.6989999999999998</v>
      </c>
      <c r="I21" s="54">
        <f>ELECT.!F22</f>
        <v>4504</v>
      </c>
      <c r="J21" s="54">
        <f>ELECT.!H22</f>
        <v>29625</v>
      </c>
      <c r="K21" s="54">
        <f>ELECT.!K22</f>
        <v>4062</v>
      </c>
      <c r="L21" s="54">
        <f>ELECT.!M22</f>
        <v>3253</v>
      </c>
      <c r="M21" s="54">
        <f>ELECT.!O22</f>
        <v>1150</v>
      </c>
      <c r="N21" s="54">
        <f>ELECT.!Q22</f>
        <v>4294</v>
      </c>
      <c r="O21" s="54">
        <f>ELECT.!S22</f>
        <v>6157</v>
      </c>
      <c r="P21" s="54">
        <f>ELECT.!W22*2</f>
        <v>14108</v>
      </c>
      <c r="Q21" s="54">
        <f>ELECT.!D22</f>
        <v>320</v>
      </c>
      <c r="R21" s="55">
        <f>BTU!C22</f>
        <v>3.2930000000014843</v>
      </c>
      <c r="S21" s="55">
        <f>BTU!F22</f>
        <v>0.47199999999975262</v>
      </c>
      <c r="T21" s="55">
        <f>BTU!I22</f>
        <v>4</v>
      </c>
      <c r="U21" s="55">
        <f>BTU!O22</f>
        <v>0.80600000000004002</v>
      </c>
      <c r="V21" s="55" t="str">
        <f>BTU!L22</f>
        <v>0</v>
      </c>
      <c r="W21" s="55">
        <f>BTU!R22</f>
        <v>0</v>
      </c>
      <c r="X21" s="52">
        <f>ELECT.!B22</f>
        <v>69.349999999999994</v>
      </c>
      <c r="Y21" s="52">
        <f t="shared" si="0"/>
        <v>1105</v>
      </c>
      <c r="Z21">
        <f>'Mall, Citadel, Rotana'!C22+'Mall, Citadel, Rotana'!E22+'Mall, Citadel, Rotana'!G22+'Mall, Citadel, Rotana'!I22</f>
        <v>1187</v>
      </c>
      <c r="AA21">
        <f>'Mall, Citadel, Rotana'!K22+'Mall, Citadel, Rotana'!M22</f>
        <v>480</v>
      </c>
      <c r="AB21">
        <f>'Mall, Citadel, Rotana'!O22</f>
        <v>44</v>
      </c>
      <c r="AC21">
        <f>'Mall, Citadel, Rotana'!Q22+'Mall, Citadel, Rotana'!S22</f>
        <v>93</v>
      </c>
      <c r="AD21" s="52">
        <f t="shared" si="1"/>
        <v>42.479271800000006</v>
      </c>
      <c r="AE21" s="52">
        <f t="shared" si="2"/>
        <v>279.82172820000005</v>
      </c>
    </row>
    <row r="22" spans="1:31" x14ac:dyDescent="0.2">
      <c r="A22" s="66" t="s">
        <v>54</v>
      </c>
      <c r="B22" s="71">
        <f t="shared" si="3"/>
        <v>21</v>
      </c>
      <c r="C22" s="71">
        <v>2</v>
      </c>
      <c r="D22" s="71">
        <v>2021</v>
      </c>
      <c r="E22" s="54">
        <f>Water!C23</f>
        <v>500</v>
      </c>
      <c r="F22" s="54">
        <f>Water!E23</f>
        <v>261.89999999999998</v>
      </c>
      <c r="G22" s="54">
        <f>Water!G23</f>
        <v>145.80000000000001</v>
      </c>
      <c r="H22" s="54">
        <f>Water!I23</f>
        <v>4.5629999999999997</v>
      </c>
      <c r="I22" s="54">
        <f>ELECT.!F23</f>
        <v>7237</v>
      </c>
      <c r="J22" s="54">
        <f>ELECT.!H23</f>
        <v>46346</v>
      </c>
      <c r="K22" s="54">
        <f>ELECT.!K23</f>
        <v>6591</v>
      </c>
      <c r="L22" s="54">
        <f>ELECT.!M23</f>
        <v>4333</v>
      </c>
      <c r="M22" s="54">
        <f>ELECT.!O23</f>
        <v>1744</v>
      </c>
      <c r="N22" s="54">
        <f>ELECT.!Q23</f>
        <v>11192</v>
      </c>
      <c r="O22" s="54">
        <f>ELECT.!S23</f>
        <v>9942</v>
      </c>
      <c r="P22" s="54">
        <f>ELECT.!W23*2</f>
        <v>21148</v>
      </c>
      <c r="Q22" s="54">
        <f>ELECT.!D23</f>
        <v>320</v>
      </c>
      <c r="R22" s="55">
        <f>BTU!C23</f>
        <v>3.3319999999985157</v>
      </c>
      <c r="S22" s="55">
        <f>BTU!F23</f>
        <v>0.92700000000013461</v>
      </c>
      <c r="T22" s="55">
        <f>BTU!I23</f>
        <v>4</v>
      </c>
      <c r="U22" s="55">
        <f>BTU!O23</f>
        <v>0.82899999999972351</v>
      </c>
      <c r="V22" s="55">
        <f>BTU!L23</f>
        <v>0</v>
      </c>
      <c r="W22" s="55">
        <f>BTU!R23</f>
        <v>0.42000000000007276</v>
      </c>
      <c r="X22" s="52">
        <f>ELECT.!B23</f>
        <v>62.05</v>
      </c>
      <c r="Y22" s="52">
        <f t="shared" si="0"/>
        <v>-1367</v>
      </c>
      <c r="Z22">
        <f>'Mall, Citadel, Rotana'!C23+'Mall, Citadel, Rotana'!E23+'Mall, Citadel, Rotana'!G23+'Mall, Citadel, Rotana'!I23</f>
        <v>1387</v>
      </c>
      <c r="AA22">
        <f>'Mall, Citadel, Rotana'!K23+'Mall, Citadel, Rotana'!M23</f>
        <v>480</v>
      </c>
      <c r="AB22">
        <f>'Mall, Citadel, Rotana'!O23</f>
        <v>162</v>
      </c>
      <c r="AC22">
        <f>'Mall, Citadel, Rotana'!Q23+'Mall, Citadel, Rotana'!S23</f>
        <v>90</v>
      </c>
      <c r="AD22" s="52">
        <f t="shared" si="1"/>
        <v>39.729396600000001</v>
      </c>
      <c r="AE22" s="52">
        <f t="shared" si="2"/>
        <v>261.70760340000004</v>
      </c>
    </row>
    <row r="23" spans="1:31" x14ac:dyDescent="0.2">
      <c r="A23" s="66" t="s">
        <v>54</v>
      </c>
      <c r="B23" s="71">
        <f t="shared" si="3"/>
        <v>22</v>
      </c>
      <c r="C23" s="71">
        <v>2</v>
      </c>
      <c r="D23" s="71">
        <v>2021</v>
      </c>
      <c r="E23" s="54">
        <f>Water!C24</f>
        <v>450</v>
      </c>
      <c r="F23" s="54">
        <f>Water!E24</f>
        <v>237.6</v>
      </c>
      <c r="G23" s="54">
        <f>Water!G24</f>
        <v>118.8</v>
      </c>
      <c r="H23" s="54">
        <f>Water!I24</f>
        <v>4.4009999999999998</v>
      </c>
      <c r="I23" s="54">
        <f>ELECT.!F24</f>
        <v>8016</v>
      </c>
      <c r="J23" s="54">
        <f>ELECT.!H24</f>
        <v>46207</v>
      </c>
      <c r="K23" s="54">
        <f>ELECT.!K24</f>
        <v>6548</v>
      </c>
      <c r="L23" s="54">
        <f>ELECT.!M24</f>
        <v>7108</v>
      </c>
      <c r="M23" s="54">
        <f>ELECT.!O24</f>
        <v>1740</v>
      </c>
      <c r="N23" s="54">
        <f>ELECT.!Q24</f>
        <v>5023</v>
      </c>
      <c r="O23" s="54">
        <f>ELECT.!S24</f>
        <v>9542</v>
      </c>
      <c r="P23" s="54">
        <f>ELECT.!W24*2</f>
        <v>21148</v>
      </c>
      <c r="Q23" s="54">
        <f>ELECT.!D24</f>
        <v>320</v>
      </c>
      <c r="R23" s="55">
        <f>BTU!C24</f>
        <v>3.3549999999995634</v>
      </c>
      <c r="S23" s="55">
        <f>BTU!F24</f>
        <v>0.875</v>
      </c>
      <c r="T23" s="55">
        <f>BTU!I24</f>
        <v>5</v>
      </c>
      <c r="U23" s="55">
        <f>BTU!O24</f>
        <v>0.76999999999998181</v>
      </c>
      <c r="V23" s="55">
        <f>BTU!L24</f>
        <v>0.30999999999949068</v>
      </c>
      <c r="W23" s="55">
        <f>BTU!R24</f>
        <v>0.56999999999970896</v>
      </c>
      <c r="X23" s="52">
        <f>ELECT.!B24</f>
        <v>80</v>
      </c>
      <c r="Y23" s="52">
        <f t="shared" si="0"/>
        <v>3114</v>
      </c>
      <c r="Z23">
        <f>'Mall, Citadel, Rotana'!C24+'Mall, Citadel, Rotana'!E24+'Mall, Citadel, Rotana'!G24+'Mall, Citadel, Rotana'!I24</f>
        <v>1011</v>
      </c>
      <c r="AA23">
        <f>'Mall, Citadel, Rotana'!K24+'Mall, Citadel, Rotana'!M24</f>
        <v>640</v>
      </c>
      <c r="AB23">
        <f>'Mall, Citadel, Rotana'!O24</f>
        <v>52</v>
      </c>
      <c r="AC23">
        <f>'Mall, Citadel, Rotana'!Q24+'Mall, Citadel, Rotana'!S24</f>
        <v>149</v>
      </c>
      <c r="AD23" s="52">
        <f t="shared" si="1"/>
        <v>33.1607482</v>
      </c>
      <c r="AE23" s="52">
        <f t="shared" si="2"/>
        <v>218.43825179999999</v>
      </c>
    </row>
    <row r="24" spans="1:31" x14ac:dyDescent="0.2">
      <c r="A24" s="66" t="s">
        <v>54</v>
      </c>
      <c r="B24" s="71">
        <f t="shared" si="3"/>
        <v>23</v>
      </c>
      <c r="C24" s="71">
        <v>2</v>
      </c>
      <c r="D24" s="71">
        <v>2021</v>
      </c>
      <c r="E24" s="54">
        <f>Water!C25</f>
        <v>450</v>
      </c>
      <c r="F24" s="54">
        <f>Water!E25</f>
        <v>324</v>
      </c>
      <c r="G24" s="54">
        <f>Water!G25</f>
        <v>140.4</v>
      </c>
      <c r="H24" s="54">
        <f>Water!I25</f>
        <v>4.4279999999999999</v>
      </c>
      <c r="I24" s="54">
        <f>ELECT.!F25</f>
        <v>8187</v>
      </c>
      <c r="J24" s="54">
        <f>ELECT.!H25</f>
        <v>44257</v>
      </c>
      <c r="K24" s="54">
        <f>ELECT.!K25</f>
        <v>6121</v>
      </c>
      <c r="L24" s="54">
        <f>ELECT.!M25</f>
        <v>6029</v>
      </c>
      <c r="M24" s="54">
        <f>ELECT.!O25</f>
        <v>1986</v>
      </c>
      <c r="N24" s="54">
        <f>ELECT.!Q25</f>
        <v>7324</v>
      </c>
      <c r="O24" s="54">
        <f>ELECT.!S25</f>
        <v>8902</v>
      </c>
      <c r="P24" s="54">
        <f>ELECT.!W25*2</f>
        <v>20898</v>
      </c>
      <c r="Q24" s="54">
        <f>ELECT.!D25</f>
        <v>320</v>
      </c>
      <c r="R24" s="55">
        <f>BTU!C25</f>
        <v>3.4989999999997963</v>
      </c>
      <c r="S24" s="55">
        <f>BTU!F25</f>
        <v>0.75399999999990541</v>
      </c>
      <c r="T24" s="55">
        <f>BTU!I25</f>
        <v>5</v>
      </c>
      <c r="U24" s="55">
        <f>BTU!O25</f>
        <v>0.75900000000001455</v>
      </c>
      <c r="V24" s="55">
        <f>BTU!L25</f>
        <v>0.4500000000007276</v>
      </c>
      <c r="W24" s="55">
        <f>BTU!R25</f>
        <v>0.51000000000021828</v>
      </c>
      <c r="X24" s="52">
        <f>ELECT.!B25</f>
        <v>70</v>
      </c>
      <c r="Y24" s="52">
        <f t="shared" si="0"/>
        <v>1184</v>
      </c>
      <c r="Z24">
        <f>'Mall, Citadel, Rotana'!C25+'Mall, Citadel, Rotana'!E25+'Mall, Citadel, Rotana'!G25+'Mall, Citadel, Rotana'!I25</f>
        <v>1183</v>
      </c>
      <c r="AA24">
        <f>'Mall, Citadel, Rotana'!K25+'Mall, Citadel, Rotana'!M25</f>
        <v>800</v>
      </c>
      <c r="AB24">
        <f>'Mall, Citadel, Rotana'!O25</f>
        <v>42</v>
      </c>
      <c r="AC24">
        <f>'Mall, Citadel, Rotana'!Q25+'Mall, Citadel, Rotana'!S25</f>
        <v>82</v>
      </c>
      <c r="AD24" s="52">
        <f t="shared" si="1"/>
        <v>33.157189600000002</v>
      </c>
      <c r="AE24" s="52">
        <f t="shared" si="2"/>
        <v>218.41481040000002</v>
      </c>
    </row>
    <row r="25" spans="1:31" x14ac:dyDescent="0.2">
      <c r="A25" s="66" t="s">
        <v>54</v>
      </c>
      <c r="B25" s="71">
        <f t="shared" si="3"/>
        <v>24</v>
      </c>
      <c r="C25" s="71">
        <v>2</v>
      </c>
      <c r="D25" s="71">
        <v>2021</v>
      </c>
      <c r="E25" s="54">
        <f>Water!C26</f>
        <v>500</v>
      </c>
      <c r="F25" s="54">
        <f>Water!E26</f>
        <v>275.39999999999998</v>
      </c>
      <c r="G25" s="54">
        <f>Water!G26</f>
        <v>172.8</v>
      </c>
      <c r="H25" s="54">
        <f>Water!I26</f>
        <v>4.8600000000000003</v>
      </c>
      <c r="I25" s="54">
        <f>ELECT.!F26</f>
        <v>6794</v>
      </c>
      <c r="J25" s="54">
        <f>ELECT.!H26</f>
        <v>34063</v>
      </c>
      <c r="K25" s="54">
        <f>ELECT.!K26</f>
        <v>4731</v>
      </c>
      <c r="L25" s="54">
        <f>ELECT.!M26</f>
        <v>4858</v>
      </c>
      <c r="M25" s="54">
        <f>ELECT.!O26</f>
        <v>1816</v>
      </c>
      <c r="N25" s="54">
        <f>ELECT.!Q26</f>
        <v>5593</v>
      </c>
      <c r="O25" s="54">
        <f>ELECT.!S26</f>
        <v>6927</v>
      </c>
      <c r="P25" s="54">
        <f>ELECT.!W26*2</f>
        <v>16228</v>
      </c>
      <c r="Q25" s="54">
        <f>ELECT.!D26</f>
        <v>320</v>
      </c>
      <c r="R25" s="55">
        <f>BTU!C26</f>
        <v>3.6100000000005821</v>
      </c>
      <c r="S25" s="55">
        <f>BTU!F26</f>
        <v>1.0340000000001055</v>
      </c>
      <c r="T25" s="55">
        <f>BTU!I26</f>
        <v>4</v>
      </c>
      <c r="U25" s="55">
        <f>BTU!O26</f>
        <v>0.83500000000003638</v>
      </c>
      <c r="V25" s="55">
        <f>BTU!L26</f>
        <v>0.43999999999869033</v>
      </c>
      <c r="W25" s="55">
        <f>BTU!R26</f>
        <v>0.59000000000014552</v>
      </c>
      <c r="X25" s="52">
        <f>ELECT.!B26</f>
        <v>74</v>
      </c>
      <c r="Y25" s="52">
        <f t="shared" si="0"/>
        <v>704</v>
      </c>
      <c r="Z25">
        <f>'Mall, Citadel, Rotana'!C26+'Mall, Citadel, Rotana'!E26+'Mall, Citadel, Rotana'!G26+'Mall, Citadel, Rotana'!I26</f>
        <v>683</v>
      </c>
      <c r="AA25">
        <f>'Mall, Citadel, Rotana'!K26+'Mall, Citadel, Rotana'!M26</f>
        <v>960</v>
      </c>
      <c r="AB25">
        <f>'Mall, Citadel, Rotana'!O26</f>
        <v>27</v>
      </c>
      <c r="AC25">
        <f>'Mall, Citadel, Rotana'!Q26+'Mall, Citadel, Rotana'!S26</f>
        <v>129</v>
      </c>
      <c r="AD25" s="52">
        <f t="shared" si="1"/>
        <v>39.690252000000001</v>
      </c>
      <c r="AE25" s="52">
        <f t="shared" si="2"/>
        <v>261.449748</v>
      </c>
    </row>
    <row r="26" spans="1:31" x14ac:dyDescent="0.2">
      <c r="A26" s="66" t="s">
        <v>54</v>
      </c>
      <c r="B26" s="71">
        <f>B25+1</f>
        <v>25</v>
      </c>
      <c r="C26" s="71">
        <v>2</v>
      </c>
      <c r="D26" s="71">
        <v>2021</v>
      </c>
      <c r="E26" s="54">
        <f>Water!C27</f>
        <v>510</v>
      </c>
      <c r="F26" s="54">
        <f>Water!E27</f>
        <v>216</v>
      </c>
      <c r="G26" s="54">
        <f>Water!G27</f>
        <v>175.5</v>
      </c>
      <c r="H26" s="54">
        <f>Water!I27</f>
        <v>3.456</v>
      </c>
      <c r="I26" s="54">
        <f>ELECT.!F27</f>
        <v>10497</v>
      </c>
      <c r="J26" s="54">
        <f>ELECT.!H27</f>
        <v>52003</v>
      </c>
      <c r="K26" s="54">
        <f>ELECT.!K27</f>
        <v>7181</v>
      </c>
      <c r="L26" s="54">
        <f>ELECT.!M27</f>
        <v>7577</v>
      </c>
      <c r="M26" s="54">
        <f>ELECT.!O27</f>
        <v>2740</v>
      </c>
      <c r="N26" s="54">
        <f>ELECT.!Q27</f>
        <v>8886</v>
      </c>
      <c r="O26" s="54">
        <f>ELECT.!S27</f>
        <v>10315</v>
      </c>
      <c r="P26" s="54">
        <f>ELECT.!W27*2</f>
        <v>24606</v>
      </c>
      <c r="Q26" s="54">
        <f>ELECT.!D27</f>
        <v>320</v>
      </c>
      <c r="R26" s="55">
        <f>BTU!C27</f>
        <v>3.5030000000006112</v>
      </c>
      <c r="S26" s="55">
        <f>BTU!F27</f>
        <v>1.1790000000000873</v>
      </c>
      <c r="T26" s="55">
        <f>BTU!I27</f>
        <v>4</v>
      </c>
      <c r="U26" s="55">
        <f>BTU!O27</f>
        <v>0.95499999999992724</v>
      </c>
      <c r="V26" s="55">
        <f>BTU!L27</f>
        <v>0.5</v>
      </c>
      <c r="W26" s="55">
        <f>BTU!R27</f>
        <v>0.65999999999985448</v>
      </c>
      <c r="X26" s="52">
        <f>ELECT.!B27</f>
        <v>74</v>
      </c>
      <c r="Y26" s="52">
        <f t="shared" si="0"/>
        <v>1195</v>
      </c>
      <c r="Z26">
        <f>'Mall, Citadel, Rotana'!C27+'Mall, Citadel, Rotana'!E27+'Mall, Citadel, Rotana'!G27+'Mall, Citadel, Rotana'!I27</f>
        <v>863</v>
      </c>
      <c r="AA26">
        <f>'Mall, Citadel, Rotana'!K27+'Mall, Citadel, Rotana'!M27</f>
        <v>320</v>
      </c>
      <c r="AB26">
        <f>'Mall, Citadel, Rotana'!O27</f>
        <v>29</v>
      </c>
      <c r="AC26">
        <f>'Mall, Citadel, Rotana'!Q27+'Mall, Citadel, Rotana'!S27</f>
        <v>174</v>
      </c>
      <c r="AD26" s="52">
        <f t="shared" si="1"/>
        <v>41.193299199999998</v>
      </c>
      <c r="AE26" s="52">
        <f t="shared" si="2"/>
        <v>271.35070079999997</v>
      </c>
    </row>
    <row r="27" spans="1:31" x14ac:dyDescent="0.2">
      <c r="A27" s="66" t="s">
        <v>54</v>
      </c>
      <c r="B27" s="71">
        <f t="shared" si="3"/>
        <v>26</v>
      </c>
      <c r="C27" s="71">
        <v>2</v>
      </c>
      <c r="D27" s="71">
        <v>2021</v>
      </c>
      <c r="E27" s="54">
        <f>Water!C28</f>
        <v>730</v>
      </c>
      <c r="F27" s="54">
        <f>Water!E28</f>
        <v>351</v>
      </c>
      <c r="G27" s="54">
        <f>Water!G28</f>
        <v>183.6</v>
      </c>
      <c r="H27" s="54">
        <f>Water!I28</f>
        <v>4.968</v>
      </c>
      <c r="I27" s="54">
        <f>ELECT.!F28</f>
        <v>8657</v>
      </c>
      <c r="J27" s="54">
        <f>ELECT.!H28</f>
        <v>44963</v>
      </c>
      <c r="K27" s="54">
        <f>ELECT.!K28</f>
        <v>5682</v>
      </c>
      <c r="L27" s="54">
        <f>ELECT.!M28</f>
        <v>6005</v>
      </c>
      <c r="M27" s="54">
        <f>ELECT.!O28</f>
        <v>2468</v>
      </c>
      <c r="N27" s="54">
        <f>ELECT.!Q28</f>
        <v>7555</v>
      </c>
      <c r="O27" s="54">
        <f>ELECT.!S28</f>
        <v>9320</v>
      </c>
      <c r="P27" s="54">
        <f>ELECT.!W28*2</f>
        <v>21450</v>
      </c>
      <c r="Q27" s="54">
        <f>ELECT.!D28</f>
        <v>320</v>
      </c>
      <c r="R27" s="55">
        <f>BTU!C28</f>
        <v>3.5390000000006694</v>
      </c>
      <c r="S27" s="55">
        <f>BTU!F28</f>
        <v>0.55999999999994543</v>
      </c>
      <c r="T27" s="55">
        <f>BTU!I28</f>
        <v>4</v>
      </c>
      <c r="U27" s="55">
        <f>BTU!O28</f>
        <v>0.98000000000001819</v>
      </c>
      <c r="V27" s="55">
        <f>BTU!L28</f>
        <v>0.79000000000087311</v>
      </c>
      <c r="W27" s="55">
        <f>BTU!R28</f>
        <v>0.42000000000007276</v>
      </c>
      <c r="X27" s="52">
        <f>ELECT.!B28</f>
        <v>73</v>
      </c>
      <c r="Y27" s="52">
        <f t="shared" si="0"/>
        <v>1140</v>
      </c>
      <c r="Z27">
        <f>'Mall, Citadel, Rotana'!C28+'Mall, Citadel, Rotana'!E28+'Mall, Citadel, Rotana'!G28+'Mall, Citadel, Rotana'!I28</f>
        <v>706</v>
      </c>
      <c r="AA27">
        <f>'Mall, Citadel, Rotana'!K28+'Mall, Citadel, Rotana'!M28</f>
        <v>640</v>
      </c>
      <c r="AB27">
        <f>'Mall, Citadel, Rotana'!O28</f>
        <v>21</v>
      </c>
      <c r="AC27">
        <f>'Mall, Citadel, Rotana'!Q28+'Mall, Citadel, Rotana'!S28</f>
        <v>105</v>
      </c>
      <c r="AD27" s="52">
        <f t="shared" si="1"/>
        <v>69.990017600000002</v>
      </c>
      <c r="AE27" s="52">
        <f t="shared" si="2"/>
        <v>461.04198240000005</v>
      </c>
    </row>
    <row r="28" spans="1:31" x14ac:dyDescent="0.2">
      <c r="A28" s="66" t="s">
        <v>54</v>
      </c>
      <c r="B28" s="71">
        <f t="shared" si="3"/>
        <v>27</v>
      </c>
      <c r="C28" s="71">
        <v>2</v>
      </c>
      <c r="D28" s="71">
        <v>2021</v>
      </c>
      <c r="E28" s="54">
        <f>Water!C29</f>
        <v>430</v>
      </c>
      <c r="F28" s="54">
        <f>Water!E29</f>
        <v>229.5</v>
      </c>
      <c r="G28" s="54">
        <f>Water!G29</f>
        <v>143.1</v>
      </c>
      <c r="H28" s="54">
        <f>Water!I29</f>
        <v>2.9159999999999999</v>
      </c>
      <c r="I28" s="54">
        <f>ELECT.!F29</f>
        <v>7074</v>
      </c>
      <c r="J28" s="54">
        <f>ELECT.!H29</f>
        <v>34918</v>
      </c>
      <c r="K28" s="54">
        <f>ELECT.!K29</f>
        <v>4817</v>
      </c>
      <c r="L28" s="54">
        <f>ELECT.!M29</f>
        <v>5072</v>
      </c>
      <c r="M28" s="54">
        <f>ELECT.!O29</f>
        <v>1880</v>
      </c>
      <c r="N28" s="54">
        <f>ELECT.!Q29</f>
        <v>5819</v>
      </c>
      <c r="O28" s="54">
        <f>ELECT.!S29</f>
        <v>7015</v>
      </c>
      <c r="P28" s="54">
        <f>ELECT.!W29*2</f>
        <v>16624</v>
      </c>
      <c r="Q28" s="54">
        <f>ELECT.!D29</f>
        <v>800</v>
      </c>
      <c r="R28" s="55">
        <f>BTU!C29</f>
        <v>3.6229999999995925</v>
      </c>
      <c r="S28" s="55">
        <f>BTU!F29</f>
        <v>0.70800000000008367</v>
      </c>
      <c r="T28" s="55">
        <f>BTU!I29</f>
        <v>4</v>
      </c>
      <c r="U28" s="55">
        <f>BTU!O29</f>
        <v>0.86200000000008004</v>
      </c>
      <c r="V28" s="55">
        <f>BTU!L29</f>
        <v>0.87999999999919964</v>
      </c>
      <c r="W28" s="55">
        <f>BTU!R29</f>
        <v>0.23999999999978172</v>
      </c>
      <c r="X28" s="52">
        <f>ELECT.!B29</f>
        <v>73</v>
      </c>
      <c r="Y28" s="52">
        <f t="shared" si="0"/>
        <v>765</v>
      </c>
      <c r="Z28">
        <f>'Mall, Citadel, Rotana'!C29+'Mall, Citadel, Rotana'!E29+'Mall, Citadel, Rotana'!G29+'Mall, Citadel, Rotana'!I29</f>
        <v>3602</v>
      </c>
      <c r="AA28">
        <f>'Mall, Citadel, Rotana'!K29+'Mall, Citadel, Rotana'!M29</f>
        <v>480</v>
      </c>
      <c r="AB28">
        <f>'Mall, Citadel, Rotana'!O29</f>
        <v>497</v>
      </c>
      <c r="AC28">
        <f>'Mall, Citadel, Rotana'!Q29+'Mall, Citadel, Rotana'!S29</f>
        <v>46</v>
      </c>
      <c r="AD28" s="52">
        <f t="shared" si="1"/>
        <v>30.720471200000002</v>
      </c>
      <c r="AE28" s="52">
        <f t="shared" si="2"/>
        <v>202.36352879999998</v>
      </c>
    </row>
    <row r="29" spans="1:31" x14ac:dyDescent="0.2">
      <c r="A29" s="66" t="s">
        <v>54</v>
      </c>
      <c r="B29" s="71">
        <f t="shared" si="3"/>
        <v>28</v>
      </c>
      <c r="C29" s="71">
        <v>2</v>
      </c>
      <c r="D29" s="71">
        <v>2021</v>
      </c>
      <c r="E29" s="54">
        <f>Water!C30</f>
        <v>470</v>
      </c>
      <c r="F29" s="54">
        <f>Water!E30</f>
        <v>256.5</v>
      </c>
      <c r="G29" s="54">
        <f>Water!G30</f>
        <v>148.5</v>
      </c>
      <c r="H29" s="54">
        <f>Water!I30</f>
        <v>3.456</v>
      </c>
      <c r="I29" s="54">
        <f>ELECT.!F30</f>
        <v>8924</v>
      </c>
      <c r="J29" s="54">
        <f>ELECT.!H30</f>
        <v>26259</v>
      </c>
      <c r="K29" s="54">
        <f>ELECT.!K30</f>
        <v>6518</v>
      </c>
      <c r="L29" s="54">
        <f>ELECT.!M30</f>
        <v>6172</v>
      </c>
      <c r="M29" s="54">
        <f>ELECT.!O30</f>
        <v>2586</v>
      </c>
      <c r="N29" s="54">
        <f>ELECT.!Q30</f>
        <v>7891</v>
      </c>
      <c r="O29" s="54">
        <f>ELECT.!S30</f>
        <v>9177</v>
      </c>
      <c r="P29" s="54">
        <f>ELECT.!W30*2</f>
        <v>21872</v>
      </c>
      <c r="Q29" s="54">
        <f>ELECT.!D30</f>
        <v>160</v>
      </c>
      <c r="R29" s="55">
        <f>BTU!C30</f>
        <v>3.797999999998865</v>
      </c>
      <c r="S29" s="55">
        <f>BTU!F30</f>
        <v>0.99899999999979627</v>
      </c>
      <c r="T29" s="55">
        <f>BTU!I30</f>
        <v>5</v>
      </c>
      <c r="U29" s="55">
        <f>BTU!O30</f>
        <v>0.95100000000002183</v>
      </c>
      <c r="V29" s="55">
        <f>BTU!L30</f>
        <v>0.77000000000043656</v>
      </c>
      <c r="W29" s="55">
        <f>BTU!R30</f>
        <v>0.23000000000047294</v>
      </c>
      <c r="X29" s="52">
        <f>ELECT.!B30</f>
        <v>73</v>
      </c>
      <c r="Y29" s="52">
        <f t="shared" si="0"/>
        <v>-19033</v>
      </c>
      <c r="Z29">
        <f>'Mall, Citadel, Rotana'!C30+'Mall, Citadel, Rotana'!E30+'Mall, Citadel, Rotana'!G30+'Mall, Citadel, Rotana'!I30</f>
        <v>1217</v>
      </c>
      <c r="AA29">
        <f>'Mall, Citadel, Rotana'!K30+'Mall, Citadel, Rotana'!M30</f>
        <v>640</v>
      </c>
      <c r="AB29">
        <f>'Mall, Citadel, Rotana'!O30</f>
        <v>113</v>
      </c>
      <c r="AC29">
        <f>'Mall, Citadel, Rotana'!Q30+'Mall, Citadel, Rotana'!S30</f>
        <v>41</v>
      </c>
      <c r="AD29" s="52">
        <f t="shared" si="1"/>
        <v>35.9212992</v>
      </c>
      <c r="AE29" s="52">
        <f t="shared" si="2"/>
        <v>236.62270079999996</v>
      </c>
    </row>
    <row r="31" spans="1:31" x14ac:dyDescent="0.2">
      <c r="I31" s="54" t="s">
        <v>13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"/>
  <sheetViews>
    <sheetView workbookViewId="0">
      <selection activeCell="B2" sqref="B2:U2"/>
    </sheetView>
  </sheetViews>
  <sheetFormatPr defaultRowHeight="12.75" x14ac:dyDescent="0.2"/>
  <cols>
    <col min="1" max="1" width="16.5703125" style="19" bestFit="1" customWidth="1"/>
    <col min="2" max="2" width="10.5703125" style="22" bestFit="1" customWidth="1"/>
    <col min="3" max="3" width="11.42578125" style="23" bestFit="1" customWidth="1"/>
    <col min="4" max="4" width="10.7109375" style="22" bestFit="1" customWidth="1"/>
    <col min="5" max="5" width="11.42578125" style="23" bestFit="1" customWidth="1"/>
    <col min="6" max="6" width="8.7109375" style="22" customWidth="1"/>
    <col min="7" max="7" width="9.7109375" style="23" bestFit="1" customWidth="1"/>
    <col min="8" max="8" width="10" style="22" bestFit="1" customWidth="1"/>
    <col min="9" max="9" width="9.7109375" style="23" bestFit="1" customWidth="1"/>
    <col min="10" max="10" width="9.28515625" style="22" bestFit="1" customWidth="1"/>
    <col min="11" max="11" width="11" style="23" bestFit="1" customWidth="1"/>
    <col min="12" max="12" width="8.7109375" style="22" bestFit="1" customWidth="1"/>
    <col min="13" max="13" width="14.140625" style="23" bestFit="1" customWidth="1"/>
    <col min="14" max="14" width="11.42578125" style="48" customWidth="1"/>
    <col min="15" max="15" width="11.42578125" style="23" customWidth="1"/>
    <col min="16" max="16" width="10" style="22" bestFit="1" customWidth="1"/>
    <col min="17" max="17" width="9.7109375" style="23" bestFit="1" customWidth="1"/>
    <col min="18" max="18" width="8.7109375" style="22" customWidth="1"/>
    <col min="19" max="19" width="11" style="23" bestFit="1" customWidth="1"/>
  </cols>
  <sheetData>
    <row r="1" spans="1:24" s="16" customFormat="1" ht="15.75" thickBot="1" x14ac:dyDescent="0.25">
      <c r="A1" s="13" t="s">
        <v>0</v>
      </c>
      <c r="B1" s="1" t="s">
        <v>14</v>
      </c>
      <c r="C1" s="14" t="s">
        <v>15</v>
      </c>
      <c r="D1" s="1" t="s">
        <v>16</v>
      </c>
      <c r="E1" s="14" t="s">
        <v>17</v>
      </c>
      <c r="F1" s="1" t="s">
        <v>18</v>
      </c>
      <c r="G1" s="14" t="s">
        <v>17</v>
      </c>
      <c r="H1" s="1" t="s">
        <v>19</v>
      </c>
      <c r="I1" s="14" t="s">
        <v>17</v>
      </c>
      <c r="J1" s="1" t="s">
        <v>20</v>
      </c>
      <c r="K1" s="14" t="s">
        <v>17</v>
      </c>
      <c r="L1" s="1" t="s">
        <v>21</v>
      </c>
      <c r="M1" s="14" t="s">
        <v>17</v>
      </c>
      <c r="N1" s="49" t="s">
        <v>45</v>
      </c>
      <c r="O1" s="14" t="s">
        <v>17</v>
      </c>
      <c r="P1" s="1" t="s">
        <v>22</v>
      </c>
      <c r="Q1" s="14" t="s">
        <v>17</v>
      </c>
      <c r="R1" s="1" t="s">
        <v>23</v>
      </c>
      <c r="S1" s="15" t="s">
        <v>17</v>
      </c>
      <c r="T1" s="1" t="s">
        <v>136</v>
      </c>
      <c r="U1" s="15" t="s">
        <v>17</v>
      </c>
    </row>
    <row r="2" spans="1:24" ht="13.5" thickBot="1" x14ac:dyDescent="0.25">
      <c r="A2" s="10" t="s">
        <v>12</v>
      </c>
      <c r="B2" s="1">
        <v>44752</v>
      </c>
      <c r="C2" s="17">
        <v>0</v>
      </c>
      <c r="D2" s="1">
        <v>39227</v>
      </c>
      <c r="E2" s="17">
        <v>0</v>
      </c>
      <c r="F2" s="1">
        <v>20014</v>
      </c>
      <c r="G2" s="17">
        <v>0</v>
      </c>
      <c r="H2" s="1">
        <v>238893</v>
      </c>
      <c r="I2" s="17">
        <v>0</v>
      </c>
      <c r="J2" s="1">
        <v>303517</v>
      </c>
      <c r="K2" s="17">
        <v>0</v>
      </c>
      <c r="L2" s="1">
        <v>24568</v>
      </c>
      <c r="M2" s="17">
        <v>0</v>
      </c>
      <c r="N2" s="49">
        <v>206458</v>
      </c>
      <c r="O2" s="17">
        <v>0</v>
      </c>
      <c r="P2" s="1">
        <v>91688</v>
      </c>
      <c r="Q2" s="17">
        <v>0</v>
      </c>
      <c r="R2" s="1">
        <v>55047</v>
      </c>
      <c r="S2" s="17">
        <v>0</v>
      </c>
      <c r="T2" s="1">
        <v>3501</v>
      </c>
      <c r="U2" s="17">
        <v>0</v>
      </c>
    </row>
    <row r="3" spans="1:24" ht="13.5" thickBot="1" x14ac:dyDescent="0.25">
      <c r="A3" s="10">
        <v>44228</v>
      </c>
      <c r="B3" s="1">
        <v>44762</v>
      </c>
      <c r="C3" s="17">
        <f>(B3-B2)*800/5</f>
        <v>1600</v>
      </c>
      <c r="D3" s="1">
        <v>39233</v>
      </c>
      <c r="E3" s="17">
        <f>(D3-D2)*800/5</f>
        <v>960</v>
      </c>
      <c r="F3" s="1">
        <v>20023</v>
      </c>
      <c r="G3" s="17">
        <f t="shared" ref="G3:G32" si="0">(F3-F2)*100/5</f>
        <v>180</v>
      </c>
      <c r="H3" s="1">
        <v>238717</v>
      </c>
      <c r="I3" s="17">
        <f t="shared" ref="I3:I33" si="1">(H3-H2)</f>
        <v>-176</v>
      </c>
      <c r="J3" s="1">
        <v>303517</v>
      </c>
      <c r="K3" s="17">
        <f t="shared" ref="K3:K32" si="2">(J3-J2)*800/5</f>
        <v>0</v>
      </c>
      <c r="L3" s="1">
        <v>24577</v>
      </c>
      <c r="M3" s="17">
        <f t="shared" ref="M3:M33" si="3">(L3-L2)*800/5</f>
        <v>1440</v>
      </c>
      <c r="N3" s="49">
        <v>206726</v>
      </c>
      <c r="O3" s="17">
        <f>N3-N2</f>
        <v>268</v>
      </c>
      <c r="P3" s="1">
        <v>91816</v>
      </c>
      <c r="Q3" s="17">
        <f t="shared" ref="Q3:Q32" si="4">P3-P2</f>
        <v>128</v>
      </c>
      <c r="R3" s="1">
        <v>55047</v>
      </c>
      <c r="S3" s="17">
        <v>0</v>
      </c>
      <c r="T3" s="1">
        <v>3504</v>
      </c>
      <c r="U3" s="17">
        <f t="shared" ref="U3:U32" si="5">(T3-T2)*800/5</f>
        <v>480</v>
      </c>
    </row>
    <row r="4" spans="1:24" ht="13.5" thickBot="1" x14ac:dyDescent="0.25">
      <c r="A4" s="10">
        <v>44229</v>
      </c>
      <c r="B4" s="1">
        <v>44767</v>
      </c>
      <c r="C4" s="17">
        <f t="shared" ref="C4:C32" si="6">(B4-B3)*800/5</f>
        <v>800</v>
      </c>
      <c r="D4" s="1">
        <v>39236</v>
      </c>
      <c r="E4" s="17">
        <f t="shared" ref="E4:E33" si="7">(D4-D3)*800/5</f>
        <v>480</v>
      </c>
      <c r="F4" s="1">
        <v>20028</v>
      </c>
      <c r="G4" s="17">
        <f t="shared" si="0"/>
        <v>100</v>
      </c>
      <c r="H4" s="1">
        <v>238728</v>
      </c>
      <c r="I4" s="17">
        <f t="shared" si="1"/>
        <v>11</v>
      </c>
      <c r="J4" s="1">
        <v>303517</v>
      </c>
      <c r="K4" s="17">
        <f t="shared" si="2"/>
        <v>0</v>
      </c>
      <c r="L4" s="1">
        <v>24583</v>
      </c>
      <c r="M4" s="17">
        <f t="shared" si="3"/>
        <v>960</v>
      </c>
      <c r="N4" s="49">
        <v>206804</v>
      </c>
      <c r="O4" s="17">
        <f t="shared" ref="O4:O33" si="8">N4-N3</f>
        <v>78</v>
      </c>
      <c r="P4" s="1">
        <v>91816</v>
      </c>
      <c r="Q4" s="17">
        <f t="shared" si="4"/>
        <v>0</v>
      </c>
      <c r="R4" s="1">
        <v>55047</v>
      </c>
      <c r="S4" s="17">
        <f t="shared" ref="S4:S32" si="9">R4-R3</f>
        <v>0</v>
      </c>
      <c r="T4" s="1">
        <v>3506</v>
      </c>
      <c r="U4" s="17">
        <f t="shared" si="5"/>
        <v>320</v>
      </c>
    </row>
    <row r="5" spans="1:24" ht="13.5" thickBot="1" x14ac:dyDescent="0.25">
      <c r="A5" s="10">
        <v>44230</v>
      </c>
      <c r="B5" s="1">
        <v>44771</v>
      </c>
      <c r="C5" s="17">
        <f t="shared" si="6"/>
        <v>640</v>
      </c>
      <c r="D5" s="1">
        <v>39242</v>
      </c>
      <c r="E5" s="17">
        <f t="shared" si="7"/>
        <v>960</v>
      </c>
      <c r="F5" s="1">
        <v>20030</v>
      </c>
      <c r="G5" s="17">
        <f t="shared" si="0"/>
        <v>40</v>
      </c>
      <c r="H5" s="1">
        <v>238741</v>
      </c>
      <c r="I5" s="17">
        <f t="shared" si="1"/>
        <v>13</v>
      </c>
      <c r="J5" s="1">
        <v>303517</v>
      </c>
      <c r="K5" s="17">
        <f t="shared" si="2"/>
        <v>0</v>
      </c>
      <c r="L5" s="1">
        <v>24585</v>
      </c>
      <c r="M5" s="17">
        <f t="shared" si="3"/>
        <v>320</v>
      </c>
      <c r="N5" s="49">
        <v>206894</v>
      </c>
      <c r="O5" s="17">
        <f t="shared" si="8"/>
        <v>90</v>
      </c>
      <c r="P5" s="1">
        <v>91917</v>
      </c>
      <c r="Q5" s="17">
        <f t="shared" si="4"/>
        <v>101</v>
      </c>
      <c r="R5" s="1">
        <v>55047</v>
      </c>
      <c r="S5" s="17">
        <f t="shared" si="9"/>
        <v>0</v>
      </c>
      <c r="T5" s="1">
        <v>3508</v>
      </c>
      <c r="U5" s="17">
        <f t="shared" si="5"/>
        <v>320</v>
      </c>
    </row>
    <row r="6" spans="1:24" ht="13.5" thickBot="1" x14ac:dyDescent="0.25">
      <c r="A6" s="10">
        <v>44231</v>
      </c>
      <c r="B6" s="1">
        <v>44774</v>
      </c>
      <c r="C6" s="17">
        <f t="shared" si="6"/>
        <v>480</v>
      </c>
      <c r="D6" s="1">
        <v>39246</v>
      </c>
      <c r="E6" s="17">
        <f t="shared" si="7"/>
        <v>640</v>
      </c>
      <c r="F6" s="1">
        <v>20035</v>
      </c>
      <c r="G6" s="17">
        <f t="shared" si="0"/>
        <v>100</v>
      </c>
      <c r="H6" s="1">
        <v>238772</v>
      </c>
      <c r="I6" s="17">
        <f t="shared" si="1"/>
        <v>31</v>
      </c>
      <c r="J6" s="1">
        <v>303517</v>
      </c>
      <c r="K6" s="17">
        <f t="shared" si="2"/>
        <v>0</v>
      </c>
      <c r="L6" s="1">
        <v>24587</v>
      </c>
      <c r="M6" s="17">
        <f t="shared" si="3"/>
        <v>320</v>
      </c>
      <c r="N6" s="49">
        <v>206918</v>
      </c>
      <c r="O6" s="17">
        <f t="shared" si="8"/>
        <v>24</v>
      </c>
      <c r="P6" s="1">
        <v>91994</v>
      </c>
      <c r="Q6" s="17">
        <f t="shared" si="4"/>
        <v>77</v>
      </c>
      <c r="R6" s="1">
        <v>55047</v>
      </c>
      <c r="S6" s="17">
        <f>R30-R5</f>
        <v>0</v>
      </c>
      <c r="T6" s="1">
        <v>3509</v>
      </c>
      <c r="U6" s="17">
        <f t="shared" si="5"/>
        <v>160</v>
      </c>
    </row>
    <row r="7" spans="1:24" ht="13.5" thickBot="1" x14ac:dyDescent="0.25">
      <c r="A7" s="10">
        <v>44232</v>
      </c>
      <c r="B7" s="1">
        <v>44779</v>
      </c>
      <c r="C7" s="17">
        <f t="shared" si="6"/>
        <v>800</v>
      </c>
      <c r="D7" s="1">
        <v>39247</v>
      </c>
      <c r="E7" s="17">
        <f t="shared" si="7"/>
        <v>160</v>
      </c>
      <c r="F7" s="1">
        <v>20039</v>
      </c>
      <c r="G7" s="17">
        <f t="shared" si="0"/>
        <v>80</v>
      </c>
      <c r="H7" s="1">
        <v>238800</v>
      </c>
      <c r="I7" s="17">
        <f t="shared" si="1"/>
        <v>28</v>
      </c>
      <c r="J7" s="1">
        <v>303517</v>
      </c>
      <c r="K7" s="17">
        <f t="shared" si="2"/>
        <v>0</v>
      </c>
      <c r="L7" s="1">
        <v>24590</v>
      </c>
      <c r="M7" s="17">
        <f t="shared" si="3"/>
        <v>480</v>
      </c>
      <c r="N7" s="49">
        <v>207000</v>
      </c>
      <c r="O7" s="17">
        <f t="shared" si="8"/>
        <v>82</v>
      </c>
      <c r="P7" s="1">
        <v>91994</v>
      </c>
      <c r="Q7" s="17">
        <f t="shared" si="4"/>
        <v>0</v>
      </c>
      <c r="R7" s="1">
        <v>55047</v>
      </c>
      <c r="S7" s="17">
        <f>R7-R30</f>
        <v>0</v>
      </c>
      <c r="T7" s="1">
        <v>3510</v>
      </c>
      <c r="U7" s="17">
        <f t="shared" si="5"/>
        <v>160</v>
      </c>
    </row>
    <row r="8" spans="1:24" ht="13.5" thickBot="1" x14ac:dyDescent="0.25">
      <c r="A8" s="10">
        <v>44233</v>
      </c>
      <c r="B8" s="1">
        <v>44783</v>
      </c>
      <c r="C8" s="17">
        <f t="shared" si="6"/>
        <v>640</v>
      </c>
      <c r="D8" s="1">
        <v>39249</v>
      </c>
      <c r="E8" s="17">
        <f t="shared" si="7"/>
        <v>320</v>
      </c>
      <c r="F8" s="1">
        <v>20043</v>
      </c>
      <c r="G8" s="17">
        <f t="shared" si="0"/>
        <v>80</v>
      </c>
      <c r="H8" s="1">
        <v>238822</v>
      </c>
      <c r="I8" s="17">
        <f t="shared" si="1"/>
        <v>22</v>
      </c>
      <c r="J8" s="1">
        <v>303517</v>
      </c>
      <c r="K8" s="17">
        <f t="shared" si="2"/>
        <v>0</v>
      </c>
      <c r="L8" s="1">
        <v>24592</v>
      </c>
      <c r="M8" s="17">
        <f t="shared" si="3"/>
        <v>320</v>
      </c>
      <c r="N8" s="49">
        <v>207214</v>
      </c>
      <c r="O8" s="17">
        <f t="shared" si="8"/>
        <v>214</v>
      </c>
      <c r="P8" s="1">
        <v>91994</v>
      </c>
      <c r="Q8" s="17">
        <f t="shared" si="4"/>
        <v>0</v>
      </c>
      <c r="R8" s="1">
        <v>55047</v>
      </c>
      <c r="S8" s="17">
        <f t="shared" si="9"/>
        <v>0</v>
      </c>
      <c r="T8" s="1">
        <v>3510</v>
      </c>
      <c r="U8" s="17">
        <f t="shared" si="5"/>
        <v>0</v>
      </c>
    </row>
    <row r="9" spans="1:24" ht="13.5" thickBot="1" x14ac:dyDescent="0.25">
      <c r="A9" s="10">
        <v>44234</v>
      </c>
      <c r="B9" s="1">
        <v>44788</v>
      </c>
      <c r="C9" s="17">
        <f t="shared" si="6"/>
        <v>800</v>
      </c>
      <c r="D9" s="1">
        <v>39250</v>
      </c>
      <c r="E9" s="17">
        <f t="shared" si="7"/>
        <v>160</v>
      </c>
      <c r="F9" s="1">
        <v>20047</v>
      </c>
      <c r="G9" s="17">
        <f t="shared" si="0"/>
        <v>80</v>
      </c>
      <c r="H9" s="1">
        <v>238836</v>
      </c>
      <c r="I9" s="17">
        <f t="shared" si="1"/>
        <v>14</v>
      </c>
      <c r="J9" s="1">
        <v>303517</v>
      </c>
      <c r="K9" s="17">
        <f t="shared" si="2"/>
        <v>0</v>
      </c>
      <c r="L9" s="1">
        <v>24596</v>
      </c>
      <c r="M9" s="17">
        <f t="shared" si="3"/>
        <v>640</v>
      </c>
      <c r="N9" s="49">
        <v>207337</v>
      </c>
      <c r="O9" s="17">
        <f t="shared" si="8"/>
        <v>123</v>
      </c>
      <c r="P9" s="1">
        <v>91994</v>
      </c>
      <c r="Q9" s="17">
        <f>P9-P8</f>
        <v>0</v>
      </c>
      <c r="R9" s="1">
        <v>55047</v>
      </c>
      <c r="S9" s="17">
        <f>R9-R8</f>
        <v>0</v>
      </c>
      <c r="T9" s="1">
        <v>3511</v>
      </c>
      <c r="U9" s="17">
        <f t="shared" si="5"/>
        <v>160</v>
      </c>
    </row>
    <row r="10" spans="1:24" ht="13.5" thickBot="1" x14ac:dyDescent="0.25">
      <c r="A10" s="10">
        <v>44235</v>
      </c>
      <c r="B10" s="1">
        <v>44791</v>
      </c>
      <c r="C10" s="17">
        <f t="shared" si="6"/>
        <v>480</v>
      </c>
      <c r="D10" s="1">
        <v>39254</v>
      </c>
      <c r="E10" s="17">
        <f t="shared" si="7"/>
        <v>640</v>
      </c>
      <c r="F10" s="1">
        <v>20049</v>
      </c>
      <c r="G10" s="17">
        <f t="shared" si="0"/>
        <v>40</v>
      </c>
      <c r="H10" s="1">
        <v>238844</v>
      </c>
      <c r="I10" s="17">
        <f t="shared" si="1"/>
        <v>8</v>
      </c>
      <c r="J10" s="1">
        <v>303517</v>
      </c>
      <c r="K10" s="17">
        <f t="shared" si="2"/>
        <v>0</v>
      </c>
      <c r="L10" s="1">
        <v>24599</v>
      </c>
      <c r="M10" s="17">
        <f t="shared" si="3"/>
        <v>480</v>
      </c>
      <c r="N10" s="49">
        <v>207391</v>
      </c>
      <c r="O10" s="17">
        <f t="shared" si="8"/>
        <v>54</v>
      </c>
      <c r="P10" s="1">
        <v>92317</v>
      </c>
      <c r="Q10" s="17">
        <f>P10-P9</f>
        <v>323</v>
      </c>
      <c r="R10" s="1">
        <v>55047</v>
      </c>
      <c r="S10" s="17">
        <f>R10-R9</f>
        <v>0</v>
      </c>
      <c r="T10" s="1">
        <v>3513</v>
      </c>
      <c r="U10" s="17">
        <f t="shared" si="5"/>
        <v>320</v>
      </c>
    </row>
    <row r="11" spans="1:24" ht="13.5" thickBot="1" x14ac:dyDescent="0.25">
      <c r="A11" s="10">
        <v>44236</v>
      </c>
      <c r="B11" s="1">
        <v>44796</v>
      </c>
      <c r="C11" s="17">
        <f t="shared" si="6"/>
        <v>800</v>
      </c>
      <c r="D11" s="1">
        <v>39257</v>
      </c>
      <c r="E11" s="17">
        <f t="shared" si="7"/>
        <v>480</v>
      </c>
      <c r="F11" s="1">
        <v>20051</v>
      </c>
      <c r="G11" s="17">
        <f t="shared" si="0"/>
        <v>40</v>
      </c>
      <c r="H11" s="1">
        <v>238862</v>
      </c>
      <c r="I11" s="17">
        <f t="shared" si="1"/>
        <v>18</v>
      </c>
      <c r="J11" s="1">
        <v>303517</v>
      </c>
      <c r="K11" s="17">
        <f t="shared" si="2"/>
        <v>0</v>
      </c>
      <c r="L11" s="1">
        <v>24604</v>
      </c>
      <c r="M11" s="17">
        <f t="shared" si="3"/>
        <v>800</v>
      </c>
      <c r="N11" s="49">
        <v>207453</v>
      </c>
      <c r="O11" s="17">
        <f t="shared" si="8"/>
        <v>62</v>
      </c>
      <c r="P11" s="1">
        <v>92411</v>
      </c>
      <c r="Q11" s="17">
        <f t="shared" si="4"/>
        <v>94</v>
      </c>
      <c r="R11" s="1">
        <v>55047</v>
      </c>
      <c r="S11" s="17">
        <f t="shared" si="9"/>
        <v>0</v>
      </c>
      <c r="T11" s="1">
        <v>3515</v>
      </c>
      <c r="U11" s="17">
        <f t="shared" si="5"/>
        <v>320</v>
      </c>
    </row>
    <row r="12" spans="1:24" ht="13.5" thickBot="1" x14ac:dyDescent="0.25">
      <c r="A12" s="10">
        <v>44237</v>
      </c>
      <c r="B12" s="1">
        <v>44798</v>
      </c>
      <c r="C12" s="17">
        <f t="shared" si="6"/>
        <v>320</v>
      </c>
      <c r="D12" s="1">
        <v>39259</v>
      </c>
      <c r="E12" s="17">
        <f t="shared" si="7"/>
        <v>320</v>
      </c>
      <c r="F12" s="1">
        <v>20054</v>
      </c>
      <c r="G12" s="17">
        <f t="shared" si="0"/>
        <v>60</v>
      </c>
      <c r="H12" s="1">
        <v>238871</v>
      </c>
      <c r="I12" s="17">
        <f t="shared" si="1"/>
        <v>9</v>
      </c>
      <c r="J12" s="1">
        <v>303517</v>
      </c>
      <c r="K12" s="17">
        <f t="shared" si="2"/>
        <v>0</v>
      </c>
      <c r="L12" s="1">
        <v>24607</v>
      </c>
      <c r="M12" s="17">
        <f t="shared" si="3"/>
        <v>480</v>
      </c>
      <c r="N12" s="49">
        <v>207498</v>
      </c>
      <c r="O12" s="17">
        <f t="shared" si="8"/>
        <v>45</v>
      </c>
      <c r="P12" s="1">
        <v>92661</v>
      </c>
      <c r="Q12" s="17">
        <f t="shared" si="4"/>
        <v>250</v>
      </c>
      <c r="R12" s="1">
        <v>55047</v>
      </c>
      <c r="S12" s="17">
        <f t="shared" si="9"/>
        <v>0</v>
      </c>
      <c r="T12" s="1">
        <v>3517</v>
      </c>
      <c r="U12" s="17">
        <f t="shared" si="5"/>
        <v>320</v>
      </c>
    </row>
    <row r="13" spans="1:24" ht="13.5" thickBot="1" x14ac:dyDescent="0.25">
      <c r="A13" s="10">
        <v>44238</v>
      </c>
      <c r="B13" s="1">
        <v>44810</v>
      </c>
      <c r="C13" s="17">
        <f t="shared" si="6"/>
        <v>1920</v>
      </c>
      <c r="D13" s="1">
        <v>39261</v>
      </c>
      <c r="E13" s="17">
        <f t="shared" si="7"/>
        <v>320</v>
      </c>
      <c r="F13" s="1">
        <v>20057</v>
      </c>
      <c r="G13" s="17">
        <f t="shared" si="0"/>
        <v>60</v>
      </c>
      <c r="H13" s="1">
        <v>238891</v>
      </c>
      <c r="I13" s="17">
        <f t="shared" si="1"/>
        <v>20</v>
      </c>
      <c r="J13" s="1">
        <v>303517</v>
      </c>
      <c r="K13" s="17">
        <f t="shared" si="2"/>
        <v>0</v>
      </c>
      <c r="L13" s="1">
        <v>24609</v>
      </c>
      <c r="M13" s="17">
        <f t="shared" si="3"/>
        <v>320</v>
      </c>
      <c r="N13" s="49">
        <v>207537</v>
      </c>
      <c r="O13" s="17">
        <f t="shared" si="8"/>
        <v>39</v>
      </c>
      <c r="P13" s="1">
        <v>92797</v>
      </c>
      <c r="Q13" s="17">
        <f t="shared" si="4"/>
        <v>136</v>
      </c>
      <c r="R13" s="1">
        <v>55047</v>
      </c>
      <c r="S13" s="17">
        <f t="shared" si="9"/>
        <v>0</v>
      </c>
      <c r="T13" s="1">
        <v>3519</v>
      </c>
      <c r="U13" s="17">
        <f t="shared" si="5"/>
        <v>320</v>
      </c>
    </row>
    <row r="14" spans="1:24" ht="13.5" thickBot="1" x14ac:dyDescent="0.25">
      <c r="A14" s="10">
        <v>44239</v>
      </c>
      <c r="B14" s="1">
        <v>44813</v>
      </c>
      <c r="C14" s="17">
        <f t="shared" si="6"/>
        <v>480</v>
      </c>
      <c r="D14" s="1">
        <v>39264</v>
      </c>
      <c r="E14" s="17">
        <f t="shared" si="7"/>
        <v>480</v>
      </c>
      <c r="F14" s="1">
        <v>20059</v>
      </c>
      <c r="G14" s="17">
        <f t="shared" si="0"/>
        <v>40</v>
      </c>
      <c r="H14" s="1">
        <v>238920</v>
      </c>
      <c r="I14" s="17">
        <f t="shared" si="1"/>
        <v>29</v>
      </c>
      <c r="J14" s="1">
        <f t="shared" ref="J14:J15" si="10">J13</f>
        <v>303517</v>
      </c>
      <c r="K14" s="17">
        <f t="shared" si="2"/>
        <v>0</v>
      </c>
      <c r="L14" s="1">
        <v>24612</v>
      </c>
      <c r="M14" s="17">
        <f t="shared" si="3"/>
        <v>480</v>
      </c>
      <c r="N14" s="49">
        <v>207604</v>
      </c>
      <c r="O14" s="17">
        <f t="shared" si="8"/>
        <v>67</v>
      </c>
      <c r="P14" s="1">
        <v>92823</v>
      </c>
      <c r="Q14" s="17">
        <f t="shared" si="4"/>
        <v>26</v>
      </c>
      <c r="R14" s="1">
        <f t="shared" ref="R14:R15" si="11">R13</f>
        <v>55047</v>
      </c>
      <c r="S14" s="17">
        <f t="shared" si="9"/>
        <v>0</v>
      </c>
      <c r="T14" s="1">
        <v>3518</v>
      </c>
      <c r="U14" s="17">
        <f>(T14-T13)*800/5</f>
        <v>-160</v>
      </c>
    </row>
    <row r="15" spans="1:24" ht="13.5" thickBot="1" x14ac:dyDescent="0.25">
      <c r="A15" s="10">
        <v>44240</v>
      </c>
      <c r="B15" s="1">
        <v>44815</v>
      </c>
      <c r="C15" s="17">
        <f t="shared" si="6"/>
        <v>320</v>
      </c>
      <c r="D15" s="1">
        <v>39267</v>
      </c>
      <c r="E15" s="17">
        <f t="shared" si="7"/>
        <v>480</v>
      </c>
      <c r="F15" s="1">
        <v>20068</v>
      </c>
      <c r="G15" s="17">
        <f t="shared" si="0"/>
        <v>180</v>
      </c>
      <c r="H15" s="1">
        <v>238922</v>
      </c>
      <c r="I15" s="17">
        <f t="shared" si="1"/>
        <v>2</v>
      </c>
      <c r="J15" s="1">
        <f t="shared" si="10"/>
        <v>303517</v>
      </c>
      <c r="K15" s="17">
        <f t="shared" si="2"/>
        <v>0</v>
      </c>
      <c r="L15" s="1">
        <v>24615</v>
      </c>
      <c r="M15" s="17">
        <f t="shared" si="3"/>
        <v>480</v>
      </c>
      <c r="N15" s="49">
        <v>207979</v>
      </c>
      <c r="O15" s="17">
        <f t="shared" si="8"/>
        <v>375</v>
      </c>
      <c r="P15" s="1">
        <v>92899</v>
      </c>
      <c r="Q15" s="17">
        <f t="shared" si="4"/>
        <v>76</v>
      </c>
      <c r="R15" s="1">
        <f t="shared" si="11"/>
        <v>55047</v>
      </c>
      <c r="S15" s="17">
        <f t="shared" si="9"/>
        <v>0</v>
      </c>
      <c r="T15" s="1">
        <v>3519</v>
      </c>
      <c r="U15" s="17">
        <f t="shared" ref="U15" si="12">(T15-T14)*800/5</f>
        <v>160</v>
      </c>
      <c r="X15" t="s">
        <v>13</v>
      </c>
    </row>
    <row r="16" spans="1:24" ht="13.5" thickBot="1" x14ac:dyDescent="0.25">
      <c r="A16" s="10">
        <v>44241</v>
      </c>
      <c r="B16" s="1">
        <v>44820</v>
      </c>
      <c r="C16" s="17">
        <f t="shared" si="6"/>
        <v>800</v>
      </c>
      <c r="D16" s="1">
        <v>39270</v>
      </c>
      <c r="E16" s="17">
        <f t="shared" si="7"/>
        <v>480</v>
      </c>
      <c r="F16" s="1">
        <v>20071</v>
      </c>
      <c r="G16" s="17">
        <f t="shared" si="0"/>
        <v>60</v>
      </c>
      <c r="H16" s="1">
        <v>238937</v>
      </c>
      <c r="I16" s="17">
        <f t="shared" si="1"/>
        <v>15</v>
      </c>
      <c r="J16" s="1">
        <v>303517</v>
      </c>
      <c r="K16" s="17">
        <f t="shared" si="2"/>
        <v>0</v>
      </c>
      <c r="L16" s="1">
        <v>24619</v>
      </c>
      <c r="M16" s="17">
        <f t="shared" si="3"/>
        <v>640</v>
      </c>
      <c r="N16" s="49">
        <v>208094</v>
      </c>
      <c r="O16" s="17">
        <f t="shared" si="8"/>
        <v>115</v>
      </c>
      <c r="P16" s="1">
        <v>92899</v>
      </c>
      <c r="Q16" s="17">
        <f t="shared" si="4"/>
        <v>0</v>
      </c>
      <c r="R16" s="1">
        <v>55047</v>
      </c>
      <c r="S16" s="17">
        <f t="shared" si="9"/>
        <v>0</v>
      </c>
      <c r="T16" s="1">
        <v>3520</v>
      </c>
      <c r="U16" s="17">
        <f t="shared" si="5"/>
        <v>160</v>
      </c>
      <c r="W16" t="s">
        <v>13</v>
      </c>
    </row>
    <row r="17" spans="1:23" ht="13.5" thickBot="1" x14ac:dyDescent="0.25">
      <c r="A17" s="10">
        <v>44242</v>
      </c>
      <c r="B17" s="1">
        <v>44825</v>
      </c>
      <c r="C17" s="17">
        <f t="shared" si="6"/>
        <v>800</v>
      </c>
      <c r="D17" s="1">
        <v>39273</v>
      </c>
      <c r="E17" s="17">
        <f t="shared" si="7"/>
        <v>480</v>
      </c>
      <c r="F17" s="1">
        <v>20074</v>
      </c>
      <c r="G17" s="17">
        <f t="shared" si="0"/>
        <v>60</v>
      </c>
      <c r="H17" s="1">
        <v>238954</v>
      </c>
      <c r="I17" s="17">
        <f t="shared" si="1"/>
        <v>17</v>
      </c>
      <c r="J17" s="1">
        <v>303517</v>
      </c>
      <c r="K17" s="17">
        <f t="shared" si="2"/>
        <v>0</v>
      </c>
      <c r="L17" s="1">
        <v>24623</v>
      </c>
      <c r="M17" s="17">
        <f t="shared" si="3"/>
        <v>640</v>
      </c>
      <c r="N17" s="49">
        <v>208219</v>
      </c>
      <c r="O17" s="17">
        <f t="shared" si="8"/>
        <v>125</v>
      </c>
      <c r="P17" s="1">
        <v>92899</v>
      </c>
      <c r="Q17" s="17">
        <f t="shared" si="4"/>
        <v>0</v>
      </c>
      <c r="R17" s="1">
        <v>55047</v>
      </c>
      <c r="S17" s="17">
        <f>S16</f>
        <v>0</v>
      </c>
      <c r="T17" s="1">
        <v>3523</v>
      </c>
      <c r="U17" s="17">
        <f t="shared" si="5"/>
        <v>480</v>
      </c>
    </row>
    <row r="18" spans="1:23" ht="13.5" thickBot="1" x14ac:dyDescent="0.25">
      <c r="A18" s="10">
        <v>44243</v>
      </c>
      <c r="B18" s="1">
        <v>44830</v>
      </c>
      <c r="C18" s="17">
        <f t="shared" si="6"/>
        <v>800</v>
      </c>
      <c r="D18" s="1">
        <v>39276</v>
      </c>
      <c r="E18" s="17">
        <f t="shared" si="7"/>
        <v>480</v>
      </c>
      <c r="F18" s="1">
        <v>20078</v>
      </c>
      <c r="G18" s="17">
        <f t="shared" si="0"/>
        <v>80</v>
      </c>
      <c r="H18" s="1">
        <v>238972</v>
      </c>
      <c r="I18" s="17">
        <f t="shared" si="1"/>
        <v>18</v>
      </c>
      <c r="J18" s="1">
        <v>303517</v>
      </c>
      <c r="K18" s="17">
        <f t="shared" si="2"/>
        <v>0</v>
      </c>
      <c r="L18" s="1">
        <v>24626</v>
      </c>
      <c r="M18" s="17">
        <f t="shared" si="3"/>
        <v>480</v>
      </c>
      <c r="N18" s="49">
        <v>208334</v>
      </c>
      <c r="O18" s="17">
        <f t="shared" si="8"/>
        <v>115</v>
      </c>
      <c r="P18" s="1">
        <v>93561</v>
      </c>
      <c r="Q18" s="17">
        <f t="shared" si="4"/>
        <v>662</v>
      </c>
      <c r="R18" s="1">
        <v>55047</v>
      </c>
      <c r="S18" s="17">
        <f t="shared" si="9"/>
        <v>0</v>
      </c>
      <c r="T18" s="1">
        <v>3523</v>
      </c>
      <c r="U18" s="17">
        <f t="shared" si="5"/>
        <v>0</v>
      </c>
    </row>
    <row r="19" spans="1:23" ht="13.5" thickBot="1" x14ac:dyDescent="0.25">
      <c r="A19" s="10">
        <v>44244</v>
      </c>
      <c r="B19" s="1">
        <v>44835</v>
      </c>
      <c r="C19" s="17">
        <f t="shared" si="6"/>
        <v>800</v>
      </c>
      <c r="D19" s="1">
        <v>39278</v>
      </c>
      <c r="E19" s="17">
        <f t="shared" si="7"/>
        <v>320</v>
      </c>
      <c r="F19" s="1">
        <v>20082</v>
      </c>
      <c r="G19" s="17">
        <f t="shared" si="0"/>
        <v>80</v>
      </c>
      <c r="H19" s="1">
        <v>238992</v>
      </c>
      <c r="I19" s="17">
        <f t="shared" si="1"/>
        <v>20</v>
      </c>
      <c r="J19" s="1">
        <v>303517</v>
      </c>
      <c r="K19" s="17">
        <f t="shared" si="2"/>
        <v>0</v>
      </c>
      <c r="L19" s="1">
        <v>24630</v>
      </c>
      <c r="M19" s="17">
        <f t="shared" si="3"/>
        <v>640</v>
      </c>
      <c r="N19" s="49">
        <v>208455</v>
      </c>
      <c r="O19" s="17">
        <f t="shared" si="8"/>
        <v>121</v>
      </c>
      <c r="P19" s="1">
        <v>93612</v>
      </c>
      <c r="Q19" s="17">
        <f t="shared" si="4"/>
        <v>51</v>
      </c>
      <c r="R19" s="1">
        <v>55047</v>
      </c>
      <c r="S19" s="17">
        <f t="shared" si="9"/>
        <v>0</v>
      </c>
      <c r="T19" s="1">
        <v>3524</v>
      </c>
      <c r="U19" s="17">
        <f t="shared" si="5"/>
        <v>160</v>
      </c>
      <c r="W19" t="s">
        <v>13</v>
      </c>
    </row>
    <row r="20" spans="1:23" ht="13.5" thickBot="1" x14ac:dyDescent="0.25">
      <c r="A20" s="10">
        <v>44245</v>
      </c>
      <c r="B20" s="1">
        <v>44840</v>
      </c>
      <c r="C20" s="17">
        <f t="shared" si="6"/>
        <v>800</v>
      </c>
      <c r="D20" s="1">
        <v>39281</v>
      </c>
      <c r="E20" s="17">
        <f t="shared" si="7"/>
        <v>480</v>
      </c>
      <c r="F20" s="1">
        <v>20084</v>
      </c>
      <c r="G20" s="17">
        <f t="shared" si="0"/>
        <v>40</v>
      </c>
      <c r="H20" s="1">
        <v>239007</v>
      </c>
      <c r="I20" s="17">
        <f t="shared" si="1"/>
        <v>15</v>
      </c>
      <c r="J20" s="1">
        <v>303517</v>
      </c>
      <c r="K20" s="17">
        <v>0</v>
      </c>
      <c r="L20" s="1">
        <v>24633</v>
      </c>
      <c r="M20" s="17">
        <f t="shared" si="3"/>
        <v>480</v>
      </c>
      <c r="N20" s="49">
        <v>208582</v>
      </c>
      <c r="O20" s="17">
        <f t="shared" si="8"/>
        <v>127</v>
      </c>
      <c r="P20" s="1">
        <v>93789</v>
      </c>
      <c r="Q20" s="17">
        <f t="shared" si="4"/>
        <v>177</v>
      </c>
      <c r="R20" s="1">
        <v>55047</v>
      </c>
      <c r="S20" s="17">
        <f t="shared" si="9"/>
        <v>0</v>
      </c>
      <c r="T20" s="1">
        <v>3526</v>
      </c>
      <c r="U20" s="17">
        <f t="shared" si="5"/>
        <v>320</v>
      </c>
    </row>
    <row r="21" spans="1:23" ht="13.5" thickBot="1" x14ac:dyDescent="0.25">
      <c r="A21" s="10">
        <v>44246</v>
      </c>
      <c r="B21" s="1">
        <v>44845</v>
      </c>
      <c r="C21" s="17">
        <f t="shared" si="6"/>
        <v>800</v>
      </c>
      <c r="D21" s="1">
        <v>39284</v>
      </c>
      <c r="E21" s="17">
        <f t="shared" si="7"/>
        <v>480</v>
      </c>
      <c r="F21" s="1">
        <v>20088</v>
      </c>
      <c r="G21" s="17">
        <f t="shared" si="0"/>
        <v>80</v>
      </c>
      <c r="H21" s="1">
        <v>239024</v>
      </c>
      <c r="I21" s="17">
        <f t="shared" si="1"/>
        <v>17</v>
      </c>
      <c r="J21" s="1">
        <f>J20</f>
        <v>303517</v>
      </c>
      <c r="K21" s="17">
        <f t="shared" si="2"/>
        <v>0</v>
      </c>
      <c r="L21" s="1">
        <v>24636</v>
      </c>
      <c r="M21" s="17">
        <f t="shared" si="3"/>
        <v>480</v>
      </c>
      <c r="N21" s="49">
        <v>208651</v>
      </c>
      <c r="O21" s="17">
        <f t="shared" si="8"/>
        <v>69</v>
      </c>
      <c r="P21" s="1">
        <v>93861</v>
      </c>
      <c r="Q21" s="17">
        <f t="shared" si="4"/>
        <v>72</v>
      </c>
      <c r="R21" s="1">
        <f>R20</f>
        <v>55047</v>
      </c>
      <c r="S21" s="17">
        <f t="shared" si="9"/>
        <v>0</v>
      </c>
      <c r="T21" s="1">
        <v>3527</v>
      </c>
      <c r="U21" s="17">
        <f t="shared" si="5"/>
        <v>160</v>
      </c>
    </row>
    <row r="22" spans="1:23" ht="13.5" thickBot="1" x14ac:dyDescent="0.25">
      <c r="A22" s="10">
        <v>44247</v>
      </c>
      <c r="B22" s="1">
        <v>44849</v>
      </c>
      <c r="C22" s="17">
        <f t="shared" si="6"/>
        <v>640</v>
      </c>
      <c r="D22" s="1">
        <v>39287</v>
      </c>
      <c r="E22" s="17">
        <f t="shared" si="7"/>
        <v>480</v>
      </c>
      <c r="F22" s="1">
        <v>20091</v>
      </c>
      <c r="G22" s="17">
        <f t="shared" si="0"/>
        <v>60</v>
      </c>
      <c r="H22" s="1">
        <v>239031</v>
      </c>
      <c r="I22" s="17">
        <f t="shared" si="1"/>
        <v>7</v>
      </c>
      <c r="J22" s="1">
        <f t="shared" ref="J22:J33" si="13">J21</f>
        <v>303517</v>
      </c>
      <c r="K22" s="17">
        <f t="shared" si="2"/>
        <v>0</v>
      </c>
      <c r="L22" s="1">
        <v>24639</v>
      </c>
      <c r="M22" s="17">
        <f t="shared" si="3"/>
        <v>480</v>
      </c>
      <c r="N22" s="49">
        <v>208695</v>
      </c>
      <c r="O22" s="17">
        <f t="shared" si="8"/>
        <v>44</v>
      </c>
      <c r="P22" s="1">
        <v>93954</v>
      </c>
      <c r="Q22" s="17">
        <f t="shared" si="4"/>
        <v>93</v>
      </c>
      <c r="R22" s="1">
        <f t="shared" ref="R22:R33" si="14">R21</f>
        <v>55047</v>
      </c>
      <c r="S22" s="17">
        <f t="shared" si="9"/>
        <v>0</v>
      </c>
      <c r="T22" s="1">
        <v>3528</v>
      </c>
      <c r="U22" s="17">
        <f t="shared" si="5"/>
        <v>160</v>
      </c>
    </row>
    <row r="23" spans="1:23" ht="13.5" thickBot="1" x14ac:dyDescent="0.25">
      <c r="A23" s="10">
        <v>44248</v>
      </c>
      <c r="B23" s="1">
        <v>44855</v>
      </c>
      <c r="C23" s="17">
        <f t="shared" si="6"/>
        <v>960</v>
      </c>
      <c r="D23" s="1">
        <v>39289</v>
      </c>
      <c r="E23" s="17">
        <f t="shared" si="7"/>
        <v>320</v>
      </c>
      <c r="F23" s="1">
        <v>20095</v>
      </c>
      <c r="G23" s="17">
        <f t="shared" si="0"/>
        <v>80</v>
      </c>
      <c r="H23" s="1">
        <v>239058</v>
      </c>
      <c r="I23" s="17">
        <f t="shared" si="1"/>
        <v>27</v>
      </c>
      <c r="J23" s="1">
        <f t="shared" si="13"/>
        <v>303517</v>
      </c>
      <c r="K23" s="17">
        <f t="shared" si="2"/>
        <v>0</v>
      </c>
      <c r="L23" s="1">
        <v>24642</v>
      </c>
      <c r="M23" s="17">
        <f t="shared" si="3"/>
        <v>480</v>
      </c>
      <c r="N23" s="49">
        <v>208857</v>
      </c>
      <c r="O23" s="17">
        <f t="shared" si="8"/>
        <v>162</v>
      </c>
      <c r="P23" s="1">
        <v>94044</v>
      </c>
      <c r="Q23" s="17">
        <f t="shared" si="4"/>
        <v>90</v>
      </c>
      <c r="R23" s="1">
        <f t="shared" si="14"/>
        <v>55047</v>
      </c>
      <c r="S23" s="17">
        <f t="shared" si="9"/>
        <v>0</v>
      </c>
      <c r="T23" s="1">
        <v>3529</v>
      </c>
      <c r="U23" s="17">
        <f t="shared" si="5"/>
        <v>160</v>
      </c>
    </row>
    <row r="24" spans="1:23" s="164" customFormat="1" ht="13.5" thickBot="1" x14ac:dyDescent="0.25">
      <c r="A24" s="10">
        <v>44249</v>
      </c>
      <c r="B24" s="1">
        <v>44858</v>
      </c>
      <c r="C24" s="17">
        <f t="shared" si="6"/>
        <v>480</v>
      </c>
      <c r="D24" s="1">
        <v>39292</v>
      </c>
      <c r="E24" s="17">
        <f t="shared" si="7"/>
        <v>480</v>
      </c>
      <c r="F24" s="1">
        <v>20097</v>
      </c>
      <c r="G24" s="17">
        <f t="shared" si="0"/>
        <v>40</v>
      </c>
      <c r="H24" s="1">
        <v>239069</v>
      </c>
      <c r="I24" s="17">
        <f t="shared" si="1"/>
        <v>11</v>
      </c>
      <c r="J24" s="1">
        <f t="shared" si="13"/>
        <v>303517</v>
      </c>
      <c r="K24" s="17">
        <f t="shared" si="2"/>
        <v>0</v>
      </c>
      <c r="L24" s="1">
        <v>24646</v>
      </c>
      <c r="M24" s="17">
        <f t="shared" si="3"/>
        <v>640</v>
      </c>
      <c r="N24" s="49">
        <v>208909</v>
      </c>
      <c r="O24" s="17">
        <f t="shared" si="8"/>
        <v>52</v>
      </c>
      <c r="P24" s="1">
        <v>94193</v>
      </c>
      <c r="Q24" s="17">
        <f t="shared" si="4"/>
        <v>149</v>
      </c>
      <c r="R24" s="1">
        <f t="shared" si="14"/>
        <v>55047</v>
      </c>
      <c r="S24" s="17">
        <f t="shared" si="9"/>
        <v>0</v>
      </c>
      <c r="T24" s="1">
        <v>3530</v>
      </c>
      <c r="U24" s="17">
        <f t="shared" si="5"/>
        <v>160</v>
      </c>
    </row>
    <row r="25" spans="1:23" ht="13.5" thickBot="1" x14ac:dyDescent="0.25">
      <c r="A25" s="10">
        <v>44250</v>
      </c>
      <c r="B25" s="1">
        <v>44861</v>
      </c>
      <c r="C25" s="17">
        <f t="shared" si="6"/>
        <v>480</v>
      </c>
      <c r="D25" s="1">
        <v>39296</v>
      </c>
      <c r="E25" s="17">
        <f t="shared" si="7"/>
        <v>640</v>
      </c>
      <c r="F25" s="1">
        <v>20099</v>
      </c>
      <c r="G25" s="17">
        <f t="shared" si="0"/>
        <v>40</v>
      </c>
      <c r="H25" s="1">
        <v>239092</v>
      </c>
      <c r="I25" s="17">
        <f t="shared" si="1"/>
        <v>23</v>
      </c>
      <c r="J25" s="1">
        <f t="shared" si="13"/>
        <v>303517</v>
      </c>
      <c r="K25" s="17">
        <f t="shared" si="2"/>
        <v>0</v>
      </c>
      <c r="L25" s="1">
        <v>24651</v>
      </c>
      <c r="M25" s="17">
        <f t="shared" si="3"/>
        <v>800</v>
      </c>
      <c r="N25" s="49">
        <v>208951</v>
      </c>
      <c r="O25" s="17">
        <f t="shared" si="8"/>
        <v>42</v>
      </c>
      <c r="P25" s="1">
        <v>94275</v>
      </c>
      <c r="Q25" s="17">
        <f t="shared" si="4"/>
        <v>82</v>
      </c>
      <c r="R25" s="1">
        <f t="shared" si="14"/>
        <v>55047</v>
      </c>
      <c r="S25" s="17">
        <f t="shared" si="9"/>
        <v>0</v>
      </c>
      <c r="T25" s="1">
        <v>3531</v>
      </c>
      <c r="U25" s="17">
        <f t="shared" si="5"/>
        <v>160</v>
      </c>
      <c r="V25" t="s">
        <v>13</v>
      </c>
    </row>
    <row r="26" spans="1:23" ht="13.5" thickBot="1" x14ac:dyDescent="0.25">
      <c r="A26" s="10">
        <v>44251</v>
      </c>
      <c r="B26" s="1">
        <v>44863</v>
      </c>
      <c r="C26" s="17">
        <f t="shared" si="6"/>
        <v>320</v>
      </c>
      <c r="D26" s="1">
        <v>39298</v>
      </c>
      <c r="E26" s="17">
        <f t="shared" si="7"/>
        <v>320</v>
      </c>
      <c r="F26" s="1">
        <v>20101</v>
      </c>
      <c r="G26" s="17">
        <f t="shared" si="0"/>
        <v>40</v>
      </c>
      <c r="H26" s="1">
        <v>239095</v>
      </c>
      <c r="I26" s="17">
        <f t="shared" si="1"/>
        <v>3</v>
      </c>
      <c r="J26" s="1">
        <f t="shared" si="13"/>
        <v>303517</v>
      </c>
      <c r="K26" s="17">
        <f t="shared" si="2"/>
        <v>0</v>
      </c>
      <c r="L26" s="1">
        <v>24657</v>
      </c>
      <c r="M26" s="17">
        <f t="shared" si="3"/>
        <v>960</v>
      </c>
      <c r="N26" s="49">
        <v>208978</v>
      </c>
      <c r="O26" s="17">
        <f t="shared" si="8"/>
        <v>27</v>
      </c>
      <c r="P26" s="1">
        <v>94404</v>
      </c>
      <c r="Q26" s="17">
        <f t="shared" si="4"/>
        <v>129</v>
      </c>
      <c r="R26" s="1">
        <f t="shared" si="14"/>
        <v>55047</v>
      </c>
      <c r="S26" s="17">
        <f t="shared" si="9"/>
        <v>0</v>
      </c>
      <c r="T26" s="1">
        <v>3532</v>
      </c>
      <c r="U26" s="17">
        <f t="shared" si="5"/>
        <v>160</v>
      </c>
      <c r="W26" t="s">
        <v>13</v>
      </c>
    </row>
    <row r="27" spans="1:23" ht="13.5" thickBot="1" x14ac:dyDescent="0.25">
      <c r="A27" s="10">
        <v>44252</v>
      </c>
      <c r="B27" s="1">
        <v>44865</v>
      </c>
      <c r="C27" s="17">
        <f t="shared" si="6"/>
        <v>320</v>
      </c>
      <c r="D27" s="1">
        <v>39301</v>
      </c>
      <c r="E27" s="17">
        <f t="shared" si="7"/>
        <v>480</v>
      </c>
      <c r="F27" s="1">
        <v>20104</v>
      </c>
      <c r="G27" s="17">
        <f t="shared" si="0"/>
        <v>60</v>
      </c>
      <c r="H27" s="1">
        <v>239098</v>
      </c>
      <c r="I27" s="17">
        <f t="shared" si="1"/>
        <v>3</v>
      </c>
      <c r="J27" s="1">
        <f t="shared" si="13"/>
        <v>303517</v>
      </c>
      <c r="K27" s="17">
        <f t="shared" si="2"/>
        <v>0</v>
      </c>
      <c r="L27" s="1">
        <v>24659</v>
      </c>
      <c r="M27" s="17">
        <f t="shared" si="3"/>
        <v>320</v>
      </c>
      <c r="N27" s="49">
        <v>209007</v>
      </c>
      <c r="O27" s="17">
        <f t="shared" si="8"/>
        <v>29</v>
      </c>
      <c r="P27" s="1">
        <v>94578</v>
      </c>
      <c r="Q27" s="17">
        <f t="shared" si="4"/>
        <v>174</v>
      </c>
      <c r="R27" s="1">
        <f t="shared" si="14"/>
        <v>55047</v>
      </c>
      <c r="S27" s="17">
        <f t="shared" si="9"/>
        <v>0</v>
      </c>
      <c r="T27" s="1">
        <v>3533</v>
      </c>
      <c r="U27" s="17">
        <f t="shared" si="5"/>
        <v>160</v>
      </c>
    </row>
    <row r="28" spans="1:23" ht="13.5" thickBot="1" x14ac:dyDescent="0.25">
      <c r="A28" s="10">
        <v>44253</v>
      </c>
      <c r="B28" s="1">
        <v>44867</v>
      </c>
      <c r="C28" s="17">
        <f t="shared" si="6"/>
        <v>320</v>
      </c>
      <c r="D28" s="1">
        <v>39303</v>
      </c>
      <c r="E28" s="17">
        <f t="shared" si="7"/>
        <v>320</v>
      </c>
      <c r="F28" s="1">
        <v>20107</v>
      </c>
      <c r="G28" s="17">
        <f t="shared" si="0"/>
        <v>60</v>
      </c>
      <c r="H28" s="1">
        <v>239104</v>
      </c>
      <c r="I28" s="17">
        <f t="shared" si="1"/>
        <v>6</v>
      </c>
      <c r="J28" s="1">
        <f t="shared" si="13"/>
        <v>303517</v>
      </c>
      <c r="K28" s="17">
        <f t="shared" si="2"/>
        <v>0</v>
      </c>
      <c r="L28" s="1">
        <v>24663</v>
      </c>
      <c r="M28" s="17">
        <f t="shared" si="3"/>
        <v>640</v>
      </c>
      <c r="N28" s="49">
        <v>209028</v>
      </c>
      <c r="O28" s="17">
        <f t="shared" si="8"/>
        <v>21</v>
      </c>
      <c r="P28" s="1">
        <v>94683</v>
      </c>
      <c r="Q28" s="18">
        <f t="shared" si="4"/>
        <v>105</v>
      </c>
      <c r="R28" s="1">
        <f t="shared" si="14"/>
        <v>55047</v>
      </c>
      <c r="S28" s="18">
        <f t="shared" si="9"/>
        <v>0</v>
      </c>
      <c r="T28" s="1">
        <v>3535</v>
      </c>
      <c r="U28" s="17">
        <f t="shared" si="5"/>
        <v>320</v>
      </c>
    </row>
    <row r="29" spans="1:23" ht="13.5" thickBot="1" x14ac:dyDescent="0.25">
      <c r="A29" s="10">
        <v>44254</v>
      </c>
      <c r="B29" s="1">
        <v>44885</v>
      </c>
      <c r="C29" s="17">
        <f t="shared" si="6"/>
        <v>2880</v>
      </c>
      <c r="D29" s="1">
        <v>39306</v>
      </c>
      <c r="E29" s="17">
        <f t="shared" si="7"/>
        <v>480</v>
      </c>
      <c r="F29" s="1">
        <v>20116</v>
      </c>
      <c r="G29" s="17">
        <f t="shared" si="0"/>
        <v>180</v>
      </c>
      <c r="H29" s="1">
        <v>239166</v>
      </c>
      <c r="I29" s="17">
        <f t="shared" si="1"/>
        <v>62</v>
      </c>
      <c r="J29" s="1">
        <f t="shared" si="13"/>
        <v>303517</v>
      </c>
      <c r="K29" s="17">
        <f t="shared" si="2"/>
        <v>0</v>
      </c>
      <c r="L29" s="1">
        <v>24666</v>
      </c>
      <c r="M29" s="17">
        <f t="shared" si="3"/>
        <v>480</v>
      </c>
      <c r="N29" s="49">
        <v>209525</v>
      </c>
      <c r="O29" s="17">
        <f t="shared" si="8"/>
        <v>497</v>
      </c>
      <c r="P29" s="1">
        <v>94729</v>
      </c>
      <c r="Q29" s="17">
        <f t="shared" si="4"/>
        <v>46</v>
      </c>
      <c r="R29" s="1">
        <f t="shared" si="14"/>
        <v>55047</v>
      </c>
      <c r="S29" s="17">
        <f t="shared" si="9"/>
        <v>0</v>
      </c>
      <c r="T29" s="1">
        <v>3537</v>
      </c>
      <c r="U29" s="17">
        <f t="shared" si="5"/>
        <v>320</v>
      </c>
    </row>
    <row r="30" spans="1:23" ht="13.5" thickBot="1" x14ac:dyDescent="0.25">
      <c r="A30" s="10">
        <v>44255</v>
      </c>
      <c r="B30" s="1">
        <v>44890</v>
      </c>
      <c r="C30" s="17">
        <f t="shared" si="6"/>
        <v>800</v>
      </c>
      <c r="D30" s="1">
        <v>39308</v>
      </c>
      <c r="E30" s="17">
        <f t="shared" si="7"/>
        <v>320</v>
      </c>
      <c r="F30" s="1">
        <v>20120</v>
      </c>
      <c r="G30" s="17">
        <f t="shared" si="0"/>
        <v>80</v>
      </c>
      <c r="H30" s="1">
        <v>239183</v>
      </c>
      <c r="I30" s="17">
        <f t="shared" si="1"/>
        <v>17</v>
      </c>
      <c r="J30" s="1">
        <f t="shared" si="13"/>
        <v>303517</v>
      </c>
      <c r="K30" s="17">
        <f t="shared" si="2"/>
        <v>0</v>
      </c>
      <c r="L30" s="1">
        <v>24670</v>
      </c>
      <c r="M30" s="17">
        <f t="shared" si="3"/>
        <v>640</v>
      </c>
      <c r="N30" s="49">
        <v>209638</v>
      </c>
      <c r="O30" s="17">
        <f t="shared" si="8"/>
        <v>113</v>
      </c>
      <c r="P30" s="1">
        <v>94770</v>
      </c>
      <c r="Q30" s="17">
        <f t="shared" si="4"/>
        <v>41</v>
      </c>
      <c r="R30" s="1">
        <f t="shared" si="14"/>
        <v>55047</v>
      </c>
      <c r="S30" s="17">
        <f t="shared" si="9"/>
        <v>0</v>
      </c>
      <c r="T30" s="1">
        <v>3539</v>
      </c>
      <c r="U30" s="17">
        <f t="shared" si="5"/>
        <v>320</v>
      </c>
    </row>
    <row r="31" spans="1:23" ht="13.5" thickBot="1" x14ac:dyDescent="0.25">
      <c r="A31" s="10"/>
      <c r="B31" s="1">
        <v>44890</v>
      </c>
      <c r="C31" s="17">
        <f t="shared" si="6"/>
        <v>0</v>
      </c>
      <c r="D31" s="1">
        <v>39308</v>
      </c>
      <c r="E31" s="17">
        <f t="shared" si="7"/>
        <v>0</v>
      </c>
      <c r="F31" s="1">
        <v>20120</v>
      </c>
      <c r="G31" s="17">
        <f t="shared" si="0"/>
        <v>0</v>
      </c>
      <c r="H31" s="1">
        <v>239183</v>
      </c>
      <c r="I31" s="17">
        <f t="shared" si="1"/>
        <v>0</v>
      </c>
      <c r="J31" s="1">
        <f t="shared" si="13"/>
        <v>303517</v>
      </c>
      <c r="K31" s="17">
        <f t="shared" si="2"/>
        <v>0</v>
      </c>
      <c r="L31" s="1">
        <v>24670</v>
      </c>
      <c r="M31" s="17">
        <f t="shared" si="3"/>
        <v>0</v>
      </c>
      <c r="N31" s="49">
        <v>209638</v>
      </c>
      <c r="O31" s="17">
        <f t="shared" si="8"/>
        <v>0</v>
      </c>
      <c r="P31" s="1">
        <v>94770</v>
      </c>
      <c r="Q31" s="17">
        <f t="shared" si="4"/>
        <v>0</v>
      </c>
      <c r="R31" s="1">
        <f t="shared" si="14"/>
        <v>55047</v>
      </c>
      <c r="S31" s="17">
        <f t="shared" si="9"/>
        <v>0</v>
      </c>
      <c r="T31" s="1">
        <v>3539</v>
      </c>
      <c r="U31" s="17">
        <f t="shared" si="5"/>
        <v>0</v>
      </c>
    </row>
    <row r="32" spans="1:23" ht="13.5" thickBot="1" x14ac:dyDescent="0.25">
      <c r="A32" s="10"/>
      <c r="B32" s="1">
        <v>44890</v>
      </c>
      <c r="C32" s="17">
        <f t="shared" si="6"/>
        <v>0</v>
      </c>
      <c r="D32" s="1">
        <v>39308</v>
      </c>
      <c r="E32" s="17">
        <f t="shared" si="7"/>
        <v>0</v>
      </c>
      <c r="F32" s="1">
        <v>20120</v>
      </c>
      <c r="G32" s="17">
        <f t="shared" si="0"/>
        <v>0</v>
      </c>
      <c r="H32" s="1">
        <v>239183</v>
      </c>
      <c r="I32" s="17">
        <f t="shared" si="1"/>
        <v>0</v>
      </c>
      <c r="J32" s="1">
        <f t="shared" si="13"/>
        <v>303517</v>
      </c>
      <c r="K32" s="17">
        <f t="shared" si="2"/>
        <v>0</v>
      </c>
      <c r="L32" s="1">
        <v>24670</v>
      </c>
      <c r="M32" s="17">
        <f t="shared" si="3"/>
        <v>0</v>
      </c>
      <c r="N32" s="49">
        <v>209638</v>
      </c>
      <c r="O32" s="17">
        <f t="shared" si="8"/>
        <v>0</v>
      </c>
      <c r="P32" s="1">
        <v>94770</v>
      </c>
      <c r="Q32" s="17">
        <f t="shared" si="4"/>
        <v>0</v>
      </c>
      <c r="R32" s="1">
        <f t="shared" si="14"/>
        <v>55047</v>
      </c>
      <c r="S32" s="17">
        <f t="shared" si="9"/>
        <v>0</v>
      </c>
      <c r="T32" s="1">
        <v>3539</v>
      </c>
      <c r="U32" s="17">
        <f t="shared" si="5"/>
        <v>0</v>
      </c>
    </row>
    <row r="33" spans="1:22" ht="13.5" thickBot="1" x14ac:dyDescent="0.25">
      <c r="A33" s="10"/>
      <c r="B33" s="1">
        <v>44890</v>
      </c>
      <c r="C33" s="17"/>
      <c r="D33" s="1">
        <v>39308</v>
      </c>
      <c r="E33" s="17">
        <f t="shared" si="7"/>
        <v>0</v>
      </c>
      <c r="F33" s="1">
        <v>20120</v>
      </c>
      <c r="G33" s="17"/>
      <c r="H33" s="1">
        <v>239183</v>
      </c>
      <c r="I33" s="17">
        <f t="shared" si="1"/>
        <v>0</v>
      </c>
      <c r="J33" s="1">
        <f t="shared" si="13"/>
        <v>303517</v>
      </c>
      <c r="K33" s="17"/>
      <c r="L33" s="1">
        <v>24670</v>
      </c>
      <c r="M33" s="17">
        <f t="shared" si="3"/>
        <v>0</v>
      </c>
      <c r="N33" s="49">
        <v>209638</v>
      </c>
      <c r="O33" s="17">
        <f t="shared" si="8"/>
        <v>0</v>
      </c>
      <c r="P33" s="1">
        <v>94770</v>
      </c>
      <c r="Q33" s="17"/>
      <c r="R33" s="1">
        <f t="shared" si="14"/>
        <v>55047</v>
      </c>
      <c r="S33" s="17"/>
      <c r="T33" s="1">
        <v>3539</v>
      </c>
      <c r="U33" s="17"/>
    </row>
    <row r="34" spans="1:22" ht="16.5" thickBot="1" x14ac:dyDescent="0.3">
      <c r="A34" s="10" t="s">
        <v>24</v>
      </c>
      <c r="B34" s="1"/>
      <c r="C34" s="11">
        <f>SUM(C3:C33)</f>
        <v>22080</v>
      </c>
      <c r="D34" s="14"/>
      <c r="E34" s="11">
        <f>SUM(E3:E33)</f>
        <v>12960</v>
      </c>
      <c r="F34" s="14"/>
      <c r="G34" s="11">
        <f>SUM(G3:G33)</f>
        <v>2120</v>
      </c>
      <c r="H34" s="14"/>
      <c r="I34" s="11">
        <f>SUM(I3:I33)</f>
        <v>290</v>
      </c>
      <c r="J34" s="14"/>
      <c r="K34" s="11">
        <f>SUM(K3:K33)</f>
        <v>0</v>
      </c>
      <c r="L34" s="14"/>
      <c r="M34" s="11">
        <f>SUM(M3:M33)</f>
        <v>16320</v>
      </c>
      <c r="N34" s="50"/>
      <c r="O34" s="11">
        <f>SUM(O3:O33)</f>
        <v>3180</v>
      </c>
      <c r="P34" s="14"/>
      <c r="Q34" s="11">
        <f>SUM(Q3:Q33)</f>
        <v>3082</v>
      </c>
      <c r="R34" s="1"/>
      <c r="S34" s="11">
        <f>SUM(S3:S33)</f>
        <v>0</v>
      </c>
      <c r="T34" s="1"/>
      <c r="U34" s="11">
        <f>SUM(U3:U33)</f>
        <v>6080</v>
      </c>
    </row>
    <row r="35" spans="1:22" ht="23.25" x14ac:dyDescent="0.35">
      <c r="B35" s="20"/>
      <c r="C35" s="21"/>
      <c r="D35" s="21"/>
      <c r="E35" s="21"/>
      <c r="V35" t="s">
        <v>13</v>
      </c>
    </row>
    <row r="36" spans="1:22" ht="15.75" x14ac:dyDescent="0.25">
      <c r="B36" s="20"/>
      <c r="P36" s="22" t="s">
        <v>13</v>
      </c>
    </row>
    <row r="37" spans="1:22" ht="15.75" x14ac:dyDescent="0.25">
      <c r="B37" s="20"/>
    </row>
    <row r="38" spans="1:22" ht="15.75" x14ac:dyDescent="0.25">
      <c r="B38" s="2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96" zoomScaleNormal="96" workbookViewId="0">
      <selection activeCell="B2" sqref="B2:K2"/>
    </sheetView>
  </sheetViews>
  <sheetFormatPr defaultRowHeight="12.75" x14ac:dyDescent="0.2"/>
  <cols>
    <col min="1" max="1" width="20.85546875" style="19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53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25</v>
      </c>
      <c r="C1" s="4" t="s">
        <v>26</v>
      </c>
      <c r="D1" s="3" t="s">
        <v>27</v>
      </c>
      <c r="E1" s="4" t="s">
        <v>26</v>
      </c>
      <c r="F1" s="3" t="s">
        <v>28</v>
      </c>
      <c r="G1" s="24" t="s">
        <v>26</v>
      </c>
      <c r="H1" s="3" t="s">
        <v>29</v>
      </c>
      <c r="I1" s="60" t="s">
        <v>26</v>
      </c>
      <c r="J1" s="3" t="s">
        <v>24</v>
      </c>
      <c r="K1" s="3" t="s">
        <v>30</v>
      </c>
    </row>
    <row r="2" spans="1:14" ht="16.5" thickBot="1" x14ac:dyDescent="0.3">
      <c r="A2" s="10" t="s">
        <v>12</v>
      </c>
      <c r="B2" s="3">
        <v>404038</v>
      </c>
      <c r="C2" s="56">
        <v>0</v>
      </c>
      <c r="D2" s="3">
        <v>3128500</v>
      </c>
      <c r="E2" s="56">
        <v>0</v>
      </c>
      <c r="F2" s="3">
        <v>2097500</v>
      </c>
      <c r="G2" s="56">
        <v>0</v>
      </c>
      <c r="H2" s="3">
        <v>716673</v>
      </c>
      <c r="I2" s="61">
        <v>0</v>
      </c>
      <c r="J2" s="25">
        <v>0</v>
      </c>
      <c r="K2" s="26">
        <v>0</v>
      </c>
    </row>
    <row r="3" spans="1:14" ht="16.5" thickBot="1" x14ac:dyDescent="0.3">
      <c r="A3" s="10">
        <v>44228</v>
      </c>
      <c r="B3" s="3">
        <v>404199</v>
      </c>
      <c r="C3" s="56">
        <f>(IF((B3-B2)&lt;0,"0",(B3-B2)))*10</f>
        <v>1610</v>
      </c>
      <c r="D3" s="3">
        <v>3145000</v>
      </c>
      <c r="E3" s="56">
        <f>(IF((D3-D2)&lt;0,"0",(D3-D2)))*0.027</f>
        <v>445.5</v>
      </c>
      <c r="F3" s="3">
        <v>2110000</v>
      </c>
      <c r="G3" s="56">
        <f>(IF((F3-F2)&lt;0,"0",(F3-F2)))*0.027</f>
        <v>337.5</v>
      </c>
      <c r="H3" s="3">
        <v>717000</v>
      </c>
      <c r="I3" s="61">
        <f>(IF((H3-H2)&lt;0,"0",(H3-H2)))*0.027</f>
        <v>8.8290000000000006</v>
      </c>
      <c r="J3" s="25">
        <f>C3+E3+G3+I3</f>
        <v>2401.8290000000002</v>
      </c>
      <c r="K3" s="26">
        <f>J3*5.86</f>
        <v>14074.717940000002</v>
      </c>
    </row>
    <row r="4" spans="1:14" ht="16.5" thickBot="1" x14ac:dyDescent="0.3">
      <c r="A4" s="10">
        <v>44229</v>
      </c>
      <c r="B4" s="3">
        <v>404248</v>
      </c>
      <c r="C4" s="56">
        <f t="shared" ref="C4:C8" si="0">(IF((B4-B3)&lt;0,"0",(B4-B3)))*10</f>
        <v>490</v>
      </c>
      <c r="D4" s="3">
        <v>3156300</v>
      </c>
      <c r="E4" s="56">
        <f t="shared" ref="E4:E30" si="1">(IF((D4-D3)&lt;0,"0",(D4-D3)))*0.027</f>
        <v>305.10000000000002</v>
      </c>
      <c r="F4" s="3">
        <v>2119100</v>
      </c>
      <c r="G4" s="56">
        <f>(IF((F4-F3)&lt;0,"0",(F4-F3)))*0.027</f>
        <v>245.7</v>
      </c>
      <c r="H4" s="3">
        <v>717225</v>
      </c>
      <c r="I4" s="61">
        <f>(IF((H4-H3)&lt;0,"0",(H4-H3)))*0.027</f>
        <v>6.0750000000000002</v>
      </c>
      <c r="J4" s="25">
        <f t="shared" ref="J4:J30" si="2">C4+E4+G4+I4</f>
        <v>1046.875</v>
      </c>
      <c r="K4" s="26">
        <f t="shared" ref="K4:K30" si="3">J4*5.86</f>
        <v>6134.6875</v>
      </c>
    </row>
    <row r="5" spans="1:14" ht="16.5" thickBot="1" x14ac:dyDescent="0.3">
      <c r="A5" s="10">
        <v>44230</v>
      </c>
      <c r="B5" s="3">
        <v>404300</v>
      </c>
      <c r="C5" s="56">
        <f t="shared" si="0"/>
        <v>520</v>
      </c>
      <c r="D5" s="3">
        <v>3165800</v>
      </c>
      <c r="E5" s="56">
        <f t="shared" si="1"/>
        <v>256.5</v>
      </c>
      <c r="F5" s="3">
        <v>2126000</v>
      </c>
      <c r="G5" s="56">
        <f t="shared" ref="G5:G30" si="4">(IF((F5-F4)&lt;0,"0",(F5-F4)))*0.027</f>
        <v>186.3</v>
      </c>
      <c r="H5" s="3">
        <v>717411</v>
      </c>
      <c r="I5" s="61">
        <f t="shared" ref="I5:I30" si="5">(IF((H5-H4)&lt;0,"0",(H5-H4)))*0.027</f>
        <v>5.0220000000000002</v>
      </c>
      <c r="J5" s="25">
        <f t="shared" si="2"/>
        <v>967.822</v>
      </c>
      <c r="K5" s="26">
        <f t="shared" si="3"/>
        <v>5671.4369200000001</v>
      </c>
    </row>
    <row r="6" spans="1:14" ht="16.5" thickBot="1" x14ac:dyDescent="0.3">
      <c r="A6" s="10">
        <v>44231</v>
      </c>
      <c r="B6" s="3">
        <v>404350</v>
      </c>
      <c r="C6" s="56">
        <f t="shared" si="0"/>
        <v>500</v>
      </c>
      <c r="D6" s="3">
        <v>3180000</v>
      </c>
      <c r="E6" s="56">
        <f t="shared" si="1"/>
        <v>383.4</v>
      </c>
      <c r="F6" s="3">
        <v>2133000</v>
      </c>
      <c r="G6" s="56">
        <f t="shared" si="4"/>
        <v>189</v>
      </c>
      <c r="H6" s="3">
        <v>717611</v>
      </c>
      <c r="I6" s="61">
        <f t="shared" si="5"/>
        <v>5.4</v>
      </c>
      <c r="J6" s="25">
        <f t="shared" si="2"/>
        <v>1077.8000000000002</v>
      </c>
      <c r="K6" s="26">
        <f t="shared" si="3"/>
        <v>6315.9080000000013</v>
      </c>
    </row>
    <row r="7" spans="1:14" ht="16.5" thickBot="1" x14ac:dyDescent="0.3">
      <c r="A7" s="10">
        <v>44232</v>
      </c>
      <c r="B7" s="3">
        <v>404417</v>
      </c>
      <c r="C7" s="56">
        <f t="shared" si="0"/>
        <v>670</v>
      </c>
      <c r="D7" s="3">
        <v>3187100</v>
      </c>
      <c r="E7" s="56">
        <f t="shared" si="1"/>
        <v>191.7</v>
      </c>
      <c r="F7" s="3">
        <v>2141200</v>
      </c>
      <c r="G7" s="56">
        <f t="shared" si="4"/>
        <v>221.4</v>
      </c>
      <c r="H7" s="3">
        <v>717781</v>
      </c>
      <c r="I7" s="61">
        <f t="shared" si="5"/>
        <v>4.59</v>
      </c>
      <c r="J7" s="25">
        <f t="shared" si="2"/>
        <v>1087.69</v>
      </c>
      <c r="K7" s="26">
        <f t="shared" si="3"/>
        <v>6373.8634000000011</v>
      </c>
      <c r="L7" t="s">
        <v>13</v>
      </c>
      <c r="N7" t="s">
        <v>13</v>
      </c>
    </row>
    <row r="8" spans="1:14" ht="16.5" thickBot="1" x14ac:dyDescent="0.3">
      <c r="A8" s="10">
        <v>44233</v>
      </c>
      <c r="B8" s="3">
        <v>404466</v>
      </c>
      <c r="C8" s="56">
        <f t="shared" si="0"/>
        <v>490</v>
      </c>
      <c r="D8" s="3">
        <v>3195400</v>
      </c>
      <c r="E8" s="56">
        <f t="shared" si="1"/>
        <v>224.1</v>
      </c>
      <c r="F8" s="3">
        <v>2148200</v>
      </c>
      <c r="G8" s="56">
        <f t="shared" si="4"/>
        <v>189</v>
      </c>
      <c r="H8" s="3">
        <v>717963</v>
      </c>
      <c r="I8" s="61">
        <f t="shared" si="5"/>
        <v>4.9139999999999997</v>
      </c>
      <c r="J8" s="25">
        <f t="shared" si="2"/>
        <v>908.01400000000001</v>
      </c>
      <c r="K8" s="26">
        <f t="shared" si="3"/>
        <v>5320.9620400000003</v>
      </c>
    </row>
    <row r="9" spans="1:14" ht="16.5" thickBot="1" x14ac:dyDescent="0.3">
      <c r="A9" s="10">
        <v>44234</v>
      </c>
      <c r="B9" s="3">
        <v>404507</v>
      </c>
      <c r="C9" s="56">
        <f t="shared" ref="C9:C30" si="6">(IF((B9-B8)&lt;0,"0",(B9-B8)))*10</f>
        <v>410</v>
      </c>
      <c r="D9" s="3">
        <v>3203000</v>
      </c>
      <c r="E9" s="56">
        <f t="shared" si="1"/>
        <v>205.2</v>
      </c>
      <c r="F9" s="3">
        <v>2153200</v>
      </c>
      <c r="G9" s="56">
        <f t="shared" si="4"/>
        <v>135</v>
      </c>
      <c r="H9" s="3">
        <v>718123</v>
      </c>
      <c r="I9" s="61">
        <f t="shared" si="5"/>
        <v>4.32</v>
      </c>
      <c r="J9" s="25">
        <f t="shared" si="2"/>
        <v>754.5200000000001</v>
      </c>
      <c r="K9" s="26">
        <f t="shared" si="3"/>
        <v>4421.4872000000005</v>
      </c>
    </row>
    <row r="10" spans="1:14" ht="16.5" thickBot="1" x14ac:dyDescent="0.3">
      <c r="A10" s="10">
        <v>44235</v>
      </c>
      <c r="B10" s="3">
        <v>404559</v>
      </c>
      <c r="C10" s="56">
        <f>(IF((B10-B9)&lt;0,"0",(B10-B9)))*10</f>
        <v>520</v>
      </c>
      <c r="D10" s="3">
        <v>3212700</v>
      </c>
      <c r="E10" s="56">
        <f t="shared" si="1"/>
        <v>261.89999999999998</v>
      </c>
      <c r="F10" s="3">
        <v>2159500</v>
      </c>
      <c r="G10" s="56">
        <f t="shared" si="4"/>
        <v>170.1</v>
      </c>
      <c r="H10" s="3">
        <v>718306</v>
      </c>
      <c r="I10" s="61">
        <f t="shared" si="5"/>
        <v>4.9409999999999998</v>
      </c>
      <c r="J10" s="25">
        <f t="shared" si="2"/>
        <v>956.94100000000003</v>
      </c>
      <c r="K10" s="26">
        <f t="shared" si="3"/>
        <v>5607.6742600000007</v>
      </c>
    </row>
    <row r="11" spans="1:14" ht="16.5" thickBot="1" x14ac:dyDescent="0.3">
      <c r="A11" s="10">
        <v>44236</v>
      </c>
      <c r="B11" s="3">
        <v>404614</v>
      </c>
      <c r="C11" s="56">
        <f t="shared" si="6"/>
        <v>550</v>
      </c>
      <c r="D11" s="3">
        <v>3223000</v>
      </c>
      <c r="E11" s="56">
        <f t="shared" si="1"/>
        <v>278.10000000000002</v>
      </c>
      <c r="F11" s="3">
        <v>2166400</v>
      </c>
      <c r="G11" s="56">
        <f t="shared" si="4"/>
        <v>186.3</v>
      </c>
      <c r="H11" s="3">
        <v>718482</v>
      </c>
      <c r="I11" s="61">
        <f t="shared" si="5"/>
        <v>4.7519999999999998</v>
      </c>
      <c r="J11" s="25">
        <f t="shared" si="2"/>
        <v>1019.152</v>
      </c>
      <c r="K11" s="26">
        <f t="shared" si="3"/>
        <v>5972.2307200000005</v>
      </c>
      <c r="N11" t="s">
        <v>13</v>
      </c>
    </row>
    <row r="12" spans="1:14" ht="16.5" thickBot="1" x14ac:dyDescent="0.3">
      <c r="A12" s="10">
        <v>44237</v>
      </c>
      <c r="B12" s="3">
        <v>404668</v>
      </c>
      <c r="C12" s="56">
        <f t="shared" si="6"/>
        <v>540</v>
      </c>
      <c r="D12" s="3">
        <v>3238200</v>
      </c>
      <c r="E12" s="56">
        <f t="shared" si="1"/>
        <v>410.4</v>
      </c>
      <c r="F12" s="3">
        <v>2174400</v>
      </c>
      <c r="G12" s="56">
        <f t="shared" si="4"/>
        <v>216</v>
      </c>
      <c r="H12" s="3">
        <v>718708</v>
      </c>
      <c r="I12" s="61">
        <f t="shared" si="5"/>
        <v>6.1020000000000003</v>
      </c>
      <c r="J12" s="25">
        <f t="shared" si="2"/>
        <v>1172.5020000000002</v>
      </c>
      <c r="K12" s="26">
        <f t="shared" si="3"/>
        <v>6870.8617200000017</v>
      </c>
    </row>
    <row r="13" spans="1:14" ht="16.5" thickBot="1" x14ac:dyDescent="0.3">
      <c r="A13" s="10">
        <v>44238</v>
      </c>
      <c r="B13" s="3">
        <v>404720</v>
      </c>
      <c r="C13" s="56">
        <f t="shared" si="6"/>
        <v>520</v>
      </c>
      <c r="D13" s="3">
        <v>3248700</v>
      </c>
      <c r="E13" s="56">
        <f t="shared" si="1"/>
        <v>283.5</v>
      </c>
      <c r="F13" s="3">
        <v>2179500</v>
      </c>
      <c r="G13" s="56">
        <f t="shared" si="4"/>
        <v>137.69999999999999</v>
      </c>
      <c r="H13" s="3">
        <v>718885</v>
      </c>
      <c r="I13" s="61">
        <f t="shared" si="5"/>
        <v>4.7789999999999999</v>
      </c>
      <c r="J13" s="25">
        <f t="shared" si="2"/>
        <v>945.97900000000004</v>
      </c>
      <c r="K13" s="26">
        <f t="shared" si="3"/>
        <v>5543.4369400000005</v>
      </c>
    </row>
    <row r="14" spans="1:14" ht="16.5" thickBot="1" x14ac:dyDescent="0.3">
      <c r="A14" s="10">
        <v>44239</v>
      </c>
      <c r="B14" s="3">
        <v>404784</v>
      </c>
      <c r="C14" s="56">
        <f t="shared" si="6"/>
        <v>640</v>
      </c>
      <c r="D14" s="3">
        <v>3257400</v>
      </c>
      <c r="E14" s="56">
        <f t="shared" si="1"/>
        <v>234.9</v>
      </c>
      <c r="F14" s="3">
        <v>2184500</v>
      </c>
      <c r="G14" s="56">
        <f t="shared" si="4"/>
        <v>135</v>
      </c>
      <c r="H14" s="3">
        <v>719031</v>
      </c>
      <c r="I14" s="61">
        <f t="shared" si="5"/>
        <v>3.9420000000000002</v>
      </c>
      <c r="J14" s="25">
        <f t="shared" si="2"/>
        <v>1013.842</v>
      </c>
      <c r="K14" s="26">
        <f t="shared" si="3"/>
        <v>5941.1141200000002</v>
      </c>
    </row>
    <row r="15" spans="1:14" ht="16.5" thickBot="1" x14ac:dyDescent="0.3">
      <c r="A15" s="10">
        <v>44240</v>
      </c>
      <c r="B15" s="3">
        <v>404842</v>
      </c>
      <c r="C15" s="56">
        <f t="shared" si="6"/>
        <v>580</v>
      </c>
      <c r="D15" s="3">
        <v>3266800</v>
      </c>
      <c r="E15" s="56">
        <f t="shared" si="1"/>
        <v>253.79999999999998</v>
      </c>
      <c r="F15" s="3">
        <v>2190400</v>
      </c>
      <c r="G15" s="56">
        <f t="shared" si="4"/>
        <v>159.30000000000001</v>
      </c>
      <c r="H15" s="3">
        <v>719204</v>
      </c>
      <c r="I15" s="61">
        <f t="shared" si="5"/>
        <v>4.6710000000000003</v>
      </c>
      <c r="J15" s="25">
        <f t="shared" si="2"/>
        <v>997.77099999999996</v>
      </c>
      <c r="K15" s="26">
        <f t="shared" si="3"/>
        <v>5846.9380600000004</v>
      </c>
    </row>
    <row r="16" spans="1:14" ht="16.5" thickBot="1" x14ac:dyDescent="0.3">
      <c r="A16" s="10">
        <v>44241</v>
      </c>
      <c r="B16" s="3">
        <v>404906</v>
      </c>
      <c r="C16" s="56">
        <f t="shared" si="6"/>
        <v>640</v>
      </c>
      <c r="D16" s="3">
        <v>3279700</v>
      </c>
      <c r="E16" s="56">
        <f t="shared" si="1"/>
        <v>348.3</v>
      </c>
      <c r="F16" s="3">
        <v>2200400</v>
      </c>
      <c r="G16" s="56">
        <f t="shared" si="4"/>
        <v>270</v>
      </c>
      <c r="H16" s="3">
        <v>719437</v>
      </c>
      <c r="I16" s="61">
        <f t="shared" si="5"/>
        <v>6.2910000000000004</v>
      </c>
      <c r="J16" s="25">
        <f t="shared" si="2"/>
        <v>1264.5909999999999</v>
      </c>
      <c r="K16" s="26">
        <f t="shared" si="3"/>
        <v>7410.5032599999995</v>
      </c>
    </row>
    <row r="17" spans="1:25" ht="16.5" thickBot="1" x14ac:dyDescent="0.3">
      <c r="A17" s="10">
        <v>44242</v>
      </c>
      <c r="B17" s="3">
        <v>404955</v>
      </c>
      <c r="C17" s="56">
        <f t="shared" si="6"/>
        <v>490</v>
      </c>
      <c r="D17" s="3">
        <v>3289000</v>
      </c>
      <c r="E17" s="56">
        <f t="shared" si="1"/>
        <v>251.1</v>
      </c>
      <c r="F17" s="3">
        <v>2206800</v>
      </c>
      <c r="G17" s="56">
        <f t="shared" si="4"/>
        <v>172.8</v>
      </c>
      <c r="H17" s="3">
        <v>719608</v>
      </c>
      <c r="I17" s="61">
        <f t="shared" si="5"/>
        <v>4.617</v>
      </c>
      <c r="J17" s="25">
        <f t="shared" si="2"/>
        <v>918.51700000000005</v>
      </c>
      <c r="K17" s="26">
        <f t="shared" si="3"/>
        <v>5382.5096200000007</v>
      </c>
      <c r="P17" t="s">
        <v>13</v>
      </c>
      <c r="R17" t="s">
        <v>13</v>
      </c>
    </row>
    <row r="18" spans="1:25" ht="16.5" thickBot="1" x14ac:dyDescent="0.3">
      <c r="A18" s="10">
        <v>44243</v>
      </c>
      <c r="B18" s="3">
        <v>405005</v>
      </c>
      <c r="C18" s="56">
        <f t="shared" si="6"/>
        <v>500</v>
      </c>
      <c r="D18" s="3">
        <v>3299000</v>
      </c>
      <c r="E18" s="56">
        <f t="shared" si="1"/>
        <v>270</v>
      </c>
      <c r="F18" s="3">
        <v>2212200</v>
      </c>
      <c r="G18" s="56">
        <f t="shared" si="4"/>
        <v>145.80000000000001</v>
      </c>
      <c r="H18" s="3">
        <v>719792</v>
      </c>
      <c r="I18" s="61">
        <f t="shared" si="5"/>
        <v>4.968</v>
      </c>
      <c r="J18" s="25">
        <f t="shared" si="2"/>
        <v>920.76799999999992</v>
      </c>
      <c r="K18" s="26">
        <f t="shared" si="3"/>
        <v>5395.7004799999995</v>
      </c>
      <c r="Q18" t="s">
        <v>44</v>
      </c>
    </row>
    <row r="19" spans="1:25" ht="16.5" thickBot="1" x14ac:dyDescent="0.3">
      <c r="A19" s="10">
        <v>44244</v>
      </c>
      <c r="B19" s="3">
        <v>405055</v>
      </c>
      <c r="C19" s="56">
        <f t="shared" si="6"/>
        <v>500</v>
      </c>
      <c r="D19" s="3">
        <v>3310700</v>
      </c>
      <c r="E19" s="56">
        <f t="shared" si="1"/>
        <v>315.89999999999998</v>
      </c>
      <c r="F19" s="3">
        <v>2217100</v>
      </c>
      <c r="G19" s="56">
        <f t="shared" si="4"/>
        <v>132.30000000000001</v>
      </c>
      <c r="H19" s="3">
        <v>719978</v>
      </c>
      <c r="I19" s="61">
        <f t="shared" si="5"/>
        <v>5.0220000000000002</v>
      </c>
      <c r="J19" s="25">
        <f t="shared" si="2"/>
        <v>953.22200000000009</v>
      </c>
      <c r="K19" s="26">
        <f t="shared" si="3"/>
        <v>5585.8809200000005</v>
      </c>
      <c r="Q19" t="s">
        <v>13</v>
      </c>
    </row>
    <row r="20" spans="1:25" ht="16.5" thickBot="1" x14ac:dyDescent="0.3">
      <c r="A20" s="10">
        <v>44245</v>
      </c>
      <c r="B20" s="3">
        <v>405100</v>
      </c>
      <c r="C20" s="56">
        <f t="shared" si="6"/>
        <v>450</v>
      </c>
      <c r="D20" s="3">
        <v>3320700</v>
      </c>
      <c r="E20" s="56">
        <f t="shared" si="1"/>
        <v>270</v>
      </c>
      <c r="F20" s="3">
        <v>2221100</v>
      </c>
      <c r="G20" s="56">
        <f t="shared" si="4"/>
        <v>108</v>
      </c>
      <c r="H20" s="3">
        <v>720128</v>
      </c>
      <c r="I20" s="61">
        <f t="shared" si="5"/>
        <v>4.05</v>
      </c>
      <c r="J20" s="25">
        <f t="shared" si="2"/>
        <v>832.05</v>
      </c>
      <c r="K20" s="26">
        <f t="shared" si="3"/>
        <v>4875.8130000000001</v>
      </c>
    </row>
    <row r="21" spans="1:25" ht="16.5" thickBot="1" x14ac:dyDescent="0.3">
      <c r="A21" s="10">
        <v>44246</v>
      </c>
      <c r="B21" s="3">
        <v>405158</v>
      </c>
      <c r="C21" s="56">
        <f t="shared" si="6"/>
        <v>580</v>
      </c>
      <c r="D21" s="3">
        <v>3332000</v>
      </c>
      <c r="E21" s="56">
        <f t="shared" si="1"/>
        <v>305.10000000000002</v>
      </c>
      <c r="F21" s="3">
        <v>2225500</v>
      </c>
      <c r="G21" s="56">
        <f t="shared" si="4"/>
        <v>118.8</v>
      </c>
      <c r="H21" s="3">
        <v>720257</v>
      </c>
      <c r="I21" s="61">
        <f t="shared" si="5"/>
        <v>3.4830000000000001</v>
      </c>
      <c r="J21" s="25">
        <f t="shared" si="2"/>
        <v>1007.3829999999999</v>
      </c>
      <c r="K21" s="26">
        <f t="shared" si="3"/>
        <v>5903.2643799999996</v>
      </c>
    </row>
    <row r="22" spans="1:25" ht="16.5" thickBot="1" x14ac:dyDescent="0.3">
      <c r="A22" s="10">
        <v>44247</v>
      </c>
      <c r="B22" s="3">
        <v>405210</v>
      </c>
      <c r="C22" s="56">
        <f t="shared" si="6"/>
        <v>520</v>
      </c>
      <c r="D22" s="3">
        <v>3342300</v>
      </c>
      <c r="E22" s="56">
        <f t="shared" si="1"/>
        <v>278.10000000000002</v>
      </c>
      <c r="F22" s="3">
        <v>2232000</v>
      </c>
      <c r="G22" s="56">
        <f t="shared" si="4"/>
        <v>175.5</v>
      </c>
      <c r="H22" s="3">
        <v>720394</v>
      </c>
      <c r="I22" s="61">
        <f t="shared" si="5"/>
        <v>3.6989999999999998</v>
      </c>
      <c r="J22" s="25">
        <f t="shared" si="2"/>
        <v>977.29899999999998</v>
      </c>
      <c r="K22" s="26">
        <f t="shared" si="3"/>
        <v>5726.9721399999999</v>
      </c>
      <c r="P22" t="s">
        <v>13</v>
      </c>
      <c r="S22" s="41" t="s">
        <v>13</v>
      </c>
    </row>
    <row r="23" spans="1:25" ht="16.5" thickBot="1" x14ac:dyDescent="0.3">
      <c r="A23" s="10">
        <v>44248</v>
      </c>
      <c r="B23" s="3">
        <v>405260</v>
      </c>
      <c r="C23" s="56">
        <f t="shared" si="6"/>
        <v>500</v>
      </c>
      <c r="D23" s="3">
        <v>3352000</v>
      </c>
      <c r="E23" s="56">
        <f t="shared" si="1"/>
        <v>261.89999999999998</v>
      </c>
      <c r="F23" s="3">
        <v>2237400</v>
      </c>
      <c r="G23" s="56">
        <f t="shared" si="4"/>
        <v>145.80000000000001</v>
      </c>
      <c r="H23" s="3">
        <v>720563</v>
      </c>
      <c r="I23" s="61">
        <f t="shared" si="5"/>
        <v>4.5629999999999997</v>
      </c>
      <c r="J23" s="25">
        <f t="shared" si="2"/>
        <v>912.26300000000003</v>
      </c>
      <c r="K23" s="26">
        <f t="shared" si="3"/>
        <v>5345.8611800000008</v>
      </c>
      <c r="Q23" t="s">
        <v>13</v>
      </c>
    </row>
    <row r="24" spans="1:25" ht="16.5" thickBot="1" x14ac:dyDescent="0.3">
      <c r="A24" s="10">
        <v>44249</v>
      </c>
      <c r="B24" s="3">
        <v>405305</v>
      </c>
      <c r="C24" s="56">
        <f t="shared" si="6"/>
        <v>450</v>
      </c>
      <c r="D24" s="3">
        <v>3360800</v>
      </c>
      <c r="E24" s="56">
        <f t="shared" si="1"/>
        <v>237.6</v>
      </c>
      <c r="F24" s="3">
        <v>2241800</v>
      </c>
      <c r="G24" s="56">
        <f t="shared" si="4"/>
        <v>118.8</v>
      </c>
      <c r="H24" s="3">
        <v>720726</v>
      </c>
      <c r="I24" s="61">
        <f t="shared" si="5"/>
        <v>4.4009999999999998</v>
      </c>
      <c r="J24" s="25">
        <f t="shared" si="2"/>
        <v>810.80099999999993</v>
      </c>
      <c r="K24" s="26">
        <f t="shared" si="3"/>
        <v>4751.2938599999998</v>
      </c>
    </row>
    <row r="25" spans="1:25" ht="17.25" customHeight="1" thickBot="1" x14ac:dyDescent="0.4">
      <c r="A25" s="10">
        <v>44250</v>
      </c>
      <c r="B25" s="3">
        <v>405350</v>
      </c>
      <c r="C25" s="56">
        <f t="shared" si="6"/>
        <v>450</v>
      </c>
      <c r="D25" s="3">
        <v>3372800</v>
      </c>
      <c r="E25" s="56">
        <f t="shared" si="1"/>
        <v>324</v>
      </c>
      <c r="F25" s="3">
        <v>2247000</v>
      </c>
      <c r="G25" s="56">
        <f t="shared" si="4"/>
        <v>140.4</v>
      </c>
      <c r="H25" s="3">
        <v>720890</v>
      </c>
      <c r="I25" s="61">
        <f t="shared" si="5"/>
        <v>4.4279999999999999</v>
      </c>
      <c r="J25" s="25">
        <f t="shared" si="2"/>
        <v>918.82799999999997</v>
      </c>
      <c r="K25" s="26">
        <f t="shared" si="3"/>
        <v>5384.3320800000001</v>
      </c>
      <c r="Y25" s="73"/>
    </row>
    <row r="26" spans="1:25" ht="16.5" thickBot="1" x14ac:dyDescent="0.3">
      <c r="A26" s="10">
        <v>44251</v>
      </c>
      <c r="B26" s="3">
        <v>405400</v>
      </c>
      <c r="C26" s="56">
        <f t="shared" si="6"/>
        <v>500</v>
      </c>
      <c r="D26" s="3">
        <v>3383000</v>
      </c>
      <c r="E26" s="56">
        <f t="shared" si="1"/>
        <v>275.39999999999998</v>
      </c>
      <c r="F26" s="3">
        <v>2253400</v>
      </c>
      <c r="G26" s="56">
        <f t="shared" si="4"/>
        <v>172.8</v>
      </c>
      <c r="H26" s="3">
        <v>721070</v>
      </c>
      <c r="I26" s="61">
        <f t="shared" si="5"/>
        <v>4.8600000000000003</v>
      </c>
      <c r="J26" s="25">
        <f t="shared" si="2"/>
        <v>953.06000000000006</v>
      </c>
      <c r="K26" s="26">
        <f t="shared" si="3"/>
        <v>5584.9316000000008</v>
      </c>
      <c r="L26" t="s">
        <v>13</v>
      </c>
    </row>
    <row r="27" spans="1:25" ht="16.5" thickBot="1" x14ac:dyDescent="0.3">
      <c r="A27" s="10">
        <v>44252</v>
      </c>
      <c r="B27" s="3">
        <v>405451</v>
      </c>
      <c r="C27" s="56">
        <f t="shared" si="6"/>
        <v>510</v>
      </c>
      <c r="D27" s="3">
        <v>3391000</v>
      </c>
      <c r="E27" s="56">
        <f t="shared" si="1"/>
        <v>216</v>
      </c>
      <c r="F27" s="3">
        <v>2259900</v>
      </c>
      <c r="G27" s="56">
        <f t="shared" si="4"/>
        <v>175.5</v>
      </c>
      <c r="H27" s="3">
        <v>721198</v>
      </c>
      <c r="I27" s="61">
        <f t="shared" si="5"/>
        <v>3.456</v>
      </c>
      <c r="J27" s="25">
        <f t="shared" si="2"/>
        <v>904.95600000000002</v>
      </c>
      <c r="K27" s="26">
        <f t="shared" si="3"/>
        <v>5303.04216</v>
      </c>
      <c r="O27" t="s">
        <v>13</v>
      </c>
    </row>
    <row r="28" spans="1:25" ht="16.5" thickBot="1" x14ac:dyDescent="0.3">
      <c r="A28" s="10">
        <v>44253</v>
      </c>
      <c r="B28" s="3">
        <v>405524</v>
      </c>
      <c r="C28" s="56">
        <f t="shared" si="6"/>
        <v>730</v>
      </c>
      <c r="D28" s="3">
        <v>3404000</v>
      </c>
      <c r="E28" s="56">
        <f t="shared" si="1"/>
        <v>351</v>
      </c>
      <c r="F28" s="3">
        <v>2266700</v>
      </c>
      <c r="G28" s="56">
        <f t="shared" si="4"/>
        <v>183.6</v>
      </c>
      <c r="H28" s="3">
        <v>721382</v>
      </c>
      <c r="I28" s="61">
        <f t="shared" si="5"/>
        <v>4.968</v>
      </c>
      <c r="J28" s="25">
        <f t="shared" si="2"/>
        <v>1269.568</v>
      </c>
      <c r="K28" s="26">
        <f t="shared" si="3"/>
        <v>7439.6684800000003</v>
      </c>
    </row>
    <row r="29" spans="1:25" ht="16.5" thickBot="1" x14ac:dyDescent="0.3">
      <c r="A29" s="10">
        <v>44254</v>
      </c>
      <c r="B29" s="3">
        <v>405567</v>
      </c>
      <c r="C29" s="56">
        <f t="shared" si="6"/>
        <v>430</v>
      </c>
      <c r="D29" s="3">
        <v>3412500</v>
      </c>
      <c r="E29" s="56">
        <f t="shared" si="1"/>
        <v>229.5</v>
      </c>
      <c r="F29" s="3">
        <v>2272000</v>
      </c>
      <c r="G29" s="56">
        <f t="shared" si="4"/>
        <v>143.1</v>
      </c>
      <c r="H29" s="3">
        <v>721490</v>
      </c>
      <c r="I29" s="61">
        <f t="shared" si="5"/>
        <v>2.9159999999999999</v>
      </c>
      <c r="J29" s="25">
        <f t="shared" si="2"/>
        <v>805.51600000000008</v>
      </c>
      <c r="K29" s="26">
        <f t="shared" si="3"/>
        <v>4720.3237600000011</v>
      </c>
    </row>
    <row r="30" spans="1:25" ht="16.5" thickBot="1" x14ac:dyDescent="0.3">
      <c r="A30" s="10">
        <v>44255</v>
      </c>
      <c r="B30" s="3">
        <v>405614</v>
      </c>
      <c r="C30" s="56">
        <f t="shared" si="6"/>
        <v>470</v>
      </c>
      <c r="D30" s="3">
        <v>3422000</v>
      </c>
      <c r="E30" s="56">
        <f t="shared" si="1"/>
        <v>256.5</v>
      </c>
      <c r="F30" s="3">
        <v>2277500</v>
      </c>
      <c r="G30" s="56">
        <f t="shared" si="4"/>
        <v>148.5</v>
      </c>
      <c r="H30" s="3">
        <v>721618</v>
      </c>
      <c r="I30" s="61">
        <f t="shared" si="5"/>
        <v>3.456</v>
      </c>
      <c r="J30" s="25">
        <f t="shared" si="2"/>
        <v>878.45600000000002</v>
      </c>
      <c r="K30" s="26">
        <f t="shared" si="3"/>
        <v>5147.75216</v>
      </c>
    </row>
    <row r="31" spans="1:25" ht="21" thickBot="1" x14ac:dyDescent="0.3">
      <c r="A31" s="9" t="s">
        <v>24</v>
      </c>
      <c r="B31" s="3"/>
      <c r="C31" s="74">
        <f>SUM(C3:C30)</f>
        <v>15760</v>
      </c>
      <c r="D31" s="3"/>
      <c r="E31" s="74">
        <f>SUM(E3:E30)</f>
        <v>7924.5000000000009</v>
      </c>
      <c r="F31" s="3"/>
      <c r="G31" s="74">
        <f>SUM(G3:G30)</f>
        <v>4860.0000000000018</v>
      </c>
      <c r="H31" s="3"/>
      <c r="I31" s="62">
        <f>SUM(I3:I30)</f>
        <v>133.51500000000001</v>
      </c>
      <c r="J31" s="11">
        <f>SUM(J3:J30)</f>
        <v>28678.014999999999</v>
      </c>
      <c r="K31" s="11">
        <f>SUM(K3:K30)</f>
        <v>168053.1679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zoomScale="110" zoomScaleNormal="110" zoomScaleSheetLayoutView="110" workbookViewId="0">
      <selection activeCell="B3" sqref="B3"/>
    </sheetView>
  </sheetViews>
  <sheetFormatPr defaultColWidth="23" defaultRowHeight="15.75" x14ac:dyDescent="0.25"/>
  <cols>
    <col min="1" max="1" width="20.7109375" style="34" bestFit="1" customWidth="1"/>
    <col min="2" max="2" width="14.85546875" style="58" bestFit="1" customWidth="1"/>
    <col min="3" max="3" width="15.28515625" style="58" bestFit="1" customWidth="1"/>
    <col min="4" max="4" width="10.28515625" style="58" bestFit="1" customWidth="1"/>
    <col min="5" max="5" width="12.85546875" style="28" bestFit="1" customWidth="1"/>
    <col min="6" max="6" width="10" style="28" bestFit="1" customWidth="1"/>
    <col min="7" max="7" width="12.85546875" style="28" bestFit="1" customWidth="1"/>
    <col min="8" max="8" width="16.5703125" style="28" bestFit="1" customWidth="1"/>
    <col min="9" max="9" width="10.28515625" style="28" bestFit="1" customWidth="1"/>
    <col min="10" max="10" width="11.85546875" style="28" bestFit="1" customWidth="1"/>
    <col min="11" max="11" width="9" style="28" bestFit="1" customWidth="1"/>
    <col min="12" max="12" width="11.5703125" style="28" bestFit="1" customWidth="1"/>
    <col min="13" max="13" width="10.28515625" style="28" bestFit="1" customWidth="1"/>
    <col min="14" max="17" width="11.5703125" style="28" bestFit="1" customWidth="1"/>
    <col min="18" max="18" width="12.85546875" style="28" bestFit="1" customWidth="1"/>
    <col min="19" max="19" width="9" style="28" bestFit="1" customWidth="1"/>
    <col min="20" max="20" width="4.7109375" style="28" bestFit="1" customWidth="1"/>
    <col min="21" max="21" width="10.28515625" style="28" bestFit="1" customWidth="1"/>
    <col min="22" max="22" width="11.5703125" style="28" bestFit="1" customWidth="1"/>
    <col min="23" max="23" width="9" style="28" bestFit="1" customWidth="1"/>
    <col min="24" max="24" width="10.7109375" style="28" bestFit="1" customWidth="1"/>
    <col min="25" max="25" width="12.5703125" style="28" bestFit="1" customWidth="1"/>
    <col min="26" max="26" width="27.140625" style="35" bestFit="1" customWidth="1"/>
    <col min="27" max="27" width="26.85546875" style="35" bestFit="1" customWidth="1"/>
    <col min="28" max="16384" width="23" style="28"/>
  </cols>
  <sheetData>
    <row r="1" spans="1:27" ht="16.5" thickBot="1" x14ac:dyDescent="0.3">
      <c r="A1" s="6" t="s">
        <v>0</v>
      </c>
      <c r="B1" s="56" t="s">
        <v>55</v>
      </c>
      <c r="C1" s="59" t="s">
        <v>64</v>
      </c>
      <c r="D1" s="59" t="s">
        <v>17</v>
      </c>
      <c r="E1" s="3" t="s">
        <v>31</v>
      </c>
      <c r="F1" s="4" t="s">
        <v>26</v>
      </c>
      <c r="G1" s="3" t="s">
        <v>32</v>
      </c>
      <c r="H1" s="4" t="s">
        <v>26</v>
      </c>
      <c r="I1" s="3" t="s">
        <v>24</v>
      </c>
      <c r="J1" s="3" t="s">
        <v>33</v>
      </c>
      <c r="K1" s="4" t="s">
        <v>26</v>
      </c>
      <c r="L1" s="3" t="s">
        <v>34</v>
      </c>
      <c r="M1" s="4" t="s">
        <v>26</v>
      </c>
      <c r="N1" s="3" t="s">
        <v>35</v>
      </c>
      <c r="O1" s="4" t="s">
        <v>26</v>
      </c>
      <c r="P1" s="3" t="s">
        <v>36</v>
      </c>
      <c r="Q1" s="4" t="s">
        <v>26</v>
      </c>
      <c r="R1" s="3" t="s">
        <v>37</v>
      </c>
      <c r="S1" s="4" t="s">
        <v>26</v>
      </c>
      <c r="T1" s="3" t="s">
        <v>38</v>
      </c>
      <c r="U1" s="4" t="s">
        <v>26</v>
      </c>
      <c r="V1" s="3" t="s">
        <v>39</v>
      </c>
      <c r="W1" s="4" t="s">
        <v>26</v>
      </c>
      <c r="X1" s="3" t="s">
        <v>24</v>
      </c>
      <c r="Y1" s="3" t="s">
        <v>40</v>
      </c>
      <c r="Z1" s="27" t="s">
        <v>41</v>
      </c>
      <c r="AA1" s="27" t="s">
        <v>42</v>
      </c>
    </row>
    <row r="2" spans="1:27" ht="16.5" thickBot="1" x14ac:dyDescent="0.25">
      <c r="A2" s="10" t="s">
        <v>12</v>
      </c>
      <c r="B2" s="56"/>
      <c r="C2" s="56">
        <v>17929</v>
      </c>
      <c r="D2" s="56">
        <v>0</v>
      </c>
      <c r="E2" s="148">
        <v>24958787</v>
      </c>
      <c r="F2" s="56">
        <v>0</v>
      </c>
      <c r="G2" s="152">
        <v>77289999</v>
      </c>
      <c r="H2" s="56">
        <v>0</v>
      </c>
      <c r="I2" s="149">
        <v>0</v>
      </c>
      <c r="J2" s="148">
        <v>7430512</v>
      </c>
      <c r="K2" s="56">
        <v>0</v>
      </c>
      <c r="L2" s="150">
        <v>7442711</v>
      </c>
      <c r="M2" s="56">
        <v>0</v>
      </c>
      <c r="N2" s="148">
        <v>4942119</v>
      </c>
      <c r="O2" s="56">
        <v>0</v>
      </c>
      <c r="P2" s="150">
        <v>2437148</v>
      </c>
      <c r="Q2" s="56">
        <v>0</v>
      </c>
      <c r="R2" s="148">
        <v>16464700</v>
      </c>
      <c r="S2" s="56">
        <v>0</v>
      </c>
      <c r="T2" s="148"/>
      <c r="U2" s="151"/>
      <c r="V2" s="148">
        <v>3978655</v>
      </c>
      <c r="W2" s="56">
        <v>0</v>
      </c>
      <c r="X2" s="30">
        <v>0</v>
      </c>
      <c r="Y2" s="39">
        <v>0</v>
      </c>
      <c r="Z2" s="29">
        <v>0</v>
      </c>
      <c r="AA2" s="29">
        <v>17124.033056</v>
      </c>
    </row>
    <row r="3" spans="1:27" ht="16.5" thickBot="1" x14ac:dyDescent="0.25">
      <c r="A3" s="10">
        <v>44228</v>
      </c>
      <c r="B3" s="56">
        <v>69.349999999999994</v>
      </c>
      <c r="C3" s="56">
        <v>17935</v>
      </c>
      <c r="D3" s="56">
        <f>IF((C3-C2)&lt;0,"0",(C3-C2))*160</f>
        <v>960</v>
      </c>
      <c r="E3" s="148">
        <v>24973383</v>
      </c>
      <c r="F3" s="56">
        <f>IF((E3-E2)&lt;0,"0",(E3-E2))</f>
        <v>14596</v>
      </c>
      <c r="G3" s="152">
        <v>77370973</v>
      </c>
      <c r="H3" s="56">
        <f>IF((G3-G2)&lt;0,"0",(G3-G2))</f>
        <v>80974</v>
      </c>
      <c r="I3" s="149">
        <f t="shared" ref="I3:I30" si="0">F3+H3</f>
        <v>95570</v>
      </c>
      <c r="J3" s="148">
        <v>7441580</v>
      </c>
      <c r="K3" s="56">
        <f>IF((J3-J2)&lt;0,"0",(J3-J2))</f>
        <v>11068</v>
      </c>
      <c r="L3" s="150">
        <v>7453878</v>
      </c>
      <c r="M3" s="56">
        <f>IF((L3-L2)&lt;0,"0",(L3-L2))</f>
        <v>11167</v>
      </c>
      <c r="N3" s="148">
        <v>4943691</v>
      </c>
      <c r="O3" s="56">
        <f>(IF((N3-N2)&lt;0,"0",(N3-N2)))*2</f>
        <v>3144</v>
      </c>
      <c r="P3" s="150">
        <v>2451476</v>
      </c>
      <c r="Q3" s="56">
        <f>IF((P3-P2)&lt;0,"0",(P3-P2))</f>
        <v>14328</v>
      </c>
      <c r="R3" s="148">
        <v>16481252</v>
      </c>
      <c r="S3" s="56">
        <f>IF((R3-R2)&lt;0,"0",(R3-R2))</f>
        <v>16552</v>
      </c>
      <c r="T3" s="148">
        <v>0</v>
      </c>
      <c r="U3" s="151"/>
      <c r="V3" s="148">
        <v>3997430</v>
      </c>
      <c r="W3" s="56">
        <f>IF((V3-V2)&lt;0,"0",(V3-V2))</f>
        <v>18775</v>
      </c>
      <c r="X3" s="30">
        <f t="shared" ref="X3:X30" si="1">K3+M3+O3+Q3+S3+U3+W3</f>
        <v>75034</v>
      </c>
      <c r="Y3" s="39">
        <f t="shared" ref="Y3:Y30" si="2">I3-X3</f>
        <v>20536</v>
      </c>
      <c r="Z3" s="29">
        <f t="shared" ref="Z3:Z30" si="3">(0.93352*(W3+S3)+0.5568*(Q3+O3))*0.26</f>
        <v>11103.786366400001</v>
      </c>
      <c r="AA3" s="29">
        <f>SUM(Z1:Z3)</f>
        <v>11103.786366400001</v>
      </c>
    </row>
    <row r="4" spans="1:27" ht="16.5" thickBot="1" x14ac:dyDescent="0.25">
      <c r="A4" s="10">
        <v>44229</v>
      </c>
      <c r="B4" s="56">
        <v>69.349999999999994</v>
      </c>
      <c r="C4" s="56">
        <v>17937</v>
      </c>
      <c r="D4" s="56">
        <f t="shared" ref="D4:D30" si="4">IF((C4-C3)&lt;0,"0",(C4-C3))*160</f>
        <v>320</v>
      </c>
      <c r="E4" s="148">
        <v>24981522</v>
      </c>
      <c r="F4" s="56">
        <f t="shared" ref="F4:F31" si="5">IF((E4-E3)&lt;0,"0",(E4-E3))</f>
        <v>8139</v>
      </c>
      <c r="G4" s="152">
        <v>77415528</v>
      </c>
      <c r="H4" s="56">
        <f t="shared" ref="H4:H30" si="6">IF((G4-G3)&lt;0,"0",(G4-G3))</f>
        <v>44555</v>
      </c>
      <c r="I4" s="149">
        <f t="shared" si="0"/>
        <v>52694</v>
      </c>
      <c r="J4" s="148">
        <v>7447927</v>
      </c>
      <c r="K4" s="56">
        <f t="shared" ref="K4:K30" si="7">IF((J4-J3)&lt;0,"0",(J4-J3))</f>
        <v>6347</v>
      </c>
      <c r="L4" s="150">
        <v>7459396</v>
      </c>
      <c r="M4" s="56">
        <f t="shared" ref="M4:M30" si="8">IF((L4-L3)&lt;0,"0",(L4-L3))</f>
        <v>5518</v>
      </c>
      <c r="N4" s="148">
        <v>4944918</v>
      </c>
      <c r="O4" s="56">
        <f>(IF((N4-N3)&lt;P96,"0",(N4-N3)))*2</f>
        <v>2454</v>
      </c>
      <c r="P4" s="150">
        <v>2458808</v>
      </c>
      <c r="Q4" s="56">
        <f t="shared" ref="Q4:Q30" si="9">IF((P4-P3)&lt;0,"0",(P4-P3))</f>
        <v>7332</v>
      </c>
      <c r="R4" s="148">
        <v>16490604</v>
      </c>
      <c r="S4" s="56">
        <f t="shared" ref="S4:S30" si="10">IF((R4-R3)&lt;0,"0",(R4-R3))</f>
        <v>9352</v>
      </c>
      <c r="T4" s="148">
        <v>0</v>
      </c>
      <c r="U4" s="151"/>
      <c r="V4" s="148">
        <v>4007749</v>
      </c>
      <c r="W4" s="56">
        <f t="shared" ref="W4:W30" si="11">IF((V4-V3)&lt;0,"0",(V4-V3))</f>
        <v>10319</v>
      </c>
      <c r="X4" s="30">
        <f t="shared" si="1"/>
        <v>41322</v>
      </c>
      <c r="Y4" s="39">
        <f t="shared" si="2"/>
        <v>11372</v>
      </c>
      <c r="Z4" s="29">
        <f t="shared" si="3"/>
        <v>6191.1503471999995</v>
      </c>
      <c r="AA4" s="29">
        <f>SUM(Z2:Z4)</f>
        <v>17294.9367136</v>
      </c>
    </row>
    <row r="5" spans="1:27" ht="16.5" thickBot="1" x14ac:dyDescent="0.25">
      <c r="A5" s="10">
        <v>44230</v>
      </c>
      <c r="B5" s="56">
        <v>80</v>
      </c>
      <c r="C5" s="56">
        <v>17939</v>
      </c>
      <c r="D5" s="56">
        <f t="shared" si="4"/>
        <v>320</v>
      </c>
      <c r="E5" s="148">
        <v>24981522</v>
      </c>
      <c r="F5" s="56">
        <f t="shared" si="5"/>
        <v>0</v>
      </c>
      <c r="G5" s="152">
        <v>77415528</v>
      </c>
      <c r="H5" s="56">
        <f t="shared" si="6"/>
        <v>0</v>
      </c>
      <c r="I5" s="149">
        <f t="shared" si="0"/>
        <v>0</v>
      </c>
      <c r="J5" s="148">
        <v>7447927</v>
      </c>
      <c r="K5" s="56">
        <f t="shared" si="7"/>
        <v>0</v>
      </c>
      <c r="L5" s="150">
        <v>7459396</v>
      </c>
      <c r="M5" s="56">
        <f t="shared" si="8"/>
        <v>0</v>
      </c>
      <c r="N5" s="148">
        <v>4944918</v>
      </c>
      <c r="O5" s="56">
        <f t="shared" ref="O5:O30" si="12">(IF((N5-N4)&lt;0,"0",(N5-N4)))*2</f>
        <v>0</v>
      </c>
      <c r="P5" s="150">
        <v>2458808</v>
      </c>
      <c r="Q5" s="56">
        <f t="shared" si="9"/>
        <v>0</v>
      </c>
      <c r="R5" s="148">
        <v>16490604</v>
      </c>
      <c r="S5" s="56">
        <f t="shared" si="10"/>
        <v>0</v>
      </c>
      <c r="T5" s="148">
        <v>0</v>
      </c>
      <c r="U5" s="151"/>
      <c r="V5" s="148">
        <v>4007749</v>
      </c>
      <c r="W5" s="56">
        <f t="shared" si="11"/>
        <v>0</v>
      </c>
      <c r="X5" s="30">
        <f t="shared" si="1"/>
        <v>0</v>
      </c>
      <c r="Y5" s="39">
        <f t="shared" si="2"/>
        <v>0</v>
      </c>
      <c r="Z5" s="29">
        <f t="shared" si="3"/>
        <v>0</v>
      </c>
      <c r="AA5" s="29">
        <f>SUM(Z3:Z5)</f>
        <v>17294.9367136</v>
      </c>
    </row>
    <row r="6" spans="1:27" ht="16.5" thickBot="1" x14ac:dyDescent="0.25">
      <c r="A6" s="10">
        <v>44231</v>
      </c>
      <c r="B6" s="56">
        <v>62.05</v>
      </c>
      <c r="C6" s="56">
        <v>17942</v>
      </c>
      <c r="D6" s="56">
        <f t="shared" si="4"/>
        <v>480</v>
      </c>
      <c r="E6" s="148">
        <v>24996576</v>
      </c>
      <c r="F6" s="56">
        <f t="shared" si="5"/>
        <v>15054</v>
      </c>
      <c r="G6" s="152">
        <v>77493168</v>
      </c>
      <c r="H6" s="56">
        <f t="shared" si="6"/>
        <v>77640</v>
      </c>
      <c r="I6" s="149">
        <f t="shared" si="0"/>
        <v>92694</v>
      </c>
      <c r="J6" s="148">
        <v>7458654</v>
      </c>
      <c r="K6" s="56">
        <f t="shared" si="7"/>
        <v>10727</v>
      </c>
      <c r="L6" s="150">
        <v>7469823</v>
      </c>
      <c r="M6" s="56">
        <f t="shared" si="8"/>
        <v>10427</v>
      </c>
      <c r="N6" s="148">
        <v>4947080</v>
      </c>
      <c r="O6" s="56">
        <f t="shared" si="12"/>
        <v>4324</v>
      </c>
      <c r="P6" s="150">
        <v>2471542</v>
      </c>
      <c r="Q6" s="56">
        <f t="shared" si="9"/>
        <v>12734</v>
      </c>
      <c r="R6" s="148">
        <v>16506958</v>
      </c>
      <c r="S6" s="56">
        <f t="shared" si="10"/>
        <v>16354</v>
      </c>
      <c r="T6" s="148">
        <v>0</v>
      </c>
      <c r="U6" s="151"/>
      <c r="V6" s="148">
        <v>4025862</v>
      </c>
      <c r="W6" s="56">
        <f t="shared" si="11"/>
        <v>18113</v>
      </c>
      <c r="X6" s="30">
        <f t="shared" si="1"/>
        <v>72679</v>
      </c>
      <c r="Y6" s="39">
        <f t="shared" si="2"/>
        <v>20015</v>
      </c>
      <c r="Z6" s="29">
        <f t="shared" si="3"/>
        <v>10835.117342400001</v>
      </c>
      <c r="AA6" s="29">
        <f>SUM(Z4:Z6)</f>
        <v>17026.267689600001</v>
      </c>
    </row>
    <row r="7" spans="1:27" ht="16.5" thickBot="1" x14ac:dyDescent="0.25">
      <c r="A7" s="10">
        <v>44232</v>
      </c>
      <c r="B7" s="56">
        <v>62.05</v>
      </c>
      <c r="C7" s="56">
        <v>17942</v>
      </c>
      <c r="D7" s="56">
        <f t="shared" si="4"/>
        <v>0</v>
      </c>
      <c r="E7" s="148">
        <v>25003730</v>
      </c>
      <c r="F7" s="56">
        <f t="shared" si="5"/>
        <v>7154</v>
      </c>
      <c r="G7" s="152">
        <v>77564940</v>
      </c>
      <c r="H7" s="56">
        <f t="shared" si="6"/>
        <v>71772</v>
      </c>
      <c r="I7" s="149">
        <f t="shared" si="0"/>
        <v>78926</v>
      </c>
      <c r="J7" s="148">
        <v>7466484</v>
      </c>
      <c r="K7" s="56">
        <f t="shared" si="7"/>
        <v>7830</v>
      </c>
      <c r="L7" s="150">
        <v>7476908</v>
      </c>
      <c r="M7" s="56">
        <f t="shared" si="8"/>
        <v>7085</v>
      </c>
      <c r="N7" s="148">
        <v>4948812</v>
      </c>
      <c r="O7" s="56">
        <f t="shared" si="12"/>
        <v>3464</v>
      </c>
      <c r="P7" s="150">
        <v>2481882</v>
      </c>
      <c r="Q7" s="56">
        <f t="shared" si="9"/>
        <v>10340</v>
      </c>
      <c r="R7" s="148">
        <v>16519926</v>
      </c>
      <c r="S7" s="56">
        <f t="shared" si="10"/>
        <v>12968</v>
      </c>
      <c r="T7" s="148">
        <v>0</v>
      </c>
      <c r="U7" s="151"/>
      <c r="V7" s="148">
        <v>4040508</v>
      </c>
      <c r="W7" s="56">
        <f t="shared" si="11"/>
        <v>14646</v>
      </c>
      <c r="X7" s="30">
        <f t="shared" si="1"/>
        <v>56333</v>
      </c>
      <c r="Y7" s="39">
        <f t="shared" si="2"/>
        <v>22593</v>
      </c>
      <c r="Z7" s="29">
        <f t="shared" si="3"/>
        <v>8700.7150048000003</v>
      </c>
      <c r="AA7" s="29">
        <f t="shared" ref="AA7:AA30" si="13">SUM(Z4:Z7)</f>
        <v>25726.982694400001</v>
      </c>
    </row>
    <row r="8" spans="1:27" ht="16.5" thickBot="1" x14ac:dyDescent="0.25">
      <c r="A8" s="10">
        <v>44233</v>
      </c>
      <c r="B8" s="56">
        <v>58.4</v>
      </c>
      <c r="C8" s="56">
        <v>17946</v>
      </c>
      <c r="D8" s="56">
        <f t="shared" si="4"/>
        <v>640</v>
      </c>
      <c r="E8" s="148">
        <v>25012775</v>
      </c>
      <c r="F8" s="56">
        <f t="shared" si="5"/>
        <v>9045</v>
      </c>
      <c r="G8" s="152">
        <v>77580622</v>
      </c>
      <c r="H8" s="56">
        <f t="shared" si="6"/>
        <v>15682</v>
      </c>
      <c r="I8" s="149">
        <f t="shared" si="0"/>
        <v>24727</v>
      </c>
      <c r="J8" s="148">
        <v>7469859</v>
      </c>
      <c r="K8" s="56">
        <f t="shared" si="7"/>
        <v>3375</v>
      </c>
      <c r="L8" s="150">
        <v>7480866</v>
      </c>
      <c r="M8" s="56">
        <f t="shared" si="8"/>
        <v>3958</v>
      </c>
      <c r="N8" s="148">
        <v>4949490</v>
      </c>
      <c r="O8" s="56">
        <f t="shared" si="12"/>
        <v>1356</v>
      </c>
      <c r="P8" s="150">
        <v>2486226</v>
      </c>
      <c r="Q8" s="56">
        <f t="shared" si="9"/>
        <v>4344</v>
      </c>
      <c r="R8" s="148">
        <v>16525316</v>
      </c>
      <c r="S8" s="56">
        <f t="shared" si="10"/>
        <v>5390</v>
      </c>
      <c r="T8" s="148">
        <v>0</v>
      </c>
      <c r="U8" s="151"/>
      <c r="V8" s="148">
        <v>4046567</v>
      </c>
      <c r="W8" s="56">
        <f t="shared" si="11"/>
        <v>6059</v>
      </c>
      <c r="X8" s="30">
        <f t="shared" si="1"/>
        <v>24482</v>
      </c>
      <c r="Y8" s="39">
        <f t="shared" si="2"/>
        <v>245</v>
      </c>
      <c r="Z8" s="29">
        <f t="shared" si="3"/>
        <v>3604.0239248000003</v>
      </c>
      <c r="AA8" s="29">
        <f t="shared" si="13"/>
        <v>23139.856272000001</v>
      </c>
    </row>
    <row r="9" spans="1:27" ht="16.5" thickBot="1" x14ac:dyDescent="0.25">
      <c r="A9" s="10">
        <v>44234</v>
      </c>
      <c r="B9" s="56">
        <v>58.4</v>
      </c>
      <c r="C9" s="56">
        <v>17948</v>
      </c>
      <c r="D9" s="56">
        <f t="shared" si="4"/>
        <v>320</v>
      </c>
      <c r="E9" s="148">
        <v>25020874</v>
      </c>
      <c r="F9" s="56">
        <f t="shared" si="5"/>
        <v>8099</v>
      </c>
      <c r="G9" s="152">
        <v>77624556</v>
      </c>
      <c r="H9" s="56">
        <f t="shared" si="6"/>
        <v>43934</v>
      </c>
      <c r="I9" s="149">
        <f t="shared" si="0"/>
        <v>52033</v>
      </c>
      <c r="J9" s="148">
        <v>7475761</v>
      </c>
      <c r="K9" s="56">
        <f t="shared" si="7"/>
        <v>5902</v>
      </c>
      <c r="L9" s="150">
        <v>7486491</v>
      </c>
      <c r="M9" s="56">
        <f t="shared" si="8"/>
        <v>5625</v>
      </c>
      <c r="N9" s="148">
        <v>4950649</v>
      </c>
      <c r="O9" s="56">
        <f t="shared" si="12"/>
        <v>2318</v>
      </c>
      <c r="P9" s="150">
        <v>2494671</v>
      </c>
      <c r="Q9" s="56">
        <f t="shared" si="9"/>
        <v>8445</v>
      </c>
      <c r="R9" s="148">
        <v>16534378</v>
      </c>
      <c r="S9" s="56">
        <f t="shared" si="10"/>
        <v>9062</v>
      </c>
      <c r="T9" s="148">
        <v>0</v>
      </c>
      <c r="U9" s="151"/>
      <c r="V9" s="148">
        <v>4058718</v>
      </c>
      <c r="W9" s="56">
        <f t="shared" si="11"/>
        <v>12151</v>
      </c>
      <c r="X9" s="30">
        <f t="shared" si="1"/>
        <v>43503</v>
      </c>
      <c r="Y9" s="39">
        <f t="shared" si="2"/>
        <v>8530</v>
      </c>
      <c r="Z9" s="29">
        <f t="shared" si="3"/>
        <v>6706.8555216000004</v>
      </c>
      <c r="AA9" s="29">
        <f t="shared" si="13"/>
        <v>29846.7117936</v>
      </c>
    </row>
    <row r="10" spans="1:27" ht="16.5" thickBot="1" x14ac:dyDescent="0.25">
      <c r="A10" s="10">
        <v>44235</v>
      </c>
      <c r="B10" s="56">
        <v>88</v>
      </c>
      <c r="C10" s="56">
        <v>17950</v>
      </c>
      <c r="D10" s="56">
        <f t="shared" si="4"/>
        <v>320</v>
      </c>
      <c r="E10" s="148">
        <v>25027316</v>
      </c>
      <c r="F10" s="56">
        <f t="shared" si="5"/>
        <v>6442</v>
      </c>
      <c r="G10" s="152">
        <v>77662661</v>
      </c>
      <c r="H10" s="56">
        <f t="shared" si="6"/>
        <v>38105</v>
      </c>
      <c r="I10" s="149">
        <f t="shared" si="0"/>
        <v>44547</v>
      </c>
      <c r="J10" s="148">
        <v>7480723</v>
      </c>
      <c r="K10" s="56">
        <f t="shared" si="7"/>
        <v>4962</v>
      </c>
      <c r="L10" s="150">
        <v>7490768</v>
      </c>
      <c r="M10" s="56">
        <f t="shared" si="8"/>
        <v>4277</v>
      </c>
      <c r="N10" s="148">
        <v>4951661</v>
      </c>
      <c r="O10" s="56">
        <f t="shared" si="12"/>
        <v>2024</v>
      </c>
      <c r="P10" s="150">
        <v>2500583</v>
      </c>
      <c r="Q10" s="56">
        <f t="shared" si="9"/>
        <v>5912</v>
      </c>
      <c r="R10" s="148">
        <v>16542151</v>
      </c>
      <c r="S10" s="56">
        <f t="shared" si="10"/>
        <v>7773</v>
      </c>
      <c r="T10" s="148">
        <v>0</v>
      </c>
      <c r="U10" s="151"/>
      <c r="V10" s="148">
        <v>4065737</v>
      </c>
      <c r="W10" s="56">
        <f t="shared" si="11"/>
        <v>7019</v>
      </c>
      <c r="X10" s="30">
        <f t="shared" si="1"/>
        <v>31967</v>
      </c>
      <c r="Y10" s="39">
        <f t="shared" si="2"/>
        <v>12580</v>
      </c>
      <c r="Z10" s="29">
        <f t="shared" si="3"/>
        <v>4739.1220864000006</v>
      </c>
      <c r="AA10" s="29">
        <f t="shared" si="13"/>
        <v>23750.716537599998</v>
      </c>
    </row>
    <row r="11" spans="1:27" ht="16.5" thickBot="1" x14ac:dyDescent="0.25">
      <c r="A11" s="10">
        <v>44236</v>
      </c>
      <c r="B11" s="56">
        <v>73</v>
      </c>
      <c r="C11" s="56">
        <v>17952</v>
      </c>
      <c r="D11" s="56">
        <f t="shared" si="4"/>
        <v>320</v>
      </c>
      <c r="E11" s="148">
        <v>25036672</v>
      </c>
      <c r="F11" s="56">
        <f t="shared" si="5"/>
        <v>9356</v>
      </c>
      <c r="G11" s="152">
        <v>77715077</v>
      </c>
      <c r="H11" s="56">
        <f t="shared" si="6"/>
        <v>52416</v>
      </c>
      <c r="I11" s="149">
        <f t="shared" si="0"/>
        <v>61772</v>
      </c>
      <c r="J11" s="148">
        <v>7487630</v>
      </c>
      <c r="K11" s="56">
        <f t="shared" si="7"/>
        <v>6907</v>
      </c>
      <c r="L11" s="150">
        <v>7497192</v>
      </c>
      <c r="M11" s="56">
        <f t="shared" si="8"/>
        <v>6424</v>
      </c>
      <c r="N11" s="148">
        <v>4953038</v>
      </c>
      <c r="O11" s="56">
        <f t="shared" si="12"/>
        <v>2754</v>
      </c>
      <c r="P11" s="150">
        <v>2509854</v>
      </c>
      <c r="Q11" s="56">
        <f t="shared" si="9"/>
        <v>9271</v>
      </c>
      <c r="R11" s="148">
        <v>16552878</v>
      </c>
      <c r="S11" s="56">
        <f t="shared" si="10"/>
        <v>10727</v>
      </c>
      <c r="T11" s="148">
        <v>0</v>
      </c>
      <c r="U11" s="151"/>
      <c r="V11" s="148">
        <v>4077947</v>
      </c>
      <c r="W11" s="56">
        <f t="shared" si="11"/>
        <v>12210</v>
      </c>
      <c r="X11" s="30">
        <f t="shared" si="1"/>
        <v>48293</v>
      </c>
      <c r="Y11" s="39">
        <f t="shared" si="2"/>
        <v>13479</v>
      </c>
      <c r="Z11" s="29">
        <f t="shared" si="3"/>
        <v>7307.9937424</v>
      </c>
      <c r="AA11" s="29">
        <f t="shared" si="13"/>
        <v>22357.995275200003</v>
      </c>
    </row>
    <row r="12" spans="1:27" ht="16.5" thickBot="1" x14ac:dyDescent="0.25">
      <c r="A12" s="10">
        <v>44237</v>
      </c>
      <c r="B12" s="56">
        <v>73</v>
      </c>
      <c r="C12" s="56">
        <v>17955</v>
      </c>
      <c r="D12" s="56">
        <f t="shared" si="4"/>
        <v>480</v>
      </c>
      <c r="E12" s="148">
        <v>25043265</v>
      </c>
      <c r="F12" s="56">
        <f t="shared" si="5"/>
        <v>6593</v>
      </c>
      <c r="G12" s="152">
        <v>77750661</v>
      </c>
      <c r="H12" s="56">
        <f t="shared" si="6"/>
        <v>35584</v>
      </c>
      <c r="I12" s="149">
        <f t="shared" si="0"/>
        <v>42177</v>
      </c>
      <c r="J12" s="148">
        <v>7492290</v>
      </c>
      <c r="K12" s="56">
        <f t="shared" si="7"/>
        <v>4660</v>
      </c>
      <c r="L12" s="150">
        <v>7501840</v>
      </c>
      <c r="M12" s="56">
        <f t="shared" si="8"/>
        <v>4648</v>
      </c>
      <c r="N12" s="148">
        <v>4953941</v>
      </c>
      <c r="O12" s="56">
        <f t="shared" si="12"/>
        <v>1806</v>
      </c>
      <c r="P12" s="150">
        <v>2516370</v>
      </c>
      <c r="Q12" s="56">
        <f t="shared" si="9"/>
        <v>6516</v>
      </c>
      <c r="R12" s="148">
        <v>16560043</v>
      </c>
      <c r="S12" s="56">
        <f t="shared" si="10"/>
        <v>7165</v>
      </c>
      <c r="T12" s="148">
        <v>0</v>
      </c>
      <c r="U12" s="151"/>
      <c r="V12" s="148">
        <v>4086102</v>
      </c>
      <c r="W12" s="56">
        <f t="shared" si="11"/>
        <v>8155</v>
      </c>
      <c r="X12" s="30">
        <f t="shared" si="1"/>
        <v>32950</v>
      </c>
      <c r="Y12" s="39">
        <f t="shared" si="2"/>
        <v>9227</v>
      </c>
      <c r="Z12" s="29">
        <f t="shared" si="3"/>
        <v>4923.1561600000005</v>
      </c>
      <c r="AA12" s="29">
        <f t="shared" si="13"/>
        <v>23677.127510400001</v>
      </c>
    </row>
    <row r="13" spans="1:27" ht="16.5" thickBot="1" x14ac:dyDescent="0.25">
      <c r="A13" s="10">
        <v>44238</v>
      </c>
      <c r="B13" s="56">
        <v>54.75</v>
      </c>
      <c r="C13" s="56">
        <v>17957</v>
      </c>
      <c r="D13" s="56">
        <f t="shared" si="4"/>
        <v>320</v>
      </c>
      <c r="E13" s="148">
        <v>25050750</v>
      </c>
      <c r="F13" s="56">
        <f t="shared" si="5"/>
        <v>7485</v>
      </c>
      <c r="G13" s="152">
        <v>77792449</v>
      </c>
      <c r="H13" s="56">
        <f t="shared" si="6"/>
        <v>41788</v>
      </c>
      <c r="I13" s="149">
        <f t="shared" si="0"/>
        <v>49273</v>
      </c>
      <c r="J13" s="148">
        <v>7497670</v>
      </c>
      <c r="K13" s="56">
        <f t="shared" si="7"/>
        <v>5380</v>
      </c>
      <c r="L13" s="150">
        <v>7507023</v>
      </c>
      <c r="M13" s="56">
        <f t="shared" si="8"/>
        <v>5183</v>
      </c>
      <c r="N13" s="148">
        <v>4955018</v>
      </c>
      <c r="O13" s="56">
        <f t="shared" si="12"/>
        <v>2154</v>
      </c>
      <c r="P13" s="150">
        <v>2523615</v>
      </c>
      <c r="Q13" s="56">
        <f t="shared" si="9"/>
        <v>7245</v>
      </c>
      <c r="R13" s="148">
        <v>16568544</v>
      </c>
      <c r="S13" s="56">
        <f>IF((R13-R12)&lt;0,"0",(R13-R12))</f>
        <v>8501</v>
      </c>
      <c r="T13" s="148">
        <v>0</v>
      </c>
      <c r="U13" s="151"/>
      <c r="V13" s="148">
        <v>4095959</v>
      </c>
      <c r="W13" s="56">
        <f t="shared" si="11"/>
        <v>9857</v>
      </c>
      <c r="X13" s="30">
        <f t="shared" si="1"/>
        <v>38320</v>
      </c>
      <c r="Y13" s="39">
        <f t="shared" si="2"/>
        <v>10953</v>
      </c>
      <c r="Z13" s="29">
        <f t="shared" si="3"/>
        <v>5816.4400736000007</v>
      </c>
      <c r="AA13" s="29">
        <f t="shared" si="13"/>
        <v>22786.712062400002</v>
      </c>
    </row>
    <row r="14" spans="1:27" ht="16.5" thickBot="1" x14ac:dyDescent="0.25">
      <c r="A14" s="10">
        <v>44239</v>
      </c>
      <c r="B14" s="56">
        <v>54.75</v>
      </c>
      <c r="C14" s="56">
        <v>17959</v>
      </c>
      <c r="D14" s="56">
        <f t="shared" si="4"/>
        <v>320</v>
      </c>
      <c r="E14" s="148">
        <v>25061464</v>
      </c>
      <c r="F14" s="56">
        <f>IF((E14-E13)&lt;0,"0",(E14-E13))</f>
        <v>10714</v>
      </c>
      <c r="G14" s="152">
        <v>77850188</v>
      </c>
      <c r="H14" s="56">
        <f t="shared" si="6"/>
        <v>57739</v>
      </c>
      <c r="I14" s="149">
        <f t="shared" si="0"/>
        <v>68453</v>
      </c>
      <c r="J14" s="148">
        <v>7504768</v>
      </c>
      <c r="K14" s="56">
        <f t="shared" si="7"/>
        <v>7098</v>
      </c>
      <c r="L14" s="150">
        <v>7514425</v>
      </c>
      <c r="M14" s="56">
        <f t="shared" si="8"/>
        <v>7402</v>
      </c>
      <c r="N14" s="148">
        <v>4956563</v>
      </c>
      <c r="O14" s="56">
        <f t="shared" si="12"/>
        <v>3090</v>
      </c>
      <c r="P14" s="150">
        <v>2533916</v>
      </c>
      <c r="Q14" s="56">
        <f t="shared" si="9"/>
        <v>10301</v>
      </c>
      <c r="R14" s="148">
        <v>16580594</v>
      </c>
      <c r="S14" s="56">
        <f>IF((R14-R13)&lt;0,"0",(R14-R13))</f>
        <v>12050</v>
      </c>
      <c r="T14" s="148">
        <v>0</v>
      </c>
      <c r="U14" s="151"/>
      <c r="V14" s="148">
        <v>4109507</v>
      </c>
      <c r="W14" s="56">
        <f t="shared" si="11"/>
        <v>13548</v>
      </c>
      <c r="X14" s="30">
        <f t="shared" si="1"/>
        <v>53489</v>
      </c>
      <c r="Y14" s="39">
        <f t="shared" si="2"/>
        <v>14964</v>
      </c>
      <c r="Z14" s="29">
        <f t="shared" si="3"/>
        <v>8151.6119775999996</v>
      </c>
      <c r="AA14" s="29">
        <f t="shared" si="13"/>
        <v>26199.201953600001</v>
      </c>
    </row>
    <row r="15" spans="1:27" ht="16.5" thickBot="1" x14ac:dyDescent="0.25">
      <c r="A15" s="10">
        <v>44240</v>
      </c>
      <c r="B15" s="56">
        <v>54.75</v>
      </c>
      <c r="C15" s="56">
        <v>17963</v>
      </c>
      <c r="D15" s="56">
        <f t="shared" si="4"/>
        <v>640</v>
      </c>
      <c r="E15" s="148">
        <v>25068484</v>
      </c>
      <c r="F15" s="56">
        <f>IF((E15-E14)&lt;0,"0",(E15-E14))</f>
        <v>7020</v>
      </c>
      <c r="G15" s="152">
        <v>77886366</v>
      </c>
      <c r="H15" s="56">
        <f t="shared" si="6"/>
        <v>36178</v>
      </c>
      <c r="I15" s="149">
        <f t="shared" si="0"/>
        <v>43198</v>
      </c>
      <c r="J15" s="148">
        <v>7509346</v>
      </c>
      <c r="K15" s="56">
        <f t="shared" si="7"/>
        <v>4578</v>
      </c>
      <c r="L15" s="150">
        <v>7519352</v>
      </c>
      <c r="M15" s="56">
        <f t="shared" si="8"/>
        <v>4927</v>
      </c>
      <c r="N15" s="148">
        <v>4957542</v>
      </c>
      <c r="O15" s="56">
        <f t="shared" si="12"/>
        <v>1958</v>
      </c>
      <c r="P15" s="150">
        <v>2540210</v>
      </c>
      <c r="Q15" s="56">
        <f t="shared" si="9"/>
        <v>6294</v>
      </c>
      <c r="R15" s="148">
        <v>16588138</v>
      </c>
      <c r="S15" s="56">
        <f>IF((R15-R14)&lt;0,"0",(R15-R14))</f>
        <v>7544</v>
      </c>
      <c r="T15" s="148">
        <v>0</v>
      </c>
      <c r="U15" s="151"/>
      <c r="V15" s="148">
        <v>4118064</v>
      </c>
      <c r="W15" s="56">
        <f t="shared" si="11"/>
        <v>8557</v>
      </c>
      <c r="X15" s="30">
        <f t="shared" si="1"/>
        <v>33858</v>
      </c>
      <c r="Y15" s="39">
        <f t="shared" si="2"/>
        <v>9340</v>
      </c>
      <c r="Z15" s="29">
        <f t="shared" si="3"/>
        <v>5102.5829712000004</v>
      </c>
      <c r="AA15" s="29">
        <f t="shared" si="13"/>
        <v>23993.7911824</v>
      </c>
    </row>
    <row r="16" spans="1:27" ht="16.5" thickBot="1" x14ac:dyDescent="0.25">
      <c r="A16" s="10">
        <v>44241</v>
      </c>
      <c r="B16" s="56">
        <v>78</v>
      </c>
      <c r="C16" s="56">
        <v>17965</v>
      </c>
      <c r="D16" s="56">
        <f t="shared" si="4"/>
        <v>320</v>
      </c>
      <c r="E16" s="148">
        <v>25076116</v>
      </c>
      <c r="F16" s="56">
        <f>IF((E16-E15)&lt;0,"0",(E16-E15))</f>
        <v>7632</v>
      </c>
      <c r="G16" s="152">
        <v>77927566</v>
      </c>
      <c r="H16" s="56">
        <f t="shared" si="6"/>
        <v>41200</v>
      </c>
      <c r="I16" s="149">
        <f t="shared" si="0"/>
        <v>48832</v>
      </c>
      <c r="J16" s="148">
        <v>7514840</v>
      </c>
      <c r="K16" s="56">
        <f t="shared" si="7"/>
        <v>5494</v>
      </c>
      <c r="L16" s="150">
        <v>7524654</v>
      </c>
      <c r="M16" s="56">
        <f t="shared" si="8"/>
        <v>5302</v>
      </c>
      <c r="N16" s="148">
        <v>4958634</v>
      </c>
      <c r="O16" s="56">
        <f t="shared" si="12"/>
        <v>2184</v>
      </c>
      <c r="P16" s="150">
        <v>2547388</v>
      </c>
      <c r="Q16" s="56">
        <f t="shared" si="9"/>
        <v>7178</v>
      </c>
      <c r="R16" s="148">
        <v>16596600</v>
      </c>
      <c r="S16" s="56">
        <f t="shared" si="10"/>
        <v>8462</v>
      </c>
      <c r="T16" s="148">
        <v>0</v>
      </c>
      <c r="U16" s="151"/>
      <c r="V16" s="148">
        <v>4122720</v>
      </c>
      <c r="W16" s="56">
        <f t="shared" si="11"/>
        <v>4656</v>
      </c>
      <c r="X16" s="30">
        <f t="shared" si="1"/>
        <v>33276</v>
      </c>
      <c r="Y16" s="39">
        <f t="shared" si="2"/>
        <v>15556</v>
      </c>
      <c r="Z16" s="29">
        <f t="shared" si="3"/>
        <v>4539.2560096000007</v>
      </c>
      <c r="AA16" s="29">
        <f t="shared" si="13"/>
        <v>23609.891032000003</v>
      </c>
    </row>
    <row r="17" spans="1:27" s="162" customFormat="1" ht="16.5" thickBot="1" x14ac:dyDescent="0.25">
      <c r="A17" s="10">
        <v>44242</v>
      </c>
      <c r="B17" s="157">
        <v>65.7</v>
      </c>
      <c r="C17" s="56">
        <v>17968</v>
      </c>
      <c r="D17" s="56">
        <f t="shared" si="4"/>
        <v>480</v>
      </c>
      <c r="E17" s="148">
        <v>25084370</v>
      </c>
      <c r="F17" s="157">
        <f t="shared" si="5"/>
        <v>8254</v>
      </c>
      <c r="G17" s="152">
        <v>77971520</v>
      </c>
      <c r="H17" s="56">
        <f t="shared" si="6"/>
        <v>43954</v>
      </c>
      <c r="I17" s="159">
        <f t="shared" si="0"/>
        <v>52208</v>
      </c>
      <c r="J17" s="148">
        <v>7520508</v>
      </c>
      <c r="K17" s="157">
        <f t="shared" si="7"/>
        <v>5668</v>
      </c>
      <c r="L17" s="150">
        <v>7530424</v>
      </c>
      <c r="M17" s="157">
        <f t="shared" si="8"/>
        <v>5770</v>
      </c>
      <c r="N17" s="148">
        <v>4959796</v>
      </c>
      <c r="O17" s="157">
        <f t="shared" si="12"/>
        <v>2324</v>
      </c>
      <c r="P17" s="150">
        <v>2554815</v>
      </c>
      <c r="Q17" s="157">
        <f t="shared" si="9"/>
        <v>7427</v>
      </c>
      <c r="R17" s="148">
        <v>16605364</v>
      </c>
      <c r="S17" s="157">
        <f t="shared" si="10"/>
        <v>8764</v>
      </c>
      <c r="T17" s="158">
        <v>0</v>
      </c>
      <c r="U17" s="151"/>
      <c r="V17" s="148">
        <v>4138294</v>
      </c>
      <c r="W17" s="157">
        <f t="shared" si="11"/>
        <v>15574</v>
      </c>
      <c r="X17" s="30">
        <f t="shared" si="1"/>
        <v>45527</v>
      </c>
      <c r="Y17" s="160">
        <f t="shared" si="2"/>
        <v>6681</v>
      </c>
      <c r="Z17" s="161">
        <f t="shared" si="3"/>
        <v>7318.8353056000005</v>
      </c>
      <c r="AA17" s="161">
        <f t="shared" si="13"/>
        <v>25112.286264000002</v>
      </c>
    </row>
    <row r="18" spans="1:27" s="162" customFormat="1" ht="16.5" thickBot="1" x14ac:dyDescent="0.25">
      <c r="A18" s="10">
        <v>44243</v>
      </c>
      <c r="B18" s="157">
        <v>73</v>
      </c>
      <c r="C18" s="56">
        <v>17970</v>
      </c>
      <c r="D18" s="56">
        <f t="shared" si="4"/>
        <v>320</v>
      </c>
      <c r="E18" s="148">
        <v>25091456</v>
      </c>
      <c r="F18" s="157">
        <f t="shared" si="5"/>
        <v>7086</v>
      </c>
      <c r="G18" s="152">
        <v>78010731</v>
      </c>
      <c r="H18" s="56">
        <f t="shared" si="6"/>
        <v>39211</v>
      </c>
      <c r="I18" s="159">
        <f t="shared" si="0"/>
        <v>46297</v>
      </c>
      <c r="J18" s="148">
        <v>7525801</v>
      </c>
      <c r="K18" s="157">
        <f t="shared" si="7"/>
        <v>5293</v>
      </c>
      <c r="L18" s="150">
        <v>7535296</v>
      </c>
      <c r="M18" s="157">
        <f t="shared" si="8"/>
        <v>4872</v>
      </c>
      <c r="N18" s="148">
        <v>4960829</v>
      </c>
      <c r="O18" s="157">
        <f t="shared" si="12"/>
        <v>2066</v>
      </c>
      <c r="P18" s="150">
        <v>2560912</v>
      </c>
      <c r="Q18" s="157">
        <f t="shared" si="9"/>
        <v>6097</v>
      </c>
      <c r="R18" s="148">
        <v>16613423</v>
      </c>
      <c r="S18" s="157">
        <f t="shared" si="10"/>
        <v>8059</v>
      </c>
      <c r="T18" s="158">
        <v>0</v>
      </c>
      <c r="U18" s="151"/>
      <c r="V18" s="148">
        <v>4147784</v>
      </c>
      <c r="W18" s="157">
        <f t="shared" si="11"/>
        <v>9490</v>
      </c>
      <c r="X18" s="30">
        <f t="shared" si="1"/>
        <v>35877</v>
      </c>
      <c r="Y18" s="160">
        <f t="shared" si="2"/>
        <v>10420</v>
      </c>
      <c r="Z18" s="161">
        <f t="shared" si="3"/>
        <v>5441.1502288000001</v>
      </c>
      <c r="AA18" s="161">
        <f t="shared" si="13"/>
        <v>22401.824515200002</v>
      </c>
    </row>
    <row r="19" spans="1:27" s="162" customFormat="1" ht="16.5" thickBot="1" x14ac:dyDescent="0.25">
      <c r="A19" s="10">
        <v>44244</v>
      </c>
      <c r="B19" s="157">
        <v>80</v>
      </c>
      <c r="C19" s="56">
        <v>17971</v>
      </c>
      <c r="D19" s="56">
        <f>IF((C19-C18)&lt;0,"0",(C19-C18))*160</f>
        <v>160</v>
      </c>
      <c r="E19" s="148">
        <v>25097638</v>
      </c>
      <c r="F19" s="157">
        <f t="shared" si="5"/>
        <v>6182</v>
      </c>
      <c r="G19" s="152">
        <v>78051057</v>
      </c>
      <c r="H19" s="56">
        <f t="shared" si="6"/>
        <v>40326</v>
      </c>
      <c r="I19" s="159">
        <f t="shared" si="0"/>
        <v>46508</v>
      </c>
      <c r="J19" s="148">
        <v>7531208</v>
      </c>
      <c r="K19" s="157">
        <f t="shared" si="7"/>
        <v>5407</v>
      </c>
      <c r="L19" s="150">
        <v>7539759</v>
      </c>
      <c r="M19" s="157">
        <f t="shared" si="8"/>
        <v>4463</v>
      </c>
      <c r="N19" s="148">
        <v>4961620</v>
      </c>
      <c r="O19" s="157">
        <f t="shared" si="12"/>
        <v>1582</v>
      </c>
      <c r="P19" s="150">
        <v>2567023</v>
      </c>
      <c r="Q19" s="157">
        <f t="shared" si="9"/>
        <v>6111</v>
      </c>
      <c r="R19" s="148">
        <v>16622086</v>
      </c>
      <c r="S19" s="157">
        <f t="shared" si="10"/>
        <v>8663</v>
      </c>
      <c r="T19" s="158">
        <v>0</v>
      </c>
      <c r="U19" s="151"/>
      <c r="V19" s="148">
        <v>4157488</v>
      </c>
      <c r="W19" s="157">
        <f t="shared" si="11"/>
        <v>9704</v>
      </c>
      <c r="X19" s="30">
        <f t="shared" si="1"/>
        <v>35930</v>
      </c>
      <c r="Y19" s="160">
        <f t="shared" si="2"/>
        <v>10578</v>
      </c>
      <c r="Z19" s="161">
        <f t="shared" si="3"/>
        <v>5571.6503024000003</v>
      </c>
      <c r="AA19" s="161">
        <f t="shared" si="13"/>
        <v>22870.891846400002</v>
      </c>
    </row>
    <row r="20" spans="1:27" s="162" customFormat="1" ht="16.5" thickBot="1" x14ac:dyDescent="0.25">
      <c r="A20" s="10">
        <v>44245</v>
      </c>
      <c r="B20" s="157">
        <v>69.349999999999994</v>
      </c>
      <c r="C20" s="56">
        <v>17975</v>
      </c>
      <c r="D20" s="56">
        <f>IF((C20-C19)&lt;0,"0",(C20-C19))*160</f>
        <v>640</v>
      </c>
      <c r="E20" s="148">
        <v>25105357</v>
      </c>
      <c r="F20" s="157">
        <f t="shared" si="5"/>
        <v>7719</v>
      </c>
      <c r="G20" s="152">
        <v>78101521</v>
      </c>
      <c r="H20" s="56">
        <f t="shared" si="6"/>
        <v>50464</v>
      </c>
      <c r="I20" s="159">
        <f t="shared" si="0"/>
        <v>58183</v>
      </c>
      <c r="J20" s="148">
        <v>7538164</v>
      </c>
      <c r="K20" s="157">
        <f t="shared" si="7"/>
        <v>6956</v>
      </c>
      <c r="L20" s="150">
        <v>7545379</v>
      </c>
      <c r="M20" s="157">
        <f t="shared" si="8"/>
        <v>5620</v>
      </c>
      <c r="N20" s="148">
        <v>4962576</v>
      </c>
      <c r="O20" s="157">
        <f t="shared" si="12"/>
        <v>1912</v>
      </c>
      <c r="P20" s="150">
        <v>2574766</v>
      </c>
      <c r="Q20" s="157">
        <f t="shared" si="9"/>
        <v>7743</v>
      </c>
      <c r="R20" s="148">
        <v>16632651</v>
      </c>
      <c r="S20" s="157">
        <f t="shared" si="10"/>
        <v>10565</v>
      </c>
      <c r="T20" s="158">
        <v>0</v>
      </c>
      <c r="U20" s="151"/>
      <c r="V20" s="148">
        <v>4169571</v>
      </c>
      <c r="W20" s="157">
        <f t="shared" si="11"/>
        <v>12083</v>
      </c>
      <c r="X20" s="30">
        <f t="shared" si="1"/>
        <v>44879</v>
      </c>
      <c r="Y20" s="160">
        <f t="shared" si="2"/>
        <v>13304</v>
      </c>
      <c r="Z20" s="161">
        <f t="shared" si="3"/>
        <v>6894.7488896000004</v>
      </c>
      <c r="AA20" s="161">
        <f t="shared" si="13"/>
        <v>25226.3847264</v>
      </c>
    </row>
    <row r="21" spans="1:27" s="162" customFormat="1" ht="16.5" thickBot="1" x14ac:dyDescent="0.25">
      <c r="A21" s="10">
        <v>44246</v>
      </c>
      <c r="B21" s="157">
        <v>69.349999999999994</v>
      </c>
      <c r="C21" s="56">
        <v>17977</v>
      </c>
      <c r="D21" s="56">
        <f>IF((C21-C20)&lt;0,"0",(C21-C20))*160</f>
        <v>320</v>
      </c>
      <c r="E21" s="148">
        <v>25111602</v>
      </c>
      <c r="F21" s="157">
        <f t="shared" si="5"/>
        <v>6245</v>
      </c>
      <c r="G21" s="152">
        <v>78142195</v>
      </c>
      <c r="H21" s="56">
        <f t="shared" si="6"/>
        <v>40674</v>
      </c>
      <c r="I21" s="159">
        <f t="shared" si="0"/>
        <v>46919</v>
      </c>
      <c r="J21" s="148">
        <v>7543498</v>
      </c>
      <c r="K21" s="157">
        <f t="shared" si="7"/>
        <v>5334</v>
      </c>
      <c r="L21" s="150">
        <v>7549908</v>
      </c>
      <c r="M21" s="157">
        <f t="shared" si="8"/>
        <v>4529</v>
      </c>
      <c r="N21" s="148">
        <v>4963360</v>
      </c>
      <c r="O21" s="157">
        <f t="shared" si="12"/>
        <v>1568</v>
      </c>
      <c r="P21" s="150">
        <v>2581149</v>
      </c>
      <c r="Q21" s="157">
        <f t="shared" si="9"/>
        <v>6383</v>
      </c>
      <c r="R21" s="148">
        <v>16641233</v>
      </c>
      <c r="S21" s="157">
        <f t="shared" si="10"/>
        <v>8582</v>
      </c>
      <c r="T21" s="158">
        <v>0</v>
      </c>
      <c r="U21" s="151"/>
      <c r="V21" s="148">
        <v>4179369</v>
      </c>
      <c r="W21" s="157">
        <f t="shared" si="11"/>
        <v>9798</v>
      </c>
      <c r="X21" s="30">
        <f t="shared" si="1"/>
        <v>36194</v>
      </c>
      <c r="Y21" s="160">
        <f t="shared" si="2"/>
        <v>10725</v>
      </c>
      <c r="Z21" s="161">
        <f t="shared" si="3"/>
        <v>5612.1557440000006</v>
      </c>
      <c r="AA21" s="161">
        <f t="shared" si="13"/>
        <v>23519.705164800002</v>
      </c>
    </row>
    <row r="22" spans="1:27" ht="16.5" thickBot="1" x14ac:dyDescent="0.25">
      <c r="A22" s="10">
        <v>44247</v>
      </c>
      <c r="B22" s="56">
        <v>69.349999999999994</v>
      </c>
      <c r="C22" s="56">
        <v>17979</v>
      </c>
      <c r="D22" s="56">
        <f t="shared" si="4"/>
        <v>320</v>
      </c>
      <c r="E22" s="148">
        <v>25116106</v>
      </c>
      <c r="F22" s="56">
        <f t="shared" si="5"/>
        <v>4504</v>
      </c>
      <c r="G22" s="152">
        <v>78171820</v>
      </c>
      <c r="H22" s="56">
        <f t="shared" si="6"/>
        <v>29625</v>
      </c>
      <c r="I22" s="149">
        <f t="shared" si="0"/>
        <v>34129</v>
      </c>
      <c r="J22" s="148">
        <v>7547560</v>
      </c>
      <c r="K22" s="56">
        <f t="shared" si="7"/>
        <v>4062</v>
      </c>
      <c r="L22" s="150">
        <v>7553161</v>
      </c>
      <c r="M22" s="56">
        <f t="shared" si="8"/>
        <v>3253</v>
      </c>
      <c r="N22" s="148">
        <v>4963935</v>
      </c>
      <c r="O22" s="56">
        <f t="shared" si="12"/>
        <v>1150</v>
      </c>
      <c r="P22" s="150">
        <v>2585443</v>
      </c>
      <c r="Q22" s="56">
        <f t="shared" si="9"/>
        <v>4294</v>
      </c>
      <c r="R22" s="148">
        <v>16647390</v>
      </c>
      <c r="S22" s="56">
        <f t="shared" si="10"/>
        <v>6157</v>
      </c>
      <c r="T22" s="148">
        <v>0</v>
      </c>
      <c r="U22" s="151"/>
      <c r="V22" s="148">
        <v>4186423</v>
      </c>
      <c r="W22" s="56">
        <f t="shared" si="11"/>
        <v>7054</v>
      </c>
      <c r="X22" s="30">
        <f t="shared" si="1"/>
        <v>25970</v>
      </c>
      <c r="Y22" s="39">
        <f t="shared" si="2"/>
        <v>8159</v>
      </c>
      <c r="Z22" s="29">
        <f t="shared" si="3"/>
        <v>3994.6274991999999</v>
      </c>
      <c r="AA22" s="29">
        <f t="shared" si="13"/>
        <v>22073.1824352</v>
      </c>
    </row>
    <row r="23" spans="1:27" ht="16.5" thickBot="1" x14ac:dyDescent="0.25">
      <c r="A23" s="10">
        <v>44248</v>
      </c>
      <c r="B23" s="56">
        <v>62.05</v>
      </c>
      <c r="C23" s="56">
        <v>17981</v>
      </c>
      <c r="D23" s="56">
        <f t="shared" si="4"/>
        <v>320</v>
      </c>
      <c r="E23" s="148">
        <v>25123343</v>
      </c>
      <c r="F23" s="56">
        <f t="shared" si="5"/>
        <v>7237</v>
      </c>
      <c r="G23" s="152">
        <v>78218166</v>
      </c>
      <c r="H23" s="56">
        <f t="shared" si="6"/>
        <v>46346</v>
      </c>
      <c r="I23" s="149">
        <f t="shared" si="0"/>
        <v>53583</v>
      </c>
      <c r="J23" s="148">
        <v>7554151</v>
      </c>
      <c r="K23" s="56">
        <f t="shared" si="7"/>
        <v>6591</v>
      </c>
      <c r="L23" s="150">
        <v>7557494</v>
      </c>
      <c r="M23" s="56">
        <f t="shared" si="8"/>
        <v>4333</v>
      </c>
      <c r="N23" s="148">
        <v>4964807</v>
      </c>
      <c r="O23" s="56">
        <f t="shared" si="12"/>
        <v>1744</v>
      </c>
      <c r="P23" s="150">
        <v>2596635</v>
      </c>
      <c r="Q23" s="56">
        <f t="shared" si="9"/>
        <v>11192</v>
      </c>
      <c r="R23" s="148">
        <v>16657332</v>
      </c>
      <c r="S23" s="56">
        <f t="shared" si="10"/>
        <v>9942</v>
      </c>
      <c r="T23" s="148">
        <v>0</v>
      </c>
      <c r="U23" s="151"/>
      <c r="V23" s="148">
        <v>4196997</v>
      </c>
      <c r="W23" s="56">
        <f t="shared" si="11"/>
        <v>10574</v>
      </c>
      <c r="X23" s="30">
        <f t="shared" si="1"/>
        <v>44376</v>
      </c>
      <c r="Y23" s="39">
        <f t="shared" si="2"/>
        <v>9207</v>
      </c>
      <c r="Z23" s="29">
        <f t="shared" si="3"/>
        <v>6852.2638912000002</v>
      </c>
      <c r="AA23" s="29">
        <f t="shared" si="13"/>
        <v>23353.796023999999</v>
      </c>
    </row>
    <row r="24" spans="1:27" ht="16.5" thickBot="1" x14ac:dyDescent="0.25">
      <c r="A24" s="10">
        <v>44249</v>
      </c>
      <c r="B24" s="56">
        <v>80</v>
      </c>
      <c r="C24" s="56">
        <v>17983</v>
      </c>
      <c r="D24" s="56">
        <f t="shared" si="4"/>
        <v>320</v>
      </c>
      <c r="E24" s="148">
        <v>25131359</v>
      </c>
      <c r="F24" s="56">
        <f t="shared" si="5"/>
        <v>8016</v>
      </c>
      <c r="G24" s="152">
        <v>78264373</v>
      </c>
      <c r="H24" s="56">
        <f t="shared" si="6"/>
        <v>46207</v>
      </c>
      <c r="I24" s="149">
        <f t="shared" si="0"/>
        <v>54223</v>
      </c>
      <c r="J24" s="148">
        <v>7560699</v>
      </c>
      <c r="K24" s="56">
        <f t="shared" si="7"/>
        <v>6548</v>
      </c>
      <c r="L24" s="150">
        <v>7564602</v>
      </c>
      <c r="M24" s="56">
        <f t="shared" si="8"/>
        <v>7108</v>
      </c>
      <c r="N24" s="148">
        <v>4965677</v>
      </c>
      <c r="O24" s="56">
        <f t="shared" si="12"/>
        <v>1740</v>
      </c>
      <c r="P24" s="150">
        <v>2601658</v>
      </c>
      <c r="Q24" s="56">
        <f t="shared" si="9"/>
        <v>5023</v>
      </c>
      <c r="R24" s="148">
        <v>16666874</v>
      </c>
      <c r="S24" s="56">
        <f t="shared" si="10"/>
        <v>9542</v>
      </c>
      <c r="T24" s="148">
        <v>0</v>
      </c>
      <c r="U24" s="151"/>
      <c r="V24" s="148">
        <v>4207571</v>
      </c>
      <c r="W24" s="56">
        <f t="shared" si="11"/>
        <v>10574</v>
      </c>
      <c r="X24" s="30">
        <f t="shared" si="1"/>
        <v>40535</v>
      </c>
      <c r="Y24" s="39">
        <f t="shared" si="2"/>
        <v>13688</v>
      </c>
      <c r="Z24" s="29">
        <f t="shared" si="3"/>
        <v>5861.5249472000005</v>
      </c>
      <c r="AA24" s="29">
        <f t="shared" si="13"/>
        <v>22320.572081599999</v>
      </c>
    </row>
    <row r="25" spans="1:27" ht="16.5" thickBot="1" x14ac:dyDescent="0.25">
      <c r="A25" s="10">
        <v>44250</v>
      </c>
      <c r="B25" s="56">
        <v>70</v>
      </c>
      <c r="C25" s="56">
        <v>17985</v>
      </c>
      <c r="D25" s="56">
        <f t="shared" si="4"/>
        <v>320</v>
      </c>
      <c r="E25" s="148">
        <v>25139546</v>
      </c>
      <c r="F25" s="56">
        <f t="shared" si="5"/>
        <v>8187</v>
      </c>
      <c r="G25" s="152">
        <v>78308630</v>
      </c>
      <c r="H25" s="56">
        <f t="shared" si="6"/>
        <v>44257</v>
      </c>
      <c r="I25" s="149">
        <f t="shared" si="0"/>
        <v>52444</v>
      </c>
      <c r="J25" s="148">
        <v>7566820</v>
      </c>
      <c r="K25" s="56">
        <f t="shared" si="7"/>
        <v>6121</v>
      </c>
      <c r="L25" s="150">
        <v>7570631</v>
      </c>
      <c r="M25" s="56">
        <f t="shared" si="8"/>
        <v>6029</v>
      </c>
      <c r="N25" s="148">
        <v>4966670</v>
      </c>
      <c r="O25" s="56">
        <f t="shared" si="12"/>
        <v>1986</v>
      </c>
      <c r="P25" s="150">
        <v>2608982</v>
      </c>
      <c r="Q25" s="56">
        <f t="shared" si="9"/>
        <v>7324</v>
      </c>
      <c r="R25" s="148">
        <v>16675776</v>
      </c>
      <c r="S25" s="56">
        <f t="shared" si="10"/>
        <v>8902</v>
      </c>
      <c r="T25" s="148">
        <v>0</v>
      </c>
      <c r="U25" s="151"/>
      <c r="V25" s="148">
        <v>4218020</v>
      </c>
      <c r="W25" s="56">
        <f t="shared" si="11"/>
        <v>10449</v>
      </c>
      <c r="X25" s="30">
        <f t="shared" si="1"/>
        <v>40811</v>
      </c>
      <c r="Y25" s="39">
        <f t="shared" si="2"/>
        <v>11633</v>
      </c>
      <c r="Z25" s="29">
        <f t="shared" si="3"/>
        <v>6044.5719152000001</v>
      </c>
      <c r="AA25" s="29">
        <f t="shared" si="13"/>
        <v>22752.988252800002</v>
      </c>
    </row>
    <row r="26" spans="1:27" ht="16.5" thickBot="1" x14ac:dyDescent="0.25">
      <c r="A26" s="10">
        <v>44251</v>
      </c>
      <c r="B26" s="56">
        <v>74</v>
      </c>
      <c r="C26" s="56">
        <v>17987</v>
      </c>
      <c r="D26" s="56">
        <f t="shared" si="4"/>
        <v>320</v>
      </c>
      <c r="E26" s="148">
        <v>25146340</v>
      </c>
      <c r="F26" s="56">
        <f t="shared" si="5"/>
        <v>6794</v>
      </c>
      <c r="G26" s="152">
        <v>78342693</v>
      </c>
      <c r="H26" s="56">
        <f t="shared" si="6"/>
        <v>34063</v>
      </c>
      <c r="I26" s="149">
        <f t="shared" si="0"/>
        <v>40857</v>
      </c>
      <c r="J26" s="148">
        <v>7571551</v>
      </c>
      <c r="K26" s="56">
        <f t="shared" si="7"/>
        <v>4731</v>
      </c>
      <c r="L26" s="150">
        <v>7575489</v>
      </c>
      <c r="M26" s="56">
        <f t="shared" si="8"/>
        <v>4858</v>
      </c>
      <c r="N26" s="148">
        <v>4967578</v>
      </c>
      <c r="O26" s="56">
        <f t="shared" si="12"/>
        <v>1816</v>
      </c>
      <c r="P26" s="150">
        <v>2614575</v>
      </c>
      <c r="Q26" s="56">
        <f t="shared" si="9"/>
        <v>5593</v>
      </c>
      <c r="R26" s="148">
        <v>16682703</v>
      </c>
      <c r="S26" s="56">
        <f t="shared" si="10"/>
        <v>6927</v>
      </c>
      <c r="T26" s="148">
        <v>0</v>
      </c>
      <c r="U26" s="151"/>
      <c r="V26" s="148">
        <v>4226134</v>
      </c>
      <c r="W26" s="56">
        <f t="shared" si="11"/>
        <v>8114</v>
      </c>
      <c r="X26" s="30">
        <f t="shared" si="1"/>
        <v>32039</v>
      </c>
      <c r="Y26" s="39">
        <f t="shared" si="2"/>
        <v>8818</v>
      </c>
      <c r="Z26" s="29">
        <f t="shared" si="3"/>
        <v>4723.2654352</v>
      </c>
      <c r="AA26" s="29">
        <f t="shared" si="13"/>
        <v>23481.626188799997</v>
      </c>
    </row>
    <row r="27" spans="1:27" ht="16.5" thickBot="1" x14ac:dyDescent="0.25">
      <c r="A27" s="10">
        <v>44252</v>
      </c>
      <c r="B27" s="56">
        <v>74</v>
      </c>
      <c r="C27" s="56">
        <v>17989</v>
      </c>
      <c r="D27" s="56">
        <f t="shared" si="4"/>
        <v>320</v>
      </c>
      <c r="E27" s="148">
        <v>25156837</v>
      </c>
      <c r="F27" s="56">
        <f t="shared" si="5"/>
        <v>10497</v>
      </c>
      <c r="G27" s="152">
        <v>78394696</v>
      </c>
      <c r="H27" s="56">
        <f t="shared" si="6"/>
        <v>52003</v>
      </c>
      <c r="I27" s="149">
        <f t="shared" si="0"/>
        <v>62500</v>
      </c>
      <c r="J27" s="148">
        <v>7578732</v>
      </c>
      <c r="K27" s="56">
        <f t="shared" si="7"/>
        <v>7181</v>
      </c>
      <c r="L27" s="150">
        <v>7583066</v>
      </c>
      <c r="M27" s="56">
        <f t="shared" si="8"/>
        <v>7577</v>
      </c>
      <c r="N27" s="148">
        <v>4968948</v>
      </c>
      <c r="O27" s="56">
        <f t="shared" si="12"/>
        <v>2740</v>
      </c>
      <c r="P27" s="150">
        <v>2623461</v>
      </c>
      <c r="Q27" s="56">
        <f t="shared" si="9"/>
        <v>8886</v>
      </c>
      <c r="R27" s="148">
        <v>16693018</v>
      </c>
      <c r="S27" s="56">
        <f t="shared" si="10"/>
        <v>10315</v>
      </c>
      <c r="T27" s="148">
        <v>0</v>
      </c>
      <c r="U27" s="151"/>
      <c r="V27" s="148">
        <v>4238437</v>
      </c>
      <c r="W27" s="56">
        <f t="shared" si="11"/>
        <v>12303</v>
      </c>
      <c r="X27" s="30">
        <f t="shared" si="1"/>
        <v>49002</v>
      </c>
      <c r="Y27" s="39">
        <f t="shared" si="2"/>
        <v>13498</v>
      </c>
      <c r="Z27" s="29">
        <f t="shared" si="3"/>
        <v>7172.8051616000012</v>
      </c>
      <c r="AA27" s="29">
        <f t="shared" si="13"/>
        <v>23802.167459200002</v>
      </c>
    </row>
    <row r="28" spans="1:27" ht="16.5" thickBot="1" x14ac:dyDescent="0.25">
      <c r="A28" s="10">
        <v>44253</v>
      </c>
      <c r="B28" s="56">
        <v>73</v>
      </c>
      <c r="C28" s="56">
        <v>17991</v>
      </c>
      <c r="D28" s="56">
        <f t="shared" si="4"/>
        <v>320</v>
      </c>
      <c r="E28" s="148">
        <v>25165494</v>
      </c>
      <c r="F28" s="56">
        <f t="shared" si="5"/>
        <v>8657</v>
      </c>
      <c r="G28" s="152">
        <v>78439659</v>
      </c>
      <c r="H28" s="56">
        <f t="shared" si="6"/>
        <v>44963</v>
      </c>
      <c r="I28" s="149">
        <f t="shared" si="0"/>
        <v>53620</v>
      </c>
      <c r="J28" s="148">
        <v>7584414</v>
      </c>
      <c r="K28" s="56">
        <f t="shared" si="7"/>
        <v>5682</v>
      </c>
      <c r="L28" s="150">
        <v>7589071</v>
      </c>
      <c r="M28" s="56">
        <f t="shared" si="8"/>
        <v>6005</v>
      </c>
      <c r="N28" s="148">
        <v>4970182</v>
      </c>
      <c r="O28" s="56">
        <f t="shared" si="12"/>
        <v>2468</v>
      </c>
      <c r="P28" s="150">
        <v>2631016</v>
      </c>
      <c r="Q28" s="56">
        <f t="shared" si="9"/>
        <v>7555</v>
      </c>
      <c r="R28" s="148">
        <v>16702338</v>
      </c>
      <c r="S28" s="56">
        <f t="shared" si="10"/>
        <v>9320</v>
      </c>
      <c r="T28" s="148">
        <v>0</v>
      </c>
      <c r="U28" s="151"/>
      <c r="V28" s="148">
        <v>4249162</v>
      </c>
      <c r="W28" s="56">
        <f t="shared" si="11"/>
        <v>10725</v>
      </c>
      <c r="X28" s="30">
        <f t="shared" si="1"/>
        <v>41755</v>
      </c>
      <c r="Y28" s="39">
        <f t="shared" si="2"/>
        <v>11865</v>
      </c>
      <c r="Z28" s="29">
        <f t="shared" si="3"/>
        <v>6316.2358480000003</v>
      </c>
      <c r="AA28" s="29">
        <f t="shared" si="13"/>
        <v>24256.878360000002</v>
      </c>
    </row>
    <row r="29" spans="1:27" ht="16.5" thickBot="1" x14ac:dyDescent="0.25">
      <c r="A29" s="10">
        <v>44254</v>
      </c>
      <c r="B29" s="56">
        <v>73</v>
      </c>
      <c r="C29" s="56">
        <v>17996</v>
      </c>
      <c r="D29" s="56">
        <f t="shared" si="4"/>
        <v>800</v>
      </c>
      <c r="E29" s="148">
        <v>25172568</v>
      </c>
      <c r="F29" s="56">
        <f t="shared" si="5"/>
        <v>7074</v>
      </c>
      <c r="G29" s="152">
        <v>78474577</v>
      </c>
      <c r="H29" s="56">
        <f t="shared" si="6"/>
        <v>34918</v>
      </c>
      <c r="I29" s="149">
        <f t="shared" si="0"/>
        <v>41992</v>
      </c>
      <c r="J29" s="148">
        <v>7589231</v>
      </c>
      <c r="K29" s="56">
        <f t="shared" si="7"/>
        <v>4817</v>
      </c>
      <c r="L29" s="150">
        <v>7594143</v>
      </c>
      <c r="M29" s="56">
        <f t="shared" si="8"/>
        <v>5072</v>
      </c>
      <c r="N29" s="148">
        <v>4971122</v>
      </c>
      <c r="O29" s="56">
        <f t="shared" si="12"/>
        <v>1880</v>
      </c>
      <c r="P29" s="150">
        <v>2636835</v>
      </c>
      <c r="Q29" s="56">
        <f t="shared" si="9"/>
        <v>5819</v>
      </c>
      <c r="R29" s="148">
        <v>16709353</v>
      </c>
      <c r="S29" s="56">
        <f t="shared" si="10"/>
        <v>7015</v>
      </c>
      <c r="T29" s="148">
        <v>0</v>
      </c>
      <c r="U29" s="151"/>
      <c r="V29" s="148">
        <v>4257474</v>
      </c>
      <c r="W29" s="56">
        <f t="shared" si="11"/>
        <v>8312</v>
      </c>
      <c r="X29" s="30">
        <f t="shared" si="1"/>
        <v>32915</v>
      </c>
      <c r="Y29" s="39">
        <f t="shared" si="2"/>
        <v>9077</v>
      </c>
      <c r="Z29" s="29">
        <f t="shared" si="3"/>
        <v>4834.6647024000004</v>
      </c>
      <c r="AA29" s="29">
        <f t="shared" si="13"/>
        <v>23046.971147200002</v>
      </c>
    </row>
    <row r="30" spans="1:27" ht="16.5" thickBot="1" x14ac:dyDescent="0.25">
      <c r="A30" s="10">
        <v>44255</v>
      </c>
      <c r="B30" s="56">
        <v>73</v>
      </c>
      <c r="C30" s="56">
        <v>17997</v>
      </c>
      <c r="D30" s="56">
        <f t="shared" si="4"/>
        <v>160</v>
      </c>
      <c r="E30" s="148">
        <v>25181492</v>
      </c>
      <c r="F30" s="56">
        <f t="shared" si="5"/>
        <v>8924</v>
      </c>
      <c r="G30" s="152">
        <v>78500836</v>
      </c>
      <c r="H30" s="56">
        <f t="shared" si="6"/>
        <v>26259</v>
      </c>
      <c r="I30" s="149">
        <f t="shared" si="0"/>
        <v>35183</v>
      </c>
      <c r="J30" s="148">
        <v>7595749</v>
      </c>
      <c r="K30" s="56">
        <f t="shared" si="7"/>
        <v>6518</v>
      </c>
      <c r="L30" s="150">
        <v>7600315</v>
      </c>
      <c r="M30" s="56">
        <f t="shared" si="8"/>
        <v>6172</v>
      </c>
      <c r="N30" s="148">
        <v>4972415</v>
      </c>
      <c r="O30" s="56">
        <f t="shared" si="12"/>
        <v>2586</v>
      </c>
      <c r="P30" s="150">
        <v>2644726</v>
      </c>
      <c r="Q30" s="56">
        <f t="shared" si="9"/>
        <v>7891</v>
      </c>
      <c r="R30" s="148">
        <v>16718530</v>
      </c>
      <c r="S30" s="56">
        <f t="shared" si="10"/>
        <v>9177</v>
      </c>
      <c r="T30" s="148">
        <v>0</v>
      </c>
      <c r="U30" s="151"/>
      <c r="V30" s="148">
        <v>4268410</v>
      </c>
      <c r="W30" s="56">
        <f t="shared" si="11"/>
        <v>10936</v>
      </c>
      <c r="X30" s="30">
        <f t="shared" si="1"/>
        <v>43280</v>
      </c>
      <c r="Y30" s="39">
        <f t="shared" si="2"/>
        <v>-8097</v>
      </c>
      <c r="Z30" s="29">
        <f t="shared" si="3"/>
        <v>6398.465153600001</v>
      </c>
      <c r="AA30" s="29">
        <f t="shared" si="13"/>
        <v>24722.170865600005</v>
      </c>
    </row>
    <row r="31" spans="1:27" ht="16.5" thickBot="1" x14ac:dyDescent="0.25">
      <c r="A31" s="6" t="s">
        <v>24</v>
      </c>
      <c r="B31" s="56"/>
      <c r="C31" s="56">
        <f>C30</f>
        <v>17997</v>
      </c>
      <c r="D31" s="56">
        <f>SUM(D2:D30)</f>
        <v>10880</v>
      </c>
      <c r="E31" s="148">
        <f t="shared" ref="E31" si="14">E30</f>
        <v>25181492</v>
      </c>
      <c r="F31" s="56">
        <f t="shared" si="5"/>
        <v>0</v>
      </c>
      <c r="G31" s="152">
        <v>78101521</v>
      </c>
      <c r="H31" s="170">
        <f>SUM(H2:H30)</f>
        <v>1210837</v>
      </c>
      <c r="I31" s="30">
        <f>F31+H31</f>
        <v>1210837</v>
      </c>
      <c r="J31" s="32"/>
      <c r="K31" s="170">
        <f>SUM(K2:K30)</f>
        <v>165237</v>
      </c>
      <c r="L31" s="31"/>
      <c r="M31" s="170">
        <f>SUM(M2:M30)</f>
        <v>157604</v>
      </c>
      <c r="N31" s="31"/>
      <c r="O31" s="170">
        <f>SUM(O2:O30)</f>
        <v>60592</v>
      </c>
      <c r="P31" s="31"/>
      <c r="Q31" s="170">
        <f>SUM(Q2:Q30)</f>
        <v>207578</v>
      </c>
      <c r="R31" s="31"/>
      <c r="S31" s="170">
        <f>SUM(S2:S30)</f>
        <v>253830</v>
      </c>
      <c r="T31" s="31"/>
      <c r="U31" s="33"/>
      <c r="V31" s="31"/>
      <c r="W31" s="170">
        <f>SUM(W2:W30)</f>
        <v>289755</v>
      </c>
      <c r="X31" s="33">
        <f>SUM(X3:X30)</f>
        <v>1134596</v>
      </c>
      <c r="Y31" s="40">
        <f>SUM(Y3:Y30)</f>
        <v>298946</v>
      </c>
      <c r="Z31" s="33">
        <f>SUM(Z4:Z30)</f>
        <v>159654.99018560004</v>
      </c>
      <c r="AA31" s="33"/>
    </row>
    <row r="33" spans="1:28" ht="15" x14ac:dyDescent="0.2">
      <c r="A33" s="28"/>
      <c r="B33" s="57"/>
      <c r="C33" s="57"/>
      <c r="D33" s="57"/>
      <c r="G33" s="28" t="s">
        <v>13</v>
      </c>
      <c r="M33" s="28" t="s">
        <v>13</v>
      </c>
      <c r="N33" s="28" t="s">
        <v>13</v>
      </c>
      <c r="P33" s="28" t="s">
        <v>13</v>
      </c>
      <c r="T33" s="28" t="s">
        <v>13</v>
      </c>
      <c r="V33" s="28" t="s">
        <v>13</v>
      </c>
      <c r="Z33" s="28"/>
      <c r="AA33" s="28"/>
    </row>
    <row r="34" spans="1:28" x14ac:dyDescent="0.25">
      <c r="V34" s="28" t="s">
        <v>13</v>
      </c>
      <c r="Y34" s="35"/>
    </row>
    <row r="35" spans="1:28" x14ac:dyDescent="0.25">
      <c r="U35" s="28" t="s">
        <v>13</v>
      </c>
      <c r="Y35" s="35"/>
    </row>
    <row r="36" spans="1:28" x14ac:dyDescent="0.25">
      <c r="Y36" s="35"/>
      <c r="AB36" s="156"/>
    </row>
    <row r="37" spans="1:28" x14ac:dyDescent="0.25">
      <c r="Y37" s="35"/>
    </row>
    <row r="48" spans="1:28" ht="15" x14ac:dyDescent="0.2">
      <c r="A48" s="28"/>
      <c r="B48" s="57"/>
      <c r="C48" s="57"/>
      <c r="D48" s="57"/>
      <c r="Z48" s="28"/>
      <c r="AA48" s="28"/>
    </row>
  </sheetData>
  <phoneticPr fontId="0" type="noConversion"/>
  <pageMargins left="0.75" right="0.75" top="1" bottom="1" header="0.5" footer="0.5"/>
  <pageSetup paperSize="9" scale="2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selection activeCell="B5" sqref="B5"/>
    </sheetView>
  </sheetViews>
  <sheetFormatPr defaultRowHeight="23.25" x14ac:dyDescent="0.35"/>
  <cols>
    <col min="1" max="1" width="37.140625" style="19" customWidth="1"/>
    <col min="2" max="2" width="37.140625" customWidth="1"/>
    <col min="3" max="3" width="37.140625" style="64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6" t="s">
        <v>0</v>
      </c>
      <c r="B1" s="37" t="s">
        <v>43</v>
      </c>
      <c r="C1" s="38" t="s">
        <v>26</v>
      </c>
    </row>
    <row r="2" spans="1:9" ht="24" thickBot="1" x14ac:dyDescent="0.4">
      <c r="A2" s="36" t="s">
        <v>12</v>
      </c>
      <c r="B2" s="165">
        <v>17100707</v>
      </c>
      <c r="C2" s="63"/>
    </row>
    <row r="3" spans="1:9" ht="24" thickBot="1" x14ac:dyDescent="0.4">
      <c r="A3" s="10">
        <v>44228</v>
      </c>
      <c r="B3" s="165">
        <v>17100707</v>
      </c>
      <c r="C3" s="63">
        <v>0</v>
      </c>
    </row>
    <row r="4" spans="1:9" ht="24" thickBot="1" x14ac:dyDescent="0.4">
      <c r="A4" s="10">
        <v>44229</v>
      </c>
      <c r="B4" s="165">
        <v>17103032</v>
      </c>
      <c r="C4" s="63">
        <f>IF((B4-B3)&lt;0,"0",(B4-B3))</f>
        <v>2325</v>
      </c>
    </row>
    <row r="5" spans="1:9" ht="24" thickBot="1" x14ac:dyDescent="0.4">
      <c r="A5" s="10">
        <v>44230</v>
      </c>
      <c r="B5" s="165">
        <v>17103032</v>
      </c>
      <c r="C5" s="63">
        <f t="shared" ref="C5:C30" si="0">IF((B5-B4)&lt;0,"0",(B5-B4))</f>
        <v>0</v>
      </c>
    </row>
    <row r="6" spans="1:9" ht="24" thickBot="1" x14ac:dyDescent="0.4">
      <c r="A6" s="10">
        <v>44231</v>
      </c>
      <c r="B6" s="165">
        <v>17103032</v>
      </c>
      <c r="C6" s="63">
        <f t="shared" si="0"/>
        <v>0</v>
      </c>
    </row>
    <row r="7" spans="1:9" ht="24" thickBot="1" x14ac:dyDescent="0.4">
      <c r="A7" s="10">
        <v>44232</v>
      </c>
      <c r="B7" s="165">
        <v>17103032</v>
      </c>
      <c r="C7" s="63">
        <f t="shared" si="0"/>
        <v>0</v>
      </c>
    </row>
    <row r="8" spans="1:9" ht="24" thickBot="1" x14ac:dyDescent="0.4">
      <c r="A8" s="10">
        <v>44233</v>
      </c>
      <c r="B8" s="165">
        <v>17103032</v>
      </c>
      <c r="C8" s="63">
        <f t="shared" si="0"/>
        <v>0</v>
      </c>
    </row>
    <row r="9" spans="1:9" ht="24" thickBot="1" x14ac:dyDescent="0.4">
      <c r="A9" s="10">
        <v>44234</v>
      </c>
      <c r="B9" s="165">
        <v>17103032</v>
      </c>
      <c r="C9" s="63">
        <f t="shared" si="0"/>
        <v>0</v>
      </c>
    </row>
    <row r="10" spans="1:9" ht="24" thickBot="1" x14ac:dyDescent="0.4">
      <c r="A10" s="10">
        <v>44235</v>
      </c>
      <c r="B10" s="165">
        <v>17119999</v>
      </c>
      <c r="C10" s="63">
        <f t="shared" si="0"/>
        <v>16967</v>
      </c>
    </row>
    <row r="11" spans="1:9" ht="24" thickBot="1" x14ac:dyDescent="0.4">
      <c r="A11" s="10">
        <v>44236</v>
      </c>
      <c r="B11" s="165">
        <v>17123000</v>
      </c>
      <c r="C11" s="63">
        <f t="shared" si="0"/>
        <v>3001</v>
      </c>
    </row>
    <row r="12" spans="1:9" ht="24" thickBot="1" x14ac:dyDescent="0.4">
      <c r="A12" s="10">
        <v>44237</v>
      </c>
      <c r="B12" s="165">
        <v>17125060</v>
      </c>
      <c r="C12" s="63">
        <f t="shared" si="0"/>
        <v>2060</v>
      </c>
    </row>
    <row r="13" spans="1:9" ht="24" thickBot="1" x14ac:dyDescent="0.4">
      <c r="A13" s="10">
        <v>44238</v>
      </c>
      <c r="B13" s="165">
        <v>17126942</v>
      </c>
      <c r="C13" s="63">
        <f t="shared" si="0"/>
        <v>1882</v>
      </c>
    </row>
    <row r="14" spans="1:9" ht="24" thickBot="1" x14ac:dyDescent="0.4">
      <c r="A14" s="10">
        <v>44239</v>
      </c>
      <c r="B14" s="165">
        <v>17129345</v>
      </c>
      <c r="C14" s="63">
        <f t="shared" si="0"/>
        <v>2403</v>
      </c>
    </row>
    <row r="15" spans="1:9" ht="24" thickBot="1" x14ac:dyDescent="0.4">
      <c r="A15" s="10">
        <v>44240</v>
      </c>
      <c r="B15" s="165">
        <v>17131665</v>
      </c>
      <c r="C15" s="63">
        <f t="shared" si="0"/>
        <v>2320</v>
      </c>
      <c r="I15" t="s">
        <v>13</v>
      </c>
    </row>
    <row r="16" spans="1:9" ht="26.25" customHeight="1" thickBot="1" x14ac:dyDescent="0.4">
      <c r="A16" s="10">
        <v>44241</v>
      </c>
      <c r="B16" s="165">
        <v>17134000</v>
      </c>
      <c r="C16" s="63">
        <f t="shared" si="0"/>
        <v>2335</v>
      </c>
    </row>
    <row r="17" spans="1:9" ht="25.5" customHeight="1" thickBot="1" x14ac:dyDescent="0.4">
      <c r="A17" s="10">
        <v>44242</v>
      </c>
      <c r="B17" s="165">
        <v>17136442</v>
      </c>
      <c r="C17" s="63">
        <f t="shared" si="0"/>
        <v>2442</v>
      </c>
      <c r="F17" s="163"/>
    </row>
    <row r="18" spans="1:9" ht="24" thickBot="1" x14ac:dyDescent="0.4">
      <c r="A18" s="10">
        <v>44243</v>
      </c>
      <c r="B18" s="165">
        <v>17139013</v>
      </c>
      <c r="C18" s="63">
        <f t="shared" si="0"/>
        <v>2571</v>
      </c>
    </row>
    <row r="19" spans="1:9" ht="24" thickBot="1" x14ac:dyDescent="0.4">
      <c r="A19" s="10">
        <v>44244</v>
      </c>
      <c r="B19" s="165">
        <v>17141015</v>
      </c>
      <c r="C19" s="63">
        <f t="shared" si="0"/>
        <v>2002</v>
      </c>
    </row>
    <row r="20" spans="1:9" ht="24" thickBot="1" x14ac:dyDescent="0.4">
      <c r="A20" s="10">
        <v>44245</v>
      </c>
      <c r="B20" s="165">
        <v>17145025</v>
      </c>
      <c r="C20" s="63">
        <f t="shared" si="0"/>
        <v>4010</v>
      </c>
    </row>
    <row r="21" spans="1:9" ht="24" thickBot="1" x14ac:dyDescent="0.4">
      <c r="A21" s="10">
        <v>44246</v>
      </c>
      <c r="B21" s="165">
        <v>17149206</v>
      </c>
      <c r="C21" s="63">
        <f t="shared" si="0"/>
        <v>4181</v>
      </c>
    </row>
    <row r="22" spans="1:9" ht="24" thickBot="1" x14ac:dyDescent="0.4">
      <c r="A22" s="10">
        <v>44247</v>
      </c>
      <c r="B22" s="165">
        <v>17152750</v>
      </c>
      <c r="C22" s="63">
        <f t="shared" si="0"/>
        <v>3544</v>
      </c>
    </row>
    <row r="23" spans="1:9" ht="24" thickBot="1" x14ac:dyDescent="0.4">
      <c r="A23" s="10">
        <v>44248</v>
      </c>
      <c r="B23" s="165">
        <v>17155654</v>
      </c>
      <c r="C23" s="63">
        <f t="shared" si="0"/>
        <v>2904</v>
      </c>
      <c r="F23" t="s">
        <v>13</v>
      </c>
    </row>
    <row r="24" spans="1:9" ht="24" thickBot="1" x14ac:dyDescent="0.4">
      <c r="A24" s="10">
        <v>44249</v>
      </c>
      <c r="B24" s="165">
        <v>17157767</v>
      </c>
      <c r="C24" s="63">
        <f t="shared" si="0"/>
        <v>2113</v>
      </c>
      <c r="E24" t="s">
        <v>13</v>
      </c>
    </row>
    <row r="25" spans="1:9" ht="24" thickBot="1" x14ac:dyDescent="0.4">
      <c r="A25" s="10">
        <v>44250</v>
      </c>
      <c r="B25" s="165">
        <v>17161000</v>
      </c>
      <c r="C25" s="63">
        <f t="shared" si="0"/>
        <v>3233</v>
      </c>
    </row>
    <row r="26" spans="1:9" ht="24" thickBot="1" x14ac:dyDescent="0.4">
      <c r="A26" s="10">
        <v>44251</v>
      </c>
      <c r="B26" s="165">
        <v>17164063</v>
      </c>
      <c r="C26" s="63">
        <f t="shared" si="0"/>
        <v>3063</v>
      </c>
    </row>
    <row r="27" spans="1:9" ht="24" thickBot="1" x14ac:dyDescent="0.4">
      <c r="A27" s="10">
        <v>44252</v>
      </c>
      <c r="B27" s="165">
        <v>17166487</v>
      </c>
      <c r="C27" s="63">
        <f t="shared" si="0"/>
        <v>2424</v>
      </c>
    </row>
    <row r="28" spans="1:9" ht="24" thickBot="1" x14ac:dyDescent="0.4">
      <c r="A28" s="10">
        <v>44253</v>
      </c>
      <c r="B28" s="165">
        <v>17168998</v>
      </c>
      <c r="C28" s="63">
        <f t="shared" si="0"/>
        <v>2511</v>
      </c>
      <c r="I28" t="s">
        <v>13</v>
      </c>
    </row>
    <row r="29" spans="1:9" ht="24" thickBot="1" x14ac:dyDescent="0.4">
      <c r="A29" s="10">
        <v>44254</v>
      </c>
      <c r="B29" s="165">
        <v>17172012</v>
      </c>
      <c r="C29" s="63">
        <f t="shared" si="0"/>
        <v>3014</v>
      </c>
    </row>
    <row r="30" spans="1:9" ht="24" thickBot="1" x14ac:dyDescent="0.4">
      <c r="A30" s="10">
        <v>44255</v>
      </c>
      <c r="B30" s="165">
        <v>17175001</v>
      </c>
      <c r="C30" s="63">
        <f t="shared" si="0"/>
        <v>2989</v>
      </c>
    </row>
    <row r="31" spans="1:9" ht="24" thickBot="1" x14ac:dyDescent="0.4">
      <c r="A31" s="172" t="s">
        <v>24</v>
      </c>
      <c r="B31" s="173"/>
      <c r="C31" s="168">
        <f>SUM(C3:C30)</f>
        <v>74294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opLeftCell="E1" zoomScale="98" zoomScaleNormal="98" workbookViewId="0">
      <selection activeCell="F30" sqref="F30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53" bestFit="1" customWidth="1"/>
    <col min="4" max="4" width="15.140625" bestFit="1" customWidth="1"/>
    <col min="5" max="5" width="12.5703125" bestFit="1" customWidth="1"/>
    <col min="6" max="6" width="17" style="53" bestFit="1" customWidth="1"/>
    <col min="7" max="7" width="15.140625" customWidth="1"/>
    <col min="8" max="8" width="17.7109375" customWidth="1"/>
    <col min="9" max="9" width="12.85546875" style="53" bestFit="1" customWidth="1"/>
    <col min="10" max="10" width="11.42578125" bestFit="1" customWidth="1"/>
    <col min="11" max="11" width="15.5703125" bestFit="1" customWidth="1"/>
    <col min="12" max="12" width="12.85546875" style="53" bestFit="1" customWidth="1"/>
    <col min="13" max="13" width="12.7109375" bestFit="1" customWidth="1"/>
    <col min="14" max="14" width="11.28515625" bestFit="1" customWidth="1"/>
    <col min="15" max="15" width="12.85546875" style="53" bestFit="1" customWidth="1"/>
    <col min="16" max="16" width="15.140625" bestFit="1" customWidth="1"/>
    <col min="17" max="17" width="13.85546875" bestFit="1" customWidth="1"/>
    <col min="18" max="18" width="16.28515625" style="53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60" t="s">
        <v>2</v>
      </c>
      <c r="D1" s="42" t="s">
        <v>3</v>
      </c>
      <c r="E1" s="3" t="s">
        <v>4</v>
      </c>
      <c r="F1" s="60" t="s">
        <v>2</v>
      </c>
      <c r="G1" s="42" t="s">
        <v>3</v>
      </c>
      <c r="H1" s="3" t="s">
        <v>5</v>
      </c>
      <c r="I1" s="60" t="s">
        <v>6</v>
      </c>
      <c r="J1" s="42" t="s">
        <v>3</v>
      </c>
      <c r="K1" s="3" t="s">
        <v>7</v>
      </c>
      <c r="L1" s="60" t="s">
        <v>6</v>
      </c>
      <c r="M1" s="42" t="s">
        <v>3</v>
      </c>
      <c r="N1" s="4" t="s">
        <v>8</v>
      </c>
      <c r="O1" s="60" t="s">
        <v>6</v>
      </c>
      <c r="P1" s="42" t="s">
        <v>3</v>
      </c>
      <c r="Q1" s="4" t="s">
        <v>9</v>
      </c>
      <c r="R1" s="60" t="s">
        <v>6</v>
      </c>
      <c r="S1" s="42" t="s">
        <v>3</v>
      </c>
      <c r="T1" s="5" t="s">
        <v>10</v>
      </c>
      <c r="U1" s="45" t="s">
        <v>11</v>
      </c>
    </row>
    <row r="2" spans="1:25" ht="16.5" thickBot="1" x14ac:dyDescent="0.25">
      <c r="A2" s="10" t="s">
        <v>12</v>
      </c>
      <c r="B2" s="1">
        <v>20044.099999999999</v>
      </c>
      <c r="C2" s="61">
        <v>0</v>
      </c>
      <c r="D2" s="43">
        <v>0</v>
      </c>
      <c r="E2" s="1">
        <v>3450.2</v>
      </c>
      <c r="F2" s="61">
        <v>0</v>
      </c>
      <c r="G2" s="43">
        <v>0</v>
      </c>
      <c r="H2" s="1">
        <v>2441</v>
      </c>
      <c r="I2" s="61">
        <v>0</v>
      </c>
      <c r="J2" s="43">
        <v>0</v>
      </c>
      <c r="K2" s="7">
        <v>13265.1</v>
      </c>
      <c r="L2" s="61">
        <v>0</v>
      </c>
      <c r="M2" s="43">
        <v>0</v>
      </c>
      <c r="N2" s="7">
        <v>2906.6</v>
      </c>
      <c r="O2" s="61">
        <v>0</v>
      </c>
      <c r="P2" s="43">
        <v>0</v>
      </c>
      <c r="Q2" s="7">
        <v>4697.2</v>
      </c>
      <c r="R2" s="61">
        <v>0</v>
      </c>
      <c r="S2" s="43">
        <v>0</v>
      </c>
      <c r="T2" s="8">
        <v>0</v>
      </c>
      <c r="U2" s="46">
        <v>0</v>
      </c>
    </row>
    <row r="3" spans="1:25" ht="16.5" thickBot="1" x14ac:dyDescent="0.25">
      <c r="A3" s="10">
        <v>44228</v>
      </c>
      <c r="B3" s="1">
        <v>20050.726999999999</v>
      </c>
      <c r="C3" s="61">
        <f>IF((B3-B2)&lt;0,"0",(B3-B2))</f>
        <v>6.6270000000004075</v>
      </c>
      <c r="D3" s="43">
        <f>C3*1.9*1000</f>
        <v>12591.300000000772</v>
      </c>
      <c r="E3" s="1">
        <v>3452.114</v>
      </c>
      <c r="F3" s="61">
        <f t="shared" ref="F3:F31" si="0">IF((E3-E2)&lt;0,"0",(E3-E2))</f>
        <v>1.9140000000002146</v>
      </c>
      <c r="G3" s="43">
        <f>F3*1.9*1000</f>
        <v>3636.6000000004078</v>
      </c>
      <c r="H3" s="1">
        <v>2450</v>
      </c>
      <c r="I3" s="61">
        <f>IF((H3-H2)&lt;0,"0",(H3-H2))</f>
        <v>9</v>
      </c>
      <c r="J3" s="43">
        <f>I3*1.9*1000</f>
        <v>17099.999999999996</v>
      </c>
      <c r="K3" s="7">
        <v>13267.12</v>
      </c>
      <c r="L3" s="61">
        <f>IF((K3-K2)&lt;0,"0",(K3-K2))</f>
        <v>2.0200000000004366</v>
      </c>
      <c r="M3" s="43">
        <f>L3*1.9*1000</f>
        <v>3838.000000000829</v>
      </c>
      <c r="N3" s="7">
        <v>2908.337</v>
      </c>
      <c r="O3" s="61">
        <f>IF((N3-N2)&lt;0,"0",(N3-N2))</f>
        <v>1.73700000000008</v>
      </c>
      <c r="P3" s="43">
        <f>O3*1.9*1000</f>
        <v>3300.3000000001521</v>
      </c>
      <c r="Q3" s="7">
        <v>4697.2299999999996</v>
      </c>
      <c r="R3" s="61">
        <f t="shared" ref="R3:R31" si="1">IF((Q3-Q2)&lt;0,"0",(Q3-Q2))</f>
        <v>2.9999999999745341E-2</v>
      </c>
      <c r="S3" s="43">
        <f>R3*1.9*1000</f>
        <v>56.999999999516149</v>
      </c>
      <c r="T3" s="8">
        <f>C3+F3+I3+L3+O3+R3</f>
        <v>21.328000000000884</v>
      </c>
      <c r="U3" s="46">
        <f>T3*1.9*1000</f>
        <v>40523.200000001678</v>
      </c>
    </row>
    <row r="4" spans="1:25" ht="16.5" thickBot="1" x14ac:dyDescent="0.25">
      <c r="A4" s="10">
        <v>44229</v>
      </c>
      <c r="B4" s="1">
        <v>20054.057000000001</v>
      </c>
      <c r="C4" s="61">
        <f t="shared" ref="C4:C31" si="2">IF((B4-B3)&lt;0,"0",(B4-B3))</f>
        <v>3.3300000000017462</v>
      </c>
      <c r="D4" s="43">
        <f t="shared" ref="D4:D31" si="3">C4*1.9*1000</f>
        <v>6327.0000000033169</v>
      </c>
      <c r="E4" s="1">
        <v>3453.0070000000001</v>
      </c>
      <c r="F4" s="61">
        <f t="shared" si="0"/>
        <v>0.8930000000000291</v>
      </c>
      <c r="G4" s="43">
        <f t="shared" ref="G4:G31" si="4">F4*1.9*1000</f>
        <v>1696.7000000000551</v>
      </c>
      <c r="H4" s="1">
        <v>2454</v>
      </c>
      <c r="I4" s="61">
        <f t="shared" ref="I4:I31" si="5">IF((H4-H3)&lt;0,"0",(H4-H3))</f>
        <v>4</v>
      </c>
      <c r="J4" s="43">
        <f t="shared" ref="J4:J31" si="6">I4*1.9*1000</f>
        <v>7600</v>
      </c>
      <c r="K4" s="7">
        <v>13267.161</v>
      </c>
      <c r="L4" s="61">
        <f t="shared" ref="L4:L31" si="7">IF((K4-K3)&lt;0,"0",(K4-K3))</f>
        <v>4.0999999999257852E-2</v>
      </c>
      <c r="M4" s="43">
        <f t="shared" ref="M4:M31" si="8">L4*1.9*1000</f>
        <v>77.899999998589919</v>
      </c>
      <c r="N4" s="7">
        <v>2909.2</v>
      </c>
      <c r="O4" s="61">
        <f t="shared" ref="O4:O31" si="9">IF((N4-N3)&lt;0,"0",(N4-N3))</f>
        <v>0.86299999999982901</v>
      </c>
      <c r="P4" s="43">
        <f t="shared" ref="P4:P31" si="10">O4*1.9*1000</f>
        <v>1639.6999999996751</v>
      </c>
      <c r="Q4" s="7">
        <v>4697.2299999999996</v>
      </c>
      <c r="R4" s="61">
        <f t="shared" si="1"/>
        <v>0</v>
      </c>
      <c r="S4" s="43">
        <f t="shared" ref="S4:S31" si="11">R4*1.9*1000</f>
        <v>0</v>
      </c>
      <c r="T4" s="8">
        <f t="shared" ref="T4:T31" si="12">C4+F4+I4+L4+O4+R4</f>
        <v>9.1270000000008622</v>
      </c>
      <c r="U4" s="46">
        <f t="shared" ref="U4:U30" si="13">T4*1.9*1000</f>
        <v>17341.30000000164</v>
      </c>
    </row>
    <row r="5" spans="1:25" ht="16.5" thickBot="1" x14ac:dyDescent="0.25">
      <c r="A5" s="10">
        <v>44230</v>
      </c>
      <c r="B5" s="1">
        <v>20054.057000000001</v>
      </c>
      <c r="C5" s="61">
        <f t="shared" si="2"/>
        <v>0</v>
      </c>
      <c r="D5" s="43">
        <f t="shared" si="3"/>
        <v>0</v>
      </c>
      <c r="E5" s="1">
        <v>3453.0070000000001</v>
      </c>
      <c r="F5" s="61">
        <f t="shared" si="0"/>
        <v>0</v>
      </c>
      <c r="G5" s="43">
        <f t="shared" si="4"/>
        <v>0</v>
      </c>
      <c r="H5" s="1">
        <v>2454</v>
      </c>
      <c r="I5" s="61">
        <f t="shared" si="5"/>
        <v>0</v>
      </c>
      <c r="J5" s="43">
        <f t="shared" si="6"/>
        <v>0</v>
      </c>
      <c r="K5" s="7">
        <v>13267.161</v>
      </c>
      <c r="L5" s="61">
        <f t="shared" si="7"/>
        <v>0</v>
      </c>
      <c r="M5" s="43">
        <f t="shared" si="8"/>
        <v>0</v>
      </c>
      <c r="N5" s="7">
        <v>2909.2</v>
      </c>
      <c r="O5" s="61">
        <f t="shared" si="9"/>
        <v>0</v>
      </c>
      <c r="P5" s="43">
        <f t="shared" si="10"/>
        <v>0</v>
      </c>
      <c r="Q5" s="7">
        <v>4697.2299999999996</v>
      </c>
      <c r="R5" s="61">
        <f t="shared" si="1"/>
        <v>0</v>
      </c>
      <c r="S5" s="43">
        <f t="shared" si="11"/>
        <v>0</v>
      </c>
      <c r="T5" s="8">
        <f t="shared" si="12"/>
        <v>0</v>
      </c>
      <c r="U5" s="46">
        <f t="shared" si="13"/>
        <v>0</v>
      </c>
    </row>
    <row r="6" spans="1:25" ht="16.5" thickBot="1" x14ac:dyDescent="0.25">
      <c r="A6" s="10">
        <v>44231</v>
      </c>
      <c r="B6" s="1">
        <v>20060.933000000001</v>
      </c>
      <c r="C6" s="61">
        <f t="shared" si="2"/>
        <v>6.8760000000002037</v>
      </c>
      <c r="D6" s="43">
        <f t="shared" si="3"/>
        <v>13064.400000000387</v>
      </c>
      <c r="E6" s="1">
        <v>3455.0839999999998</v>
      </c>
      <c r="F6" s="61">
        <f t="shared" si="0"/>
        <v>2.0769999999997708</v>
      </c>
      <c r="G6" s="43">
        <f t="shared" si="4"/>
        <v>3946.2999999995641</v>
      </c>
      <c r="H6" s="1">
        <v>2463</v>
      </c>
      <c r="I6" s="61">
        <f t="shared" si="5"/>
        <v>9</v>
      </c>
      <c r="J6" s="43">
        <f t="shared" si="6"/>
        <v>17099.999999999996</v>
      </c>
      <c r="K6" s="7">
        <v>13270.52</v>
      </c>
      <c r="L6" s="61">
        <f t="shared" si="7"/>
        <v>3.3590000000003783</v>
      </c>
      <c r="M6" s="43">
        <f t="shared" si="8"/>
        <v>6382.1000000007189</v>
      </c>
      <c r="N6" s="7">
        <v>2911.0340000000001</v>
      </c>
      <c r="O6" s="61">
        <f t="shared" si="9"/>
        <v>1.8340000000002874</v>
      </c>
      <c r="P6" s="43">
        <f t="shared" si="10"/>
        <v>3484.6000000005456</v>
      </c>
      <c r="Q6" s="7">
        <v>4697.2299999999996</v>
      </c>
      <c r="R6" s="61">
        <f t="shared" si="1"/>
        <v>0</v>
      </c>
      <c r="S6" s="43">
        <f t="shared" si="11"/>
        <v>0</v>
      </c>
      <c r="T6" s="8">
        <f t="shared" si="12"/>
        <v>23.14600000000064</v>
      </c>
      <c r="U6" s="46">
        <f t="shared" si="13"/>
        <v>43977.400000001217</v>
      </c>
    </row>
    <row r="7" spans="1:25" ht="16.5" thickBot="1" x14ac:dyDescent="0.25">
      <c r="A7" s="10">
        <v>44232</v>
      </c>
      <c r="B7" s="1">
        <v>20064.118999999999</v>
      </c>
      <c r="C7" s="61">
        <f t="shared" si="2"/>
        <v>3.1859999999978754</v>
      </c>
      <c r="D7" s="43">
        <f t="shared" si="3"/>
        <v>6053.3999999959633</v>
      </c>
      <c r="E7" s="1">
        <v>3455.5450000000001</v>
      </c>
      <c r="F7" s="61">
        <f t="shared" si="0"/>
        <v>0.46100000000024011</v>
      </c>
      <c r="G7" s="43">
        <f t="shared" si="4"/>
        <v>875.9000000004562</v>
      </c>
      <c r="H7" s="1">
        <v>2466</v>
      </c>
      <c r="I7" s="61">
        <f t="shared" si="5"/>
        <v>3</v>
      </c>
      <c r="J7" s="43">
        <f t="shared" si="6"/>
        <v>5699.9999999999991</v>
      </c>
      <c r="K7" s="7">
        <v>13271.93</v>
      </c>
      <c r="L7" s="61">
        <f t="shared" si="7"/>
        <v>1.4099999999998545</v>
      </c>
      <c r="M7" s="43">
        <f t="shared" si="8"/>
        <v>2678.9999999997235</v>
      </c>
      <c r="N7" s="7">
        <v>2911.9670000000001</v>
      </c>
      <c r="O7" s="61">
        <f t="shared" si="9"/>
        <v>0.93299999999999272</v>
      </c>
      <c r="P7" s="43">
        <f t="shared" si="10"/>
        <v>1772.6999999999862</v>
      </c>
      <c r="Q7" s="7">
        <v>4697.2299999999996</v>
      </c>
      <c r="R7" s="61">
        <f t="shared" si="1"/>
        <v>0</v>
      </c>
      <c r="S7" s="43">
        <f t="shared" si="11"/>
        <v>0</v>
      </c>
      <c r="T7" s="8">
        <f t="shared" si="12"/>
        <v>8.9899999999979627</v>
      </c>
      <c r="U7" s="46">
        <f t="shared" si="13"/>
        <v>17080.999999996126</v>
      </c>
    </row>
    <row r="8" spans="1:25" ht="16.5" thickBot="1" x14ac:dyDescent="0.25">
      <c r="A8" s="10">
        <v>44233</v>
      </c>
      <c r="B8" s="1">
        <v>20067.375</v>
      </c>
      <c r="C8" s="61">
        <f t="shared" si="2"/>
        <v>3.2560000000012224</v>
      </c>
      <c r="D8" s="43">
        <f t="shared" si="3"/>
        <v>6186.4000000023225</v>
      </c>
      <c r="E8" s="1">
        <v>3456.1060000000002</v>
      </c>
      <c r="F8" s="61">
        <f t="shared" si="0"/>
        <v>0.56100000000014916</v>
      </c>
      <c r="G8" s="43">
        <f t="shared" si="4"/>
        <v>1065.9000000002834</v>
      </c>
      <c r="H8" s="1">
        <v>2471</v>
      </c>
      <c r="I8" s="61">
        <f t="shared" si="5"/>
        <v>5</v>
      </c>
      <c r="J8" s="43">
        <f t="shared" si="6"/>
        <v>9500</v>
      </c>
      <c r="K8" s="7">
        <v>13273.21</v>
      </c>
      <c r="L8" s="61">
        <f>IF((K8-K7)&lt;0,"0",(K8-K7))</f>
        <v>1.2799999999988358</v>
      </c>
      <c r="M8" s="43">
        <f t="shared" si="8"/>
        <v>2431.9999999977881</v>
      </c>
      <c r="N8" s="7">
        <v>2912.9560000000001</v>
      </c>
      <c r="O8" s="61">
        <f t="shared" si="9"/>
        <v>0.98900000000003274</v>
      </c>
      <c r="P8" s="43">
        <f t="shared" si="10"/>
        <v>1879.1000000000622</v>
      </c>
      <c r="Q8" s="7">
        <v>4697.2299999999996</v>
      </c>
      <c r="R8" s="61">
        <f t="shared" si="1"/>
        <v>0</v>
      </c>
      <c r="S8" s="43">
        <f t="shared" si="11"/>
        <v>0</v>
      </c>
      <c r="T8" s="8">
        <f t="shared" si="12"/>
        <v>11.08600000000024</v>
      </c>
      <c r="U8" s="46">
        <f t="shared" si="13"/>
        <v>21063.400000000456</v>
      </c>
    </row>
    <row r="9" spans="1:25" ht="16.5" thickBot="1" x14ac:dyDescent="0.25">
      <c r="A9" s="10">
        <v>44234</v>
      </c>
      <c r="B9" s="1">
        <v>20070.794000000002</v>
      </c>
      <c r="C9" s="61">
        <f t="shared" si="2"/>
        <v>3.419000000001688</v>
      </c>
      <c r="D9" s="43">
        <f t="shared" si="3"/>
        <v>6496.1000000032063</v>
      </c>
      <c r="E9" s="1">
        <v>3457.3389999999999</v>
      </c>
      <c r="F9" s="61">
        <f t="shared" si="0"/>
        <v>1.2329999999997199</v>
      </c>
      <c r="G9" s="43">
        <f t="shared" si="4"/>
        <v>2342.6999999994678</v>
      </c>
      <c r="H9" s="1">
        <v>2475</v>
      </c>
      <c r="I9" s="61">
        <f t="shared" si="5"/>
        <v>4</v>
      </c>
      <c r="J9" s="43">
        <f t="shared" si="6"/>
        <v>7600</v>
      </c>
      <c r="K9" s="7">
        <v>13274.57</v>
      </c>
      <c r="L9" s="61">
        <f t="shared" si="7"/>
        <v>1.3600000000005821</v>
      </c>
      <c r="M9" s="43">
        <f t="shared" si="8"/>
        <v>2584.0000000011059</v>
      </c>
      <c r="N9" s="7">
        <v>2913.9380000000001</v>
      </c>
      <c r="O9" s="61">
        <f t="shared" si="9"/>
        <v>0.9819999999999709</v>
      </c>
      <c r="P9" s="43">
        <f t="shared" si="10"/>
        <v>1865.7999999999447</v>
      </c>
      <c r="Q9" s="7">
        <v>4697.2299999999996</v>
      </c>
      <c r="R9" s="61">
        <f t="shared" si="1"/>
        <v>0</v>
      </c>
      <c r="S9" s="43">
        <f t="shared" si="11"/>
        <v>0</v>
      </c>
      <c r="T9" s="8">
        <f t="shared" si="12"/>
        <v>10.994000000001961</v>
      </c>
      <c r="U9" s="46">
        <f t="shared" si="13"/>
        <v>20888.600000003724</v>
      </c>
    </row>
    <row r="10" spans="1:25" ht="16.5" thickBot="1" x14ac:dyDescent="0.25">
      <c r="A10" s="10">
        <v>44235</v>
      </c>
      <c r="B10" s="1">
        <v>20074.656999999999</v>
      </c>
      <c r="C10" s="61">
        <f t="shared" si="2"/>
        <v>3.8629999999975553</v>
      </c>
      <c r="D10" s="43">
        <f t="shared" si="3"/>
        <v>7339.6999999953541</v>
      </c>
      <c r="E10" s="1">
        <v>3458.5</v>
      </c>
      <c r="F10" s="61">
        <f t="shared" si="0"/>
        <v>1.1610000000000582</v>
      </c>
      <c r="G10" s="43">
        <f t="shared" si="4"/>
        <v>2205.9000000001101</v>
      </c>
      <c r="H10" s="1">
        <v>2479</v>
      </c>
      <c r="I10" s="61">
        <f t="shared" si="5"/>
        <v>4</v>
      </c>
      <c r="J10" s="43">
        <f t="shared" si="6"/>
        <v>7600</v>
      </c>
      <c r="K10" s="7">
        <v>13274.81</v>
      </c>
      <c r="L10" s="61">
        <f t="shared" si="7"/>
        <v>0.23999999999978172</v>
      </c>
      <c r="M10" s="43">
        <f t="shared" si="8"/>
        <v>455.99999999958521</v>
      </c>
      <c r="N10" s="7">
        <v>2915.0239999999999</v>
      </c>
      <c r="O10" s="61">
        <f t="shared" si="9"/>
        <v>1.0859999999997854</v>
      </c>
      <c r="P10" s="43">
        <f t="shared" si="10"/>
        <v>2063.3999999995922</v>
      </c>
      <c r="Q10" s="7">
        <v>4698.53</v>
      </c>
      <c r="R10" s="61">
        <f t="shared" si="1"/>
        <v>1.3000000000001819</v>
      </c>
      <c r="S10" s="43">
        <f t="shared" si="11"/>
        <v>2470.0000000003456</v>
      </c>
      <c r="T10" s="8">
        <f t="shared" si="12"/>
        <v>11.649999999997362</v>
      </c>
      <c r="U10" s="46">
        <f t="shared" si="13"/>
        <v>22134.999999994987</v>
      </c>
    </row>
    <row r="11" spans="1:25" ht="16.5" thickBot="1" x14ac:dyDescent="0.25">
      <c r="A11" s="10">
        <v>44236</v>
      </c>
      <c r="B11" s="1">
        <v>20079.273000000001</v>
      </c>
      <c r="C11" s="61">
        <f t="shared" si="2"/>
        <v>4.6160000000018044</v>
      </c>
      <c r="D11" s="43">
        <f t="shared" si="3"/>
        <v>8770.4000000034284</v>
      </c>
      <c r="E11" s="1">
        <v>3459.7869999999998</v>
      </c>
      <c r="F11" s="61">
        <f t="shared" si="0"/>
        <v>1.2869999999998072</v>
      </c>
      <c r="G11" s="43">
        <f t="shared" si="4"/>
        <v>2445.2999999996337</v>
      </c>
      <c r="H11" s="1">
        <v>2484</v>
      </c>
      <c r="I11" s="61">
        <f t="shared" si="5"/>
        <v>5</v>
      </c>
      <c r="J11" s="43">
        <f t="shared" si="6"/>
        <v>9500</v>
      </c>
      <c r="K11" s="7">
        <v>13275.98</v>
      </c>
      <c r="L11" s="61">
        <f t="shared" si="7"/>
        <v>1.1700000000000728</v>
      </c>
      <c r="M11" s="43">
        <f t="shared" si="8"/>
        <v>2223.0000000001378</v>
      </c>
      <c r="N11" s="7">
        <v>2916.2289999999998</v>
      </c>
      <c r="O11" s="61">
        <f t="shared" si="9"/>
        <v>1.2049999999999272</v>
      </c>
      <c r="P11" s="43">
        <f t="shared" si="10"/>
        <v>2289.4999999998618</v>
      </c>
      <c r="Q11" s="7">
        <v>4699.0600000000004</v>
      </c>
      <c r="R11" s="61">
        <f t="shared" si="1"/>
        <v>0.53000000000065484</v>
      </c>
      <c r="S11" s="43">
        <f t="shared" si="11"/>
        <v>1007.0000000012442</v>
      </c>
      <c r="T11" s="8">
        <f t="shared" si="12"/>
        <v>13.808000000002266</v>
      </c>
      <c r="U11" s="46">
        <f t="shared" si="13"/>
        <v>26235.200000004304</v>
      </c>
    </row>
    <row r="12" spans="1:25" ht="16.5" thickBot="1" x14ac:dyDescent="0.25">
      <c r="A12" s="10">
        <v>44237</v>
      </c>
      <c r="B12" s="1">
        <v>20083.837</v>
      </c>
      <c r="C12" s="61">
        <f t="shared" si="2"/>
        <v>4.5639999999984866</v>
      </c>
      <c r="D12" s="43">
        <f t="shared" si="3"/>
        <v>8671.5999999971245</v>
      </c>
      <c r="E12" s="1">
        <v>3461.1109999999999</v>
      </c>
      <c r="F12" s="61">
        <f t="shared" si="0"/>
        <v>1.3240000000000691</v>
      </c>
      <c r="G12" s="43">
        <f t="shared" si="4"/>
        <v>2515.6000000001309</v>
      </c>
      <c r="H12" s="1">
        <v>2489</v>
      </c>
      <c r="I12" s="61">
        <f t="shared" si="5"/>
        <v>5</v>
      </c>
      <c r="J12" s="43">
        <f t="shared" si="6"/>
        <v>9500</v>
      </c>
      <c r="K12" s="7">
        <v>13277.36</v>
      </c>
      <c r="L12" s="61">
        <f t="shared" si="7"/>
        <v>1.3800000000010186</v>
      </c>
      <c r="M12" s="43">
        <f t="shared" si="8"/>
        <v>2622.0000000019354</v>
      </c>
      <c r="N12" s="7">
        <v>2917.2359999999999</v>
      </c>
      <c r="O12" s="61">
        <f t="shared" si="9"/>
        <v>1.0070000000000618</v>
      </c>
      <c r="P12" s="43">
        <f t="shared" si="10"/>
        <v>1913.3000000001175</v>
      </c>
      <c r="Q12" s="7">
        <v>4699.71</v>
      </c>
      <c r="R12" s="61">
        <f t="shared" si="1"/>
        <v>0.6499999999996362</v>
      </c>
      <c r="S12" s="43">
        <f t="shared" si="11"/>
        <v>1234.9999999993086</v>
      </c>
      <c r="T12" s="8">
        <f t="shared" si="12"/>
        <v>13.924999999999272</v>
      </c>
      <c r="U12" s="46">
        <f t="shared" si="13"/>
        <v>26457.499999998618</v>
      </c>
    </row>
    <row r="13" spans="1:25" ht="16.5" thickBot="1" x14ac:dyDescent="0.25">
      <c r="A13" s="10">
        <v>44238</v>
      </c>
      <c r="B13" s="1">
        <v>20085.2</v>
      </c>
      <c r="C13" s="61">
        <f t="shared" si="2"/>
        <v>1.3630000000011933</v>
      </c>
      <c r="D13" s="43">
        <f t="shared" si="3"/>
        <v>2589.7000000022672</v>
      </c>
      <c r="E13" s="1">
        <v>3462.29</v>
      </c>
      <c r="F13" s="61">
        <f t="shared" si="0"/>
        <v>1.1790000000000873</v>
      </c>
      <c r="G13" s="43">
        <f t="shared" si="4"/>
        <v>2240.1000000001654</v>
      </c>
      <c r="H13" s="1">
        <v>2494</v>
      </c>
      <c r="I13" s="61">
        <f t="shared" si="5"/>
        <v>5</v>
      </c>
      <c r="J13" s="43">
        <f t="shared" si="6"/>
        <v>9500</v>
      </c>
      <c r="K13" s="7">
        <v>13278.86</v>
      </c>
      <c r="L13" s="61">
        <f t="shared" si="7"/>
        <v>1.5</v>
      </c>
      <c r="M13" s="43">
        <f t="shared" si="8"/>
        <v>2849.9999999999995</v>
      </c>
      <c r="N13" s="7">
        <v>2918.2829999999999</v>
      </c>
      <c r="O13" s="61">
        <f t="shared" si="9"/>
        <v>1.0470000000000255</v>
      </c>
      <c r="P13" s="43">
        <f t="shared" si="10"/>
        <v>1989.3000000000482</v>
      </c>
      <c r="Q13" s="7">
        <v>4700.4399999999996</v>
      </c>
      <c r="R13" s="61">
        <f t="shared" si="1"/>
        <v>0.72999999999956344</v>
      </c>
      <c r="S13" s="43">
        <f t="shared" si="11"/>
        <v>1386.9999999991705</v>
      </c>
      <c r="T13" s="8">
        <f t="shared" si="12"/>
        <v>10.819000000000869</v>
      </c>
      <c r="U13" s="46">
        <f t="shared" si="13"/>
        <v>20556.100000001654</v>
      </c>
    </row>
    <row r="14" spans="1:25" ht="16.5" thickBot="1" x14ac:dyDescent="0.25">
      <c r="A14" s="10">
        <v>44239</v>
      </c>
      <c r="B14" s="1">
        <v>20092.523000000001</v>
      </c>
      <c r="C14" s="61">
        <f t="shared" si="2"/>
        <v>7.3230000000003201</v>
      </c>
      <c r="D14" s="43">
        <f t="shared" si="3"/>
        <v>13913.700000000608</v>
      </c>
      <c r="E14" s="1">
        <v>3462.7840000000001</v>
      </c>
      <c r="F14" s="61">
        <f t="shared" si="0"/>
        <v>0.49400000000014188</v>
      </c>
      <c r="G14" s="43">
        <f t="shared" si="4"/>
        <v>938.60000000026957</v>
      </c>
      <c r="H14" s="1">
        <v>2499</v>
      </c>
      <c r="I14" s="61">
        <f t="shared" si="5"/>
        <v>5</v>
      </c>
      <c r="J14" s="43">
        <f t="shared" si="6"/>
        <v>9500</v>
      </c>
      <c r="K14" s="7">
        <v>13280.28</v>
      </c>
      <c r="L14" s="61">
        <f t="shared" si="7"/>
        <v>1.4200000000000728</v>
      </c>
      <c r="M14" s="43">
        <f t="shared" si="8"/>
        <v>2698.0000000001382</v>
      </c>
      <c r="N14" s="7">
        <v>2919.2719999999999</v>
      </c>
      <c r="O14" s="61">
        <f t="shared" si="9"/>
        <v>0.98900000000003274</v>
      </c>
      <c r="P14" s="43">
        <f t="shared" si="10"/>
        <v>1879.1000000000622</v>
      </c>
      <c r="Q14" s="7">
        <v>4701.26</v>
      </c>
      <c r="R14" s="61">
        <f t="shared" si="1"/>
        <v>0.82000000000061846</v>
      </c>
      <c r="S14" s="43">
        <f t="shared" si="11"/>
        <v>1558.0000000011748</v>
      </c>
      <c r="T14" s="8">
        <f t="shared" si="12"/>
        <v>16.046000000001186</v>
      </c>
      <c r="U14" s="46">
        <f t="shared" si="13"/>
        <v>30487.400000002253</v>
      </c>
    </row>
    <row r="15" spans="1:25" ht="16.5" thickBot="1" x14ac:dyDescent="0.25">
      <c r="A15" s="10">
        <v>44240</v>
      </c>
      <c r="B15" s="1">
        <v>20096.739000000001</v>
      </c>
      <c r="C15" s="61">
        <f t="shared" si="2"/>
        <v>4.2160000000003492</v>
      </c>
      <c r="D15" s="43">
        <f t="shared" si="3"/>
        <v>8010.4000000006636</v>
      </c>
      <c r="E15" s="1">
        <v>3463.319</v>
      </c>
      <c r="F15" s="61">
        <f t="shared" si="0"/>
        <v>0.53499999999985448</v>
      </c>
      <c r="G15" s="43">
        <f t="shared" si="4"/>
        <v>1016.4999999997235</v>
      </c>
      <c r="H15" s="1">
        <v>2504</v>
      </c>
      <c r="I15" s="61">
        <f t="shared" si="5"/>
        <v>5</v>
      </c>
      <c r="J15" s="43">
        <f t="shared" si="6"/>
        <v>9500</v>
      </c>
      <c r="K15" s="7">
        <v>13281.52</v>
      </c>
      <c r="L15" s="61">
        <f t="shared" si="7"/>
        <v>1.2399999999997817</v>
      </c>
      <c r="M15" s="43">
        <f t="shared" si="8"/>
        <v>2355.9999999995853</v>
      </c>
      <c r="N15" s="7">
        <v>2920.3339999999998</v>
      </c>
      <c r="O15" s="61">
        <f t="shared" si="9"/>
        <v>1.0619999999998981</v>
      </c>
      <c r="P15" s="43">
        <f t="shared" si="10"/>
        <v>2017.7999999998062</v>
      </c>
      <c r="Q15" s="7">
        <v>4702</v>
      </c>
      <c r="R15" s="61">
        <f t="shared" si="1"/>
        <v>0.73999999999978172</v>
      </c>
      <c r="S15" s="43">
        <f t="shared" si="11"/>
        <v>1405.999999999585</v>
      </c>
      <c r="T15" s="8">
        <f t="shared" si="12"/>
        <v>12.792999999999665</v>
      </c>
      <c r="U15" s="46">
        <f t="shared" si="13"/>
        <v>24306.699999999364</v>
      </c>
      <c r="W15" t="s">
        <v>13</v>
      </c>
    </row>
    <row r="16" spans="1:25" ht="16.5" thickBot="1" x14ac:dyDescent="0.25">
      <c r="A16" s="10">
        <v>44241</v>
      </c>
      <c r="B16" s="1">
        <v>20100.912</v>
      </c>
      <c r="C16" s="61">
        <f t="shared" si="2"/>
        <v>4.172999999998865</v>
      </c>
      <c r="D16" s="43">
        <f t="shared" si="3"/>
        <v>7928.6999999978425</v>
      </c>
      <c r="E16" s="1">
        <v>3464.6660000000002</v>
      </c>
      <c r="F16" s="61">
        <f t="shared" si="0"/>
        <v>1.3470000000002074</v>
      </c>
      <c r="G16" s="43">
        <f t="shared" si="4"/>
        <v>2559.300000000394</v>
      </c>
      <c r="H16" s="1">
        <v>2509</v>
      </c>
      <c r="I16" s="61">
        <f t="shared" si="5"/>
        <v>5</v>
      </c>
      <c r="J16" s="43">
        <f t="shared" si="6"/>
        <v>9500</v>
      </c>
      <c r="K16" s="7">
        <v>13282.93</v>
      </c>
      <c r="L16" s="61">
        <f t="shared" si="7"/>
        <v>1.4099999999998545</v>
      </c>
      <c r="M16" s="43">
        <f t="shared" si="8"/>
        <v>2678.9999999997235</v>
      </c>
      <c r="N16" s="7">
        <v>2921.52</v>
      </c>
      <c r="O16" s="61">
        <f t="shared" si="9"/>
        <v>1.1860000000001492</v>
      </c>
      <c r="P16" s="43">
        <f t="shared" si="10"/>
        <v>2253.4000000002834</v>
      </c>
      <c r="Q16" s="7">
        <v>4702.49</v>
      </c>
      <c r="R16" s="61">
        <f t="shared" si="1"/>
        <v>0.48999999999978172</v>
      </c>
      <c r="S16" s="43">
        <f t="shared" si="11"/>
        <v>930.99999999958527</v>
      </c>
      <c r="T16" s="8">
        <f t="shared" si="12"/>
        <v>13.605999999998858</v>
      </c>
      <c r="U16" s="46">
        <f t="shared" si="13"/>
        <v>25851.399999997826</v>
      </c>
      <c r="Y16" t="s">
        <v>13</v>
      </c>
    </row>
    <row r="17" spans="1:24" ht="16.5" thickBot="1" x14ac:dyDescent="0.25">
      <c r="A17" s="10">
        <v>44242</v>
      </c>
      <c r="B17" s="1">
        <v>20104.859</v>
      </c>
      <c r="C17" s="61">
        <f>IF((B17-B16)&lt;0,"0",(B17-B16))</f>
        <v>3.9470000000001164</v>
      </c>
      <c r="D17" s="43">
        <f t="shared" si="3"/>
        <v>7499.3000000002212</v>
      </c>
      <c r="E17" s="1">
        <v>3465.8910000000001</v>
      </c>
      <c r="F17" s="61">
        <f t="shared" si="0"/>
        <v>1.2249999999999091</v>
      </c>
      <c r="G17" s="43">
        <f t="shared" si="4"/>
        <v>2327.4999999998267</v>
      </c>
      <c r="H17" s="1">
        <v>2513</v>
      </c>
      <c r="I17" s="61">
        <f t="shared" si="5"/>
        <v>4</v>
      </c>
      <c r="J17" s="43">
        <f t="shared" si="6"/>
        <v>7600</v>
      </c>
      <c r="K17" s="7">
        <v>13284.03</v>
      </c>
      <c r="L17" s="61">
        <f t="shared" si="7"/>
        <v>1.1000000000003638</v>
      </c>
      <c r="M17" s="43">
        <f t="shared" si="8"/>
        <v>2090.0000000006912</v>
      </c>
      <c r="N17" s="7">
        <v>2922.5030000000002</v>
      </c>
      <c r="O17" s="61">
        <f t="shared" si="9"/>
        <v>0.98300000000017462</v>
      </c>
      <c r="P17" s="43">
        <f t="shared" si="10"/>
        <v>1867.7000000003316</v>
      </c>
      <c r="Q17" s="7">
        <v>4703.12</v>
      </c>
      <c r="R17" s="61">
        <f t="shared" si="1"/>
        <v>0.63000000000010914</v>
      </c>
      <c r="S17" s="43">
        <f t="shared" si="11"/>
        <v>1197.0000000002071</v>
      </c>
      <c r="T17" s="8">
        <f t="shared" si="12"/>
        <v>11.885000000000673</v>
      </c>
      <c r="U17" s="46">
        <f t="shared" si="13"/>
        <v>22581.500000001277</v>
      </c>
    </row>
    <row r="18" spans="1:24" ht="16.5" thickBot="1" x14ac:dyDescent="0.25">
      <c r="A18" s="10">
        <v>44243</v>
      </c>
      <c r="B18" s="1">
        <v>20108.473000000002</v>
      </c>
      <c r="C18" s="61">
        <f>IF((B18-B17)&lt;0,"0",(B18-B17))</f>
        <v>3.614000000001397</v>
      </c>
      <c r="D18" s="43">
        <f t="shared" si="3"/>
        <v>6866.6000000026543</v>
      </c>
      <c r="E18" s="1">
        <v>3466.7890000000002</v>
      </c>
      <c r="F18" s="61">
        <f t="shared" si="0"/>
        <v>0.89800000000013824</v>
      </c>
      <c r="G18" s="43">
        <f t="shared" si="4"/>
        <v>1706.2000000002627</v>
      </c>
      <c r="H18" s="1">
        <v>2518</v>
      </c>
      <c r="I18" s="61">
        <f t="shared" si="5"/>
        <v>5</v>
      </c>
      <c r="J18" s="43">
        <f t="shared" si="6"/>
        <v>9500</v>
      </c>
      <c r="K18" s="7">
        <v>13285.09</v>
      </c>
      <c r="L18" s="61">
        <f t="shared" si="7"/>
        <v>1.0599999999994907</v>
      </c>
      <c r="M18" s="43">
        <f t="shared" si="8"/>
        <v>2013.9999999990321</v>
      </c>
      <c r="N18" s="7">
        <v>2923.41</v>
      </c>
      <c r="O18" s="61">
        <f t="shared" si="9"/>
        <v>0.90699999999969805</v>
      </c>
      <c r="P18" s="43">
        <f t="shared" si="10"/>
        <v>1723.2999999994263</v>
      </c>
      <c r="Q18" s="7">
        <v>4703.41</v>
      </c>
      <c r="R18" s="61">
        <f t="shared" si="1"/>
        <v>0.28999999999996362</v>
      </c>
      <c r="S18" s="43">
        <f t="shared" si="11"/>
        <v>550.99999999993088</v>
      </c>
      <c r="T18" s="8">
        <f t="shared" si="12"/>
        <v>11.769000000000688</v>
      </c>
      <c r="U18" s="46">
        <f t="shared" si="13"/>
        <v>22361.100000001305</v>
      </c>
    </row>
    <row r="19" spans="1:24" ht="16.5" thickBot="1" x14ac:dyDescent="0.25">
      <c r="A19" s="10">
        <v>44244</v>
      </c>
      <c r="B19" s="1">
        <v>20111.554</v>
      </c>
      <c r="C19" s="61">
        <f>IF((B19-B18)&lt;0,"0",(B19-B18))</f>
        <v>3.080999999998312</v>
      </c>
      <c r="D19" s="43">
        <f t="shared" si="3"/>
        <v>5853.8999999967918</v>
      </c>
      <c r="E19" s="1">
        <v>3467.4470000000001</v>
      </c>
      <c r="F19" s="61">
        <f t="shared" si="0"/>
        <v>0.65799999999990177</v>
      </c>
      <c r="G19" s="43">
        <f t="shared" si="4"/>
        <v>1250.1999999998131</v>
      </c>
      <c r="H19" s="1">
        <v>2522</v>
      </c>
      <c r="I19" s="61">
        <f t="shared" si="5"/>
        <v>4</v>
      </c>
      <c r="J19" s="43">
        <f t="shared" si="6"/>
        <v>7600</v>
      </c>
      <c r="K19" s="7">
        <v>13285.1</v>
      </c>
      <c r="L19" s="61">
        <f t="shared" si="7"/>
        <v>1.0000000000218279E-2</v>
      </c>
      <c r="M19" s="43">
        <f t="shared" si="8"/>
        <v>19.00000000041473</v>
      </c>
      <c r="N19" s="7">
        <v>2924.33</v>
      </c>
      <c r="O19" s="61">
        <f t="shared" si="9"/>
        <v>0.92000000000007276</v>
      </c>
      <c r="P19" s="43">
        <f t="shared" si="10"/>
        <v>1748.000000000138</v>
      </c>
      <c r="Q19" s="7">
        <v>4703.41</v>
      </c>
      <c r="R19" s="61">
        <f t="shared" si="1"/>
        <v>0</v>
      </c>
      <c r="S19" s="43">
        <f t="shared" si="11"/>
        <v>0</v>
      </c>
      <c r="T19" s="8">
        <f t="shared" si="12"/>
        <v>8.6689999999985048</v>
      </c>
      <c r="U19" s="46">
        <f t="shared" si="13"/>
        <v>16471.099999997157</v>
      </c>
    </row>
    <row r="20" spans="1:24" ht="16.5" thickBot="1" x14ac:dyDescent="0.25">
      <c r="A20" s="10">
        <v>44245</v>
      </c>
      <c r="B20" s="1">
        <v>20114.686000000002</v>
      </c>
      <c r="C20" s="61">
        <f t="shared" si="2"/>
        <v>3.1320000000014261</v>
      </c>
      <c r="D20" s="43">
        <f t="shared" si="3"/>
        <v>5950.8000000027087</v>
      </c>
      <c r="E20" s="1">
        <v>3468.1120000000001</v>
      </c>
      <c r="F20" s="61">
        <f t="shared" si="0"/>
        <v>0.66499999999996362</v>
      </c>
      <c r="G20" s="43">
        <f t="shared" si="4"/>
        <v>1263.4999999999309</v>
      </c>
      <c r="H20" s="1">
        <v>2526</v>
      </c>
      <c r="I20" s="61">
        <f t="shared" si="5"/>
        <v>4</v>
      </c>
      <c r="J20" s="43">
        <f t="shared" si="6"/>
        <v>7600</v>
      </c>
      <c r="K20" s="7">
        <v>13285.1</v>
      </c>
      <c r="L20" s="61">
        <f t="shared" si="7"/>
        <v>0</v>
      </c>
      <c r="M20" s="43">
        <f t="shared" si="8"/>
        <v>0</v>
      </c>
      <c r="N20" s="7">
        <v>2925.3220000000001</v>
      </c>
      <c r="O20" s="61">
        <f t="shared" si="9"/>
        <v>0.99200000000018917</v>
      </c>
      <c r="P20" s="43">
        <f t="shared" si="10"/>
        <v>1884.8000000003592</v>
      </c>
      <c r="Q20" s="7">
        <v>4703.58</v>
      </c>
      <c r="R20" s="61">
        <v>0</v>
      </c>
      <c r="S20" s="43">
        <f t="shared" si="11"/>
        <v>0</v>
      </c>
      <c r="T20" s="8">
        <f t="shared" si="12"/>
        <v>8.7890000000015789</v>
      </c>
      <c r="U20" s="46">
        <f t="shared" si="13"/>
        <v>16699.100000003</v>
      </c>
      <c r="X20" t="s">
        <v>13</v>
      </c>
    </row>
    <row r="21" spans="1:24" ht="16.5" thickBot="1" x14ac:dyDescent="0.25">
      <c r="A21" s="10">
        <v>44246</v>
      </c>
      <c r="B21" s="1">
        <v>20117.769</v>
      </c>
      <c r="C21" s="61">
        <f t="shared" si="2"/>
        <v>3.0829999999987194</v>
      </c>
      <c r="D21" s="43">
        <f t="shared" si="3"/>
        <v>5857.6999999975669</v>
      </c>
      <c r="E21" s="1">
        <v>3468.4850000000001</v>
      </c>
      <c r="F21" s="61">
        <f t="shared" si="0"/>
        <v>0.37300000000004729</v>
      </c>
      <c r="G21" s="43">
        <f t="shared" si="4"/>
        <v>708.70000000008986</v>
      </c>
      <c r="H21" s="1">
        <v>2531</v>
      </c>
      <c r="I21" s="61">
        <f t="shared" si="5"/>
        <v>5</v>
      </c>
      <c r="J21" s="43">
        <f t="shared" si="6"/>
        <v>9500</v>
      </c>
      <c r="K21" s="7">
        <v>13285.15</v>
      </c>
      <c r="L21" s="61">
        <f t="shared" si="7"/>
        <v>4.9999999999272404E-2</v>
      </c>
      <c r="M21" s="43">
        <f t="shared" si="8"/>
        <v>94.999999998617568</v>
      </c>
      <c r="N21" s="7">
        <v>2926.1480000000001</v>
      </c>
      <c r="O21" s="61">
        <f t="shared" si="9"/>
        <v>0.82600000000002183</v>
      </c>
      <c r="P21" s="43">
        <f t="shared" si="10"/>
        <v>1569.4000000000415</v>
      </c>
      <c r="Q21" s="7">
        <v>4703.92</v>
      </c>
      <c r="R21" s="61">
        <f t="shared" si="1"/>
        <v>0.34000000000014552</v>
      </c>
      <c r="S21" s="43">
        <f t="shared" si="11"/>
        <v>646.00000000027649</v>
      </c>
      <c r="T21" s="8">
        <f t="shared" si="12"/>
        <v>9.6719999999982065</v>
      </c>
      <c r="U21" s="46">
        <f t="shared" si="13"/>
        <v>18376.79999999659</v>
      </c>
    </row>
    <row r="22" spans="1:24" ht="16.5" thickBot="1" x14ac:dyDescent="0.25">
      <c r="A22" s="10">
        <v>44247</v>
      </c>
      <c r="B22" s="1">
        <v>20121.062000000002</v>
      </c>
      <c r="C22" s="61">
        <f t="shared" si="2"/>
        <v>3.2930000000014843</v>
      </c>
      <c r="D22" s="43">
        <f t="shared" si="3"/>
        <v>6256.7000000028193</v>
      </c>
      <c r="E22" s="1">
        <v>3468.9569999999999</v>
      </c>
      <c r="F22" s="61">
        <f t="shared" si="0"/>
        <v>0.47199999999975262</v>
      </c>
      <c r="G22" s="43">
        <f t="shared" si="4"/>
        <v>896.79999999952997</v>
      </c>
      <c r="H22" s="1">
        <v>2535</v>
      </c>
      <c r="I22" s="61">
        <f t="shared" si="5"/>
        <v>4</v>
      </c>
      <c r="J22" s="43">
        <f t="shared" si="6"/>
        <v>7600</v>
      </c>
      <c r="K22" s="7">
        <v>13285.1</v>
      </c>
      <c r="L22" s="61" t="str">
        <f t="shared" si="7"/>
        <v>0</v>
      </c>
      <c r="M22" s="43">
        <f t="shared" si="8"/>
        <v>0</v>
      </c>
      <c r="N22" s="7">
        <v>2926.9540000000002</v>
      </c>
      <c r="O22" s="61">
        <f t="shared" si="9"/>
        <v>0.80600000000004002</v>
      </c>
      <c r="P22" s="43">
        <f t="shared" si="10"/>
        <v>1531.400000000076</v>
      </c>
      <c r="Q22" s="7">
        <v>4703.92</v>
      </c>
      <c r="R22" s="61">
        <f t="shared" si="1"/>
        <v>0</v>
      </c>
      <c r="S22" s="43">
        <f t="shared" si="11"/>
        <v>0</v>
      </c>
      <c r="T22" s="8">
        <f t="shared" si="12"/>
        <v>8.5710000000012769</v>
      </c>
      <c r="U22" s="46">
        <f t="shared" si="13"/>
        <v>16284.900000002426</v>
      </c>
    </row>
    <row r="23" spans="1:24" ht="16.5" thickBot="1" x14ac:dyDescent="0.25">
      <c r="A23" s="10">
        <v>44248</v>
      </c>
      <c r="B23" s="1">
        <v>20124.394</v>
      </c>
      <c r="C23" s="61">
        <f t="shared" si="2"/>
        <v>3.3319999999985157</v>
      </c>
      <c r="D23" s="43">
        <f t="shared" si="3"/>
        <v>6330.7999999971789</v>
      </c>
      <c r="E23" s="1">
        <v>3469.884</v>
      </c>
      <c r="F23" s="61">
        <f t="shared" si="0"/>
        <v>0.92700000000013461</v>
      </c>
      <c r="G23" s="43">
        <f t="shared" si="4"/>
        <v>1761.3000000002557</v>
      </c>
      <c r="H23" s="1">
        <v>2539</v>
      </c>
      <c r="I23" s="61">
        <f t="shared" si="5"/>
        <v>4</v>
      </c>
      <c r="J23" s="43">
        <f t="shared" si="6"/>
        <v>7600</v>
      </c>
      <c r="K23" s="7">
        <v>13285.1</v>
      </c>
      <c r="L23" s="61">
        <f t="shared" si="7"/>
        <v>0</v>
      </c>
      <c r="M23" s="43">
        <f t="shared" si="8"/>
        <v>0</v>
      </c>
      <c r="N23" s="7">
        <v>2927.7829999999999</v>
      </c>
      <c r="O23" s="61">
        <f t="shared" si="9"/>
        <v>0.82899999999972351</v>
      </c>
      <c r="P23" s="43">
        <f t="shared" si="10"/>
        <v>1575.0999999994747</v>
      </c>
      <c r="Q23" s="7">
        <v>4704.34</v>
      </c>
      <c r="R23" s="61">
        <f t="shared" si="1"/>
        <v>0.42000000000007276</v>
      </c>
      <c r="S23" s="43">
        <f t="shared" si="11"/>
        <v>798.00000000013813</v>
      </c>
      <c r="T23" s="8">
        <f t="shared" si="12"/>
        <v>9.5079999999984466</v>
      </c>
      <c r="U23" s="46">
        <f t="shared" si="13"/>
        <v>18065.19999999705</v>
      </c>
    </row>
    <row r="24" spans="1:24" ht="16.5" thickBot="1" x14ac:dyDescent="0.25">
      <c r="A24" s="10">
        <v>44249</v>
      </c>
      <c r="B24" s="1">
        <v>20127.749</v>
      </c>
      <c r="C24" s="61">
        <f t="shared" si="2"/>
        <v>3.3549999999995634</v>
      </c>
      <c r="D24" s="43">
        <f t="shared" si="3"/>
        <v>6374.4999999991696</v>
      </c>
      <c r="E24" s="1">
        <v>3470.759</v>
      </c>
      <c r="F24" s="61">
        <f t="shared" si="0"/>
        <v>0.875</v>
      </c>
      <c r="G24" s="43">
        <f t="shared" si="4"/>
        <v>1662.4999999999998</v>
      </c>
      <c r="H24" s="1">
        <v>2544</v>
      </c>
      <c r="I24" s="61">
        <f t="shared" si="5"/>
        <v>5</v>
      </c>
      <c r="J24" s="43">
        <f t="shared" si="6"/>
        <v>9500</v>
      </c>
      <c r="K24" s="7">
        <v>13285.41</v>
      </c>
      <c r="L24" s="61">
        <f t="shared" si="7"/>
        <v>0.30999999999949068</v>
      </c>
      <c r="M24" s="43">
        <f t="shared" si="8"/>
        <v>588.9999999990323</v>
      </c>
      <c r="N24" s="7">
        <v>2928.5529999999999</v>
      </c>
      <c r="O24" s="61">
        <f t="shared" si="9"/>
        <v>0.76999999999998181</v>
      </c>
      <c r="P24" s="43">
        <f t="shared" si="10"/>
        <v>1462.9999999999654</v>
      </c>
      <c r="Q24" s="7">
        <v>4704.91</v>
      </c>
      <c r="R24" s="61">
        <f t="shared" si="1"/>
        <v>0.56999999999970896</v>
      </c>
      <c r="S24" s="43">
        <f t="shared" si="11"/>
        <v>1082.999999999447</v>
      </c>
      <c r="T24" s="8">
        <f t="shared" si="12"/>
        <v>10.879999999998745</v>
      </c>
      <c r="U24" s="46">
        <f t="shared" si="13"/>
        <v>20671.999999997613</v>
      </c>
    </row>
    <row r="25" spans="1:24" ht="16.5" thickBot="1" x14ac:dyDescent="0.25">
      <c r="A25" s="10">
        <v>44250</v>
      </c>
      <c r="B25" s="1">
        <v>20131.248</v>
      </c>
      <c r="C25" s="61">
        <f t="shared" si="2"/>
        <v>3.4989999999997963</v>
      </c>
      <c r="D25" s="43">
        <f t="shared" si="3"/>
        <v>6648.099999999612</v>
      </c>
      <c r="E25" s="1">
        <v>3471.5129999999999</v>
      </c>
      <c r="F25" s="61">
        <f t="shared" si="0"/>
        <v>0.75399999999990541</v>
      </c>
      <c r="G25" s="43">
        <f t="shared" si="4"/>
        <v>1432.5999999998203</v>
      </c>
      <c r="H25" s="1">
        <v>2549</v>
      </c>
      <c r="I25" s="61">
        <f t="shared" si="5"/>
        <v>5</v>
      </c>
      <c r="J25" s="43">
        <f t="shared" si="6"/>
        <v>9500</v>
      </c>
      <c r="K25" s="7">
        <v>13285.86</v>
      </c>
      <c r="L25" s="61">
        <f t="shared" si="7"/>
        <v>0.4500000000007276</v>
      </c>
      <c r="M25" s="43">
        <f t="shared" si="8"/>
        <v>855.00000000138243</v>
      </c>
      <c r="N25" s="7">
        <v>2929.3119999999999</v>
      </c>
      <c r="O25" s="61">
        <f t="shared" si="9"/>
        <v>0.75900000000001455</v>
      </c>
      <c r="P25" s="43">
        <f t="shared" si="10"/>
        <v>1442.1000000000274</v>
      </c>
      <c r="Q25" s="7">
        <v>4705.42</v>
      </c>
      <c r="R25" s="61">
        <f t="shared" si="1"/>
        <v>0.51000000000021828</v>
      </c>
      <c r="S25" s="43">
        <f t="shared" si="11"/>
        <v>969.00000000041462</v>
      </c>
      <c r="T25" s="8">
        <f t="shared" si="12"/>
        <v>10.972000000000662</v>
      </c>
      <c r="U25" s="46">
        <f t="shared" si="13"/>
        <v>20846.800000001254</v>
      </c>
    </row>
    <row r="26" spans="1:24" ht="16.5" thickBot="1" x14ac:dyDescent="0.25">
      <c r="A26" s="10">
        <v>44251</v>
      </c>
      <c r="B26" s="1">
        <v>20134.858</v>
      </c>
      <c r="C26" s="61">
        <f t="shared" si="2"/>
        <v>3.6100000000005821</v>
      </c>
      <c r="D26" s="43">
        <f t="shared" si="3"/>
        <v>6859.0000000011059</v>
      </c>
      <c r="E26" s="1">
        <v>3472.547</v>
      </c>
      <c r="F26" s="61">
        <f t="shared" si="0"/>
        <v>1.0340000000001055</v>
      </c>
      <c r="G26" s="43">
        <f t="shared" si="4"/>
        <v>1964.6000000002005</v>
      </c>
      <c r="H26" s="1">
        <v>2553</v>
      </c>
      <c r="I26" s="61">
        <f t="shared" si="5"/>
        <v>4</v>
      </c>
      <c r="J26" s="43">
        <f t="shared" si="6"/>
        <v>7600</v>
      </c>
      <c r="K26" s="7">
        <v>13286.3</v>
      </c>
      <c r="L26" s="61">
        <f t="shared" si="7"/>
        <v>0.43999999999869033</v>
      </c>
      <c r="M26" s="43">
        <f t="shared" si="8"/>
        <v>835.99999999751162</v>
      </c>
      <c r="N26" s="7">
        <v>2930.1469999999999</v>
      </c>
      <c r="O26" s="61">
        <f t="shared" si="9"/>
        <v>0.83500000000003638</v>
      </c>
      <c r="P26" s="43">
        <f t="shared" si="10"/>
        <v>1586.5000000000691</v>
      </c>
      <c r="Q26" s="7">
        <v>4706.01</v>
      </c>
      <c r="R26" s="61">
        <f t="shared" si="1"/>
        <v>0.59000000000014552</v>
      </c>
      <c r="S26" s="43">
        <f t="shared" si="11"/>
        <v>1121.0000000002765</v>
      </c>
      <c r="T26" s="8">
        <f t="shared" si="12"/>
        <v>10.50899999999956</v>
      </c>
      <c r="U26" s="46">
        <f t="shared" si="13"/>
        <v>19967.099999999162</v>
      </c>
      <c r="V26" t="s">
        <v>13</v>
      </c>
    </row>
    <row r="27" spans="1:24" ht="16.5" thickBot="1" x14ac:dyDescent="0.25">
      <c r="A27" s="10">
        <v>44252</v>
      </c>
      <c r="B27" s="1">
        <v>20138.361000000001</v>
      </c>
      <c r="C27" s="61">
        <f t="shared" si="2"/>
        <v>3.5030000000006112</v>
      </c>
      <c r="D27" s="43">
        <f t="shared" si="3"/>
        <v>6655.7000000011612</v>
      </c>
      <c r="E27" s="1">
        <v>3473.7260000000001</v>
      </c>
      <c r="F27" s="61">
        <f t="shared" si="0"/>
        <v>1.1790000000000873</v>
      </c>
      <c r="G27" s="43">
        <f t="shared" si="4"/>
        <v>2240.1000000001654</v>
      </c>
      <c r="H27" s="1">
        <v>2557</v>
      </c>
      <c r="I27" s="61">
        <f t="shared" si="5"/>
        <v>4</v>
      </c>
      <c r="J27" s="43">
        <f t="shared" si="6"/>
        <v>7600</v>
      </c>
      <c r="K27" s="7">
        <v>13286.8</v>
      </c>
      <c r="L27" s="61">
        <f t="shared" si="7"/>
        <v>0.5</v>
      </c>
      <c r="M27" s="43">
        <f t="shared" si="8"/>
        <v>950</v>
      </c>
      <c r="N27" s="7">
        <v>2931.1019999999999</v>
      </c>
      <c r="O27" s="61">
        <f t="shared" si="9"/>
        <v>0.95499999999992724</v>
      </c>
      <c r="P27" s="43">
        <f t="shared" si="10"/>
        <v>1814.4999999998618</v>
      </c>
      <c r="Q27" s="7">
        <v>4706.67</v>
      </c>
      <c r="R27" s="61">
        <f t="shared" si="1"/>
        <v>0.65999999999985448</v>
      </c>
      <c r="S27" s="43">
        <f t="shared" si="11"/>
        <v>1253.9999999997235</v>
      </c>
      <c r="T27" s="8">
        <f t="shared" si="12"/>
        <v>10.79700000000048</v>
      </c>
      <c r="U27" s="46">
        <f t="shared" si="13"/>
        <v>20514.300000000912</v>
      </c>
      <c r="V27" t="s">
        <v>13</v>
      </c>
    </row>
    <row r="28" spans="1:24" ht="16.5" thickBot="1" x14ac:dyDescent="0.25">
      <c r="A28" s="10">
        <v>44253</v>
      </c>
      <c r="B28" s="1">
        <v>20141.900000000001</v>
      </c>
      <c r="C28" s="61">
        <f t="shared" si="2"/>
        <v>3.5390000000006694</v>
      </c>
      <c r="D28" s="43">
        <f t="shared" si="3"/>
        <v>6724.1000000012718</v>
      </c>
      <c r="E28" s="1">
        <v>3474.2860000000001</v>
      </c>
      <c r="F28" s="61">
        <f t="shared" si="0"/>
        <v>0.55999999999994543</v>
      </c>
      <c r="G28" s="43">
        <f t="shared" si="4"/>
        <v>1063.9999999998963</v>
      </c>
      <c r="H28" s="1">
        <v>2561</v>
      </c>
      <c r="I28" s="61">
        <f t="shared" si="5"/>
        <v>4</v>
      </c>
      <c r="J28" s="43">
        <f t="shared" si="6"/>
        <v>7600</v>
      </c>
      <c r="K28" s="7">
        <v>13287.59</v>
      </c>
      <c r="L28" s="61">
        <f t="shared" si="7"/>
        <v>0.79000000000087311</v>
      </c>
      <c r="M28" s="43">
        <f t="shared" si="8"/>
        <v>1501.0000000016587</v>
      </c>
      <c r="N28" s="7">
        <v>2932.0819999999999</v>
      </c>
      <c r="O28" s="61">
        <f t="shared" si="9"/>
        <v>0.98000000000001819</v>
      </c>
      <c r="P28" s="43">
        <f t="shared" si="10"/>
        <v>1862.0000000000346</v>
      </c>
      <c r="Q28" s="7">
        <v>4707.09</v>
      </c>
      <c r="R28" s="61">
        <f t="shared" si="1"/>
        <v>0.42000000000007276</v>
      </c>
      <c r="S28" s="43">
        <f t="shared" si="11"/>
        <v>798.00000000013813</v>
      </c>
      <c r="T28" s="8">
        <f t="shared" si="12"/>
        <v>10.289000000001579</v>
      </c>
      <c r="U28" s="46">
        <f t="shared" si="13"/>
        <v>19549.100000002996</v>
      </c>
    </row>
    <row r="29" spans="1:24" ht="16.5" thickBot="1" x14ac:dyDescent="0.25">
      <c r="A29" s="10">
        <v>44254</v>
      </c>
      <c r="B29" s="1">
        <v>20145.523000000001</v>
      </c>
      <c r="C29" s="61">
        <f t="shared" si="2"/>
        <v>3.6229999999995925</v>
      </c>
      <c r="D29" s="43">
        <f t="shared" si="3"/>
        <v>6883.6999999992258</v>
      </c>
      <c r="E29" s="1">
        <v>3474.9940000000001</v>
      </c>
      <c r="F29" s="61">
        <f t="shared" si="0"/>
        <v>0.70800000000008367</v>
      </c>
      <c r="G29" s="43">
        <f t="shared" si="4"/>
        <v>1345.200000000159</v>
      </c>
      <c r="H29" s="1">
        <v>2565</v>
      </c>
      <c r="I29" s="61">
        <f t="shared" si="5"/>
        <v>4</v>
      </c>
      <c r="J29" s="43">
        <f t="shared" si="6"/>
        <v>7600</v>
      </c>
      <c r="K29" s="7">
        <v>13288.47</v>
      </c>
      <c r="L29" s="61">
        <f t="shared" si="7"/>
        <v>0.87999999999919964</v>
      </c>
      <c r="M29" s="43">
        <f t="shared" si="8"/>
        <v>1671.9999999984791</v>
      </c>
      <c r="N29" s="7">
        <v>2932.944</v>
      </c>
      <c r="O29" s="61">
        <f t="shared" si="9"/>
        <v>0.86200000000008004</v>
      </c>
      <c r="P29" s="43">
        <f t="shared" si="10"/>
        <v>1637.8000000001521</v>
      </c>
      <c r="Q29" s="7">
        <v>4707.33</v>
      </c>
      <c r="R29" s="61">
        <f t="shared" si="1"/>
        <v>0.23999999999978172</v>
      </c>
      <c r="S29" s="43">
        <f t="shared" si="11"/>
        <v>455.99999999958521</v>
      </c>
      <c r="T29" s="8">
        <f t="shared" si="12"/>
        <v>10.312999999998738</v>
      </c>
      <c r="U29" s="46">
        <f t="shared" si="13"/>
        <v>19594.699999997603</v>
      </c>
    </row>
    <row r="30" spans="1:24" ht="16.5" thickBot="1" x14ac:dyDescent="0.25">
      <c r="A30" s="10">
        <v>44255</v>
      </c>
      <c r="B30" s="1">
        <v>20149.321</v>
      </c>
      <c r="C30" s="61">
        <f t="shared" si="2"/>
        <v>3.797999999998865</v>
      </c>
      <c r="D30" s="43">
        <f t="shared" si="3"/>
        <v>7216.1999999978434</v>
      </c>
      <c r="E30" s="1">
        <v>3475.9929999999999</v>
      </c>
      <c r="F30" s="61">
        <f t="shared" si="0"/>
        <v>0.99899999999979627</v>
      </c>
      <c r="G30" s="43">
        <f t="shared" si="4"/>
        <v>1898.0999999996129</v>
      </c>
      <c r="H30" s="1">
        <v>2570</v>
      </c>
      <c r="I30" s="61">
        <f t="shared" si="5"/>
        <v>5</v>
      </c>
      <c r="J30" s="43">
        <f t="shared" si="6"/>
        <v>9500</v>
      </c>
      <c r="K30" s="7">
        <v>13289.24</v>
      </c>
      <c r="L30" s="61">
        <f t="shared" si="7"/>
        <v>0.77000000000043656</v>
      </c>
      <c r="M30" s="43">
        <f t="shared" si="8"/>
        <v>1463.0000000008295</v>
      </c>
      <c r="N30" s="7">
        <v>2933.895</v>
      </c>
      <c r="O30" s="61">
        <f t="shared" si="9"/>
        <v>0.95100000000002183</v>
      </c>
      <c r="P30" s="43">
        <f t="shared" si="10"/>
        <v>1806.9000000000415</v>
      </c>
      <c r="Q30" s="7">
        <v>4707.5600000000004</v>
      </c>
      <c r="R30" s="61">
        <f t="shared" si="1"/>
        <v>0.23000000000047294</v>
      </c>
      <c r="S30" s="43">
        <f t="shared" si="11"/>
        <v>437.00000000089858</v>
      </c>
      <c r="T30" s="8">
        <f t="shared" si="12"/>
        <v>11.747999999999593</v>
      </c>
      <c r="U30" s="46">
        <f t="shared" si="13"/>
        <v>22321.199999999226</v>
      </c>
    </row>
    <row r="31" spans="1:24" ht="16.5" thickBot="1" x14ac:dyDescent="0.25">
      <c r="A31" s="10"/>
      <c r="B31" s="1"/>
      <c r="C31" s="61" t="str">
        <f t="shared" si="2"/>
        <v>0</v>
      </c>
      <c r="D31" s="43">
        <f t="shared" si="3"/>
        <v>0</v>
      </c>
      <c r="E31" s="1">
        <v>3475.9929999999999</v>
      </c>
      <c r="F31" s="61">
        <f t="shared" si="0"/>
        <v>0</v>
      </c>
      <c r="G31" s="43">
        <f t="shared" si="4"/>
        <v>0</v>
      </c>
      <c r="H31" s="1">
        <v>2570</v>
      </c>
      <c r="I31" s="61">
        <f t="shared" si="5"/>
        <v>0</v>
      </c>
      <c r="J31" s="43">
        <f t="shared" si="6"/>
        <v>0</v>
      </c>
      <c r="K31" s="7">
        <v>13289.24</v>
      </c>
      <c r="L31" s="61">
        <f t="shared" si="7"/>
        <v>0</v>
      </c>
      <c r="M31" s="43">
        <f t="shared" si="8"/>
        <v>0</v>
      </c>
      <c r="N31" s="7">
        <v>2933.895</v>
      </c>
      <c r="O31" s="61">
        <f t="shared" si="9"/>
        <v>0</v>
      </c>
      <c r="P31" s="43">
        <f t="shared" si="10"/>
        <v>0</v>
      </c>
      <c r="Q31" s="7">
        <v>4707.5600000000004</v>
      </c>
      <c r="R31" s="61">
        <f t="shared" si="1"/>
        <v>0</v>
      </c>
      <c r="S31" s="43">
        <f t="shared" si="11"/>
        <v>0</v>
      </c>
      <c r="T31" s="8">
        <f t="shared" si="12"/>
        <v>0</v>
      </c>
      <c r="U31" s="46"/>
    </row>
    <row r="32" spans="1:24" ht="21" thickBot="1" x14ac:dyDescent="0.3">
      <c r="A32" s="9"/>
      <c r="B32" s="1"/>
      <c r="C32" s="62">
        <f>SUM(C3:C30)</f>
        <v>105.22100000000137</v>
      </c>
      <c r="D32" s="44">
        <f>SUM(D3:D30)</f>
        <v>199919.90000000253</v>
      </c>
      <c r="E32" s="1"/>
      <c r="F32" s="62">
        <f>SUM(F3:F30)</f>
        <v>25.79300000000012</v>
      </c>
      <c r="G32" s="44">
        <f>SUM(G2:G30)</f>
        <v>49006.700000000237</v>
      </c>
      <c r="H32" s="1"/>
      <c r="I32" s="62">
        <f>SUM(I3:I30)</f>
        <v>129</v>
      </c>
      <c r="J32" s="44">
        <f>SUM(J2:J30)</f>
        <v>245100</v>
      </c>
      <c r="K32" s="7"/>
      <c r="L32" s="62">
        <f>SUM(L3:L30)</f>
        <v>24.18999999999869</v>
      </c>
      <c r="M32" s="44">
        <f>SUM(M2:M30)</f>
        <v>45960.999999997512</v>
      </c>
      <c r="N32" s="7"/>
      <c r="O32" s="62">
        <f>SUM(O3:O30)</f>
        <v>27.295000000000073</v>
      </c>
      <c r="P32" s="44">
        <f>SUM(P2:P30)</f>
        <v>51860.500000000131</v>
      </c>
      <c r="Q32" s="7"/>
      <c r="R32" s="62">
        <f>SUM(R3:R30)</f>
        <v>10.190000000000509</v>
      </c>
      <c r="S32" s="44">
        <f>SUM(S2:S30)</f>
        <v>19361.000000000968</v>
      </c>
      <c r="T32" s="12">
        <f>SUM(T2:T30)</f>
        <v>321.68900000000076</v>
      </c>
      <c r="U32" s="47">
        <f>SUM(U3:U30)</f>
        <v>611209.10000000149</v>
      </c>
    </row>
    <row r="34" spans="4:18" x14ac:dyDescent="0.2">
      <c r="F34" s="53" t="s">
        <v>13</v>
      </c>
    </row>
    <row r="36" spans="4:18" x14ac:dyDescent="0.2">
      <c r="D36" t="s">
        <v>13</v>
      </c>
      <c r="I36" s="53" t="s">
        <v>13</v>
      </c>
      <c r="R36" s="53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5" zoomScaleNormal="115" workbookViewId="0">
      <selection activeCell="I35" sqref="I35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10" width="9" bestFit="1" customWidth="1"/>
    <col min="11" max="11" width="13.7109375" customWidth="1"/>
    <col min="12" max="12" width="10.140625" bestFit="1" customWidth="1"/>
  </cols>
  <sheetData>
    <row r="1" spans="1:11" ht="24" thickBot="1" x14ac:dyDescent="0.25">
      <c r="A1" s="174" t="s">
        <v>140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</row>
    <row r="2" spans="1:11" ht="13.5" thickBot="1" x14ac:dyDescent="0.25">
      <c r="A2" s="116"/>
      <c r="B2" s="117" t="s">
        <v>93</v>
      </c>
      <c r="C2" s="118">
        <f>K8+K9+K14</f>
        <v>277361</v>
      </c>
      <c r="D2" s="118">
        <f>C2*1.27</f>
        <v>352248.47000000003</v>
      </c>
      <c r="E2" s="119"/>
      <c r="F2" s="116"/>
      <c r="G2" s="116"/>
      <c r="H2" s="120" t="s">
        <v>94</v>
      </c>
      <c r="I2" s="121"/>
      <c r="J2" s="121"/>
      <c r="K2" s="121"/>
    </row>
    <row r="3" spans="1:11" ht="13.5" thickBot="1" x14ac:dyDescent="0.25">
      <c r="A3" s="116"/>
      <c r="B3" s="116"/>
      <c r="C3" s="116"/>
      <c r="D3" s="116"/>
      <c r="E3" s="116"/>
      <c r="F3" s="116"/>
      <c r="G3" s="116"/>
      <c r="H3" s="122" t="s">
        <v>95</v>
      </c>
      <c r="I3" s="166">
        <f>ELECT.!E2</f>
        <v>24958787</v>
      </c>
      <c r="J3" s="166">
        <f>ELECT.!E30</f>
        <v>25181492</v>
      </c>
      <c r="K3" s="113">
        <f>J3-I3</f>
        <v>222705</v>
      </c>
    </row>
    <row r="4" spans="1:11" ht="13.5" thickBot="1" x14ac:dyDescent="0.25">
      <c r="A4" s="116"/>
      <c r="B4" s="124" t="s">
        <v>96</v>
      </c>
      <c r="C4" s="125" t="s">
        <v>97</v>
      </c>
      <c r="D4" s="125" t="s">
        <v>98</v>
      </c>
      <c r="E4" s="125"/>
      <c r="F4" s="116"/>
      <c r="G4" s="116"/>
      <c r="H4" s="122" t="s">
        <v>99</v>
      </c>
      <c r="I4" s="123">
        <f>ELECT.!G2</f>
        <v>77289999</v>
      </c>
      <c r="J4" s="166">
        <f>ELECT.!G30</f>
        <v>78500836</v>
      </c>
      <c r="K4" s="113">
        <f>J4-I4</f>
        <v>1210837</v>
      </c>
    </row>
    <row r="5" spans="1:11" ht="13.5" thickBot="1" x14ac:dyDescent="0.25">
      <c r="A5" s="116"/>
      <c r="B5" s="122" t="s">
        <v>28</v>
      </c>
      <c r="C5" s="126">
        <f>(K10+K12)*0.842284+K26</f>
        <v>712788.94856000005</v>
      </c>
      <c r="D5" s="126">
        <f t="shared" ref="D5:D11" si="0">C5*1.27</f>
        <v>905241.96467120002</v>
      </c>
      <c r="E5" s="127"/>
      <c r="F5" s="116"/>
      <c r="G5" s="116"/>
      <c r="H5" s="122" t="s">
        <v>24</v>
      </c>
      <c r="I5" s="128"/>
      <c r="J5" s="128"/>
      <c r="K5" s="153">
        <f>K3+K4</f>
        <v>1433542</v>
      </c>
    </row>
    <row r="6" spans="1:11" ht="13.5" thickBot="1" x14ac:dyDescent="0.25">
      <c r="A6" s="116"/>
      <c r="B6" s="122" t="s">
        <v>100</v>
      </c>
      <c r="C6" s="126">
        <f>(K10+K12+K26)*0.1488</f>
        <v>125619.93599999999</v>
      </c>
      <c r="D6" s="126">
        <f t="shared" si="0"/>
        <v>159537.31871999998</v>
      </c>
      <c r="E6" s="127"/>
      <c r="F6" s="116"/>
      <c r="G6" s="116"/>
      <c r="H6" s="122" t="s">
        <v>101</v>
      </c>
      <c r="I6" s="171">
        <f>ELECT.!J2</f>
        <v>7430512</v>
      </c>
      <c r="J6" s="167">
        <f>ELECT.!J30</f>
        <v>7595749</v>
      </c>
      <c r="K6" s="113">
        <f>J6-I6</f>
        <v>165237</v>
      </c>
    </row>
    <row r="7" spans="1:11" ht="13.5" thickBot="1" x14ac:dyDescent="0.25">
      <c r="A7" s="116"/>
      <c r="B7" s="122" t="s">
        <v>102</v>
      </c>
      <c r="C7" s="126">
        <f>(K6+K7)-(C8+C9+C10+C11+K26)</f>
        <v>251369</v>
      </c>
      <c r="D7" s="126">
        <f t="shared" si="0"/>
        <v>319238.63</v>
      </c>
      <c r="E7" s="127"/>
      <c r="F7" s="116"/>
      <c r="G7" s="116"/>
      <c r="H7" s="122" t="s">
        <v>103</v>
      </c>
      <c r="I7" s="171">
        <f>ELECT.!L2</f>
        <v>7442711</v>
      </c>
      <c r="J7" s="167">
        <f>ELECT.!L30</f>
        <v>7600315</v>
      </c>
      <c r="K7" s="113">
        <f>J7-I7</f>
        <v>157604</v>
      </c>
    </row>
    <row r="8" spans="1:11" ht="13.5" thickBot="1" x14ac:dyDescent="0.25">
      <c r="A8" s="116"/>
      <c r="B8" s="122" t="s">
        <v>104</v>
      </c>
      <c r="C8" s="126">
        <f>K21+K22+K23+K24</f>
        <v>31930</v>
      </c>
      <c r="D8" s="126">
        <f t="shared" si="0"/>
        <v>40551.1</v>
      </c>
      <c r="E8" s="127"/>
      <c r="F8" s="116"/>
      <c r="G8" s="116"/>
      <c r="H8" s="122" t="s">
        <v>105</v>
      </c>
      <c r="I8" s="171">
        <f>ELECT.!N2</f>
        <v>4942119</v>
      </c>
      <c r="J8" s="167">
        <f>ELECT.!N30</f>
        <v>4972415</v>
      </c>
      <c r="K8" s="113">
        <f>(J8-I8)*2</f>
        <v>60592</v>
      </c>
    </row>
    <row r="9" spans="1:11" ht="13.5" thickBot="1" x14ac:dyDescent="0.25">
      <c r="A9" s="116"/>
      <c r="B9" s="122" t="s">
        <v>138</v>
      </c>
      <c r="C9" s="126">
        <f>K25+K16+K17</f>
        <v>9260</v>
      </c>
      <c r="D9" s="126">
        <f t="shared" si="0"/>
        <v>11760.2</v>
      </c>
      <c r="E9" s="127"/>
      <c r="F9" s="116"/>
      <c r="G9" s="116"/>
      <c r="H9" s="122" t="s">
        <v>106</v>
      </c>
      <c r="I9" s="171">
        <f>ELECT.!P2</f>
        <v>2437148</v>
      </c>
      <c r="J9" s="167">
        <f>ELECT.!P30</f>
        <v>2644726</v>
      </c>
      <c r="K9" s="113">
        <f>J9-I9</f>
        <v>207578</v>
      </c>
    </row>
    <row r="10" spans="1:11" ht="13.5" thickBot="1" x14ac:dyDescent="0.25">
      <c r="A10" s="116"/>
      <c r="B10" s="122" t="s">
        <v>107</v>
      </c>
      <c r="C10" s="126">
        <f>K18</f>
        <v>16320</v>
      </c>
      <c r="D10" s="126">
        <f t="shared" si="0"/>
        <v>20726.400000000001</v>
      </c>
      <c r="E10" s="127"/>
      <c r="F10" s="116"/>
      <c r="G10" s="116"/>
      <c r="H10" s="122" t="s">
        <v>108</v>
      </c>
      <c r="I10" s="171">
        <f>ELECT.!R2</f>
        <v>16464700</v>
      </c>
      <c r="J10" s="167">
        <f>ELECT.!R30</f>
        <v>16718530</v>
      </c>
      <c r="K10" s="113">
        <f>J10-I10</f>
        <v>253830</v>
      </c>
    </row>
    <row r="11" spans="1:11" ht="13.5" thickBot="1" x14ac:dyDescent="0.25">
      <c r="A11" s="116"/>
      <c r="B11" s="122" t="s">
        <v>109</v>
      </c>
      <c r="C11" s="126">
        <f>K19+K20</f>
        <v>3082</v>
      </c>
      <c r="D11" s="126">
        <f t="shared" si="0"/>
        <v>3914.14</v>
      </c>
      <c r="E11" s="127"/>
      <c r="F11" s="116"/>
      <c r="G11" s="116"/>
      <c r="H11" s="122" t="s">
        <v>110</v>
      </c>
      <c r="I11" s="129">
        <v>0</v>
      </c>
      <c r="J11" s="128">
        <v>0</v>
      </c>
      <c r="K11" s="113">
        <f>J11-I11</f>
        <v>0</v>
      </c>
    </row>
    <row r="12" spans="1:11" ht="13.5" thickBot="1" x14ac:dyDescent="0.25">
      <c r="A12" s="116"/>
      <c r="B12" s="116"/>
      <c r="C12" s="130"/>
      <c r="D12" s="130"/>
      <c r="E12" s="130"/>
      <c r="F12" s="116"/>
      <c r="G12" s="116"/>
      <c r="H12" s="122" t="s">
        <v>111</v>
      </c>
      <c r="I12" s="171">
        <f>ELECT.!V2</f>
        <v>3978655</v>
      </c>
      <c r="J12" s="167">
        <f>ELECT.!V30</f>
        <v>4268410</v>
      </c>
      <c r="K12" s="113">
        <f>(J12-I12)*2</f>
        <v>579510</v>
      </c>
    </row>
    <row r="13" spans="1:11" ht="13.5" thickBot="1" x14ac:dyDescent="0.25">
      <c r="A13" s="116"/>
      <c r="B13" s="120" t="s">
        <v>112</v>
      </c>
      <c r="C13" s="127" t="s">
        <v>113</v>
      </c>
      <c r="D13" s="127" t="s">
        <v>98</v>
      </c>
      <c r="E13" s="127"/>
      <c r="F13" s="116"/>
      <c r="G13" s="116"/>
      <c r="H13" s="122" t="s">
        <v>114</v>
      </c>
      <c r="I13" s="131"/>
      <c r="J13" s="132"/>
      <c r="K13" s="133">
        <f>SUM(K6:K12)</f>
        <v>1424351</v>
      </c>
    </row>
    <row r="14" spans="1:11" ht="13.5" thickBot="1" x14ac:dyDescent="0.25">
      <c r="A14" s="116"/>
      <c r="B14" s="122" t="s">
        <v>43</v>
      </c>
      <c r="C14" s="126">
        <f>K29</f>
        <v>15760</v>
      </c>
      <c r="D14" s="134">
        <f t="shared" ref="D14:D22" si="1">C14*10.03</f>
        <v>158072.79999999999</v>
      </c>
      <c r="E14" s="135"/>
      <c r="F14" s="116"/>
      <c r="G14" s="116"/>
      <c r="H14" s="122" t="s">
        <v>115</v>
      </c>
      <c r="I14" s="131"/>
      <c r="J14" s="132"/>
      <c r="K14" s="114">
        <f>K5-K13</f>
        <v>9191</v>
      </c>
    </row>
    <row r="15" spans="1:11" ht="13.5" thickBot="1" x14ac:dyDescent="0.25">
      <c r="A15" s="116"/>
      <c r="B15" s="122" t="s">
        <v>116</v>
      </c>
      <c r="C15" s="136">
        <f>K30</f>
        <v>133.51499999999999</v>
      </c>
      <c r="D15" s="134">
        <f t="shared" si="1"/>
        <v>1339.1554499999997</v>
      </c>
      <c r="E15" s="135"/>
      <c r="F15" s="116"/>
      <c r="G15" s="116"/>
      <c r="H15" s="116"/>
      <c r="I15" s="116"/>
      <c r="J15" s="116"/>
      <c r="K15" s="116"/>
    </row>
    <row r="16" spans="1:11" ht="13.5" thickBot="1" x14ac:dyDescent="0.25">
      <c r="A16" s="116"/>
      <c r="B16" s="122" t="s">
        <v>100</v>
      </c>
      <c r="C16" s="136">
        <f>(C14-C15-C17-C18-C19-C20-C21)*0.1318</f>
        <v>1292.494723</v>
      </c>
      <c r="D16" s="134">
        <f t="shared" si="1"/>
        <v>12963.722071689999</v>
      </c>
      <c r="E16" s="135"/>
      <c r="F16" s="116"/>
      <c r="G16" s="116"/>
      <c r="H16" s="137" t="s">
        <v>137</v>
      </c>
      <c r="I16" s="138">
        <f>'Mall, Citadel, Rotana'!T2</f>
        <v>3501</v>
      </c>
      <c r="J16" s="138">
        <f>'Mall, Citadel, Rotana'!T33</f>
        <v>3539</v>
      </c>
      <c r="K16" s="115">
        <f>(J16-I16)*160</f>
        <v>6080</v>
      </c>
    </row>
    <row r="17" spans="1:11" ht="13.5" thickBot="1" x14ac:dyDescent="0.25">
      <c r="A17" s="116"/>
      <c r="B17" s="122" t="s">
        <v>104</v>
      </c>
      <c r="C17" s="136">
        <v>1420</v>
      </c>
      <c r="D17" s="134">
        <f t="shared" si="1"/>
        <v>14242.599999999999</v>
      </c>
      <c r="E17" s="135"/>
      <c r="F17" s="116"/>
      <c r="G17" s="116"/>
      <c r="H17" s="137" t="s">
        <v>20</v>
      </c>
      <c r="I17" s="138">
        <f>'Mall, Citadel, Rotana'!J2</f>
        <v>303517</v>
      </c>
      <c r="J17" s="138">
        <f>'Mall, Citadel, Rotana'!J33</f>
        <v>303517</v>
      </c>
      <c r="K17" s="115">
        <f>(J17-I17)*120</f>
        <v>0</v>
      </c>
    </row>
    <row r="18" spans="1:11" ht="13.5" thickBot="1" x14ac:dyDescent="0.25">
      <c r="A18" s="116"/>
      <c r="B18" s="122" t="s">
        <v>109</v>
      </c>
      <c r="C18" s="136">
        <v>200</v>
      </c>
      <c r="D18" s="134">
        <f t="shared" si="1"/>
        <v>2005.9999999999998</v>
      </c>
      <c r="E18" s="135"/>
      <c r="F18" s="116"/>
      <c r="G18" s="116"/>
      <c r="H18" s="137" t="s">
        <v>21</v>
      </c>
      <c r="I18" s="138">
        <f>'Mall, Citadel, Rotana'!L2</f>
        <v>24568</v>
      </c>
      <c r="J18" s="138">
        <f>'Mall, Citadel, Rotana'!L33</f>
        <v>24670</v>
      </c>
      <c r="K18" s="115">
        <f>(J18-I18)*160</f>
        <v>16320</v>
      </c>
    </row>
    <row r="19" spans="1:11" ht="15.75" thickBot="1" x14ac:dyDescent="0.25">
      <c r="A19" s="116"/>
      <c r="B19" s="122" t="s">
        <v>138</v>
      </c>
      <c r="C19" s="136">
        <v>600</v>
      </c>
      <c r="D19" s="134">
        <f t="shared" si="1"/>
        <v>6018</v>
      </c>
      <c r="E19" s="175" t="s">
        <v>117</v>
      </c>
      <c r="F19" s="176"/>
      <c r="G19" s="116"/>
      <c r="H19" s="137" t="s">
        <v>118</v>
      </c>
      <c r="I19" s="138">
        <f>'Mall, Citadel, Rotana'!P2</f>
        <v>91688</v>
      </c>
      <c r="J19" s="138">
        <f>'Mall, Citadel, Rotana'!P33</f>
        <v>94770</v>
      </c>
      <c r="K19" s="115">
        <f>J19-I19</f>
        <v>3082</v>
      </c>
    </row>
    <row r="20" spans="1:11" ht="13.5" thickBot="1" x14ac:dyDescent="0.25">
      <c r="A20" s="116"/>
      <c r="B20" s="122" t="s">
        <v>107</v>
      </c>
      <c r="C20" s="136">
        <v>600</v>
      </c>
      <c r="D20" s="134">
        <f t="shared" si="1"/>
        <v>6018</v>
      </c>
      <c r="E20" s="135"/>
      <c r="F20" s="116"/>
      <c r="G20" s="116"/>
      <c r="H20" s="137" t="s">
        <v>119</v>
      </c>
      <c r="I20" s="138">
        <f>'Mall, Citadel, Rotana'!R2</f>
        <v>55047</v>
      </c>
      <c r="J20" s="138">
        <f>'Mall, Citadel, Rotana'!R33</f>
        <v>55047</v>
      </c>
      <c r="K20" s="115">
        <f>J20-I20</f>
        <v>0</v>
      </c>
    </row>
    <row r="21" spans="1:11" ht="13.5" thickBot="1" x14ac:dyDescent="0.25">
      <c r="A21" s="116"/>
      <c r="B21" s="122" t="s">
        <v>93</v>
      </c>
      <c r="C21" s="136">
        <v>3000</v>
      </c>
      <c r="D21" s="134">
        <f t="shared" si="1"/>
        <v>30089.999999999996</v>
      </c>
      <c r="E21" s="135"/>
      <c r="F21" s="116"/>
      <c r="G21" s="116"/>
      <c r="H21" s="137" t="s">
        <v>14</v>
      </c>
      <c r="I21" s="138">
        <f>'Mall, Citadel, Rotana'!B2</f>
        <v>44752</v>
      </c>
      <c r="J21" s="138">
        <f>'Mall, Citadel, Rotana'!B33</f>
        <v>44890</v>
      </c>
      <c r="K21" s="115">
        <f>(J21-I21)*120</f>
        <v>16560</v>
      </c>
    </row>
    <row r="22" spans="1:11" ht="13.5" thickBot="1" x14ac:dyDescent="0.25">
      <c r="A22" s="116"/>
      <c r="B22" s="122" t="s">
        <v>120</v>
      </c>
      <c r="C22" s="134">
        <f>C14-(C15+C16+C17+C18+C19+C20+C21)</f>
        <v>8513.9902770000008</v>
      </c>
      <c r="D22" s="134">
        <f t="shared" si="1"/>
        <v>85395.322478310001</v>
      </c>
      <c r="E22" s="135"/>
      <c r="F22" s="116"/>
      <c r="G22" s="116"/>
      <c r="H22" s="137" t="s">
        <v>16</v>
      </c>
      <c r="I22" s="138">
        <f>'Mall, Citadel, Rotana'!D2</f>
        <v>39227</v>
      </c>
      <c r="J22" s="138">
        <f>'Mall, Citadel, Rotana'!D33</f>
        <v>39308</v>
      </c>
      <c r="K22" s="115">
        <f>(J22-I22)*160</f>
        <v>12960</v>
      </c>
    </row>
    <row r="23" spans="1:11" x14ac:dyDescent="0.2">
      <c r="A23" s="116"/>
      <c r="B23" s="116"/>
      <c r="C23" s="130"/>
      <c r="D23" s="139"/>
      <c r="E23" s="135"/>
      <c r="F23" s="116"/>
      <c r="G23" s="116"/>
      <c r="H23" s="137" t="s">
        <v>18</v>
      </c>
      <c r="I23" s="138">
        <f>'Mall, Citadel, Rotana'!F2</f>
        <v>20014</v>
      </c>
      <c r="J23" s="138">
        <f>'Mall, Citadel, Rotana'!F33</f>
        <v>20120</v>
      </c>
      <c r="K23" s="115">
        <f>(J23-I23)*20</f>
        <v>2120</v>
      </c>
    </row>
    <row r="24" spans="1:11" x14ac:dyDescent="0.2">
      <c r="A24" s="116"/>
      <c r="B24" s="120" t="s">
        <v>121</v>
      </c>
      <c r="C24" s="130"/>
      <c r="D24" s="130"/>
      <c r="E24" s="130"/>
      <c r="F24" s="116"/>
      <c r="G24" s="116"/>
      <c r="H24" s="137" t="s">
        <v>19</v>
      </c>
      <c r="I24" s="138">
        <f>'Mall, Citadel, Rotana'!H2</f>
        <v>238893</v>
      </c>
      <c r="J24" s="138">
        <f>'Mall, Citadel, Rotana'!H33</f>
        <v>239183</v>
      </c>
      <c r="K24" s="115">
        <f>J24-I24</f>
        <v>290</v>
      </c>
    </row>
    <row r="25" spans="1:11" ht="13.5" thickBot="1" x14ac:dyDescent="0.25">
      <c r="A25" s="116"/>
      <c r="B25" s="116"/>
      <c r="C25" s="127" t="s">
        <v>113</v>
      </c>
      <c r="D25" s="127" t="s">
        <v>122</v>
      </c>
      <c r="E25" s="127"/>
      <c r="F25" s="116"/>
      <c r="G25" s="116"/>
      <c r="H25" s="137" t="s">
        <v>123</v>
      </c>
      <c r="I25" s="138">
        <f>'Mall, Citadel, Rotana'!N2</f>
        <v>206458</v>
      </c>
      <c r="J25" s="138">
        <f>'Mall, Citadel, Rotana'!N33</f>
        <v>209638</v>
      </c>
      <c r="K25" s="115">
        <f>J25-I25</f>
        <v>3180</v>
      </c>
    </row>
    <row r="26" spans="1:11" ht="13.5" thickBot="1" x14ac:dyDescent="0.25">
      <c r="A26" s="116"/>
      <c r="B26" s="122" t="s">
        <v>43</v>
      </c>
      <c r="C26" s="140">
        <f>K35</f>
        <v>74294</v>
      </c>
      <c r="D26" s="126">
        <f>C26*3.65</f>
        <v>271173.09999999998</v>
      </c>
      <c r="E26" s="127"/>
      <c r="F26" s="116"/>
      <c r="G26" s="116"/>
      <c r="H26" s="137" t="s">
        <v>124</v>
      </c>
      <c r="I26" s="147">
        <f>ELECT.!C2</f>
        <v>17929</v>
      </c>
      <c r="J26" s="147">
        <f>ELECT.!C30</f>
        <v>17997</v>
      </c>
      <c r="K26" s="115">
        <f>(J26-I26)*160</f>
        <v>10880</v>
      </c>
    </row>
    <row r="27" spans="1:11" ht="13.5" thickBot="1" x14ac:dyDescent="0.25">
      <c r="A27" s="116"/>
      <c r="B27" s="117" t="s">
        <v>125</v>
      </c>
      <c r="C27" s="140">
        <f>C26</f>
        <v>74294</v>
      </c>
      <c r="D27" s="126">
        <f>C27*3.65</f>
        <v>271173.09999999998</v>
      </c>
      <c r="E27" s="127"/>
      <c r="F27" s="116"/>
      <c r="G27" s="116"/>
      <c r="H27" s="120"/>
      <c r="I27" s="141"/>
      <c r="J27" s="116"/>
      <c r="K27" s="116"/>
    </row>
    <row r="28" spans="1:11" x14ac:dyDescent="0.2">
      <c r="A28" s="116"/>
      <c r="B28" s="116"/>
      <c r="C28" s="116"/>
      <c r="D28" s="116"/>
      <c r="E28" s="116"/>
      <c r="F28" s="116"/>
      <c r="G28" s="116"/>
      <c r="H28" s="120" t="s">
        <v>112</v>
      </c>
      <c r="I28" s="141"/>
      <c r="J28" s="116"/>
      <c r="K28" s="116"/>
    </row>
    <row r="29" spans="1:11" x14ac:dyDescent="0.2">
      <c r="A29" s="116"/>
      <c r="B29" s="116"/>
      <c r="C29" s="116"/>
      <c r="D29" s="116"/>
      <c r="E29" s="116"/>
      <c r="F29" s="116"/>
      <c r="G29" s="116" t="s">
        <v>13</v>
      </c>
      <c r="H29" s="137" t="s">
        <v>25</v>
      </c>
      <c r="I29" s="138">
        <f>Water!B2</f>
        <v>404038</v>
      </c>
      <c r="J29" s="138">
        <f>Water!B30</f>
        <v>405614</v>
      </c>
      <c r="K29" s="115">
        <f>(J29-I29)*10</f>
        <v>15760</v>
      </c>
    </row>
    <row r="30" spans="1:11" x14ac:dyDescent="0.2">
      <c r="A30" s="116"/>
      <c r="B30" s="116"/>
      <c r="C30" s="116"/>
      <c r="D30" s="116"/>
      <c r="E30" s="116"/>
      <c r="F30" s="116"/>
      <c r="G30" s="116"/>
      <c r="H30" s="137" t="s">
        <v>126</v>
      </c>
      <c r="I30" s="138">
        <f>Water!H2</f>
        <v>716673</v>
      </c>
      <c r="J30" s="138">
        <f>Water!H30</f>
        <v>721618</v>
      </c>
      <c r="K30" s="115">
        <f>(J30-I30)*0.027</f>
        <v>133.51499999999999</v>
      </c>
    </row>
    <row r="31" spans="1:11" x14ac:dyDescent="0.2">
      <c r="A31" s="116"/>
      <c r="B31" s="116"/>
      <c r="C31" s="116"/>
      <c r="D31" s="116"/>
      <c r="E31" s="116"/>
      <c r="F31" s="116"/>
      <c r="G31" s="116"/>
      <c r="H31" s="137" t="s">
        <v>127</v>
      </c>
      <c r="I31" s="138">
        <f>Water!D2</f>
        <v>3128500</v>
      </c>
      <c r="J31" s="138">
        <f>Water!D30</f>
        <v>3422000</v>
      </c>
      <c r="K31" s="115">
        <f>(J31-I31)*0.027</f>
        <v>7924.5</v>
      </c>
    </row>
    <row r="32" spans="1:11" x14ac:dyDescent="0.2">
      <c r="A32" s="116"/>
      <c r="B32" s="116"/>
      <c r="C32" s="116"/>
      <c r="D32" s="116"/>
      <c r="E32" s="116"/>
      <c r="F32" s="116"/>
      <c r="G32" s="116"/>
      <c r="H32" s="137" t="s">
        <v>128</v>
      </c>
      <c r="I32" s="138">
        <f>Water!F2</f>
        <v>2097500</v>
      </c>
      <c r="J32" s="138">
        <f>Water!F30</f>
        <v>2277500</v>
      </c>
      <c r="K32" s="115">
        <f>(J32-I32)*0.027</f>
        <v>4860</v>
      </c>
    </row>
    <row r="33" spans="1:11" x14ac:dyDescent="0.2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</row>
    <row r="34" spans="1:11" x14ac:dyDescent="0.2">
      <c r="A34" s="142"/>
      <c r="B34" s="142"/>
      <c r="C34" s="142"/>
      <c r="D34" s="142"/>
      <c r="E34" s="142"/>
      <c r="F34" s="142"/>
      <c r="G34" s="142"/>
      <c r="H34" s="142" t="s">
        <v>121</v>
      </c>
      <c r="I34" s="142"/>
      <c r="J34" s="142"/>
      <c r="K34" s="142"/>
    </row>
    <row r="35" spans="1:11" x14ac:dyDescent="0.2">
      <c r="A35" s="142"/>
      <c r="B35" s="142"/>
      <c r="C35" s="142"/>
      <c r="D35" s="142"/>
      <c r="E35" s="142"/>
      <c r="F35" s="142"/>
      <c r="G35" s="143"/>
      <c r="H35" s="144" t="s">
        <v>43</v>
      </c>
      <c r="I35" s="145">
        <f>Gas!B2</f>
        <v>17100707</v>
      </c>
      <c r="J35" s="169">
        <f>Gas!B30</f>
        <v>17175001</v>
      </c>
      <c r="K35" s="146">
        <f>J35-I35</f>
        <v>74294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55" zoomScale="115" zoomScaleNormal="115" workbookViewId="0">
      <selection activeCell="L26" sqref="L26:M26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75"/>
      <c r="C1" s="76" t="s">
        <v>78</v>
      </c>
      <c r="D1" s="77" t="s">
        <v>79</v>
      </c>
      <c r="E1" s="77" t="s">
        <v>142</v>
      </c>
      <c r="F1" s="77" t="s">
        <v>139</v>
      </c>
      <c r="G1" s="77" t="s">
        <v>92</v>
      </c>
      <c r="H1" s="78" t="s">
        <v>80</v>
      </c>
      <c r="J1" s="76" t="s">
        <v>78</v>
      </c>
      <c r="K1" s="77" t="s">
        <v>79</v>
      </c>
      <c r="L1" s="77" t="s">
        <v>139</v>
      </c>
      <c r="M1" s="77" t="s">
        <v>141</v>
      </c>
      <c r="N1" s="77" t="s">
        <v>92</v>
      </c>
      <c r="O1" s="78" t="s">
        <v>80</v>
      </c>
    </row>
    <row r="2" spans="2:15" ht="15" x14ac:dyDescent="0.2">
      <c r="B2" s="75"/>
      <c r="C2" s="177">
        <v>6</v>
      </c>
      <c r="D2" s="79" t="s">
        <v>81</v>
      </c>
      <c r="E2" s="80">
        <v>270755</v>
      </c>
      <c r="F2" s="80">
        <v>272089</v>
      </c>
      <c r="G2" s="81">
        <f>F2-E2</f>
        <v>1334</v>
      </c>
      <c r="H2" s="82"/>
      <c r="J2" s="177">
        <v>6</v>
      </c>
      <c r="K2" s="79" t="s">
        <v>81</v>
      </c>
      <c r="L2" s="80">
        <v>272089</v>
      </c>
      <c r="M2" s="80">
        <v>274698</v>
      </c>
      <c r="N2" s="81">
        <f>M2-L2</f>
        <v>2609</v>
      </c>
      <c r="O2" s="82"/>
    </row>
    <row r="3" spans="2:15" ht="15" x14ac:dyDescent="0.2">
      <c r="B3" s="75"/>
      <c r="C3" s="179"/>
      <c r="D3" s="79" t="s">
        <v>82</v>
      </c>
      <c r="E3" s="80">
        <v>236173</v>
      </c>
      <c r="F3" s="80">
        <v>237334</v>
      </c>
      <c r="G3" s="81">
        <f t="shared" ref="G3:G60" si="0">F3-E3</f>
        <v>1161</v>
      </c>
      <c r="H3" s="82"/>
      <c r="J3" s="179"/>
      <c r="K3" s="79" t="s">
        <v>82</v>
      </c>
      <c r="L3" s="80">
        <v>237334</v>
      </c>
      <c r="M3" s="80">
        <v>238756</v>
      </c>
      <c r="N3" s="81">
        <f t="shared" ref="N3:N60" si="1">M3-L3</f>
        <v>1422</v>
      </c>
      <c r="O3" s="82"/>
    </row>
    <row r="4" spans="2:15" ht="15" x14ac:dyDescent="0.2">
      <c r="B4" s="75"/>
      <c r="C4" s="178"/>
      <c r="D4" s="79" t="s">
        <v>83</v>
      </c>
      <c r="E4" s="80">
        <v>185908</v>
      </c>
      <c r="F4" s="80">
        <v>186678</v>
      </c>
      <c r="G4" s="81">
        <f t="shared" si="0"/>
        <v>770</v>
      </c>
      <c r="H4" s="82"/>
      <c r="J4" s="178"/>
      <c r="K4" s="79" t="s">
        <v>83</v>
      </c>
      <c r="L4" s="80">
        <v>186678</v>
      </c>
      <c r="M4" s="80">
        <v>187896</v>
      </c>
      <c r="N4" s="81">
        <f t="shared" si="1"/>
        <v>1218</v>
      </c>
      <c r="O4" s="82"/>
    </row>
    <row r="5" spans="2:15" ht="15" x14ac:dyDescent="0.2">
      <c r="B5" s="75"/>
      <c r="C5" s="177">
        <v>7</v>
      </c>
      <c r="D5" s="79" t="s">
        <v>81</v>
      </c>
      <c r="E5" s="80">
        <v>233921</v>
      </c>
      <c r="F5" s="80">
        <v>234919</v>
      </c>
      <c r="G5" s="81">
        <f t="shared" si="0"/>
        <v>998</v>
      </c>
      <c r="H5" s="82"/>
      <c r="J5" s="177">
        <v>7</v>
      </c>
      <c r="K5" s="79" t="s">
        <v>81</v>
      </c>
      <c r="L5" s="80">
        <v>234919</v>
      </c>
      <c r="M5" s="80">
        <v>235909</v>
      </c>
      <c r="N5" s="81">
        <f t="shared" si="1"/>
        <v>990</v>
      </c>
      <c r="O5" s="82"/>
    </row>
    <row r="6" spans="2:15" ht="15" x14ac:dyDescent="0.2">
      <c r="B6" s="75"/>
      <c r="C6" s="179"/>
      <c r="D6" s="79" t="s">
        <v>82</v>
      </c>
      <c r="E6" s="80">
        <v>153394</v>
      </c>
      <c r="F6" s="80">
        <v>153441</v>
      </c>
      <c r="G6" s="81">
        <f t="shared" si="0"/>
        <v>47</v>
      </c>
      <c r="H6" s="82"/>
      <c r="J6" s="179"/>
      <c r="K6" s="79" t="s">
        <v>82</v>
      </c>
      <c r="L6" s="80">
        <v>153441</v>
      </c>
      <c r="M6" s="80">
        <v>153504</v>
      </c>
      <c r="N6" s="81">
        <f t="shared" si="1"/>
        <v>63</v>
      </c>
      <c r="O6" s="82"/>
    </row>
    <row r="7" spans="2:15" ht="15" x14ac:dyDescent="0.2">
      <c r="B7" s="75"/>
      <c r="C7" s="178"/>
      <c r="D7" s="79" t="s">
        <v>83</v>
      </c>
      <c r="E7" s="80">
        <v>115378</v>
      </c>
      <c r="F7" s="80">
        <v>115849</v>
      </c>
      <c r="G7" s="81">
        <f t="shared" si="0"/>
        <v>471</v>
      </c>
      <c r="H7" s="82"/>
      <c r="J7" s="178"/>
      <c r="K7" s="79" t="s">
        <v>83</v>
      </c>
      <c r="L7" s="80">
        <v>115849</v>
      </c>
      <c r="M7" s="80">
        <v>116610</v>
      </c>
      <c r="N7" s="81">
        <f t="shared" si="1"/>
        <v>761</v>
      </c>
      <c r="O7" s="82"/>
    </row>
    <row r="8" spans="2:15" ht="15" x14ac:dyDescent="0.2">
      <c r="B8" s="75"/>
      <c r="C8" s="177">
        <v>8</v>
      </c>
      <c r="D8" s="79" t="s">
        <v>81</v>
      </c>
      <c r="E8" s="80">
        <v>71698</v>
      </c>
      <c r="F8" s="80">
        <v>71827</v>
      </c>
      <c r="G8" s="81">
        <f t="shared" si="0"/>
        <v>129</v>
      </c>
      <c r="H8" s="82"/>
      <c r="J8" s="177">
        <v>8</v>
      </c>
      <c r="K8" s="79" t="s">
        <v>81</v>
      </c>
      <c r="L8" s="80">
        <v>71827</v>
      </c>
      <c r="M8" s="80">
        <v>72003</v>
      </c>
      <c r="N8" s="81">
        <f t="shared" si="1"/>
        <v>176</v>
      </c>
      <c r="O8" s="82"/>
    </row>
    <row r="9" spans="2:15" ht="15" x14ac:dyDescent="0.2">
      <c r="B9" s="75"/>
      <c r="C9" s="179"/>
      <c r="D9" s="79" t="s">
        <v>82</v>
      </c>
      <c r="E9" s="80">
        <v>1580</v>
      </c>
      <c r="F9" s="80">
        <v>1580</v>
      </c>
      <c r="G9" s="81">
        <f t="shared" si="0"/>
        <v>0</v>
      </c>
      <c r="H9" s="84" t="s">
        <v>13</v>
      </c>
      <c r="J9" s="179"/>
      <c r="K9" s="79" t="s">
        <v>82</v>
      </c>
      <c r="L9" s="80">
        <v>1580</v>
      </c>
      <c r="M9" s="80">
        <v>1580</v>
      </c>
      <c r="N9" s="81">
        <f t="shared" si="1"/>
        <v>0</v>
      </c>
      <c r="O9" s="84" t="s">
        <v>13</v>
      </c>
    </row>
    <row r="10" spans="2:15" ht="15" x14ac:dyDescent="0.2">
      <c r="B10" s="75"/>
      <c r="C10" s="178"/>
      <c r="D10" s="79" t="s">
        <v>83</v>
      </c>
      <c r="E10" s="80">
        <v>93468</v>
      </c>
      <c r="F10" s="80">
        <v>94047</v>
      </c>
      <c r="G10" s="81">
        <f t="shared" si="0"/>
        <v>579</v>
      </c>
      <c r="H10" s="82"/>
      <c r="J10" s="178"/>
      <c r="K10" s="79" t="s">
        <v>83</v>
      </c>
      <c r="L10" s="80">
        <v>94047</v>
      </c>
      <c r="M10" s="80">
        <v>94510</v>
      </c>
      <c r="N10" s="81">
        <f t="shared" si="1"/>
        <v>463</v>
      </c>
      <c r="O10" s="82"/>
    </row>
    <row r="11" spans="2:15" ht="15" x14ac:dyDescent="0.2">
      <c r="B11" s="75"/>
      <c r="C11" s="177">
        <v>9</v>
      </c>
      <c r="D11" s="79" t="s">
        <v>81</v>
      </c>
      <c r="E11" s="80">
        <v>34434</v>
      </c>
      <c r="F11" s="80">
        <v>34479</v>
      </c>
      <c r="G11" s="81">
        <f t="shared" si="0"/>
        <v>45</v>
      </c>
      <c r="H11" s="82"/>
      <c r="J11" s="177">
        <v>9</v>
      </c>
      <c r="K11" s="79" t="s">
        <v>81</v>
      </c>
      <c r="L11" s="80">
        <v>34479</v>
      </c>
      <c r="M11" s="80">
        <v>39500</v>
      </c>
      <c r="N11" s="81">
        <f t="shared" si="1"/>
        <v>5021</v>
      </c>
      <c r="O11" s="82"/>
    </row>
    <row r="12" spans="2:15" ht="15" x14ac:dyDescent="0.2">
      <c r="B12" s="75"/>
      <c r="C12" s="179"/>
      <c r="D12" s="79" t="s">
        <v>82</v>
      </c>
      <c r="E12" s="80">
        <v>0</v>
      </c>
      <c r="F12" s="80">
        <v>0</v>
      </c>
      <c r="G12" s="81">
        <f t="shared" si="0"/>
        <v>0</v>
      </c>
      <c r="H12" s="84" t="s">
        <v>13</v>
      </c>
      <c r="J12" s="179"/>
      <c r="K12" s="79" t="s">
        <v>82</v>
      </c>
      <c r="L12" s="80">
        <v>0</v>
      </c>
      <c r="M12" s="80">
        <v>0</v>
      </c>
      <c r="N12" s="81">
        <f t="shared" si="1"/>
        <v>0</v>
      </c>
      <c r="O12" s="84" t="s">
        <v>13</v>
      </c>
    </row>
    <row r="13" spans="2:15" ht="15" x14ac:dyDescent="0.2">
      <c r="B13" s="75"/>
      <c r="C13" s="178"/>
      <c r="D13" s="79" t="s">
        <v>83</v>
      </c>
      <c r="E13" s="80">
        <v>28056</v>
      </c>
      <c r="F13" s="80">
        <v>28176</v>
      </c>
      <c r="G13" s="81">
        <f t="shared" si="0"/>
        <v>120</v>
      </c>
      <c r="H13" s="82"/>
      <c r="I13" s="85"/>
      <c r="J13" s="178"/>
      <c r="K13" s="79" t="s">
        <v>83</v>
      </c>
      <c r="L13" s="80">
        <v>28176</v>
      </c>
      <c r="M13" s="80">
        <v>28245</v>
      </c>
      <c r="N13" s="81">
        <f t="shared" si="1"/>
        <v>69</v>
      </c>
      <c r="O13" s="82"/>
    </row>
    <row r="14" spans="2:15" ht="15" x14ac:dyDescent="0.2">
      <c r="B14" s="75"/>
      <c r="C14" s="177">
        <v>10</v>
      </c>
      <c r="D14" s="79" t="s">
        <v>81</v>
      </c>
      <c r="E14" s="80">
        <v>183139</v>
      </c>
      <c r="F14" s="80">
        <v>185278</v>
      </c>
      <c r="G14" s="81">
        <f t="shared" si="0"/>
        <v>2139</v>
      </c>
      <c r="H14" s="82"/>
      <c r="I14" s="86"/>
      <c r="J14" s="177">
        <v>10</v>
      </c>
      <c r="K14" s="79" t="s">
        <v>81</v>
      </c>
      <c r="L14" s="80">
        <v>185278</v>
      </c>
      <c r="M14" s="80">
        <v>187336</v>
      </c>
      <c r="N14" s="81">
        <f t="shared" si="1"/>
        <v>2058</v>
      </c>
      <c r="O14" s="82"/>
    </row>
    <row r="15" spans="2:15" ht="15" x14ac:dyDescent="0.2">
      <c r="B15" s="75"/>
      <c r="C15" s="179"/>
      <c r="D15" s="79" t="s">
        <v>82</v>
      </c>
      <c r="E15" s="80">
        <v>7704</v>
      </c>
      <c r="F15" s="80">
        <v>7705</v>
      </c>
      <c r="G15" s="81">
        <f t="shared" si="0"/>
        <v>1</v>
      </c>
      <c r="H15" s="82"/>
      <c r="I15" s="86"/>
      <c r="J15" s="179"/>
      <c r="K15" s="79" t="s">
        <v>82</v>
      </c>
      <c r="L15" s="80">
        <v>7705</v>
      </c>
      <c r="M15" s="80">
        <v>7717</v>
      </c>
      <c r="N15" s="81">
        <f t="shared" si="1"/>
        <v>12</v>
      </c>
      <c r="O15" s="82"/>
    </row>
    <row r="16" spans="2:15" ht="15" x14ac:dyDescent="0.2">
      <c r="B16" s="75"/>
      <c r="C16" s="178"/>
      <c r="D16" s="79" t="s">
        <v>83</v>
      </c>
      <c r="E16" s="80">
        <v>178384</v>
      </c>
      <c r="F16" s="80">
        <v>179162</v>
      </c>
      <c r="G16" s="81">
        <f t="shared" si="0"/>
        <v>778</v>
      </c>
      <c r="H16" s="82"/>
      <c r="I16" s="86"/>
      <c r="J16" s="178"/>
      <c r="K16" s="79" t="s">
        <v>83</v>
      </c>
      <c r="L16" s="80">
        <v>179162</v>
      </c>
      <c r="M16" s="80">
        <v>180413</v>
      </c>
      <c r="N16" s="81">
        <f t="shared" si="1"/>
        <v>1251</v>
      </c>
      <c r="O16" s="82"/>
    </row>
    <row r="17" spans="2:15" ht="15" x14ac:dyDescent="0.2">
      <c r="B17" s="75"/>
      <c r="C17" s="177">
        <v>11</v>
      </c>
      <c r="D17" s="79" t="s">
        <v>81</v>
      </c>
      <c r="E17" s="83">
        <v>62703</v>
      </c>
      <c r="F17" s="83">
        <v>62746</v>
      </c>
      <c r="G17" s="81">
        <f t="shared" si="0"/>
        <v>43</v>
      </c>
      <c r="H17" s="82"/>
      <c r="I17" s="86"/>
      <c r="J17" s="177">
        <v>11</v>
      </c>
      <c r="K17" s="79" t="s">
        <v>81</v>
      </c>
      <c r="L17" s="83">
        <v>62746</v>
      </c>
      <c r="M17" s="83">
        <v>62793</v>
      </c>
      <c r="N17" s="81">
        <f t="shared" si="1"/>
        <v>47</v>
      </c>
      <c r="O17" s="82"/>
    </row>
    <row r="18" spans="2:15" ht="15" x14ac:dyDescent="0.2">
      <c r="B18" s="75"/>
      <c r="C18" s="179"/>
      <c r="D18" s="79" t="s">
        <v>82</v>
      </c>
      <c r="E18" s="83">
        <v>205627</v>
      </c>
      <c r="F18" s="83">
        <v>206185</v>
      </c>
      <c r="G18" s="81">
        <f t="shared" si="0"/>
        <v>558</v>
      </c>
      <c r="H18" s="82"/>
      <c r="I18" s="86"/>
      <c r="J18" s="179"/>
      <c r="K18" s="79" t="s">
        <v>82</v>
      </c>
      <c r="L18" s="83">
        <v>206185</v>
      </c>
      <c r="M18" s="83">
        <v>208087</v>
      </c>
      <c r="N18" s="81">
        <f t="shared" si="1"/>
        <v>1902</v>
      </c>
      <c r="O18" s="82"/>
    </row>
    <row r="19" spans="2:15" ht="15" x14ac:dyDescent="0.2">
      <c r="B19" s="75"/>
      <c r="C19" s="178"/>
      <c r="D19" s="79" t="s">
        <v>83</v>
      </c>
      <c r="E19" s="80">
        <v>30363</v>
      </c>
      <c r="F19" s="80">
        <v>30413</v>
      </c>
      <c r="G19" s="81">
        <f t="shared" si="0"/>
        <v>50</v>
      </c>
      <c r="H19" s="82"/>
      <c r="I19" s="86"/>
      <c r="J19" s="178"/>
      <c r="K19" s="79" t="s">
        <v>83</v>
      </c>
      <c r="L19" s="80">
        <v>30413</v>
      </c>
      <c r="M19" s="80">
        <v>30454</v>
      </c>
      <c r="N19" s="81">
        <f t="shared" si="1"/>
        <v>41</v>
      </c>
      <c r="O19" s="82"/>
    </row>
    <row r="20" spans="2:15" ht="15" x14ac:dyDescent="0.2">
      <c r="B20" s="75"/>
      <c r="C20" s="177">
        <v>12</v>
      </c>
      <c r="D20" s="79" t="s">
        <v>81</v>
      </c>
      <c r="E20" s="87">
        <v>144862</v>
      </c>
      <c r="F20" s="87">
        <v>144889</v>
      </c>
      <c r="G20" s="81">
        <f t="shared" si="0"/>
        <v>27</v>
      </c>
      <c r="H20" s="82"/>
      <c r="I20" s="86"/>
      <c r="J20" s="177">
        <v>12</v>
      </c>
      <c r="K20" s="79" t="s">
        <v>81</v>
      </c>
      <c r="L20" s="87">
        <v>144889</v>
      </c>
      <c r="M20" s="87">
        <v>144946</v>
      </c>
      <c r="N20" s="81">
        <f t="shared" si="1"/>
        <v>57</v>
      </c>
      <c r="O20" s="82"/>
    </row>
    <row r="21" spans="2:15" ht="15" x14ac:dyDescent="0.2">
      <c r="B21" s="75"/>
      <c r="C21" s="179"/>
      <c r="D21" s="79" t="s">
        <v>82</v>
      </c>
      <c r="E21" s="80">
        <v>22244</v>
      </c>
      <c r="F21" s="80">
        <v>22263</v>
      </c>
      <c r="G21" s="81">
        <f t="shared" si="0"/>
        <v>19</v>
      </c>
      <c r="H21" s="82"/>
      <c r="I21" s="88" t="s">
        <v>13</v>
      </c>
      <c r="J21" s="179"/>
      <c r="K21" s="79" t="s">
        <v>82</v>
      </c>
      <c r="L21" s="80">
        <v>22263</v>
      </c>
      <c r="M21" s="80">
        <v>22284</v>
      </c>
      <c r="N21" s="81">
        <f t="shared" si="1"/>
        <v>21</v>
      </c>
      <c r="O21" s="82"/>
    </row>
    <row r="22" spans="2:15" ht="15" x14ac:dyDescent="0.2">
      <c r="B22" s="75"/>
      <c r="C22" s="178"/>
      <c r="D22" s="79" t="s">
        <v>83</v>
      </c>
      <c r="E22" s="80">
        <v>232489</v>
      </c>
      <c r="F22" s="80">
        <v>234818</v>
      </c>
      <c r="G22" s="81">
        <f t="shared" si="0"/>
        <v>2329</v>
      </c>
      <c r="H22" s="82"/>
      <c r="I22" s="86"/>
      <c r="J22" s="178"/>
      <c r="K22" s="79" t="s">
        <v>83</v>
      </c>
      <c r="L22" s="80">
        <v>234818</v>
      </c>
      <c r="M22" s="80">
        <v>235976</v>
      </c>
      <c r="N22" s="81">
        <f t="shared" si="1"/>
        <v>1158</v>
      </c>
      <c r="O22" s="82"/>
    </row>
    <row r="23" spans="2:15" ht="15" x14ac:dyDescent="0.2">
      <c r="B23" s="75"/>
      <c r="C23" s="177">
        <v>14</v>
      </c>
      <c r="D23" s="79" t="s">
        <v>81</v>
      </c>
      <c r="E23" s="80">
        <v>115826</v>
      </c>
      <c r="F23" s="80">
        <v>115980</v>
      </c>
      <c r="G23" s="81">
        <f t="shared" si="0"/>
        <v>154</v>
      </c>
      <c r="H23" s="82"/>
      <c r="I23" s="86"/>
      <c r="J23" s="177">
        <v>14</v>
      </c>
      <c r="K23" s="79" t="s">
        <v>81</v>
      </c>
      <c r="L23" s="80">
        <v>115980</v>
      </c>
      <c r="M23" s="80">
        <v>116112</v>
      </c>
      <c r="N23" s="81">
        <f t="shared" si="1"/>
        <v>132</v>
      </c>
      <c r="O23" s="82"/>
    </row>
    <row r="24" spans="2:15" ht="15" x14ac:dyDescent="0.2">
      <c r="B24" s="75"/>
      <c r="C24" s="179"/>
      <c r="D24" s="79" t="s">
        <v>82</v>
      </c>
      <c r="E24" s="89">
        <v>23756</v>
      </c>
      <c r="F24" s="89">
        <v>23756</v>
      </c>
      <c r="G24" s="81">
        <f t="shared" si="0"/>
        <v>0</v>
      </c>
      <c r="H24" s="82"/>
      <c r="I24" s="86"/>
      <c r="J24" s="179"/>
      <c r="K24" s="79" t="s">
        <v>82</v>
      </c>
      <c r="L24" s="89">
        <v>23756</v>
      </c>
      <c r="M24" s="89">
        <v>23763</v>
      </c>
      <c r="N24" s="81">
        <f t="shared" si="1"/>
        <v>7</v>
      </c>
      <c r="O24" s="82"/>
    </row>
    <row r="25" spans="2:15" ht="15" x14ac:dyDescent="0.2">
      <c r="B25" s="75"/>
      <c r="C25" s="178"/>
      <c r="D25" s="79" t="s">
        <v>83</v>
      </c>
      <c r="E25" s="80">
        <v>1916</v>
      </c>
      <c r="F25" s="80">
        <v>1916</v>
      </c>
      <c r="G25" s="81">
        <f t="shared" si="0"/>
        <v>0</v>
      </c>
      <c r="H25" s="82"/>
      <c r="I25" s="86"/>
      <c r="J25" s="178"/>
      <c r="K25" s="79" t="s">
        <v>83</v>
      </c>
      <c r="L25" s="80">
        <v>1916</v>
      </c>
      <c r="M25" s="80">
        <v>1916</v>
      </c>
      <c r="N25" s="81">
        <f t="shared" si="1"/>
        <v>0</v>
      </c>
      <c r="O25" s="82"/>
    </row>
    <row r="26" spans="2:15" ht="15" x14ac:dyDescent="0.2">
      <c r="B26" s="75"/>
      <c r="C26" s="177">
        <v>15</v>
      </c>
      <c r="D26" s="79" t="s">
        <v>81</v>
      </c>
      <c r="E26" s="87">
        <v>39380</v>
      </c>
      <c r="F26" s="87">
        <v>39380</v>
      </c>
      <c r="G26" s="81">
        <f t="shared" si="0"/>
        <v>0</v>
      </c>
      <c r="H26" s="82"/>
      <c r="I26" s="88" t="s">
        <v>13</v>
      </c>
      <c r="J26" s="177">
        <v>15</v>
      </c>
      <c r="K26" s="79" t="s">
        <v>81</v>
      </c>
      <c r="L26" s="87">
        <v>39380</v>
      </c>
      <c r="M26" s="87">
        <v>39380</v>
      </c>
      <c r="N26" s="81">
        <f t="shared" si="1"/>
        <v>0</v>
      </c>
      <c r="O26" s="82"/>
    </row>
    <row r="27" spans="2:15" ht="15" x14ac:dyDescent="0.2">
      <c r="B27" s="75"/>
      <c r="C27" s="179"/>
      <c r="D27" s="79" t="s">
        <v>82</v>
      </c>
      <c r="E27" s="80">
        <v>78308</v>
      </c>
      <c r="F27" s="80">
        <v>78699</v>
      </c>
      <c r="G27" s="81">
        <f t="shared" si="0"/>
        <v>391</v>
      </c>
      <c r="H27" s="82"/>
      <c r="I27" s="88" t="s">
        <v>13</v>
      </c>
      <c r="J27" s="179"/>
      <c r="K27" s="79" t="s">
        <v>82</v>
      </c>
      <c r="L27" s="80">
        <v>78699</v>
      </c>
      <c r="M27" s="80">
        <v>78845</v>
      </c>
      <c r="N27" s="81">
        <f t="shared" si="1"/>
        <v>146</v>
      </c>
      <c r="O27" s="82"/>
    </row>
    <row r="28" spans="2:15" ht="15" x14ac:dyDescent="0.2">
      <c r="B28" s="75"/>
      <c r="C28" s="178"/>
      <c r="D28" s="79" t="s">
        <v>83</v>
      </c>
      <c r="E28" s="80">
        <v>147995</v>
      </c>
      <c r="F28" s="80">
        <v>148592</v>
      </c>
      <c r="G28" s="81">
        <f t="shared" si="0"/>
        <v>597</v>
      </c>
      <c r="H28" s="82"/>
      <c r="I28" s="86"/>
      <c r="J28" s="178"/>
      <c r="K28" s="79" t="s">
        <v>83</v>
      </c>
      <c r="L28" s="80">
        <v>148592</v>
      </c>
      <c r="M28" s="80">
        <v>149338</v>
      </c>
      <c r="N28" s="81">
        <f t="shared" si="1"/>
        <v>746</v>
      </c>
      <c r="O28" s="82"/>
    </row>
    <row r="29" spans="2:15" ht="15" x14ac:dyDescent="0.2">
      <c r="B29" s="75"/>
      <c r="C29" s="177">
        <v>16</v>
      </c>
      <c r="D29" s="79" t="s">
        <v>81</v>
      </c>
      <c r="E29" s="87">
        <v>97765</v>
      </c>
      <c r="F29" s="87">
        <v>97965</v>
      </c>
      <c r="G29" s="81">
        <f t="shared" si="0"/>
        <v>200</v>
      </c>
      <c r="H29" s="84" t="s">
        <v>13</v>
      </c>
      <c r="I29" s="86"/>
      <c r="J29" s="177">
        <v>16</v>
      </c>
      <c r="K29" s="79" t="s">
        <v>81</v>
      </c>
      <c r="L29" s="87">
        <v>97965</v>
      </c>
      <c r="M29" s="87">
        <v>97965</v>
      </c>
      <c r="N29" s="81">
        <f t="shared" si="1"/>
        <v>0</v>
      </c>
      <c r="O29" s="84" t="s">
        <v>13</v>
      </c>
    </row>
    <row r="30" spans="2:15" ht="15" x14ac:dyDescent="0.2">
      <c r="B30" s="75"/>
      <c r="C30" s="179"/>
      <c r="D30" s="79" t="s">
        <v>82</v>
      </c>
      <c r="E30" s="87">
        <v>58480</v>
      </c>
      <c r="F30" s="87">
        <v>58630</v>
      </c>
      <c r="G30" s="81">
        <f t="shared" si="0"/>
        <v>150</v>
      </c>
      <c r="H30" s="82"/>
      <c r="I30" s="86"/>
      <c r="J30" s="179"/>
      <c r="K30" s="79" t="s">
        <v>82</v>
      </c>
      <c r="L30" s="87">
        <v>58630</v>
      </c>
      <c r="M30" s="87">
        <v>58630</v>
      </c>
      <c r="N30" s="81">
        <f t="shared" si="1"/>
        <v>0</v>
      </c>
      <c r="O30" s="82"/>
    </row>
    <row r="31" spans="2:15" ht="15" x14ac:dyDescent="0.2">
      <c r="B31" s="75"/>
      <c r="C31" s="178"/>
      <c r="D31" s="79" t="s">
        <v>83</v>
      </c>
      <c r="E31" s="80">
        <v>68411</v>
      </c>
      <c r="F31" s="80">
        <v>68411</v>
      </c>
      <c r="G31" s="81">
        <f t="shared" si="0"/>
        <v>0</v>
      </c>
      <c r="H31" s="90"/>
      <c r="I31" s="86"/>
      <c r="J31" s="178"/>
      <c r="K31" s="79" t="s">
        <v>83</v>
      </c>
      <c r="L31" s="80">
        <v>68411</v>
      </c>
      <c r="M31" s="80">
        <v>68462</v>
      </c>
      <c r="N31" s="81">
        <f t="shared" si="1"/>
        <v>51</v>
      </c>
      <c r="O31" s="90"/>
    </row>
    <row r="32" spans="2:15" ht="15" x14ac:dyDescent="0.2">
      <c r="B32" s="75"/>
      <c r="C32" s="177">
        <v>17</v>
      </c>
      <c r="D32" s="79" t="s">
        <v>81</v>
      </c>
      <c r="E32" s="80">
        <v>31077</v>
      </c>
      <c r="F32" s="80">
        <v>31309</v>
      </c>
      <c r="G32" s="81">
        <f t="shared" si="0"/>
        <v>232</v>
      </c>
      <c r="H32" s="82"/>
      <c r="I32" s="86"/>
      <c r="J32" s="177">
        <v>17</v>
      </c>
      <c r="K32" s="79" t="s">
        <v>81</v>
      </c>
      <c r="L32" s="80">
        <v>31309</v>
      </c>
      <c r="M32" s="80">
        <v>31484</v>
      </c>
      <c r="N32" s="81">
        <f t="shared" si="1"/>
        <v>175</v>
      </c>
      <c r="O32" s="82"/>
    </row>
    <row r="33" spans="2:15" ht="15" x14ac:dyDescent="0.2">
      <c r="B33" s="75"/>
      <c r="C33" s="179"/>
      <c r="D33" s="79" t="s">
        <v>82</v>
      </c>
      <c r="E33" s="80">
        <v>64144</v>
      </c>
      <c r="F33" s="80">
        <v>64144</v>
      </c>
      <c r="G33" s="81">
        <f t="shared" si="0"/>
        <v>0</v>
      </c>
      <c r="H33" s="82"/>
      <c r="I33" s="86"/>
      <c r="J33" s="179"/>
      <c r="K33" s="79" t="s">
        <v>82</v>
      </c>
      <c r="L33" s="80">
        <v>64144</v>
      </c>
      <c r="M33" s="80">
        <v>64144</v>
      </c>
      <c r="N33" s="81">
        <f t="shared" si="1"/>
        <v>0</v>
      </c>
      <c r="O33" s="82"/>
    </row>
    <row r="34" spans="2:15" ht="15" x14ac:dyDescent="0.2">
      <c r="B34" s="75"/>
      <c r="C34" s="178"/>
      <c r="D34" s="79" t="s">
        <v>83</v>
      </c>
      <c r="E34" s="80">
        <v>11217</v>
      </c>
      <c r="F34" s="80">
        <v>11259</v>
      </c>
      <c r="G34" s="81">
        <f t="shared" si="0"/>
        <v>42</v>
      </c>
      <c r="H34" s="90"/>
      <c r="I34" s="86"/>
      <c r="J34" s="178"/>
      <c r="K34" s="79" t="s">
        <v>83</v>
      </c>
      <c r="L34" s="80">
        <v>11259</v>
      </c>
      <c r="M34" s="80">
        <v>11261</v>
      </c>
      <c r="N34" s="81">
        <f t="shared" si="1"/>
        <v>2</v>
      </c>
      <c r="O34" s="90"/>
    </row>
    <row r="35" spans="2:15" ht="15" x14ac:dyDescent="0.2">
      <c r="B35" s="75"/>
      <c r="C35" s="177">
        <v>18</v>
      </c>
      <c r="D35" s="79" t="s">
        <v>81</v>
      </c>
      <c r="E35" s="80">
        <v>229292</v>
      </c>
      <c r="F35" s="80">
        <v>230291</v>
      </c>
      <c r="G35" s="81">
        <f t="shared" si="0"/>
        <v>999</v>
      </c>
      <c r="H35" s="90"/>
      <c r="I35" s="86"/>
      <c r="J35" s="177">
        <v>18</v>
      </c>
      <c r="K35" s="79" t="s">
        <v>81</v>
      </c>
      <c r="L35" s="80">
        <v>230291</v>
      </c>
      <c r="M35" s="80">
        <v>231326</v>
      </c>
      <c r="N35" s="81">
        <f t="shared" si="1"/>
        <v>1035</v>
      </c>
      <c r="O35" s="90"/>
    </row>
    <row r="36" spans="2:15" ht="15" x14ac:dyDescent="0.2">
      <c r="B36" s="75"/>
      <c r="C36" s="179"/>
      <c r="D36" s="79" t="s">
        <v>82</v>
      </c>
      <c r="E36" s="89">
        <v>16700</v>
      </c>
      <c r="F36" s="89">
        <v>16753</v>
      </c>
      <c r="G36" s="81">
        <f t="shared" si="0"/>
        <v>53</v>
      </c>
      <c r="H36" s="82"/>
      <c r="I36" s="86"/>
      <c r="J36" s="179"/>
      <c r="K36" s="79" t="s">
        <v>82</v>
      </c>
      <c r="L36" s="89">
        <v>16753</v>
      </c>
      <c r="M36" s="89">
        <v>16753</v>
      </c>
      <c r="N36" s="81">
        <f t="shared" si="1"/>
        <v>0</v>
      </c>
      <c r="O36" s="82"/>
    </row>
    <row r="37" spans="2:15" ht="15" x14ac:dyDescent="0.2">
      <c r="B37" s="75"/>
      <c r="C37" s="178"/>
      <c r="D37" s="79" t="s">
        <v>83</v>
      </c>
      <c r="E37" s="80">
        <v>70356</v>
      </c>
      <c r="F37" s="80">
        <v>71607</v>
      </c>
      <c r="G37" s="81">
        <f t="shared" si="0"/>
        <v>1251</v>
      </c>
      <c r="H37" s="82"/>
      <c r="I37" s="86"/>
      <c r="J37" s="178"/>
      <c r="K37" s="79" t="s">
        <v>83</v>
      </c>
      <c r="L37" s="80">
        <v>71607</v>
      </c>
      <c r="M37" s="80">
        <v>72822</v>
      </c>
      <c r="N37" s="81">
        <f t="shared" si="1"/>
        <v>1215</v>
      </c>
      <c r="O37" s="82"/>
    </row>
    <row r="38" spans="2:15" ht="15" x14ac:dyDescent="0.2">
      <c r="B38" s="75"/>
      <c r="C38" s="177">
        <v>19</v>
      </c>
      <c r="D38" s="79" t="s">
        <v>81</v>
      </c>
      <c r="E38" s="80">
        <v>20551</v>
      </c>
      <c r="F38" s="80">
        <v>20678</v>
      </c>
      <c r="G38" s="81">
        <f t="shared" si="0"/>
        <v>127</v>
      </c>
      <c r="H38" s="82"/>
      <c r="I38" s="86"/>
      <c r="J38" s="177">
        <v>19</v>
      </c>
      <c r="K38" s="79" t="s">
        <v>81</v>
      </c>
      <c r="L38" s="80">
        <v>20678</v>
      </c>
      <c r="M38" s="80">
        <v>20813</v>
      </c>
      <c r="N38" s="81">
        <f t="shared" si="1"/>
        <v>135</v>
      </c>
      <c r="O38" s="82"/>
    </row>
    <row r="39" spans="2:15" ht="15" x14ac:dyDescent="0.2">
      <c r="B39" s="75"/>
      <c r="C39" s="179"/>
      <c r="D39" s="79" t="s">
        <v>82</v>
      </c>
      <c r="E39" s="87">
        <v>81361</v>
      </c>
      <c r="F39" s="87">
        <v>81679</v>
      </c>
      <c r="G39" s="81">
        <f t="shared" si="0"/>
        <v>318</v>
      </c>
      <c r="H39" s="90"/>
      <c r="I39" s="86"/>
      <c r="J39" s="179"/>
      <c r="K39" s="79" t="s">
        <v>82</v>
      </c>
      <c r="L39" s="87">
        <v>81679</v>
      </c>
      <c r="M39" s="87">
        <v>81825</v>
      </c>
      <c r="N39" s="81">
        <f t="shared" si="1"/>
        <v>146</v>
      </c>
      <c r="O39" s="90"/>
    </row>
    <row r="40" spans="2:15" ht="15" x14ac:dyDescent="0.2">
      <c r="B40" s="75"/>
      <c r="C40" s="178"/>
      <c r="D40" s="79" t="s">
        <v>83</v>
      </c>
      <c r="E40" s="80">
        <v>52876</v>
      </c>
      <c r="F40" s="80">
        <v>52908</v>
      </c>
      <c r="G40" s="81">
        <f t="shared" si="0"/>
        <v>32</v>
      </c>
      <c r="H40" s="82"/>
      <c r="I40" s="86"/>
      <c r="J40" s="178"/>
      <c r="K40" s="79" t="s">
        <v>83</v>
      </c>
      <c r="L40" s="80">
        <v>52908</v>
      </c>
      <c r="M40" s="80">
        <v>52948</v>
      </c>
      <c r="N40" s="81">
        <f t="shared" si="1"/>
        <v>40</v>
      </c>
      <c r="O40" s="82"/>
    </row>
    <row r="41" spans="2:15" ht="15" x14ac:dyDescent="0.2">
      <c r="B41" s="75"/>
      <c r="C41" s="177">
        <v>20</v>
      </c>
      <c r="D41" s="79" t="s">
        <v>81</v>
      </c>
      <c r="E41" s="80">
        <v>115736</v>
      </c>
      <c r="F41" s="80">
        <v>116094</v>
      </c>
      <c r="G41" s="81">
        <f t="shared" si="0"/>
        <v>358</v>
      </c>
      <c r="H41" s="82"/>
      <c r="I41" s="86"/>
      <c r="J41" s="177">
        <v>20</v>
      </c>
      <c r="K41" s="79" t="s">
        <v>81</v>
      </c>
      <c r="L41" s="80">
        <v>116094</v>
      </c>
      <c r="M41" s="80">
        <v>116595</v>
      </c>
      <c r="N41" s="81">
        <f t="shared" si="1"/>
        <v>501</v>
      </c>
      <c r="O41" s="82"/>
    </row>
    <row r="42" spans="2:15" ht="15" x14ac:dyDescent="0.2">
      <c r="B42" s="75"/>
      <c r="C42" s="179"/>
      <c r="D42" s="79" t="s">
        <v>82</v>
      </c>
      <c r="E42" s="87">
        <v>68152</v>
      </c>
      <c r="F42" s="87">
        <v>68225</v>
      </c>
      <c r="G42" s="81">
        <f t="shared" si="0"/>
        <v>73</v>
      </c>
      <c r="H42" s="82"/>
      <c r="J42" s="179"/>
      <c r="K42" s="79" t="s">
        <v>82</v>
      </c>
      <c r="L42" s="87">
        <v>68225</v>
      </c>
      <c r="M42" s="87">
        <v>68333</v>
      </c>
      <c r="N42" s="81">
        <f t="shared" si="1"/>
        <v>108</v>
      </c>
      <c r="O42" s="82"/>
    </row>
    <row r="43" spans="2:15" ht="15" x14ac:dyDescent="0.2">
      <c r="B43" s="75"/>
      <c r="C43" s="178"/>
      <c r="D43" s="79" t="s">
        <v>83</v>
      </c>
      <c r="E43" s="80">
        <v>3221</v>
      </c>
      <c r="F43" s="80">
        <v>3223</v>
      </c>
      <c r="G43" s="81">
        <f t="shared" si="0"/>
        <v>2</v>
      </c>
      <c r="H43" s="82"/>
      <c r="J43" s="178"/>
      <c r="K43" s="79" t="s">
        <v>83</v>
      </c>
      <c r="L43" s="80">
        <v>3223</v>
      </c>
      <c r="M43" s="80">
        <v>3224</v>
      </c>
      <c r="N43" s="81">
        <f t="shared" si="1"/>
        <v>1</v>
      </c>
      <c r="O43" s="82"/>
    </row>
    <row r="44" spans="2:15" ht="15" x14ac:dyDescent="0.2">
      <c r="B44" s="75"/>
      <c r="C44" s="91"/>
      <c r="D44" s="92"/>
      <c r="E44" s="92"/>
      <c r="F44" s="92"/>
      <c r="G44" s="92"/>
      <c r="H44" s="94"/>
      <c r="J44" s="91"/>
      <c r="K44" s="92"/>
      <c r="L44" s="92"/>
      <c r="M44" s="92"/>
      <c r="N44" s="92"/>
      <c r="O44" s="94"/>
    </row>
    <row r="45" spans="2:15" ht="15" x14ac:dyDescent="0.2">
      <c r="B45" s="75"/>
      <c r="C45" s="177">
        <v>21</v>
      </c>
      <c r="D45" s="95" t="s">
        <v>84</v>
      </c>
      <c r="E45" s="80">
        <v>3065</v>
      </c>
      <c r="F45" s="80">
        <v>3114</v>
      </c>
      <c r="G45" s="81">
        <f t="shared" si="0"/>
        <v>49</v>
      </c>
      <c r="H45" s="84" t="s">
        <v>13</v>
      </c>
      <c r="J45" s="177">
        <v>21</v>
      </c>
      <c r="K45" s="95" t="s">
        <v>84</v>
      </c>
      <c r="L45" s="80">
        <v>3114</v>
      </c>
      <c r="M45" s="80">
        <v>3182</v>
      </c>
      <c r="N45" s="81">
        <f t="shared" si="1"/>
        <v>68</v>
      </c>
      <c r="O45" s="84" t="s">
        <v>13</v>
      </c>
    </row>
    <row r="46" spans="2:15" ht="15" x14ac:dyDescent="0.2">
      <c r="B46" s="75"/>
      <c r="C46" s="179"/>
      <c r="D46" s="95" t="s">
        <v>83</v>
      </c>
      <c r="E46" s="80">
        <v>38096</v>
      </c>
      <c r="F46" s="80">
        <v>38096</v>
      </c>
      <c r="G46" s="81">
        <f t="shared" si="0"/>
        <v>0</v>
      </c>
      <c r="H46" s="82"/>
      <c r="J46" s="179"/>
      <c r="K46" s="95" t="s">
        <v>83</v>
      </c>
      <c r="L46" s="80">
        <v>38096</v>
      </c>
      <c r="M46" s="80">
        <v>38125</v>
      </c>
      <c r="N46" s="81">
        <f t="shared" si="1"/>
        <v>29</v>
      </c>
      <c r="O46" s="82"/>
    </row>
    <row r="47" spans="2:15" ht="15" x14ac:dyDescent="0.2">
      <c r="B47" s="75"/>
      <c r="C47" s="177">
        <v>22</v>
      </c>
      <c r="D47" s="95" t="s">
        <v>84</v>
      </c>
      <c r="E47" s="96">
        <v>13917</v>
      </c>
      <c r="F47" s="96">
        <v>13917</v>
      </c>
      <c r="G47" s="81">
        <f t="shared" si="0"/>
        <v>0</v>
      </c>
      <c r="H47" s="82"/>
      <c r="I47" t="s">
        <v>13</v>
      </c>
      <c r="J47" s="177">
        <v>22</v>
      </c>
      <c r="K47" s="95" t="s">
        <v>84</v>
      </c>
      <c r="L47" s="96">
        <v>13917</v>
      </c>
      <c r="M47" s="96">
        <v>13917</v>
      </c>
      <c r="N47" s="81">
        <f t="shared" si="1"/>
        <v>0</v>
      </c>
      <c r="O47" s="82"/>
    </row>
    <row r="48" spans="2:15" ht="15" x14ac:dyDescent="0.2">
      <c r="B48" s="75"/>
      <c r="C48" s="179"/>
      <c r="D48" s="95" t="s">
        <v>83</v>
      </c>
      <c r="E48" s="96">
        <v>18753</v>
      </c>
      <c r="F48" s="96">
        <v>18873</v>
      </c>
      <c r="G48" s="81">
        <f t="shared" si="0"/>
        <v>120</v>
      </c>
      <c r="H48" s="82"/>
      <c r="J48" s="179"/>
      <c r="K48" s="95" t="s">
        <v>83</v>
      </c>
      <c r="L48" s="96">
        <v>18873</v>
      </c>
      <c r="M48" s="96">
        <v>19003</v>
      </c>
      <c r="N48" s="81">
        <f t="shared" si="1"/>
        <v>130</v>
      </c>
      <c r="O48" s="82"/>
    </row>
    <row r="49" spans="1:15" ht="15" x14ac:dyDescent="0.2">
      <c r="B49" s="75"/>
      <c r="C49" s="177">
        <v>23</v>
      </c>
      <c r="D49" s="79" t="s">
        <v>84</v>
      </c>
      <c r="E49" s="96"/>
      <c r="F49" s="96"/>
      <c r="G49" s="81">
        <f t="shared" si="0"/>
        <v>0</v>
      </c>
      <c r="H49" s="82"/>
      <c r="J49" s="177">
        <v>23</v>
      </c>
      <c r="K49" s="79" t="s">
        <v>84</v>
      </c>
      <c r="L49" s="96"/>
      <c r="M49" s="96"/>
      <c r="N49" s="81">
        <f t="shared" si="1"/>
        <v>0</v>
      </c>
      <c r="O49" s="82"/>
    </row>
    <row r="50" spans="1:15" ht="15" x14ac:dyDescent="0.2">
      <c r="B50" s="75"/>
      <c r="C50" s="179"/>
      <c r="D50" s="79" t="s">
        <v>83</v>
      </c>
      <c r="E50" s="96"/>
      <c r="F50" s="96"/>
      <c r="G50" s="81">
        <f t="shared" si="0"/>
        <v>0</v>
      </c>
      <c r="H50" s="82"/>
      <c r="J50" s="179"/>
      <c r="K50" s="79" t="s">
        <v>83</v>
      </c>
      <c r="L50" s="96"/>
      <c r="M50" s="96"/>
      <c r="N50" s="81">
        <f t="shared" si="1"/>
        <v>0</v>
      </c>
      <c r="O50" s="82"/>
    </row>
    <row r="51" spans="1:15" ht="15" x14ac:dyDescent="0.2">
      <c r="B51" s="75"/>
      <c r="C51" s="97"/>
      <c r="D51" s="92"/>
      <c r="E51" s="93"/>
      <c r="F51" s="93"/>
      <c r="G51" s="93"/>
      <c r="H51" s="94"/>
      <c r="J51" s="97"/>
      <c r="K51" s="92"/>
      <c r="L51" s="93"/>
      <c r="M51" s="93"/>
      <c r="N51" s="93"/>
      <c r="O51" s="94"/>
    </row>
    <row r="52" spans="1:15" ht="15" x14ac:dyDescent="0.2">
      <c r="B52" s="75"/>
      <c r="C52" s="180">
        <v>24</v>
      </c>
      <c r="D52" s="79" t="s">
        <v>85</v>
      </c>
      <c r="E52" s="87">
        <v>235390</v>
      </c>
      <c r="F52" s="87">
        <v>236508</v>
      </c>
      <c r="G52" s="81">
        <f t="shared" si="0"/>
        <v>1118</v>
      </c>
      <c r="H52" s="98"/>
      <c r="J52" s="180">
        <v>24</v>
      </c>
      <c r="K52" s="79" t="s">
        <v>85</v>
      </c>
      <c r="L52" s="87">
        <v>236508</v>
      </c>
      <c r="M52" s="87">
        <v>237611</v>
      </c>
      <c r="N52" s="81">
        <f t="shared" si="1"/>
        <v>1103</v>
      </c>
      <c r="O52" s="98"/>
    </row>
    <row r="53" spans="1:15" ht="15" x14ac:dyDescent="0.2">
      <c r="B53" s="75"/>
      <c r="C53" s="181"/>
      <c r="D53" s="79" t="s">
        <v>86</v>
      </c>
      <c r="E53" s="87">
        <v>532941</v>
      </c>
      <c r="F53" s="87">
        <v>533385</v>
      </c>
      <c r="G53" s="81">
        <f t="shared" si="0"/>
        <v>444</v>
      </c>
      <c r="H53" s="90"/>
      <c r="J53" s="181"/>
      <c r="K53" s="79" t="s">
        <v>86</v>
      </c>
      <c r="L53" s="87">
        <v>533385</v>
      </c>
      <c r="M53" s="87">
        <v>533854</v>
      </c>
      <c r="N53" s="81">
        <f t="shared" si="1"/>
        <v>469</v>
      </c>
      <c r="O53" s="90"/>
    </row>
    <row r="54" spans="1:15" ht="15" x14ac:dyDescent="0.2">
      <c r="B54" s="75"/>
      <c r="C54" s="182"/>
      <c r="D54" s="79" t="s">
        <v>85</v>
      </c>
      <c r="E54" s="87">
        <v>34567</v>
      </c>
      <c r="F54" s="87">
        <v>34567</v>
      </c>
      <c r="G54" s="81">
        <f t="shared" si="0"/>
        <v>0</v>
      </c>
      <c r="H54" s="99" t="s">
        <v>13</v>
      </c>
      <c r="J54" s="182"/>
      <c r="K54" s="79" t="s">
        <v>85</v>
      </c>
      <c r="L54" s="87">
        <v>34567</v>
      </c>
      <c r="M54" s="87">
        <v>34567</v>
      </c>
      <c r="N54" s="81">
        <f t="shared" si="1"/>
        <v>0</v>
      </c>
      <c r="O54" s="99" t="s">
        <v>13</v>
      </c>
    </row>
    <row r="55" spans="1:15" ht="15" x14ac:dyDescent="0.2">
      <c r="B55" s="75"/>
      <c r="C55" s="177">
        <v>25</v>
      </c>
      <c r="D55" s="79" t="s">
        <v>85</v>
      </c>
      <c r="E55" s="96">
        <v>318</v>
      </c>
      <c r="F55" s="96">
        <v>330</v>
      </c>
      <c r="G55" s="81">
        <f t="shared" si="0"/>
        <v>12</v>
      </c>
      <c r="H55" s="82"/>
      <c r="J55" s="177">
        <v>25</v>
      </c>
      <c r="K55" s="79" t="s">
        <v>85</v>
      </c>
      <c r="L55" s="96">
        <v>330</v>
      </c>
      <c r="M55" s="96">
        <v>330</v>
      </c>
      <c r="N55" s="81">
        <f t="shared" si="1"/>
        <v>0</v>
      </c>
      <c r="O55" s="82"/>
    </row>
    <row r="56" spans="1:15" ht="15" x14ac:dyDescent="0.2">
      <c r="B56" s="75"/>
      <c r="C56" s="178"/>
      <c r="D56" s="79" t="s">
        <v>86</v>
      </c>
      <c r="E56" s="96">
        <v>3</v>
      </c>
      <c r="F56" s="96">
        <v>3</v>
      </c>
      <c r="G56" s="81">
        <f t="shared" si="0"/>
        <v>0</v>
      </c>
      <c r="H56" s="82"/>
      <c r="J56" s="178"/>
      <c r="K56" s="79" t="s">
        <v>86</v>
      </c>
      <c r="L56" s="96">
        <v>3</v>
      </c>
      <c r="M56" s="96">
        <v>3</v>
      </c>
      <c r="N56" s="81">
        <f t="shared" si="1"/>
        <v>0</v>
      </c>
      <c r="O56" s="82"/>
    </row>
    <row r="57" spans="1:15" ht="15" x14ac:dyDescent="0.2">
      <c r="B57" s="75"/>
      <c r="C57" s="177">
        <v>26</v>
      </c>
      <c r="D57" s="79" t="s">
        <v>85</v>
      </c>
      <c r="E57" s="80">
        <v>681813</v>
      </c>
      <c r="F57" s="80">
        <v>685258</v>
      </c>
      <c r="G57" s="81">
        <f t="shared" si="0"/>
        <v>3445</v>
      </c>
      <c r="H57" s="82"/>
      <c r="J57" s="177">
        <v>26</v>
      </c>
      <c r="K57" s="79" t="s">
        <v>85</v>
      </c>
      <c r="L57" s="80">
        <v>685258</v>
      </c>
      <c r="M57" s="80">
        <v>688763</v>
      </c>
      <c r="N57" s="81">
        <f t="shared" si="1"/>
        <v>3505</v>
      </c>
      <c r="O57" s="82"/>
    </row>
    <row r="58" spans="1:15" ht="15" x14ac:dyDescent="0.2">
      <c r="A58" s="86"/>
      <c r="B58" s="75"/>
      <c r="C58" s="178"/>
      <c r="D58" s="79" t="s">
        <v>86</v>
      </c>
      <c r="E58" s="80">
        <v>746041</v>
      </c>
      <c r="F58" s="80">
        <v>750021</v>
      </c>
      <c r="G58" s="81">
        <f t="shared" si="0"/>
        <v>3980</v>
      </c>
      <c r="H58" s="90"/>
      <c r="I58" s="86"/>
      <c r="J58" s="178"/>
      <c r="K58" s="79" t="s">
        <v>86</v>
      </c>
      <c r="L58" s="80">
        <v>750021</v>
      </c>
      <c r="M58" s="80">
        <v>754384</v>
      </c>
      <c r="N58" s="81">
        <f t="shared" si="1"/>
        <v>4363</v>
      </c>
      <c r="O58" s="90"/>
    </row>
    <row r="59" spans="1:15" ht="15" x14ac:dyDescent="0.2">
      <c r="A59" s="86"/>
      <c r="B59" s="75"/>
      <c r="C59" s="177">
        <v>27</v>
      </c>
      <c r="D59" s="79" t="s">
        <v>85</v>
      </c>
      <c r="E59" s="80">
        <v>232217</v>
      </c>
      <c r="F59" s="80">
        <v>233248</v>
      </c>
      <c r="G59" s="81">
        <f t="shared" si="0"/>
        <v>1031</v>
      </c>
      <c r="H59" s="82"/>
      <c r="I59" s="86"/>
      <c r="J59" s="177">
        <v>27</v>
      </c>
      <c r="K59" s="79" t="s">
        <v>85</v>
      </c>
      <c r="L59" s="80">
        <v>233248</v>
      </c>
      <c r="M59" s="80">
        <v>234450</v>
      </c>
      <c r="N59" s="81">
        <f t="shared" si="1"/>
        <v>1202</v>
      </c>
      <c r="O59" s="82"/>
    </row>
    <row r="60" spans="1:15" ht="15" x14ac:dyDescent="0.2">
      <c r="A60" s="86"/>
      <c r="B60" s="75"/>
      <c r="C60" s="178"/>
      <c r="D60" s="79" t="s">
        <v>86</v>
      </c>
      <c r="E60" s="80">
        <v>93345</v>
      </c>
      <c r="F60" s="80">
        <v>93345</v>
      </c>
      <c r="G60" s="81">
        <f t="shared" si="0"/>
        <v>0</v>
      </c>
      <c r="H60" s="82"/>
      <c r="I60" s="86"/>
      <c r="J60" s="178"/>
      <c r="K60" s="79" t="s">
        <v>86</v>
      </c>
      <c r="L60" s="80">
        <v>93345</v>
      </c>
      <c r="M60" s="80">
        <v>95207</v>
      </c>
      <c r="N60" s="81">
        <f t="shared" si="1"/>
        <v>1862</v>
      </c>
      <c r="O60" s="82"/>
    </row>
    <row r="61" spans="1:15" ht="15" x14ac:dyDescent="0.2">
      <c r="A61" s="86"/>
      <c r="B61" s="75"/>
      <c r="C61" s="91"/>
      <c r="D61" s="92"/>
      <c r="E61" s="80"/>
      <c r="F61" s="80"/>
      <c r="G61" s="100"/>
      <c r="H61" s="94"/>
      <c r="I61" s="86"/>
      <c r="J61" s="91"/>
      <c r="K61" s="92"/>
      <c r="L61" s="80"/>
      <c r="M61" s="80"/>
      <c r="N61" s="100"/>
      <c r="O61" s="94"/>
    </row>
    <row r="62" spans="1:15" ht="15" x14ac:dyDescent="0.2">
      <c r="A62" s="86"/>
      <c r="B62" s="75"/>
      <c r="C62" s="177">
        <v>28</v>
      </c>
      <c r="D62" s="186" t="s">
        <v>87</v>
      </c>
      <c r="E62" s="80"/>
      <c r="F62" s="80"/>
      <c r="G62" s="81"/>
      <c r="H62" s="191" t="s">
        <v>143</v>
      </c>
      <c r="I62" s="86"/>
      <c r="J62" s="177">
        <v>28</v>
      </c>
      <c r="K62" s="186" t="s">
        <v>87</v>
      </c>
      <c r="L62" s="80"/>
      <c r="M62" s="80"/>
      <c r="N62" s="81"/>
      <c r="O62" s="188" t="s">
        <v>88</v>
      </c>
    </row>
    <row r="63" spans="1:15" ht="15" x14ac:dyDescent="0.2">
      <c r="A63" s="86"/>
      <c r="B63" s="75"/>
      <c r="C63" s="178"/>
      <c r="D63" s="187"/>
      <c r="E63" s="80"/>
      <c r="F63" s="80"/>
      <c r="G63" s="81"/>
      <c r="H63" s="192"/>
      <c r="I63" s="86"/>
      <c r="J63" s="178"/>
      <c r="K63" s="187"/>
      <c r="L63" s="80"/>
      <c r="M63" s="80"/>
      <c r="N63" s="81"/>
      <c r="O63" s="189"/>
    </row>
    <row r="64" spans="1:15" x14ac:dyDescent="0.2">
      <c r="A64" s="86"/>
      <c r="B64" s="75"/>
      <c r="C64" s="190" t="s">
        <v>89</v>
      </c>
      <c r="D64" s="190"/>
      <c r="E64" s="190"/>
      <c r="F64" s="190"/>
      <c r="G64" s="101">
        <f>SUM(G2:G63)</f>
        <v>26776</v>
      </c>
      <c r="H64" s="102"/>
      <c r="I64" s="86"/>
      <c r="J64" s="190" t="s">
        <v>89</v>
      </c>
      <c r="K64" s="190"/>
      <c r="L64" s="190"/>
      <c r="M64" s="190"/>
      <c r="N64" s="101">
        <f>SUM(N2:N63)</f>
        <v>36510</v>
      </c>
      <c r="O64" s="102"/>
    </row>
    <row r="68" spans="1:15" ht="13.5" thickBot="1" x14ac:dyDescent="0.25">
      <c r="A68" s="103"/>
      <c r="B68" s="103"/>
      <c r="C68" s="103"/>
      <c r="D68" s="104" t="s">
        <v>13</v>
      </c>
      <c r="E68" s="103"/>
      <c r="F68" s="103"/>
      <c r="G68" s="103"/>
      <c r="H68" s="103"/>
    </row>
    <row r="69" spans="1:15" ht="13.5" thickBot="1" x14ac:dyDescent="0.25">
      <c r="A69" s="105"/>
      <c r="B69" s="193">
        <v>44197</v>
      </c>
      <c r="C69" s="194"/>
      <c r="D69" s="194"/>
      <c r="E69" s="195"/>
      <c r="F69" s="105"/>
      <c r="G69" s="193">
        <v>44228</v>
      </c>
      <c r="H69" s="194"/>
      <c r="I69" s="194"/>
      <c r="J69" s="195"/>
      <c r="K69" s="105"/>
      <c r="L69" s="183" t="s">
        <v>26</v>
      </c>
      <c r="M69" s="184"/>
      <c r="N69" s="184"/>
      <c r="O69" s="185"/>
    </row>
    <row r="70" spans="1:15" ht="13.5" thickBot="1" x14ac:dyDescent="0.25">
      <c r="A70" s="103"/>
      <c r="B70" s="106" t="s">
        <v>78</v>
      </c>
      <c r="C70" s="106">
        <v>30</v>
      </c>
      <c r="D70" s="106" t="s">
        <v>90</v>
      </c>
      <c r="E70" s="106" t="s">
        <v>91</v>
      </c>
      <c r="F70" s="103"/>
      <c r="G70" s="106" t="s">
        <v>78</v>
      </c>
      <c r="H70" s="106">
        <v>30</v>
      </c>
      <c r="I70" s="106" t="s">
        <v>90</v>
      </c>
      <c r="J70" s="106" t="s">
        <v>91</v>
      </c>
      <c r="K70" s="103"/>
      <c r="L70" s="107" t="s">
        <v>78</v>
      </c>
      <c r="M70" s="107">
        <v>30</v>
      </c>
      <c r="N70" s="107" t="s">
        <v>90</v>
      </c>
      <c r="O70" s="107" t="s">
        <v>91</v>
      </c>
    </row>
    <row r="71" spans="1:15" ht="15.75" thickBot="1" x14ac:dyDescent="0.25">
      <c r="A71" s="103"/>
      <c r="B71" s="108">
        <v>6</v>
      </c>
      <c r="C71" s="109">
        <v>90678</v>
      </c>
      <c r="D71" s="110">
        <v>54792</v>
      </c>
      <c r="E71" s="111">
        <v>78552</v>
      </c>
      <c r="F71" s="103"/>
      <c r="G71" s="108">
        <v>6</v>
      </c>
      <c r="H71" s="109">
        <v>90775</v>
      </c>
      <c r="I71" s="110">
        <v>54843</v>
      </c>
      <c r="J71" s="111">
        <v>78552</v>
      </c>
      <c r="K71" s="103"/>
      <c r="L71" s="107">
        <v>6</v>
      </c>
      <c r="M71" s="112">
        <f>H71-C71</f>
        <v>97</v>
      </c>
      <c r="N71" s="112">
        <f>I71-D71</f>
        <v>51</v>
      </c>
      <c r="O71" s="112">
        <f>J71-E71</f>
        <v>0</v>
      </c>
    </row>
    <row r="72" spans="1:15" ht="15.75" thickBot="1" x14ac:dyDescent="0.25">
      <c r="A72" s="103"/>
      <c r="B72" s="108">
        <v>7</v>
      </c>
      <c r="C72" s="109">
        <v>94735</v>
      </c>
      <c r="D72" s="110">
        <v>102964</v>
      </c>
      <c r="E72" s="111">
        <v>62374</v>
      </c>
      <c r="F72" s="103"/>
      <c r="G72" s="108">
        <v>7</v>
      </c>
      <c r="H72" s="109">
        <v>94967</v>
      </c>
      <c r="I72" s="110">
        <v>103139</v>
      </c>
      <c r="J72" s="111">
        <v>62576</v>
      </c>
      <c r="K72" s="103"/>
      <c r="L72" s="107">
        <v>7</v>
      </c>
      <c r="M72" s="112">
        <f t="shared" ref="M72:O94" si="2">H72-C72</f>
        <v>232</v>
      </c>
      <c r="N72" s="112">
        <f t="shared" si="2"/>
        <v>175</v>
      </c>
      <c r="O72" s="112">
        <f t="shared" si="2"/>
        <v>202</v>
      </c>
    </row>
    <row r="73" spans="1:15" ht="15.75" thickBot="1" x14ac:dyDescent="0.25">
      <c r="A73" s="103"/>
      <c r="B73" s="108">
        <v>8</v>
      </c>
      <c r="C73" s="109">
        <v>109747</v>
      </c>
      <c r="D73" s="110">
        <v>241895</v>
      </c>
      <c r="E73" s="111">
        <v>105127</v>
      </c>
      <c r="F73" s="103"/>
      <c r="G73" s="108">
        <v>8</v>
      </c>
      <c r="H73" s="109">
        <v>110347</v>
      </c>
      <c r="I73" s="110">
        <v>242489</v>
      </c>
      <c r="J73" s="111">
        <v>105323</v>
      </c>
      <c r="K73" s="103"/>
      <c r="L73" s="107">
        <v>8</v>
      </c>
      <c r="M73" s="112">
        <f t="shared" si="2"/>
        <v>600</v>
      </c>
      <c r="N73" s="112">
        <f t="shared" si="2"/>
        <v>594</v>
      </c>
      <c r="O73" s="112">
        <f t="shared" si="2"/>
        <v>196</v>
      </c>
    </row>
    <row r="74" spans="1:15" ht="15.75" thickBot="1" x14ac:dyDescent="0.25">
      <c r="A74" s="103"/>
      <c r="B74" s="108">
        <v>9</v>
      </c>
      <c r="C74" s="109">
        <v>67905</v>
      </c>
      <c r="D74" s="110">
        <v>147618</v>
      </c>
      <c r="E74" s="111">
        <v>146632</v>
      </c>
      <c r="F74" s="103"/>
      <c r="G74" s="108">
        <v>9</v>
      </c>
      <c r="H74" s="109">
        <v>67954</v>
      </c>
      <c r="I74" s="110">
        <v>148472</v>
      </c>
      <c r="J74" s="111">
        <v>147276</v>
      </c>
      <c r="K74" s="103"/>
      <c r="L74" s="107">
        <v>9</v>
      </c>
      <c r="M74" s="112">
        <f t="shared" si="2"/>
        <v>49</v>
      </c>
      <c r="N74" s="112">
        <f t="shared" si="2"/>
        <v>854</v>
      </c>
      <c r="O74" s="112">
        <f t="shared" si="2"/>
        <v>644</v>
      </c>
    </row>
    <row r="75" spans="1:15" ht="15.75" thickBot="1" x14ac:dyDescent="0.25">
      <c r="A75" s="103"/>
      <c r="B75" s="108">
        <v>10</v>
      </c>
      <c r="C75" s="109">
        <v>68482</v>
      </c>
      <c r="D75" s="110">
        <v>109850</v>
      </c>
      <c r="E75" s="111">
        <v>140195</v>
      </c>
      <c r="F75" s="103"/>
      <c r="G75" s="108">
        <v>10</v>
      </c>
      <c r="H75" s="109">
        <v>68687</v>
      </c>
      <c r="I75" s="110">
        <v>110346</v>
      </c>
      <c r="J75" s="111">
        <v>140694</v>
      </c>
      <c r="K75" s="103"/>
      <c r="L75" s="107">
        <v>10</v>
      </c>
      <c r="M75" s="112">
        <f t="shared" si="2"/>
        <v>205</v>
      </c>
      <c r="N75" s="112">
        <f t="shared" si="2"/>
        <v>496</v>
      </c>
      <c r="O75" s="112">
        <f t="shared" si="2"/>
        <v>499</v>
      </c>
    </row>
    <row r="76" spans="1:15" ht="15.75" thickBot="1" x14ac:dyDescent="0.25">
      <c r="A76" s="103"/>
      <c r="B76" s="108">
        <v>11</v>
      </c>
      <c r="C76" s="109">
        <v>150647</v>
      </c>
      <c r="D76" s="110">
        <v>177826</v>
      </c>
      <c r="E76" s="111">
        <v>209971</v>
      </c>
      <c r="F76" s="103"/>
      <c r="G76" s="108">
        <v>11</v>
      </c>
      <c r="H76" s="109">
        <v>150937</v>
      </c>
      <c r="I76" s="110">
        <v>179158</v>
      </c>
      <c r="J76" s="111">
        <v>210113</v>
      </c>
      <c r="K76" s="103"/>
      <c r="L76" s="107">
        <v>11</v>
      </c>
      <c r="M76" s="112">
        <f t="shared" si="2"/>
        <v>290</v>
      </c>
      <c r="N76" s="112">
        <f t="shared" si="2"/>
        <v>1332</v>
      </c>
      <c r="O76" s="112">
        <f t="shared" si="2"/>
        <v>142</v>
      </c>
    </row>
    <row r="77" spans="1:15" ht="15.75" thickBot="1" x14ac:dyDescent="0.25">
      <c r="A77" s="103"/>
      <c r="B77" s="108">
        <v>12</v>
      </c>
      <c r="C77" s="109">
        <v>145627</v>
      </c>
      <c r="D77" s="110">
        <v>95452</v>
      </c>
      <c r="E77" s="111">
        <v>99993</v>
      </c>
      <c r="F77" s="103"/>
      <c r="G77" s="108">
        <v>12</v>
      </c>
      <c r="H77" s="109">
        <v>146499</v>
      </c>
      <c r="I77" s="110">
        <v>95492</v>
      </c>
      <c r="J77" s="111">
        <v>100024</v>
      </c>
      <c r="K77" s="103"/>
      <c r="L77" s="107">
        <v>12</v>
      </c>
      <c r="M77" s="112">
        <f t="shared" si="2"/>
        <v>872</v>
      </c>
      <c r="N77" s="112">
        <f>I77-D77</f>
        <v>40</v>
      </c>
      <c r="O77" s="112">
        <f t="shared" si="2"/>
        <v>31</v>
      </c>
    </row>
    <row r="78" spans="1:15" ht="15.75" thickBot="1" x14ac:dyDescent="0.25">
      <c r="A78" s="103"/>
      <c r="B78" s="108">
        <v>14</v>
      </c>
      <c r="C78" s="109">
        <v>123642</v>
      </c>
      <c r="D78" s="110">
        <v>47599</v>
      </c>
      <c r="E78" s="111">
        <v>50516</v>
      </c>
      <c r="F78" s="103"/>
      <c r="G78" s="108">
        <v>14</v>
      </c>
      <c r="H78" s="109">
        <v>123654</v>
      </c>
      <c r="I78" s="110">
        <v>47628</v>
      </c>
      <c r="J78" s="111">
        <v>50623</v>
      </c>
      <c r="K78" s="103"/>
      <c r="L78" s="107">
        <v>14</v>
      </c>
      <c r="M78" s="112">
        <f t="shared" si="2"/>
        <v>12</v>
      </c>
      <c r="N78" s="112">
        <f t="shared" si="2"/>
        <v>29</v>
      </c>
      <c r="O78" s="112">
        <f t="shared" si="2"/>
        <v>107</v>
      </c>
    </row>
    <row r="79" spans="1:15" ht="15.75" thickBot="1" x14ac:dyDescent="0.25">
      <c r="A79" s="103"/>
      <c r="B79" s="108">
        <v>15</v>
      </c>
      <c r="C79" s="109">
        <v>164067</v>
      </c>
      <c r="D79" s="110">
        <v>142463</v>
      </c>
      <c r="E79" s="111">
        <v>154931</v>
      </c>
      <c r="F79" s="103"/>
      <c r="G79" s="108">
        <v>15</v>
      </c>
      <c r="H79" s="109">
        <v>164622</v>
      </c>
      <c r="I79" s="111">
        <v>143229</v>
      </c>
      <c r="J79" s="111">
        <v>155553</v>
      </c>
      <c r="K79" s="103"/>
      <c r="L79" s="107">
        <v>15</v>
      </c>
      <c r="M79" s="112">
        <f t="shared" si="2"/>
        <v>555</v>
      </c>
      <c r="N79" s="112">
        <f t="shared" si="2"/>
        <v>766</v>
      </c>
      <c r="O79" s="112">
        <f t="shared" si="2"/>
        <v>622</v>
      </c>
    </row>
    <row r="80" spans="1:15" ht="15.75" thickBot="1" x14ac:dyDescent="0.25">
      <c r="A80" s="103"/>
      <c r="B80" s="108">
        <v>16</v>
      </c>
      <c r="C80" s="109">
        <v>120303</v>
      </c>
      <c r="D80" s="110">
        <v>144031</v>
      </c>
      <c r="E80" s="111">
        <v>214643</v>
      </c>
      <c r="F80" s="103"/>
      <c r="G80" s="108">
        <v>16</v>
      </c>
      <c r="H80" s="109">
        <v>120434</v>
      </c>
      <c r="I80" s="110">
        <v>144955</v>
      </c>
      <c r="J80" s="111">
        <v>214702</v>
      </c>
      <c r="K80" s="103"/>
      <c r="L80" s="107">
        <v>16</v>
      </c>
      <c r="M80" s="112">
        <f t="shared" si="2"/>
        <v>131</v>
      </c>
      <c r="N80" s="112">
        <f t="shared" si="2"/>
        <v>924</v>
      </c>
      <c r="O80" s="112">
        <f t="shared" si="2"/>
        <v>59</v>
      </c>
    </row>
    <row r="81" spans="1:15" ht="15.75" thickBot="1" x14ac:dyDescent="0.25">
      <c r="A81" s="103"/>
      <c r="B81" s="108">
        <v>17</v>
      </c>
      <c r="C81" s="109">
        <v>38476</v>
      </c>
      <c r="D81" s="110">
        <v>83922</v>
      </c>
      <c r="E81" s="111">
        <v>200771</v>
      </c>
      <c r="F81" s="103"/>
      <c r="G81" s="108">
        <v>17</v>
      </c>
      <c r="H81" s="109">
        <v>38476</v>
      </c>
      <c r="I81" s="110">
        <v>84120</v>
      </c>
      <c r="J81" s="111">
        <v>201146</v>
      </c>
      <c r="K81" s="103"/>
      <c r="L81" s="107">
        <v>17</v>
      </c>
      <c r="M81" s="112">
        <f t="shared" si="2"/>
        <v>0</v>
      </c>
      <c r="N81" s="112">
        <f t="shared" si="2"/>
        <v>198</v>
      </c>
      <c r="O81" s="112">
        <f t="shared" si="2"/>
        <v>375</v>
      </c>
    </row>
    <row r="82" spans="1:15" ht="15.75" thickBot="1" x14ac:dyDescent="0.25">
      <c r="A82" s="103"/>
      <c r="B82" s="108">
        <v>18</v>
      </c>
      <c r="C82" s="109">
        <v>135686</v>
      </c>
      <c r="D82" s="110">
        <v>71715</v>
      </c>
      <c r="E82" s="111">
        <v>161410</v>
      </c>
      <c r="F82" s="103"/>
      <c r="G82" s="108">
        <v>18</v>
      </c>
      <c r="H82" s="109">
        <v>135815</v>
      </c>
      <c r="I82" s="110">
        <v>71782</v>
      </c>
      <c r="J82" s="111">
        <v>161761</v>
      </c>
      <c r="K82" s="103"/>
      <c r="L82" s="107">
        <v>18</v>
      </c>
      <c r="M82" s="112">
        <f t="shared" si="2"/>
        <v>129</v>
      </c>
      <c r="N82" s="112">
        <f t="shared" si="2"/>
        <v>67</v>
      </c>
      <c r="O82" s="112">
        <f t="shared" si="2"/>
        <v>351</v>
      </c>
    </row>
    <row r="83" spans="1:15" ht="15.75" thickBot="1" x14ac:dyDescent="0.25">
      <c r="A83" s="103"/>
      <c r="B83" s="108">
        <v>19</v>
      </c>
      <c r="C83" s="109">
        <v>74033</v>
      </c>
      <c r="D83" s="110">
        <v>168340</v>
      </c>
      <c r="E83" s="111">
        <v>117985</v>
      </c>
      <c r="F83" s="103"/>
      <c r="G83" s="108">
        <v>19</v>
      </c>
      <c r="H83" s="109">
        <v>74571</v>
      </c>
      <c r="I83" s="110">
        <v>168677</v>
      </c>
      <c r="J83" s="111">
        <v>118794</v>
      </c>
      <c r="K83" s="103"/>
      <c r="L83" s="107">
        <v>19</v>
      </c>
      <c r="M83" s="112">
        <f t="shared" si="2"/>
        <v>538</v>
      </c>
      <c r="N83" s="112">
        <f t="shared" si="2"/>
        <v>337</v>
      </c>
      <c r="O83" s="112">
        <f t="shared" si="2"/>
        <v>809</v>
      </c>
    </row>
    <row r="84" spans="1:15" ht="15.75" thickBot="1" x14ac:dyDescent="0.25">
      <c r="A84" s="103"/>
      <c r="B84" s="108">
        <v>20</v>
      </c>
      <c r="C84" s="109">
        <v>141731</v>
      </c>
      <c r="D84" s="110">
        <v>169557</v>
      </c>
      <c r="E84" s="111">
        <v>86589</v>
      </c>
      <c r="F84" s="103"/>
      <c r="G84" s="108">
        <v>20</v>
      </c>
      <c r="H84" s="109">
        <v>141834</v>
      </c>
      <c r="I84" s="110">
        <v>169763</v>
      </c>
      <c r="J84" s="111">
        <v>86594</v>
      </c>
      <c r="K84" s="103"/>
      <c r="L84" s="107">
        <v>20</v>
      </c>
      <c r="M84" s="112">
        <f>H84-C84</f>
        <v>103</v>
      </c>
      <c r="N84" s="112">
        <f t="shared" si="2"/>
        <v>206</v>
      </c>
      <c r="O84" s="112">
        <f t="shared" si="2"/>
        <v>5</v>
      </c>
    </row>
    <row r="85" spans="1:15" ht="15.75" thickBot="1" x14ac:dyDescent="0.25">
      <c r="A85" s="103"/>
      <c r="B85" s="108">
        <v>21</v>
      </c>
      <c r="C85" s="109">
        <v>189584</v>
      </c>
      <c r="D85" s="110">
        <v>87588</v>
      </c>
      <c r="E85" s="111">
        <v>107782</v>
      </c>
      <c r="F85" s="103"/>
      <c r="G85" s="108">
        <v>21</v>
      </c>
      <c r="H85" s="109">
        <v>190110</v>
      </c>
      <c r="I85" s="110">
        <v>87677</v>
      </c>
      <c r="J85" s="111">
        <v>108563</v>
      </c>
      <c r="K85" s="103"/>
      <c r="L85" s="107">
        <v>21</v>
      </c>
      <c r="M85" s="112">
        <f t="shared" si="2"/>
        <v>526</v>
      </c>
      <c r="N85" s="112">
        <f t="shared" si="2"/>
        <v>89</v>
      </c>
      <c r="O85" s="112">
        <f t="shared" si="2"/>
        <v>781</v>
      </c>
    </row>
    <row r="86" spans="1:15" ht="15.75" thickBot="1" x14ac:dyDescent="0.25">
      <c r="A86" s="103"/>
      <c r="B86" s="108">
        <v>22</v>
      </c>
      <c r="C86" s="109">
        <v>128926</v>
      </c>
      <c r="D86" s="110">
        <v>88941</v>
      </c>
      <c r="E86" s="111">
        <v>112807</v>
      </c>
      <c r="F86" s="103"/>
      <c r="G86" s="108">
        <v>22</v>
      </c>
      <c r="H86" s="109">
        <v>129832</v>
      </c>
      <c r="I86" s="110">
        <v>89214</v>
      </c>
      <c r="J86" s="111">
        <v>113073</v>
      </c>
      <c r="K86" s="103"/>
      <c r="L86" s="107">
        <v>22</v>
      </c>
      <c r="M86" s="112">
        <f t="shared" si="2"/>
        <v>906</v>
      </c>
      <c r="N86" s="112">
        <f t="shared" si="2"/>
        <v>273</v>
      </c>
      <c r="O86" s="112">
        <f t="shared" si="2"/>
        <v>266</v>
      </c>
    </row>
    <row r="87" spans="1:15" ht="15.75" thickBot="1" x14ac:dyDescent="0.25">
      <c r="A87" s="103"/>
      <c r="B87" s="108">
        <v>23</v>
      </c>
      <c r="C87" s="109">
        <v>127095</v>
      </c>
      <c r="D87" s="110">
        <v>153538</v>
      </c>
      <c r="E87" s="111">
        <v>287059</v>
      </c>
      <c r="F87" s="103"/>
      <c r="G87" s="108">
        <v>23</v>
      </c>
      <c r="H87" s="109">
        <v>127095</v>
      </c>
      <c r="I87" s="110">
        <v>153993</v>
      </c>
      <c r="J87" s="111">
        <v>287225</v>
      </c>
      <c r="K87" s="103"/>
      <c r="L87" s="107">
        <v>23</v>
      </c>
      <c r="M87" s="112">
        <f t="shared" si="2"/>
        <v>0</v>
      </c>
      <c r="N87" s="112">
        <f t="shared" si="2"/>
        <v>455</v>
      </c>
      <c r="O87" s="112">
        <f t="shared" si="2"/>
        <v>166</v>
      </c>
    </row>
    <row r="88" spans="1:15" ht="15.75" thickBot="1" x14ac:dyDescent="0.25">
      <c r="A88" s="103"/>
      <c r="B88" s="108">
        <v>24</v>
      </c>
      <c r="C88" s="109">
        <v>77865</v>
      </c>
      <c r="D88" s="110">
        <v>148116</v>
      </c>
      <c r="E88" s="111">
        <v>100891</v>
      </c>
      <c r="F88" s="103"/>
      <c r="G88" s="108">
        <v>24</v>
      </c>
      <c r="H88" s="109">
        <v>78015</v>
      </c>
      <c r="I88" s="110">
        <v>148505</v>
      </c>
      <c r="J88" s="111">
        <v>101009</v>
      </c>
      <c r="K88" s="103"/>
      <c r="L88" s="107">
        <v>24</v>
      </c>
      <c r="M88" s="112">
        <f t="shared" si="2"/>
        <v>150</v>
      </c>
      <c r="N88" s="112">
        <f t="shared" si="2"/>
        <v>389</v>
      </c>
      <c r="O88" s="112">
        <f>J88-E88</f>
        <v>118</v>
      </c>
    </row>
    <row r="89" spans="1:15" ht="15.75" thickBot="1" x14ac:dyDescent="0.25">
      <c r="A89" s="103"/>
      <c r="B89" s="108">
        <v>25</v>
      </c>
      <c r="C89" s="109">
        <v>119964</v>
      </c>
      <c r="D89" s="110">
        <v>177997</v>
      </c>
      <c r="E89" s="111">
        <v>155803</v>
      </c>
      <c r="F89" s="103"/>
      <c r="G89" s="108">
        <v>25</v>
      </c>
      <c r="H89" s="109">
        <v>120043</v>
      </c>
      <c r="I89" s="110">
        <v>178534</v>
      </c>
      <c r="J89" s="111">
        <v>155803</v>
      </c>
      <c r="K89" s="103"/>
      <c r="L89" s="107">
        <v>25</v>
      </c>
      <c r="M89" s="112">
        <f t="shared" si="2"/>
        <v>79</v>
      </c>
      <c r="N89" s="112">
        <f t="shared" si="2"/>
        <v>537</v>
      </c>
      <c r="O89" s="112">
        <f>J89-E89</f>
        <v>0</v>
      </c>
    </row>
    <row r="90" spans="1:15" ht="15.75" thickBot="1" x14ac:dyDescent="0.25">
      <c r="A90" s="103"/>
      <c r="B90" s="108">
        <v>26</v>
      </c>
      <c r="C90" s="109">
        <v>110896</v>
      </c>
      <c r="D90" s="110">
        <v>50121</v>
      </c>
      <c r="E90" s="111">
        <v>52916</v>
      </c>
      <c r="F90" s="103"/>
      <c r="G90" s="108">
        <v>26</v>
      </c>
      <c r="H90" s="109">
        <v>110896</v>
      </c>
      <c r="I90" s="110">
        <v>50258</v>
      </c>
      <c r="J90" s="111">
        <v>52916</v>
      </c>
      <c r="K90" s="103"/>
      <c r="L90" s="107">
        <v>26</v>
      </c>
      <c r="M90" s="112">
        <f t="shared" si="2"/>
        <v>0</v>
      </c>
      <c r="N90" s="112">
        <f t="shared" si="2"/>
        <v>137</v>
      </c>
      <c r="O90" s="112">
        <f t="shared" si="2"/>
        <v>0</v>
      </c>
    </row>
    <row r="91" spans="1:15" ht="15.75" thickBot="1" x14ac:dyDescent="0.25">
      <c r="A91" s="103"/>
      <c r="B91" s="108">
        <v>27</v>
      </c>
      <c r="C91" s="109">
        <v>100804</v>
      </c>
      <c r="D91" s="110">
        <v>107178</v>
      </c>
      <c r="E91" s="111">
        <v>119475</v>
      </c>
      <c r="F91" s="103"/>
      <c r="G91" s="108">
        <v>27</v>
      </c>
      <c r="H91" s="109">
        <v>100954</v>
      </c>
      <c r="I91" s="110">
        <v>107381</v>
      </c>
      <c r="J91" s="111">
        <v>119608</v>
      </c>
      <c r="K91" s="103"/>
      <c r="L91" s="107">
        <v>27</v>
      </c>
      <c r="M91" s="112">
        <f t="shared" si="2"/>
        <v>150</v>
      </c>
      <c r="N91" s="112">
        <f t="shared" si="2"/>
        <v>203</v>
      </c>
      <c r="O91" s="112">
        <f t="shared" si="2"/>
        <v>133</v>
      </c>
    </row>
    <row r="92" spans="1:15" ht="15.75" thickBot="1" x14ac:dyDescent="0.25">
      <c r="A92" s="103"/>
      <c r="B92" s="108">
        <v>28</v>
      </c>
      <c r="C92" s="109">
        <v>191012</v>
      </c>
      <c r="D92" s="110">
        <v>101877</v>
      </c>
      <c r="E92" s="111">
        <v>109038</v>
      </c>
      <c r="F92" s="103"/>
      <c r="G92" s="108">
        <v>28</v>
      </c>
      <c r="H92" s="109">
        <v>192744</v>
      </c>
      <c r="I92" s="110">
        <v>101904</v>
      </c>
      <c r="J92" s="111">
        <v>109404</v>
      </c>
      <c r="K92" s="103"/>
      <c r="L92" s="107">
        <v>28</v>
      </c>
      <c r="M92" s="112">
        <f t="shared" si="2"/>
        <v>1732</v>
      </c>
      <c r="N92" s="112">
        <f t="shared" si="2"/>
        <v>27</v>
      </c>
      <c r="O92" s="112">
        <f t="shared" si="2"/>
        <v>366</v>
      </c>
    </row>
    <row r="93" spans="1:15" ht="15.75" thickBot="1" x14ac:dyDescent="0.25">
      <c r="A93" s="103"/>
      <c r="B93" s="108">
        <v>29</v>
      </c>
      <c r="C93" s="109"/>
      <c r="D93" s="110">
        <v>79720</v>
      </c>
      <c r="E93" s="111"/>
      <c r="F93" s="103"/>
      <c r="G93" s="108">
        <v>29</v>
      </c>
      <c r="H93" s="109"/>
      <c r="I93" s="110">
        <v>79720</v>
      </c>
      <c r="J93" s="111"/>
      <c r="K93" s="103"/>
      <c r="L93" s="107">
        <v>29</v>
      </c>
      <c r="M93" s="112">
        <f t="shared" si="2"/>
        <v>0</v>
      </c>
      <c r="N93" s="112">
        <f t="shared" si="2"/>
        <v>0</v>
      </c>
      <c r="O93" s="112"/>
    </row>
    <row r="94" spans="1:15" ht="15.75" thickBot="1" x14ac:dyDescent="0.25">
      <c r="A94" s="103"/>
      <c r="B94" s="108">
        <v>30</v>
      </c>
      <c r="C94" s="109"/>
      <c r="D94" s="110">
        <v>14818</v>
      </c>
      <c r="E94" s="111"/>
      <c r="F94" s="103"/>
      <c r="G94" s="108">
        <v>30</v>
      </c>
      <c r="H94" s="109"/>
      <c r="I94" s="110">
        <v>14818</v>
      </c>
      <c r="J94" s="111"/>
      <c r="K94" s="103"/>
      <c r="L94" s="107">
        <v>30</v>
      </c>
      <c r="M94" s="112">
        <f t="shared" si="2"/>
        <v>0</v>
      </c>
      <c r="N94" s="112">
        <f t="shared" si="2"/>
        <v>0</v>
      </c>
      <c r="O94" s="103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2018-07-02T08:24:59Z</cp:lastPrinted>
  <dcterms:created xsi:type="dcterms:W3CDTF">2017-07-31T14:40:49Z</dcterms:created>
  <dcterms:modified xsi:type="dcterms:W3CDTF">2021-03-22T07:24:48Z</dcterms:modified>
</cp:coreProperties>
</file>