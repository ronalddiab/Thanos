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<sst xmlns="http://schemas.openxmlformats.org/spreadsheetml/2006/main" count="296" uniqueCount="138">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</sst>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 t="e">
        <f>Submetering!E6+Submetering!F6+Submetering!G6+Submetering!H6-Submetering!AV6</f>
        <v>#VALUE!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0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3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6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 t="str">
        <f>'FS Desroches Daily'!X8</f>
        <v/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 t="str">
        <f>'FS Desroches Daily'!D8</f>
        <v>0</v>
      </c>
      <c r="F6" s="36" t="str">
        <f>'FS Desroches Daily'!F8</f>
        <v>0</v>
      </c>
      <c r="G6" s="35" t="str">
        <f>'FS Desroches Daily'!H8</f>
        <v>0</v>
      </c>
      <c r="H6" s="36" t="str">
        <f>'FS Desroches Daily'!J8</f>
        <v>0</v>
      </c>
      <c r="I6" s="35" t="str">
        <f>'FS Desroches Daily'!L8</f>
        <v>0</v>
      </c>
      <c r="J6" s="36" t="str">
        <f>'FS Desroches Daily'!N8</f>
        <v/>
      </c>
      <c r="K6" s="13" t="str">
        <f>'FS Desroches Daily'!P8</f>
        <v/>
      </c>
      <c r="L6" s="35" t="str">
        <f>'FS Desroches Daily'!R8</f>
        <v/>
      </c>
      <c r="M6" s="35" t="str">
        <f>'FS Desroches Daily'!T8</f>
        <v/>
      </c>
      <c r="N6" s="35" t="str">
        <f>'FS Desroches Daily'!V8</f>
        <v/>
      </c>
      <c r="O6" s="35" t="str">
        <f>'FS Desroches Daily'!X8</f>
        <v/>
      </c>
      <c r="P6" s="35" t="str">
        <f>'FS Desroches Daily'!Z8</f>
        <v/>
      </c>
      <c r="Q6" s="35" t="str">
        <f>'FS Desroches Daily'!AB8</f>
        <v/>
      </c>
      <c r="R6" s="35" t="str">
        <f>'FS Desroches Daily'!AD8</f>
        <v/>
      </c>
      <c r="S6" s="35" t="str">
        <f>'FS Desroches Daily'!AF8</f>
        <v/>
      </c>
      <c r="T6" s="35" t="str">
        <f>'FS Desroches Daily'!AH8</f>
        <v/>
      </c>
      <c r="U6" s="39" t="str">
        <f>'FS Desroches Daily'!AJ8</f>
        <v/>
      </c>
      <c r="V6" s="39" t="str">
        <f>'FS Desroches Daily'!AL8</f>
        <v/>
      </c>
      <c r="W6" s="39" t="str">
        <f>'FS Desroches Daily'!AN8</f>
        <v/>
      </c>
      <c r="X6" s="39" t="str">
        <f>'FS Desroches Daily'!AP8</f>
        <v/>
      </c>
      <c r="Y6" s="39" t="str">
        <f>'FS Desroches Daily'!AR8</f>
        <v/>
      </c>
      <c r="Z6" s="39" t="str">
        <f>'FS Desroches Daily'!AT8</f>
        <v/>
      </c>
      <c r="AA6" s="39" t="str">
        <f>'FS Desroches Daily'!AT8</f>
        <v/>
      </c>
      <c r="AB6" s="39" t="str">
        <f>'FS Desroches Daily'!AV8</f>
        <v/>
      </c>
      <c r="AC6" s="39" t="str">
        <f>'FS Desroches Daily'!AZ8</f>
        <v/>
      </c>
      <c r="AD6" s="39" t="str">
        <f>'FS Desroches Daily'!BB8</f>
        <v/>
      </c>
      <c r="AE6" s="39" t="str">
        <f>'FS Desroches Daily'!BD8</f>
        <v/>
      </c>
      <c r="AF6" s="35" t="str">
        <f>'FS Desroches Daily'!BF8</f>
        <v/>
      </c>
      <c r="AG6" s="36" t="str">
        <f>'FS Desroches Daily'!BH8</f>
        <v/>
      </c>
      <c r="AH6" s="36" t="str">
        <f>'FS Desroches Daily'!BJ8</f>
        <v/>
      </c>
      <c r="AI6" s="36" t="str">
        <f>'FS Desroches Daily'!BL8</f>
        <v/>
      </c>
      <c r="AJ6" s="36" t="str">
        <f>'FS Desroches Daily'!BN8</f>
        <v/>
      </c>
      <c r="AK6" s="36" t="str">
        <f>'FS Desroches Daily'!BP8</f>
        <v/>
      </c>
      <c r="AL6" s="36" t="str">
        <f>'FS Desroches Daily'!BR8</f>
        <v/>
      </c>
      <c r="AM6" s="36" t="str">
        <f>'FS Desroches Daily'!BT8</f>
        <v/>
      </c>
      <c r="AN6" s="36" t="str">
        <f>'FS Desroches Daily'!BV8</f>
        <v/>
      </c>
      <c r="AO6" s="36" t="str">
        <f>'FS Desroches Daily'!BX8</f>
        <v/>
      </c>
      <c r="AP6" s="36" t="str">
        <f>'FS Desroches Daily'!BZ8</f>
        <v/>
      </c>
      <c r="AQ6" s="35" t="str">
        <f>'FS Desroches Daily'!CB8</f>
        <v/>
      </c>
      <c r="AR6" s="35" t="str">
        <f>'FS Desroches Daily'!CD8</f>
        <v/>
      </c>
      <c r="AS6" s="35" t="str">
        <f>'FS Desroches Daily'!CF8</f>
        <v/>
      </c>
      <c r="AT6" s="35" t="str">
        <f>'FS Desroches Daily'!CH8</f>
        <v/>
      </c>
      <c r="AU6" s="35" t="str">
        <f>'FS Desroches Daily'!CJ8</f>
        <v/>
      </c>
      <c r="AV6" s="35" t="str">
        <f>'FS Desroches Daily'!CL8</f>
        <v/>
      </c>
      <c r="AW6" s="35">
        <f>'FS Desroches Daily'!CM8</f>
        <v>0</v>
      </c>
      <c r="AX6" s="35" t="str">
        <f>IF(LPG!F13-LPG!F12&lt;0,"0",(LPG!F13-LPG!F12)*1.8315)</f>
        <v>0</v>
      </c>
      <c r="AY6" s="35" t="str">
        <f>IF(LPG!H13-LPG!H12&lt;0,"0",(LPG!H13-LPG!H12)*1.8315)</f>
        <v>0</v>
      </c>
      <c r="AZ6" s="35" t="str">
        <f>IF(LPG!J13-LPG!J12&lt;0,"0",(LPG!J13-LPG!J12)*1.8315)</f>
        <v>0</v>
      </c>
      <c r="BA6" s="35" t="str">
        <f>IF(LPG!M13-LPG!M12&lt;0,"0",(LPG!M13-LPG!M12)*1.8315)</f>
        <v>0</v>
      </c>
      <c r="BB6" s="35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0</v>
      </c>
      <c r="F7" s="36">
        <f>'FS Desroches Daily'!F9</f>
        <v>0</v>
      </c>
      <c r="G7" s="35">
        <f>'FS Desroches Daily'!H9</f>
        <v>0</v>
      </c>
      <c r="H7" s="36">
        <f>'FS Desroches Daily'!J9</f>
        <v>0</v>
      </c>
      <c r="I7" s="35">
        <f>'FS Desroches Daily'!L9</f>
        <v>0</v>
      </c>
      <c r="J7" s="36">
        <f>'FS Desroches Daily'!N9</f>
        <v>0</v>
      </c>
      <c r="K7" s="13">
        <f>'FS Desroches Daily'!P9</f>
        <v>0</v>
      </c>
      <c r="L7" s="35">
        <f>'FS Desroches Daily'!R9</f>
        <v>0</v>
      </c>
      <c r="M7" s="35">
        <f>'FS Desroches Daily'!T9</f>
        <v>0</v>
      </c>
      <c r="N7" s="35">
        <f>'FS Desroches Daily'!V9</f>
        <v>0</v>
      </c>
      <c r="O7" s="35">
        <f>'FS Desroches Daily'!X9</f>
        <v>0</v>
      </c>
      <c r="P7" s="35">
        <f>'FS Desroches Daily'!Z9</f>
        <v>0</v>
      </c>
      <c r="Q7" s="35">
        <f>'FS Desroches Daily'!AB9</f>
        <v>0</v>
      </c>
      <c r="R7" s="35">
        <f>'FS Desroches Daily'!AD9</f>
        <v>0</v>
      </c>
      <c r="S7" s="35">
        <f>'FS Desroches Daily'!AF9</f>
        <v>0</v>
      </c>
      <c r="T7" s="35">
        <f>'FS Desroches Daily'!AH9</f>
        <v>0</v>
      </c>
      <c r="U7" s="39">
        <f>'FS Desroches Daily'!AJ9</f>
        <v>0</v>
      </c>
      <c r="V7" s="39">
        <f>'FS Desroches Daily'!AL9</f>
        <v>0</v>
      </c>
      <c r="W7" s="39">
        <f>'FS Desroches Daily'!AN9</f>
        <v>0</v>
      </c>
      <c r="X7" s="39">
        <f>'FS Desroches Daily'!AP9</f>
        <v>0</v>
      </c>
      <c r="Y7" s="39">
        <f>'FS Desroches Daily'!AR9</f>
        <v>0</v>
      </c>
      <c r="Z7" s="39">
        <f>'FS Desroches Daily'!AT9</f>
        <v>0</v>
      </c>
      <c r="AA7" s="39">
        <f>'FS Desroches Daily'!AT9</f>
        <v>0</v>
      </c>
      <c r="AB7" s="39">
        <f>'FS Desroches Daily'!AV9</f>
        <v>0</v>
      </c>
      <c r="AC7" s="39">
        <f>'FS Desroches Daily'!AZ9</f>
        <v>0</v>
      </c>
      <c r="AD7" s="39">
        <f>'FS Desroches Daily'!BB9</f>
        <v>0</v>
      </c>
      <c r="AE7" s="39">
        <f>'FS Desroches Daily'!BD9</f>
        <v>0</v>
      </c>
      <c r="AF7" s="35">
        <f>'FS Desroches Daily'!BF9</f>
        <v>0</v>
      </c>
      <c r="AG7" s="36">
        <f>'FS Desroches Daily'!BH9</f>
        <v>0</v>
      </c>
      <c r="AH7" s="36">
        <f>'FS Desroches Daily'!BJ9</f>
        <v>0</v>
      </c>
      <c r="AI7" s="36">
        <f>'FS Desroches Daily'!BL9</f>
        <v>0</v>
      </c>
      <c r="AJ7" s="36">
        <f>'FS Desroches Daily'!BN9</f>
        <v>0</v>
      </c>
      <c r="AK7" s="36">
        <f>'FS Desroches Daily'!BP9</f>
        <v>0</v>
      </c>
      <c r="AL7" s="36">
        <f>'FS Desroches Daily'!BR9</f>
        <v>0</v>
      </c>
      <c r="AM7" s="36">
        <f>'FS Desroches Daily'!BT9</f>
        <v>0</v>
      </c>
      <c r="AN7" s="36">
        <f>'FS Desroches Daily'!BV9</f>
        <v>0</v>
      </c>
      <c r="AO7" s="36">
        <f>'FS Desroches Daily'!BX9</f>
        <v>0</v>
      </c>
      <c r="AP7" s="36">
        <f>'FS Desroches Daily'!BZ9</f>
        <v>0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0</v>
      </c>
      <c r="AU7" s="35">
        <f>'FS Desroches Daily'!CJ9</f>
        <v>0</v>
      </c>
      <c r="AV7" s="35">
        <f>'FS Desroches Daily'!CL9</f>
        <v>0</v>
      </c>
      <c r="AW7" s="35">
        <f>'FS Desroches Daily'!CM9</f>
        <v>0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0</v>
      </c>
      <c r="F8" s="36">
        <f>'FS Desroches Daily'!F10</f>
        <v>0</v>
      </c>
      <c r="G8" s="35">
        <f>'FS Desroches Daily'!H10</f>
        <v>0</v>
      </c>
      <c r="H8" s="36">
        <f>'FS Desroches Daily'!J10</f>
        <v>0</v>
      </c>
      <c r="I8" s="35">
        <f>'FS Desroches Daily'!L10</f>
        <v>0</v>
      </c>
      <c r="J8" s="36">
        <f>'FS Desroches Daily'!N10</f>
        <v>0</v>
      </c>
      <c r="K8" s="13">
        <f>'FS Desroches Daily'!P10</f>
        <v>0</v>
      </c>
      <c r="L8" s="35">
        <f>'FS Desroches Daily'!R10</f>
        <v>0</v>
      </c>
      <c r="M8" s="35">
        <f>'FS Desroches Daily'!T10</f>
        <v>0</v>
      </c>
      <c r="N8" s="35">
        <f>'FS Desroches Daily'!V10</f>
        <v>0</v>
      </c>
      <c r="O8" s="35">
        <f>'FS Desroches Daily'!X10</f>
        <v>0</v>
      </c>
      <c r="P8" s="35">
        <f>'FS Desroches Daily'!Z10</f>
        <v>0</v>
      </c>
      <c r="Q8" s="35">
        <f>'FS Desroches Daily'!AB10</f>
        <v>0</v>
      </c>
      <c r="R8" s="35">
        <f>'FS Desroches Daily'!AD10</f>
        <v>0</v>
      </c>
      <c r="S8" s="35">
        <f>'FS Desroches Daily'!AF10</f>
        <v>0</v>
      </c>
      <c r="T8" s="35">
        <f>'FS Desroches Daily'!AH10</f>
        <v>0</v>
      </c>
      <c r="U8" s="39">
        <f>'FS Desroches Daily'!AJ10</f>
        <v>0</v>
      </c>
      <c r="V8" s="39">
        <f>'FS Desroches Daily'!AL10</f>
        <v>0</v>
      </c>
      <c r="W8" s="39">
        <f>'FS Desroches Daily'!AN10</f>
        <v>0</v>
      </c>
      <c r="X8" s="39">
        <f>'FS Desroches Daily'!AP10</f>
        <v>0</v>
      </c>
      <c r="Y8" s="39">
        <f>'FS Desroches Daily'!AR10</f>
        <v>0</v>
      </c>
      <c r="Z8" s="39">
        <f>'FS Desroches Daily'!AT10</f>
        <v>0</v>
      </c>
      <c r="AA8" s="39">
        <f>'FS Desroches Daily'!AT10</f>
        <v>0</v>
      </c>
      <c r="AB8" s="39">
        <f>'FS Desroches Daily'!AV10</f>
        <v>0</v>
      </c>
      <c r="AC8" s="39">
        <f>'FS Desroches Daily'!AZ10</f>
        <v>0</v>
      </c>
      <c r="AD8" s="39">
        <f>'FS Desroches Daily'!BB10</f>
        <v>0</v>
      </c>
      <c r="AE8" s="39">
        <f>'FS Desroches Daily'!BD10</f>
        <v>0</v>
      </c>
      <c r="AF8" s="35">
        <f>'FS Desroches Daily'!BF10</f>
        <v>0</v>
      </c>
      <c r="AG8" s="36">
        <f>'FS Desroches Daily'!BH10</f>
        <v>0</v>
      </c>
      <c r="AH8" s="36">
        <f>'FS Desroches Daily'!BJ10</f>
        <v>0</v>
      </c>
      <c r="AI8" s="36">
        <f>'FS Desroches Daily'!BL10</f>
        <v>0</v>
      </c>
      <c r="AJ8" s="36">
        <f>'FS Desroches Daily'!BN10</f>
        <v>0</v>
      </c>
      <c r="AK8" s="36">
        <f>'FS Desroches Daily'!BP10</f>
        <v>0</v>
      </c>
      <c r="AL8" s="36">
        <f>'FS Desroches Daily'!BR10</f>
        <v>0</v>
      </c>
      <c r="AM8" s="36">
        <f>'FS Desroches Daily'!BT10</f>
        <v>0</v>
      </c>
      <c r="AN8" s="36">
        <f>'FS Desroches Daily'!BV10</f>
        <v>0</v>
      </c>
      <c r="AO8" s="36">
        <f>'FS Desroches Daily'!BX10</f>
        <v>0</v>
      </c>
      <c r="AP8" s="36">
        <f>'FS Desroches Daily'!BZ10</f>
        <v>0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0</v>
      </c>
      <c r="AU8" s="35">
        <f>'FS Desroches Daily'!CJ10</f>
        <v>0</v>
      </c>
      <c r="AV8" s="35">
        <f>'FS Desroches Daily'!CL10</f>
        <v>0</v>
      </c>
      <c r="AW8" s="35">
        <f>'FS Desroches Daily'!CM10</f>
        <v>0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0</v>
      </c>
      <c r="F9" s="36">
        <f>'FS Desroches Daily'!F11</f>
        <v>0</v>
      </c>
      <c r="G9" s="35">
        <f>'FS Desroches Daily'!H11</f>
        <v>0</v>
      </c>
      <c r="H9" s="36">
        <f>'FS Desroches Daily'!J11</f>
        <v>0</v>
      </c>
      <c r="I9" s="35">
        <f>'FS Desroches Daily'!L11</f>
        <v>0</v>
      </c>
      <c r="J9" s="36">
        <f>'FS Desroches Daily'!N11</f>
        <v>0</v>
      </c>
      <c r="K9" s="13">
        <f>'FS Desroches Daily'!P11</f>
        <v>0</v>
      </c>
      <c r="L9" s="35">
        <f>'FS Desroches Daily'!R11</f>
        <v>0</v>
      </c>
      <c r="M9" s="35">
        <f>'FS Desroches Daily'!T11</f>
        <v>0</v>
      </c>
      <c r="N9" s="35">
        <f>'FS Desroches Daily'!V11</f>
        <v>0</v>
      </c>
      <c r="O9" s="35">
        <f>'FS Desroches Daily'!X11</f>
        <v>0</v>
      </c>
      <c r="P9" s="35">
        <f>'FS Desroches Daily'!Z11</f>
        <v>0</v>
      </c>
      <c r="Q9" s="35">
        <f>'FS Desroches Daily'!AB11</f>
        <v>0</v>
      </c>
      <c r="R9" s="35">
        <f>'FS Desroches Daily'!AD11</f>
        <v>0</v>
      </c>
      <c r="S9" s="35">
        <f>'FS Desroches Daily'!AF11</f>
        <v>0</v>
      </c>
      <c r="T9" s="35">
        <f>'FS Desroches Daily'!AH11</f>
        <v>0</v>
      </c>
      <c r="U9" s="39">
        <f>'FS Desroches Daily'!AJ11</f>
        <v>0</v>
      </c>
      <c r="V9" s="39">
        <f>'FS Desroches Daily'!AL11</f>
        <v>0</v>
      </c>
      <c r="W9" s="39">
        <f>'FS Desroches Daily'!AN11</f>
        <v>0</v>
      </c>
      <c r="X9" s="39">
        <f>'FS Desroches Daily'!AP11</f>
        <v>0</v>
      </c>
      <c r="Y9" s="39">
        <f>'FS Desroches Daily'!AR11</f>
        <v>0</v>
      </c>
      <c r="Z9" s="39">
        <f>'FS Desroches Daily'!AT11</f>
        <v>0</v>
      </c>
      <c r="AA9" s="39">
        <f>'FS Desroches Daily'!AT11</f>
        <v>0</v>
      </c>
      <c r="AB9" s="39">
        <f>'FS Desroches Daily'!AV11</f>
        <v>0</v>
      </c>
      <c r="AC9" s="39">
        <f>'FS Desroches Daily'!AZ11</f>
        <v>0</v>
      </c>
      <c r="AD9" s="39">
        <f>'FS Desroches Daily'!BB11</f>
        <v>0</v>
      </c>
      <c r="AE9" s="39">
        <f>'FS Desroches Daily'!BD11</f>
        <v>0</v>
      </c>
      <c r="AF9" s="35">
        <f>'FS Desroches Daily'!BF11</f>
        <v>0</v>
      </c>
      <c r="AG9" s="36">
        <f>'FS Desroches Daily'!BH11</f>
        <v>0</v>
      </c>
      <c r="AH9" s="36">
        <f>'FS Desroches Daily'!BJ11</f>
        <v>0</v>
      </c>
      <c r="AI9" s="36">
        <f>'FS Desroches Daily'!BL11</f>
        <v>0</v>
      </c>
      <c r="AJ9" s="36">
        <f>'FS Desroches Daily'!BN11</f>
        <v>0</v>
      </c>
      <c r="AK9" s="36">
        <f>'FS Desroches Daily'!BP11</f>
        <v>0</v>
      </c>
      <c r="AL9" s="36">
        <f>'FS Desroches Daily'!BR11</f>
        <v>0</v>
      </c>
      <c r="AM9" s="36">
        <f>'FS Desroches Daily'!BT11</f>
        <v>0</v>
      </c>
      <c r="AN9" s="36">
        <f>'FS Desroches Daily'!BV11</f>
        <v>0</v>
      </c>
      <c r="AO9" s="36">
        <f>'FS Desroches Daily'!BX11</f>
        <v>0</v>
      </c>
      <c r="AP9" s="36">
        <f>'FS Desroches Daily'!BZ11</f>
        <v>0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0</v>
      </c>
      <c r="AU9" s="35">
        <f>'FS Desroches Daily'!CJ11</f>
        <v>0</v>
      </c>
      <c r="AV9" s="35">
        <f>'FS Desroches Daily'!CL11</f>
        <v>0</v>
      </c>
      <c r="AW9" s="35">
        <f>'FS Desroches Daily'!CM11</f>
        <v>0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0</v>
      </c>
      <c r="F10" s="36">
        <f>'FS Desroches Daily'!F12</f>
        <v>0</v>
      </c>
      <c r="G10" s="35">
        <f>'FS Desroches Daily'!H12</f>
        <v>0</v>
      </c>
      <c r="H10" s="36">
        <f>'FS Desroches Daily'!J12</f>
        <v>0</v>
      </c>
      <c r="I10" s="35">
        <f>'FS Desroches Daily'!L12</f>
        <v>0</v>
      </c>
      <c r="J10" s="36">
        <f>'FS Desroches Daily'!N12</f>
        <v>0</v>
      </c>
      <c r="K10" s="13">
        <f>'FS Desroches Daily'!P12</f>
        <v>0</v>
      </c>
      <c r="L10" s="35">
        <f>'FS Desroches Daily'!R12</f>
        <v>0</v>
      </c>
      <c r="M10" s="35">
        <f>'FS Desroches Daily'!T12</f>
        <v>0</v>
      </c>
      <c r="N10" s="35">
        <f>'FS Desroches Daily'!V12</f>
        <v>0</v>
      </c>
      <c r="O10" s="35">
        <f>'FS Desroches Daily'!X12</f>
        <v>0</v>
      </c>
      <c r="P10" s="35">
        <f>'FS Desroches Daily'!Z12</f>
        <v>0</v>
      </c>
      <c r="Q10" s="35">
        <f>'FS Desroches Daily'!AB12</f>
        <v>0</v>
      </c>
      <c r="R10" s="35">
        <f>'FS Desroches Daily'!AD12</f>
        <v>0</v>
      </c>
      <c r="S10" s="35">
        <f>'FS Desroches Daily'!AF12</f>
        <v>0</v>
      </c>
      <c r="T10" s="35">
        <f>'FS Desroches Daily'!AH12</f>
        <v>0</v>
      </c>
      <c r="U10" s="39">
        <f>'FS Desroches Daily'!AJ12</f>
        <v>0</v>
      </c>
      <c r="V10" s="39">
        <f>'FS Desroches Daily'!AL12</f>
        <v>0</v>
      </c>
      <c r="W10" s="39">
        <f>'FS Desroches Daily'!AN12</f>
        <v>0</v>
      </c>
      <c r="X10" s="39">
        <f>'FS Desroches Daily'!AP12</f>
        <v>0</v>
      </c>
      <c r="Y10" s="39">
        <f>'FS Desroches Daily'!AR12</f>
        <v>0</v>
      </c>
      <c r="Z10" s="39">
        <f>'FS Desroches Daily'!AT12</f>
        <v>0</v>
      </c>
      <c r="AA10" s="39">
        <f>'FS Desroches Daily'!AT12</f>
        <v>0</v>
      </c>
      <c r="AB10" s="39">
        <f>'FS Desroches Daily'!AV12</f>
        <v>0</v>
      </c>
      <c r="AC10" s="39">
        <f>'FS Desroches Daily'!AZ12</f>
        <v>0</v>
      </c>
      <c r="AD10" s="39">
        <f>'FS Desroches Daily'!BB12</f>
        <v>0</v>
      </c>
      <c r="AE10" s="39">
        <f>'FS Desroches Daily'!BD12</f>
        <v>0</v>
      </c>
      <c r="AF10" s="35">
        <f>'FS Desroches Daily'!BF12</f>
        <v>0</v>
      </c>
      <c r="AG10" s="36">
        <f>'FS Desroches Daily'!BH12</f>
        <v>0</v>
      </c>
      <c r="AH10" s="36">
        <f>'FS Desroches Daily'!BJ12</f>
        <v>0</v>
      </c>
      <c r="AI10" s="36">
        <f>'FS Desroches Daily'!BL12</f>
        <v>0</v>
      </c>
      <c r="AJ10" s="36">
        <f>'FS Desroches Daily'!BN12</f>
        <v>0</v>
      </c>
      <c r="AK10" s="36">
        <f>'FS Desroches Daily'!BP12</f>
        <v>0</v>
      </c>
      <c r="AL10" s="36">
        <f>'FS Desroches Daily'!BR12</f>
        <v>0</v>
      </c>
      <c r="AM10" s="36">
        <f>'FS Desroches Daily'!BT12</f>
        <v>0</v>
      </c>
      <c r="AN10" s="36">
        <f>'FS Desroches Daily'!BV12</f>
        <v>0</v>
      </c>
      <c r="AO10" s="36">
        <f>'FS Desroches Daily'!BX12</f>
        <v>0</v>
      </c>
      <c r="AP10" s="36">
        <f>'FS Desroches Daily'!BZ12</f>
        <v>0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0</v>
      </c>
      <c r="AU10" s="35">
        <f>'FS Desroches Daily'!CJ12</f>
        <v>0</v>
      </c>
      <c r="AV10" s="35">
        <f>'FS Desroches Daily'!CL12</f>
        <v>0</v>
      </c>
      <c r="AW10" s="35">
        <f>'FS Desroches Daily'!CM12</f>
        <v>0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0</v>
      </c>
      <c r="F11" s="36">
        <f>'FS Desroches Daily'!F13</f>
        <v>0</v>
      </c>
      <c r="G11" s="35">
        <f>'FS Desroches Daily'!H13</f>
        <v>0</v>
      </c>
      <c r="H11" s="36">
        <f>'FS Desroches Daily'!J13</f>
        <v>0</v>
      </c>
      <c r="I11" s="35">
        <f>'FS Desroches Daily'!L13</f>
        <v>0</v>
      </c>
      <c r="J11" s="36">
        <f>'FS Desroches Daily'!N13</f>
        <v>0</v>
      </c>
      <c r="K11" s="13">
        <f>'FS Desroches Daily'!P13</f>
        <v>0</v>
      </c>
      <c r="L11" s="35">
        <f>'FS Desroches Daily'!R13</f>
        <v>0</v>
      </c>
      <c r="M11" s="35">
        <f>'FS Desroches Daily'!T13</f>
        <v>0</v>
      </c>
      <c r="N11" s="35">
        <f>'FS Desroches Daily'!V13</f>
        <v>0</v>
      </c>
      <c r="O11" s="35">
        <f>'FS Desroches Daily'!X13</f>
        <v>0</v>
      </c>
      <c r="P11" s="35">
        <f>'FS Desroches Daily'!Z13</f>
        <v>0</v>
      </c>
      <c r="Q11" s="35">
        <f>'FS Desroches Daily'!AB13</f>
        <v>0</v>
      </c>
      <c r="R11" s="35">
        <f>'FS Desroches Daily'!AD13</f>
        <v>0</v>
      </c>
      <c r="S11" s="35">
        <f>'FS Desroches Daily'!AF13</f>
        <v>0</v>
      </c>
      <c r="T11" s="35">
        <f>'FS Desroches Daily'!AH13</f>
        <v>0</v>
      </c>
      <c r="U11" s="39">
        <f>'FS Desroches Daily'!AJ13</f>
        <v>0</v>
      </c>
      <c r="V11" s="39">
        <f>'FS Desroches Daily'!AL13</f>
        <v>0</v>
      </c>
      <c r="W11" s="39">
        <f>'FS Desroches Daily'!AN13</f>
        <v>0</v>
      </c>
      <c r="X11" s="39">
        <f>'FS Desroches Daily'!AP13</f>
        <v>0</v>
      </c>
      <c r="Y11" s="39">
        <f>'FS Desroches Daily'!AR13</f>
        <v>0</v>
      </c>
      <c r="Z11" s="39">
        <f>'FS Desroches Daily'!AT13</f>
        <v>0</v>
      </c>
      <c r="AA11" s="39">
        <f>'FS Desroches Daily'!AT13</f>
        <v>0</v>
      </c>
      <c r="AB11" s="39">
        <f>'FS Desroches Daily'!AV13</f>
        <v>0</v>
      </c>
      <c r="AC11" s="39">
        <f>'FS Desroches Daily'!AZ13</f>
        <v>0</v>
      </c>
      <c r="AD11" s="39">
        <f>'FS Desroches Daily'!BB13</f>
        <v>0</v>
      </c>
      <c r="AE11" s="39">
        <f>'FS Desroches Daily'!BD13</f>
        <v>0</v>
      </c>
      <c r="AF11" s="35">
        <f>'FS Desroches Daily'!BF13</f>
        <v>0</v>
      </c>
      <c r="AG11" s="36">
        <f>'FS Desroches Daily'!BH13</f>
        <v>0</v>
      </c>
      <c r="AH11" s="36">
        <f>'FS Desroches Daily'!BJ13</f>
        <v>0</v>
      </c>
      <c r="AI11" s="36">
        <f>'FS Desroches Daily'!BL13</f>
        <v>0</v>
      </c>
      <c r="AJ11" s="36">
        <f>'FS Desroches Daily'!BN13</f>
        <v>0</v>
      </c>
      <c r="AK11" s="36">
        <f>'FS Desroches Daily'!BP13</f>
        <v>0</v>
      </c>
      <c r="AL11" s="36">
        <f>'FS Desroches Daily'!BR13</f>
        <v>0</v>
      </c>
      <c r="AM11" s="36">
        <f>'FS Desroches Daily'!BT13</f>
        <v>0</v>
      </c>
      <c r="AN11" s="36">
        <f>'FS Desroches Daily'!BV13</f>
        <v>0</v>
      </c>
      <c r="AO11" s="36">
        <f>'FS Desroches Daily'!BX13</f>
        <v>0</v>
      </c>
      <c r="AP11" s="36">
        <f>'FS Desroches Daily'!BZ13</f>
        <v>0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0</v>
      </c>
      <c r="AU11" s="35">
        <f>'FS Desroches Daily'!CJ13</f>
        <v>0</v>
      </c>
      <c r="AV11" s="35">
        <f>'FS Desroches Daily'!CL13</f>
        <v>0</v>
      </c>
      <c r="AW11" s="35">
        <f>'FS Desroches Daily'!CM13</f>
        <v>0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0</v>
      </c>
      <c r="F12" s="36">
        <f>'FS Desroches Daily'!F14</f>
        <v>0</v>
      </c>
      <c r="G12" s="35">
        <f>'FS Desroches Daily'!H14</f>
        <v>0</v>
      </c>
      <c r="H12" s="36">
        <f>'FS Desroches Daily'!J14</f>
        <v>0</v>
      </c>
      <c r="I12" s="35">
        <f>'FS Desroches Daily'!L14</f>
        <v>0</v>
      </c>
      <c r="J12" s="36">
        <f>'FS Desroches Daily'!N14</f>
        <v>0</v>
      </c>
      <c r="K12" s="13">
        <f>'FS Desroches Daily'!P14</f>
        <v>0</v>
      </c>
      <c r="L12" s="35">
        <f>'FS Desroches Daily'!R14</f>
        <v>0</v>
      </c>
      <c r="M12" s="35">
        <f>'FS Desroches Daily'!T14</f>
        <v>0</v>
      </c>
      <c r="N12" s="35">
        <f>'FS Desroches Daily'!V14</f>
        <v>0</v>
      </c>
      <c r="O12" s="35">
        <f>'FS Desroches Daily'!X14</f>
        <v>0</v>
      </c>
      <c r="P12" s="35">
        <f>'FS Desroches Daily'!Z14</f>
        <v>0</v>
      </c>
      <c r="Q12" s="35">
        <f>'FS Desroches Daily'!AB14</f>
        <v>0</v>
      </c>
      <c r="R12" s="35">
        <f>'FS Desroches Daily'!AD14</f>
        <v>0</v>
      </c>
      <c r="S12" s="35">
        <f>'FS Desroches Daily'!AF14</f>
        <v>0</v>
      </c>
      <c r="T12" s="35">
        <f>'FS Desroches Daily'!AH14</f>
        <v>0</v>
      </c>
      <c r="U12" s="39">
        <f>'FS Desroches Daily'!AJ14</f>
        <v>0</v>
      </c>
      <c r="V12" s="39">
        <f>'FS Desroches Daily'!AL14</f>
        <v>0</v>
      </c>
      <c r="W12" s="39">
        <f>'FS Desroches Daily'!AN14</f>
        <v>0</v>
      </c>
      <c r="X12" s="39">
        <f>'FS Desroches Daily'!AP14</f>
        <v>0</v>
      </c>
      <c r="Y12" s="39">
        <f>'FS Desroches Daily'!AR14</f>
        <v>0</v>
      </c>
      <c r="Z12" s="39">
        <f>'FS Desroches Daily'!AT14</f>
        <v>0</v>
      </c>
      <c r="AA12" s="39">
        <f>'FS Desroches Daily'!AT14</f>
        <v>0</v>
      </c>
      <c r="AB12" s="39">
        <f>'FS Desroches Daily'!AV14</f>
        <v>0</v>
      </c>
      <c r="AC12" s="39">
        <f>'FS Desroches Daily'!AZ14</f>
        <v>0</v>
      </c>
      <c r="AD12" s="39">
        <f>'FS Desroches Daily'!BB14</f>
        <v>0</v>
      </c>
      <c r="AE12" s="39">
        <f>'FS Desroches Daily'!BD14</f>
        <v>0</v>
      </c>
      <c r="AF12" s="35">
        <f>'FS Desroches Daily'!BF14</f>
        <v>0</v>
      </c>
      <c r="AG12" s="36">
        <f>'FS Desroches Daily'!BH14</f>
        <v>0</v>
      </c>
      <c r="AH12" s="36">
        <f>'FS Desroches Daily'!BJ14</f>
        <v>0</v>
      </c>
      <c r="AI12" s="36">
        <f>'FS Desroches Daily'!BL14</f>
        <v>0</v>
      </c>
      <c r="AJ12" s="36">
        <f>'FS Desroches Daily'!BN14</f>
        <v>0</v>
      </c>
      <c r="AK12" s="36">
        <f>'FS Desroches Daily'!BP14</f>
        <v>0</v>
      </c>
      <c r="AL12" s="36">
        <f>'FS Desroches Daily'!BR14</f>
        <v>0</v>
      </c>
      <c r="AM12" s="36">
        <f>'FS Desroches Daily'!BT14</f>
        <v>0</v>
      </c>
      <c r="AN12" s="36">
        <f>'FS Desroches Daily'!BV14</f>
        <v>0</v>
      </c>
      <c r="AO12" s="36">
        <f>'FS Desroches Daily'!BX14</f>
        <v>0</v>
      </c>
      <c r="AP12" s="36">
        <f>'FS Desroches Daily'!BZ14</f>
        <v>0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0</v>
      </c>
      <c r="AU12" s="35">
        <f>'FS Desroches Daily'!CJ14</f>
        <v>0</v>
      </c>
      <c r="AV12" s="35">
        <f>'FS Desroches Daily'!CL14</f>
        <v>0</v>
      </c>
      <c r="AW12" s="35">
        <f>'FS Desroches Daily'!CM14</f>
        <v>0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0</v>
      </c>
      <c r="F13" s="36">
        <f>'FS Desroches Daily'!F15</f>
        <v>0</v>
      </c>
      <c r="G13" s="35">
        <f>'FS Desroches Daily'!H15</f>
        <v>0</v>
      </c>
      <c r="H13" s="36">
        <f>'FS Desroches Daily'!J15</f>
        <v>0</v>
      </c>
      <c r="I13" s="35">
        <f>'FS Desroches Daily'!L15</f>
        <v>0</v>
      </c>
      <c r="J13" s="36">
        <f>'FS Desroches Daily'!N15</f>
        <v>0</v>
      </c>
      <c r="K13" s="13">
        <f>'FS Desroches Daily'!P15</f>
        <v>0</v>
      </c>
      <c r="L13" s="35">
        <f>'FS Desroches Daily'!R15</f>
        <v>0</v>
      </c>
      <c r="M13" s="35">
        <f>'FS Desroches Daily'!T15</f>
        <v>0</v>
      </c>
      <c r="N13" s="35">
        <f>'FS Desroches Daily'!V15</f>
        <v>0</v>
      </c>
      <c r="O13" s="35">
        <f>'FS Desroches Daily'!X15</f>
        <v>0</v>
      </c>
      <c r="P13" s="35">
        <f>'FS Desroches Daily'!Z15</f>
        <v>0</v>
      </c>
      <c r="Q13" s="35">
        <f>'FS Desroches Daily'!AB15</f>
        <v>0</v>
      </c>
      <c r="R13" s="35">
        <f>'FS Desroches Daily'!AD15</f>
        <v>0</v>
      </c>
      <c r="S13" s="35">
        <f>'FS Desroches Daily'!AF15</f>
        <v>0</v>
      </c>
      <c r="T13" s="35">
        <f>'FS Desroches Daily'!AH15</f>
        <v>0</v>
      </c>
      <c r="U13" s="39">
        <f>'FS Desroches Daily'!AJ15</f>
        <v>0</v>
      </c>
      <c r="V13" s="39">
        <f>'FS Desroches Daily'!AL15</f>
        <v>0</v>
      </c>
      <c r="W13" s="39">
        <f>'FS Desroches Daily'!AN15</f>
        <v>0</v>
      </c>
      <c r="X13" s="39">
        <f>'FS Desroches Daily'!AP15</f>
        <v>0</v>
      </c>
      <c r="Y13" s="39">
        <f>'FS Desroches Daily'!AR15</f>
        <v>0</v>
      </c>
      <c r="Z13" s="39">
        <f>'FS Desroches Daily'!AT15</f>
        <v>0</v>
      </c>
      <c r="AA13" s="39">
        <f>'FS Desroches Daily'!AT15</f>
        <v>0</v>
      </c>
      <c r="AB13" s="39">
        <f>'FS Desroches Daily'!AV15</f>
        <v>0</v>
      </c>
      <c r="AC13" s="39">
        <f>'FS Desroches Daily'!AZ15</f>
        <v>0</v>
      </c>
      <c r="AD13" s="39">
        <f>'FS Desroches Daily'!BB15</f>
        <v>0</v>
      </c>
      <c r="AE13" s="39">
        <f>'FS Desroches Daily'!BD15</f>
        <v>0</v>
      </c>
      <c r="AF13" s="35">
        <f>'FS Desroches Daily'!BF15</f>
        <v>0</v>
      </c>
      <c r="AG13" s="36">
        <f>'FS Desroches Daily'!BH15</f>
        <v>0</v>
      </c>
      <c r="AH13" s="36">
        <f>'FS Desroches Daily'!BJ15</f>
        <v>0</v>
      </c>
      <c r="AI13" s="36">
        <f>'FS Desroches Daily'!BL15</f>
        <v>0</v>
      </c>
      <c r="AJ13" s="36">
        <f>'FS Desroches Daily'!BN15</f>
        <v>0</v>
      </c>
      <c r="AK13" s="36">
        <f>'FS Desroches Daily'!BP15</f>
        <v>0</v>
      </c>
      <c r="AL13" s="36">
        <f>'FS Desroches Daily'!BR15</f>
        <v>0</v>
      </c>
      <c r="AM13" s="36">
        <f>'FS Desroches Daily'!BT15</f>
        <v>0</v>
      </c>
      <c r="AN13" s="36">
        <f>'FS Desroches Daily'!BV15</f>
        <v>0</v>
      </c>
      <c r="AO13" s="36">
        <f>'FS Desroches Daily'!BX15</f>
        <v>0</v>
      </c>
      <c r="AP13" s="36">
        <f>'FS Desroches Daily'!BZ15</f>
        <v>0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0</v>
      </c>
      <c r="AU13" s="35">
        <f>'FS Desroches Daily'!CJ15</f>
        <v>0</v>
      </c>
      <c r="AV13" s="35">
        <f>'FS Desroches Daily'!CL15</f>
        <v>0</v>
      </c>
      <c r="AW13" s="35">
        <f>'FS Desroches Daily'!CM15</f>
        <v>0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0</v>
      </c>
      <c r="F14" s="36">
        <f>'FS Desroches Daily'!F16</f>
        <v>0</v>
      </c>
      <c r="G14" s="35">
        <f>'FS Desroches Daily'!H16</f>
        <v>0</v>
      </c>
      <c r="H14" s="36">
        <f>'FS Desroches Daily'!J16</f>
        <v>0</v>
      </c>
      <c r="I14" s="35">
        <f>'FS Desroches Daily'!L16</f>
        <v>0</v>
      </c>
      <c r="J14" s="36">
        <f>'FS Desroches Daily'!N16</f>
        <v>0</v>
      </c>
      <c r="K14" s="13">
        <f>'FS Desroches Daily'!P16</f>
        <v>0</v>
      </c>
      <c r="L14" s="35">
        <f>'FS Desroches Daily'!R16</f>
        <v>0</v>
      </c>
      <c r="M14" s="35">
        <f>'FS Desroches Daily'!T16</f>
        <v>0</v>
      </c>
      <c r="N14" s="35">
        <f>'FS Desroches Daily'!V16</f>
        <v>0</v>
      </c>
      <c r="O14" s="35">
        <f>'FS Desroches Daily'!X16</f>
        <v>0</v>
      </c>
      <c r="P14" s="35">
        <f>'FS Desroches Daily'!Z16</f>
        <v>0</v>
      </c>
      <c r="Q14" s="35">
        <f>'FS Desroches Daily'!AB16</f>
        <v>0</v>
      </c>
      <c r="R14" s="35">
        <f>'FS Desroches Daily'!AD16</f>
        <v>0</v>
      </c>
      <c r="S14" s="35">
        <f>'FS Desroches Daily'!AF16</f>
        <v>0</v>
      </c>
      <c r="T14" s="35">
        <f>'FS Desroches Daily'!AH16</f>
        <v>0</v>
      </c>
      <c r="U14" s="39">
        <f>'FS Desroches Daily'!AJ16</f>
        <v>0</v>
      </c>
      <c r="V14" s="39">
        <f>'FS Desroches Daily'!AL16</f>
        <v>0</v>
      </c>
      <c r="W14" s="39">
        <f>'FS Desroches Daily'!AN16</f>
        <v>0</v>
      </c>
      <c r="X14" s="39">
        <f>'FS Desroches Daily'!AP16</f>
        <v>0</v>
      </c>
      <c r="Y14" s="39">
        <f>'FS Desroches Daily'!AR16</f>
        <v>0</v>
      </c>
      <c r="Z14" s="39">
        <f>'FS Desroches Daily'!AT16</f>
        <v>0</v>
      </c>
      <c r="AA14" s="39">
        <f>'FS Desroches Daily'!AT16</f>
        <v>0</v>
      </c>
      <c r="AB14" s="39">
        <f>'FS Desroches Daily'!AV16</f>
        <v>0</v>
      </c>
      <c r="AC14" s="39">
        <f>'FS Desroches Daily'!AZ16</f>
        <v>0</v>
      </c>
      <c r="AD14" s="39">
        <f>'FS Desroches Daily'!BB16</f>
        <v>0</v>
      </c>
      <c r="AE14" s="39">
        <f>'FS Desroches Daily'!BD16</f>
        <v>0</v>
      </c>
      <c r="AF14" s="35">
        <f>'FS Desroches Daily'!BF16</f>
        <v>0</v>
      </c>
      <c r="AG14" s="36">
        <f>'FS Desroches Daily'!BH16</f>
        <v>0</v>
      </c>
      <c r="AH14" s="36">
        <f>'FS Desroches Daily'!BJ16</f>
        <v>0</v>
      </c>
      <c r="AI14" s="36">
        <f>'FS Desroches Daily'!BL16</f>
        <v>0</v>
      </c>
      <c r="AJ14" s="36">
        <f>'FS Desroches Daily'!BN16</f>
        <v>0</v>
      </c>
      <c r="AK14" s="36">
        <f>'FS Desroches Daily'!BP16</f>
        <v>0</v>
      </c>
      <c r="AL14" s="36">
        <f>'FS Desroches Daily'!BR16</f>
        <v>0</v>
      </c>
      <c r="AM14" s="36">
        <f>'FS Desroches Daily'!BT16</f>
        <v>0</v>
      </c>
      <c r="AN14" s="36">
        <f>'FS Desroches Daily'!BV16</f>
        <v>0</v>
      </c>
      <c r="AO14" s="36">
        <f>'FS Desroches Daily'!BX16</f>
        <v>0</v>
      </c>
      <c r="AP14" s="36">
        <f>'FS Desroches Daily'!BZ16</f>
        <v>0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0</v>
      </c>
      <c r="AU14" s="35">
        <f>'FS Desroches Daily'!CJ16</f>
        <v>0</v>
      </c>
      <c r="AV14" s="35">
        <f>'FS Desroches Daily'!CL16</f>
        <v>0</v>
      </c>
      <c r="AW14" s="35">
        <f>'FS Desroches Daily'!CM16</f>
        <v>0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0</v>
      </c>
      <c r="F15" s="36">
        <f>'FS Desroches Daily'!F17</f>
        <v>0</v>
      </c>
      <c r="G15" s="35">
        <f>'FS Desroches Daily'!H17</f>
        <v>0</v>
      </c>
      <c r="H15" s="36">
        <f>'FS Desroches Daily'!J17</f>
        <v>0</v>
      </c>
      <c r="I15" s="35">
        <f>'FS Desroches Daily'!L17</f>
        <v>0</v>
      </c>
      <c r="J15" s="36">
        <f>'FS Desroches Daily'!N17</f>
        <v>0</v>
      </c>
      <c r="K15" s="13">
        <f>'FS Desroches Daily'!P17</f>
        <v>0</v>
      </c>
      <c r="L15" s="35">
        <f>'FS Desroches Daily'!R17</f>
        <v>0</v>
      </c>
      <c r="M15" s="35">
        <f>'FS Desroches Daily'!T17</f>
        <v>0</v>
      </c>
      <c r="N15" s="35">
        <f>'FS Desroches Daily'!V17</f>
        <v>0</v>
      </c>
      <c r="O15" s="35">
        <f>'FS Desroches Daily'!X17</f>
        <v>0</v>
      </c>
      <c r="P15" s="35">
        <f>'FS Desroches Daily'!Z17</f>
        <v>0</v>
      </c>
      <c r="Q15" s="35">
        <f>'FS Desroches Daily'!AB17</f>
        <v>0</v>
      </c>
      <c r="R15" s="35">
        <f>'FS Desroches Daily'!AD17</f>
        <v>0</v>
      </c>
      <c r="S15" s="35">
        <f>'FS Desroches Daily'!AF17</f>
        <v>0</v>
      </c>
      <c r="T15" s="35">
        <f>'FS Desroches Daily'!AH17</f>
        <v>0</v>
      </c>
      <c r="U15" s="39">
        <f>'FS Desroches Daily'!AJ17</f>
        <v>0</v>
      </c>
      <c r="V15" s="39">
        <f>'FS Desroches Daily'!AL17</f>
        <v>0</v>
      </c>
      <c r="W15" s="39">
        <f>'FS Desroches Daily'!AN17</f>
        <v>0</v>
      </c>
      <c r="X15" s="39">
        <f>'FS Desroches Daily'!AP17</f>
        <v>0</v>
      </c>
      <c r="Y15" s="39">
        <f>'FS Desroches Daily'!AR17</f>
        <v>0</v>
      </c>
      <c r="Z15" s="39">
        <f>'FS Desroches Daily'!AT17</f>
        <v>0</v>
      </c>
      <c r="AA15" s="39">
        <f>'FS Desroches Daily'!AT17</f>
        <v>0</v>
      </c>
      <c r="AB15" s="39">
        <f>'FS Desroches Daily'!AV17</f>
        <v>0</v>
      </c>
      <c r="AC15" s="39">
        <f>'FS Desroches Daily'!AZ17</f>
        <v>0</v>
      </c>
      <c r="AD15" s="39">
        <f>'FS Desroches Daily'!BB17</f>
        <v>0</v>
      </c>
      <c r="AE15" s="39">
        <f>'FS Desroches Daily'!BD17</f>
        <v>0</v>
      </c>
      <c r="AF15" s="35">
        <f>'FS Desroches Daily'!BF17</f>
        <v>0</v>
      </c>
      <c r="AG15" s="36">
        <f>'FS Desroches Daily'!BH17</f>
        <v>0</v>
      </c>
      <c r="AH15" s="36">
        <f>'FS Desroches Daily'!BJ17</f>
        <v>0</v>
      </c>
      <c r="AI15" s="36">
        <f>'FS Desroches Daily'!BL17</f>
        <v>0</v>
      </c>
      <c r="AJ15" s="36">
        <f>'FS Desroches Daily'!BN17</f>
        <v>0</v>
      </c>
      <c r="AK15" s="36">
        <f>'FS Desroches Daily'!BP17</f>
        <v>0</v>
      </c>
      <c r="AL15" s="36">
        <f>'FS Desroches Daily'!BR17</f>
        <v>0</v>
      </c>
      <c r="AM15" s="36">
        <f>'FS Desroches Daily'!BT17</f>
        <v>0</v>
      </c>
      <c r="AN15" s="36">
        <f>'FS Desroches Daily'!BV17</f>
        <v>0</v>
      </c>
      <c r="AO15" s="36">
        <f>'FS Desroches Daily'!BX17</f>
        <v>0</v>
      </c>
      <c r="AP15" s="36">
        <f>'FS Desroches Daily'!BZ17</f>
        <v>0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0</v>
      </c>
      <c r="AU15" s="35">
        <f>'FS Desroches Daily'!CJ17</f>
        <v>0</v>
      </c>
      <c r="AV15" s="35">
        <f>'FS Desroches Daily'!CL17</f>
        <v>0</v>
      </c>
      <c r="AW15" s="35">
        <f>'FS Desroches Daily'!CM17</f>
        <v>0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0</v>
      </c>
      <c r="F16" s="36">
        <f>'FS Desroches Daily'!F18</f>
        <v>0</v>
      </c>
      <c r="G16" s="35">
        <f>'FS Desroches Daily'!H18</f>
        <v>0</v>
      </c>
      <c r="H16" s="36">
        <f>'FS Desroches Daily'!J18</f>
        <v>0</v>
      </c>
      <c r="I16" s="35">
        <f>'FS Desroches Daily'!L18</f>
        <v>0</v>
      </c>
      <c r="J16" s="36">
        <f>'FS Desroches Daily'!N18</f>
        <v>0</v>
      </c>
      <c r="K16" s="13">
        <f>'FS Desroches Daily'!P18</f>
        <v>0</v>
      </c>
      <c r="L16" s="35">
        <f>'FS Desroches Daily'!R18</f>
        <v>0</v>
      </c>
      <c r="M16" s="35">
        <f>'FS Desroches Daily'!T18</f>
        <v>0</v>
      </c>
      <c r="N16" s="35">
        <f>'FS Desroches Daily'!V18</f>
        <v>0</v>
      </c>
      <c r="O16" s="35">
        <f>'FS Desroches Daily'!X18</f>
        <v>0</v>
      </c>
      <c r="P16" s="35">
        <f>'FS Desroches Daily'!Z18</f>
        <v>0</v>
      </c>
      <c r="Q16" s="35">
        <f>'FS Desroches Daily'!AB18</f>
        <v>0</v>
      </c>
      <c r="R16" s="35">
        <f>'FS Desroches Daily'!AD18</f>
        <v>0</v>
      </c>
      <c r="S16" s="35">
        <f>'FS Desroches Daily'!AF18</f>
        <v>0</v>
      </c>
      <c r="T16" s="35">
        <f>'FS Desroches Daily'!AH18</f>
        <v>0</v>
      </c>
      <c r="U16" s="39">
        <f>'FS Desroches Daily'!AJ18</f>
        <v>0</v>
      </c>
      <c r="V16" s="39">
        <f>'FS Desroches Daily'!AL18</f>
        <v>0</v>
      </c>
      <c r="W16" s="39">
        <f>'FS Desroches Daily'!AN18</f>
        <v>0</v>
      </c>
      <c r="X16" s="39">
        <f>'FS Desroches Daily'!AP18</f>
        <v>0</v>
      </c>
      <c r="Y16" s="39">
        <f>'FS Desroches Daily'!AR18</f>
        <v>0</v>
      </c>
      <c r="Z16" s="39">
        <f>'FS Desroches Daily'!AT18</f>
        <v>0</v>
      </c>
      <c r="AA16" s="39">
        <f>'FS Desroches Daily'!AT18</f>
        <v>0</v>
      </c>
      <c r="AB16" s="39">
        <f>'FS Desroches Daily'!AV18</f>
        <v>0</v>
      </c>
      <c r="AC16" s="39">
        <f>'FS Desroches Daily'!AZ18</f>
        <v>0</v>
      </c>
      <c r="AD16" s="39">
        <f>'FS Desroches Daily'!BB18</f>
        <v>0</v>
      </c>
      <c r="AE16" s="39">
        <f>'FS Desroches Daily'!BD18</f>
        <v>0</v>
      </c>
      <c r="AF16" s="35">
        <f>'FS Desroches Daily'!BF18</f>
        <v>0</v>
      </c>
      <c r="AG16" s="36">
        <f>'FS Desroches Daily'!BH18</f>
        <v>0</v>
      </c>
      <c r="AH16" s="36">
        <f>'FS Desroches Daily'!BJ18</f>
        <v>0</v>
      </c>
      <c r="AI16" s="36">
        <f>'FS Desroches Daily'!BL18</f>
        <v>0</v>
      </c>
      <c r="AJ16" s="36">
        <f>'FS Desroches Daily'!BN18</f>
        <v>0</v>
      </c>
      <c r="AK16" s="36">
        <f>'FS Desroches Daily'!BP18</f>
        <v>0</v>
      </c>
      <c r="AL16" s="36">
        <f>'FS Desroches Daily'!BR18</f>
        <v>0</v>
      </c>
      <c r="AM16" s="36">
        <f>'FS Desroches Daily'!BT18</f>
        <v>0</v>
      </c>
      <c r="AN16" s="36">
        <f>'FS Desroches Daily'!BV18</f>
        <v>0</v>
      </c>
      <c r="AO16" s="36">
        <f>'FS Desroches Daily'!BX18</f>
        <v>0</v>
      </c>
      <c r="AP16" s="36">
        <f>'FS Desroches Daily'!BZ18</f>
        <v>0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0</v>
      </c>
      <c r="AU16" s="35">
        <f>'FS Desroches Daily'!CJ18</f>
        <v>0</v>
      </c>
      <c r="AV16" s="35">
        <f>'FS Desroches Daily'!CL18</f>
        <v>0</v>
      </c>
      <c r="AW16" s="35">
        <f>'FS Desroches Daily'!CM18</f>
        <v>0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0</v>
      </c>
      <c r="F17" s="36">
        <f>'FS Desroches Daily'!F19</f>
        <v>0</v>
      </c>
      <c r="G17" s="35">
        <f>'FS Desroches Daily'!H19</f>
        <v>0</v>
      </c>
      <c r="H17" s="36">
        <f>'FS Desroches Daily'!J19</f>
        <v>0</v>
      </c>
      <c r="I17" s="35">
        <f>'FS Desroches Daily'!L19</f>
        <v>0</v>
      </c>
      <c r="J17" s="36">
        <f>'FS Desroches Daily'!N19</f>
        <v>0</v>
      </c>
      <c r="K17" s="13">
        <f>'FS Desroches Daily'!P19</f>
        <v>0</v>
      </c>
      <c r="L17" s="35">
        <f>'FS Desroches Daily'!R19</f>
        <v>0</v>
      </c>
      <c r="M17" s="35">
        <f>'FS Desroches Daily'!T19</f>
        <v>0</v>
      </c>
      <c r="N17" s="35">
        <f>'FS Desroches Daily'!V19</f>
        <v>0</v>
      </c>
      <c r="O17" s="35">
        <f>'FS Desroches Daily'!X19</f>
        <v>0</v>
      </c>
      <c r="P17" s="35">
        <f>'FS Desroches Daily'!Z19</f>
        <v>0</v>
      </c>
      <c r="Q17" s="35">
        <f>'FS Desroches Daily'!AB19</f>
        <v>0</v>
      </c>
      <c r="R17" s="35">
        <f>'FS Desroches Daily'!AD19</f>
        <v>0</v>
      </c>
      <c r="S17" s="35">
        <f>'FS Desroches Daily'!AF19</f>
        <v>0</v>
      </c>
      <c r="T17" s="35">
        <f>'FS Desroches Daily'!AH19</f>
        <v>0</v>
      </c>
      <c r="U17" s="39">
        <f>'FS Desroches Daily'!AJ19</f>
        <v>0</v>
      </c>
      <c r="V17" s="39">
        <f>'FS Desroches Daily'!AL19</f>
        <v>0</v>
      </c>
      <c r="W17" s="39">
        <f>'FS Desroches Daily'!AN19</f>
        <v>0</v>
      </c>
      <c r="X17" s="39">
        <f>'FS Desroches Daily'!AP19</f>
        <v>0</v>
      </c>
      <c r="Y17" s="39">
        <f>'FS Desroches Daily'!AR19</f>
        <v>0</v>
      </c>
      <c r="Z17" s="39">
        <f>'FS Desroches Daily'!AU20</f>
        <v>0</v>
      </c>
      <c r="AA17" s="39">
        <f>'FS Desroches Daily'!AU20</f>
        <v>0</v>
      </c>
      <c r="AB17" s="39">
        <f>'FS Desroches Daily'!AV19</f>
        <v>0</v>
      </c>
      <c r="AC17" s="39">
        <f>'FS Desroches Daily'!AZ19</f>
        <v>0</v>
      </c>
      <c r="AD17" s="39">
        <f>'FS Desroches Daily'!BB19</f>
        <v>0</v>
      </c>
      <c r="AE17" s="39">
        <f>'FS Desroches Daily'!BD19</f>
        <v>0</v>
      </c>
      <c r="AF17" s="35">
        <f>'FS Desroches Daily'!BF19</f>
        <v>0</v>
      </c>
      <c r="AG17" s="36">
        <f>'FS Desroches Daily'!BH19</f>
        <v>0</v>
      </c>
      <c r="AH17" s="36">
        <f>'FS Desroches Daily'!BJ19</f>
        <v>0</v>
      </c>
      <c r="AI17" s="36">
        <f>'FS Desroches Daily'!BL19</f>
        <v>0</v>
      </c>
      <c r="AJ17" s="36">
        <f>'FS Desroches Daily'!BN19</f>
        <v>0</v>
      </c>
      <c r="AK17" s="36">
        <f>'FS Desroches Daily'!BP19</f>
        <v>0</v>
      </c>
      <c r="AL17" s="36">
        <f>'FS Desroches Daily'!BR19</f>
        <v>0</v>
      </c>
      <c r="AM17" s="36">
        <f>'FS Desroches Daily'!BT19</f>
        <v>0</v>
      </c>
      <c r="AN17" s="36">
        <f>'FS Desroches Daily'!BV19</f>
        <v>0</v>
      </c>
      <c r="AO17" s="36">
        <f>'FS Desroches Daily'!BX19</f>
        <v>0</v>
      </c>
      <c r="AP17" s="36">
        <f>'FS Desroches Daily'!BZ19</f>
        <v>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0</v>
      </c>
      <c r="AU17" s="35">
        <f>'FS Desroches Daily'!CJ19</f>
        <v>0</v>
      </c>
      <c r="AV17" s="35">
        <f>'FS Desroches Daily'!CL19</f>
        <v>0</v>
      </c>
      <c r="AW17" s="35">
        <f>'FS Desroches Daily'!CM19</f>
        <v>0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0</v>
      </c>
      <c r="F18" s="36">
        <f>'FS Desroches Daily'!F20</f>
        <v>0</v>
      </c>
      <c r="G18" s="35">
        <f>'FS Desroches Daily'!H20</f>
        <v>0</v>
      </c>
      <c r="H18" s="36">
        <f>'FS Desroches Daily'!J20</f>
        <v>0</v>
      </c>
      <c r="I18" s="35">
        <f>'FS Desroches Daily'!L20</f>
        <v>0</v>
      </c>
      <c r="J18" s="36">
        <f>'FS Desroches Daily'!N20</f>
        <v>0</v>
      </c>
      <c r="K18" s="13">
        <f>'FS Desroches Daily'!P20</f>
        <v>0</v>
      </c>
      <c r="L18" s="35">
        <f>'FS Desroches Daily'!R20</f>
        <v>0</v>
      </c>
      <c r="M18" s="35">
        <f>'FS Desroches Daily'!T20</f>
        <v>0</v>
      </c>
      <c r="N18" s="35">
        <f>'FS Desroches Daily'!V20</f>
        <v>0</v>
      </c>
      <c r="O18" s="35">
        <f>'FS Desroches Daily'!X20</f>
        <v>0</v>
      </c>
      <c r="P18" s="35">
        <f>'FS Desroches Daily'!Z20</f>
        <v>0</v>
      </c>
      <c r="Q18" s="35">
        <f>'FS Desroches Daily'!AB20</f>
        <v>0</v>
      </c>
      <c r="R18" s="35">
        <f>'FS Desroches Daily'!AD20</f>
        <v>0</v>
      </c>
      <c r="S18" s="35">
        <f>'FS Desroches Daily'!AF20</f>
        <v>0</v>
      </c>
      <c r="T18" s="35">
        <f>'FS Desroches Daily'!AH20</f>
        <v>0</v>
      </c>
      <c r="U18" s="39">
        <f>'FS Desroches Daily'!AJ20</f>
        <v>0</v>
      </c>
      <c r="V18" s="39">
        <f>'FS Desroches Daily'!AL20</f>
        <v>0</v>
      </c>
      <c r="W18" s="39">
        <f>'FS Desroches Daily'!AN20</f>
        <v>0</v>
      </c>
      <c r="X18" s="39">
        <f>'FS Desroches Daily'!AP20</f>
        <v>0</v>
      </c>
      <c r="Y18" s="39">
        <f>'FS Desroches Daily'!AR20</f>
        <v>0</v>
      </c>
      <c r="Z18" s="39">
        <f>'FS Desroches Daily'!AT20</f>
        <v>0</v>
      </c>
      <c r="AA18" s="39">
        <f>'FS Desroches Daily'!AT20</f>
        <v>0</v>
      </c>
      <c r="AB18" s="39">
        <f>'FS Desroches Daily'!AV20</f>
        <v>0</v>
      </c>
      <c r="AC18" s="39">
        <f>'FS Desroches Daily'!AZ20</f>
        <v>0</v>
      </c>
      <c r="AD18" s="39">
        <f>'FS Desroches Daily'!BB20</f>
        <v>0</v>
      </c>
      <c r="AE18" s="39">
        <f>'FS Desroches Daily'!BD20</f>
        <v>0</v>
      </c>
      <c r="AF18" s="35">
        <f>'FS Desroches Daily'!BF20</f>
        <v>0</v>
      </c>
      <c r="AG18" s="36">
        <f>'FS Desroches Daily'!BH20</f>
        <v>0</v>
      </c>
      <c r="AH18" s="36">
        <f>'FS Desroches Daily'!BJ20</f>
        <v>0</v>
      </c>
      <c r="AI18" s="36">
        <f>'FS Desroches Daily'!BL20</f>
        <v>0</v>
      </c>
      <c r="AJ18" s="36">
        <f>'FS Desroches Daily'!BN20</f>
        <v>0</v>
      </c>
      <c r="AK18" s="36">
        <f>'FS Desroches Daily'!BP20</f>
        <v>0</v>
      </c>
      <c r="AL18" s="36">
        <f>'FS Desroches Daily'!BR20</f>
        <v>0</v>
      </c>
      <c r="AM18" s="36">
        <f>'FS Desroches Daily'!BT20</f>
        <v>0</v>
      </c>
      <c r="AN18" s="36">
        <f>'FS Desroches Daily'!BV20</f>
        <v>0</v>
      </c>
      <c r="AO18" s="36">
        <f>'FS Desroches Daily'!BX20</f>
        <v>0</v>
      </c>
      <c r="AP18" s="36">
        <f>'FS Desroches Daily'!BZ20</f>
        <v>0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0</v>
      </c>
      <c r="AU18" s="35">
        <f>'FS Desroches Daily'!CJ20</f>
        <v>0</v>
      </c>
      <c r="AV18" s="35">
        <f>'FS Desroches Daily'!CL20</f>
        <v>0</v>
      </c>
      <c r="AW18" s="35">
        <f>'FS Desroches Daily'!CM20</f>
        <v>0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0</v>
      </c>
      <c r="F19" s="36">
        <f>'FS Desroches Daily'!F21</f>
        <v>0</v>
      </c>
      <c r="G19" s="35">
        <f>'FS Desroches Daily'!H21</f>
        <v>0</v>
      </c>
      <c r="H19" s="36">
        <f>'FS Desroches Daily'!J21</f>
        <v>0</v>
      </c>
      <c r="I19" s="35">
        <f>'FS Desroches Daily'!L21</f>
        <v>0</v>
      </c>
      <c r="J19" s="36">
        <f>'FS Desroches Daily'!N21</f>
        <v>0</v>
      </c>
      <c r="K19" s="13">
        <f>'FS Desroches Daily'!P21</f>
        <v>0</v>
      </c>
      <c r="L19" s="35">
        <f>'FS Desroches Daily'!R21</f>
        <v>0</v>
      </c>
      <c r="M19" s="35">
        <f>'FS Desroches Daily'!T21</f>
        <v>0</v>
      </c>
      <c r="N19" s="35">
        <f>'FS Desroches Daily'!V21</f>
        <v>0</v>
      </c>
      <c r="O19" s="35">
        <f>'FS Desroches Daily'!X21</f>
        <v>0</v>
      </c>
      <c r="P19" s="35">
        <f>'FS Desroches Daily'!Z21</f>
        <v>0</v>
      </c>
      <c r="Q19" s="35">
        <f>'FS Desroches Daily'!AB21</f>
        <v>0</v>
      </c>
      <c r="R19" s="35">
        <f>'FS Desroches Daily'!AD21</f>
        <v>0</v>
      </c>
      <c r="S19" s="35">
        <f>'FS Desroches Daily'!AF21</f>
        <v>0</v>
      </c>
      <c r="T19" s="35">
        <f>'FS Desroches Daily'!AH21</f>
        <v>0</v>
      </c>
      <c r="U19" s="39">
        <f>'FS Desroches Daily'!AJ21</f>
        <v>0</v>
      </c>
      <c r="V19" s="39">
        <f>'FS Desroches Daily'!AL21</f>
        <v>0</v>
      </c>
      <c r="W19" s="39">
        <f>'FS Desroches Daily'!AN21</f>
        <v>0</v>
      </c>
      <c r="X19" s="39">
        <f>'FS Desroches Daily'!AP21</f>
        <v>0</v>
      </c>
      <c r="Y19" s="39">
        <f>'FS Desroches Daily'!AR21</f>
        <v>0</v>
      </c>
      <c r="Z19" s="39">
        <f>'FS Desroches Daily'!AT21</f>
        <v>0</v>
      </c>
      <c r="AA19" s="39">
        <f>'FS Desroches Daily'!AT21</f>
        <v>0</v>
      </c>
      <c r="AB19" s="39">
        <f>'FS Desroches Daily'!AV21</f>
        <v>0</v>
      </c>
      <c r="AC19" s="39">
        <f>'FS Desroches Daily'!AZ21</f>
        <v>0</v>
      </c>
      <c r="AD19" s="39">
        <f>'FS Desroches Daily'!BB21</f>
        <v>0</v>
      </c>
      <c r="AE19" s="39">
        <f>'FS Desroches Daily'!BD21</f>
        <v>0</v>
      </c>
      <c r="AF19" s="35">
        <f>'FS Desroches Daily'!BF21</f>
        <v>0</v>
      </c>
      <c r="AG19" s="36">
        <f>'FS Desroches Daily'!BH21</f>
        <v>0</v>
      </c>
      <c r="AH19" s="36">
        <f>'FS Desroches Daily'!BJ21</f>
        <v>0</v>
      </c>
      <c r="AI19" s="36">
        <f>'FS Desroches Daily'!BL21</f>
        <v>0</v>
      </c>
      <c r="AJ19" s="36">
        <f>'FS Desroches Daily'!BN21</f>
        <v>0</v>
      </c>
      <c r="AK19" s="36">
        <f>'FS Desroches Daily'!BP21</f>
        <v>0</v>
      </c>
      <c r="AL19" s="36">
        <f>'FS Desroches Daily'!BR21</f>
        <v>0</v>
      </c>
      <c r="AM19" s="36">
        <f>'FS Desroches Daily'!BT21</f>
        <v>0</v>
      </c>
      <c r="AN19" s="36">
        <f>'FS Desroches Daily'!BV21</f>
        <v>0</v>
      </c>
      <c r="AO19" s="36">
        <f>'FS Desroches Daily'!BX21</f>
        <v>0</v>
      </c>
      <c r="AP19" s="36">
        <f>'FS Desroches Daily'!BZ21</f>
        <v>0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0</v>
      </c>
      <c r="AU19" s="35">
        <f>'FS Desroches Daily'!CJ21</f>
        <v>0</v>
      </c>
      <c r="AV19" s="35">
        <f>'FS Desroches Daily'!CL21</f>
        <v>0</v>
      </c>
      <c r="AW19" s="35">
        <f>'FS Desroches Daily'!CM21</f>
        <v>0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>
        <f>'FS Desroches Daily'!D22</f>
        <v>0</v>
      </c>
      <c r="F20" s="36">
        <f>'FS Desroches Daily'!F22</f>
        <v>0</v>
      </c>
      <c r="G20" s="35">
        <f>'FS Desroches Daily'!H22</f>
        <v>0</v>
      </c>
      <c r="H20" s="36">
        <f>'FS Desroches Daily'!J22</f>
        <v>0</v>
      </c>
      <c r="I20" s="35">
        <f>'FS Desroches Daily'!L22</f>
        <v>0</v>
      </c>
      <c r="J20" s="36">
        <f>'FS Desroches Daily'!N22</f>
        <v>0</v>
      </c>
      <c r="K20" s="13">
        <f>'FS Desroches Daily'!P22</f>
        <v>0</v>
      </c>
      <c r="L20" s="35">
        <f>'FS Desroches Daily'!R22</f>
        <v>0</v>
      </c>
      <c r="M20" s="35">
        <f>'FS Desroches Daily'!T22</f>
        <v>0</v>
      </c>
      <c r="N20" s="35">
        <f>'FS Desroches Daily'!V22</f>
        <v>0</v>
      </c>
      <c r="O20" s="35">
        <f>'FS Desroches Daily'!X22</f>
        <v>0</v>
      </c>
      <c r="P20" s="35">
        <f>'FS Desroches Daily'!Z22</f>
        <v>0</v>
      </c>
      <c r="Q20" s="35">
        <f>'FS Desroches Daily'!AB22</f>
        <v>0</v>
      </c>
      <c r="R20" s="35">
        <f>'FS Desroches Daily'!AD22</f>
        <v>0</v>
      </c>
      <c r="S20" s="35">
        <f>'FS Desroches Daily'!AF22</f>
        <v>0</v>
      </c>
      <c r="T20" s="35">
        <f>'FS Desroches Daily'!AH22</f>
        <v>0</v>
      </c>
      <c r="U20" s="39">
        <f>'FS Desroches Daily'!AJ22</f>
        <v>0</v>
      </c>
      <c r="V20" s="39">
        <f>'FS Desroches Daily'!AL22</f>
        <v>0</v>
      </c>
      <c r="W20" s="39">
        <f>'FS Desroches Daily'!AN22</f>
        <v>0</v>
      </c>
      <c r="X20" s="39">
        <f>'FS Desroches Daily'!AP22</f>
        <v>0</v>
      </c>
      <c r="Y20" s="39">
        <f>'FS Desroches Daily'!AR22</f>
        <v>0</v>
      </c>
      <c r="Z20" s="39">
        <f>'FS Desroches Daily'!AT22</f>
        <v>0</v>
      </c>
      <c r="AA20" s="39">
        <f>'FS Desroches Daily'!AT22</f>
        <v>0</v>
      </c>
      <c r="AB20" s="39">
        <f>'FS Desroches Daily'!AV22</f>
        <v>0</v>
      </c>
      <c r="AC20" s="39">
        <f>'FS Desroches Daily'!AZ22</f>
        <v>0</v>
      </c>
      <c r="AD20" s="39">
        <f>'FS Desroches Daily'!BB22</f>
        <v>0</v>
      </c>
      <c r="AE20" s="39">
        <f>'FS Desroches Daily'!BD22</f>
        <v>0</v>
      </c>
      <c r="AF20" s="35">
        <f>'FS Desroches Daily'!BF22</f>
        <v>0</v>
      </c>
      <c r="AG20" s="36">
        <f>'FS Desroches Daily'!BH22</f>
        <v>0</v>
      </c>
      <c r="AH20" s="36">
        <f>'FS Desroches Daily'!BJ22</f>
        <v>0</v>
      </c>
      <c r="AI20" s="36">
        <f>'FS Desroches Daily'!BL22</f>
        <v>0</v>
      </c>
      <c r="AJ20" s="36">
        <f>'FS Desroches Daily'!BN22</f>
        <v>0</v>
      </c>
      <c r="AK20" s="36">
        <f>'FS Desroches Daily'!BP22</f>
        <v>0</v>
      </c>
      <c r="AL20" s="36">
        <f>'FS Desroches Daily'!BR22</f>
        <v>0</v>
      </c>
      <c r="AM20" s="36">
        <f>'FS Desroches Daily'!BT22</f>
        <v>0</v>
      </c>
      <c r="AN20" s="36">
        <f>'FS Desroches Daily'!BV22</f>
        <v>0</v>
      </c>
      <c r="AO20" s="36">
        <f>'FS Desroches Daily'!BX22</f>
        <v>0</v>
      </c>
      <c r="AP20" s="36">
        <f>'FS Desroches Daily'!BZ22</f>
        <v>0</v>
      </c>
      <c r="AQ20" s="35">
        <f>'FS Desroches Daily'!CB22</f>
        <v>0</v>
      </c>
      <c r="AR20" s="35">
        <f>'FS Desroches Daily'!CD22</f>
        <v>0</v>
      </c>
      <c r="AS20" s="35">
        <f>'FS Desroches Daily'!CF22</f>
        <v>0</v>
      </c>
      <c r="AT20" s="35">
        <f>'FS Desroches Daily'!CH22</f>
        <v>0</v>
      </c>
      <c r="AU20" s="35">
        <f>'FS Desroches Daily'!CJ22</f>
        <v>0</v>
      </c>
      <c r="AV20" s="35">
        <f>'FS Desroches Daily'!CL22</f>
        <v>0</v>
      </c>
      <c r="AW20" s="35">
        <f>'FS Desroches Daily'!CM22</f>
        <v>0</v>
      </c>
      <c r="AX20" s="35">
        <f>IF(LPG!F27-LPG!F26&lt;0,"0",(LPG!F27-LPG!F26)*1.8315)</f>
        <v>0</v>
      </c>
      <c r="AY20" s="35">
        <f>IF(LPG!H27-LPG!H26&lt;0,"0",(LPG!H27-LPG!H26)*1.8315)</f>
        <v>0</v>
      </c>
      <c r="AZ20" s="35">
        <f>IF(LPG!J27-LPG!J26&lt;0,"0",(LPG!J27-LPG!J26)*1.8315)</f>
        <v>0</v>
      </c>
      <c r="BA20" s="35">
        <f>IF(LPG!M27-LPG!M26&lt;0,"0",(LPG!M27-LPG!M26)*1.8315)</f>
        <v>0</v>
      </c>
      <c r="BB20" s="35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6000.0000000000045</v>
      </c>
      <c r="F33" s="17">
        <f t="shared" ref="F33:BC33" si="1">SUM(F2:F32)</f>
        <v>4100.0000000002146</v>
      </c>
      <c r="G33" s="17">
        <f t="shared" si="1"/>
        <v>7699.9999999998181</v>
      </c>
      <c r="H33" s="17">
        <f t="shared" si="1"/>
        <v>5699.9999999998163</v>
      </c>
      <c r="I33" s="17">
        <f t="shared" si="1"/>
        <v>9699.9999999998199</v>
      </c>
      <c r="J33" s="17">
        <f t="shared" si="1"/>
        <v>4299.9999999999709</v>
      </c>
      <c r="K33" s="17">
        <f t="shared" si="1"/>
        <v>4</v>
      </c>
      <c r="L33" s="17">
        <f t="shared" si="1"/>
        <v>19</v>
      </c>
      <c r="M33" s="17">
        <f t="shared" si="1"/>
        <v>1114</v>
      </c>
      <c r="N33" s="17">
        <f t="shared" si="1"/>
        <v>644</v>
      </c>
      <c r="O33" s="17">
        <f t="shared" si="1"/>
        <v>720.00000000008413</v>
      </c>
      <c r="P33" s="17">
        <f t="shared" si="1"/>
        <v>2699.999999999925</v>
      </c>
      <c r="Q33" s="17">
        <f t="shared" si="1"/>
        <v>439.99999999999773</v>
      </c>
      <c r="R33" s="17">
        <f t="shared" si="1"/>
        <v>1209.9999999999795</v>
      </c>
      <c r="S33" s="17">
        <f t="shared" si="1"/>
        <v>2230.0000000000182</v>
      </c>
      <c r="T33" s="17">
        <f t="shared" si="1"/>
        <v>4.2000000000000455</v>
      </c>
      <c r="U33" s="39">
        <f t="shared" si="1"/>
        <v>1189.9999999999977</v>
      </c>
      <c r="V33" s="39">
        <f t="shared" si="1"/>
        <v>0.65000000000000568</v>
      </c>
      <c r="W33" s="39">
        <f t="shared" si="1"/>
        <v>0.58000000000001251</v>
      </c>
      <c r="X33" s="39">
        <f t="shared" si="1"/>
        <v>0.53000000000000114</v>
      </c>
      <c r="Y33" s="39">
        <f t="shared" si="1"/>
        <v>329.99999999998408</v>
      </c>
      <c r="Z33" s="39">
        <f t="shared" si="1"/>
        <v>399.99999999997726</v>
      </c>
      <c r="AA33" s="39">
        <f t="shared" si="1"/>
        <v>399.99999999997726</v>
      </c>
      <c r="AB33" s="39">
        <f t="shared" si="1"/>
        <v>339.99999999997499</v>
      </c>
      <c r="AC33" s="39">
        <f t="shared" si="1"/>
        <v>339.99999999997499</v>
      </c>
      <c r="AD33" s="39">
        <f t="shared" si="1"/>
        <v>329.99999999998408</v>
      </c>
      <c r="AE33" s="39">
        <f t="shared" si="1"/>
        <v>60.000000000002274</v>
      </c>
      <c r="AF33" s="17">
        <f t="shared" si="1"/>
        <v>112</v>
      </c>
      <c r="AG33" s="36">
        <f t="shared" si="1"/>
        <v>150.00000000000568</v>
      </c>
      <c r="AH33" s="36">
        <f t="shared" si="1"/>
        <v>149.99999999997726</v>
      </c>
      <c r="AI33" s="36">
        <f t="shared" si="1"/>
        <v>140.00000000001478</v>
      </c>
      <c r="AJ33" s="36">
        <f t="shared" si="1"/>
        <v>189.99999999999773</v>
      </c>
      <c r="AK33" s="36">
        <f t="shared" si="1"/>
        <v>220.00000000002728</v>
      </c>
      <c r="AL33" s="36">
        <f t="shared" si="1"/>
        <v>99</v>
      </c>
      <c r="AM33" s="36">
        <f t="shared" si="1"/>
        <v>99.999999999994316</v>
      </c>
      <c r="AN33" s="36">
        <f t="shared" si="1"/>
        <v>114</v>
      </c>
      <c r="AO33" s="36">
        <f t="shared" si="1"/>
        <v>170.00000000001592</v>
      </c>
      <c r="AP33" s="36">
        <f t="shared" si="1"/>
        <v>181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221.40000000000146</v>
      </c>
      <c r="AU33" s="17">
        <f t="shared" si="1"/>
        <v>1224</v>
      </c>
      <c r="AV33" s="17">
        <f t="shared" si="1"/>
        <v>1560.0000000000591</v>
      </c>
      <c r="AW33" s="17">
        <f t="shared" si="1"/>
        <v>107.4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25.640999999999995</v>
      </c>
      <c r="BC33" s="17">
        <f t="shared" si="1"/>
        <v>0</v>
      </c>
    </row>
    <row r="35" spans="5:55" x14ac:dyDescent="0.25">
      <c r="E35" s="42">
        <f>E33/E37</f>
        <v>0.31682331819622239</v>
      </c>
      <c r="G35" s="33">
        <f>G33-M36</f>
        <v>5941.9999999998181</v>
      </c>
      <c r="AE35" s="39">
        <f>SUM(U33:AE33)</f>
        <v>3391.7599999998729</v>
      </c>
      <c r="AG35" s="36">
        <f>SUM(AG33:AP33)</f>
        <v>1514.000000000033</v>
      </c>
    </row>
    <row r="36" spans="5:55" x14ac:dyDescent="0.25">
      <c r="G36" s="33">
        <f>G35-633*14</f>
        <v>-2920.0000000001819</v>
      </c>
      <c r="M36" s="33">
        <f>M33+N33</f>
        <v>1758</v>
      </c>
    </row>
    <row r="37" spans="5:55" x14ac:dyDescent="0.25">
      <c r="E37" s="17">
        <f>E33+F33+G33+H33+J33-633*14</f>
        <v>18937.999999999825</v>
      </c>
      <c r="G37" s="41">
        <f>M36/E37</f>
        <v>9.28292322314931E-2</v>
      </c>
      <c r="M37" s="39">
        <f>AE35</f>
        <v>3391.7599999998729</v>
      </c>
    </row>
    <row r="38" spans="5:55" x14ac:dyDescent="0.25">
      <c r="L38" s="31">
        <f>M38/E37</f>
        <v>7.9945083958181798E-2</v>
      </c>
      <c r="M38" s="33">
        <f>AG35</f>
        <v>1514.000000000033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2" activePane="bottomLeft" state="frozen"/>
      <selection pane="bottomLeft" activeCell="CM8" sqref="CM8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5119</v>
      </c>
      <c r="R5" s="72">
        <f t="shared" ref="R5:R34" si="8">IF((Q5-Q4&lt;0), "",Q5-Q4)</f>
        <v>3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6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/>
      <c r="D8" s="71" t="str">
        <f t="shared" si="3"/>
        <v>0</v>
      </c>
      <c r="E8" s="64"/>
      <c r="F8" s="71" t="str">
        <f t="shared" si="4"/>
        <v>0</v>
      </c>
      <c r="G8" s="64"/>
      <c r="H8" s="71" t="str">
        <f t="shared" si="5"/>
        <v>0</v>
      </c>
      <c r="I8" s="64"/>
      <c r="J8" s="71" t="str">
        <f>IF((I8-I7&lt;0), "0",(I8-I7)*1000000)</f>
        <v>0</v>
      </c>
      <c r="K8" s="64"/>
      <c r="L8" s="71" t="str">
        <f t="shared" si="0"/>
        <v>0</v>
      </c>
      <c r="M8" s="64"/>
      <c r="N8" s="71" t="str">
        <f t="shared" si="6"/>
        <v/>
      </c>
      <c r="O8" s="64"/>
      <c r="P8" s="72" t="str">
        <f t="shared" si="7"/>
        <v/>
      </c>
      <c r="Q8" s="64"/>
      <c r="R8" s="72" t="str">
        <f t="shared" si="8"/>
        <v/>
      </c>
      <c r="S8" s="64"/>
      <c r="T8" s="71" t="str">
        <f t="shared" si="9"/>
        <v/>
      </c>
      <c r="U8" s="64"/>
      <c r="V8" s="72" t="str">
        <f t="shared" si="10"/>
        <v/>
      </c>
      <c r="W8" s="64"/>
      <c r="X8" s="72" t="str">
        <f t="shared" si="23"/>
        <v/>
      </c>
      <c r="Y8" s="64"/>
      <c r="Z8" s="72" t="str">
        <f t="shared" si="24"/>
        <v/>
      </c>
      <c r="AA8" s="64"/>
      <c r="AB8" s="72" t="str">
        <f t="shared" si="25"/>
        <v/>
      </c>
      <c r="AC8" s="64"/>
      <c r="AD8" s="72" t="str">
        <f t="shared" si="26"/>
        <v/>
      </c>
      <c r="AE8" s="64"/>
      <c r="AF8" s="72" t="str">
        <f t="shared" si="27"/>
        <v/>
      </c>
      <c r="AG8" s="64"/>
      <c r="AH8" s="72" t="str">
        <f t="shared" si="11"/>
        <v/>
      </c>
      <c r="AI8" s="64"/>
      <c r="AJ8" s="72" t="str">
        <f t="shared" si="28"/>
        <v/>
      </c>
      <c r="AK8" s="64"/>
      <c r="AL8" s="72" t="str">
        <f t="shared" si="12"/>
        <v/>
      </c>
      <c r="AM8" s="64"/>
      <c r="AN8" s="72" t="str">
        <f t="shared" si="13"/>
        <v/>
      </c>
      <c r="AO8" s="64"/>
      <c r="AP8" s="72" t="str">
        <f t="shared" si="14"/>
        <v/>
      </c>
      <c r="AQ8" s="64"/>
      <c r="AR8" s="72" t="str">
        <f t="shared" si="29"/>
        <v/>
      </c>
      <c r="AS8" s="64"/>
      <c r="AT8" s="72" t="str">
        <f t="shared" si="30"/>
        <v/>
      </c>
      <c r="AU8" s="64"/>
      <c r="AV8" s="72" t="str">
        <f t="shared" si="31"/>
        <v/>
      </c>
      <c r="AW8" s="64"/>
      <c r="AX8" s="72" t="str">
        <f t="shared" si="32"/>
        <v/>
      </c>
      <c r="AY8" s="64"/>
      <c r="AZ8" s="72" t="str">
        <f t="shared" si="33"/>
        <v/>
      </c>
      <c r="BA8" s="64"/>
      <c r="BB8" s="72" t="str">
        <f t="shared" si="34"/>
        <v/>
      </c>
      <c r="BC8" s="64"/>
      <c r="BD8" s="72" t="str">
        <f t="shared" si="35"/>
        <v/>
      </c>
      <c r="BE8" s="66"/>
      <c r="BF8" s="72" t="str">
        <f t="shared" si="15"/>
        <v/>
      </c>
      <c r="BG8" s="67"/>
      <c r="BH8" s="72" t="str">
        <f t="shared" si="36"/>
        <v/>
      </c>
      <c r="BI8" s="67"/>
      <c r="BJ8" s="72" t="str">
        <f t="shared" si="37"/>
        <v/>
      </c>
      <c r="BK8" s="67"/>
      <c r="BL8" s="72" t="str">
        <f t="shared" si="38"/>
        <v/>
      </c>
      <c r="BM8" s="67"/>
      <c r="BN8" s="72" t="str">
        <f t="shared" si="39"/>
        <v/>
      </c>
      <c r="BO8" s="67"/>
      <c r="BP8" s="72" t="str">
        <f t="shared" si="40"/>
        <v/>
      </c>
      <c r="BQ8" s="67"/>
      <c r="BR8" s="72" t="str">
        <f t="shared" si="16"/>
        <v/>
      </c>
      <c r="BS8" s="67"/>
      <c r="BT8" s="72" t="str">
        <f t="shared" si="41"/>
        <v/>
      </c>
      <c r="BU8" s="67"/>
      <c r="BV8" s="72" t="str">
        <f t="shared" si="1"/>
        <v/>
      </c>
      <c r="BW8" s="67"/>
      <c r="BX8" s="72" t="str">
        <f t="shared" si="42"/>
        <v/>
      </c>
      <c r="BY8" s="67"/>
      <c r="BZ8" s="72" t="str">
        <f t="shared" si="17"/>
        <v/>
      </c>
      <c r="CA8" s="67"/>
      <c r="CB8" s="72" t="str">
        <f t="shared" si="18"/>
        <v/>
      </c>
      <c r="CC8" s="67"/>
      <c r="CD8" s="72" t="str">
        <f t="shared" si="19"/>
        <v/>
      </c>
      <c r="CE8" s="67"/>
      <c r="CF8" s="72" t="str">
        <f t="shared" si="20"/>
        <v/>
      </c>
      <c r="CG8" s="67"/>
      <c r="CH8" s="72" t="str">
        <f t="shared" si="21"/>
        <v/>
      </c>
      <c r="CI8" s="67"/>
      <c r="CJ8" s="72" t="str">
        <f t="shared" si="2"/>
        <v/>
      </c>
      <c r="CK8" s="67"/>
      <c r="CL8" s="71" t="str">
        <f t="shared" si="22"/>
        <v/>
      </c>
      <c r="CM8" s="72"/>
      <c r="CN8" s="69"/>
      <c r="CO8" s="69"/>
    </row>
    <row r="9" spans="1:93" ht="25.5" customHeight="1" thickBot="1" x14ac:dyDescent="0.45">
      <c r="A9" s="70">
        <v>43927</v>
      </c>
      <c r="B9" s="48"/>
      <c r="C9" s="64"/>
      <c r="D9" s="71">
        <f t="shared" si="3"/>
        <v>0</v>
      </c>
      <c r="E9" s="64"/>
      <c r="F9" s="71">
        <f t="shared" si="4"/>
        <v>0</v>
      </c>
      <c r="G9" s="64"/>
      <c r="H9" s="71">
        <f t="shared" si="5"/>
        <v>0</v>
      </c>
      <c r="I9" s="64"/>
      <c r="J9" s="71">
        <f t="shared" ref="J9:J34" si="43">IF((I9-I8&lt;0), "0",(I9-I8)*1000000)</f>
        <v>0</v>
      </c>
      <c r="K9" s="64"/>
      <c r="L9" s="71">
        <f t="shared" si="0"/>
        <v>0</v>
      </c>
      <c r="M9" s="64"/>
      <c r="N9" s="71">
        <f>IF((M9-M8&lt;0), "0",(M9-M8)*1000000)</f>
        <v>0</v>
      </c>
      <c r="O9" s="64"/>
      <c r="P9" s="72">
        <f>IF((O9-O8&lt;0), "0",O9-O8)</f>
        <v>0</v>
      </c>
      <c r="Q9" s="64"/>
      <c r="R9" s="72">
        <f>IF((Q9-Q8&lt;0), "0",Q9-Q8)</f>
        <v>0</v>
      </c>
      <c r="S9" s="64"/>
      <c r="T9" s="72">
        <f>IF((S9-S8&lt;0), "0",S9-S8)</f>
        <v>0</v>
      </c>
      <c r="U9" s="64"/>
      <c r="V9" s="72">
        <f>IF((U9-U8&lt;0), "0",U9-U8)</f>
        <v>0</v>
      </c>
      <c r="W9" s="64"/>
      <c r="X9" s="72">
        <f t="shared" si="23"/>
        <v>0</v>
      </c>
      <c r="Y9" s="64"/>
      <c r="Z9" s="72">
        <f t="shared" si="24"/>
        <v>0</v>
      </c>
      <c r="AA9" s="64"/>
      <c r="AB9" s="72">
        <f t="shared" si="25"/>
        <v>0</v>
      </c>
      <c r="AC9" s="64"/>
      <c r="AD9" s="72">
        <f t="shared" si="26"/>
        <v>0</v>
      </c>
      <c r="AE9" s="64"/>
      <c r="AF9" s="72">
        <f t="shared" si="27"/>
        <v>0</v>
      </c>
      <c r="AG9" s="64"/>
      <c r="AH9" s="72">
        <f>IF((AG9-AG8&lt;0), "0",AG9-AG8)</f>
        <v>0</v>
      </c>
      <c r="AI9" s="64"/>
      <c r="AJ9" s="72">
        <f t="shared" si="28"/>
        <v>0</v>
      </c>
      <c r="AK9" s="64"/>
      <c r="AL9" s="72">
        <f>IF((AK9-AK8&lt;0), "0",AK9-AK8)</f>
        <v>0</v>
      </c>
      <c r="AM9" s="64"/>
      <c r="AN9" s="72">
        <f>IF((AM9-AM8&lt;0), "0",AM9-AM8)</f>
        <v>0</v>
      </c>
      <c r="AO9" s="64"/>
      <c r="AP9" s="72">
        <f t="shared" si="14"/>
        <v>0</v>
      </c>
      <c r="AQ9" s="64"/>
      <c r="AR9" s="72">
        <f t="shared" si="29"/>
        <v>0</v>
      </c>
      <c r="AS9" s="64"/>
      <c r="AT9" s="72">
        <f t="shared" si="30"/>
        <v>0</v>
      </c>
      <c r="AU9" s="64"/>
      <c r="AV9" s="72">
        <f t="shared" si="31"/>
        <v>0</v>
      </c>
      <c r="AW9" s="64"/>
      <c r="AX9" s="72">
        <f t="shared" si="32"/>
        <v>0</v>
      </c>
      <c r="AY9" s="64"/>
      <c r="AZ9" s="72">
        <f t="shared" si="33"/>
        <v>0</v>
      </c>
      <c r="BA9" s="64"/>
      <c r="BB9" s="72">
        <f t="shared" si="34"/>
        <v>0</v>
      </c>
      <c r="BC9" s="64"/>
      <c r="BD9" s="72">
        <f t="shared" si="35"/>
        <v>0</v>
      </c>
      <c r="BE9" s="66"/>
      <c r="BF9" s="72">
        <f t="shared" si="15"/>
        <v>0</v>
      </c>
      <c r="BG9" s="67"/>
      <c r="BH9" s="72">
        <f t="shared" si="36"/>
        <v>0</v>
      </c>
      <c r="BI9" s="67"/>
      <c r="BJ9" s="72">
        <f t="shared" si="37"/>
        <v>0</v>
      </c>
      <c r="BK9" s="67"/>
      <c r="BL9" s="72">
        <f t="shared" si="38"/>
        <v>0</v>
      </c>
      <c r="BM9" s="67"/>
      <c r="BN9" s="72">
        <f t="shared" si="39"/>
        <v>0</v>
      </c>
      <c r="BO9" s="67"/>
      <c r="BP9" s="72">
        <f t="shared" si="40"/>
        <v>0</v>
      </c>
      <c r="BQ9" s="67"/>
      <c r="BR9" s="72">
        <f t="shared" si="16"/>
        <v>0</v>
      </c>
      <c r="BS9" s="67"/>
      <c r="BT9" s="72">
        <f t="shared" si="41"/>
        <v>0</v>
      </c>
      <c r="BU9" s="67"/>
      <c r="BV9" s="72">
        <f t="shared" si="1"/>
        <v>0</v>
      </c>
      <c r="BW9" s="67"/>
      <c r="BX9" s="72">
        <f t="shared" si="42"/>
        <v>0</v>
      </c>
      <c r="BY9" s="67"/>
      <c r="BZ9" s="72">
        <f t="shared" si="17"/>
        <v>0</v>
      </c>
      <c r="CA9" s="67"/>
      <c r="CB9" s="72">
        <f t="shared" si="18"/>
        <v>0</v>
      </c>
      <c r="CC9" s="67"/>
      <c r="CD9" s="72">
        <f t="shared" si="19"/>
        <v>0</v>
      </c>
      <c r="CE9" s="67"/>
      <c r="CF9" s="72">
        <f t="shared" si="20"/>
        <v>0</v>
      </c>
      <c r="CG9" s="67"/>
      <c r="CH9" s="72">
        <f t="shared" si="21"/>
        <v>0</v>
      </c>
      <c r="CI9" s="67"/>
      <c r="CJ9" s="72">
        <f t="shared" si="2"/>
        <v>0</v>
      </c>
      <c r="CK9" s="67"/>
      <c r="CL9" s="71">
        <f>IF((CK9-CK8&lt;0), "0",(CK9-CK8)*1000)</f>
        <v>0</v>
      </c>
      <c r="CM9" s="72"/>
      <c r="CN9" s="69"/>
      <c r="CO9" s="69"/>
    </row>
    <row r="10" spans="1:93" ht="25.5" customHeight="1" thickBot="1" x14ac:dyDescent="0.45">
      <c r="A10" s="70">
        <v>43928</v>
      </c>
      <c r="B10" s="48"/>
      <c r="C10" s="64"/>
      <c r="D10" s="71">
        <f t="shared" si="3"/>
        <v>0</v>
      </c>
      <c r="E10" s="64"/>
      <c r="F10" s="71">
        <f t="shared" si="4"/>
        <v>0</v>
      </c>
      <c r="G10" s="64"/>
      <c r="H10" s="71">
        <f t="shared" si="5"/>
        <v>0</v>
      </c>
      <c r="I10" s="64"/>
      <c r="J10" s="71">
        <f t="shared" si="43"/>
        <v>0</v>
      </c>
      <c r="K10" s="64"/>
      <c r="L10" s="71">
        <f t="shared" si="0"/>
        <v>0</v>
      </c>
      <c r="M10" s="64"/>
      <c r="N10" s="71">
        <f t="shared" si="6"/>
        <v>0</v>
      </c>
      <c r="O10" s="64"/>
      <c r="P10" s="72">
        <f t="shared" si="7"/>
        <v>0</v>
      </c>
      <c r="Q10" s="64"/>
      <c r="R10" s="72">
        <f t="shared" si="8"/>
        <v>0</v>
      </c>
      <c r="S10" s="64"/>
      <c r="T10" s="71">
        <f t="shared" si="9"/>
        <v>0</v>
      </c>
      <c r="U10" s="64"/>
      <c r="V10" s="72">
        <f t="shared" si="10"/>
        <v>0</v>
      </c>
      <c r="W10" s="64"/>
      <c r="X10" s="72">
        <f t="shared" si="23"/>
        <v>0</v>
      </c>
      <c r="Y10" s="64"/>
      <c r="Z10" s="72">
        <f t="shared" si="24"/>
        <v>0</v>
      </c>
      <c r="AA10" s="64"/>
      <c r="AB10" s="72">
        <f t="shared" si="25"/>
        <v>0</v>
      </c>
      <c r="AC10" s="64"/>
      <c r="AD10" s="72">
        <f t="shared" si="26"/>
        <v>0</v>
      </c>
      <c r="AE10" s="64"/>
      <c r="AF10" s="72">
        <f t="shared" si="27"/>
        <v>0</v>
      </c>
      <c r="AG10" s="64"/>
      <c r="AH10" s="72">
        <f t="shared" si="11"/>
        <v>0</v>
      </c>
      <c r="AI10" s="64"/>
      <c r="AJ10" s="72">
        <f t="shared" si="28"/>
        <v>0</v>
      </c>
      <c r="AK10" s="64"/>
      <c r="AL10" s="72">
        <f t="shared" si="12"/>
        <v>0</v>
      </c>
      <c r="AM10" s="64"/>
      <c r="AN10" s="72">
        <f t="shared" si="13"/>
        <v>0</v>
      </c>
      <c r="AO10" s="64"/>
      <c r="AP10" s="72">
        <f t="shared" si="14"/>
        <v>0</v>
      </c>
      <c r="AQ10" s="64"/>
      <c r="AR10" s="72">
        <f t="shared" si="29"/>
        <v>0</v>
      </c>
      <c r="AS10" s="64"/>
      <c r="AT10" s="72">
        <f t="shared" si="30"/>
        <v>0</v>
      </c>
      <c r="AU10" s="64"/>
      <c r="AV10" s="72">
        <f t="shared" si="31"/>
        <v>0</v>
      </c>
      <c r="AW10" s="64"/>
      <c r="AX10" s="72">
        <f t="shared" si="32"/>
        <v>0</v>
      </c>
      <c r="AY10" s="64"/>
      <c r="AZ10" s="72">
        <f t="shared" si="33"/>
        <v>0</v>
      </c>
      <c r="BA10" s="64"/>
      <c r="BB10" s="72">
        <f t="shared" si="34"/>
        <v>0</v>
      </c>
      <c r="BC10" s="64"/>
      <c r="BD10" s="72">
        <f t="shared" si="35"/>
        <v>0</v>
      </c>
      <c r="BE10" s="66"/>
      <c r="BF10" s="72">
        <f t="shared" si="15"/>
        <v>0</v>
      </c>
      <c r="BG10" s="67"/>
      <c r="BH10" s="72">
        <f t="shared" si="36"/>
        <v>0</v>
      </c>
      <c r="BI10" s="67"/>
      <c r="BJ10" s="72">
        <f t="shared" si="37"/>
        <v>0</v>
      </c>
      <c r="BK10" s="67"/>
      <c r="BL10" s="72">
        <f t="shared" si="38"/>
        <v>0</v>
      </c>
      <c r="BM10" s="67"/>
      <c r="BN10" s="72">
        <f t="shared" si="39"/>
        <v>0</v>
      </c>
      <c r="BO10" s="67"/>
      <c r="BP10" s="72">
        <f t="shared" si="40"/>
        <v>0</v>
      </c>
      <c r="BQ10" s="67"/>
      <c r="BR10" s="72">
        <f t="shared" si="16"/>
        <v>0</v>
      </c>
      <c r="BS10" s="67"/>
      <c r="BT10" s="72">
        <f t="shared" si="41"/>
        <v>0</v>
      </c>
      <c r="BU10" s="67"/>
      <c r="BV10" s="72">
        <f t="shared" si="1"/>
        <v>0</v>
      </c>
      <c r="BW10" s="67"/>
      <c r="BX10" s="72">
        <f t="shared" si="42"/>
        <v>0</v>
      </c>
      <c r="BY10" s="67"/>
      <c r="BZ10" s="72">
        <f t="shared" si="17"/>
        <v>0</v>
      </c>
      <c r="CA10" s="67"/>
      <c r="CB10" s="72">
        <f t="shared" si="18"/>
        <v>0</v>
      </c>
      <c r="CC10" s="67"/>
      <c r="CD10" s="72">
        <f t="shared" si="19"/>
        <v>0</v>
      </c>
      <c r="CE10" s="67"/>
      <c r="CF10" s="72">
        <f t="shared" si="20"/>
        <v>0</v>
      </c>
      <c r="CG10" s="67"/>
      <c r="CH10" s="72">
        <f t="shared" si="21"/>
        <v>0</v>
      </c>
      <c r="CI10" s="67"/>
      <c r="CJ10" s="72">
        <f t="shared" si="2"/>
        <v>0</v>
      </c>
      <c r="CK10" s="67"/>
      <c r="CL10" s="71">
        <f t="shared" si="22"/>
        <v>0</v>
      </c>
      <c r="CM10" s="72"/>
      <c r="CN10" s="69"/>
      <c r="CO10" s="69"/>
    </row>
    <row r="11" spans="1:93" ht="25.5" customHeight="1" thickBot="1" x14ac:dyDescent="0.45">
      <c r="A11" s="70">
        <v>43929</v>
      </c>
      <c r="B11" s="48"/>
      <c r="C11" s="64"/>
      <c r="D11" s="71">
        <f t="shared" si="3"/>
        <v>0</v>
      </c>
      <c r="E11" s="64"/>
      <c r="F11" s="71">
        <f t="shared" si="4"/>
        <v>0</v>
      </c>
      <c r="G11" s="64"/>
      <c r="H11" s="71">
        <f t="shared" si="5"/>
        <v>0</v>
      </c>
      <c r="I11" s="64"/>
      <c r="J11" s="71">
        <f t="shared" si="43"/>
        <v>0</v>
      </c>
      <c r="K11" s="64"/>
      <c r="L11" s="71">
        <f t="shared" si="0"/>
        <v>0</v>
      </c>
      <c r="M11" s="64"/>
      <c r="N11" s="71">
        <f t="shared" si="6"/>
        <v>0</v>
      </c>
      <c r="O11" s="64"/>
      <c r="P11" s="72">
        <f t="shared" si="7"/>
        <v>0</v>
      </c>
      <c r="Q11" s="64"/>
      <c r="R11" s="72">
        <f t="shared" si="8"/>
        <v>0</v>
      </c>
      <c r="S11" s="64"/>
      <c r="T11" s="71">
        <f t="shared" si="9"/>
        <v>0</v>
      </c>
      <c r="U11" s="64"/>
      <c r="V11" s="72">
        <f t="shared" si="10"/>
        <v>0</v>
      </c>
      <c r="W11" s="64"/>
      <c r="X11" s="72">
        <f t="shared" si="23"/>
        <v>0</v>
      </c>
      <c r="Y11" s="64"/>
      <c r="Z11" s="72">
        <f t="shared" si="24"/>
        <v>0</v>
      </c>
      <c r="AA11" s="64"/>
      <c r="AB11" s="72">
        <f t="shared" si="25"/>
        <v>0</v>
      </c>
      <c r="AC11" s="64"/>
      <c r="AD11" s="72">
        <f t="shared" si="26"/>
        <v>0</v>
      </c>
      <c r="AE11" s="64"/>
      <c r="AF11" s="72">
        <f t="shared" si="27"/>
        <v>0</v>
      </c>
      <c r="AG11" s="64"/>
      <c r="AH11" s="72">
        <f t="shared" si="11"/>
        <v>0</v>
      </c>
      <c r="AI11" s="64"/>
      <c r="AJ11" s="72">
        <f t="shared" si="28"/>
        <v>0</v>
      </c>
      <c r="AK11" s="64"/>
      <c r="AL11" s="72">
        <f t="shared" si="12"/>
        <v>0</v>
      </c>
      <c r="AM11" s="64"/>
      <c r="AN11" s="72">
        <f t="shared" si="13"/>
        <v>0</v>
      </c>
      <c r="AO11" s="64"/>
      <c r="AP11" s="72">
        <f t="shared" si="14"/>
        <v>0</v>
      </c>
      <c r="AQ11" s="64"/>
      <c r="AR11" s="72">
        <f t="shared" si="29"/>
        <v>0</v>
      </c>
      <c r="AS11" s="64"/>
      <c r="AT11" s="72">
        <f t="shared" si="30"/>
        <v>0</v>
      </c>
      <c r="AU11" s="64"/>
      <c r="AV11" s="72">
        <f t="shared" si="31"/>
        <v>0</v>
      </c>
      <c r="AW11" s="64"/>
      <c r="AX11" s="72">
        <f t="shared" si="32"/>
        <v>0</v>
      </c>
      <c r="AY11" s="64"/>
      <c r="AZ11" s="72">
        <f t="shared" si="33"/>
        <v>0</v>
      </c>
      <c r="BA11" s="64"/>
      <c r="BB11" s="72">
        <f t="shared" si="34"/>
        <v>0</v>
      </c>
      <c r="BC11" s="64"/>
      <c r="BD11" s="72">
        <f t="shared" si="35"/>
        <v>0</v>
      </c>
      <c r="BE11" s="66"/>
      <c r="BF11" s="72">
        <f t="shared" si="15"/>
        <v>0</v>
      </c>
      <c r="BG11" s="67"/>
      <c r="BH11" s="72">
        <f t="shared" si="36"/>
        <v>0</v>
      </c>
      <c r="BI11" s="67"/>
      <c r="BJ11" s="72">
        <f t="shared" si="37"/>
        <v>0</v>
      </c>
      <c r="BK11" s="67"/>
      <c r="BL11" s="72">
        <f t="shared" si="38"/>
        <v>0</v>
      </c>
      <c r="BM11" s="67"/>
      <c r="BN11" s="72">
        <f t="shared" si="39"/>
        <v>0</v>
      </c>
      <c r="BO11" s="67"/>
      <c r="BP11" s="72">
        <f t="shared" si="40"/>
        <v>0</v>
      </c>
      <c r="BQ11" s="67"/>
      <c r="BR11" s="72">
        <f t="shared" si="16"/>
        <v>0</v>
      </c>
      <c r="BS11" s="67"/>
      <c r="BT11" s="72">
        <f t="shared" si="41"/>
        <v>0</v>
      </c>
      <c r="BU11" s="67"/>
      <c r="BV11" s="72">
        <f t="shared" si="1"/>
        <v>0</v>
      </c>
      <c r="BW11" s="67"/>
      <c r="BX11" s="72">
        <f t="shared" si="42"/>
        <v>0</v>
      </c>
      <c r="BY11" s="67"/>
      <c r="BZ11" s="72">
        <f t="shared" si="17"/>
        <v>0</v>
      </c>
      <c r="CA11" s="67"/>
      <c r="CB11" s="72">
        <f t="shared" si="18"/>
        <v>0</v>
      </c>
      <c r="CC11" s="67"/>
      <c r="CD11" s="72">
        <f t="shared" si="19"/>
        <v>0</v>
      </c>
      <c r="CE11" s="67"/>
      <c r="CF11" s="72">
        <f t="shared" si="20"/>
        <v>0</v>
      </c>
      <c r="CG11" s="67"/>
      <c r="CH11" s="72">
        <f t="shared" si="21"/>
        <v>0</v>
      </c>
      <c r="CI11" s="67"/>
      <c r="CJ11" s="72">
        <f t="shared" si="2"/>
        <v>0</v>
      </c>
      <c r="CK11" s="67"/>
      <c r="CL11" s="71">
        <f t="shared" si="22"/>
        <v>0</v>
      </c>
      <c r="CM11" s="72"/>
      <c r="CN11" s="69"/>
      <c r="CO11" s="69"/>
    </row>
    <row r="12" spans="1:93" ht="25.5" customHeight="1" thickBot="1" x14ac:dyDescent="0.45">
      <c r="A12" s="70">
        <v>43930</v>
      </c>
      <c r="B12" s="48"/>
      <c r="C12" s="64"/>
      <c r="D12" s="71">
        <f t="shared" si="3"/>
        <v>0</v>
      </c>
      <c r="E12" s="64"/>
      <c r="F12" s="71">
        <f t="shared" si="4"/>
        <v>0</v>
      </c>
      <c r="G12" s="64"/>
      <c r="H12" s="71">
        <f t="shared" si="5"/>
        <v>0</v>
      </c>
      <c r="I12" s="64"/>
      <c r="J12" s="71">
        <f t="shared" si="43"/>
        <v>0</v>
      </c>
      <c r="K12" s="64"/>
      <c r="L12" s="71">
        <f t="shared" si="0"/>
        <v>0</v>
      </c>
      <c r="M12" s="64"/>
      <c r="N12" s="71">
        <f t="shared" si="6"/>
        <v>0</v>
      </c>
      <c r="O12" s="64"/>
      <c r="P12" s="72">
        <f t="shared" si="7"/>
        <v>0</v>
      </c>
      <c r="Q12" s="64"/>
      <c r="R12" s="72">
        <f t="shared" si="8"/>
        <v>0</v>
      </c>
      <c r="S12" s="64"/>
      <c r="T12" s="72">
        <f t="shared" ref="T12:T34" si="44">IF((S12-S11&lt;0), "",S12-S11)</f>
        <v>0</v>
      </c>
      <c r="U12" s="64"/>
      <c r="V12" s="72">
        <f t="shared" si="10"/>
        <v>0</v>
      </c>
      <c r="W12" s="64"/>
      <c r="X12" s="72">
        <f t="shared" si="23"/>
        <v>0</v>
      </c>
      <c r="Y12" s="64"/>
      <c r="Z12" s="72">
        <f t="shared" si="24"/>
        <v>0</v>
      </c>
      <c r="AA12" s="64"/>
      <c r="AB12" s="72">
        <f t="shared" si="25"/>
        <v>0</v>
      </c>
      <c r="AC12" s="64"/>
      <c r="AD12" s="72">
        <f t="shared" si="26"/>
        <v>0</v>
      </c>
      <c r="AE12" s="64"/>
      <c r="AF12" s="72">
        <f t="shared" si="27"/>
        <v>0</v>
      </c>
      <c r="AG12" s="64"/>
      <c r="AH12" s="72">
        <f t="shared" si="11"/>
        <v>0</v>
      </c>
      <c r="AI12" s="64"/>
      <c r="AJ12" s="72">
        <f t="shared" si="28"/>
        <v>0</v>
      </c>
      <c r="AK12" s="64"/>
      <c r="AL12" s="72">
        <f t="shared" si="12"/>
        <v>0</v>
      </c>
      <c r="AM12" s="64"/>
      <c r="AN12" s="72">
        <f t="shared" si="13"/>
        <v>0</v>
      </c>
      <c r="AO12" s="64"/>
      <c r="AP12" s="72">
        <f t="shared" si="14"/>
        <v>0</v>
      </c>
      <c r="AQ12" s="64"/>
      <c r="AR12" s="72">
        <f t="shared" si="29"/>
        <v>0</v>
      </c>
      <c r="AS12" s="64"/>
      <c r="AT12" s="72">
        <f t="shared" si="30"/>
        <v>0</v>
      </c>
      <c r="AU12" s="64"/>
      <c r="AV12" s="72">
        <f t="shared" si="31"/>
        <v>0</v>
      </c>
      <c r="AW12" s="64"/>
      <c r="AX12" s="72">
        <f t="shared" si="32"/>
        <v>0</v>
      </c>
      <c r="AY12" s="64"/>
      <c r="AZ12" s="72">
        <f t="shared" si="33"/>
        <v>0</v>
      </c>
      <c r="BA12" s="64"/>
      <c r="BB12" s="72">
        <f t="shared" si="34"/>
        <v>0</v>
      </c>
      <c r="BC12" s="64"/>
      <c r="BD12" s="72">
        <f t="shared" si="35"/>
        <v>0</v>
      </c>
      <c r="BE12" s="66"/>
      <c r="BF12" s="72">
        <f t="shared" si="15"/>
        <v>0</v>
      </c>
      <c r="BG12" s="67"/>
      <c r="BH12" s="72">
        <f t="shared" si="36"/>
        <v>0</v>
      </c>
      <c r="BI12" s="67"/>
      <c r="BJ12" s="72">
        <f t="shared" si="37"/>
        <v>0</v>
      </c>
      <c r="BK12" s="67"/>
      <c r="BL12" s="72">
        <f t="shared" si="38"/>
        <v>0</v>
      </c>
      <c r="BM12" s="67"/>
      <c r="BN12" s="72">
        <f t="shared" si="39"/>
        <v>0</v>
      </c>
      <c r="BO12" s="67"/>
      <c r="BP12" s="72">
        <f t="shared" si="40"/>
        <v>0</v>
      </c>
      <c r="BQ12" s="67"/>
      <c r="BR12" s="72">
        <f t="shared" si="16"/>
        <v>0</v>
      </c>
      <c r="BS12" s="67"/>
      <c r="BT12" s="72">
        <f t="shared" si="41"/>
        <v>0</v>
      </c>
      <c r="BU12" s="67"/>
      <c r="BV12" s="72">
        <f t="shared" si="1"/>
        <v>0</v>
      </c>
      <c r="BW12" s="67"/>
      <c r="BX12" s="72">
        <f t="shared" si="42"/>
        <v>0</v>
      </c>
      <c r="BY12" s="67"/>
      <c r="BZ12" s="72">
        <f t="shared" si="17"/>
        <v>0</v>
      </c>
      <c r="CA12" s="67"/>
      <c r="CB12" s="72">
        <f t="shared" si="18"/>
        <v>0</v>
      </c>
      <c r="CC12" s="67"/>
      <c r="CD12" s="72">
        <f t="shared" si="19"/>
        <v>0</v>
      </c>
      <c r="CE12" s="67"/>
      <c r="CF12" s="72">
        <f t="shared" si="20"/>
        <v>0</v>
      </c>
      <c r="CG12" s="67"/>
      <c r="CH12" s="72">
        <f t="shared" si="21"/>
        <v>0</v>
      </c>
      <c r="CI12" s="67"/>
      <c r="CJ12" s="72">
        <f t="shared" si="2"/>
        <v>0</v>
      </c>
      <c r="CK12" s="67"/>
      <c r="CL12" s="71">
        <f t="shared" si="22"/>
        <v>0</v>
      </c>
      <c r="CM12" s="72"/>
      <c r="CN12" s="69"/>
      <c r="CO12" s="69"/>
    </row>
    <row r="13" spans="1:93" ht="25.5" customHeight="1" thickBot="1" x14ac:dyDescent="0.45">
      <c r="A13" s="70">
        <v>43931</v>
      </c>
      <c r="B13" s="48"/>
      <c r="C13" s="64"/>
      <c r="D13" s="71">
        <f t="shared" si="3"/>
        <v>0</v>
      </c>
      <c r="E13" s="64"/>
      <c r="F13" s="71">
        <f t="shared" si="4"/>
        <v>0</v>
      </c>
      <c r="G13" s="64"/>
      <c r="H13" s="71">
        <f t="shared" si="5"/>
        <v>0</v>
      </c>
      <c r="I13" s="64"/>
      <c r="J13" s="71">
        <f t="shared" si="43"/>
        <v>0</v>
      </c>
      <c r="K13" s="64"/>
      <c r="L13" s="71">
        <f t="shared" si="0"/>
        <v>0</v>
      </c>
      <c r="M13" s="64"/>
      <c r="N13" s="71">
        <f t="shared" si="6"/>
        <v>0</v>
      </c>
      <c r="O13" s="64"/>
      <c r="P13" s="72">
        <f t="shared" si="7"/>
        <v>0</v>
      </c>
      <c r="Q13" s="64"/>
      <c r="R13" s="72">
        <f t="shared" si="8"/>
        <v>0</v>
      </c>
      <c r="S13" s="64"/>
      <c r="T13" s="72">
        <f t="shared" si="44"/>
        <v>0</v>
      </c>
      <c r="U13" s="64"/>
      <c r="V13" s="72">
        <f t="shared" si="10"/>
        <v>0</v>
      </c>
      <c r="W13" s="64"/>
      <c r="X13" s="72">
        <f t="shared" si="23"/>
        <v>0</v>
      </c>
      <c r="Y13" s="64"/>
      <c r="Z13" s="72">
        <f t="shared" si="24"/>
        <v>0</v>
      </c>
      <c r="AA13" s="64"/>
      <c r="AB13" s="72">
        <f t="shared" si="25"/>
        <v>0</v>
      </c>
      <c r="AC13" s="64"/>
      <c r="AD13" s="72">
        <f t="shared" si="26"/>
        <v>0</v>
      </c>
      <c r="AE13" s="64"/>
      <c r="AF13" s="72">
        <f t="shared" si="27"/>
        <v>0</v>
      </c>
      <c r="AG13" s="64"/>
      <c r="AH13" s="72">
        <f t="shared" si="11"/>
        <v>0</v>
      </c>
      <c r="AI13" s="64"/>
      <c r="AJ13" s="72">
        <f t="shared" si="28"/>
        <v>0</v>
      </c>
      <c r="AK13" s="64"/>
      <c r="AL13" s="72">
        <f t="shared" si="12"/>
        <v>0</v>
      </c>
      <c r="AM13" s="64"/>
      <c r="AN13" s="72">
        <f t="shared" si="13"/>
        <v>0</v>
      </c>
      <c r="AO13" s="64"/>
      <c r="AP13" s="72">
        <f t="shared" si="14"/>
        <v>0</v>
      </c>
      <c r="AQ13" s="64"/>
      <c r="AR13" s="72">
        <f t="shared" si="29"/>
        <v>0</v>
      </c>
      <c r="AS13" s="64"/>
      <c r="AT13" s="72">
        <f t="shared" si="30"/>
        <v>0</v>
      </c>
      <c r="AU13" s="64"/>
      <c r="AV13" s="72">
        <f t="shared" si="31"/>
        <v>0</v>
      </c>
      <c r="AW13" s="64"/>
      <c r="AX13" s="72">
        <f t="shared" si="32"/>
        <v>0</v>
      </c>
      <c r="AY13" s="64"/>
      <c r="AZ13" s="72">
        <f t="shared" si="33"/>
        <v>0</v>
      </c>
      <c r="BA13" s="64"/>
      <c r="BB13" s="72">
        <f t="shared" si="34"/>
        <v>0</v>
      </c>
      <c r="BC13" s="64"/>
      <c r="BD13" s="72">
        <f t="shared" si="35"/>
        <v>0</v>
      </c>
      <c r="BE13" s="66"/>
      <c r="BF13" s="72">
        <f t="shared" si="15"/>
        <v>0</v>
      </c>
      <c r="BG13" s="67"/>
      <c r="BH13" s="72">
        <f t="shared" si="36"/>
        <v>0</v>
      </c>
      <c r="BI13" s="67"/>
      <c r="BJ13" s="72">
        <f t="shared" si="37"/>
        <v>0</v>
      </c>
      <c r="BK13" s="67"/>
      <c r="BL13" s="72">
        <f t="shared" si="38"/>
        <v>0</v>
      </c>
      <c r="BM13" s="67"/>
      <c r="BN13" s="72">
        <f t="shared" si="39"/>
        <v>0</v>
      </c>
      <c r="BO13" s="67"/>
      <c r="BP13" s="72">
        <f t="shared" si="40"/>
        <v>0</v>
      </c>
      <c r="BQ13" s="67"/>
      <c r="BR13" s="72">
        <f t="shared" si="16"/>
        <v>0</v>
      </c>
      <c r="BS13" s="67"/>
      <c r="BT13" s="72">
        <f t="shared" si="41"/>
        <v>0</v>
      </c>
      <c r="BU13" s="67"/>
      <c r="BV13" s="72">
        <f t="shared" si="1"/>
        <v>0</v>
      </c>
      <c r="BW13" s="67"/>
      <c r="BX13" s="72">
        <f t="shared" si="42"/>
        <v>0</v>
      </c>
      <c r="BY13" s="67"/>
      <c r="BZ13" s="72">
        <f t="shared" si="17"/>
        <v>0</v>
      </c>
      <c r="CA13" s="67"/>
      <c r="CB13" s="72">
        <f t="shared" si="18"/>
        <v>0</v>
      </c>
      <c r="CC13" s="67"/>
      <c r="CD13" s="72">
        <f t="shared" si="19"/>
        <v>0</v>
      </c>
      <c r="CE13" s="67"/>
      <c r="CF13" s="72">
        <f t="shared" si="20"/>
        <v>0</v>
      </c>
      <c r="CG13" s="67"/>
      <c r="CH13" s="72">
        <f t="shared" si="21"/>
        <v>0</v>
      </c>
      <c r="CI13" s="67"/>
      <c r="CJ13" s="72">
        <f t="shared" si="2"/>
        <v>0</v>
      </c>
      <c r="CK13" s="67"/>
      <c r="CL13" s="71">
        <f t="shared" si="22"/>
        <v>0</v>
      </c>
      <c r="CM13" s="72"/>
      <c r="CN13" s="69"/>
      <c r="CO13" s="69"/>
    </row>
    <row r="14" spans="1:93" ht="25.5" customHeight="1" thickBot="1" x14ac:dyDescent="0.45">
      <c r="A14" s="70">
        <v>43932</v>
      </c>
      <c r="B14" s="48"/>
      <c r="C14" s="64"/>
      <c r="D14" s="71">
        <f t="shared" si="3"/>
        <v>0</v>
      </c>
      <c r="E14" s="64"/>
      <c r="F14" s="71">
        <f t="shared" si="4"/>
        <v>0</v>
      </c>
      <c r="G14" s="64"/>
      <c r="H14" s="71">
        <f t="shared" si="5"/>
        <v>0</v>
      </c>
      <c r="I14" s="64"/>
      <c r="J14" s="71">
        <f t="shared" si="43"/>
        <v>0</v>
      </c>
      <c r="K14" s="64"/>
      <c r="L14" s="71">
        <f t="shared" si="0"/>
        <v>0</v>
      </c>
      <c r="M14" s="64"/>
      <c r="N14" s="71">
        <f t="shared" si="6"/>
        <v>0</v>
      </c>
      <c r="O14" s="64"/>
      <c r="P14" s="72">
        <f t="shared" si="7"/>
        <v>0</v>
      </c>
      <c r="Q14" s="64"/>
      <c r="R14" s="72">
        <f t="shared" si="8"/>
        <v>0</v>
      </c>
      <c r="S14" s="64"/>
      <c r="T14" s="72">
        <f t="shared" si="44"/>
        <v>0</v>
      </c>
      <c r="U14" s="64"/>
      <c r="V14" s="72">
        <f t="shared" si="10"/>
        <v>0</v>
      </c>
      <c r="W14" s="64"/>
      <c r="X14" s="72">
        <f>IF((W14-W13&lt;0), "",(W14-W13)*1000)</f>
        <v>0</v>
      </c>
      <c r="Y14" s="64"/>
      <c r="Z14" s="72">
        <f t="shared" si="24"/>
        <v>0</v>
      </c>
      <c r="AA14" s="64"/>
      <c r="AB14" s="72">
        <f t="shared" si="25"/>
        <v>0</v>
      </c>
      <c r="AC14" s="64"/>
      <c r="AD14" s="72">
        <f t="shared" si="26"/>
        <v>0</v>
      </c>
      <c r="AE14" s="64"/>
      <c r="AF14" s="72">
        <f t="shared" si="27"/>
        <v>0</v>
      </c>
      <c r="AG14" s="64"/>
      <c r="AH14" s="72">
        <f t="shared" si="11"/>
        <v>0</v>
      </c>
      <c r="AI14" s="64"/>
      <c r="AJ14" s="72">
        <f t="shared" si="28"/>
        <v>0</v>
      </c>
      <c r="AK14" s="64"/>
      <c r="AL14" s="72">
        <f t="shared" si="12"/>
        <v>0</v>
      </c>
      <c r="AM14" s="64"/>
      <c r="AN14" s="72">
        <f t="shared" si="13"/>
        <v>0</v>
      </c>
      <c r="AO14" s="64"/>
      <c r="AP14" s="72">
        <f t="shared" si="14"/>
        <v>0</v>
      </c>
      <c r="AQ14" s="64"/>
      <c r="AR14" s="72">
        <f t="shared" si="29"/>
        <v>0</v>
      </c>
      <c r="AS14" s="64"/>
      <c r="AT14" s="72">
        <f t="shared" si="30"/>
        <v>0</v>
      </c>
      <c r="AU14" s="64"/>
      <c r="AV14" s="72">
        <f t="shared" si="31"/>
        <v>0</v>
      </c>
      <c r="AW14" s="64"/>
      <c r="AX14" s="72">
        <f t="shared" si="32"/>
        <v>0</v>
      </c>
      <c r="AY14" s="64"/>
      <c r="AZ14" s="72">
        <f t="shared" si="33"/>
        <v>0</v>
      </c>
      <c r="BA14" s="64"/>
      <c r="BB14" s="72">
        <f t="shared" si="34"/>
        <v>0</v>
      </c>
      <c r="BC14" s="64"/>
      <c r="BD14" s="72">
        <f t="shared" si="35"/>
        <v>0</v>
      </c>
      <c r="BE14" s="66"/>
      <c r="BF14" s="72">
        <f t="shared" si="15"/>
        <v>0</v>
      </c>
      <c r="BG14" s="67"/>
      <c r="BH14" s="72">
        <f t="shared" si="36"/>
        <v>0</v>
      </c>
      <c r="BI14" s="67"/>
      <c r="BJ14" s="72">
        <f t="shared" si="37"/>
        <v>0</v>
      </c>
      <c r="BK14" s="67"/>
      <c r="BL14" s="72">
        <f t="shared" si="38"/>
        <v>0</v>
      </c>
      <c r="BM14" s="67"/>
      <c r="BN14" s="72">
        <f t="shared" si="39"/>
        <v>0</v>
      </c>
      <c r="BO14" s="67"/>
      <c r="BP14" s="72">
        <f t="shared" si="40"/>
        <v>0</v>
      </c>
      <c r="BQ14" s="67"/>
      <c r="BR14" s="72">
        <f t="shared" si="16"/>
        <v>0</v>
      </c>
      <c r="BS14" s="67"/>
      <c r="BT14" s="72">
        <f t="shared" si="41"/>
        <v>0</v>
      </c>
      <c r="BU14" s="67"/>
      <c r="BV14" s="72">
        <f t="shared" si="1"/>
        <v>0</v>
      </c>
      <c r="BW14" s="67"/>
      <c r="BX14" s="72">
        <f t="shared" si="42"/>
        <v>0</v>
      </c>
      <c r="BY14" s="67"/>
      <c r="BZ14" s="72">
        <f t="shared" si="17"/>
        <v>0</v>
      </c>
      <c r="CA14" s="67"/>
      <c r="CB14" s="72">
        <f t="shared" si="18"/>
        <v>0</v>
      </c>
      <c r="CC14" s="67"/>
      <c r="CD14" s="72">
        <f t="shared" si="19"/>
        <v>0</v>
      </c>
      <c r="CE14" s="67"/>
      <c r="CF14" s="72">
        <f t="shared" si="20"/>
        <v>0</v>
      </c>
      <c r="CG14" s="67"/>
      <c r="CH14" s="72">
        <f t="shared" si="21"/>
        <v>0</v>
      </c>
      <c r="CI14" s="67"/>
      <c r="CJ14" s="72">
        <f t="shared" si="2"/>
        <v>0</v>
      </c>
      <c r="CK14" s="67"/>
      <c r="CL14" s="71">
        <f t="shared" si="22"/>
        <v>0</v>
      </c>
      <c r="CM14" s="72"/>
      <c r="CN14" s="69"/>
      <c r="CO14" s="69"/>
    </row>
    <row r="15" spans="1:93" ht="25.5" customHeight="1" thickBot="1" x14ac:dyDescent="0.45">
      <c r="A15" s="70">
        <v>43933</v>
      </c>
      <c r="B15" s="48"/>
      <c r="C15" s="64"/>
      <c r="D15" s="71">
        <f t="shared" si="3"/>
        <v>0</v>
      </c>
      <c r="E15" s="64"/>
      <c r="F15" s="71">
        <f t="shared" si="4"/>
        <v>0</v>
      </c>
      <c r="G15" s="64"/>
      <c r="H15" s="71">
        <f t="shared" si="5"/>
        <v>0</v>
      </c>
      <c r="I15" s="64"/>
      <c r="J15" s="71">
        <f t="shared" si="43"/>
        <v>0</v>
      </c>
      <c r="K15" s="64"/>
      <c r="L15" s="71">
        <f t="shared" si="0"/>
        <v>0</v>
      </c>
      <c r="M15" s="64"/>
      <c r="N15" s="71">
        <f t="shared" si="6"/>
        <v>0</v>
      </c>
      <c r="O15" s="64"/>
      <c r="P15" s="72">
        <f t="shared" si="7"/>
        <v>0</v>
      </c>
      <c r="Q15" s="64"/>
      <c r="R15" s="72">
        <f t="shared" si="8"/>
        <v>0</v>
      </c>
      <c r="S15" s="64"/>
      <c r="T15" s="72">
        <f t="shared" si="44"/>
        <v>0</v>
      </c>
      <c r="U15" s="64"/>
      <c r="V15" s="72">
        <f t="shared" si="10"/>
        <v>0</v>
      </c>
      <c r="W15" s="64"/>
      <c r="X15" s="72">
        <f t="shared" si="23"/>
        <v>0</v>
      </c>
      <c r="Y15" s="64"/>
      <c r="Z15" s="72">
        <f t="shared" si="24"/>
        <v>0</v>
      </c>
      <c r="AA15" s="64"/>
      <c r="AB15" s="72">
        <f t="shared" si="25"/>
        <v>0</v>
      </c>
      <c r="AC15" s="64"/>
      <c r="AD15" s="72">
        <f t="shared" si="26"/>
        <v>0</v>
      </c>
      <c r="AE15" s="64"/>
      <c r="AF15" s="72">
        <f t="shared" si="27"/>
        <v>0</v>
      </c>
      <c r="AG15" s="64"/>
      <c r="AH15" s="72">
        <f t="shared" si="11"/>
        <v>0</v>
      </c>
      <c r="AI15" s="64"/>
      <c r="AJ15" s="72">
        <f t="shared" si="28"/>
        <v>0</v>
      </c>
      <c r="AK15" s="64"/>
      <c r="AL15" s="72">
        <f t="shared" si="12"/>
        <v>0</v>
      </c>
      <c r="AM15" s="64"/>
      <c r="AN15" s="72">
        <f t="shared" si="13"/>
        <v>0</v>
      </c>
      <c r="AO15" s="64"/>
      <c r="AP15" s="72">
        <f t="shared" si="14"/>
        <v>0</v>
      </c>
      <c r="AQ15" s="64"/>
      <c r="AR15" s="72">
        <f t="shared" si="29"/>
        <v>0</v>
      </c>
      <c r="AS15" s="64"/>
      <c r="AT15" s="72">
        <f t="shared" si="30"/>
        <v>0</v>
      </c>
      <c r="AU15" s="64"/>
      <c r="AV15" s="72">
        <f t="shared" si="31"/>
        <v>0</v>
      </c>
      <c r="AW15" s="64"/>
      <c r="AX15" s="72">
        <f t="shared" si="32"/>
        <v>0</v>
      </c>
      <c r="AY15" s="64"/>
      <c r="AZ15" s="72">
        <f t="shared" si="33"/>
        <v>0</v>
      </c>
      <c r="BA15" s="64"/>
      <c r="BB15" s="72">
        <f t="shared" si="34"/>
        <v>0</v>
      </c>
      <c r="BC15" s="64"/>
      <c r="BD15" s="72">
        <f t="shared" si="35"/>
        <v>0</v>
      </c>
      <c r="BE15" s="66"/>
      <c r="BF15" s="72">
        <f t="shared" si="15"/>
        <v>0</v>
      </c>
      <c r="BG15" s="67"/>
      <c r="BH15" s="72">
        <f t="shared" si="36"/>
        <v>0</v>
      </c>
      <c r="BI15" s="67"/>
      <c r="BJ15" s="72">
        <f t="shared" si="37"/>
        <v>0</v>
      </c>
      <c r="BK15" s="67"/>
      <c r="BL15" s="72">
        <f t="shared" si="38"/>
        <v>0</v>
      </c>
      <c r="BM15" s="67"/>
      <c r="BN15" s="72">
        <f t="shared" si="39"/>
        <v>0</v>
      </c>
      <c r="BO15" s="67"/>
      <c r="BP15" s="72">
        <f t="shared" si="40"/>
        <v>0</v>
      </c>
      <c r="BQ15" s="67"/>
      <c r="BR15" s="72">
        <f t="shared" si="16"/>
        <v>0</v>
      </c>
      <c r="BS15" s="67"/>
      <c r="BT15" s="72">
        <f t="shared" si="41"/>
        <v>0</v>
      </c>
      <c r="BU15" s="67"/>
      <c r="BV15" s="72">
        <f t="shared" si="1"/>
        <v>0</v>
      </c>
      <c r="BW15" s="67"/>
      <c r="BX15" s="72">
        <f t="shared" si="42"/>
        <v>0</v>
      </c>
      <c r="BY15" s="67"/>
      <c r="BZ15" s="72">
        <f t="shared" si="17"/>
        <v>0</v>
      </c>
      <c r="CA15" s="67"/>
      <c r="CB15" s="72">
        <f t="shared" si="18"/>
        <v>0</v>
      </c>
      <c r="CC15" s="67"/>
      <c r="CD15" s="72">
        <f t="shared" si="19"/>
        <v>0</v>
      </c>
      <c r="CE15" s="67"/>
      <c r="CF15" s="72">
        <f t="shared" si="20"/>
        <v>0</v>
      </c>
      <c r="CG15" s="67"/>
      <c r="CH15" s="72">
        <f t="shared" si="21"/>
        <v>0</v>
      </c>
      <c r="CI15" s="67"/>
      <c r="CJ15" s="72">
        <f t="shared" si="2"/>
        <v>0</v>
      </c>
      <c r="CK15" s="67"/>
      <c r="CL15" s="71">
        <f t="shared" si="22"/>
        <v>0</v>
      </c>
      <c r="CM15" s="72"/>
      <c r="CN15" s="69"/>
      <c r="CO15" s="69"/>
    </row>
    <row r="16" spans="1:93" ht="25.5" customHeight="1" thickBot="1" x14ac:dyDescent="0.45">
      <c r="A16" s="70">
        <v>43934</v>
      </c>
      <c r="B16" s="48"/>
      <c r="C16" s="64"/>
      <c r="D16" s="71">
        <f t="shared" si="3"/>
        <v>0</v>
      </c>
      <c r="E16" s="64"/>
      <c r="F16" s="71">
        <f t="shared" si="4"/>
        <v>0</v>
      </c>
      <c r="G16" s="64"/>
      <c r="H16" s="71">
        <f t="shared" si="5"/>
        <v>0</v>
      </c>
      <c r="I16" s="64"/>
      <c r="J16" s="71">
        <f t="shared" si="43"/>
        <v>0</v>
      </c>
      <c r="K16" s="64"/>
      <c r="L16" s="71">
        <f t="shared" si="0"/>
        <v>0</v>
      </c>
      <c r="M16" s="64"/>
      <c r="N16" s="71">
        <f t="shared" si="6"/>
        <v>0</v>
      </c>
      <c r="O16" s="64"/>
      <c r="P16" s="72">
        <f t="shared" si="7"/>
        <v>0</v>
      </c>
      <c r="Q16" s="64"/>
      <c r="R16" s="72">
        <f t="shared" si="8"/>
        <v>0</v>
      </c>
      <c r="S16" s="64"/>
      <c r="T16" s="72">
        <f t="shared" si="44"/>
        <v>0</v>
      </c>
      <c r="U16" s="64"/>
      <c r="V16" s="72">
        <f t="shared" si="10"/>
        <v>0</v>
      </c>
      <c r="W16" s="64"/>
      <c r="X16" s="72">
        <f t="shared" si="23"/>
        <v>0</v>
      </c>
      <c r="Y16" s="64"/>
      <c r="Z16" s="72">
        <f t="shared" si="24"/>
        <v>0</v>
      </c>
      <c r="AA16" s="64"/>
      <c r="AB16" s="72">
        <f t="shared" si="25"/>
        <v>0</v>
      </c>
      <c r="AC16" s="64"/>
      <c r="AD16" s="72">
        <f t="shared" si="26"/>
        <v>0</v>
      </c>
      <c r="AE16" s="64"/>
      <c r="AF16" s="72">
        <f t="shared" si="27"/>
        <v>0</v>
      </c>
      <c r="AG16" s="64"/>
      <c r="AH16" s="72">
        <f t="shared" si="11"/>
        <v>0</v>
      </c>
      <c r="AI16" s="64"/>
      <c r="AJ16" s="72">
        <f t="shared" si="28"/>
        <v>0</v>
      </c>
      <c r="AK16" s="64"/>
      <c r="AL16" s="72">
        <f t="shared" si="12"/>
        <v>0</v>
      </c>
      <c r="AM16" s="64"/>
      <c r="AN16" s="72">
        <f t="shared" si="13"/>
        <v>0</v>
      </c>
      <c r="AO16" s="64"/>
      <c r="AP16" s="72">
        <f t="shared" si="14"/>
        <v>0</v>
      </c>
      <c r="AQ16" s="64"/>
      <c r="AR16" s="72">
        <f t="shared" si="29"/>
        <v>0</v>
      </c>
      <c r="AS16" s="64"/>
      <c r="AT16" s="72">
        <f t="shared" si="30"/>
        <v>0</v>
      </c>
      <c r="AU16" s="64"/>
      <c r="AV16" s="72">
        <f t="shared" si="31"/>
        <v>0</v>
      </c>
      <c r="AW16" s="64"/>
      <c r="AX16" s="72">
        <f t="shared" si="32"/>
        <v>0</v>
      </c>
      <c r="AY16" s="64"/>
      <c r="AZ16" s="72">
        <f t="shared" si="33"/>
        <v>0</v>
      </c>
      <c r="BA16" s="64"/>
      <c r="BB16" s="72">
        <f t="shared" si="34"/>
        <v>0</v>
      </c>
      <c r="BC16" s="64"/>
      <c r="BD16" s="72">
        <f t="shared" si="35"/>
        <v>0</v>
      </c>
      <c r="BE16" s="66"/>
      <c r="BF16" s="72">
        <f t="shared" si="15"/>
        <v>0</v>
      </c>
      <c r="BG16" s="67"/>
      <c r="BH16" s="72">
        <f t="shared" si="36"/>
        <v>0</v>
      </c>
      <c r="BI16" s="67"/>
      <c r="BJ16" s="72">
        <f t="shared" si="37"/>
        <v>0</v>
      </c>
      <c r="BK16" s="67"/>
      <c r="BL16" s="72">
        <f t="shared" si="38"/>
        <v>0</v>
      </c>
      <c r="BM16" s="67"/>
      <c r="BN16" s="72">
        <f t="shared" si="39"/>
        <v>0</v>
      </c>
      <c r="BO16" s="67"/>
      <c r="BP16" s="72">
        <f t="shared" si="40"/>
        <v>0</v>
      </c>
      <c r="BQ16" s="67"/>
      <c r="BR16" s="72">
        <f t="shared" si="16"/>
        <v>0</v>
      </c>
      <c r="BS16" s="67"/>
      <c r="BT16" s="72">
        <f t="shared" si="41"/>
        <v>0</v>
      </c>
      <c r="BU16" s="67"/>
      <c r="BV16" s="72">
        <f t="shared" si="1"/>
        <v>0</v>
      </c>
      <c r="BW16" s="67"/>
      <c r="BX16" s="72">
        <f t="shared" si="42"/>
        <v>0</v>
      </c>
      <c r="BY16" s="67"/>
      <c r="BZ16" s="72">
        <f t="shared" si="17"/>
        <v>0</v>
      </c>
      <c r="CA16" s="67"/>
      <c r="CB16" s="72">
        <f t="shared" si="18"/>
        <v>0</v>
      </c>
      <c r="CC16" s="67"/>
      <c r="CD16" s="72">
        <f t="shared" si="19"/>
        <v>0</v>
      </c>
      <c r="CE16" s="67"/>
      <c r="CF16" s="72">
        <f t="shared" si="20"/>
        <v>0</v>
      </c>
      <c r="CG16" s="67"/>
      <c r="CH16" s="72">
        <f t="shared" si="21"/>
        <v>0</v>
      </c>
      <c r="CI16" s="67"/>
      <c r="CJ16" s="72">
        <f t="shared" si="2"/>
        <v>0</v>
      </c>
      <c r="CK16" s="67"/>
      <c r="CL16" s="71">
        <f t="shared" si="22"/>
        <v>0</v>
      </c>
      <c r="CM16" s="72"/>
      <c r="CN16" s="69"/>
      <c r="CO16" s="69"/>
    </row>
    <row r="17" spans="1:93" ht="25.5" customHeight="1" thickBot="1" x14ac:dyDescent="0.45">
      <c r="A17" s="70">
        <v>43935</v>
      </c>
      <c r="B17" s="48"/>
      <c r="C17" s="64"/>
      <c r="D17" s="71">
        <f t="shared" si="3"/>
        <v>0</v>
      </c>
      <c r="E17" s="64"/>
      <c r="F17" s="71">
        <f t="shared" si="4"/>
        <v>0</v>
      </c>
      <c r="G17" s="64"/>
      <c r="H17" s="71">
        <f t="shared" si="5"/>
        <v>0</v>
      </c>
      <c r="I17" s="64"/>
      <c r="J17" s="71">
        <f t="shared" si="43"/>
        <v>0</v>
      </c>
      <c r="K17" s="64"/>
      <c r="L17" s="71">
        <f t="shared" si="0"/>
        <v>0</v>
      </c>
      <c r="M17" s="64"/>
      <c r="N17" s="71">
        <f t="shared" si="6"/>
        <v>0</v>
      </c>
      <c r="O17" s="64"/>
      <c r="P17" s="72">
        <f t="shared" si="7"/>
        <v>0</v>
      </c>
      <c r="Q17" s="64"/>
      <c r="R17" s="72">
        <f t="shared" si="8"/>
        <v>0</v>
      </c>
      <c r="S17" s="64"/>
      <c r="T17" s="72">
        <f t="shared" si="44"/>
        <v>0</v>
      </c>
      <c r="U17" s="64"/>
      <c r="V17" s="72">
        <f t="shared" si="10"/>
        <v>0</v>
      </c>
      <c r="W17" s="64"/>
      <c r="X17" s="72">
        <f t="shared" si="23"/>
        <v>0</v>
      </c>
      <c r="Y17" s="64"/>
      <c r="Z17" s="72">
        <f t="shared" si="24"/>
        <v>0</v>
      </c>
      <c r="AA17" s="64"/>
      <c r="AB17" s="72">
        <f t="shared" si="25"/>
        <v>0</v>
      </c>
      <c r="AC17" s="64"/>
      <c r="AD17" s="72">
        <f t="shared" si="26"/>
        <v>0</v>
      </c>
      <c r="AE17" s="64"/>
      <c r="AF17" s="72">
        <f t="shared" si="27"/>
        <v>0</v>
      </c>
      <c r="AG17" s="64"/>
      <c r="AH17" s="72">
        <f t="shared" si="11"/>
        <v>0</v>
      </c>
      <c r="AI17" s="64"/>
      <c r="AJ17" s="72">
        <f t="shared" si="28"/>
        <v>0</v>
      </c>
      <c r="AK17" s="64"/>
      <c r="AL17" s="72">
        <f t="shared" si="12"/>
        <v>0</v>
      </c>
      <c r="AM17" s="64"/>
      <c r="AN17" s="72">
        <f t="shared" si="13"/>
        <v>0</v>
      </c>
      <c r="AO17" s="64"/>
      <c r="AP17" s="72">
        <f t="shared" si="14"/>
        <v>0</v>
      </c>
      <c r="AQ17" s="64"/>
      <c r="AR17" s="72">
        <f t="shared" si="29"/>
        <v>0</v>
      </c>
      <c r="AS17" s="64"/>
      <c r="AT17" s="72">
        <f t="shared" si="30"/>
        <v>0</v>
      </c>
      <c r="AU17" s="64"/>
      <c r="AV17" s="72">
        <f t="shared" si="31"/>
        <v>0</v>
      </c>
      <c r="AW17" s="64"/>
      <c r="AX17" s="72">
        <f t="shared" si="32"/>
        <v>0</v>
      </c>
      <c r="AY17" s="64"/>
      <c r="AZ17" s="72">
        <f t="shared" si="33"/>
        <v>0</v>
      </c>
      <c r="BA17" s="64"/>
      <c r="BB17" s="72">
        <f t="shared" si="34"/>
        <v>0</v>
      </c>
      <c r="BC17" s="64"/>
      <c r="BD17" s="72">
        <f t="shared" si="35"/>
        <v>0</v>
      </c>
      <c r="BE17" s="66"/>
      <c r="BF17" s="72">
        <f t="shared" si="15"/>
        <v>0</v>
      </c>
      <c r="BG17" s="67"/>
      <c r="BH17" s="72">
        <f t="shared" si="36"/>
        <v>0</v>
      </c>
      <c r="BI17" s="67"/>
      <c r="BJ17" s="72">
        <f t="shared" si="37"/>
        <v>0</v>
      </c>
      <c r="BK17" s="67"/>
      <c r="BL17" s="72">
        <f t="shared" si="38"/>
        <v>0</v>
      </c>
      <c r="BM17" s="67"/>
      <c r="BN17" s="72">
        <f t="shared" si="39"/>
        <v>0</v>
      </c>
      <c r="BO17" s="67"/>
      <c r="BP17" s="72">
        <f t="shared" si="40"/>
        <v>0</v>
      </c>
      <c r="BQ17" s="67"/>
      <c r="BR17" s="72">
        <f t="shared" si="16"/>
        <v>0</v>
      </c>
      <c r="BS17" s="67"/>
      <c r="BT17" s="72">
        <f t="shared" si="41"/>
        <v>0</v>
      </c>
      <c r="BU17" s="67"/>
      <c r="BV17" s="72">
        <f t="shared" si="1"/>
        <v>0</v>
      </c>
      <c r="BW17" s="67"/>
      <c r="BX17" s="72">
        <f t="shared" si="42"/>
        <v>0</v>
      </c>
      <c r="BY17" s="67"/>
      <c r="BZ17" s="72">
        <f t="shared" si="17"/>
        <v>0</v>
      </c>
      <c r="CA17" s="67"/>
      <c r="CB17" s="72">
        <f t="shared" si="18"/>
        <v>0</v>
      </c>
      <c r="CC17" s="67"/>
      <c r="CD17" s="72">
        <f t="shared" si="19"/>
        <v>0</v>
      </c>
      <c r="CE17" s="67"/>
      <c r="CF17" s="72">
        <f t="shared" si="20"/>
        <v>0</v>
      </c>
      <c r="CG17" s="67"/>
      <c r="CH17" s="72">
        <f t="shared" si="21"/>
        <v>0</v>
      </c>
      <c r="CI17" s="67"/>
      <c r="CJ17" s="72">
        <f t="shared" si="2"/>
        <v>0</v>
      </c>
      <c r="CK17" s="67"/>
      <c r="CL17" s="71">
        <f t="shared" si="22"/>
        <v>0</v>
      </c>
      <c r="CM17" s="72"/>
      <c r="CN17" s="69"/>
      <c r="CO17" s="69"/>
    </row>
    <row r="18" spans="1:93" ht="25.5" customHeight="1" thickBot="1" x14ac:dyDescent="0.45">
      <c r="A18" s="70">
        <v>43936</v>
      </c>
      <c r="B18" s="48"/>
      <c r="C18" s="64"/>
      <c r="D18" s="71">
        <f t="shared" si="3"/>
        <v>0</v>
      </c>
      <c r="E18" s="64"/>
      <c r="F18" s="71">
        <f t="shared" si="4"/>
        <v>0</v>
      </c>
      <c r="G18" s="64"/>
      <c r="H18" s="71">
        <f t="shared" si="5"/>
        <v>0</v>
      </c>
      <c r="I18" s="64"/>
      <c r="J18" s="71">
        <f t="shared" si="43"/>
        <v>0</v>
      </c>
      <c r="K18" s="64"/>
      <c r="L18" s="71">
        <f t="shared" si="0"/>
        <v>0</v>
      </c>
      <c r="M18" s="64"/>
      <c r="N18" s="71">
        <f t="shared" si="6"/>
        <v>0</v>
      </c>
      <c r="O18" s="64"/>
      <c r="P18" s="72">
        <f t="shared" si="7"/>
        <v>0</v>
      </c>
      <c r="Q18" s="64"/>
      <c r="R18" s="72">
        <f t="shared" si="8"/>
        <v>0</v>
      </c>
      <c r="S18" s="64"/>
      <c r="T18" s="72">
        <f t="shared" si="44"/>
        <v>0</v>
      </c>
      <c r="U18" s="64"/>
      <c r="V18" s="72">
        <f t="shared" si="10"/>
        <v>0</v>
      </c>
      <c r="W18" s="64"/>
      <c r="X18" s="72">
        <f t="shared" si="23"/>
        <v>0</v>
      </c>
      <c r="Y18" s="64"/>
      <c r="Z18" s="72">
        <f t="shared" si="24"/>
        <v>0</v>
      </c>
      <c r="AA18" s="64"/>
      <c r="AB18" s="72">
        <f t="shared" si="25"/>
        <v>0</v>
      </c>
      <c r="AC18" s="64"/>
      <c r="AD18" s="72">
        <f t="shared" si="26"/>
        <v>0</v>
      </c>
      <c r="AE18" s="64"/>
      <c r="AF18" s="72">
        <f t="shared" si="27"/>
        <v>0</v>
      </c>
      <c r="AG18" s="64"/>
      <c r="AH18" s="72">
        <f t="shared" si="11"/>
        <v>0</v>
      </c>
      <c r="AI18" s="64"/>
      <c r="AJ18" s="72">
        <f t="shared" si="28"/>
        <v>0</v>
      </c>
      <c r="AK18" s="64"/>
      <c r="AL18" s="72">
        <f t="shared" si="12"/>
        <v>0</v>
      </c>
      <c r="AM18" s="64"/>
      <c r="AN18" s="72">
        <f t="shared" si="13"/>
        <v>0</v>
      </c>
      <c r="AO18" s="64"/>
      <c r="AP18" s="72">
        <f t="shared" si="14"/>
        <v>0</v>
      </c>
      <c r="AQ18" s="64"/>
      <c r="AR18" s="72">
        <f t="shared" si="29"/>
        <v>0</v>
      </c>
      <c r="AS18" s="64"/>
      <c r="AT18" s="72">
        <f t="shared" si="30"/>
        <v>0</v>
      </c>
      <c r="AU18" s="64"/>
      <c r="AV18" s="72">
        <f t="shared" si="31"/>
        <v>0</v>
      </c>
      <c r="AW18" s="64"/>
      <c r="AX18" s="72">
        <f t="shared" si="32"/>
        <v>0</v>
      </c>
      <c r="AY18" s="64"/>
      <c r="AZ18" s="72">
        <f t="shared" si="33"/>
        <v>0</v>
      </c>
      <c r="BA18" s="64"/>
      <c r="BB18" s="72">
        <f t="shared" si="34"/>
        <v>0</v>
      </c>
      <c r="BC18" s="64"/>
      <c r="BD18" s="72">
        <f t="shared" si="35"/>
        <v>0</v>
      </c>
      <c r="BE18" s="66"/>
      <c r="BF18" s="72">
        <f t="shared" si="15"/>
        <v>0</v>
      </c>
      <c r="BG18" s="67"/>
      <c r="BH18" s="72">
        <f t="shared" si="36"/>
        <v>0</v>
      </c>
      <c r="BI18" s="67"/>
      <c r="BJ18" s="72">
        <f t="shared" si="37"/>
        <v>0</v>
      </c>
      <c r="BK18" s="67"/>
      <c r="BL18" s="72">
        <f t="shared" si="38"/>
        <v>0</v>
      </c>
      <c r="BM18" s="67"/>
      <c r="BN18" s="72">
        <f t="shared" si="39"/>
        <v>0</v>
      </c>
      <c r="BO18" s="67"/>
      <c r="BP18" s="72">
        <f t="shared" si="40"/>
        <v>0</v>
      </c>
      <c r="BQ18" s="67"/>
      <c r="BR18" s="72">
        <f t="shared" si="16"/>
        <v>0</v>
      </c>
      <c r="BS18" s="67"/>
      <c r="BT18" s="72">
        <f t="shared" si="41"/>
        <v>0</v>
      </c>
      <c r="BU18" s="67"/>
      <c r="BV18" s="72">
        <f t="shared" si="1"/>
        <v>0</v>
      </c>
      <c r="BW18" s="67"/>
      <c r="BX18" s="72">
        <f t="shared" si="42"/>
        <v>0</v>
      </c>
      <c r="BY18" s="67"/>
      <c r="BZ18" s="72">
        <f t="shared" si="17"/>
        <v>0</v>
      </c>
      <c r="CA18" s="67"/>
      <c r="CB18" s="72">
        <f t="shared" si="18"/>
        <v>0</v>
      </c>
      <c r="CC18" s="67"/>
      <c r="CD18" s="72">
        <f t="shared" si="19"/>
        <v>0</v>
      </c>
      <c r="CE18" s="67"/>
      <c r="CF18" s="72">
        <f t="shared" si="20"/>
        <v>0</v>
      </c>
      <c r="CG18" s="67"/>
      <c r="CH18" s="72">
        <f t="shared" si="21"/>
        <v>0</v>
      </c>
      <c r="CI18" s="67"/>
      <c r="CJ18" s="72">
        <f t="shared" si="2"/>
        <v>0</v>
      </c>
      <c r="CK18" s="67"/>
      <c r="CL18" s="71">
        <f t="shared" si="22"/>
        <v>0</v>
      </c>
      <c r="CM18" s="72"/>
      <c r="CN18" s="69"/>
      <c r="CO18" s="69"/>
    </row>
    <row r="19" spans="1:93" ht="25.5" customHeight="1" thickBot="1" x14ac:dyDescent="0.45">
      <c r="A19" s="70">
        <v>43937</v>
      </c>
      <c r="B19" s="48"/>
      <c r="C19" s="64"/>
      <c r="D19" s="71">
        <f t="shared" si="3"/>
        <v>0</v>
      </c>
      <c r="E19" s="64"/>
      <c r="F19" s="71">
        <f t="shared" si="4"/>
        <v>0</v>
      </c>
      <c r="G19" s="64"/>
      <c r="H19" s="71">
        <f t="shared" si="5"/>
        <v>0</v>
      </c>
      <c r="I19" s="64"/>
      <c r="J19" s="71">
        <f t="shared" si="43"/>
        <v>0</v>
      </c>
      <c r="K19" s="64"/>
      <c r="L19" s="71">
        <f t="shared" si="0"/>
        <v>0</v>
      </c>
      <c r="M19" s="64"/>
      <c r="N19" s="71">
        <f t="shared" si="6"/>
        <v>0</v>
      </c>
      <c r="O19" s="64"/>
      <c r="P19" s="72">
        <f t="shared" si="7"/>
        <v>0</v>
      </c>
      <c r="Q19" s="64"/>
      <c r="R19" s="72">
        <f t="shared" si="8"/>
        <v>0</v>
      </c>
      <c r="S19" s="64"/>
      <c r="T19" s="72">
        <f t="shared" si="44"/>
        <v>0</v>
      </c>
      <c r="U19" s="64"/>
      <c r="V19" s="72">
        <f t="shared" si="10"/>
        <v>0</v>
      </c>
      <c r="W19" s="64"/>
      <c r="X19" s="72">
        <f t="shared" si="23"/>
        <v>0</v>
      </c>
      <c r="Y19" s="64"/>
      <c r="Z19" s="72">
        <f t="shared" si="24"/>
        <v>0</v>
      </c>
      <c r="AA19" s="64"/>
      <c r="AB19" s="72">
        <f t="shared" si="25"/>
        <v>0</v>
      </c>
      <c r="AC19" s="64"/>
      <c r="AD19" s="72">
        <f t="shared" si="26"/>
        <v>0</v>
      </c>
      <c r="AE19" s="64"/>
      <c r="AF19" s="72">
        <f t="shared" si="27"/>
        <v>0</v>
      </c>
      <c r="AG19" s="64"/>
      <c r="AH19" s="72">
        <f t="shared" si="11"/>
        <v>0</v>
      </c>
      <c r="AI19" s="64"/>
      <c r="AJ19" s="72">
        <f t="shared" si="28"/>
        <v>0</v>
      </c>
      <c r="AK19" s="64"/>
      <c r="AL19" s="72">
        <f t="shared" si="12"/>
        <v>0</v>
      </c>
      <c r="AM19" s="64"/>
      <c r="AN19" s="72">
        <f t="shared" si="13"/>
        <v>0</v>
      </c>
      <c r="AO19" s="64"/>
      <c r="AP19" s="72">
        <f t="shared" si="14"/>
        <v>0</v>
      </c>
      <c r="AQ19" s="64"/>
      <c r="AR19" s="72">
        <f t="shared" si="29"/>
        <v>0</v>
      </c>
      <c r="AS19" s="64"/>
      <c r="AT19" s="72">
        <f t="shared" si="30"/>
        <v>0</v>
      </c>
      <c r="AU19" s="64"/>
      <c r="AV19" s="72">
        <f t="shared" si="31"/>
        <v>0</v>
      </c>
      <c r="AW19" s="64"/>
      <c r="AX19" s="72">
        <f t="shared" si="32"/>
        <v>0</v>
      </c>
      <c r="AY19" s="64"/>
      <c r="AZ19" s="72">
        <f t="shared" si="33"/>
        <v>0</v>
      </c>
      <c r="BA19" s="64"/>
      <c r="BB19" s="72">
        <f t="shared" si="34"/>
        <v>0</v>
      </c>
      <c r="BC19" s="64"/>
      <c r="BD19" s="72">
        <f t="shared" si="35"/>
        <v>0</v>
      </c>
      <c r="BE19" s="66"/>
      <c r="BF19" s="72">
        <f t="shared" si="15"/>
        <v>0</v>
      </c>
      <c r="BG19" s="67"/>
      <c r="BH19" s="72">
        <f t="shared" si="36"/>
        <v>0</v>
      </c>
      <c r="BI19" s="67"/>
      <c r="BJ19" s="72">
        <f t="shared" si="37"/>
        <v>0</v>
      </c>
      <c r="BK19" s="67"/>
      <c r="BL19" s="72">
        <f t="shared" si="38"/>
        <v>0</v>
      </c>
      <c r="BM19" s="67"/>
      <c r="BN19" s="72">
        <f t="shared" si="39"/>
        <v>0</v>
      </c>
      <c r="BO19" s="67"/>
      <c r="BP19" s="72">
        <f t="shared" si="40"/>
        <v>0</v>
      </c>
      <c r="BQ19" s="67"/>
      <c r="BR19" s="72">
        <f t="shared" si="16"/>
        <v>0</v>
      </c>
      <c r="BS19" s="67"/>
      <c r="BT19" s="72">
        <f t="shared" si="41"/>
        <v>0</v>
      </c>
      <c r="BU19" s="67"/>
      <c r="BV19" s="72">
        <f t="shared" si="1"/>
        <v>0</v>
      </c>
      <c r="BW19" s="67"/>
      <c r="BX19" s="72">
        <f t="shared" si="42"/>
        <v>0</v>
      </c>
      <c r="BY19" s="67"/>
      <c r="BZ19" s="72">
        <f t="shared" si="17"/>
        <v>0</v>
      </c>
      <c r="CA19" s="67"/>
      <c r="CB19" s="72">
        <f t="shared" si="18"/>
        <v>0</v>
      </c>
      <c r="CC19" s="67"/>
      <c r="CD19" s="72">
        <f t="shared" si="19"/>
        <v>0</v>
      </c>
      <c r="CE19" s="67"/>
      <c r="CF19" s="72">
        <f t="shared" si="20"/>
        <v>0</v>
      </c>
      <c r="CG19" s="67"/>
      <c r="CH19" s="72">
        <f t="shared" si="21"/>
        <v>0</v>
      </c>
      <c r="CI19" s="67"/>
      <c r="CJ19" s="72">
        <f t="shared" si="2"/>
        <v>0</v>
      </c>
      <c r="CK19" s="67"/>
      <c r="CL19" s="71">
        <f t="shared" si="22"/>
        <v>0</v>
      </c>
      <c r="CM19" s="72"/>
      <c r="CN19" s="69"/>
      <c r="CO19" s="69"/>
    </row>
    <row r="20" spans="1:93" ht="25.5" customHeight="1" thickBot="1" x14ac:dyDescent="0.45">
      <c r="A20" s="70">
        <v>43938</v>
      </c>
      <c r="B20" s="48"/>
      <c r="C20" s="64"/>
      <c r="D20" s="71">
        <f t="shared" si="3"/>
        <v>0</v>
      </c>
      <c r="E20" s="64"/>
      <c r="F20" s="71">
        <f t="shared" si="4"/>
        <v>0</v>
      </c>
      <c r="G20" s="64"/>
      <c r="H20" s="71">
        <f t="shared" si="5"/>
        <v>0</v>
      </c>
      <c r="I20" s="64"/>
      <c r="J20" s="71">
        <f t="shared" si="43"/>
        <v>0</v>
      </c>
      <c r="K20" s="64"/>
      <c r="L20" s="71">
        <f t="shared" si="0"/>
        <v>0</v>
      </c>
      <c r="M20" s="64"/>
      <c r="N20" s="71">
        <f t="shared" si="6"/>
        <v>0</v>
      </c>
      <c r="O20" s="64"/>
      <c r="P20" s="72">
        <f t="shared" si="7"/>
        <v>0</v>
      </c>
      <c r="Q20" s="64"/>
      <c r="R20" s="72">
        <f t="shared" si="8"/>
        <v>0</v>
      </c>
      <c r="S20" s="64"/>
      <c r="T20" s="72">
        <f t="shared" si="44"/>
        <v>0</v>
      </c>
      <c r="U20" s="64"/>
      <c r="V20" s="72">
        <f t="shared" si="10"/>
        <v>0</v>
      </c>
      <c r="W20" s="64"/>
      <c r="X20" s="72">
        <f t="shared" si="23"/>
        <v>0</v>
      </c>
      <c r="Y20" s="64"/>
      <c r="Z20" s="72">
        <f t="shared" si="24"/>
        <v>0</v>
      </c>
      <c r="AA20" s="64"/>
      <c r="AB20" s="72">
        <f t="shared" si="25"/>
        <v>0</v>
      </c>
      <c r="AC20" s="64"/>
      <c r="AD20" s="72">
        <f t="shared" si="26"/>
        <v>0</v>
      </c>
      <c r="AE20" s="64"/>
      <c r="AF20" s="72">
        <f t="shared" si="27"/>
        <v>0</v>
      </c>
      <c r="AG20" s="64"/>
      <c r="AH20" s="72">
        <f t="shared" si="11"/>
        <v>0</v>
      </c>
      <c r="AI20" s="64"/>
      <c r="AJ20" s="72">
        <f t="shared" si="28"/>
        <v>0</v>
      </c>
      <c r="AK20" s="64"/>
      <c r="AL20" s="72">
        <f t="shared" si="12"/>
        <v>0</v>
      </c>
      <c r="AM20" s="64"/>
      <c r="AN20" s="72">
        <f t="shared" si="13"/>
        <v>0</v>
      </c>
      <c r="AO20" s="64"/>
      <c r="AP20" s="72">
        <f t="shared" si="14"/>
        <v>0</v>
      </c>
      <c r="AQ20" s="64"/>
      <c r="AR20" s="72">
        <f t="shared" si="29"/>
        <v>0</v>
      </c>
      <c r="AS20" s="64"/>
      <c r="AT20" s="72">
        <f t="shared" si="30"/>
        <v>0</v>
      </c>
      <c r="AU20" s="64"/>
      <c r="AV20" s="72">
        <f t="shared" si="31"/>
        <v>0</v>
      </c>
      <c r="AW20" s="64"/>
      <c r="AX20" s="72">
        <f t="shared" si="32"/>
        <v>0</v>
      </c>
      <c r="AY20" s="64"/>
      <c r="AZ20" s="72">
        <f t="shared" si="33"/>
        <v>0</v>
      </c>
      <c r="BA20" s="64"/>
      <c r="BB20" s="72">
        <f t="shared" si="34"/>
        <v>0</v>
      </c>
      <c r="BC20" s="64"/>
      <c r="BD20" s="72">
        <f t="shared" si="35"/>
        <v>0</v>
      </c>
      <c r="BE20" s="66"/>
      <c r="BF20" s="72">
        <f t="shared" si="15"/>
        <v>0</v>
      </c>
      <c r="BG20" s="67"/>
      <c r="BH20" s="72">
        <f t="shared" si="36"/>
        <v>0</v>
      </c>
      <c r="BI20" s="67"/>
      <c r="BJ20" s="72">
        <f t="shared" si="37"/>
        <v>0</v>
      </c>
      <c r="BK20" s="67"/>
      <c r="BL20" s="72">
        <f t="shared" si="38"/>
        <v>0</v>
      </c>
      <c r="BM20" s="67"/>
      <c r="BN20" s="72">
        <f t="shared" si="39"/>
        <v>0</v>
      </c>
      <c r="BO20" s="67"/>
      <c r="BP20" s="72">
        <f t="shared" si="40"/>
        <v>0</v>
      </c>
      <c r="BQ20" s="67"/>
      <c r="BR20" s="72">
        <f t="shared" si="16"/>
        <v>0</v>
      </c>
      <c r="BS20" s="67"/>
      <c r="BT20" s="72">
        <f t="shared" si="41"/>
        <v>0</v>
      </c>
      <c r="BU20" s="67"/>
      <c r="BV20" s="72">
        <f t="shared" si="1"/>
        <v>0</v>
      </c>
      <c r="BW20" s="67"/>
      <c r="BX20" s="72">
        <f t="shared" si="42"/>
        <v>0</v>
      </c>
      <c r="BY20" s="67"/>
      <c r="BZ20" s="72">
        <f t="shared" si="17"/>
        <v>0</v>
      </c>
      <c r="CA20" s="67"/>
      <c r="CB20" s="72">
        <f t="shared" si="18"/>
        <v>0</v>
      </c>
      <c r="CC20" s="67"/>
      <c r="CD20" s="72">
        <f t="shared" si="19"/>
        <v>0</v>
      </c>
      <c r="CE20" s="67"/>
      <c r="CF20" s="72">
        <f t="shared" si="20"/>
        <v>0</v>
      </c>
      <c r="CG20" s="67"/>
      <c r="CH20" s="72">
        <f t="shared" si="21"/>
        <v>0</v>
      </c>
      <c r="CI20" s="67"/>
      <c r="CJ20" s="72">
        <f t="shared" si="2"/>
        <v>0</v>
      </c>
      <c r="CK20" s="67"/>
      <c r="CL20" s="71">
        <f t="shared" si="22"/>
        <v>0</v>
      </c>
      <c r="CM20" s="72"/>
      <c r="CN20" s="69"/>
      <c r="CO20" s="69"/>
    </row>
    <row r="21" spans="1:93" ht="25.5" customHeight="1" thickBot="1" x14ac:dyDescent="0.45">
      <c r="A21" s="70">
        <v>43939</v>
      </c>
      <c r="B21" s="48"/>
      <c r="C21" s="64"/>
      <c r="D21" s="71">
        <f t="shared" si="3"/>
        <v>0</v>
      </c>
      <c r="E21" s="64"/>
      <c r="F21" s="71">
        <f t="shared" si="4"/>
        <v>0</v>
      </c>
      <c r="G21" s="64"/>
      <c r="H21" s="71">
        <f t="shared" si="5"/>
        <v>0</v>
      </c>
      <c r="I21" s="64"/>
      <c r="J21" s="71">
        <f t="shared" si="43"/>
        <v>0</v>
      </c>
      <c r="K21" s="64"/>
      <c r="L21" s="71">
        <f t="shared" si="0"/>
        <v>0</v>
      </c>
      <c r="M21" s="64"/>
      <c r="N21" s="71">
        <f t="shared" si="6"/>
        <v>0</v>
      </c>
      <c r="O21" s="64"/>
      <c r="P21" s="72">
        <f t="shared" si="7"/>
        <v>0</v>
      </c>
      <c r="Q21" s="64"/>
      <c r="R21" s="72">
        <f t="shared" si="8"/>
        <v>0</v>
      </c>
      <c r="S21" s="64"/>
      <c r="T21" s="72">
        <f t="shared" si="44"/>
        <v>0</v>
      </c>
      <c r="U21" s="64"/>
      <c r="V21" s="72">
        <f t="shared" si="10"/>
        <v>0</v>
      </c>
      <c r="W21" s="64"/>
      <c r="X21" s="72">
        <f t="shared" si="23"/>
        <v>0</v>
      </c>
      <c r="Y21" s="64"/>
      <c r="Z21" s="72">
        <f t="shared" si="24"/>
        <v>0</v>
      </c>
      <c r="AA21" s="64"/>
      <c r="AB21" s="72">
        <f t="shared" si="25"/>
        <v>0</v>
      </c>
      <c r="AC21" s="64"/>
      <c r="AD21" s="72">
        <f t="shared" si="26"/>
        <v>0</v>
      </c>
      <c r="AE21" s="64"/>
      <c r="AF21" s="72">
        <f t="shared" si="27"/>
        <v>0</v>
      </c>
      <c r="AG21" s="64"/>
      <c r="AH21" s="72">
        <f t="shared" si="11"/>
        <v>0</v>
      </c>
      <c r="AI21" s="64"/>
      <c r="AJ21" s="72">
        <f t="shared" si="28"/>
        <v>0</v>
      </c>
      <c r="AK21" s="64"/>
      <c r="AL21" s="72">
        <f t="shared" si="12"/>
        <v>0</v>
      </c>
      <c r="AM21" s="64"/>
      <c r="AN21" s="72">
        <f t="shared" si="13"/>
        <v>0</v>
      </c>
      <c r="AO21" s="64"/>
      <c r="AP21" s="72">
        <f t="shared" si="14"/>
        <v>0</v>
      </c>
      <c r="AQ21" s="64"/>
      <c r="AR21" s="72">
        <f t="shared" si="29"/>
        <v>0</v>
      </c>
      <c r="AS21" s="64"/>
      <c r="AT21" s="72">
        <f t="shared" si="30"/>
        <v>0</v>
      </c>
      <c r="AU21" s="64"/>
      <c r="AV21" s="72">
        <f t="shared" si="31"/>
        <v>0</v>
      </c>
      <c r="AW21" s="64"/>
      <c r="AX21" s="72">
        <f t="shared" si="32"/>
        <v>0</v>
      </c>
      <c r="AY21" s="64"/>
      <c r="AZ21" s="72">
        <f t="shared" si="33"/>
        <v>0</v>
      </c>
      <c r="BA21" s="64"/>
      <c r="BB21" s="72">
        <f t="shared" si="34"/>
        <v>0</v>
      </c>
      <c r="BC21" s="64"/>
      <c r="BD21" s="72">
        <f t="shared" si="35"/>
        <v>0</v>
      </c>
      <c r="BE21" s="66"/>
      <c r="BF21" s="72">
        <f t="shared" si="15"/>
        <v>0</v>
      </c>
      <c r="BG21" s="67"/>
      <c r="BH21" s="72">
        <f t="shared" si="36"/>
        <v>0</v>
      </c>
      <c r="BI21" s="67"/>
      <c r="BJ21" s="72">
        <f t="shared" si="37"/>
        <v>0</v>
      </c>
      <c r="BK21" s="67"/>
      <c r="BL21" s="72">
        <f t="shared" si="38"/>
        <v>0</v>
      </c>
      <c r="BM21" s="67"/>
      <c r="BN21" s="72">
        <f t="shared" si="39"/>
        <v>0</v>
      </c>
      <c r="BO21" s="67"/>
      <c r="BP21" s="72">
        <f t="shared" si="40"/>
        <v>0</v>
      </c>
      <c r="BQ21" s="67"/>
      <c r="BR21" s="72">
        <f t="shared" si="16"/>
        <v>0</v>
      </c>
      <c r="BS21" s="67"/>
      <c r="BT21" s="72">
        <f t="shared" si="41"/>
        <v>0</v>
      </c>
      <c r="BU21" s="67"/>
      <c r="BV21" s="72">
        <f t="shared" si="1"/>
        <v>0</v>
      </c>
      <c r="BW21" s="67"/>
      <c r="BX21" s="72">
        <f t="shared" si="42"/>
        <v>0</v>
      </c>
      <c r="BY21" s="67"/>
      <c r="BZ21" s="72">
        <f t="shared" si="17"/>
        <v>0</v>
      </c>
      <c r="CA21" s="67"/>
      <c r="CB21" s="72">
        <f t="shared" si="18"/>
        <v>0</v>
      </c>
      <c r="CC21" s="67"/>
      <c r="CD21" s="72">
        <f t="shared" si="19"/>
        <v>0</v>
      </c>
      <c r="CE21" s="67"/>
      <c r="CF21" s="72">
        <f t="shared" si="20"/>
        <v>0</v>
      </c>
      <c r="CG21" s="67"/>
      <c r="CH21" s="72">
        <f t="shared" si="21"/>
        <v>0</v>
      </c>
      <c r="CI21" s="67"/>
      <c r="CJ21" s="72">
        <f t="shared" si="2"/>
        <v>0</v>
      </c>
      <c r="CK21" s="67"/>
      <c r="CL21" s="71">
        <f t="shared" si="22"/>
        <v>0</v>
      </c>
      <c r="CM21" s="72"/>
      <c r="CN21" s="69"/>
      <c r="CO21" s="69"/>
    </row>
    <row r="22" spans="1:93" ht="25.5" customHeight="1" thickBot="1" x14ac:dyDescent="0.45">
      <c r="A22" s="70">
        <v>43940</v>
      </c>
      <c r="B22" s="48"/>
      <c r="C22" s="64"/>
      <c r="D22" s="71">
        <f t="shared" si="3"/>
        <v>0</v>
      </c>
      <c r="E22" s="64"/>
      <c r="F22" s="71">
        <f t="shared" si="4"/>
        <v>0</v>
      </c>
      <c r="G22" s="64"/>
      <c r="H22" s="71">
        <f t="shared" si="5"/>
        <v>0</v>
      </c>
      <c r="I22" s="64"/>
      <c r="J22" s="71">
        <f t="shared" si="43"/>
        <v>0</v>
      </c>
      <c r="K22" s="64"/>
      <c r="L22" s="71">
        <f t="shared" si="0"/>
        <v>0</v>
      </c>
      <c r="M22" s="64"/>
      <c r="N22" s="71">
        <f t="shared" si="6"/>
        <v>0</v>
      </c>
      <c r="O22" s="64"/>
      <c r="P22" s="72">
        <f t="shared" si="7"/>
        <v>0</v>
      </c>
      <c r="Q22" s="64"/>
      <c r="R22" s="72">
        <f t="shared" si="8"/>
        <v>0</v>
      </c>
      <c r="S22" s="64"/>
      <c r="T22" s="72">
        <f t="shared" si="44"/>
        <v>0</v>
      </c>
      <c r="U22" s="64"/>
      <c r="V22" s="72">
        <f t="shared" si="10"/>
        <v>0</v>
      </c>
      <c r="W22" s="64"/>
      <c r="X22" s="72">
        <f t="shared" si="23"/>
        <v>0</v>
      </c>
      <c r="Y22" s="64"/>
      <c r="Z22" s="72">
        <f t="shared" si="24"/>
        <v>0</v>
      </c>
      <c r="AA22" s="64"/>
      <c r="AB22" s="72">
        <f t="shared" si="25"/>
        <v>0</v>
      </c>
      <c r="AC22" s="64"/>
      <c r="AD22" s="72">
        <f t="shared" si="26"/>
        <v>0</v>
      </c>
      <c r="AE22" s="64"/>
      <c r="AF22" s="72">
        <f t="shared" si="27"/>
        <v>0</v>
      </c>
      <c r="AG22" s="64"/>
      <c r="AH22" s="72">
        <f t="shared" si="11"/>
        <v>0</v>
      </c>
      <c r="AI22" s="64"/>
      <c r="AJ22" s="72">
        <f t="shared" si="28"/>
        <v>0</v>
      </c>
      <c r="AK22" s="64"/>
      <c r="AL22" s="72">
        <f t="shared" si="12"/>
        <v>0</v>
      </c>
      <c r="AM22" s="64"/>
      <c r="AN22" s="72">
        <f t="shared" si="13"/>
        <v>0</v>
      </c>
      <c r="AO22" s="64"/>
      <c r="AP22" s="72">
        <f t="shared" si="14"/>
        <v>0</v>
      </c>
      <c r="AQ22" s="64"/>
      <c r="AR22" s="72">
        <f t="shared" si="29"/>
        <v>0</v>
      </c>
      <c r="AS22" s="64"/>
      <c r="AT22" s="72">
        <f t="shared" si="30"/>
        <v>0</v>
      </c>
      <c r="AU22" s="64"/>
      <c r="AV22" s="72">
        <f t="shared" si="31"/>
        <v>0</v>
      </c>
      <c r="AW22" s="64"/>
      <c r="AX22" s="72">
        <f t="shared" si="32"/>
        <v>0</v>
      </c>
      <c r="AY22" s="64"/>
      <c r="AZ22" s="72">
        <f t="shared" si="33"/>
        <v>0</v>
      </c>
      <c r="BA22" s="64"/>
      <c r="BB22" s="72">
        <f t="shared" si="34"/>
        <v>0</v>
      </c>
      <c r="BC22" s="64"/>
      <c r="BD22" s="72">
        <f t="shared" si="35"/>
        <v>0</v>
      </c>
      <c r="BE22" s="66"/>
      <c r="BF22" s="72">
        <f t="shared" si="15"/>
        <v>0</v>
      </c>
      <c r="BG22" s="67"/>
      <c r="BH22" s="72">
        <f t="shared" si="36"/>
        <v>0</v>
      </c>
      <c r="BI22" s="67"/>
      <c r="BJ22" s="72">
        <f t="shared" si="37"/>
        <v>0</v>
      </c>
      <c r="BK22" s="67"/>
      <c r="BL22" s="72">
        <f t="shared" si="38"/>
        <v>0</v>
      </c>
      <c r="BM22" s="67"/>
      <c r="BN22" s="72">
        <f t="shared" si="39"/>
        <v>0</v>
      </c>
      <c r="BO22" s="67"/>
      <c r="BP22" s="72">
        <f t="shared" si="40"/>
        <v>0</v>
      </c>
      <c r="BQ22" s="67"/>
      <c r="BR22" s="72">
        <f t="shared" si="16"/>
        <v>0</v>
      </c>
      <c r="BS22" s="67"/>
      <c r="BT22" s="72">
        <f t="shared" si="41"/>
        <v>0</v>
      </c>
      <c r="BU22" s="67"/>
      <c r="BV22" s="72">
        <f t="shared" si="1"/>
        <v>0</v>
      </c>
      <c r="BW22" s="67"/>
      <c r="BX22" s="72">
        <f t="shared" si="42"/>
        <v>0</v>
      </c>
      <c r="BY22" s="67"/>
      <c r="BZ22" s="72">
        <f t="shared" si="17"/>
        <v>0</v>
      </c>
      <c r="CA22" s="67"/>
      <c r="CB22" s="72">
        <f t="shared" si="18"/>
        <v>0</v>
      </c>
      <c r="CC22" s="67"/>
      <c r="CD22" s="72">
        <f t="shared" si="19"/>
        <v>0</v>
      </c>
      <c r="CE22" s="67"/>
      <c r="CF22" s="72">
        <f t="shared" si="20"/>
        <v>0</v>
      </c>
      <c r="CG22" s="67"/>
      <c r="CH22" s="72">
        <f t="shared" si="21"/>
        <v>0</v>
      </c>
      <c r="CI22" s="67"/>
      <c r="CJ22" s="72">
        <f t="shared" si="2"/>
        <v>0</v>
      </c>
      <c r="CK22" s="67"/>
      <c r="CL22" s="71">
        <f t="shared" si="22"/>
        <v>0</v>
      </c>
      <c r="CM22" s="72"/>
      <c r="CN22" s="69"/>
      <c r="CO22" s="69"/>
    </row>
    <row r="23" spans="1:93" ht="25.5" customHeight="1" thickBot="1" x14ac:dyDescent="0.45">
      <c r="A23" s="70">
        <v>43941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</v>
      </c>
      <c r="R35" s="76">
        <f>SUM(R4:R33)</f>
        <v>19</v>
      </c>
      <c r="AX35" s="72">
        <f t="shared" si="32"/>
        <v>0</v>
      </c>
      <c r="BF35" s="76">
        <f>SUM(BF4:BF33)</f>
        <v>112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4" zoomScaleNormal="100" workbookViewId="0">
      <selection activeCell="B12" sqref="B12:Q1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/>
      <c r="C13" s="44"/>
      <c r="D13" s="44"/>
      <c r="E13" s="45"/>
      <c r="F13" s="45"/>
      <c r="G13" s="45"/>
      <c r="H13" s="45"/>
      <c r="I13" s="45"/>
      <c r="J13" s="45"/>
      <c r="K13" s="46"/>
      <c r="L13" s="46"/>
      <c r="M13" s="46"/>
      <c r="N13" s="43"/>
      <c r="O13" s="43"/>
      <c r="P13" s="43"/>
      <c r="Q13" s="43"/>
    </row>
    <row r="14" spans="1:17" x14ac:dyDescent="0.25">
      <c r="A14" s="27">
        <v>43927</v>
      </c>
      <c r="B14" s="44"/>
      <c r="C14" s="44"/>
      <c r="D14" s="44"/>
      <c r="E14" s="45"/>
      <c r="F14" s="45"/>
      <c r="G14" s="45"/>
      <c r="H14" s="45"/>
      <c r="I14" s="45"/>
      <c r="J14" s="45"/>
      <c r="K14" s="46"/>
      <c r="L14" s="46"/>
      <c r="M14" s="46"/>
      <c r="N14" s="43"/>
      <c r="O14" s="43"/>
      <c r="P14" s="43"/>
      <c r="Q14" s="43"/>
    </row>
    <row r="15" spans="1:17" x14ac:dyDescent="0.25">
      <c r="A15" s="27">
        <v>43928</v>
      </c>
      <c r="B15" s="44"/>
      <c r="C15" s="44"/>
      <c r="D15" s="44"/>
      <c r="E15" s="45"/>
      <c r="F15" s="45"/>
      <c r="G15" s="45"/>
      <c r="H15" s="45"/>
      <c r="I15" s="45"/>
      <c r="J15" s="45"/>
      <c r="K15" s="46"/>
      <c r="L15" s="46"/>
      <c r="M15" s="46"/>
      <c r="N15" s="43"/>
      <c r="O15" s="43"/>
      <c r="P15" s="43"/>
      <c r="Q15" s="43"/>
    </row>
    <row r="16" spans="1:17" x14ac:dyDescent="0.25">
      <c r="A16" s="27">
        <v>43929</v>
      </c>
      <c r="B16" s="44"/>
      <c r="C16" s="44"/>
      <c r="D16" s="44"/>
      <c r="E16" s="45"/>
      <c r="F16" s="45"/>
      <c r="G16" s="45"/>
      <c r="H16" s="45"/>
      <c r="I16" s="45"/>
      <c r="J16" s="45"/>
      <c r="K16" s="46"/>
      <c r="L16" s="46"/>
      <c r="M16" s="46"/>
      <c r="N16" s="43"/>
      <c r="O16" s="43"/>
      <c r="P16" s="43"/>
      <c r="Q16" s="43"/>
    </row>
    <row r="17" spans="1:17" x14ac:dyDescent="0.25">
      <c r="A17" s="27">
        <v>43930</v>
      </c>
      <c r="B17" s="44"/>
      <c r="C17" s="44"/>
      <c r="D17" s="44"/>
      <c r="E17" s="45"/>
      <c r="F17" s="45"/>
      <c r="G17" s="45"/>
      <c r="H17" s="45"/>
      <c r="I17" s="45"/>
      <c r="J17" s="45"/>
      <c r="K17" s="46"/>
      <c r="L17" s="46"/>
      <c r="M17" s="46"/>
      <c r="N17" s="43"/>
      <c r="O17" s="43"/>
      <c r="P17" s="43"/>
      <c r="Q17" s="43"/>
    </row>
    <row r="18" spans="1:17" x14ac:dyDescent="0.25">
      <c r="A18" s="27">
        <v>43931</v>
      </c>
      <c r="B18" s="44"/>
      <c r="C18" s="44"/>
      <c r="D18" s="44"/>
      <c r="E18" s="45"/>
      <c r="F18" s="45"/>
      <c r="G18" s="45"/>
      <c r="H18" s="45"/>
      <c r="I18" s="45"/>
      <c r="J18" s="45"/>
      <c r="K18" s="46"/>
      <c r="L18" s="46"/>
      <c r="M18" s="46"/>
      <c r="N18" s="43"/>
      <c r="O18" s="43"/>
      <c r="P18" s="43"/>
      <c r="Q18" s="43"/>
    </row>
    <row r="19" spans="1:17" x14ac:dyDescent="0.25">
      <c r="A19" s="27">
        <v>43932</v>
      </c>
      <c r="B19" s="44"/>
      <c r="C19" s="44"/>
      <c r="D19" s="44"/>
      <c r="E19" s="45"/>
      <c r="F19" s="45"/>
      <c r="G19" s="45"/>
      <c r="H19" s="45"/>
      <c r="I19" s="45"/>
      <c r="J19" s="45"/>
      <c r="K19" s="46"/>
      <c r="L19" s="46"/>
      <c r="M19" s="46"/>
      <c r="N19" s="43"/>
      <c r="O19" s="43"/>
      <c r="P19" s="43"/>
      <c r="Q19" s="43"/>
    </row>
    <row r="20" spans="1:17" x14ac:dyDescent="0.25">
      <c r="A20" s="27">
        <v>43933</v>
      </c>
      <c r="B20" s="44"/>
      <c r="C20" s="44"/>
      <c r="D20" s="44"/>
      <c r="E20" s="45"/>
      <c r="F20" s="45"/>
      <c r="G20" s="45"/>
      <c r="H20" s="45"/>
      <c r="I20" s="45"/>
      <c r="J20" s="45"/>
      <c r="K20" s="46"/>
      <c r="L20" s="46"/>
      <c r="M20" s="46"/>
      <c r="N20" s="43"/>
      <c r="O20" s="43"/>
      <c r="P20" s="43"/>
      <c r="Q20" s="43"/>
    </row>
    <row r="21" spans="1:17" x14ac:dyDescent="0.25">
      <c r="A21" s="27">
        <v>43934</v>
      </c>
      <c r="B21" s="44"/>
      <c r="C21" s="44"/>
      <c r="D21" s="44"/>
      <c r="E21" s="45"/>
      <c r="F21" s="45"/>
      <c r="G21" s="45"/>
      <c r="H21" s="45"/>
      <c r="I21" s="45"/>
      <c r="J21" s="45"/>
      <c r="K21" s="46"/>
      <c r="L21" s="46"/>
      <c r="M21" s="46"/>
      <c r="N21" s="43"/>
      <c r="O21" s="43"/>
      <c r="P21" s="43"/>
      <c r="Q21" s="43"/>
    </row>
    <row r="22" spans="1:17" x14ac:dyDescent="0.25">
      <c r="A22" s="27">
        <v>43935</v>
      </c>
      <c r="B22" s="44"/>
      <c r="C22" s="44"/>
      <c r="D22" s="44"/>
      <c r="E22" s="45"/>
      <c r="F22" s="45"/>
      <c r="G22" s="45"/>
      <c r="H22" s="45"/>
      <c r="I22" s="45"/>
      <c r="J22" s="45"/>
      <c r="K22" s="46"/>
      <c r="L22" s="46"/>
      <c r="M22" s="46"/>
      <c r="N22" s="43"/>
      <c r="O22" s="43"/>
      <c r="P22" s="43"/>
      <c r="Q22" s="43"/>
    </row>
    <row r="23" spans="1:17" x14ac:dyDescent="0.25">
      <c r="A23" s="27">
        <v>43936</v>
      </c>
      <c r="B23" s="44"/>
      <c r="C23" s="44"/>
      <c r="D23" s="44"/>
      <c r="E23" s="45"/>
      <c r="F23" s="45"/>
      <c r="G23" s="45"/>
      <c r="H23" s="45"/>
      <c r="I23" s="45"/>
      <c r="J23" s="45"/>
      <c r="K23" s="46"/>
      <c r="L23" s="46"/>
      <c r="M23" s="46"/>
      <c r="N23" s="43"/>
      <c r="O23" s="43"/>
      <c r="P23" s="43"/>
      <c r="Q23" s="43"/>
    </row>
    <row r="24" spans="1:17" x14ac:dyDescent="0.25">
      <c r="A24" s="27">
        <v>43937</v>
      </c>
      <c r="B24" s="44"/>
      <c r="C24" s="44"/>
      <c r="D24" s="44"/>
      <c r="E24" s="45"/>
      <c r="F24" s="45"/>
      <c r="G24" s="45"/>
      <c r="H24" s="45"/>
      <c r="I24" s="45"/>
      <c r="J24" s="45"/>
      <c r="K24" s="46"/>
      <c r="L24" s="46"/>
      <c r="M24" s="46"/>
      <c r="N24" s="43"/>
      <c r="O24" s="43"/>
      <c r="P24" s="43"/>
      <c r="Q24" s="43"/>
    </row>
    <row r="25" spans="1:17" x14ac:dyDescent="0.25">
      <c r="A25" s="27">
        <v>43938</v>
      </c>
      <c r="B25" s="44"/>
      <c r="C25" s="44"/>
      <c r="D25" s="44"/>
      <c r="E25" s="45"/>
      <c r="F25" s="45"/>
      <c r="G25" s="45"/>
      <c r="H25" s="45"/>
      <c r="I25" s="45"/>
      <c r="J25" s="45"/>
      <c r="K25" s="46"/>
      <c r="L25" s="46"/>
      <c r="M25" s="46"/>
      <c r="N25" s="43"/>
      <c r="O25" s="43"/>
      <c r="P25" s="43"/>
      <c r="Q25" s="43"/>
    </row>
    <row r="26" spans="1:17" x14ac:dyDescent="0.25">
      <c r="A26" s="27">
        <v>43939</v>
      </c>
      <c r="B26" s="44"/>
      <c r="C26" s="44"/>
      <c r="D26" s="44"/>
      <c r="E26" s="45"/>
      <c r="F26" s="45"/>
      <c r="G26" s="45"/>
      <c r="H26" s="45"/>
      <c r="I26" s="45"/>
      <c r="J26" s="45"/>
      <c r="K26" s="46"/>
      <c r="L26" s="46"/>
      <c r="M26" s="46"/>
      <c r="N26" s="43"/>
      <c r="O26" s="43"/>
      <c r="P26" s="43"/>
      <c r="Q26" s="43"/>
    </row>
    <row r="27" spans="1:17" x14ac:dyDescent="0.25">
      <c r="A27" s="27">
        <v>43940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2020-04-05T05:59:27Z</dcterms:modified>
</cp:coreProperties>
</file>