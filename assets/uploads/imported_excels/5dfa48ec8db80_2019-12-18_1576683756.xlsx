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drawings/drawing8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charts/chart29.xml" ContentType="application/vnd.openxmlformats-officedocument.drawingml.chart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harts/chart36.xml" ContentType="application/vnd.openxmlformats-officedocument.drawingml.chart+xml"/>
  <Override PartName="/xl/charts/chart38.xml" ContentType="application/vnd.openxmlformats-officedocument.drawingml.char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charts/chart34.xml" ContentType="application/vnd.openxmlformats-officedocument.drawingml.chart+xml"/>
  <Override PartName="/xl/charts/chart45.xml" ContentType="application/vnd.openxmlformats-officedocument.drawingml.chart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23.xml" ContentType="application/vnd.openxmlformats-officedocument.drawingml.chart+xml"/>
  <Override PartName="/xl/charts/chart32.xml" ContentType="application/vnd.openxmlformats-officedocument.drawingml.chart+xml"/>
  <Override PartName="/xl/charts/chart43.xml" ContentType="application/vnd.openxmlformats-officedocument.drawingml.chart+xml"/>
  <Override PartName="/xl/worksheets/sheet18.xml" ContentType="application/vnd.openxmlformats-officedocument.spreadsheetml.worksheet+xml"/>
  <Override PartName="/xl/charts/chart9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30.xml" ContentType="application/vnd.openxmlformats-officedocument.drawingml.chart+xml"/>
  <Override PartName="/xl/charts/chart41.xml" ContentType="application/vnd.openxmlformats-officedocument.drawingml.char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Default Extension="png" ContentType="image/png"/>
  <Override PartName="/xl/drawings/drawing9.xml" ContentType="application/vnd.openxmlformats-officedocument.drawing+xml"/>
  <Override PartName="/xl/worksheets/sheet14.xml" ContentType="application/vnd.openxmlformats-officedocument.spreadsheetml.worksheet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Default Extension="jpeg" ContentType="image/jpeg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39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charts/chart37.xml" ContentType="application/vnd.openxmlformats-officedocument.drawingml.chart+xml"/>
  <Override PartName="/xl/charts/chart46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harts/chart35.xml" ContentType="application/vnd.openxmlformats-officedocument.drawingml.chart+xml"/>
  <Override PartName="/xl/charts/chart44.xml" ContentType="application/vnd.openxmlformats-officedocument.drawingml.chart+xml"/>
  <Override PartName="/xl/calcChain.xml" ContentType="application/vnd.openxmlformats-officedocument.spreadsheetml.calcChain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24.xml" ContentType="application/vnd.openxmlformats-officedocument.drawingml.chart+xml"/>
  <Override PartName="/xl/charts/chart33.xml" ContentType="application/vnd.openxmlformats-officedocument.drawingml.chart+xml"/>
  <Override PartName="/xl/charts/chart42.xml" ContentType="application/vnd.openxmlformats-officedocument.drawingml.chart+xml"/>
  <Override PartName="/xl/worksheets/sheet17.xml" ContentType="application/vnd.openxmlformats-officedocument.spreadsheetml.worksheet+xml"/>
  <Override PartName="/xl/charts/chart8.xml" ContentType="application/vnd.openxmlformats-officedocument.drawingml.chart+xml"/>
  <Override PartName="/xl/charts/chart11.xml" ContentType="application/vnd.openxmlformats-officedocument.drawingml.chart+xml"/>
  <Override PartName="/xl/charts/chart22.xml" ContentType="application/vnd.openxmlformats-officedocument.drawingml.chart+xml"/>
  <Override PartName="/xl/charts/chart31.xml" ContentType="application/vnd.openxmlformats-officedocument.drawingml.chart+xml"/>
  <Override PartName="/xl/charts/chart40.xml" ContentType="application/vnd.openxmlformats-officedocument.drawingml.char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28800" windowHeight="12435" firstSheet="8" activeTab="17"/>
  </bookViews>
  <sheets>
    <sheet name="Total" sheetId="26" r:id="rId1"/>
    <sheet name="Submetering" sheetId="25" r:id="rId2"/>
    <sheet name="UTILITY REPORT 1" sheetId="24" r:id="rId3"/>
    <sheet name="Utility summery" sheetId="14" r:id="rId4"/>
    <sheet name="Utility report " sheetId="13" r:id="rId5"/>
    <sheet name="Kit report" sheetId="18" r:id="rId6"/>
    <sheet name="Summery Report" sheetId="11" r:id="rId7"/>
    <sheet name="Daily report Gen" sheetId="12" r:id="rId8"/>
    <sheet name="Gen" sheetId="1" r:id="rId9"/>
    <sheet name="Energy Graph" sheetId="7" r:id="rId10"/>
    <sheet name="Lpg (2)" sheetId="15" r:id="rId11"/>
    <sheet name="LPG_Graph" sheetId="8" r:id="rId12"/>
    <sheet name="Water-Meter" sheetId="3" r:id="rId13"/>
    <sheet name="Water_Graph " sheetId="9" r:id="rId14"/>
    <sheet name="Sheet1" sheetId="10" r:id="rId15"/>
    <sheet name="VODACOM AND AIRTEL" sheetId="20" r:id="rId16"/>
    <sheet name="FUEL METER READING" sheetId="22" r:id="rId17"/>
    <sheet name="Daily utility report " sheetId="23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</externalReferenc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47" i="3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46"/>
  <c r="B22" i="23"/>
  <c r="G54" i="22"/>
  <c r="I54" s="1"/>
  <c r="B54"/>
  <c r="D54" s="1"/>
  <c r="F54" s="1"/>
  <c r="G53"/>
  <c r="I53" s="1"/>
  <c r="B53"/>
  <c r="D53" s="1"/>
  <c r="F53" s="1"/>
  <c r="G52"/>
  <c r="I52" s="1"/>
  <c r="F52"/>
  <c r="D52"/>
  <c r="B52"/>
  <c r="K51"/>
  <c r="I51"/>
  <c r="G51"/>
  <c r="D51"/>
  <c r="L51" s="1"/>
  <c r="B51"/>
  <c r="I50"/>
  <c r="K50" s="1"/>
  <c r="G50"/>
  <c r="B50"/>
  <c r="D50" s="1"/>
  <c r="F50" s="1"/>
  <c r="G49"/>
  <c r="I49" s="1"/>
  <c r="B49"/>
  <c r="D49" s="1"/>
  <c r="F49" s="1"/>
  <c r="G48"/>
  <c r="I48" s="1"/>
  <c r="F48"/>
  <c r="D48"/>
  <c r="B48"/>
  <c r="K47"/>
  <c r="I47"/>
  <c r="G47"/>
  <c r="D47"/>
  <c r="L47" s="1"/>
  <c r="B47"/>
  <c r="I46"/>
  <c r="K46" s="1"/>
  <c r="G46"/>
  <c r="B46"/>
  <c r="D46" s="1"/>
  <c r="F46" s="1"/>
  <c r="G45"/>
  <c r="I45" s="1"/>
  <c r="B45"/>
  <c r="D45" s="1"/>
  <c r="F45" s="1"/>
  <c r="G44"/>
  <c r="I44" s="1"/>
  <c r="F44"/>
  <c r="D44"/>
  <c r="B44"/>
  <c r="K43"/>
  <c r="I43"/>
  <c r="G43"/>
  <c r="D43"/>
  <c r="L43" s="1"/>
  <c r="B43"/>
  <c r="I42"/>
  <c r="K42" s="1"/>
  <c r="G42"/>
  <c r="B42"/>
  <c r="D42" s="1"/>
  <c r="F42" s="1"/>
  <c r="G41"/>
  <c r="I41" s="1"/>
  <c r="B41"/>
  <c r="D41" s="1"/>
  <c r="F41" s="1"/>
  <c r="G40"/>
  <c r="I40" s="1"/>
  <c r="F40"/>
  <c r="D40"/>
  <c r="B40"/>
  <c r="K39"/>
  <c r="I39"/>
  <c r="G39"/>
  <c r="D39"/>
  <c r="L39" s="1"/>
  <c r="B39"/>
  <c r="I38"/>
  <c r="K38" s="1"/>
  <c r="G38"/>
  <c r="B38"/>
  <c r="D38" s="1"/>
  <c r="F38" s="1"/>
  <c r="G37"/>
  <c r="I37" s="1"/>
  <c r="B37"/>
  <c r="D37" s="1"/>
  <c r="F37" s="1"/>
  <c r="G36"/>
  <c r="I36" s="1"/>
  <c r="F36"/>
  <c r="D36"/>
  <c r="B36"/>
  <c r="K35"/>
  <c r="I35"/>
  <c r="G35"/>
  <c r="D35"/>
  <c r="L35" s="1"/>
  <c r="B35"/>
  <c r="I34"/>
  <c r="K34" s="1"/>
  <c r="G34"/>
  <c r="B34"/>
  <c r="D34" s="1"/>
  <c r="F34" s="1"/>
  <c r="G33"/>
  <c r="I33" s="1"/>
  <c r="B33"/>
  <c r="D33" s="1"/>
  <c r="F33" s="1"/>
  <c r="G32"/>
  <c r="I32" s="1"/>
  <c r="F32"/>
  <c r="D32"/>
  <c r="B32"/>
  <c r="K31"/>
  <c r="I31"/>
  <c r="G31"/>
  <c r="D31"/>
  <c r="L31" s="1"/>
  <c r="B31"/>
  <c r="I30"/>
  <c r="K30" s="1"/>
  <c r="G30"/>
  <c r="B30"/>
  <c r="D30" s="1"/>
  <c r="F30" s="1"/>
  <c r="G29"/>
  <c r="I29" s="1"/>
  <c r="B29"/>
  <c r="D29" s="1"/>
  <c r="F29" s="1"/>
  <c r="G28"/>
  <c r="I28" s="1"/>
  <c r="F28"/>
  <c r="D28"/>
  <c r="B28"/>
  <c r="K27"/>
  <c r="I27"/>
  <c r="G27"/>
  <c r="D27"/>
  <c r="L27" s="1"/>
  <c r="B27"/>
  <c r="I26"/>
  <c r="K26" s="1"/>
  <c r="G26"/>
  <c r="B26"/>
  <c r="D26" s="1"/>
  <c r="F26" s="1"/>
  <c r="G25"/>
  <c r="I25" s="1"/>
  <c r="B25"/>
  <c r="D25" s="1"/>
  <c r="F25" s="1"/>
  <c r="G24"/>
  <c r="I24" s="1"/>
  <c r="F24"/>
  <c r="D24"/>
  <c r="B24"/>
  <c r="K23"/>
  <c r="I23"/>
  <c r="G23"/>
  <c r="D23"/>
  <c r="L23" s="1"/>
  <c r="B23"/>
  <c r="I22"/>
  <c r="K22" s="1"/>
  <c r="G22"/>
  <c r="B22"/>
  <c r="D22" s="1"/>
  <c r="F22" s="1"/>
  <c r="G21"/>
  <c r="I21" s="1"/>
  <c r="B21"/>
  <c r="D21" s="1"/>
  <c r="F21" s="1"/>
  <c r="G20"/>
  <c r="I20" s="1"/>
  <c r="F20"/>
  <c r="D20"/>
  <c r="B20"/>
  <c r="I19"/>
  <c r="K19" s="1"/>
  <c r="B19"/>
  <c r="D19" s="1"/>
  <c r="F19" s="1"/>
  <c r="K18"/>
  <c r="I18"/>
  <c r="G18"/>
  <c r="D18"/>
  <c r="F18" s="1"/>
  <c r="B18"/>
  <c r="G17"/>
  <c r="I17" s="1"/>
  <c r="K17" s="1"/>
  <c r="B17"/>
  <c r="D17" s="1"/>
  <c r="F17" s="1"/>
  <c r="K16"/>
  <c r="I16"/>
  <c r="G16"/>
  <c r="D16"/>
  <c r="F16" s="1"/>
  <c r="B16"/>
  <c r="G15"/>
  <c r="I15" s="1"/>
  <c r="K15" s="1"/>
  <c r="B15"/>
  <c r="D15" s="1"/>
  <c r="F15" s="1"/>
  <c r="K14"/>
  <c r="I14"/>
  <c r="G14"/>
  <c r="D14"/>
  <c r="F14" s="1"/>
  <c r="B14"/>
  <c r="G13"/>
  <c r="I13" s="1"/>
  <c r="K13" s="1"/>
  <c r="B13"/>
  <c r="D13" s="1"/>
  <c r="F13" s="1"/>
  <c r="K12"/>
  <c r="I12"/>
  <c r="G12"/>
  <c r="D12"/>
  <c r="F12" s="1"/>
  <c r="B12"/>
  <c r="G11"/>
  <c r="I11" s="1"/>
  <c r="K11" s="1"/>
  <c r="B11"/>
  <c r="D11" s="1"/>
  <c r="F11" s="1"/>
  <c r="K10"/>
  <c r="I10"/>
  <c r="G10"/>
  <c r="D10"/>
  <c r="F10" s="1"/>
  <c r="B10"/>
  <c r="G9"/>
  <c r="I9" s="1"/>
  <c r="K9" s="1"/>
  <c r="E9"/>
  <c r="B9"/>
  <c r="D9" s="1"/>
  <c r="G8"/>
  <c r="I8" s="1"/>
  <c r="K8" s="1"/>
  <c r="E8"/>
  <c r="B8"/>
  <c r="D8" s="1"/>
  <c r="K7"/>
  <c r="I7"/>
  <c r="G7"/>
  <c r="B7"/>
  <c r="D7" s="1"/>
  <c r="G6"/>
  <c r="I6" s="1"/>
  <c r="K6" s="1"/>
  <c r="D6"/>
  <c r="B6"/>
  <c r="G5"/>
  <c r="I5" s="1"/>
  <c r="K5" s="1"/>
  <c r="D5"/>
  <c r="B5"/>
  <c r="I4"/>
  <c r="K4" s="1"/>
  <c r="G4"/>
  <c r="B4"/>
  <c r="D4" s="1"/>
  <c r="K3"/>
  <c r="I3"/>
  <c r="G3"/>
  <c r="D3"/>
  <c r="F9" l="1"/>
  <c r="F8"/>
  <c r="L21"/>
  <c r="K21"/>
  <c r="L24"/>
  <c r="K24"/>
  <c r="K29"/>
  <c r="L29"/>
  <c r="K32"/>
  <c r="L32"/>
  <c r="L37"/>
  <c r="K37"/>
  <c r="K40"/>
  <c r="L40"/>
  <c r="K45"/>
  <c r="L45"/>
  <c r="K48"/>
  <c r="L48"/>
  <c r="L53"/>
  <c r="K53"/>
  <c r="K20"/>
  <c r="L20"/>
  <c r="K25"/>
  <c r="L25"/>
  <c r="K28"/>
  <c r="L28"/>
  <c r="K33"/>
  <c r="L33"/>
  <c r="L36"/>
  <c r="K36"/>
  <c r="K41"/>
  <c r="L41"/>
  <c r="L44"/>
  <c r="K44"/>
  <c r="L49"/>
  <c r="K49"/>
  <c r="K52"/>
  <c r="L52"/>
  <c r="K54"/>
  <c r="L54"/>
  <c r="L22"/>
  <c r="L26"/>
  <c r="L30"/>
  <c r="L34"/>
  <c r="L38"/>
  <c r="L42"/>
  <c r="L46"/>
  <c r="L50"/>
  <c r="F23"/>
  <c r="F27"/>
  <c r="F31"/>
  <c r="F35"/>
  <c r="F39"/>
  <c r="F43"/>
  <c r="F47"/>
  <c r="F51"/>
  <c r="S25" i="1" l="1"/>
  <c r="S24"/>
  <c r="S23"/>
  <c r="S22"/>
  <c r="E14" i="3"/>
  <c r="E15"/>
  <c r="C9" i="1"/>
  <c r="J50" i="3" l="1"/>
  <c r="J51"/>
  <c r="J52"/>
  <c r="J53"/>
  <c r="J54"/>
  <c r="J55"/>
  <c r="J56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D50"/>
  <c r="D51"/>
  <c r="D52"/>
  <c r="D53"/>
  <c r="D54"/>
  <c r="D55"/>
  <c r="D56"/>
  <c r="D57"/>
  <c r="D58"/>
  <c r="D59"/>
  <c r="D60"/>
  <c r="D61"/>
  <c r="D62"/>
  <c r="D63"/>
  <c r="D64"/>
  <c r="D65"/>
  <c r="D66"/>
  <c r="D67"/>
  <c r="D68"/>
  <c r="D69"/>
  <c r="D70"/>
  <c r="D71"/>
  <c r="D72"/>
  <c r="D73"/>
  <c r="D74"/>
  <c r="D75"/>
  <c r="D76"/>
  <c r="D77"/>
  <c r="H47"/>
  <c r="H48"/>
  <c r="H49"/>
  <c r="H46"/>
  <c r="F47"/>
  <c r="F48"/>
  <c r="F49"/>
  <c r="F46"/>
  <c r="D47"/>
  <c r="D48"/>
  <c r="D49"/>
  <c r="D46"/>
  <c r="S14" i="1" l="1"/>
  <c r="J5" i="3"/>
  <c r="H11" i="15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33"/>
  <c r="H34"/>
  <c r="H35"/>
  <c r="H36"/>
  <c r="H37"/>
  <c r="H38"/>
  <c r="H39"/>
  <c r="H40"/>
  <c r="H41"/>
  <c r="H10"/>
  <c r="I11" l="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G11"/>
  <c r="G12"/>
  <c r="G13"/>
  <c r="G14"/>
  <c r="G15"/>
  <c r="G16"/>
  <c r="G17"/>
  <c r="G18"/>
  <c r="G19"/>
  <c r="G20"/>
  <c r="G21"/>
  <c r="G22"/>
  <c r="G23"/>
  <c r="G24"/>
  <c r="G25"/>
  <c r="G26"/>
  <c r="G27"/>
  <c r="G28"/>
  <c r="G29"/>
  <c r="G30"/>
  <c r="G31"/>
  <c r="G32"/>
  <c r="G33"/>
  <c r="G34"/>
  <c r="G35"/>
  <c r="G36"/>
  <c r="G37"/>
  <c r="G38"/>
  <c r="G39"/>
  <c r="G40"/>
  <c r="G10"/>
  <c r="C12" i="23" l="1"/>
  <c r="C22"/>
  <c r="C23"/>
  <c r="C24"/>
  <c r="C25"/>
  <c r="C27"/>
  <c r="C28"/>
  <c r="C29"/>
  <c r="C30"/>
  <c r="C31"/>
  <c r="C32"/>
  <c r="C33"/>
  <c r="C34"/>
  <c r="C35"/>
  <c r="C36"/>
  <c r="D36"/>
  <c r="J23"/>
  <c r="J24"/>
  <c r="J25"/>
  <c r="J26"/>
  <c r="J27"/>
  <c r="J28"/>
  <c r="J29"/>
  <c r="J30"/>
  <c r="J31"/>
  <c r="J32"/>
  <c r="J33"/>
  <c r="J34"/>
  <c r="J35"/>
  <c r="J36"/>
  <c r="I23"/>
  <c r="I24"/>
  <c r="I25"/>
  <c r="I26"/>
  <c r="I27"/>
  <c r="I28"/>
  <c r="I29"/>
  <c r="I30"/>
  <c r="I31"/>
  <c r="I32"/>
  <c r="I33"/>
  <c r="I34"/>
  <c r="I35"/>
  <c r="F23"/>
  <c r="F24"/>
  <c r="F25"/>
  <c r="F26"/>
  <c r="F27"/>
  <c r="F28"/>
  <c r="F29"/>
  <c r="F30"/>
  <c r="F31"/>
  <c r="F32"/>
  <c r="F33"/>
  <c r="F34"/>
  <c r="F35"/>
  <c r="F36"/>
  <c r="G23"/>
  <c r="G24"/>
  <c r="G25"/>
  <c r="G26"/>
  <c r="G27"/>
  <c r="G28"/>
  <c r="G29"/>
  <c r="G30"/>
  <c r="G31"/>
  <c r="G32"/>
  <c r="G33"/>
  <c r="G34"/>
  <c r="G35"/>
  <c r="F5"/>
  <c r="E7" i="3"/>
  <c r="F6" i="23" s="1"/>
  <c r="E8" i="3"/>
  <c r="F7" i="23" s="1"/>
  <c r="E9" i="3"/>
  <c r="F8" i="23" s="1"/>
  <c r="E6" i="3"/>
  <c r="Q7"/>
  <c r="Q8"/>
  <c r="Q9"/>
  <c r="Q10"/>
  <c r="Q11"/>
  <c r="Q12"/>
  <c r="Q13"/>
  <c r="Q14"/>
  <c r="Q15"/>
  <c r="Q16"/>
  <c r="Q17"/>
  <c r="Q18"/>
  <c r="Q19"/>
  <c r="Q20"/>
  <c r="Q21"/>
  <c r="Q22"/>
  <c r="Q23"/>
  <c r="Q24"/>
  <c r="O5"/>
  <c r="O7"/>
  <c r="O8"/>
  <c r="O9"/>
  <c r="O10"/>
  <c r="O11"/>
  <c r="O12"/>
  <c r="O13"/>
  <c r="O14"/>
  <c r="O15"/>
  <c r="O16"/>
  <c r="O17"/>
  <c r="O18"/>
  <c r="O19"/>
  <c r="O20"/>
  <c r="O21"/>
  <c r="O22"/>
  <c r="O23"/>
  <c r="O24"/>
  <c r="N7"/>
  <c r="N8"/>
  <c r="N9"/>
  <c r="N10"/>
  <c r="N11"/>
  <c r="N12"/>
  <c r="N13"/>
  <c r="N14"/>
  <c r="N15"/>
  <c r="N16"/>
  <c r="N17"/>
  <c r="N18"/>
  <c r="N19"/>
  <c r="N20"/>
  <c r="N21"/>
  <c r="N22"/>
  <c r="N23"/>
  <c r="N24"/>
  <c r="L5"/>
  <c r="L7"/>
  <c r="L8"/>
  <c r="L9"/>
  <c r="L10"/>
  <c r="L11"/>
  <c r="L12"/>
  <c r="L13"/>
  <c r="L14"/>
  <c r="L15"/>
  <c r="L18"/>
  <c r="L19"/>
  <c r="L20"/>
  <c r="L21"/>
  <c r="L22"/>
  <c r="L23"/>
  <c r="L24"/>
  <c r="K7"/>
  <c r="K8"/>
  <c r="K9"/>
  <c r="K10"/>
  <c r="K11"/>
  <c r="K12"/>
  <c r="K13"/>
  <c r="K14"/>
  <c r="K15"/>
  <c r="K16"/>
  <c r="K17"/>
  <c r="K18"/>
  <c r="K19"/>
  <c r="K20"/>
  <c r="K21"/>
  <c r="K22"/>
  <c r="K23"/>
  <c r="K24"/>
  <c r="I5"/>
  <c r="I7"/>
  <c r="I8"/>
  <c r="I9"/>
  <c r="I10"/>
  <c r="I11"/>
  <c r="I12"/>
  <c r="I13"/>
  <c r="I14"/>
  <c r="I15"/>
  <c r="I16"/>
  <c r="I17"/>
  <c r="I19"/>
  <c r="I20"/>
  <c r="I21"/>
  <c r="I22"/>
  <c r="I23"/>
  <c r="I24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V4" i="18" l="1"/>
  <c r="D4"/>
  <c r="Z24" i="12"/>
  <c r="Z25"/>
  <c r="Z26"/>
  <c r="Z27"/>
  <c r="Z28"/>
  <c r="Z29"/>
  <c r="Z30"/>
  <c r="Z31"/>
  <c r="Z32"/>
  <c r="Z33"/>
  <c r="Z34"/>
  <c r="Z35"/>
  <c r="Z36"/>
  <c r="Z37"/>
  <c r="Y12"/>
  <c r="Y17"/>
  <c r="Y18"/>
  <c r="Y24"/>
  <c r="Y25"/>
  <c r="Y26"/>
  <c r="Y27"/>
  <c r="Y28"/>
  <c r="Y29"/>
  <c r="Y30"/>
  <c r="Y31"/>
  <c r="Y32"/>
  <c r="Y33"/>
  <c r="Y34"/>
  <c r="Y35"/>
  <c r="Y36"/>
  <c r="Y37"/>
  <c r="V7"/>
  <c r="V8"/>
  <c r="V12"/>
  <c r="V13"/>
  <c r="V23"/>
  <c r="V24"/>
  <c r="V25"/>
  <c r="V26"/>
  <c r="V27"/>
  <c r="V28"/>
  <c r="V29"/>
  <c r="V30"/>
  <c r="V31"/>
  <c r="V32"/>
  <c r="V33"/>
  <c r="V34"/>
  <c r="V35"/>
  <c r="V36"/>
  <c r="V37"/>
  <c r="S7"/>
  <c r="S10"/>
  <c r="S13"/>
  <c r="S18"/>
  <c r="S24"/>
  <c r="S25"/>
  <c r="S26"/>
  <c r="S27"/>
  <c r="S28"/>
  <c r="S29"/>
  <c r="S30"/>
  <c r="S31"/>
  <c r="S32"/>
  <c r="S33"/>
  <c r="S34"/>
  <c r="S35"/>
  <c r="S36"/>
  <c r="S37"/>
  <c r="P9"/>
  <c r="P11"/>
  <c r="P13"/>
  <c r="P17"/>
  <c r="P18"/>
  <c r="P24"/>
  <c r="P25"/>
  <c r="P26"/>
  <c r="P27"/>
  <c r="P28"/>
  <c r="P29"/>
  <c r="P30"/>
  <c r="P31"/>
  <c r="P32"/>
  <c r="P33"/>
  <c r="P34"/>
  <c r="P35"/>
  <c r="P36"/>
  <c r="P37"/>
  <c r="M9"/>
  <c r="M13"/>
  <c r="M24"/>
  <c r="M25"/>
  <c r="M26"/>
  <c r="M27"/>
  <c r="M28"/>
  <c r="M29"/>
  <c r="M30"/>
  <c r="M31"/>
  <c r="M32"/>
  <c r="M33"/>
  <c r="M34"/>
  <c r="M35"/>
  <c r="M36"/>
  <c r="M37"/>
  <c r="W7"/>
  <c r="Y7" s="1"/>
  <c r="W8"/>
  <c r="Y8" s="1"/>
  <c r="W9"/>
  <c r="Y9" s="1"/>
  <c r="W10"/>
  <c r="Y10" s="1"/>
  <c r="W11"/>
  <c r="Y11" s="1"/>
  <c r="W12"/>
  <c r="W13"/>
  <c r="Y13" s="1"/>
  <c r="W14"/>
  <c r="Y14" s="1"/>
  <c r="W15"/>
  <c r="Y15" s="1"/>
  <c r="W16"/>
  <c r="Y16" s="1"/>
  <c r="W17"/>
  <c r="W18"/>
  <c r="W19"/>
  <c r="Y19" s="1"/>
  <c r="W20"/>
  <c r="Y20" s="1"/>
  <c r="W21"/>
  <c r="Y21" s="1"/>
  <c r="W22"/>
  <c r="Y22" s="1"/>
  <c r="W23"/>
  <c r="Y23" s="1"/>
  <c r="W24"/>
  <c r="W25"/>
  <c r="W26"/>
  <c r="W27"/>
  <c r="W28"/>
  <c r="W29"/>
  <c r="W30"/>
  <c r="W31"/>
  <c r="W32"/>
  <c r="W33"/>
  <c r="W34"/>
  <c r="W35"/>
  <c r="W36"/>
  <c r="W37"/>
  <c r="T7"/>
  <c r="T8"/>
  <c r="T9"/>
  <c r="V9" s="1"/>
  <c r="T10"/>
  <c r="V10" s="1"/>
  <c r="T11"/>
  <c r="V11" s="1"/>
  <c r="T12"/>
  <c r="T13"/>
  <c r="T14"/>
  <c r="V14" s="1"/>
  <c r="T15"/>
  <c r="V15" s="1"/>
  <c r="T16"/>
  <c r="V16" s="1"/>
  <c r="T17"/>
  <c r="V17" s="1"/>
  <c r="T18"/>
  <c r="V18" s="1"/>
  <c r="T19"/>
  <c r="V19" s="1"/>
  <c r="T20"/>
  <c r="V20" s="1"/>
  <c r="T21"/>
  <c r="V21" s="1"/>
  <c r="T22"/>
  <c r="V22" s="1"/>
  <c r="T23"/>
  <c r="T24"/>
  <c r="T25"/>
  <c r="T26"/>
  <c r="T27"/>
  <c r="T28"/>
  <c r="T29"/>
  <c r="T30"/>
  <c r="T31"/>
  <c r="T32"/>
  <c r="T33"/>
  <c r="T34"/>
  <c r="T35"/>
  <c r="T36"/>
  <c r="T37"/>
  <c r="Q7"/>
  <c r="Q8"/>
  <c r="S8" s="1"/>
  <c r="Q9"/>
  <c r="S9" s="1"/>
  <c r="Q10"/>
  <c r="Q11"/>
  <c r="S11" s="1"/>
  <c r="Q12"/>
  <c r="S12" s="1"/>
  <c r="Q13"/>
  <c r="Q14"/>
  <c r="S14" s="1"/>
  <c r="Q15"/>
  <c r="S15" s="1"/>
  <c r="Q16"/>
  <c r="S16" s="1"/>
  <c r="Q17"/>
  <c r="S17" s="1"/>
  <c r="Q18"/>
  <c r="Q19"/>
  <c r="S19" s="1"/>
  <c r="Q20"/>
  <c r="S20" s="1"/>
  <c r="Q21"/>
  <c r="S21" s="1"/>
  <c r="Q22"/>
  <c r="S22" s="1"/>
  <c r="Q23"/>
  <c r="S23" s="1"/>
  <c r="Q24"/>
  <c r="Q25"/>
  <c r="Q26"/>
  <c r="Q27"/>
  <c r="Q28"/>
  <c r="Q29"/>
  <c r="Q30"/>
  <c r="Q31"/>
  <c r="Q32"/>
  <c r="Q33"/>
  <c r="Q34"/>
  <c r="Q35"/>
  <c r="Q36"/>
  <c r="Q37"/>
  <c r="N7"/>
  <c r="P7" s="1"/>
  <c r="N8"/>
  <c r="P8" s="1"/>
  <c r="N9"/>
  <c r="N10"/>
  <c r="P10" s="1"/>
  <c r="N11"/>
  <c r="N12"/>
  <c r="P12" s="1"/>
  <c r="N13"/>
  <c r="N14"/>
  <c r="P14" s="1"/>
  <c r="N15"/>
  <c r="P15" s="1"/>
  <c r="N16"/>
  <c r="P16" s="1"/>
  <c r="N17"/>
  <c r="N18"/>
  <c r="N19"/>
  <c r="P19" s="1"/>
  <c r="N20"/>
  <c r="P20" s="1"/>
  <c r="N21"/>
  <c r="P21" s="1"/>
  <c r="N22"/>
  <c r="P22" s="1"/>
  <c r="N23"/>
  <c r="P23" s="1"/>
  <c r="N24"/>
  <c r="N25"/>
  <c r="N26"/>
  <c r="N27"/>
  <c r="N28"/>
  <c r="N29"/>
  <c r="N30"/>
  <c r="N31"/>
  <c r="N32"/>
  <c r="N33"/>
  <c r="N34"/>
  <c r="N35"/>
  <c r="N36"/>
  <c r="N37"/>
  <c r="K7"/>
  <c r="M7" s="1"/>
  <c r="K8"/>
  <c r="M8" s="1"/>
  <c r="K9"/>
  <c r="K10"/>
  <c r="M10" s="1"/>
  <c r="K11"/>
  <c r="M11" s="1"/>
  <c r="K12"/>
  <c r="M12" s="1"/>
  <c r="K13"/>
  <c r="K14"/>
  <c r="M14" s="1"/>
  <c r="K15"/>
  <c r="M15" s="1"/>
  <c r="K16"/>
  <c r="M16" s="1"/>
  <c r="K17"/>
  <c r="M17" s="1"/>
  <c r="K18"/>
  <c r="M18" s="1"/>
  <c r="K19"/>
  <c r="M19" s="1"/>
  <c r="K20"/>
  <c r="M20" s="1"/>
  <c r="K21"/>
  <c r="M21" s="1"/>
  <c r="K22"/>
  <c r="M22" s="1"/>
  <c r="K23"/>
  <c r="M23" s="1"/>
  <c r="K24"/>
  <c r="K25"/>
  <c r="K26"/>
  <c r="K27"/>
  <c r="K28"/>
  <c r="K29"/>
  <c r="K30"/>
  <c r="K31"/>
  <c r="K32"/>
  <c r="K33"/>
  <c r="K34"/>
  <c r="K35"/>
  <c r="K36"/>
  <c r="K37"/>
  <c r="X5"/>
  <c r="W6" s="1"/>
  <c r="Y6" s="1"/>
  <c r="U5"/>
  <c r="T6" s="1"/>
  <c r="V6" s="1"/>
  <c r="R5"/>
  <c r="Q6" s="1"/>
  <c r="S6" s="1"/>
  <c r="O5"/>
  <c r="N6" s="1"/>
  <c r="P6" s="1"/>
  <c r="L5"/>
  <c r="K6" s="1"/>
  <c r="M6" s="1"/>
  <c r="AI5" i="3"/>
  <c r="AF5"/>
  <c r="AC5"/>
  <c r="Z5"/>
  <c r="W5"/>
  <c r="T5"/>
  <c r="P5"/>
  <c r="M5"/>
  <c r="Z23" i="12" l="1"/>
  <c r="Z22"/>
  <c r="Z21"/>
  <c r="Z20"/>
  <c r="Z19"/>
  <c r="Z18"/>
  <c r="Z17"/>
  <c r="Z16"/>
  <c r="Z15"/>
  <c r="Z14"/>
  <c r="Z13"/>
  <c r="Z12"/>
  <c r="Z11"/>
  <c r="Z10"/>
  <c r="Z9"/>
  <c r="Z8"/>
  <c r="Z7"/>
  <c r="H5" i="3"/>
  <c r="H6"/>
  <c r="K5"/>
  <c r="K6"/>
  <c r="I6"/>
  <c r="Q6"/>
  <c r="O6"/>
  <c r="Q5"/>
  <c r="N5"/>
  <c r="N6"/>
  <c r="L6"/>
  <c r="Z6" i="12"/>
  <c r="S6" i="3"/>
  <c r="S7"/>
  <c r="S8"/>
  <c r="S9"/>
  <c r="S10"/>
  <c r="S11"/>
  <c r="S12"/>
  <c r="S13"/>
  <c r="S14"/>
  <c r="S15"/>
  <c r="S16"/>
  <c r="S17"/>
  <c r="S18"/>
  <c r="S19"/>
  <c r="S20"/>
  <c r="S21"/>
  <c r="S22"/>
  <c r="S23"/>
  <c r="S24"/>
  <c r="Q6" i="13"/>
  <c r="R6" s="1"/>
  <c r="U6"/>
  <c r="Y6"/>
  <c r="Z6" s="1"/>
  <c r="AA6" s="1"/>
  <c r="AC6"/>
  <c r="Q7"/>
  <c r="R7" s="1"/>
  <c r="U7"/>
  <c r="V7" s="1"/>
  <c r="Y7"/>
  <c r="Z7" s="1"/>
  <c r="AA7" s="1"/>
  <c r="AC7"/>
  <c r="H6" i="23" s="1"/>
  <c r="Q8" i="13"/>
  <c r="R8" s="1"/>
  <c r="U8"/>
  <c r="V8" s="1"/>
  <c r="Y8"/>
  <c r="Z8" s="1"/>
  <c r="AA8" s="1"/>
  <c r="AC8"/>
  <c r="H7" i="23" s="1"/>
  <c r="Q9" i="13"/>
  <c r="R9" s="1"/>
  <c r="U9"/>
  <c r="V9" s="1"/>
  <c r="Y9"/>
  <c r="Z9" s="1"/>
  <c r="AA9" s="1"/>
  <c r="AC9"/>
  <c r="H8" i="23" s="1"/>
  <c r="Q10" i="13"/>
  <c r="R10" s="1"/>
  <c r="U10"/>
  <c r="V10" s="1"/>
  <c r="Y10"/>
  <c r="Z10" s="1"/>
  <c r="AA10" s="1"/>
  <c r="AC10"/>
  <c r="H9" i="23" s="1"/>
  <c r="Q11" i="13"/>
  <c r="R11" s="1"/>
  <c r="U11"/>
  <c r="V11" s="1"/>
  <c r="Y11"/>
  <c r="Z11" s="1"/>
  <c r="AA11" s="1"/>
  <c r="AC11"/>
  <c r="H10" i="23" s="1"/>
  <c r="Q12" i="13"/>
  <c r="R12" s="1"/>
  <c r="U12"/>
  <c r="V12" s="1"/>
  <c r="Y12"/>
  <c r="Z12" s="1"/>
  <c r="AA12" s="1"/>
  <c r="AC12"/>
  <c r="H11" i="23" s="1"/>
  <c r="Q13" i="13"/>
  <c r="R13" s="1"/>
  <c r="U13"/>
  <c r="V13" s="1"/>
  <c r="Y13"/>
  <c r="Z13" s="1"/>
  <c r="AA13" s="1"/>
  <c r="AC13"/>
  <c r="H12" i="23" s="1"/>
  <c r="Q14" i="13"/>
  <c r="R14" s="1"/>
  <c r="U14"/>
  <c r="V14" s="1"/>
  <c r="Y14"/>
  <c r="Z14" s="1"/>
  <c r="AA14" s="1"/>
  <c r="AC14"/>
  <c r="H13" i="23" s="1"/>
  <c r="Q15" i="13"/>
  <c r="R15" s="1"/>
  <c r="U15"/>
  <c r="V15" s="1"/>
  <c r="Y15"/>
  <c r="Z15" s="1"/>
  <c r="AA15" s="1"/>
  <c r="AC15"/>
  <c r="H14" i="23" s="1"/>
  <c r="Q16" i="13"/>
  <c r="R16" s="1"/>
  <c r="U16"/>
  <c r="V16" s="1"/>
  <c r="Y16"/>
  <c r="Z16" s="1"/>
  <c r="AA16" s="1"/>
  <c r="AC16"/>
  <c r="H15" i="23" s="1"/>
  <c r="Q17" i="13"/>
  <c r="R17" s="1"/>
  <c r="U17"/>
  <c r="V17" s="1"/>
  <c r="Y17"/>
  <c r="Z17" s="1"/>
  <c r="AA17" s="1"/>
  <c r="AC17"/>
  <c r="H16" i="23" s="1"/>
  <c r="R18" i="13"/>
  <c r="U18"/>
  <c r="V18" s="1"/>
  <c r="Y18"/>
  <c r="Z18" s="1"/>
  <c r="AA18" s="1"/>
  <c r="AC18"/>
  <c r="H17" i="23" s="1"/>
  <c r="R19" i="13"/>
  <c r="U19"/>
  <c r="V19" s="1"/>
  <c r="Y19"/>
  <c r="Z19" s="1"/>
  <c r="AA19" s="1"/>
  <c r="AC19"/>
  <c r="H18" i="23" s="1"/>
  <c r="Q20" i="13"/>
  <c r="R20" s="1"/>
  <c r="U20"/>
  <c r="V20" s="1"/>
  <c r="Y20"/>
  <c r="Z20" s="1"/>
  <c r="AA20" s="1"/>
  <c r="AC20"/>
  <c r="H19" i="23" s="1"/>
  <c r="Q21" i="13"/>
  <c r="R21" s="1"/>
  <c r="U21"/>
  <c r="V21" s="1"/>
  <c r="Y21"/>
  <c r="Z21" s="1"/>
  <c r="AA21" s="1"/>
  <c r="AC21"/>
  <c r="H20" i="23" s="1"/>
  <c r="Q22" i="13"/>
  <c r="R22" s="1"/>
  <c r="U22"/>
  <c r="V22" s="1"/>
  <c r="Y22"/>
  <c r="Z22" s="1"/>
  <c r="AA22" s="1"/>
  <c r="AC22"/>
  <c r="H21" i="23" s="1"/>
  <c r="Q23" i="13"/>
  <c r="R23" s="1"/>
  <c r="U23"/>
  <c r="V23" s="1"/>
  <c r="Y23"/>
  <c r="Z23" s="1"/>
  <c r="AA23" s="1"/>
  <c r="AC23"/>
  <c r="H22" i="23" s="1"/>
  <c r="Q24" i="13"/>
  <c r="R24" s="1"/>
  <c r="U24"/>
  <c r="V24"/>
  <c r="Y24"/>
  <c r="Z24" s="1"/>
  <c r="AA24" s="1"/>
  <c r="AC24"/>
  <c r="H23" i="23" s="1"/>
  <c r="Q25" i="13"/>
  <c r="R25" s="1"/>
  <c r="U25"/>
  <c r="V25" s="1"/>
  <c r="Y25"/>
  <c r="Z25" s="1"/>
  <c r="AA25" s="1"/>
  <c r="AC25"/>
  <c r="H24" i="23" s="1"/>
  <c r="Q26" i="13"/>
  <c r="R26" s="1"/>
  <c r="U26"/>
  <c r="V26"/>
  <c r="Y26"/>
  <c r="Z26" s="1"/>
  <c r="AA26" s="1"/>
  <c r="AC26"/>
  <c r="H25" i="23" s="1"/>
  <c r="Q27" i="13"/>
  <c r="R27" s="1"/>
  <c r="U27"/>
  <c r="V27" s="1"/>
  <c r="Y27"/>
  <c r="Z27" s="1"/>
  <c r="AA27" s="1"/>
  <c r="AC27"/>
  <c r="H26" i="23" s="1"/>
  <c r="Q28" i="13"/>
  <c r="R28" s="1"/>
  <c r="U28"/>
  <c r="V28"/>
  <c r="Y28"/>
  <c r="Z28" s="1"/>
  <c r="AA28" s="1"/>
  <c r="AC28"/>
  <c r="H27" i="23" s="1"/>
  <c r="B7" i="12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6"/>
  <c r="U20" i="3"/>
  <c r="U21"/>
  <c r="U22"/>
  <c r="U23"/>
  <c r="U24"/>
  <c r="U25"/>
  <c r="X19"/>
  <c r="X20"/>
  <c r="X21"/>
  <c r="X22"/>
  <c r="X23"/>
  <c r="X24"/>
  <c r="AA19"/>
  <c r="AA20"/>
  <c r="AA21"/>
  <c r="AA22"/>
  <c r="AA23"/>
  <c r="AA24"/>
  <c r="AA25"/>
  <c r="AD19"/>
  <c r="AD20"/>
  <c r="AD21"/>
  <c r="AD22"/>
  <c r="AD23"/>
  <c r="AD24"/>
  <c r="AG19"/>
  <c r="AG20"/>
  <c r="AG21"/>
  <c r="AG22"/>
  <c r="AG23"/>
  <c r="AG24"/>
  <c r="AG25"/>
  <c r="AJ17"/>
  <c r="AJ18"/>
  <c r="AJ19"/>
  <c r="AJ20"/>
  <c r="AJ21"/>
  <c r="AJ22"/>
  <c r="AJ23"/>
  <c r="AJ24"/>
  <c r="AM18"/>
  <c r="AM19"/>
  <c r="AM20"/>
  <c r="AM21"/>
  <c r="AM22"/>
  <c r="AM23"/>
  <c r="AM24"/>
  <c r="AM25"/>
  <c r="AM26"/>
  <c r="C7" i="11"/>
  <c r="C11"/>
  <c r="C15"/>
  <c r="C19"/>
  <c r="C23"/>
  <c r="C6"/>
  <c r="C8"/>
  <c r="C9"/>
  <c r="C10"/>
  <c r="C12"/>
  <c r="C13"/>
  <c r="C14"/>
  <c r="C16"/>
  <c r="C17"/>
  <c r="C18"/>
  <c r="C20"/>
  <c r="C21"/>
  <c r="C22"/>
  <c r="C24"/>
  <c r="C25"/>
  <c r="C26"/>
  <c r="C27"/>
  <c r="C28"/>
  <c r="C29"/>
  <c r="C30"/>
  <c r="C31"/>
  <c r="C32"/>
  <c r="C33"/>
  <c r="C34"/>
  <c r="C35"/>
  <c r="C36"/>
  <c r="AM37" i="3" l="1"/>
  <c r="AM36"/>
  <c r="AM35"/>
  <c r="AM34"/>
  <c r="AM33"/>
  <c r="AM32"/>
  <c r="AM31"/>
  <c r="AM30"/>
  <c r="AM29"/>
  <c r="AM28"/>
  <c r="AM27"/>
  <c r="AM17"/>
  <c r="AM16"/>
  <c r="AM15"/>
  <c r="AM14"/>
  <c r="AM13"/>
  <c r="AM12"/>
  <c r="AM11"/>
  <c r="AM10"/>
  <c r="AM9"/>
  <c r="AM8"/>
  <c r="AM7"/>
  <c r="AM6"/>
  <c r="AJ37"/>
  <c r="AJ36"/>
  <c r="AJ35"/>
  <c r="AJ34"/>
  <c r="AJ33"/>
  <c r="AJ32"/>
  <c r="AJ31"/>
  <c r="AJ30"/>
  <c r="AJ29"/>
  <c r="AJ28"/>
  <c r="AJ27"/>
  <c r="AJ26"/>
  <c r="AJ25"/>
  <c r="AJ16"/>
  <c r="AJ15"/>
  <c r="AJ14"/>
  <c r="AJ13"/>
  <c r="AJ12"/>
  <c r="AJ11"/>
  <c r="AJ10"/>
  <c r="AJ9"/>
  <c r="AJ8"/>
  <c r="AJ7"/>
  <c r="AJ6"/>
  <c r="AG37"/>
  <c r="AG36"/>
  <c r="AG35"/>
  <c r="AG34"/>
  <c r="AG33"/>
  <c r="AG32"/>
  <c r="AG31"/>
  <c r="AG30"/>
  <c r="AG29"/>
  <c r="AG28"/>
  <c r="AG27"/>
  <c r="AG26"/>
  <c r="AG18"/>
  <c r="AG17"/>
  <c r="AG16"/>
  <c r="AG15"/>
  <c r="AG14"/>
  <c r="AG13"/>
  <c r="AG12"/>
  <c r="AG11"/>
  <c r="AG10"/>
  <c r="AG9"/>
  <c r="AG8"/>
  <c r="AG7"/>
  <c r="AG6"/>
  <c r="AD37"/>
  <c r="AD36"/>
  <c r="AD35"/>
  <c r="AD34"/>
  <c r="AD33"/>
  <c r="AD32"/>
  <c r="AD31"/>
  <c r="AD30"/>
  <c r="AD29"/>
  <c r="AD28"/>
  <c r="AD27"/>
  <c r="AD26"/>
  <c r="AD25"/>
  <c r="AD18"/>
  <c r="AD17"/>
  <c r="AD16"/>
  <c r="AD15"/>
  <c r="AD14"/>
  <c r="AD13"/>
  <c r="AD12"/>
  <c r="AD10"/>
  <c r="AD9"/>
  <c r="AD8"/>
  <c r="AD7"/>
  <c r="AD6"/>
  <c r="AA37"/>
  <c r="AA36"/>
  <c r="AA35"/>
  <c r="AA34"/>
  <c r="AA33"/>
  <c r="AA32"/>
  <c r="AA31"/>
  <c r="AA30"/>
  <c r="AA29"/>
  <c r="AA28"/>
  <c r="AA27"/>
  <c r="AA26"/>
  <c r="AA18"/>
  <c r="AA17"/>
  <c r="AA16"/>
  <c r="AA15"/>
  <c r="AA14"/>
  <c r="AA13"/>
  <c r="AA12"/>
  <c r="AA11"/>
  <c r="AA10"/>
  <c r="AA9"/>
  <c r="AA8"/>
  <c r="AA7"/>
  <c r="AA6"/>
  <c r="X37"/>
  <c r="X36"/>
  <c r="X35"/>
  <c r="X34"/>
  <c r="X33"/>
  <c r="X32"/>
  <c r="X31"/>
  <c r="X30"/>
  <c r="X29"/>
  <c r="X28"/>
  <c r="X27"/>
  <c r="X26"/>
  <c r="X25"/>
  <c r="X18"/>
  <c r="X17"/>
  <c r="X16"/>
  <c r="X15"/>
  <c r="X14"/>
  <c r="X13"/>
  <c r="X12"/>
  <c r="X11"/>
  <c r="X10"/>
  <c r="X9"/>
  <c r="X8"/>
  <c r="X7"/>
  <c r="X6"/>
  <c r="U18"/>
  <c r="U19"/>
  <c r="U26"/>
  <c r="U27"/>
  <c r="U28"/>
  <c r="U29"/>
  <c r="U30"/>
  <c r="U31"/>
  <c r="U32"/>
  <c r="U33"/>
  <c r="U34"/>
  <c r="U35"/>
  <c r="U36"/>
  <c r="U37"/>
  <c r="U6"/>
  <c r="U7"/>
  <c r="U8"/>
  <c r="U9"/>
  <c r="U10"/>
  <c r="U11"/>
  <c r="U12"/>
  <c r="U13"/>
  <c r="U14"/>
  <c r="U15"/>
  <c r="U16"/>
  <c r="U17"/>
  <c r="Q37"/>
  <c r="Q36"/>
  <c r="Q35"/>
  <c r="Q34"/>
  <c r="Q33"/>
  <c r="Q32"/>
  <c r="Q31"/>
  <c r="Q30"/>
  <c r="Q29"/>
  <c r="Q28"/>
  <c r="Q27"/>
  <c r="Q26"/>
  <c r="Q25"/>
  <c r="N37"/>
  <c r="N36"/>
  <c r="N35"/>
  <c r="N34"/>
  <c r="N33"/>
  <c r="N32"/>
  <c r="N31"/>
  <c r="N30"/>
  <c r="N29"/>
  <c r="N28"/>
  <c r="N27"/>
  <c r="N26"/>
  <c r="N25"/>
  <c r="K37"/>
  <c r="K36"/>
  <c r="K35"/>
  <c r="K34"/>
  <c r="K33"/>
  <c r="K32"/>
  <c r="K31"/>
  <c r="K30"/>
  <c r="K29"/>
  <c r="K28"/>
  <c r="K27"/>
  <c r="K26"/>
  <c r="K25"/>
  <c r="H26"/>
  <c r="H27"/>
  <c r="H28"/>
  <c r="H29"/>
  <c r="H30"/>
  <c r="H31"/>
  <c r="H32"/>
  <c r="H33"/>
  <c r="H34"/>
  <c r="H35"/>
  <c r="H36"/>
  <c r="H37"/>
  <c r="E18"/>
  <c r="F17" i="23" s="1"/>
  <c r="E19" i="3"/>
  <c r="F18" i="23" s="1"/>
  <c r="E20" i="3"/>
  <c r="F19" i="23" s="1"/>
  <c r="E21" i="3"/>
  <c r="F20" i="23" s="1"/>
  <c r="E22" i="3"/>
  <c r="F21" i="23" s="1"/>
  <c r="E23" i="3"/>
  <c r="F22" i="23" s="1"/>
  <c r="E24" i="3"/>
  <c r="E25"/>
  <c r="E26"/>
  <c r="E27"/>
  <c r="E28"/>
  <c r="E29"/>
  <c r="E30"/>
  <c r="E31"/>
  <c r="E32"/>
  <c r="E33"/>
  <c r="E34"/>
  <c r="E35"/>
  <c r="E36"/>
  <c r="E37"/>
  <c r="E5"/>
  <c r="E10"/>
  <c r="F9" i="23" s="1"/>
  <c r="E11" i="3"/>
  <c r="F10" i="23" s="1"/>
  <c r="E12" i="3"/>
  <c r="F11" i="23" s="1"/>
  <c r="E13" i="3"/>
  <c r="F12" i="23" s="1"/>
  <c r="F13"/>
  <c r="F14"/>
  <c r="E16" i="3"/>
  <c r="F15" i="23" s="1"/>
  <c r="E17" i="3"/>
  <c r="F16" i="23" s="1"/>
  <c r="U38" i="3" l="1"/>
  <c r="A7" i="14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S20" i="1"/>
  <c r="S19"/>
  <c r="S17"/>
  <c r="B43"/>
  <c r="S16"/>
  <c r="S18"/>
  <c r="S21"/>
  <c r="S26"/>
  <c r="S27"/>
  <c r="D21" i="23" s="1"/>
  <c r="S28" i="1"/>
  <c r="D22" i="23" s="1"/>
  <c r="S15" i="1"/>
  <c r="S13"/>
  <c r="C11"/>
  <c r="AC23" i="12" l="1"/>
  <c r="AC18"/>
  <c r="D17" i="23"/>
  <c r="AC19" i="12"/>
  <c r="D18" i="23"/>
  <c r="AC20" i="12"/>
  <c r="D19" i="23"/>
  <c r="AC21" i="12"/>
  <c r="D20" i="23"/>
  <c r="AC22" i="12"/>
  <c r="AC15"/>
  <c r="D14" i="23"/>
  <c r="AC13" i="12"/>
  <c r="D12" i="23"/>
  <c r="AC14" i="12"/>
  <c r="D13" i="23"/>
  <c r="AC16" i="12"/>
  <c r="D15" i="23"/>
  <c r="AC17" i="12"/>
  <c r="D16" i="23"/>
  <c r="AC12" i="12"/>
  <c r="D11" i="23"/>
  <c r="AC11" i="12"/>
  <c r="D10" i="23"/>
  <c r="AC10" i="12"/>
  <c r="D9" i="23"/>
  <c r="AC9" i="12"/>
  <c r="D8" i="23"/>
  <c r="AC8" i="12"/>
  <c r="D7" i="23"/>
  <c r="B5" i="11"/>
  <c r="AH7" i="13"/>
  <c r="AH8"/>
  <c r="AH9"/>
  <c r="AH10"/>
  <c r="AH11"/>
  <c r="AH12"/>
  <c r="AH13"/>
  <c r="AH14"/>
  <c r="AH15"/>
  <c r="AH16"/>
  <c r="AH17"/>
  <c r="AH18"/>
  <c r="AH19"/>
  <c r="AH20"/>
  <c r="AH21"/>
  <c r="AH22"/>
  <c r="AH23"/>
  <c r="AH24"/>
  <c r="AH25"/>
  <c r="AH26"/>
  <c r="AH27"/>
  <c r="AH28"/>
  <c r="AH29"/>
  <c r="AH30"/>
  <c r="AH31"/>
  <c r="AH32"/>
  <c r="AH33"/>
  <c r="AH34"/>
  <c r="AH35"/>
  <c r="AH36"/>
  <c r="AH6"/>
  <c r="AG7"/>
  <c r="AG8"/>
  <c r="AG9"/>
  <c r="AG10"/>
  <c r="AG11"/>
  <c r="AG12"/>
  <c r="AG13"/>
  <c r="AG14"/>
  <c r="AG15"/>
  <c r="AG16"/>
  <c r="AG17"/>
  <c r="AG18"/>
  <c r="AG19"/>
  <c r="AG20"/>
  <c r="AG21"/>
  <c r="AG22"/>
  <c r="AG23"/>
  <c r="AG24"/>
  <c r="AG25"/>
  <c r="AG26"/>
  <c r="AG27"/>
  <c r="AG28"/>
  <c r="AG29"/>
  <c r="AG30"/>
  <c r="AG31"/>
  <c r="AG32"/>
  <c r="AG33"/>
  <c r="AG34"/>
  <c r="AG35"/>
  <c r="AG36"/>
  <c r="AG6"/>
  <c r="AF7"/>
  <c r="AF8"/>
  <c r="AF9"/>
  <c r="AF10"/>
  <c r="AF11"/>
  <c r="AF12"/>
  <c r="AF13"/>
  <c r="AF14"/>
  <c r="AF15"/>
  <c r="AF16"/>
  <c r="AF17"/>
  <c r="AF18"/>
  <c r="AF19"/>
  <c r="AF20"/>
  <c r="AF21"/>
  <c r="AF22"/>
  <c r="AF23"/>
  <c r="AF24"/>
  <c r="AF25"/>
  <c r="AF26"/>
  <c r="AF27"/>
  <c r="AF28"/>
  <c r="AF29"/>
  <c r="AF30"/>
  <c r="AF31"/>
  <c r="AF32"/>
  <c r="AF33"/>
  <c r="AF34"/>
  <c r="AF35"/>
  <c r="AF36"/>
  <c r="AF6"/>
  <c r="J9"/>
  <c r="J10"/>
  <c r="J11"/>
  <c r="J12"/>
  <c r="J13"/>
  <c r="J14"/>
  <c r="J15"/>
  <c r="J16"/>
  <c r="J17"/>
  <c r="J18"/>
  <c r="J19"/>
  <c r="J20"/>
  <c r="J21"/>
  <c r="J22"/>
  <c r="J23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5" i="18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4"/>
  <c r="G10" i="11"/>
  <c r="G11"/>
  <c r="G12"/>
  <c r="G13"/>
  <c r="G14"/>
  <c r="G15"/>
  <c r="G16"/>
  <c r="G17"/>
  <c r="G18"/>
  <c r="G19"/>
  <c r="G20"/>
  <c r="G21"/>
  <c r="G22"/>
  <c r="G23"/>
  <c r="G24"/>
  <c r="C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5"/>
  <c r="A7" i="12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7" i="3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6"/>
  <c r="A11" i="15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10"/>
  <c r="K25" i="18"/>
  <c r="J26" s="1"/>
  <c r="K26"/>
  <c r="J27" s="1"/>
  <c r="K27"/>
  <c r="J28" s="1"/>
  <c r="K28"/>
  <c r="J29" s="1"/>
  <c r="K29"/>
  <c r="J30" s="1"/>
  <c r="K30"/>
  <c r="J31" s="1"/>
  <c r="K31"/>
  <c r="J32" s="1"/>
  <c r="K32"/>
  <c r="J33" s="1"/>
  <c r="K33"/>
  <c r="J34" s="1"/>
  <c r="K34"/>
  <c r="J35" s="1"/>
  <c r="K35"/>
  <c r="S40" i="1"/>
  <c r="S41"/>
  <c r="D35" i="23" s="1"/>
  <c r="S42" i="1"/>
  <c r="S43"/>
  <c r="S44"/>
  <c r="L7" i="14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6"/>
  <c r="K7"/>
  <c r="K8"/>
  <c r="K9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K28"/>
  <c r="K29"/>
  <c r="K30"/>
  <c r="K31"/>
  <c r="K32"/>
  <c r="K33"/>
  <c r="K34"/>
  <c r="K35"/>
  <c r="K36"/>
  <c r="K37"/>
  <c r="K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6"/>
  <c r="AI45" i="1"/>
  <c r="E77" i="20"/>
  <c r="G77" s="1"/>
  <c r="B77"/>
  <c r="D77" s="1"/>
  <c r="E76"/>
  <c r="G76" s="1"/>
  <c r="B76"/>
  <c r="D76" s="1"/>
  <c r="E75"/>
  <c r="G75" s="1"/>
  <c r="B75"/>
  <c r="D75" s="1"/>
  <c r="E74"/>
  <c r="G74" s="1"/>
  <c r="B74"/>
  <c r="D74" s="1"/>
  <c r="E73"/>
  <c r="G73" s="1"/>
  <c r="B73"/>
  <c r="D73" s="1"/>
  <c r="E72"/>
  <c r="G72" s="1"/>
  <c r="B72"/>
  <c r="D72" s="1"/>
  <c r="E71"/>
  <c r="G71" s="1"/>
  <c r="B71"/>
  <c r="D71" s="1"/>
  <c r="E70"/>
  <c r="G70" s="1"/>
  <c r="B70"/>
  <c r="D70" s="1"/>
  <c r="E69"/>
  <c r="G69" s="1"/>
  <c r="B69"/>
  <c r="D69" s="1"/>
  <c r="E68"/>
  <c r="G68" s="1"/>
  <c r="B68"/>
  <c r="D68" s="1"/>
  <c r="E67"/>
  <c r="G67" s="1"/>
  <c r="B67"/>
  <c r="D67" s="1"/>
  <c r="E66"/>
  <c r="G66" s="1"/>
  <c r="B66"/>
  <c r="D66" s="1"/>
  <c r="E65"/>
  <c r="G65" s="1"/>
  <c r="B65"/>
  <c r="D65" s="1"/>
  <c r="E64"/>
  <c r="G64" s="1"/>
  <c r="B64"/>
  <c r="D64" s="1"/>
  <c r="E63"/>
  <c r="G63" s="1"/>
  <c r="B63"/>
  <c r="D63" s="1"/>
  <c r="E62"/>
  <c r="G62" s="1"/>
  <c r="B62"/>
  <c r="D62" s="1"/>
  <c r="E61"/>
  <c r="G61" s="1"/>
  <c r="B61"/>
  <c r="D61" s="1"/>
  <c r="E60"/>
  <c r="G60" s="1"/>
  <c r="B60"/>
  <c r="D60" s="1"/>
  <c r="E59"/>
  <c r="G59" s="1"/>
  <c r="B59"/>
  <c r="D59" s="1"/>
  <c r="E58"/>
  <c r="G58" s="1"/>
  <c r="B58"/>
  <c r="D58" s="1"/>
  <c r="E57"/>
  <c r="G57" s="1"/>
  <c r="B57"/>
  <c r="D57" s="1"/>
  <c r="E56"/>
  <c r="G56" s="1"/>
  <c r="B56"/>
  <c r="D56" s="1"/>
  <c r="E55"/>
  <c r="G55" s="1"/>
  <c r="B55"/>
  <c r="D55" s="1"/>
  <c r="E54"/>
  <c r="G54" s="1"/>
  <c r="B54"/>
  <c r="D54" s="1"/>
  <c r="E53"/>
  <c r="G53" s="1"/>
  <c r="B53"/>
  <c r="D53" s="1"/>
  <c r="E52"/>
  <c r="G52" s="1"/>
  <c r="B52"/>
  <c r="D52" s="1"/>
  <c r="E51"/>
  <c r="G51" s="1"/>
  <c r="B51"/>
  <c r="D51" s="1"/>
  <c r="E50"/>
  <c r="G50" s="1"/>
  <c r="B50"/>
  <c r="D50" s="1"/>
  <c r="E49"/>
  <c r="G49" s="1"/>
  <c r="B49"/>
  <c r="D49" s="1"/>
  <c r="E48"/>
  <c r="G48" s="1"/>
  <c r="B48"/>
  <c r="D48" s="1"/>
  <c r="E47"/>
  <c r="G47" s="1"/>
  <c r="B47"/>
  <c r="D47" s="1"/>
  <c r="E46"/>
  <c r="G46" s="1"/>
  <c r="B46"/>
  <c r="D46" s="1"/>
  <c r="E45"/>
  <c r="G45" s="1"/>
  <c r="B45"/>
  <c r="D45" s="1"/>
  <c r="E44"/>
  <c r="G44" s="1"/>
  <c r="B44"/>
  <c r="D44" s="1"/>
  <c r="E43"/>
  <c r="G43" s="1"/>
  <c r="B43"/>
  <c r="D43" s="1"/>
  <c r="E42"/>
  <c r="G42" s="1"/>
  <c r="B42"/>
  <c r="D42" s="1"/>
  <c r="E41"/>
  <c r="G41" s="1"/>
  <c r="B41"/>
  <c r="D41" s="1"/>
  <c r="E40"/>
  <c r="G40" s="1"/>
  <c r="B40"/>
  <c r="D40" s="1"/>
  <c r="E39"/>
  <c r="G39" s="1"/>
  <c r="B39"/>
  <c r="D39" s="1"/>
  <c r="E38"/>
  <c r="G38" s="1"/>
  <c r="B38"/>
  <c r="D38" s="1"/>
  <c r="E37"/>
  <c r="G37" s="1"/>
  <c r="B37"/>
  <c r="D37" s="1"/>
  <c r="E36"/>
  <c r="G36" s="1"/>
  <c r="B36"/>
  <c r="D36" s="1"/>
  <c r="E35"/>
  <c r="G35" s="1"/>
  <c r="B35"/>
  <c r="D35" s="1"/>
  <c r="E34"/>
  <c r="G34" s="1"/>
  <c r="B34"/>
  <c r="D34" s="1"/>
  <c r="E33"/>
  <c r="G33" s="1"/>
  <c r="B33"/>
  <c r="D33" s="1"/>
  <c r="E32"/>
  <c r="G32" s="1"/>
  <c r="B32"/>
  <c r="D32" s="1"/>
  <c r="E31"/>
  <c r="G31" s="1"/>
  <c r="B31"/>
  <c r="D31" s="1"/>
  <c r="E30"/>
  <c r="G30" s="1"/>
  <c r="B30"/>
  <c r="D30" s="1"/>
  <c r="E29"/>
  <c r="G29" s="1"/>
  <c r="B29"/>
  <c r="D29" s="1"/>
  <c r="E28"/>
  <c r="G28" s="1"/>
  <c r="B28"/>
  <c r="D28" s="1"/>
  <c r="E27"/>
  <c r="G27" s="1"/>
  <c r="B27"/>
  <c r="D27" s="1"/>
  <c r="E26"/>
  <c r="G26" s="1"/>
  <c r="B26"/>
  <c r="D26" s="1"/>
  <c r="E25"/>
  <c r="G25" s="1"/>
  <c r="B25"/>
  <c r="D25" s="1"/>
  <c r="E24"/>
  <c r="G24" s="1"/>
  <c r="B24"/>
  <c r="D24" s="1"/>
  <c r="E23"/>
  <c r="G23" s="1"/>
  <c r="B23"/>
  <c r="D23" s="1"/>
  <c r="E22"/>
  <c r="G22" s="1"/>
  <c r="B22"/>
  <c r="D22" s="1"/>
  <c r="E21"/>
  <c r="G21" s="1"/>
  <c r="B21"/>
  <c r="D21" s="1"/>
  <c r="E20"/>
  <c r="G20" s="1"/>
  <c r="B20"/>
  <c r="D20" s="1"/>
  <c r="E19"/>
  <c r="G19" s="1"/>
  <c r="B19"/>
  <c r="D19" s="1"/>
  <c r="E18"/>
  <c r="G18" s="1"/>
  <c r="B18"/>
  <c r="D18" s="1"/>
  <c r="E17"/>
  <c r="G17" s="1"/>
  <c r="B17"/>
  <c r="D17" s="1"/>
  <c r="E16"/>
  <c r="G16" s="1"/>
  <c r="B16"/>
  <c r="D16" s="1"/>
  <c r="E15"/>
  <c r="G15" s="1"/>
  <c r="B15"/>
  <c r="D15" s="1"/>
  <c r="E14"/>
  <c r="G14" s="1"/>
  <c r="B14"/>
  <c r="D14" s="1"/>
  <c r="E13"/>
  <c r="G13" s="1"/>
  <c r="B13"/>
  <c r="D13" s="1"/>
  <c r="E12"/>
  <c r="G12" s="1"/>
  <c r="B12"/>
  <c r="D12" s="1"/>
  <c r="E11"/>
  <c r="G11" s="1"/>
  <c r="B11"/>
  <c r="D11" s="1"/>
  <c r="E10"/>
  <c r="G10" s="1"/>
  <c r="B10"/>
  <c r="D10" s="1"/>
  <c r="E9"/>
  <c r="G9" s="1"/>
  <c r="B9"/>
  <c r="D9" s="1"/>
  <c r="E8"/>
  <c r="G8" s="1"/>
  <c r="B8"/>
  <c r="D8" s="1"/>
  <c r="E7"/>
  <c r="G7" s="1"/>
  <c r="B7"/>
  <c r="D7" s="1"/>
  <c r="E6"/>
  <c r="G6" s="1"/>
  <c r="B6"/>
  <c r="D6" s="1"/>
  <c r="G5"/>
  <c r="B5"/>
  <c r="D5" s="1"/>
  <c r="G4"/>
  <c r="D4"/>
  <c r="O39" i="10"/>
  <c r="P39" s="1"/>
  <c r="M38"/>
  <c r="M39" s="1"/>
  <c r="B38"/>
  <c r="B39" s="1"/>
  <c r="C39" s="1"/>
  <c r="Q36"/>
  <c r="V36" s="1"/>
  <c r="K36"/>
  <c r="O35"/>
  <c r="N35"/>
  <c r="M35"/>
  <c r="L35"/>
  <c r="K35"/>
  <c r="J35"/>
  <c r="P35" s="1"/>
  <c r="H35"/>
  <c r="G35"/>
  <c r="F35"/>
  <c r="C35"/>
  <c r="D35" s="1"/>
  <c r="O34"/>
  <c r="N34"/>
  <c r="M34"/>
  <c r="L34"/>
  <c r="K34"/>
  <c r="J34"/>
  <c r="P34" s="1"/>
  <c r="H34"/>
  <c r="G34"/>
  <c r="F34"/>
  <c r="C34"/>
  <c r="D34" s="1"/>
  <c r="O33"/>
  <c r="N33"/>
  <c r="M33"/>
  <c r="L33"/>
  <c r="K33"/>
  <c r="J33"/>
  <c r="P33" s="1"/>
  <c r="H33"/>
  <c r="G33"/>
  <c r="F33"/>
  <c r="C33"/>
  <c r="D33" s="1"/>
  <c r="O32"/>
  <c r="N32"/>
  <c r="M32"/>
  <c r="L32"/>
  <c r="K32"/>
  <c r="J32"/>
  <c r="P32" s="1"/>
  <c r="H32"/>
  <c r="G32"/>
  <c r="F32"/>
  <c r="C32"/>
  <c r="D32" s="1"/>
  <c r="A32"/>
  <c r="O31"/>
  <c r="N31"/>
  <c r="M31"/>
  <c r="L31"/>
  <c r="K31"/>
  <c r="J31"/>
  <c r="P31" s="1"/>
  <c r="H31"/>
  <c r="G31"/>
  <c r="F31"/>
  <c r="C31"/>
  <c r="D31" s="1"/>
  <c r="A31"/>
  <c r="O30"/>
  <c r="N30"/>
  <c r="M30"/>
  <c r="L30"/>
  <c r="K30"/>
  <c r="J30"/>
  <c r="P30" s="1"/>
  <c r="H30"/>
  <c r="G30"/>
  <c r="F30"/>
  <c r="C30"/>
  <c r="D30" s="1"/>
  <c r="A30"/>
  <c r="O29"/>
  <c r="N29"/>
  <c r="M29"/>
  <c r="L29"/>
  <c r="K29"/>
  <c r="J29"/>
  <c r="P29" s="1"/>
  <c r="H29"/>
  <c r="G29"/>
  <c r="F29"/>
  <c r="C29"/>
  <c r="D29" s="1"/>
  <c r="A29"/>
  <c r="O28"/>
  <c r="N28"/>
  <c r="M28"/>
  <c r="L28"/>
  <c r="K28"/>
  <c r="J28"/>
  <c r="P28" s="1"/>
  <c r="H28"/>
  <c r="G28"/>
  <c r="F28"/>
  <c r="D28"/>
  <c r="C28"/>
  <c r="A28"/>
  <c r="O27"/>
  <c r="N27"/>
  <c r="M27"/>
  <c r="L27"/>
  <c r="K27"/>
  <c r="J27"/>
  <c r="P27" s="1"/>
  <c r="H27"/>
  <c r="G27"/>
  <c r="F27"/>
  <c r="C27"/>
  <c r="D27" s="1"/>
  <c r="A27"/>
  <c r="O26"/>
  <c r="N26"/>
  <c r="M26"/>
  <c r="L26"/>
  <c r="K26"/>
  <c r="J26"/>
  <c r="P26" s="1"/>
  <c r="H26"/>
  <c r="I26" s="1"/>
  <c r="Q26" s="1"/>
  <c r="G26"/>
  <c r="F26"/>
  <c r="C26"/>
  <c r="D26" s="1"/>
  <c r="A26"/>
  <c r="O25"/>
  <c r="N25"/>
  <c r="M25"/>
  <c r="L25"/>
  <c r="K25"/>
  <c r="J25"/>
  <c r="P25" s="1"/>
  <c r="H25"/>
  <c r="G25"/>
  <c r="F25"/>
  <c r="C25"/>
  <c r="D25" s="1"/>
  <c r="A25"/>
  <c r="O24"/>
  <c r="N24"/>
  <c r="M24"/>
  <c r="L24"/>
  <c r="K24"/>
  <c r="J24"/>
  <c r="P24" s="1"/>
  <c r="H24"/>
  <c r="G24"/>
  <c r="F24"/>
  <c r="C24"/>
  <c r="D24" s="1"/>
  <c r="A24"/>
  <c r="O23"/>
  <c r="N23"/>
  <c r="M23"/>
  <c r="L23"/>
  <c r="K23"/>
  <c r="J23"/>
  <c r="P23" s="1"/>
  <c r="H23"/>
  <c r="G23"/>
  <c r="I23" s="1"/>
  <c r="Q23" s="1"/>
  <c r="F23"/>
  <c r="C23"/>
  <c r="D23" s="1"/>
  <c r="A23"/>
  <c r="O22"/>
  <c r="N22"/>
  <c r="M22"/>
  <c r="L22"/>
  <c r="K22"/>
  <c r="J22"/>
  <c r="P22" s="1"/>
  <c r="H22"/>
  <c r="G22"/>
  <c r="F22"/>
  <c r="C22"/>
  <c r="D22" s="1"/>
  <c r="A22"/>
  <c r="O21"/>
  <c r="N21"/>
  <c r="M21"/>
  <c r="L21"/>
  <c r="K21"/>
  <c r="J21"/>
  <c r="P21" s="1"/>
  <c r="H21"/>
  <c r="G21"/>
  <c r="F21"/>
  <c r="C21"/>
  <c r="D21" s="1"/>
  <c r="A21"/>
  <c r="O20"/>
  <c r="N20"/>
  <c r="M20"/>
  <c r="L20"/>
  <c r="K20"/>
  <c r="J20"/>
  <c r="P20" s="1"/>
  <c r="H20"/>
  <c r="G20"/>
  <c r="F20"/>
  <c r="C20"/>
  <c r="D20" s="1"/>
  <c r="A20"/>
  <c r="O19"/>
  <c r="N19"/>
  <c r="M19"/>
  <c r="L19"/>
  <c r="K19"/>
  <c r="J19"/>
  <c r="P19" s="1"/>
  <c r="H19"/>
  <c r="G19"/>
  <c r="I19" s="1"/>
  <c r="Q19" s="1"/>
  <c r="F19"/>
  <c r="C19"/>
  <c r="D19" s="1"/>
  <c r="A19"/>
  <c r="O18"/>
  <c r="N18"/>
  <c r="M18"/>
  <c r="L18"/>
  <c r="J18"/>
  <c r="P18" s="1"/>
  <c r="H18"/>
  <c r="G18"/>
  <c r="F18"/>
  <c r="C18"/>
  <c r="D18" s="1"/>
  <c r="A18"/>
  <c r="O17"/>
  <c r="N17"/>
  <c r="M17"/>
  <c r="L17"/>
  <c r="K17"/>
  <c r="J17"/>
  <c r="P17" s="1"/>
  <c r="H17"/>
  <c r="G17"/>
  <c r="F17"/>
  <c r="C17"/>
  <c r="D17" s="1"/>
  <c r="A17"/>
  <c r="O16"/>
  <c r="N16"/>
  <c r="M16"/>
  <c r="L16"/>
  <c r="K16"/>
  <c r="J16"/>
  <c r="P16" s="1"/>
  <c r="H16"/>
  <c r="G16"/>
  <c r="F16"/>
  <c r="C16"/>
  <c r="D16" s="1"/>
  <c r="A16"/>
  <c r="O15"/>
  <c r="N15"/>
  <c r="M15"/>
  <c r="L15"/>
  <c r="K15"/>
  <c r="J15"/>
  <c r="P15" s="1"/>
  <c r="H15"/>
  <c r="G15"/>
  <c r="F15"/>
  <c r="C15"/>
  <c r="D15" s="1"/>
  <c r="A15"/>
  <c r="O14"/>
  <c r="N14"/>
  <c r="M14"/>
  <c r="L14"/>
  <c r="K14"/>
  <c r="J14"/>
  <c r="P14" s="1"/>
  <c r="H14"/>
  <c r="G14"/>
  <c r="I14" s="1"/>
  <c r="Q14" s="1"/>
  <c r="F14"/>
  <c r="C14"/>
  <c r="D14" s="1"/>
  <c r="A14"/>
  <c r="O13"/>
  <c r="N13"/>
  <c r="M13"/>
  <c r="L13"/>
  <c r="K13"/>
  <c r="J13"/>
  <c r="P13" s="1"/>
  <c r="H13"/>
  <c r="G13"/>
  <c r="F13"/>
  <c r="D13"/>
  <c r="C13"/>
  <c r="A13"/>
  <c r="O12"/>
  <c r="N12"/>
  <c r="M12"/>
  <c r="L12"/>
  <c r="K12"/>
  <c r="J12"/>
  <c r="P12" s="1"/>
  <c r="H12"/>
  <c r="G12"/>
  <c r="F12"/>
  <c r="D12"/>
  <c r="C12"/>
  <c r="A12"/>
  <c r="O11"/>
  <c r="N11"/>
  <c r="M11"/>
  <c r="L11"/>
  <c r="K11"/>
  <c r="J11"/>
  <c r="P11" s="1"/>
  <c r="H11"/>
  <c r="G11"/>
  <c r="F11"/>
  <c r="C11"/>
  <c r="D11" s="1"/>
  <c r="A11"/>
  <c r="O10"/>
  <c r="N10"/>
  <c r="M10"/>
  <c r="L10"/>
  <c r="K10"/>
  <c r="J10"/>
  <c r="P10" s="1"/>
  <c r="H10"/>
  <c r="G10"/>
  <c r="F10"/>
  <c r="C10"/>
  <c r="D10" s="1"/>
  <c r="A10"/>
  <c r="O9"/>
  <c r="N9"/>
  <c r="M9"/>
  <c r="L9"/>
  <c r="K9"/>
  <c r="J9"/>
  <c r="P9" s="1"/>
  <c r="H9"/>
  <c r="G9"/>
  <c r="F9"/>
  <c r="C9"/>
  <c r="D9" s="1"/>
  <c r="A9"/>
  <c r="O8"/>
  <c r="N8"/>
  <c r="M8"/>
  <c r="L8"/>
  <c r="K8"/>
  <c r="J8"/>
  <c r="P8" s="1"/>
  <c r="H8"/>
  <c r="G8"/>
  <c r="F8"/>
  <c r="C8"/>
  <c r="D8" s="1"/>
  <c r="A8"/>
  <c r="O7"/>
  <c r="N7"/>
  <c r="M7"/>
  <c r="L7"/>
  <c r="K7"/>
  <c r="J7"/>
  <c r="P7" s="1"/>
  <c r="H7"/>
  <c r="G7"/>
  <c r="F7"/>
  <c r="C7"/>
  <c r="D7" s="1"/>
  <c r="A7"/>
  <c r="O6"/>
  <c r="N6"/>
  <c r="M6"/>
  <c r="L6"/>
  <c r="K6"/>
  <c r="J6"/>
  <c r="P6" s="1"/>
  <c r="H6"/>
  <c r="G6"/>
  <c r="F6"/>
  <c r="C6"/>
  <c r="D6" s="1"/>
  <c r="A6"/>
  <c r="X5"/>
  <c r="X6" s="1"/>
  <c r="X7" s="1"/>
  <c r="O5"/>
  <c r="N5"/>
  <c r="M5"/>
  <c r="L5"/>
  <c r="U5" s="1"/>
  <c r="K5"/>
  <c r="T5" s="1"/>
  <c r="J5"/>
  <c r="P5" s="1"/>
  <c r="H5"/>
  <c r="G5"/>
  <c r="I5" s="1"/>
  <c r="Q5" s="1"/>
  <c r="F5"/>
  <c r="C5"/>
  <c r="D5" s="1"/>
  <c r="A5"/>
  <c r="C32" i="9"/>
  <c r="B32"/>
  <c r="A32"/>
  <c r="C31"/>
  <c r="B31"/>
  <c r="A31"/>
  <c r="C30"/>
  <c r="B30"/>
  <c r="A30"/>
  <c r="C29"/>
  <c r="B29"/>
  <c r="A29"/>
  <c r="C28"/>
  <c r="B28"/>
  <c r="A28"/>
  <c r="C27"/>
  <c r="B27"/>
  <c r="A27"/>
  <c r="C26"/>
  <c r="B26"/>
  <c r="A26"/>
  <c r="C25"/>
  <c r="B25"/>
  <c r="A25"/>
  <c r="C24"/>
  <c r="B24"/>
  <c r="A24"/>
  <c r="C23"/>
  <c r="B23"/>
  <c r="A23"/>
  <c r="C22"/>
  <c r="B22"/>
  <c r="A22"/>
  <c r="C21"/>
  <c r="B21"/>
  <c r="A21"/>
  <c r="C20"/>
  <c r="B20"/>
  <c r="A20"/>
  <c r="C19"/>
  <c r="B19"/>
  <c r="A19"/>
  <c r="C18"/>
  <c r="B18"/>
  <c r="A18"/>
  <c r="C17"/>
  <c r="B17"/>
  <c r="A17"/>
  <c r="C16"/>
  <c r="B16"/>
  <c r="A16"/>
  <c r="C15"/>
  <c r="B15"/>
  <c r="A15"/>
  <c r="C14"/>
  <c r="B14"/>
  <c r="A14"/>
  <c r="C13"/>
  <c r="B13"/>
  <c r="A13"/>
  <c r="C12"/>
  <c r="B12"/>
  <c r="A12"/>
  <c r="C11"/>
  <c r="B11"/>
  <c r="A11"/>
  <c r="C10"/>
  <c r="B10"/>
  <c r="A10"/>
  <c r="C9"/>
  <c r="B9"/>
  <c r="A9"/>
  <c r="C8"/>
  <c r="B8"/>
  <c r="A8"/>
  <c r="C7"/>
  <c r="B7"/>
  <c r="A7"/>
  <c r="C6"/>
  <c r="B6"/>
  <c r="A6"/>
  <c r="C5"/>
  <c r="B5"/>
  <c r="A5"/>
  <c r="C4"/>
  <c r="B4"/>
  <c r="A4"/>
  <c r="C3"/>
  <c r="B3"/>
  <c r="A3"/>
  <c r="C2"/>
  <c r="B2"/>
  <c r="A2"/>
  <c r="C32" i="8"/>
  <c r="B32"/>
  <c r="A32"/>
  <c r="C31"/>
  <c r="B31"/>
  <c r="A31"/>
  <c r="C30"/>
  <c r="B30"/>
  <c r="A30"/>
  <c r="C29"/>
  <c r="B29"/>
  <c r="A29"/>
  <c r="C28"/>
  <c r="B28"/>
  <c r="A28"/>
  <c r="C27"/>
  <c r="B27"/>
  <c r="A27"/>
  <c r="C26"/>
  <c r="B26"/>
  <c r="A26"/>
  <c r="C25"/>
  <c r="B25"/>
  <c r="A25"/>
  <c r="C24"/>
  <c r="B24"/>
  <c r="A24"/>
  <c r="C23"/>
  <c r="B23"/>
  <c r="A23"/>
  <c r="C22"/>
  <c r="B22"/>
  <c r="A22"/>
  <c r="C21"/>
  <c r="B21"/>
  <c r="A21"/>
  <c r="C20"/>
  <c r="B20"/>
  <c r="A20"/>
  <c r="C19"/>
  <c r="B19"/>
  <c r="A19"/>
  <c r="C18"/>
  <c r="B18"/>
  <c r="A18"/>
  <c r="C17"/>
  <c r="B17"/>
  <c r="A17"/>
  <c r="C16"/>
  <c r="B16"/>
  <c r="A16"/>
  <c r="C15"/>
  <c r="B15"/>
  <c r="A15"/>
  <c r="C14"/>
  <c r="B14"/>
  <c r="A14"/>
  <c r="C13"/>
  <c r="B13"/>
  <c r="A13"/>
  <c r="C12"/>
  <c r="B12"/>
  <c r="A12"/>
  <c r="C11"/>
  <c r="B11"/>
  <c r="A11"/>
  <c r="C10"/>
  <c r="B10"/>
  <c r="A10"/>
  <c r="C9"/>
  <c r="B9"/>
  <c r="A9"/>
  <c r="C8"/>
  <c r="B8"/>
  <c r="A8"/>
  <c r="C7"/>
  <c r="B7"/>
  <c r="A7"/>
  <c r="C6"/>
  <c r="B6"/>
  <c r="A6"/>
  <c r="C5"/>
  <c r="B5"/>
  <c r="A5"/>
  <c r="C4"/>
  <c r="B4"/>
  <c r="A4"/>
  <c r="C3"/>
  <c r="B3"/>
  <c r="A3"/>
  <c r="C2"/>
  <c r="B2"/>
  <c r="A2"/>
  <c r="F45" i="15"/>
  <c r="G45" s="1"/>
  <c r="F42"/>
  <c r="E42"/>
  <c r="L36" i="11"/>
  <c r="A41" i="15"/>
  <c r="L34" i="11"/>
  <c r="J36" i="15"/>
  <c r="M17" i="14"/>
  <c r="G13" i="26" s="1"/>
  <c r="M16" i="14"/>
  <c r="G12" i="26" s="1"/>
  <c r="M15" i="14"/>
  <c r="G11" i="26" s="1"/>
  <c r="M14" i="14"/>
  <c r="G10" i="26" s="1"/>
  <c r="M13" i="14"/>
  <c r="G9" i="26" s="1"/>
  <c r="M12" i="14"/>
  <c r="G8" i="26" s="1"/>
  <c r="M11" i="14"/>
  <c r="G7" i="26" s="1"/>
  <c r="M10" i="14"/>
  <c r="G6" i="26" s="1"/>
  <c r="M9" i="14"/>
  <c r="G5" i="26" s="1"/>
  <c r="M8" i="14"/>
  <c r="G4" i="26" s="1"/>
  <c r="M7" i="14"/>
  <c r="G3" i="26" s="1"/>
  <c r="I10" i="15"/>
  <c r="M6" i="14"/>
  <c r="H3" i="15"/>
  <c r="B33" i="7"/>
  <c r="E32"/>
  <c r="D32"/>
  <c r="C32"/>
  <c r="B32"/>
  <c r="A32"/>
  <c r="E31"/>
  <c r="D31"/>
  <c r="C31"/>
  <c r="B31"/>
  <c r="A31"/>
  <c r="E30"/>
  <c r="D30"/>
  <c r="C30"/>
  <c r="B30"/>
  <c r="A30"/>
  <c r="E29"/>
  <c r="D29"/>
  <c r="C29"/>
  <c r="B29"/>
  <c r="A29"/>
  <c r="E28"/>
  <c r="D28"/>
  <c r="C28"/>
  <c r="B28"/>
  <c r="A28"/>
  <c r="E27"/>
  <c r="D27"/>
  <c r="C27"/>
  <c r="B27"/>
  <c r="A27"/>
  <c r="E26"/>
  <c r="D26"/>
  <c r="C26"/>
  <c r="B26"/>
  <c r="A26"/>
  <c r="E25"/>
  <c r="D25"/>
  <c r="C25"/>
  <c r="B25"/>
  <c r="A25"/>
  <c r="E24"/>
  <c r="D24"/>
  <c r="C24"/>
  <c r="B24"/>
  <c r="A24"/>
  <c r="E23"/>
  <c r="D23"/>
  <c r="C23"/>
  <c r="B23"/>
  <c r="A23"/>
  <c r="E22"/>
  <c r="D22"/>
  <c r="C22"/>
  <c r="B22"/>
  <c r="A22"/>
  <c r="E21"/>
  <c r="D21"/>
  <c r="C21"/>
  <c r="B21"/>
  <c r="A21"/>
  <c r="E20"/>
  <c r="D20"/>
  <c r="C20"/>
  <c r="B20"/>
  <c r="A20"/>
  <c r="E19"/>
  <c r="D19"/>
  <c r="C19"/>
  <c r="B19"/>
  <c r="A19"/>
  <c r="E18"/>
  <c r="D18"/>
  <c r="C18"/>
  <c r="B18"/>
  <c r="A18"/>
  <c r="E17"/>
  <c r="D17"/>
  <c r="C17"/>
  <c r="B17"/>
  <c r="A17"/>
  <c r="E16"/>
  <c r="D16"/>
  <c r="C16"/>
  <c r="B16"/>
  <c r="A16"/>
  <c r="E15"/>
  <c r="D15"/>
  <c r="C15"/>
  <c r="B15"/>
  <c r="A15"/>
  <c r="E14"/>
  <c r="D14"/>
  <c r="C14"/>
  <c r="B14"/>
  <c r="A14"/>
  <c r="E13"/>
  <c r="D13"/>
  <c r="C13"/>
  <c r="B13"/>
  <c r="A13"/>
  <c r="E12"/>
  <c r="D12"/>
  <c r="C12"/>
  <c r="B12"/>
  <c r="A12"/>
  <c r="E11"/>
  <c r="D11"/>
  <c r="C11"/>
  <c r="B11"/>
  <c r="A11"/>
  <c r="E10"/>
  <c r="D10"/>
  <c r="C10"/>
  <c r="B10"/>
  <c r="A10"/>
  <c r="E9"/>
  <c r="D9"/>
  <c r="C9"/>
  <c r="B9"/>
  <c r="A9"/>
  <c r="E8"/>
  <c r="D8"/>
  <c r="C8"/>
  <c r="B8"/>
  <c r="A8"/>
  <c r="E7"/>
  <c r="D7"/>
  <c r="C7"/>
  <c r="B7"/>
  <c r="A7"/>
  <c r="E6"/>
  <c r="D6"/>
  <c r="C6"/>
  <c r="B6"/>
  <c r="A6"/>
  <c r="E5"/>
  <c r="D5"/>
  <c r="C5"/>
  <c r="B5"/>
  <c r="A5"/>
  <c r="E4"/>
  <c r="D4"/>
  <c r="C4"/>
  <c r="B4"/>
  <c r="A4"/>
  <c r="E3"/>
  <c r="D3"/>
  <c r="C3"/>
  <c r="B3"/>
  <c r="A3"/>
  <c r="E2"/>
  <c r="D2"/>
  <c r="C2"/>
  <c r="B2"/>
  <c r="A2"/>
  <c r="D36" i="11"/>
  <c r="M35"/>
  <c r="D35"/>
  <c r="M34"/>
  <c r="D34"/>
  <c r="M33"/>
  <c r="D33"/>
  <c r="M32"/>
  <c r="D32"/>
  <c r="M31"/>
  <c r="D31"/>
  <c r="M30"/>
  <c r="D30"/>
  <c r="M29"/>
  <c r="D29"/>
  <c r="M28"/>
  <c r="D28"/>
  <c r="M27"/>
  <c r="D27"/>
  <c r="M26"/>
  <c r="D26"/>
  <c r="M25"/>
  <c r="D25"/>
  <c r="M24"/>
  <c r="D24"/>
  <c r="M23"/>
  <c r="D23"/>
  <c r="M22"/>
  <c r="D22"/>
  <c r="M21"/>
  <c r="D21"/>
  <c r="M20"/>
  <c r="D20"/>
  <c r="M19"/>
  <c r="D19"/>
  <c r="M18"/>
  <c r="D18"/>
  <c r="M17"/>
  <c r="D17"/>
  <c r="M16"/>
  <c r="D16"/>
  <c r="M15"/>
  <c r="D15"/>
  <c r="M14"/>
  <c r="D14"/>
  <c r="M13"/>
  <c r="D13"/>
  <c r="M12"/>
  <c r="D12"/>
  <c r="M11"/>
  <c r="D11"/>
  <c r="M10"/>
  <c r="D10"/>
  <c r="M9"/>
  <c r="D9"/>
  <c r="M8"/>
  <c r="D8"/>
  <c r="M7"/>
  <c r="D7"/>
  <c r="M6"/>
  <c r="D6"/>
  <c r="M5"/>
  <c r="D5"/>
  <c r="AB35" i="18"/>
  <c r="V35"/>
  <c r="X35" s="1"/>
  <c r="P35"/>
  <c r="D35"/>
  <c r="B35"/>
  <c r="H35" s="1"/>
  <c r="M35" s="1"/>
  <c r="T35" s="1"/>
  <c r="Y35" s="1"/>
  <c r="A35"/>
  <c r="AB34"/>
  <c r="AA35" s="1"/>
  <c r="V34"/>
  <c r="X34" s="1"/>
  <c r="P34"/>
  <c r="O35" s="1"/>
  <c r="D34"/>
  <c r="F34" s="1"/>
  <c r="S34" s="1"/>
  <c r="H34"/>
  <c r="M34" s="1"/>
  <c r="T34" s="1"/>
  <c r="Y34" s="1"/>
  <c r="AB33"/>
  <c r="AA34" s="1"/>
  <c r="V33"/>
  <c r="X33" s="1"/>
  <c r="P33"/>
  <c r="O34" s="1"/>
  <c r="D33"/>
  <c r="F33" s="1"/>
  <c r="S33" s="1"/>
  <c r="H33"/>
  <c r="M33" s="1"/>
  <c r="T33" s="1"/>
  <c r="Y33" s="1"/>
  <c r="AB32"/>
  <c r="AA33" s="1"/>
  <c r="V32"/>
  <c r="X32" s="1"/>
  <c r="P32"/>
  <c r="D32"/>
  <c r="F32" s="1"/>
  <c r="S32" s="1"/>
  <c r="H32"/>
  <c r="M32" s="1"/>
  <c r="T32" s="1"/>
  <c r="Y32" s="1"/>
  <c r="AB31"/>
  <c r="V31"/>
  <c r="X31" s="1"/>
  <c r="P31"/>
  <c r="O32" s="1"/>
  <c r="D31"/>
  <c r="F31" s="1"/>
  <c r="H31"/>
  <c r="M31" s="1"/>
  <c r="T31" s="1"/>
  <c r="Y31" s="1"/>
  <c r="AB30"/>
  <c r="AA31" s="1"/>
  <c r="V30"/>
  <c r="X30" s="1"/>
  <c r="P30"/>
  <c r="O31" s="1"/>
  <c r="D30"/>
  <c r="F30" s="1"/>
  <c r="S30" s="1"/>
  <c r="H30"/>
  <c r="M30" s="1"/>
  <c r="T30" s="1"/>
  <c r="Y30" s="1"/>
  <c r="AB29"/>
  <c r="V29"/>
  <c r="X29" s="1"/>
  <c r="P29"/>
  <c r="O30" s="1"/>
  <c r="D29"/>
  <c r="F29" s="1"/>
  <c r="H29"/>
  <c r="M29" s="1"/>
  <c r="T29" s="1"/>
  <c r="Y29" s="1"/>
  <c r="AB28"/>
  <c r="AA29" s="1"/>
  <c r="V28"/>
  <c r="X28" s="1"/>
  <c r="P28"/>
  <c r="O29" s="1"/>
  <c r="D28"/>
  <c r="F28" s="1"/>
  <c r="S28" s="1"/>
  <c r="H28"/>
  <c r="M28" s="1"/>
  <c r="T28" s="1"/>
  <c r="Y28" s="1"/>
  <c r="AB27"/>
  <c r="V27"/>
  <c r="X27" s="1"/>
  <c r="P27"/>
  <c r="O28" s="1"/>
  <c r="D27"/>
  <c r="F27" s="1"/>
  <c r="H27"/>
  <c r="M27" s="1"/>
  <c r="T27" s="1"/>
  <c r="Y27" s="1"/>
  <c r="AB26"/>
  <c r="AA27" s="1"/>
  <c r="X26"/>
  <c r="V26"/>
  <c r="P26"/>
  <c r="O27" s="1"/>
  <c r="D26"/>
  <c r="F26" s="1"/>
  <c r="S26" s="1"/>
  <c r="H26"/>
  <c r="M26" s="1"/>
  <c r="T26" s="1"/>
  <c r="Y26" s="1"/>
  <c r="AB25"/>
  <c r="AA26" s="1"/>
  <c r="V25"/>
  <c r="X25" s="1"/>
  <c r="P25"/>
  <c r="O26" s="1"/>
  <c r="F25"/>
  <c r="S25" s="1"/>
  <c r="D25"/>
  <c r="H25"/>
  <c r="M25" s="1"/>
  <c r="T25" s="1"/>
  <c r="Y25" s="1"/>
  <c r="AB24"/>
  <c r="AA25" s="1"/>
  <c r="Y24"/>
  <c r="V24"/>
  <c r="X24" s="1"/>
  <c r="P24"/>
  <c r="O25" s="1"/>
  <c r="K24"/>
  <c r="J25" s="1"/>
  <c r="F24"/>
  <c r="S24" s="1"/>
  <c r="D24"/>
  <c r="H24"/>
  <c r="M24" s="1"/>
  <c r="AB23"/>
  <c r="AA24" s="1"/>
  <c r="AC24" s="1"/>
  <c r="V23"/>
  <c r="X23" s="1"/>
  <c r="P23"/>
  <c r="O24" s="1"/>
  <c r="K23"/>
  <c r="J24" s="1"/>
  <c r="D23"/>
  <c r="F23" s="1"/>
  <c r="S23" s="1"/>
  <c r="H23"/>
  <c r="M23" s="1"/>
  <c r="T23" s="1"/>
  <c r="Y23" s="1"/>
  <c r="AB22"/>
  <c r="V22"/>
  <c r="X22" s="1"/>
  <c r="P22"/>
  <c r="O23" s="1"/>
  <c r="K22"/>
  <c r="J23" s="1"/>
  <c r="D22"/>
  <c r="F22" s="1"/>
  <c r="H22"/>
  <c r="M22" s="1"/>
  <c r="T22" s="1"/>
  <c r="Y22" s="1"/>
  <c r="AB21"/>
  <c r="AA22" s="1"/>
  <c r="V21"/>
  <c r="X21" s="1"/>
  <c r="J22" i="23" s="1"/>
  <c r="P21" i="18"/>
  <c r="O22" s="1"/>
  <c r="K21"/>
  <c r="J22" s="1"/>
  <c r="D21"/>
  <c r="F21" s="1"/>
  <c r="H21"/>
  <c r="M21" s="1"/>
  <c r="T21" s="1"/>
  <c r="Y21" s="1"/>
  <c r="AB20"/>
  <c r="AA21" s="1"/>
  <c r="V20"/>
  <c r="X20" s="1"/>
  <c r="J21" i="23" s="1"/>
  <c r="P20" i="18"/>
  <c r="O21" s="1"/>
  <c r="K20"/>
  <c r="J21" s="1"/>
  <c r="D20"/>
  <c r="F20" s="1"/>
  <c r="I21" i="23" s="1"/>
  <c r="H20" i="18"/>
  <c r="M20" s="1"/>
  <c r="T20" s="1"/>
  <c r="Y20" s="1"/>
  <c r="AB19"/>
  <c r="AA20" s="1"/>
  <c r="V19"/>
  <c r="X19" s="1"/>
  <c r="J20" i="23" s="1"/>
  <c r="P19" i="18"/>
  <c r="O20" s="1"/>
  <c r="K19"/>
  <c r="J20" s="1"/>
  <c r="H19"/>
  <c r="M19" s="1"/>
  <c r="T19" s="1"/>
  <c r="Y19" s="1"/>
  <c r="D19"/>
  <c r="F19" s="1"/>
  <c r="AB18"/>
  <c r="V18"/>
  <c r="X18" s="1"/>
  <c r="J19" i="23" s="1"/>
  <c r="P18" i="18"/>
  <c r="O19" s="1"/>
  <c r="K18"/>
  <c r="J19" s="1"/>
  <c r="D18"/>
  <c r="F18" s="1"/>
  <c r="I19" i="23" s="1"/>
  <c r="H18" i="18"/>
  <c r="M18" s="1"/>
  <c r="T18" s="1"/>
  <c r="Y18" s="1"/>
  <c r="AB17"/>
  <c r="AA18" s="1"/>
  <c r="V17"/>
  <c r="X17" s="1"/>
  <c r="J18" i="23" s="1"/>
  <c r="P17" i="18"/>
  <c r="O18" s="1"/>
  <c r="K17"/>
  <c r="J18" s="1"/>
  <c r="D17"/>
  <c r="F17" s="1"/>
  <c r="H17"/>
  <c r="M17" s="1"/>
  <c r="T17" s="1"/>
  <c r="Y17" s="1"/>
  <c r="AB16"/>
  <c r="AA17" s="1"/>
  <c r="V16"/>
  <c r="X16" s="1"/>
  <c r="J17" i="23" s="1"/>
  <c r="P16" i="18"/>
  <c r="O17" s="1"/>
  <c r="K16"/>
  <c r="J17" s="1"/>
  <c r="D16"/>
  <c r="F16" s="1"/>
  <c r="I17" i="23" s="1"/>
  <c r="H16" i="18"/>
  <c r="M16" s="1"/>
  <c r="T16" s="1"/>
  <c r="Y16" s="1"/>
  <c r="AB15"/>
  <c r="AA16" s="1"/>
  <c r="V15"/>
  <c r="X15" s="1"/>
  <c r="J16" i="23" s="1"/>
  <c r="P15" i="18"/>
  <c r="O16" s="1"/>
  <c r="K15"/>
  <c r="J16" s="1"/>
  <c r="D15"/>
  <c r="F15" s="1"/>
  <c r="H15"/>
  <c r="M15" s="1"/>
  <c r="T15" s="1"/>
  <c r="Y15" s="1"/>
  <c r="AB14"/>
  <c r="AA15" s="1"/>
  <c r="V14"/>
  <c r="X14" s="1"/>
  <c r="J15" i="23" s="1"/>
  <c r="P14" i="18"/>
  <c r="O15" s="1"/>
  <c r="K14"/>
  <c r="J15" s="1"/>
  <c r="D14"/>
  <c r="F14" s="1"/>
  <c r="I15" i="23" s="1"/>
  <c r="H14" i="18"/>
  <c r="M14" s="1"/>
  <c r="T14" s="1"/>
  <c r="Y14" s="1"/>
  <c r="AB13"/>
  <c r="AA14" s="1"/>
  <c r="V13"/>
  <c r="X13" s="1"/>
  <c r="J14" i="23" s="1"/>
  <c r="P13" i="18"/>
  <c r="O14" s="1"/>
  <c r="Q14" s="1"/>
  <c r="R14" s="1"/>
  <c r="K13"/>
  <c r="J14" s="1"/>
  <c r="D13"/>
  <c r="F13" s="1"/>
  <c r="H13"/>
  <c r="M13" s="1"/>
  <c r="T13" s="1"/>
  <c r="Y13" s="1"/>
  <c r="AB12"/>
  <c r="AA13" s="1"/>
  <c r="V12"/>
  <c r="X12" s="1"/>
  <c r="J13" i="23" s="1"/>
  <c r="P12" i="18"/>
  <c r="O13" s="1"/>
  <c r="K12"/>
  <c r="J13" s="1"/>
  <c r="D12"/>
  <c r="F12" s="1"/>
  <c r="H12"/>
  <c r="M12" s="1"/>
  <c r="T12" s="1"/>
  <c r="Y12" s="1"/>
  <c r="AB11"/>
  <c r="AA12" s="1"/>
  <c r="V11"/>
  <c r="X11" s="1"/>
  <c r="J12" i="23" s="1"/>
  <c r="P11" i="18"/>
  <c r="O12" s="1"/>
  <c r="K11"/>
  <c r="J12" s="1"/>
  <c r="D11"/>
  <c r="F11" s="1"/>
  <c r="H11"/>
  <c r="M11" s="1"/>
  <c r="T11" s="1"/>
  <c r="Y11" s="1"/>
  <c r="AB10"/>
  <c r="AA11" s="1"/>
  <c r="V10"/>
  <c r="X10" s="1"/>
  <c r="J11" i="23" s="1"/>
  <c r="P10" i="18"/>
  <c r="O11" s="1"/>
  <c r="K10"/>
  <c r="J11" s="1"/>
  <c r="D10"/>
  <c r="F10" s="1"/>
  <c r="H10"/>
  <c r="M10" s="1"/>
  <c r="T10" s="1"/>
  <c r="Y10" s="1"/>
  <c r="AB9"/>
  <c r="AA10" s="1"/>
  <c r="V9"/>
  <c r="X9" s="1"/>
  <c r="J10" i="23" s="1"/>
  <c r="P9" i="18"/>
  <c r="O10" s="1"/>
  <c r="K9"/>
  <c r="J10" s="1"/>
  <c r="D9"/>
  <c r="F9" s="1"/>
  <c r="I10" i="23" s="1"/>
  <c r="H9" i="18"/>
  <c r="M9" s="1"/>
  <c r="T9" s="1"/>
  <c r="Y9" s="1"/>
  <c r="AB8"/>
  <c r="AA9" s="1"/>
  <c r="V8"/>
  <c r="X8" s="1"/>
  <c r="J9" i="23" s="1"/>
  <c r="P8" i="18"/>
  <c r="O9" s="1"/>
  <c r="K8"/>
  <c r="J9" s="1"/>
  <c r="D8"/>
  <c r="F8" s="1"/>
  <c r="H8"/>
  <c r="M8" s="1"/>
  <c r="T8" s="1"/>
  <c r="Y8" s="1"/>
  <c r="AB7"/>
  <c r="V7"/>
  <c r="X7" s="1"/>
  <c r="J8" i="23" s="1"/>
  <c r="P7" i="18"/>
  <c r="O8" s="1"/>
  <c r="K7"/>
  <c r="J8" s="1"/>
  <c r="D7"/>
  <c r="F7" s="1"/>
  <c r="H7"/>
  <c r="M7" s="1"/>
  <c r="T7" s="1"/>
  <c r="Y7" s="1"/>
  <c r="AB6"/>
  <c r="AA7" s="1"/>
  <c r="V6"/>
  <c r="X6" s="1"/>
  <c r="J7" i="23" s="1"/>
  <c r="P6" i="18"/>
  <c r="O7" s="1"/>
  <c r="K6"/>
  <c r="J7" s="1"/>
  <c r="D6"/>
  <c r="F6" s="1"/>
  <c r="H6"/>
  <c r="M6" s="1"/>
  <c r="T6" s="1"/>
  <c r="Y6" s="1"/>
  <c r="AB5"/>
  <c r="AA6" s="1"/>
  <c r="V5"/>
  <c r="X5" s="1"/>
  <c r="J6" i="23" s="1"/>
  <c r="P5" i="18"/>
  <c r="O6" s="1"/>
  <c r="K5"/>
  <c r="J6" s="1"/>
  <c r="D5"/>
  <c r="F5" s="1"/>
  <c r="I6" i="23" s="1"/>
  <c r="H5" i="18"/>
  <c r="M5" s="1"/>
  <c r="T5" s="1"/>
  <c r="Y5" s="1"/>
  <c r="AB4"/>
  <c r="AC4" s="1"/>
  <c r="X4"/>
  <c r="J5" i="23" s="1"/>
  <c r="P4" i="18"/>
  <c r="O5" s="1"/>
  <c r="K4"/>
  <c r="J5" s="1"/>
  <c r="F4"/>
  <c r="H4"/>
  <c r="M4" s="1"/>
  <c r="T4" s="1"/>
  <c r="Y4" s="1"/>
  <c r="AB3"/>
  <c r="X3"/>
  <c r="P3"/>
  <c r="O4" s="1"/>
  <c r="K3"/>
  <c r="J4" s="1"/>
  <c r="L4" s="1"/>
  <c r="AK37" i="13"/>
  <c r="AE37"/>
  <c r="H37" i="14" s="1"/>
  <c r="AC37" i="13"/>
  <c r="AE36"/>
  <c r="H36" i="14" s="1"/>
  <c r="AC36" i="13"/>
  <c r="Y36"/>
  <c r="Z36" s="1"/>
  <c r="AA36" s="1"/>
  <c r="U36"/>
  <c r="V36" s="1"/>
  <c r="Q36"/>
  <c r="R36" s="1"/>
  <c r="AE35"/>
  <c r="H35" i="14" s="1"/>
  <c r="AC35" i="13"/>
  <c r="Y35"/>
  <c r="Z35" s="1"/>
  <c r="AA35" s="1"/>
  <c r="U35"/>
  <c r="V35" s="1"/>
  <c r="Q35"/>
  <c r="R35" s="1"/>
  <c r="AE34"/>
  <c r="H34" i="14" s="1"/>
  <c r="AC34" i="13"/>
  <c r="Y34"/>
  <c r="Z34" s="1"/>
  <c r="AA34" s="1"/>
  <c r="U34"/>
  <c r="V34" s="1"/>
  <c r="Q34"/>
  <c r="R34" s="1"/>
  <c r="AE33"/>
  <c r="H33" i="14" s="1"/>
  <c r="AC33" i="13"/>
  <c r="Y33"/>
  <c r="Z33" s="1"/>
  <c r="AA33" s="1"/>
  <c r="U33"/>
  <c r="V33" s="1"/>
  <c r="Q33"/>
  <c r="R33" s="1"/>
  <c r="AE32"/>
  <c r="H32" i="14" s="1"/>
  <c r="AC32" i="13"/>
  <c r="Y32"/>
  <c r="Z32" s="1"/>
  <c r="AA32" s="1"/>
  <c r="U32"/>
  <c r="V32" s="1"/>
  <c r="Q32"/>
  <c r="R32" s="1"/>
  <c r="AE31"/>
  <c r="H31" i="14" s="1"/>
  <c r="AC31" i="13"/>
  <c r="Y31"/>
  <c r="Z31" s="1"/>
  <c r="AA31" s="1"/>
  <c r="U31"/>
  <c r="V31" s="1"/>
  <c r="Q31"/>
  <c r="R31" s="1"/>
  <c r="AE30"/>
  <c r="H30" i="14" s="1"/>
  <c r="AC30" i="13"/>
  <c r="Y30"/>
  <c r="Z30" s="1"/>
  <c r="AA30" s="1"/>
  <c r="U30"/>
  <c r="V30" s="1"/>
  <c r="Q30"/>
  <c r="R30" s="1"/>
  <c r="AE29"/>
  <c r="H29" i="14" s="1"/>
  <c r="AC29" i="13"/>
  <c r="Y29"/>
  <c r="Z29" s="1"/>
  <c r="AA29" s="1"/>
  <c r="U29"/>
  <c r="V29" s="1"/>
  <c r="Q29"/>
  <c r="R29" s="1"/>
  <c r="AE28"/>
  <c r="H28" i="14" s="1"/>
  <c r="G28"/>
  <c r="AE27" i="13"/>
  <c r="H27" i="14" s="1"/>
  <c r="G27"/>
  <c r="AE26" i="13"/>
  <c r="H26" i="14" s="1"/>
  <c r="G26"/>
  <c r="AE25" i="13"/>
  <c r="H25" i="14" s="1"/>
  <c r="G25"/>
  <c r="AE24" i="13"/>
  <c r="H24" i="14" s="1"/>
  <c r="G24"/>
  <c r="AE23" i="13"/>
  <c r="H23" i="14" s="1"/>
  <c r="G23"/>
  <c r="AE22" i="13"/>
  <c r="H22" i="14" s="1"/>
  <c r="G22"/>
  <c r="AE21" i="13"/>
  <c r="H21" i="14" s="1"/>
  <c r="G21"/>
  <c r="AE20" i="13"/>
  <c r="H20" i="14" s="1"/>
  <c r="G20"/>
  <c r="AI19" i="13"/>
  <c r="AE19"/>
  <c r="H19" i="14" s="1"/>
  <c r="G19"/>
  <c r="AE18" i="13"/>
  <c r="H18" i="14" s="1"/>
  <c r="G18"/>
  <c r="AE17" i="13"/>
  <c r="H17" i="14" s="1"/>
  <c r="G17"/>
  <c r="AI16" i="13"/>
  <c r="AE16"/>
  <c r="H16" i="14" s="1"/>
  <c r="G16"/>
  <c r="AE15" i="13"/>
  <c r="H15" i="14" s="1"/>
  <c r="G15"/>
  <c r="AE14" i="13"/>
  <c r="H14" i="14" s="1"/>
  <c r="G14"/>
  <c r="AE13" i="13"/>
  <c r="H13" i="14" s="1"/>
  <c r="G13"/>
  <c r="AI13" i="13"/>
  <c r="AE12"/>
  <c r="H12" i="14" s="1"/>
  <c r="G12"/>
  <c r="AE11" i="13"/>
  <c r="H11" i="14" s="1"/>
  <c r="G11"/>
  <c r="AE10" i="13"/>
  <c r="H10" i="14" s="1"/>
  <c r="G10"/>
  <c r="AE9" i="13"/>
  <c r="H9" i="14" s="1"/>
  <c r="G9"/>
  <c r="AI9" i="13"/>
  <c r="AE8"/>
  <c r="H8" i="14" s="1"/>
  <c r="G8"/>
  <c r="AE7" i="13"/>
  <c r="H7" i="14" s="1"/>
  <c r="G7"/>
  <c r="AE6" i="13"/>
  <c r="H6" i="14" s="1"/>
  <c r="G6"/>
  <c r="AI4" i="13"/>
  <c r="F3"/>
  <c r="E6" s="1"/>
  <c r="Q37" i="14"/>
  <c r="S37" s="1"/>
  <c r="A37"/>
  <c r="Q36"/>
  <c r="S36" s="1"/>
  <c r="P36"/>
  <c r="Q35"/>
  <c r="S35" s="1"/>
  <c r="P35"/>
  <c r="Q34"/>
  <c r="P34"/>
  <c r="T33"/>
  <c r="Q33"/>
  <c r="P33"/>
  <c r="Q32"/>
  <c r="P32"/>
  <c r="Q31"/>
  <c r="P31"/>
  <c r="S31"/>
  <c r="Q30"/>
  <c r="S30" s="1"/>
  <c r="P30"/>
  <c r="Q29"/>
  <c r="S29" s="1"/>
  <c r="P29"/>
  <c r="Q28"/>
  <c r="P28"/>
  <c r="Q27"/>
  <c r="S27" s="1"/>
  <c r="P27"/>
  <c r="Q26"/>
  <c r="P26"/>
  <c r="Q25"/>
  <c r="P25"/>
  <c r="Q24"/>
  <c r="P24"/>
  <c r="S24"/>
  <c r="Q23"/>
  <c r="P23"/>
  <c r="S23"/>
  <c r="Q22"/>
  <c r="S22" s="1"/>
  <c r="P22"/>
  <c r="Q21"/>
  <c r="P21"/>
  <c r="Q20"/>
  <c r="P20"/>
  <c r="Q19"/>
  <c r="S19" s="1"/>
  <c r="P19"/>
  <c r="Q18"/>
  <c r="P18"/>
  <c r="Q17"/>
  <c r="P17"/>
  <c r="Q16"/>
  <c r="P16"/>
  <c r="Q15"/>
  <c r="S15" s="1"/>
  <c r="P15"/>
  <c r="Q14"/>
  <c r="P14"/>
  <c r="Q13"/>
  <c r="P13"/>
  <c r="Q12"/>
  <c r="P12"/>
  <c r="Q11"/>
  <c r="P11"/>
  <c r="S11"/>
  <c r="Q10"/>
  <c r="S10" s="1"/>
  <c r="P10"/>
  <c r="Q9"/>
  <c r="P9"/>
  <c r="Q8"/>
  <c r="P8"/>
  <c r="Q7"/>
  <c r="Q39" s="1"/>
  <c r="P7"/>
  <c r="P39" s="1"/>
  <c r="L39"/>
  <c r="J39"/>
  <c r="Q6"/>
  <c r="P6"/>
  <c r="A37" i="12"/>
  <c r="J49" i="3"/>
  <c r="J48"/>
  <c r="J47"/>
  <c r="J46"/>
  <c r="Q38"/>
  <c r="N38"/>
  <c r="AK37"/>
  <c r="AH37"/>
  <c r="AE37"/>
  <c r="AB37"/>
  <c r="Y37"/>
  <c r="V37"/>
  <c r="S37"/>
  <c r="O37"/>
  <c r="L37"/>
  <c r="I37"/>
  <c r="F37"/>
  <c r="C37"/>
  <c r="AK36"/>
  <c r="AH36"/>
  <c r="AE36"/>
  <c r="AB36"/>
  <c r="Y36"/>
  <c r="V36"/>
  <c r="AN36"/>
  <c r="W32" i="25" s="1"/>
  <c r="S36" i="3"/>
  <c r="N32" i="25"/>
  <c r="O36" i="3"/>
  <c r="L36"/>
  <c r="L32" i="25"/>
  <c r="I36" i="3"/>
  <c r="M32" i="25"/>
  <c r="F36" i="3"/>
  <c r="C36"/>
  <c r="AK35"/>
  <c r="AH35"/>
  <c r="AE35"/>
  <c r="AB35"/>
  <c r="Y35"/>
  <c r="V35"/>
  <c r="AN35"/>
  <c r="W31" i="25" s="1"/>
  <c r="S35" i="3"/>
  <c r="N31" i="25"/>
  <c r="O35" i="3"/>
  <c r="L35"/>
  <c r="L31" i="25"/>
  <c r="I35" i="3"/>
  <c r="M31" i="25"/>
  <c r="F35" i="3"/>
  <c r="C35"/>
  <c r="AK34"/>
  <c r="AH34"/>
  <c r="AE34"/>
  <c r="AB34"/>
  <c r="Y34"/>
  <c r="V34"/>
  <c r="AN34"/>
  <c r="W30" i="25" s="1"/>
  <c r="S34" i="3"/>
  <c r="N30" i="25"/>
  <c r="O34" i="3"/>
  <c r="L34"/>
  <c r="L30" i="25"/>
  <c r="I34" i="3"/>
  <c r="M30" i="25"/>
  <c r="F34" i="3"/>
  <c r="C34"/>
  <c r="AK33"/>
  <c r="AH33"/>
  <c r="AE33"/>
  <c r="AB33"/>
  <c r="Y33"/>
  <c r="V33"/>
  <c r="AN33"/>
  <c r="W29" i="25" s="1"/>
  <c r="S33" i="3"/>
  <c r="N29" i="25"/>
  <c r="O33" i="3"/>
  <c r="L33"/>
  <c r="L29" i="25"/>
  <c r="I33" i="3"/>
  <c r="M29" i="25"/>
  <c r="F33" i="3"/>
  <c r="C33"/>
  <c r="AK32"/>
  <c r="AH32"/>
  <c r="AE32"/>
  <c r="AB32"/>
  <c r="Y32"/>
  <c r="V32"/>
  <c r="AN32"/>
  <c r="W28" i="25" s="1"/>
  <c r="S32" i="3"/>
  <c r="N28" i="25"/>
  <c r="O32" i="3"/>
  <c r="L32"/>
  <c r="L28" i="25"/>
  <c r="I32" i="3"/>
  <c r="M28" i="25"/>
  <c r="F32" i="3"/>
  <c r="C32"/>
  <c r="AK31"/>
  <c r="AH31"/>
  <c r="AE31"/>
  <c r="AB31"/>
  <c r="Y31"/>
  <c r="V31"/>
  <c r="AN31"/>
  <c r="W27" i="25" s="1"/>
  <c r="S31" i="3"/>
  <c r="N27" i="25"/>
  <c r="O31" i="3"/>
  <c r="L31"/>
  <c r="L27" i="25"/>
  <c r="I31" i="3"/>
  <c r="M27" i="25"/>
  <c r="F31" i="3"/>
  <c r="C31"/>
  <c r="AK30"/>
  <c r="AH30"/>
  <c r="AE30"/>
  <c r="AB30"/>
  <c r="Y30"/>
  <c r="V30"/>
  <c r="AN30"/>
  <c r="W26" i="25" s="1"/>
  <c r="S30" i="3"/>
  <c r="N26" i="25"/>
  <c r="O30" i="3"/>
  <c r="L30"/>
  <c r="L26" i="25"/>
  <c r="I30" i="3"/>
  <c r="M26" i="25"/>
  <c r="F30" i="3"/>
  <c r="C30"/>
  <c r="AK29"/>
  <c r="AH29"/>
  <c r="AE29"/>
  <c r="AB29"/>
  <c r="Y29"/>
  <c r="V29"/>
  <c r="AN29"/>
  <c r="W25" i="25" s="1"/>
  <c r="S29" i="3"/>
  <c r="N25" i="25"/>
  <c r="O29" i="3"/>
  <c r="L29"/>
  <c r="L25" i="25"/>
  <c r="I29" i="3"/>
  <c r="M25" i="25"/>
  <c r="F29" i="3"/>
  <c r="C29"/>
  <c r="AK28"/>
  <c r="AH28"/>
  <c r="AE28"/>
  <c r="AB28"/>
  <c r="Y28"/>
  <c r="V28"/>
  <c r="AN28"/>
  <c r="W24" i="25" s="1"/>
  <c r="S28" i="3"/>
  <c r="N24" i="25"/>
  <c r="O28" i="3"/>
  <c r="L28"/>
  <c r="L24" i="25"/>
  <c r="I28" i="3"/>
  <c r="M24" i="25"/>
  <c r="F28" i="3"/>
  <c r="C28"/>
  <c r="AK27"/>
  <c r="AH27"/>
  <c r="AE27"/>
  <c r="AB27"/>
  <c r="Y27"/>
  <c r="V27"/>
  <c r="AN27"/>
  <c r="W23" i="25" s="1"/>
  <c r="S27" i="3"/>
  <c r="N23" i="25"/>
  <c r="O27" i="3"/>
  <c r="L27"/>
  <c r="L23" i="25"/>
  <c r="I27" i="3"/>
  <c r="M23" i="25"/>
  <c r="F27" i="3"/>
  <c r="C27"/>
  <c r="AK26"/>
  <c r="AH26"/>
  <c r="AE26"/>
  <c r="AB26"/>
  <c r="Y26"/>
  <c r="V26"/>
  <c r="AN26"/>
  <c r="W22" i="25" s="1"/>
  <c r="S26" i="3"/>
  <c r="N22" i="25"/>
  <c r="O26" i="3"/>
  <c r="L26"/>
  <c r="L22" i="25"/>
  <c r="I26" i="3"/>
  <c r="M22" i="25"/>
  <c r="F26" i="3"/>
  <c r="C26"/>
  <c r="AK25"/>
  <c r="AH25"/>
  <c r="AE25"/>
  <c r="AB25"/>
  <c r="Y25"/>
  <c r="V25"/>
  <c r="AN25"/>
  <c r="W21" i="25" s="1"/>
  <c r="S25" i="3"/>
  <c r="N21" i="25"/>
  <c r="O25" i="3"/>
  <c r="L25"/>
  <c r="L21" i="25"/>
  <c r="I25" i="3"/>
  <c r="M21" i="25"/>
  <c r="F25" i="3"/>
  <c r="C25"/>
  <c r="AK24"/>
  <c r="AH24"/>
  <c r="AE24"/>
  <c r="AB24"/>
  <c r="Y24"/>
  <c r="V24"/>
  <c r="AN24"/>
  <c r="W20" i="25" s="1"/>
  <c r="N20"/>
  <c r="L20"/>
  <c r="M20"/>
  <c r="F24" i="3"/>
  <c r="C24"/>
  <c r="AK23"/>
  <c r="AH23"/>
  <c r="AE23"/>
  <c r="AB23"/>
  <c r="Y23"/>
  <c r="V23"/>
  <c r="AN23"/>
  <c r="N19" i="25"/>
  <c r="L19"/>
  <c r="M19"/>
  <c r="F23" i="3"/>
  <c r="C23"/>
  <c r="AK22"/>
  <c r="AH22"/>
  <c r="AE22"/>
  <c r="AB22"/>
  <c r="Y22"/>
  <c r="V22"/>
  <c r="AN22"/>
  <c r="N18" i="25"/>
  <c r="L18"/>
  <c r="M18"/>
  <c r="F22" i="3"/>
  <c r="C22"/>
  <c r="AK21"/>
  <c r="AH21"/>
  <c r="AE21"/>
  <c r="AB21"/>
  <c r="Y21"/>
  <c r="V21"/>
  <c r="AN21"/>
  <c r="N17" i="25"/>
  <c r="L17"/>
  <c r="M17"/>
  <c r="F21" i="3"/>
  <c r="C21"/>
  <c r="AK20"/>
  <c r="AH20"/>
  <c r="AE20"/>
  <c r="AB20"/>
  <c r="Y20"/>
  <c r="V20"/>
  <c r="AN20"/>
  <c r="N16" i="25"/>
  <c r="L16"/>
  <c r="M16"/>
  <c r="F20" i="3"/>
  <c r="C20"/>
  <c r="AK19"/>
  <c r="AH19"/>
  <c r="AE19"/>
  <c r="AB19"/>
  <c r="Y19"/>
  <c r="V19"/>
  <c r="AN19"/>
  <c r="N15" i="25"/>
  <c r="L15"/>
  <c r="M15"/>
  <c r="F19" i="3"/>
  <c r="C19"/>
  <c r="AK18"/>
  <c r="AH18"/>
  <c r="AE18"/>
  <c r="AB18"/>
  <c r="Y18"/>
  <c r="V18"/>
  <c r="AN18"/>
  <c r="N14" i="25"/>
  <c r="L14"/>
  <c r="M14"/>
  <c r="F18" i="3"/>
  <c r="C18"/>
  <c r="AK17"/>
  <c r="AH17"/>
  <c r="AE17"/>
  <c r="AB17"/>
  <c r="Y17"/>
  <c r="V17"/>
  <c r="AN17"/>
  <c r="G16" i="23" s="1"/>
  <c r="N13" i="25"/>
  <c r="L13"/>
  <c r="M13"/>
  <c r="F17" i="3"/>
  <c r="K16" i="11"/>
  <c r="C17" i="3"/>
  <c r="AK16"/>
  <c r="AH16"/>
  <c r="AE16"/>
  <c r="AB16"/>
  <c r="Y16"/>
  <c r="V16"/>
  <c r="AN16"/>
  <c r="G15" i="23" s="1"/>
  <c r="N12" i="25"/>
  <c r="L12"/>
  <c r="M12"/>
  <c r="F16" i="3"/>
  <c r="N16" i="13"/>
  <c r="C16" i="3"/>
  <c r="AK15"/>
  <c r="AH15"/>
  <c r="AE15"/>
  <c r="AB15"/>
  <c r="Y15"/>
  <c r="V15"/>
  <c r="AN15"/>
  <c r="G14" i="23" s="1"/>
  <c r="N11" i="25"/>
  <c r="L11"/>
  <c r="M11"/>
  <c r="F15" i="3"/>
  <c r="P11" i="25"/>
  <c r="C15" i="3"/>
  <c r="AK14"/>
  <c r="AH14"/>
  <c r="AE14"/>
  <c r="AB14"/>
  <c r="Y14"/>
  <c r="V14"/>
  <c r="AN14"/>
  <c r="G13" i="23" s="1"/>
  <c r="N10" i="25"/>
  <c r="L10"/>
  <c r="M10"/>
  <c r="F14" i="3"/>
  <c r="K13" i="11"/>
  <c r="C14" i="3"/>
  <c r="AK13"/>
  <c r="AH13"/>
  <c r="AE13"/>
  <c r="AB13"/>
  <c r="Y13"/>
  <c r="V13"/>
  <c r="AN13"/>
  <c r="G12" i="23" s="1"/>
  <c r="N9" i="25"/>
  <c r="L9"/>
  <c r="M9"/>
  <c r="F13" i="3"/>
  <c r="N13" i="13"/>
  <c r="C13" i="3"/>
  <c r="AK12"/>
  <c r="AH12"/>
  <c r="AE12"/>
  <c r="AB12"/>
  <c r="Y12"/>
  <c r="V12"/>
  <c r="AN12"/>
  <c r="G11" i="23" s="1"/>
  <c r="N8" i="25"/>
  <c r="L8"/>
  <c r="M8"/>
  <c r="F12" i="3"/>
  <c r="N12" i="13"/>
  <c r="C12" i="3"/>
  <c r="AK11"/>
  <c r="AH11"/>
  <c r="AE11"/>
  <c r="AB11"/>
  <c r="Y11"/>
  <c r="V11"/>
  <c r="AN11"/>
  <c r="G10" i="23" s="1"/>
  <c r="N7" i="25"/>
  <c r="L7"/>
  <c r="M7"/>
  <c r="F11" i="3"/>
  <c r="N11" i="13"/>
  <c r="C11" i="3"/>
  <c r="AK10"/>
  <c r="AH10"/>
  <c r="AE10"/>
  <c r="AB10"/>
  <c r="Y10"/>
  <c r="V10"/>
  <c r="N6" i="25"/>
  <c r="L6"/>
  <c r="M6"/>
  <c r="F10" i="3"/>
  <c r="N10" i="13"/>
  <c r="C10" i="3"/>
  <c r="AK9"/>
  <c r="AH9"/>
  <c r="AE9"/>
  <c r="AB9"/>
  <c r="Y9"/>
  <c r="V9"/>
  <c r="N5" i="25"/>
  <c r="L5"/>
  <c r="M5"/>
  <c r="F9" i="3"/>
  <c r="K8" i="11"/>
  <c r="C9" i="3"/>
  <c r="AK8"/>
  <c r="AH8"/>
  <c r="AE8"/>
  <c r="AB8"/>
  <c r="Y8"/>
  <c r="V8"/>
  <c r="N4" i="25"/>
  <c r="L4"/>
  <c r="M4"/>
  <c r="F8" i="3"/>
  <c r="N8" i="13"/>
  <c r="C8" i="3"/>
  <c r="AK7"/>
  <c r="AH7"/>
  <c r="AE7"/>
  <c r="AB7"/>
  <c r="Y7"/>
  <c r="V7"/>
  <c r="N3" i="25"/>
  <c r="L3"/>
  <c r="M3"/>
  <c r="F7" i="3"/>
  <c r="P3" i="25"/>
  <c r="C7" i="3"/>
  <c r="AK6"/>
  <c r="AH6"/>
  <c r="AE6"/>
  <c r="AB6"/>
  <c r="Y6"/>
  <c r="V6"/>
  <c r="N2" i="25"/>
  <c r="L2"/>
  <c r="M2"/>
  <c r="F6" i="3"/>
  <c r="P2" i="25"/>
  <c r="C6" i="3"/>
  <c r="AK5"/>
  <c r="AH5"/>
  <c r="AE5"/>
  <c r="AB5"/>
  <c r="Y5"/>
  <c r="V5"/>
  <c r="U5"/>
  <c r="F5"/>
  <c r="C5"/>
  <c r="AJ50" i="1"/>
  <c r="AR49"/>
  <c r="B48"/>
  <c r="AQ47"/>
  <c r="R47"/>
  <c r="AQ46"/>
  <c r="AD46"/>
  <c r="AC46"/>
  <c r="AH45"/>
  <c r="AG45"/>
  <c r="AG47" s="1"/>
  <c r="AF45"/>
  <c r="AF47" s="1"/>
  <c r="AE45"/>
  <c r="AD45"/>
  <c r="AC45"/>
  <c r="AB45"/>
  <c r="AB47" s="1"/>
  <c r="AA45"/>
  <c r="AA47" s="1"/>
  <c r="Z45"/>
  <c r="Z47" s="1"/>
  <c r="Y45"/>
  <c r="Y47" s="1"/>
  <c r="X45"/>
  <c r="X47" s="1"/>
  <c r="W45"/>
  <c r="W47" s="1"/>
  <c r="V45"/>
  <c r="R45"/>
  <c r="Q45"/>
  <c r="P45"/>
  <c r="O45"/>
  <c r="N45"/>
  <c r="M45"/>
  <c r="L45"/>
  <c r="K45"/>
  <c r="J45"/>
  <c r="I45"/>
  <c r="H45"/>
  <c r="G45"/>
  <c r="F45"/>
  <c r="E45"/>
  <c r="D45"/>
  <c r="AJ44"/>
  <c r="AR44" s="1"/>
  <c r="AS44" s="1"/>
  <c r="AR43"/>
  <c r="AS43" s="1"/>
  <c r="AJ43"/>
  <c r="T43"/>
  <c r="AJ42"/>
  <c r="T42"/>
  <c r="C37" i="14" s="1"/>
  <c r="AJ41" i="1"/>
  <c r="T41"/>
  <c r="AJ40"/>
  <c r="T40"/>
  <c r="AJ39"/>
  <c r="T39"/>
  <c r="C34" i="14" s="1"/>
  <c r="S39" i="1"/>
  <c r="AJ38"/>
  <c r="T38"/>
  <c r="C33" i="14" s="1"/>
  <c r="S38" i="1"/>
  <c r="D32" i="23" s="1"/>
  <c r="AJ37" i="1"/>
  <c r="T37"/>
  <c r="S37"/>
  <c r="D31" i="23" s="1"/>
  <c r="AJ36" i="1"/>
  <c r="T36"/>
  <c r="C31" i="14" s="1"/>
  <c r="S36" i="1"/>
  <c r="D30" i="23" s="1"/>
  <c r="AJ35" i="1"/>
  <c r="T35"/>
  <c r="C30" i="14" s="1"/>
  <c r="S35" i="1"/>
  <c r="AJ34"/>
  <c r="T34"/>
  <c r="C29" i="14" s="1"/>
  <c r="S34" i="1"/>
  <c r="D28" i="23" s="1"/>
  <c r="AU33" i="1"/>
  <c r="AU34" s="1"/>
  <c r="AU35" s="1"/>
  <c r="AU36" s="1"/>
  <c r="AU37" s="1"/>
  <c r="AU38" s="1"/>
  <c r="AU39" s="1"/>
  <c r="AU40" s="1"/>
  <c r="AU41" s="1"/>
  <c r="AJ33"/>
  <c r="T33"/>
  <c r="S33"/>
  <c r="D27" i="23" s="1"/>
  <c r="AJ32" i="1"/>
  <c r="C26" i="23" s="1"/>
  <c r="T32" i="1"/>
  <c r="C27" i="14" s="1"/>
  <c r="S32" i="1"/>
  <c r="D26" i="23" s="1"/>
  <c r="AJ31" i="1"/>
  <c r="T31"/>
  <c r="C26" i="14" s="1"/>
  <c r="S31" i="1"/>
  <c r="D25" i="23" s="1"/>
  <c r="AJ30" i="1"/>
  <c r="T30"/>
  <c r="C25" i="14" s="1"/>
  <c r="S30" i="1"/>
  <c r="D24" i="23" s="1"/>
  <c r="AJ29" i="1"/>
  <c r="T29"/>
  <c r="S29"/>
  <c r="D23" i="23" s="1"/>
  <c r="AJ28" i="1"/>
  <c r="T28"/>
  <c r="C23" i="14" s="1"/>
  <c r="AJ27" i="1"/>
  <c r="C21" i="23" s="1"/>
  <c r="T27" i="1"/>
  <c r="C22" i="14" s="1"/>
  <c r="AJ26" i="1"/>
  <c r="C20" i="23" s="1"/>
  <c r="T26" i="1"/>
  <c r="C21" i="14" s="1"/>
  <c r="D21"/>
  <c r="N21" s="1"/>
  <c r="R21" s="1"/>
  <c r="AJ25" i="1"/>
  <c r="C19" i="23" s="1"/>
  <c r="T25" i="1"/>
  <c r="U25" s="1"/>
  <c r="AJ24"/>
  <c r="C18" i="23" s="1"/>
  <c r="T24" i="1"/>
  <c r="C19" i="14" s="1"/>
  <c r="AJ23" i="1"/>
  <c r="C17" i="23" s="1"/>
  <c r="T23" i="1"/>
  <c r="C18" i="14" s="1"/>
  <c r="D18"/>
  <c r="N18" s="1"/>
  <c r="AJ22" i="1"/>
  <c r="C16" i="23" s="1"/>
  <c r="T22" i="1"/>
  <c r="C17" i="14" s="1"/>
  <c r="D17"/>
  <c r="N17" s="1"/>
  <c r="AJ21" i="1"/>
  <c r="C15" i="23" s="1"/>
  <c r="T21" i="1"/>
  <c r="C16" i="14" s="1"/>
  <c r="AJ20" i="1"/>
  <c r="C14" i="23" s="1"/>
  <c r="T20" i="1"/>
  <c r="C15" i="14" s="1"/>
  <c r="AJ19" i="1"/>
  <c r="T19"/>
  <c r="C14" i="14" s="1"/>
  <c r="D14"/>
  <c r="N14" s="1"/>
  <c r="AJ18" i="1"/>
  <c r="AR18" s="1"/>
  <c r="AS18" s="1"/>
  <c r="T18"/>
  <c r="F14" i="11" s="1"/>
  <c r="D13" i="14"/>
  <c r="N13" s="1"/>
  <c r="AJ17" i="1"/>
  <c r="T17"/>
  <c r="F13" i="11" s="1"/>
  <c r="D12" i="14"/>
  <c r="N12" s="1"/>
  <c r="AJ16" i="1"/>
  <c r="C10" i="23" s="1"/>
  <c r="T16" i="1"/>
  <c r="U16" s="1"/>
  <c r="AJ15"/>
  <c r="T15"/>
  <c r="F11" i="11" s="1"/>
  <c r="D10" i="14"/>
  <c r="N10" s="1"/>
  <c r="AJ14" i="1"/>
  <c r="T14"/>
  <c r="F10" i="11" s="1"/>
  <c r="D9" i="14"/>
  <c r="N9" s="1"/>
  <c r="AJ13" i="1"/>
  <c r="T13"/>
  <c r="F9" i="11" s="1"/>
  <c r="D8" i="14"/>
  <c r="N8" s="1"/>
  <c r="AJ12" i="1"/>
  <c r="C6" i="23" s="1"/>
  <c r="T12" i="1"/>
  <c r="F8" i="11" s="1"/>
  <c r="S12" i="1"/>
  <c r="AJ11"/>
  <c r="H5" i="11" s="1"/>
  <c r="T11" i="1"/>
  <c r="C6" i="14" s="1"/>
  <c r="S11" i="1"/>
  <c r="AC6" i="12" s="1"/>
  <c r="AJ10" i="1"/>
  <c r="U10"/>
  <c r="T10"/>
  <c r="F6" i="11" s="1"/>
  <c r="S10" i="1"/>
  <c r="G6" i="11" s="1"/>
  <c r="T9" i="1"/>
  <c r="F5" i="11" s="1"/>
  <c r="S9" i="1"/>
  <c r="AR9" s="1"/>
  <c r="S21" i="18" l="1"/>
  <c r="I22" i="23"/>
  <c r="W19" i="25"/>
  <c r="G22" i="23"/>
  <c r="U27" i="1"/>
  <c r="W18" i="25"/>
  <c r="G21" i="23"/>
  <c r="W17" i="25"/>
  <c r="G20" i="23"/>
  <c r="K39" i="14"/>
  <c r="S19" i="18"/>
  <c r="I20" i="23"/>
  <c r="W16" i="25"/>
  <c r="G19" i="23"/>
  <c r="W15" i="25"/>
  <c r="G18" i="23"/>
  <c r="S17" i="18"/>
  <c r="I18" i="23"/>
  <c r="B39" i="14"/>
  <c r="R17"/>
  <c r="W14" i="25"/>
  <c r="G17" i="23"/>
  <c r="S15" i="18"/>
  <c r="I16" i="23"/>
  <c r="S13" i="18"/>
  <c r="I14" i="23"/>
  <c r="AR19" i="1"/>
  <c r="AS19" s="1"/>
  <c r="C13" i="23"/>
  <c r="S12" i="18"/>
  <c r="I13" i="23"/>
  <c r="S11" i="18"/>
  <c r="I12" i="23"/>
  <c r="E12" i="14"/>
  <c r="O12" s="1"/>
  <c r="C11" i="23"/>
  <c r="J30" i="13"/>
  <c r="D29" i="23"/>
  <c r="G35" i="11"/>
  <c r="D33" i="23"/>
  <c r="AC35" i="12"/>
  <c r="D34" i="23"/>
  <c r="S10" i="18"/>
  <c r="I11" i="23"/>
  <c r="AR15" i="1"/>
  <c r="AS15" s="1"/>
  <c r="C9" i="23"/>
  <c r="G32" i="14"/>
  <c r="H31" i="23"/>
  <c r="G36" i="14"/>
  <c r="H35" i="23"/>
  <c r="G31" i="14"/>
  <c r="H30" i="23"/>
  <c r="G35" i="14"/>
  <c r="H34" i="23"/>
  <c r="G30" i="14"/>
  <c r="H29" i="23"/>
  <c r="G34" i="14"/>
  <c r="H33" i="23"/>
  <c r="G37" i="14"/>
  <c r="H36" i="23"/>
  <c r="G29" i="14"/>
  <c r="H28" i="23"/>
  <c r="G33" i="14"/>
  <c r="H32" i="23"/>
  <c r="S8" i="18"/>
  <c r="I9" i="23"/>
  <c r="AR14" i="1"/>
  <c r="AS14" s="1"/>
  <c r="C8" i="23"/>
  <c r="S7" i="18"/>
  <c r="I8" i="23"/>
  <c r="E8" i="14"/>
  <c r="O8" s="1"/>
  <c r="C7" i="23"/>
  <c r="S6" i="18"/>
  <c r="I7" i="23"/>
  <c r="AC7" i="12"/>
  <c r="D6" i="23"/>
  <c r="K77" i="3"/>
  <c r="J24" i="15"/>
  <c r="G36" i="11"/>
  <c r="I36" s="1"/>
  <c r="E16" i="14"/>
  <c r="O16" s="1"/>
  <c r="K16" i="13"/>
  <c r="L16" s="1"/>
  <c r="H15" i="11"/>
  <c r="I15" s="1"/>
  <c r="K23" i="13"/>
  <c r="L23" s="1"/>
  <c r="H22" i="11"/>
  <c r="I22" s="1"/>
  <c r="D25" i="14"/>
  <c r="N25" s="1"/>
  <c r="R25" s="1"/>
  <c r="AC25" i="12"/>
  <c r="J25" i="13"/>
  <c r="K27"/>
  <c r="H26" i="11"/>
  <c r="E32" i="14"/>
  <c r="O32" s="1"/>
  <c r="K32" i="13"/>
  <c r="H31" i="11"/>
  <c r="M25" i="14"/>
  <c r="G21" i="26" s="1"/>
  <c r="L24" i="11"/>
  <c r="T6" i="10"/>
  <c r="V6" s="1"/>
  <c r="W6" s="1"/>
  <c r="K19" i="13"/>
  <c r="L19" s="1"/>
  <c r="H18" i="11"/>
  <c r="I18" s="1"/>
  <c r="U29" i="1"/>
  <c r="AC24" i="12"/>
  <c r="G25" i="11"/>
  <c r="I25" s="1"/>
  <c r="J24" i="13"/>
  <c r="AR31" i="1"/>
  <c r="AS31" s="1"/>
  <c r="K26" i="13"/>
  <c r="H25" i="11"/>
  <c r="AR23" i="1"/>
  <c r="AS23" s="1"/>
  <c r="K18" i="13"/>
  <c r="L18" s="1"/>
  <c r="H17" i="11"/>
  <c r="I17" s="1"/>
  <c r="AR27" i="1"/>
  <c r="AS27" s="1"/>
  <c r="K22" i="13"/>
  <c r="L22" s="1"/>
  <c r="H21" i="11"/>
  <c r="I21" s="1"/>
  <c r="C24" i="14"/>
  <c r="F25" i="11"/>
  <c r="E25" i="14"/>
  <c r="O25" s="1"/>
  <c r="H24" i="11"/>
  <c r="I24" s="1"/>
  <c r="K25" i="13"/>
  <c r="AC27" i="12"/>
  <c r="J27" i="13"/>
  <c r="C28" i="14"/>
  <c r="F29" i="11"/>
  <c r="K30" i="13"/>
  <c r="H29" i="11"/>
  <c r="AC32" i="12"/>
  <c r="J32" i="13"/>
  <c r="K34"/>
  <c r="H33" i="11"/>
  <c r="AR41" i="1"/>
  <c r="AS41" s="1"/>
  <c r="K36" i="13"/>
  <c r="H35" i="11"/>
  <c r="AN6" i="3"/>
  <c r="AN7"/>
  <c r="AN8"/>
  <c r="AN9"/>
  <c r="AN10"/>
  <c r="Q5" i="18"/>
  <c r="R5" s="1"/>
  <c r="Q9"/>
  <c r="R9" s="1"/>
  <c r="M24" i="14"/>
  <c r="G20" i="26" s="1"/>
  <c r="L23" i="11"/>
  <c r="M26" i="14"/>
  <c r="G22" i="26" s="1"/>
  <c r="L25" i="11"/>
  <c r="M28" i="14"/>
  <c r="G24" i="26" s="1"/>
  <c r="L27" i="11"/>
  <c r="M30" i="14"/>
  <c r="G26" i="26" s="1"/>
  <c r="L29" i="11"/>
  <c r="I10" i="10"/>
  <c r="Q10" s="1"/>
  <c r="I16"/>
  <c r="Q16" s="1"/>
  <c r="F35" i="11"/>
  <c r="F30"/>
  <c r="F24"/>
  <c r="F19"/>
  <c r="G28"/>
  <c r="E20" i="14"/>
  <c r="O20" s="1"/>
  <c r="K20" i="13"/>
  <c r="L20" s="1"/>
  <c r="H19" i="11"/>
  <c r="D34" i="14"/>
  <c r="N34" s="1"/>
  <c r="R34" s="1"/>
  <c r="AC34" i="12"/>
  <c r="J34" i="13"/>
  <c r="L34" s="1"/>
  <c r="K35"/>
  <c r="H34" i="11"/>
  <c r="AR42" i="1"/>
  <c r="AS42" s="1"/>
  <c r="H36" i="11"/>
  <c r="M27" i="14"/>
  <c r="G23" i="26" s="1"/>
  <c r="L26" i="11"/>
  <c r="M29" i="14"/>
  <c r="G25" i="26" s="1"/>
  <c r="L28" i="11"/>
  <c r="M31" i="14"/>
  <c r="G27" i="26" s="1"/>
  <c r="L30" i="11"/>
  <c r="U33" i="1"/>
  <c r="AC28" i="12"/>
  <c r="G29" i="11"/>
  <c r="J28" i="13"/>
  <c r="D29" i="14"/>
  <c r="N29" s="1"/>
  <c r="R29" s="1"/>
  <c r="AC29" i="12"/>
  <c r="J29" i="13"/>
  <c r="K31"/>
  <c r="H30" i="11"/>
  <c r="D33" i="14"/>
  <c r="N33" s="1"/>
  <c r="R33" s="1"/>
  <c r="AC33" i="12"/>
  <c r="G34" i="11"/>
  <c r="I34" s="1"/>
  <c r="J33" i="13"/>
  <c r="U41" i="1"/>
  <c r="C36" i="14"/>
  <c r="W13" i="25"/>
  <c r="AR22" i="1"/>
  <c r="AS22" s="1"/>
  <c r="H16" i="11"/>
  <c r="I16" s="1"/>
  <c r="K17" i="13"/>
  <c r="L17" s="1"/>
  <c r="U24" i="1"/>
  <c r="C20" i="14"/>
  <c r="F21" i="11"/>
  <c r="E21" i="14"/>
  <c r="O21" s="1"/>
  <c r="H20" i="11"/>
  <c r="I20" s="1"/>
  <c r="K21" i="13"/>
  <c r="L21" s="1"/>
  <c r="E24" i="14"/>
  <c r="O24" s="1"/>
  <c r="K24" i="13"/>
  <c r="H23" i="11"/>
  <c r="I23" s="1"/>
  <c r="U31" i="1"/>
  <c r="AC26" i="12"/>
  <c r="J26" i="13"/>
  <c r="L26" s="1"/>
  <c r="E28" i="14"/>
  <c r="O28" s="1"/>
  <c r="K28" i="13"/>
  <c r="H27" i="11"/>
  <c r="E29" i="14"/>
  <c r="H28" i="11"/>
  <c r="K29" i="13"/>
  <c r="U36" i="1"/>
  <c r="AC31" i="12"/>
  <c r="J31" i="13"/>
  <c r="C32" i="14"/>
  <c r="F33" i="11"/>
  <c r="E33" i="14"/>
  <c r="O33" s="1"/>
  <c r="H32" i="11"/>
  <c r="K33" i="13"/>
  <c r="U40" i="1"/>
  <c r="C35" i="14"/>
  <c r="P14" i="25"/>
  <c r="I18" i="14"/>
  <c r="N18" i="13"/>
  <c r="K17" i="11"/>
  <c r="N19" i="13"/>
  <c r="K18" i="11"/>
  <c r="P15" i="25"/>
  <c r="I19" i="14"/>
  <c r="N20" i="13"/>
  <c r="K19" i="11"/>
  <c r="P16" i="25"/>
  <c r="I20" i="14"/>
  <c r="P17" i="25"/>
  <c r="I21" i="14"/>
  <c r="N21" i="13"/>
  <c r="K20" i="11"/>
  <c r="P18" i="25"/>
  <c r="I22" i="14"/>
  <c r="N22" i="13"/>
  <c r="K21" i="11"/>
  <c r="N23" i="13"/>
  <c r="K22" i="11"/>
  <c r="P19" i="25"/>
  <c r="I23" i="14"/>
  <c r="N24" i="13"/>
  <c r="K23" i="11"/>
  <c r="P20" i="25"/>
  <c r="I24" i="14"/>
  <c r="P21" i="25"/>
  <c r="I25" i="14"/>
  <c r="N25" i="13"/>
  <c r="K24" i="11"/>
  <c r="P22" i="25"/>
  <c r="I26" i="14"/>
  <c r="N26" i="13"/>
  <c r="K25" i="11"/>
  <c r="N27" i="13"/>
  <c r="K26" i="11"/>
  <c r="P23" i="25"/>
  <c r="I27" i="14"/>
  <c r="N28" i="13"/>
  <c r="K27" i="11"/>
  <c r="P24" i="25"/>
  <c r="I28" i="14"/>
  <c r="P25" i="25"/>
  <c r="I29" i="14"/>
  <c r="N29" i="13"/>
  <c r="K28" i="11"/>
  <c r="P26" i="25"/>
  <c r="I30" i="14"/>
  <c r="N30" i="13"/>
  <c r="K29" i="11"/>
  <c r="N31" i="13"/>
  <c r="K30" i="11"/>
  <c r="P27" i="25"/>
  <c r="I31" i="14"/>
  <c r="N32" i="13"/>
  <c r="K31" i="11"/>
  <c r="P28" i="25"/>
  <c r="I32" i="14"/>
  <c r="P29" i="25"/>
  <c r="I33" i="14"/>
  <c r="N33" i="13"/>
  <c r="K32" i="11"/>
  <c r="P30" i="25"/>
  <c r="I34" i="14"/>
  <c r="N34" i="13"/>
  <c r="K33" i="11"/>
  <c r="N35" i="13"/>
  <c r="K34" i="11"/>
  <c r="P31" i="25"/>
  <c r="I35" i="14"/>
  <c r="N36" i="13"/>
  <c r="K35" i="11"/>
  <c r="P32" i="25"/>
  <c r="I36" i="14"/>
  <c r="I37"/>
  <c r="N37" i="13"/>
  <c r="K36" i="11"/>
  <c r="K60" i="3"/>
  <c r="M20" i="13" s="1"/>
  <c r="K61" i="3"/>
  <c r="M21" i="13" s="1"/>
  <c r="K65" i="3"/>
  <c r="M25" i="13" s="1"/>
  <c r="K69" i="3"/>
  <c r="M29" i="13" s="1"/>
  <c r="K73" i="3"/>
  <c r="M33" i="13" s="1"/>
  <c r="M19" i="14"/>
  <c r="G15" i="26" s="1"/>
  <c r="L18" i="11"/>
  <c r="M21" i="14"/>
  <c r="G17" i="26" s="1"/>
  <c r="L20" i="11"/>
  <c r="M23" i="14"/>
  <c r="G19" i="26" s="1"/>
  <c r="L22" i="11"/>
  <c r="M32" i="14"/>
  <c r="G28" i="26" s="1"/>
  <c r="L31" i="11"/>
  <c r="M34" i="14"/>
  <c r="G30" i="26" s="1"/>
  <c r="L33" i="11"/>
  <c r="M36" i="14"/>
  <c r="L35" i="11"/>
  <c r="I24" i="10"/>
  <c r="Q24" s="1"/>
  <c r="F34" i="11"/>
  <c r="F28"/>
  <c r="F23"/>
  <c r="F18"/>
  <c r="G33"/>
  <c r="I33" s="1"/>
  <c r="G27"/>
  <c r="I27" s="1"/>
  <c r="I35" i="10"/>
  <c r="Q35" s="1"/>
  <c r="D37" i="14"/>
  <c r="AC37" i="12"/>
  <c r="F32" i="11"/>
  <c r="F27"/>
  <c r="F22"/>
  <c r="G5"/>
  <c r="G32"/>
  <c r="G26"/>
  <c r="L24" i="18"/>
  <c r="Q27"/>
  <c r="R27" s="1"/>
  <c r="M18" i="14"/>
  <c r="G14" i="26" s="1"/>
  <c r="L17" i="11"/>
  <c r="M20" i="14"/>
  <c r="G16" i="26" s="1"/>
  <c r="L19" i="11"/>
  <c r="M22" i="14"/>
  <c r="G18" i="26" s="1"/>
  <c r="L21" i="11"/>
  <c r="J31" i="15"/>
  <c r="M33" i="14"/>
  <c r="G29" i="26" s="1"/>
  <c r="L32" i="11"/>
  <c r="I6" i="10"/>
  <c r="Q6" s="1"/>
  <c r="U6"/>
  <c r="I12"/>
  <c r="Q12" s="1"/>
  <c r="I13"/>
  <c r="Q13" s="1"/>
  <c r="I17"/>
  <c r="Q17" s="1"/>
  <c r="I31"/>
  <c r="Q31" s="1"/>
  <c r="S6" i="14"/>
  <c r="M37"/>
  <c r="D36"/>
  <c r="N36" s="1"/>
  <c r="R36" s="1"/>
  <c r="AC36" i="12"/>
  <c r="J36" i="13"/>
  <c r="F36" i="11"/>
  <c r="F31"/>
  <c r="F26"/>
  <c r="F20"/>
  <c r="G30"/>
  <c r="I30" s="1"/>
  <c r="AI30" i="13"/>
  <c r="AI26"/>
  <c r="J35"/>
  <c r="L35" s="1"/>
  <c r="AI15"/>
  <c r="AJ16" s="1"/>
  <c r="K56" i="3"/>
  <c r="M16" i="13" s="1"/>
  <c r="N17"/>
  <c r="P13" i="25"/>
  <c r="I17" i="14"/>
  <c r="L16" i="11"/>
  <c r="U21" i="1"/>
  <c r="F17" i="11"/>
  <c r="K15"/>
  <c r="P12" i="25"/>
  <c r="I16" i="14"/>
  <c r="L15" i="11"/>
  <c r="J20" i="15"/>
  <c r="U35" i="1"/>
  <c r="G31" i="11"/>
  <c r="D30" i="14"/>
  <c r="N30" s="1"/>
  <c r="R30" s="1"/>
  <c r="AC30" i="12"/>
  <c r="AR35" i="1"/>
  <c r="F30" i="14" s="1"/>
  <c r="H14" i="11"/>
  <c r="I14" s="1"/>
  <c r="K15" i="13"/>
  <c r="L15" s="1"/>
  <c r="U20" i="1"/>
  <c r="F16" i="11"/>
  <c r="J19" i="15"/>
  <c r="L14" i="11"/>
  <c r="K14"/>
  <c r="N15" i="13"/>
  <c r="I15" i="14"/>
  <c r="H13" i="11"/>
  <c r="I13" s="1"/>
  <c r="K14" i="13"/>
  <c r="L14" s="1"/>
  <c r="F15" i="11"/>
  <c r="L13"/>
  <c r="L12"/>
  <c r="I14" i="14"/>
  <c r="P10" i="25"/>
  <c r="N14" i="13"/>
  <c r="K13"/>
  <c r="L13" s="1"/>
  <c r="H12" i="11"/>
  <c r="I12" s="1"/>
  <c r="C13" i="14"/>
  <c r="K52" i="3"/>
  <c r="M12" i="13" s="1"/>
  <c r="I13" i="14"/>
  <c r="P9" i="25"/>
  <c r="K12" i="11"/>
  <c r="H11"/>
  <c r="I11" s="1"/>
  <c r="K12" i="13"/>
  <c r="L12" s="1"/>
  <c r="C12" i="14"/>
  <c r="P8" i="25"/>
  <c r="K11" i="11"/>
  <c r="I12" i="14"/>
  <c r="L11" i="11"/>
  <c r="H10"/>
  <c r="I10" s="1"/>
  <c r="K11" i="13"/>
  <c r="L11" s="1"/>
  <c r="F12" i="11"/>
  <c r="C11" i="14"/>
  <c r="L10" i="11"/>
  <c r="J15" i="15"/>
  <c r="B10" i="11"/>
  <c r="K10" i="13"/>
  <c r="L10" s="1"/>
  <c r="H9" i="11"/>
  <c r="C10" i="14"/>
  <c r="L9" i="11"/>
  <c r="H8"/>
  <c r="K9" i="13"/>
  <c r="L9" s="1"/>
  <c r="C9" i="14"/>
  <c r="K48" i="3"/>
  <c r="M8" i="13" s="1"/>
  <c r="K9" i="11"/>
  <c r="I10" i="14"/>
  <c r="P6" i="25"/>
  <c r="K10" i="11"/>
  <c r="I11" i="14"/>
  <c r="P7" i="25"/>
  <c r="N9" i="13"/>
  <c r="P5" i="25"/>
  <c r="I9" i="14"/>
  <c r="L8" i="11"/>
  <c r="H7"/>
  <c r="K8" i="13"/>
  <c r="C8" i="14"/>
  <c r="J8" i="13"/>
  <c r="G9" i="11"/>
  <c r="L7"/>
  <c r="I8" i="14"/>
  <c r="P4" i="25"/>
  <c r="K7" i="11"/>
  <c r="H6"/>
  <c r="I6" s="1"/>
  <c r="K7" i="13"/>
  <c r="U12" i="1"/>
  <c r="C7" i="14"/>
  <c r="G8" i="11"/>
  <c r="J7" i="13"/>
  <c r="L7" s="1"/>
  <c r="I8" i="10"/>
  <c r="Q8" s="1"/>
  <c r="I9"/>
  <c r="Q9" s="1"/>
  <c r="AA5" i="18"/>
  <c r="I11" i="10"/>
  <c r="Q11" s="1"/>
  <c r="I27"/>
  <c r="Q27" s="1"/>
  <c r="I28"/>
  <c r="Q28" s="1"/>
  <c r="I7"/>
  <c r="Q7" s="1"/>
  <c r="I30"/>
  <c r="Q30" s="1"/>
  <c r="L5" i="11"/>
  <c r="L6"/>
  <c r="J11" i="15"/>
  <c r="K5" i="11"/>
  <c r="N6" i="13"/>
  <c r="I6" i="14"/>
  <c r="K6" i="11"/>
  <c r="N7" i="13"/>
  <c r="I7" i="14"/>
  <c r="B6" i="11"/>
  <c r="AJ49" i="1"/>
  <c r="K6" i="13"/>
  <c r="U11" i="1"/>
  <c r="F7" i="11"/>
  <c r="J6" i="13"/>
  <c r="AR11" i="1"/>
  <c r="G7" i="11"/>
  <c r="I7" s="1"/>
  <c r="H39" i="14"/>
  <c r="G39"/>
  <c r="S18" i="18"/>
  <c r="S20"/>
  <c r="S31"/>
  <c r="S22"/>
  <c r="S29"/>
  <c r="S27"/>
  <c r="S5"/>
  <c r="S16"/>
  <c r="S14"/>
  <c r="S9"/>
  <c r="F35"/>
  <c r="I5" i="11"/>
  <c r="B12"/>
  <c r="B14"/>
  <c r="B18"/>
  <c r="B20"/>
  <c r="B22"/>
  <c r="B24"/>
  <c r="B26"/>
  <c r="B28"/>
  <c r="B30"/>
  <c r="B7"/>
  <c r="B8"/>
  <c r="B16"/>
  <c r="B32"/>
  <c r="B31"/>
  <c r="B9"/>
  <c r="B11"/>
  <c r="B13"/>
  <c r="B15"/>
  <c r="B17"/>
  <c r="B19"/>
  <c r="B21"/>
  <c r="B23"/>
  <c r="B25"/>
  <c r="B27"/>
  <c r="B29"/>
  <c r="J12" i="15"/>
  <c r="J16"/>
  <c r="J35"/>
  <c r="J27"/>
  <c r="J23"/>
  <c r="J28"/>
  <c r="J32"/>
  <c r="E34" i="14"/>
  <c r="O34" s="1"/>
  <c r="E30"/>
  <c r="O30" s="1"/>
  <c r="E26"/>
  <c r="O26" s="1"/>
  <c r="E22"/>
  <c r="O22" s="1"/>
  <c r="E18"/>
  <c r="O18" s="1"/>
  <c r="E14"/>
  <c r="O14" s="1"/>
  <c r="E10"/>
  <c r="O10" s="1"/>
  <c r="E37"/>
  <c r="E31"/>
  <c r="O31" s="1"/>
  <c r="E27"/>
  <c r="O27" s="1"/>
  <c r="E23"/>
  <c r="O23" s="1"/>
  <c r="E19"/>
  <c r="O19" s="1"/>
  <c r="E15"/>
  <c r="O15" s="1"/>
  <c r="E11"/>
  <c r="O11" s="1"/>
  <c r="E7"/>
  <c r="O7" s="1"/>
  <c r="C5" i="23"/>
  <c r="E6" i="14"/>
  <c r="O6" s="1"/>
  <c r="E17"/>
  <c r="O17" s="1"/>
  <c r="E13"/>
  <c r="O13" s="1"/>
  <c r="E9"/>
  <c r="O9" s="1"/>
  <c r="AR26" i="1"/>
  <c r="U28"/>
  <c r="AR30"/>
  <c r="U32"/>
  <c r="U37"/>
  <c r="D28" i="14"/>
  <c r="N28" s="1"/>
  <c r="R28" s="1"/>
  <c r="D24"/>
  <c r="N24" s="1"/>
  <c r="R24" s="1"/>
  <c r="D20"/>
  <c r="N20" s="1"/>
  <c r="R20" s="1"/>
  <c r="D16"/>
  <c r="N16" s="1"/>
  <c r="R16" s="1"/>
  <c r="F14"/>
  <c r="U17" i="1"/>
  <c r="AR12"/>
  <c r="U14"/>
  <c r="AR16"/>
  <c r="U18"/>
  <c r="AR20"/>
  <c r="U22"/>
  <c r="AR24"/>
  <c r="U26"/>
  <c r="AR28"/>
  <c r="U30"/>
  <c r="AR32"/>
  <c r="AR37"/>
  <c r="D6" i="14"/>
  <c r="D31"/>
  <c r="N31" s="1"/>
  <c r="R31" s="1"/>
  <c r="D26"/>
  <c r="N26" s="1"/>
  <c r="R26" s="1"/>
  <c r="D22"/>
  <c r="N22" s="1"/>
  <c r="R22" s="1"/>
  <c r="U13" i="1"/>
  <c r="AR13"/>
  <c r="U15"/>
  <c r="AR17"/>
  <c r="U19"/>
  <c r="AR21"/>
  <c r="U23"/>
  <c r="AR25"/>
  <c r="AR29"/>
  <c r="AR33"/>
  <c r="D32" i="14"/>
  <c r="N32" s="1"/>
  <c r="R32" s="1"/>
  <c r="D27"/>
  <c r="N27" s="1"/>
  <c r="R27" s="1"/>
  <c r="D23"/>
  <c r="N23" s="1"/>
  <c r="R23" s="1"/>
  <c r="D19"/>
  <c r="N19" s="1"/>
  <c r="R19" s="1"/>
  <c r="D15"/>
  <c r="N15" s="1"/>
  <c r="R15" s="1"/>
  <c r="D11"/>
  <c r="N11" s="1"/>
  <c r="R11" s="1"/>
  <c r="D7"/>
  <c r="N7" s="1"/>
  <c r="F13"/>
  <c r="F9"/>
  <c r="K49" i="3"/>
  <c r="M9" i="13" s="1"/>
  <c r="K53" i="3"/>
  <c r="M13" i="13" s="1"/>
  <c r="K57" i="3"/>
  <c r="M17" i="13" s="1"/>
  <c r="K62" i="3"/>
  <c r="M22" i="13" s="1"/>
  <c r="K70" i="3"/>
  <c r="M30" i="13" s="1"/>
  <c r="K66" i="3"/>
  <c r="M26" i="13" s="1"/>
  <c r="K68" i="3"/>
  <c r="M28" i="13" s="1"/>
  <c r="K46" i="3"/>
  <c r="M6" i="13" s="1"/>
  <c r="K50" i="3"/>
  <c r="M10" i="13" s="1"/>
  <c r="K54" i="3"/>
  <c r="M14" i="13" s="1"/>
  <c r="K58" i="3"/>
  <c r="M18" i="13" s="1"/>
  <c r="K63" i="3"/>
  <c r="M23" i="13" s="1"/>
  <c r="K67" i="3"/>
  <c r="M27" i="13" s="1"/>
  <c r="K71" i="3"/>
  <c r="M31" i="13" s="1"/>
  <c r="K47" i="3"/>
  <c r="M7" i="13" s="1"/>
  <c r="K51" i="3"/>
  <c r="M11" i="13" s="1"/>
  <c r="K55" i="3"/>
  <c r="M15" i="13" s="1"/>
  <c r="K59" i="3"/>
  <c r="M19" i="13" s="1"/>
  <c r="K64" i="3"/>
  <c r="M24" i="13" s="1"/>
  <c r="K72" i="3"/>
  <c r="M32" i="13" s="1"/>
  <c r="W10" i="25"/>
  <c r="W9"/>
  <c r="W8"/>
  <c r="W12"/>
  <c r="W11"/>
  <c r="AN37" i="3"/>
  <c r="G36" i="23" s="1"/>
  <c r="K38" i="3"/>
  <c r="H38"/>
  <c r="E38"/>
  <c r="R38" s="1"/>
  <c r="AI18" i="13"/>
  <c r="AJ19" s="1"/>
  <c r="AI22"/>
  <c r="AI23"/>
  <c r="L14" i="18"/>
  <c r="P40" i="10"/>
  <c r="Q25" i="18"/>
  <c r="I22" i="10"/>
  <c r="Q22" s="1"/>
  <c r="Q4" i="18"/>
  <c r="R4" s="1"/>
  <c r="Q18"/>
  <c r="R18" s="1"/>
  <c r="I19" i="11"/>
  <c r="I33" i="10"/>
  <c r="Q33" s="1"/>
  <c r="R25" i="18"/>
  <c r="O33"/>
  <c r="Q33" s="1"/>
  <c r="R33" s="1"/>
  <c r="AI14" i="13"/>
  <c r="AJ15" s="1"/>
  <c r="AI20"/>
  <c r="AI28"/>
  <c r="AI32"/>
  <c r="AI33"/>
  <c r="AI36"/>
  <c r="L5" i="18"/>
  <c r="Q7"/>
  <c r="L9"/>
  <c r="AC13"/>
  <c r="Q16"/>
  <c r="L18"/>
  <c r="Q22"/>
  <c r="J18" i="15"/>
  <c r="J21"/>
  <c r="J34"/>
  <c r="J37"/>
  <c r="I29" i="10"/>
  <c r="Q29" s="1"/>
  <c r="I34"/>
  <c r="Q34" s="1"/>
  <c r="AA30" i="18"/>
  <c r="AC30" s="1"/>
  <c r="AI7" i="13"/>
  <c r="AI11"/>
  <c r="AI17"/>
  <c r="AJ17" s="1"/>
  <c r="AI21"/>
  <c r="AI24"/>
  <c r="AI35"/>
  <c r="L7" i="18"/>
  <c r="Q11"/>
  <c r="L16"/>
  <c r="AC17"/>
  <c r="Q20"/>
  <c r="L22"/>
  <c r="Q29"/>
  <c r="R29" s="1"/>
  <c r="I20" i="10"/>
  <c r="Q20" s="1"/>
  <c r="I25"/>
  <c r="Q25" s="1"/>
  <c r="AA23" i="18"/>
  <c r="AC23" s="1"/>
  <c r="AA19"/>
  <c r="AC19" s="1"/>
  <c r="L27"/>
  <c r="AI8" i="13"/>
  <c r="AJ9" s="1"/>
  <c r="AI12"/>
  <c r="AJ13" s="1"/>
  <c r="AI25"/>
  <c r="AJ26" s="1"/>
  <c r="AI27"/>
  <c r="AI29"/>
  <c r="AI31"/>
  <c r="AI34"/>
  <c r="AC6" i="18"/>
  <c r="L11"/>
  <c r="AC15"/>
  <c r="L20"/>
  <c r="AC21"/>
  <c r="Q24"/>
  <c r="AC26"/>
  <c r="Q31"/>
  <c r="R31" s="1"/>
  <c r="AC34"/>
  <c r="J10" i="15"/>
  <c r="J13"/>
  <c r="J26"/>
  <c r="J29"/>
  <c r="I15" i="10"/>
  <c r="Q15" s="1"/>
  <c r="I18"/>
  <c r="Q18" s="1"/>
  <c r="I21"/>
  <c r="Q21" s="1"/>
  <c r="I32"/>
  <c r="Q32" s="1"/>
  <c r="AA32" i="18"/>
  <c r="AC32" s="1"/>
  <c r="AA28"/>
  <c r="AC28" s="1"/>
  <c r="AA8"/>
  <c r="AC8" s="1"/>
  <c r="L31"/>
  <c r="AC10"/>
  <c r="AI10" i="13"/>
  <c r="I5" i="23"/>
  <c r="S4" i="18"/>
  <c r="L25"/>
  <c r="L29"/>
  <c r="L33"/>
  <c r="E36" i="14"/>
  <c r="O36" s="1"/>
  <c r="K76" i="3"/>
  <c r="M36" i="13" s="1"/>
  <c r="J40" i="15"/>
  <c r="J39"/>
  <c r="M35" i="14"/>
  <c r="B36" i="11"/>
  <c r="E35" i="14"/>
  <c r="F37"/>
  <c r="D35"/>
  <c r="N35" s="1"/>
  <c r="R35" s="1"/>
  <c r="AR34" i="1"/>
  <c r="F29" i="14" s="1"/>
  <c r="U34" i="1"/>
  <c r="K75" i="3"/>
  <c r="M35" i="13" s="1"/>
  <c r="B35" i="11"/>
  <c r="AR39" i="1"/>
  <c r="U39"/>
  <c r="K74" i="3"/>
  <c r="M34" i="13" s="1"/>
  <c r="B34" i="11"/>
  <c r="B33"/>
  <c r="T45" i="1"/>
  <c r="U38"/>
  <c r="AR38"/>
  <c r="S45"/>
  <c r="T47" s="1"/>
  <c r="T48" s="1"/>
  <c r="S32" i="14"/>
  <c r="S8"/>
  <c r="R9"/>
  <c r="R10"/>
  <c r="S12"/>
  <c r="R13"/>
  <c r="R14"/>
  <c r="S16"/>
  <c r="R18"/>
  <c r="S20"/>
  <c r="S28"/>
  <c r="S33"/>
  <c r="R6"/>
  <c r="S7"/>
  <c r="S39" s="1"/>
  <c r="R8"/>
  <c r="S9"/>
  <c r="R12"/>
  <c r="S13"/>
  <c r="S14"/>
  <c r="S17"/>
  <c r="S18"/>
  <c r="S21"/>
  <c r="S25"/>
  <c r="S26"/>
  <c r="S34"/>
  <c r="V5" i="10"/>
  <c r="W5" s="1"/>
  <c r="R5"/>
  <c r="S5"/>
  <c r="S7"/>
  <c r="Z7" s="1"/>
  <c r="R7"/>
  <c r="X8"/>
  <c r="T7"/>
  <c r="U7"/>
  <c r="R6"/>
  <c r="S6"/>
  <c r="Z6" s="1"/>
  <c r="S8"/>
  <c r="Z8" s="1"/>
  <c r="J22" i="15"/>
  <c r="J25"/>
  <c r="J38"/>
  <c r="J14"/>
  <c r="J17"/>
  <c r="J30"/>
  <c r="J33"/>
  <c r="G42"/>
  <c r="X36" i="18"/>
  <c r="AC7"/>
  <c r="L8"/>
  <c r="Q8"/>
  <c r="AC11"/>
  <c r="L12"/>
  <c r="Q12"/>
  <c r="L13"/>
  <c r="Q13"/>
  <c r="AC16"/>
  <c r="L17"/>
  <c r="Q17"/>
  <c r="AC20"/>
  <c r="L21"/>
  <c r="Q21"/>
  <c r="AC25"/>
  <c r="L26"/>
  <c r="Q26"/>
  <c r="AC29"/>
  <c r="L30"/>
  <c r="Q30"/>
  <c r="AC33"/>
  <c r="L34"/>
  <c r="Q34"/>
  <c r="AC5"/>
  <c r="L6"/>
  <c r="Q6"/>
  <c r="AC9"/>
  <c r="L10"/>
  <c r="Q10"/>
  <c r="AC14"/>
  <c r="L15"/>
  <c r="Q15"/>
  <c r="AC18"/>
  <c r="L19"/>
  <c r="Q19"/>
  <c r="AC22"/>
  <c r="L23"/>
  <c r="Q23"/>
  <c r="AC27"/>
  <c r="L28"/>
  <c r="Q28"/>
  <c r="AC31"/>
  <c r="L32"/>
  <c r="Q32"/>
  <c r="E7" i="13"/>
  <c r="AI6"/>
  <c r="O29" i="14"/>
  <c r="W7" i="25"/>
  <c r="AR36" i="1"/>
  <c r="AR40"/>
  <c r="AR10"/>
  <c r="AJ45"/>
  <c r="L30" i="13" l="1"/>
  <c r="I26" i="11"/>
  <c r="I35"/>
  <c r="AJ11" i="13"/>
  <c r="F10" i="14"/>
  <c r="W6" i="25"/>
  <c r="G9" i="23"/>
  <c r="I8" i="11"/>
  <c r="W5" i="25"/>
  <c r="G8" i="23"/>
  <c r="F17" i="14"/>
  <c r="S35" i="18"/>
  <c r="I36" i="23"/>
  <c r="W4" i="25"/>
  <c r="G7" i="23"/>
  <c r="W3" i="25"/>
  <c r="G6" i="23"/>
  <c r="W2" i="25"/>
  <c r="G5" i="23"/>
  <c r="F22" i="14"/>
  <c r="I31" i="11"/>
  <c r="L31" i="13"/>
  <c r="I29" i="11"/>
  <c r="F18" i="14"/>
  <c r="L32" i="13"/>
  <c r="L24"/>
  <c r="L29"/>
  <c r="AJ30"/>
  <c r="L36"/>
  <c r="I32" i="11"/>
  <c r="I28"/>
  <c r="L27" i="13"/>
  <c r="AJ31"/>
  <c r="V7" i="10"/>
  <c r="W7" s="1"/>
  <c r="F6" i="14"/>
  <c r="C12" i="1"/>
  <c r="C13" s="1"/>
  <c r="C14" s="1"/>
  <c r="L33" i="13"/>
  <c r="AS35" i="1"/>
  <c r="F36" i="14"/>
  <c r="L6" i="13"/>
  <c r="G6" s="1"/>
  <c r="L8"/>
  <c r="L25"/>
  <c r="AJ27"/>
  <c r="F26" i="14"/>
  <c r="I9" i="11"/>
  <c r="L28" i="13"/>
  <c r="AN38" i="3"/>
  <c r="C39" i="14"/>
  <c r="I39"/>
  <c r="B38" i="11"/>
  <c r="B39" s="1"/>
  <c r="C39" s="1"/>
  <c r="AR48" i="1"/>
  <c r="AS11"/>
  <c r="F6" i="13"/>
  <c r="J37"/>
  <c r="L37" s="1"/>
  <c r="AJ22"/>
  <c r="AJ36"/>
  <c r="AJ32"/>
  <c r="AJ18"/>
  <c r="AJ23"/>
  <c r="AS39" i="1"/>
  <c r="F34" i="14"/>
  <c r="AS29" i="1"/>
  <c r="F24" i="14"/>
  <c r="AS28" i="1"/>
  <c r="F23" i="14"/>
  <c r="AS20" i="1"/>
  <c r="F15" i="14"/>
  <c r="AS12" i="1"/>
  <c r="F7" i="14"/>
  <c r="AS38" i="1"/>
  <c r="F33" i="14"/>
  <c r="AS33" i="1"/>
  <c r="F28" i="14"/>
  <c r="AS21" i="1"/>
  <c r="F16" i="14"/>
  <c r="AS13" i="1"/>
  <c r="F8" i="14"/>
  <c r="AS26" i="1"/>
  <c r="F21" i="14"/>
  <c r="AS34" i="1"/>
  <c r="AS36"/>
  <c r="F31" i="14"/>
  <c r="AS32" i="1"/>
  <c r="F27" i="14"/>
  <c r="AS24" i="1"/>
  <c r="F19" i="14"/>
  <c r="AS16" i="1"/>
  <c r="F11" i="14"/>
  <c r="AS25" i="1"/>
  <c r="F20" i="14"/>
  <c r="AS17" i="1"/>
  <c r="F12" i="14"/>
  <c r="AS37" i="1"/>
  <c r="F32" i="14"/>
  <c r="AS30" i="1"/>
  <c r="F25" i="14"/>
  <c r="AJ21" i="13"/>
  <c r="AJ34"/>
  <c r="AJ28"/>
  <c r="G7"/>
  <c r="AJ8"/>
  <c r="R26" i="18"/>
  <c r="R22"/>
  <c r="R23"/>
  <c r="R6"/>
  <c r="R12"/>
  <c r="R24"/>
  <c r="R11"/>
  <c r="R19"/>
  <c r="R8"/>
  <c r="R16"/>
  <c r="AJ25" i="13"/>
  <c r="AJ29"/>
  <c r="AJ14"/>
  <c r="R10" i="18"/>
  <c r="R20"/>
  <c r="R21"/>
  <c r="R17"/>
  <c r="R15"/>
  <c r="R13"/>
  <c r="R7"/>
  <c r="AJ35" i="13"/>
  <c r="AJ10"/>
  <c r="AJ20"/>
  <c r="AJ24"/>
  <c r="AJ12"/>
  <c r="AJ33"/>
  <c r="R32" i="18"/>
  <c r="R30"/>
  <c r="R28"/>
  <c r="R34"/>
  <c r="L35"/>
  <c r="G31" i="26"/>
  <c r="M39" i="14"/>
  <c r="O35"/>
  <c r="O39" s="1"/>
  <c r="E39"/>
  <c r="D39"/>
  <c r="AS40" i="1"/>
  <c r="F35" i="14"/>
  <c r="U45" i="1"/>
  <c r="T8" i="10"/>
  <c r="U8"/>
  <c r="X9"/>
  <c r="Z5"/>
  <c r="S37"/>
  <c r="S39" s="1"/>
  <c r="R8"/>
  <c r="Q35" i="18"/>
  <c r="R35" s="1"/>
  <c r="AC35"/>
  <c r="AJ6" i="13"/>
  <c r="AJ7"/>
  <c r="F7"/>
  <c r="E8"/>
  <c r="N39" i="14"/>
  <c r="R7"/>
  <c r="R39" s="1"/>
  <c r="AR45" i="1"/>
  <c r="C15" l="1"/>
  <c r="C16" s="1"/>
  <c r="C17" s="1"/>
  <c r="C18" s="1"/>
  <c r="C19" s="1"/>
  <c r="C20" s="1"/>
  <c r="C21" s="1"/>
  <c r="C22" s="1"/>
  <c r="C23" s="1"/>
  <c r="C24" s="1"/>
  <c r="C25" s="1"/>
  <c r="C26" s="1"/>
  <c r="C27" s="1"/>
  <c r="C28" s="1"/>
  <c r="C29" s="1"/>
  <c r="C30" s="1"/>
  <c r="C31" s="1"/>
  <c r="C32" s="1"/>
  <c r="C33" s="1"/>
  <c r="C34" s="1"/>
  <c r="C35" s="1"/>
  <c r="C36" s="1"/>
  <c r="C37" s="1"/>
  <c r="C38" s="1"/>
  <c r="C39" s="1"/>
  <c r="C40" s="1"/>
  <c r="C41" s="1"/>
  <c r="C42" s="1"/>
  <c r="C43" s="1"/>
  <c r="AS45"/>
  <c r="F39" i="14"/>
  <c r="U9" i="10"/>
  <c r="X10"/>
  <c r="T9"/>
  <c r="S9"/>
  <c r="Z9" s="1"/>
  <c r="R9"/>
  <c r="V8"/>
  <c r="W8" s="1"/>
  <c r="F8" i="13"/>
  <c r="E9"/>
  <c r="G8"/>
  <c r="AJ37"/>
  <c r="V9" i="10" l="1"/>
  <c r="W9" s="1"/>
  <c r="X11"/>
  <c r="S10"/>
  <c r="Z10" s="1"/>
  <c r="U10"/>
  <c r="R10"/>
  <c r="T10"/>
  <c r="F9" i="13"/>
  <c r="E10"/>
  <c r="G9"/>
  <c r="X12" i="10" l="1"/>
  <c r="T11"/>
  <c r="R11"/>
  <c r="U11"/>
  <c r="S11"/>
  <c r="Z11" s="1"/>
  <c r="V10"/>
  <c r="W10" s="1"/>
  <c r="F10" i="13"/>
  <c r="E11"/>
  <c r="G10"/>
  <c r="V11" i="10" l="1"/>
  <c r="W11" s="1"/>
  <c r="T12"/>
  <c r="U12"/>
  <c r="X13"/>
  <c r="R12"/>
  <c r="S12"/>
  <c r="Z12" s="1"/>
  <c r="F11" i="13"/>
  <c r="E12"/>
  <c r="G11"/>
  <c r="U13" i="10" l="1"/>
  <c r="X14"/>
  <c r="T13"/>
  <c r="V13" s="1"/>
  <c r="W13" s="1"/>
  <c r="S13"/>
  <c r="Z13" s="1"/>
  <c r="R13"/>
  <c r="V12"/>
  <c r="W12" s="1"/>
  <c r="F12" i="13"/>
  <c r="E13"/>
  <c r="G12"/>
  <c r="X15" i="10" l="1"/>
  <c r="U14"/>
  <c r="T14"/>
  <c r="S14"/>
  <c r="Z14" s="1"/>
  <c r="R14"/>
  <c r="F13" i="13"/>
  <c r="E14"/>
  <c r="G13"/>
  <c r="X16" i="10" l="1"/>
  <c r="T15"/>
  <c r="R15"/>
  <c r="U15"/>
  <c r="S15"/>
  <c r="Z15" s="1"/>
  <c r="V14"/>
  <c r="W14" s="1"/>
  <c r="F14" i="13"/>
  <c r="E15"/>
  <c r="G14"/>
  <c r="V15" i="10" l="1"/>
  <c r="W15" s="1"/>
  <c r="T16"/>
  <c r="U16"/>
  <c r="X17"/>
  <c r="S16"/>
  <c r="Z16" s="1"/>
  <c r="R16"/>
  <c r="F15" i="13"/>
  <c r="E16"/>
  <c r="G15"/>
  <c r="U17" i="10" l="1"/>
  <c r="X18"/>
  <c r="R17"/>
  <c r="T17"/>
  <c r="S17"/>
  <c r="Z17" s="1"/>
  <c r="V16"/>
  <c r="W16" s="1"/>
  <c r="F16" i="13"/>
  <c r="E17"/>
  <c r="G16"/>
  <c r="V17" i="10" l="1"/>
  <c r="W17" s="1"/>
  <c r="X19"/>
  <c r="T18"/>
  <c r="S18"/>
  <c r="Z18" s="1"/>
  <c r="U18"/>
  <c r="R18"/>
  <c r="F17" i="13"/>
  <c r="E18"/>
  <c r="G17"/>
  <c r="V18" i="10" l="1"/>
  <c r="W18" s="1"/>
  <c r="T19"/>
  <c r="U19"/>
  <c r="X20"/>
  <c r="S19"/>
  <c r="Z19" s="1"/>
  <c r="R19"/>
  <c r="E19" i="13"/>
  <c r="F18"/>
  <c r="G18"/>
  <c r="V19" i="10" l="1"/>
  <c r="W19" s="1"/>
  <c r="U20"/>
  <c r="X21"/>
  <c r="S20"/>
  <c r="Z20" s="1"/>
  <c r="R20"/>
  <c r="T20"/>
  <c r="V20" s="1"/>
  <c r="W20" s="1"/>
  <c r="E20" i="13"/>
  <c r="F19"/>
  <c r="G19"/>
  <c r="X22" i="10" l="1"/>
  <c r="T21"/>
  <c r="R21"/>
  <c r="U21"/>
  <c r="S21"/>
  <c r="Z21" s="1"/>
  <c r="F20" i="13"/>
  <c r="E21"/>
  <c r="G20"/>
  <c r="X23" i="10" l="1"/>
  <c r="T22"/>
  <c r="S22"/>
  <c r="Z22" s="1"/>
  <c r="R22"/>
  <c r="U22"/>
  <c r="V21"/>
  <c r="W21" s="1"/>
  <c r="F21" i="13"/>
  <c r="E22"/>
  <c r="G21"/>
  <c r="T23" i="10" l="1"/>
  <c r="V23" s="1"/>
  <c r="W23" s="1"/>
  <c r="U23"/>
  <c r="X24"/>
  <c r="R23"/>
  <c r="S23"/>
  <c r="Z23" s="1"/>
  <c r="V22"/>
  <c r="W22" s="1"/>
  <c r="F22" i="13"/>
  <c r="E23"/>
  <c r="G22"/>
  <c r="U24" i="10" l="1"/>
  <c r="X25"/>
  <c r="S24"/>
  <c r="Z24" s="1"/>
  <c r="R24"/>
  <c r="T24"/>
  <c r="V24" s="1"/>
  <c r="W24" s="1"/>
  <c r="F23" i="13"/>
  <c r="E24"/>
  <c r="G23"/>
  <c r="X26" i="10" l="1"/>
  <c r="U25"/>
  <c r="T25"/>
  <c r="S25"/>
  <c r="Z25" s="1"/>
  <c r="R25"/>
  <c r="F24" i="13"/>
  <c r="E25"/>
  <c r="G24"/>
  <c r="X27" i="10" l="1"/>
  <c r="T26"/>
  <c r="S26"/>
  <c r="Z26" s="1"/>
  <c r="U26"/>
  <c r="R26"/>
  <c r="V25"/>
  <c r="W25" s="1"/>
  <c r="F25" i="13"/>
  <c r="E26"/>
  <c r="G25"/>
  <c r="V26" i="10" l="1"/>
  <c r="W26" s="1"/>
  <c r="T27"/>
  <c r="U27"/>
  <c r="X28"/>
  <c r="S27"/>
  <c r="Z27" s="1"/>
  <c r="R27"/>
  <c r="E27" i="13"/>
  <c r="F26"/>
  <c r="G26"/>
  <c r="U28" i="10" l="1"/>
  <c r="X29"/>
  <c r="R28"/>
  <c r="T28"/>
  <c r="V28" s="1"/>
  <c r="W28" s="1"/>
  <c r="S28"/>
  <c r="Z28" s="1"/>
  <c r="V27"/>
  <c r="W27" s="1"/>
  <c r="F27" i="13"/>
  <c r="E28"/>
  <c r="G27"/>
  <c r="X30" i="10" l="1"/>
  <c r="U29"/>
  <c r="S29"/>
  <c r="Z29" s="1"/>
  <c r="T29"/>
  <c r="R29"/>
  <c r="F28" i="13"/>
  <c r="E29"/>
  <c r="G28"/>
  <c r="X31" i="10" l="1"/>
  <c r="T30"/>
  <c r="R30"/>
  <c r="U30"/>
  <c r="S30"/>
  <c r="Z30" s="1"/>
  <c r="V29"/>
  <c r="W29" s="1"/>
  <c r="E30" i="13"/>
  <c r="F29"/>
  <c r="G29"/>
  <c r="V30" i="10" l="1"/>
  <c r="W30" s="1"/>
  <c r="T31"/>
  <c r="U31"/>
  <c r="X32"/>
  <c r="S31"/>
  <c r="Z31" s="1"/>
  <c r="R31"/>
  <c r="E31" i="13"/>
  <c r="F30"/>
  <c r="G30"/>
  <c r="U32" i="10" l="1"/>
  <c r="X33"/>
  <c r="R32"/>
  <c r="S32"/>
  <c r="Z32" s="1"/>
  <c r="T32"/>
  <c r="V32" s="1"/>
  <c r="W32" s="1"/>
  <c r="V31"/>
  <c r="W31" s="1"/>
  <c r="F31" i="13"/>
  <c r="E32"/>
  <c r="G31"/>
  <c r="T33" i="10" l="1"/>
  <c r="X34"/>
  <c r="S33"/>
  <c r="Z33" s="1"/>
  <c r="R33"/>
  <c r="U33"/>
  <c r="F32" i="13"/>
  <c r="E33"/>
  <c r="G32"/>
  <c r="U34" i="10" l="1"/>
  <c r="X35"/>
  <c r="R34"/>
  <c r="T34"/>
  <c r="V34" s="1"/>
  <c r="W34" s="1"/>
  <c r="S34"/>
  <c r="Z34" s="1"/>
  <c r="V33"/>
  <c r="W33" s="1"/>
  <c r="E34" i="13"/>
  <c r="F33"/>
  <c r="G33"/>
  <c r="T35" i="10" l="1"/>
  <c r="U35"/>
  <c r="R35"/>
  <c r="S35"/>
  <c r="Z35" s="1"/>
  <c r="E35" i="13"/>
  <c r="F34"/>
  <c r="G34"/>
  <c r="V35" i="10" l="1"/>
  <c r="W35" s="1"/>
  <c r="E36" i="13"/>
  <c r="F35"/>
  <c r="G35"/>
  <c r="F36" l="1"/>
  <c r="G36"/>
  <c r="V3" i="25" l="1"/>
  <c r="V4"/>
  <c r="V5"/>
  <c r="V6"/>
  <c r="V7"/>
  <c r="V8"/>
  <c r="V9"/>
  <c r="V10"/>
  <c r="V11"/>
  <c r="V12"/>
  <c r="V13"/>
  <c r="V14"/>
  <c r="V15"/>
  <c r="V16"/>
  <c r="V17"/>
  <c r="V18"/>
  <c r="V19"/>
  <c r="V20"/>
  <c r="V21"/>
  <c r="V22"/>
  <c r="V23"/>
  <c r="V24"/>
  <c r="V25"/>
  <c r="V26"/>
  <c r="V27"/>
  <c r="V28"/>
  <c r="V29"/>
  <c r="V30"/>
  <c r="V31"/>
  <c r="V32"/>
  <c r="U3"/>
  <c r="U4"/>
  <c r="U5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U25"/>
  <c r="U26"/>
  <c r="U27"/>
  <c r="U28"/>
  <c r="U29"/>
  <c r="U30"/>
  <c r="U31"/>
  <c r="U32"/>
  <c r="T3"/>
  <c r="T4"/>
  <c r="T5"/>
  <c r="T6"/>
  <c r="T7"/>
  <c r="T8"/>
  <c r="T9"/>
  <c r="T10"/>
  <c r="T11"/>
  <c r="T12"/>
  <c r="T13"/>
  <c r="T14"/>
  <c r="T15"/>
  <c r="T16"/>
  <c r="T17"/>
  <c r="T18"/>
  <c r="T19"/>
  <c r="T20"/>
  <c r="T21"/>
  <c r="T22"/>
  <c r="T23"/>
  <c r="T24"/>
  <c r="T25"/>
  <c r="T26"/>
  <c r="T27"/>
  <c r="T28"/>
  <c r="T29"/>
  <c r="T30"/>
  <c r="T31"/>
  <c r="T32"/>
  <c r="S3"/>
  <c r="S4"/>
  <c r="S5"/>
  <c r="S6"/>
  <c r="S7"/>
  <c r="S8"/>
  <c r="S9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V2"/>
  <c r="U2"/>
  <c r="T2"/>
  <c r="S2"/>
  <c r="R3"/>
  <c r="R4"/>
  <c r="R5"/>
  <c r="R6"/>
  <c r="R7"/>
  <c r="R8"/>
  <c r="R9"/>
  <c r="R10"/>
  <c r="R11"/>
  <c r="R12"/>
  <c r="R13"/>
  <c r="R14"/>
  <c r="R15"/>
  <c r="R16"/>
  <c r="R17"/>
  <c r="R18"/>
  <c r="R19"/>
  <c r="R20"/>
  <c r="R21"/>
  <c r="R22"/>
  <c r="R23"/>
  <c r="R24"/>
  <c r="R25"/>
  <c r="R26"/>
  <c r="R27"/>
  <c r="R28"/>
  <c r="R29"/>
  <c r="R30"/>
  <c r="R31"/>
  <c r="R32"/>
  <c r="R2"/>
  <c r="Q3"/>
  <c r="Q4"/>
  <c r="Q5"/>
  <c r="Q6"/>
  <c r="Q7"/>
  <c r="Q8"/>
  <c r="Q9"/>
  <c r="Q10"/>
  <c r="Q11"/>
  <c r="Q12"/>
  <c r="Q13"/>
  <c r="Q14"/>
  <c r="Q15"/>
  <c r="Q16"/>
  <c r="Q17"/>
  <c r="Q18"/>
  <c r="Q19"/>
  <c r="Q20"/>
  <c r="Q21"/>
  <c r="Q22"/>
  <c r="Q23"/>
  <c r="Q24"/>
  <c r="Q25"/>
  <c r="Q26"/>
  <c r="Q27"/>
  <c r="Q28"/>
  <c r="Q29"/>
  <c r="Q30"/>
  <c r="Q31"/>
  <c r="Q32"/>
  <c r="Q2"/>
  <c r="J3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2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2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2"/>
  <c r="G32" i="26"/>
  <c r="G2"/>
  <c r="B3" i="25" l="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" i="26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I12" i="24"/>
  <c r="E11" i="25" s="1"/>
  <c r="E4" i="24"/>
  <c r="E8"/>
  <c r="E9"/>
  <c r="E12"/>
  <c r="E16"/>
  <c r="E17"/>
  <c r="E20"/>
  <c r="E24"/>
  <c r="E25"/>
  <c r="E28"/>
  <c r="E32"/>
  <c r="E33"/>
  <c r="C33"/>
  <c r="K32" i="26" s="1"/>
  <c r="X32" i="25" s="1"/>
  <c r="C4" i="24"/>
  <c r="K3" i="26" s="1"/>
  <c r="X3" i="25" s="1"/>
  <c r="C5" i="24"/>
  <c r="K4" i="26" s="1"/>
  <c r="X4" i="25" s="1"/>
  <c r="C6" i="24"/>
  <c r="K5" i="26" s="1"/>
  <c r="X5" i="25" s="1"/>
  <c r="C7" i="24"/>
  <c r="K6" i="26" s="1"/>
  <c r="X6" i="25" s="1"/>
  <c r="C8" i="24"/>
  <c r="K7" i="26" s="1"/>
  <c r="X7" i="25" s="1"/>
  <c r="C9" i="24"/>
  <c r="K8" i="26" s="1"/>
  <c r="X8" i="25" s="1"/>
  <c r="C10" i="24"/>
  <c r="K9" i="26" s="1"/>
  <c r="X9" i="25" s="1"/>
  <c r="C11" i="24"/>
  <c r="K10" i="26" s="1"/>
  <c r="X10" i="25" s="1"/>
  <c r="C12" i="24"/>
  <c r="K11" i="26" s="1"/>
  <c r="X11" i="25" s="1"/>
  <c r="C13" i="24"/>
  <c r="K12" i="26" s="1"/>
  <c r="X12" i="25" s="1"/>
  <c r="C14" i="24"/>
  <c r="K13" i="26" s="1"/>
  <c r="X13" i="25" s="1"/>
  <c r="C15" i="24"/>
  <c r="K14" i="26" s="1"/>
  <c r="X14" i="25" s="1"/>
  <c r="C16" i="24"/>
  <c r="K15" i="26" s="1"/>
  <c r="X15" i="25" s="1"/>
  <c r="C17" i="24"/>
  <c r="K16" i="26" s="1"/>
  <c r="X16" i="25" s="1"/>
  <c r="C18" i="24"/>
  <c r="K17" i="26" s="1"/>
  <c r="X17" i="25" s="1"/>
  <c r="C19" i="24"/>
  <c r="K18" i="26" s="1"/>
  <c r="X18" i="25" s="1"/>
  <c r="C20" i="24"/>
  <c r="K19" i="26" s="1"/>
  <c r="X19" i="25" s="1"/>
  <c r="C21" i="24"/>
  <c r="K20" i="26" s="1"/>
  <c r="X20" i="25" s="1"/>
  <c r="C22" i="24"/>
  <c r="K21" i="26" s="1"/>
  <c r="X21" i="25" s="1"/>
  <c r="C23" i="24"/>
  <c r="K22" i="26" s="1"/>
  <c r="X22" i="25" s="1"/>
  <c r="C24" i="24"/>
  <c r="K23" i="26" s="1"/>
  <c r="X23" i="25" s="1"/>
  <c r="C25" i="24"/>
  <c r="K24" i="26" s="1"/>
  <c r="X24" i="25" s="1"/>
  <c r="C26" i="24"/>
  <c r="K25" i="26" s="1"/>
  <c r="X25" i="25" s="1"/>
  <c r="C27" i="24"/>
  <c r="K26" i="26" s="1"/>
  <c r="X26" i="25" s="1"/>
  <c r="C28" i="24"/>
  <c r="K27" i="26" s="1"/>
  <c r="X27" i="25" s="1"/>
  <c r="C29" i="24"/>
  <c r="K28" i="26" s="1"/>
  <c r="X28" i="25" s="1"/>
  <c r="C30" i="24"/>
  <c r="K29" i="26" s="1"/>
  <c r="X29" i="25" s="1"/>
  <c r="C31" i="24"/>
  <c r="K30" i="26" s="1"/>
  <c r="X30" i="25" s="1"/>
  <c r="C32" i="24"/>
  <c r="K31" i="26" s="1"/>
  <c r="X31" i="25" s="1"/>
  <c r="C3" i="24"/>
  <c r="K2" i="26" s="1"/>
  <c r="X2" i="25" s="1"/>
  <c r="B4" i="2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"/>
  <c r="E6"/>
  <c r="E7"/>
  <c r="E11"/>
  <c r="E14"/>
  <c r="E15"/>
  <c r="E18"/>
  <c r="E19"/>
  <c r="E27"/>
  <c r="E29"/>
  <c r="E31"/>
  <c r="B6" i="23"/>
  <c r="B7"/>
  <c r="B8"/>
  <c r="B9"/>
  <c r="B10"/>
  <c r="B11"/>
  <c r="B12"/>
  <c r="B13"/>
  <c r="B14"/>
  <c r="B15"/>
  <c r="B16"/>
  <c r="B17"/>
  <c r="B18"/>
  <c r="B19"/>
  <c r="B20"/>
  <c r="B21"/>
  <c r="B23"/>
  <c r="B24"/>
  <c r="B25"/>
  <c r="B26"/>
  <c r="B27"/>
  <c r="B29"/>
  <c r="B30"/>
  <c r="B31"/>
  <c r="B32"/>
  <c r="B33"/>
  <c r="B34"/>
  <c r="B35"/>
  <c r="B5"/>
  <c r="F30" i="25" l="1"/>
  <c r="F18"/>
  <c r="F14"/>
  <c r="F10"/>
  <c r="F5"/>
  <c r="F24"/>
  <c r="F15"/>
  <c r="F3"/>
  <c r="F6"/>
  <c r="F27"/>
  <c r="F16"/>
  <c r="F7"/>
  <c r="F26"/>
  <c r="F31"/>
  <c r="F19"/>
  <c r="F8"/>
  <c r="F28"/>
  <c r="F17"/>
  <c r="F13"/>
  <c r="F32"/>
  <c r="F23"/>
  <c r="F11"/>
  <c r="E30" i="24"/>
  <c r="E26"/>
  <c r="E22"/>
  <c r="E10"/>
  <c r="E21"/>
  <c r="E13"/>
  <c r="E5"/>
  <c r="H9"/>
  <c r="K8" i="25" s="1"/>
  <c r="E23" i="24"/>
  <c r="F4" i="25" l="1"/>
  <c r="F9"/>
  <c r="F25"/>
  <c r="F22"/>
  <c r="F20"/>
  <c r="F29"/>
  <c r="F12"/>
  <c r="F21"/>
  <c r="I3" i="24"/>
  <c r="E2" i="25" s="1"/>
  <c r="G29" i="24" l="1"/>
  <c r="I28" i="26" s="1"/>
  <c r="G17" i="24"/>
  <c r="I16" i="26" s="1"/>
  <c r="G5" i="24"/>
  <c r="I4" i="26" s="1"/>
  <c r="G32" i="24"/>
  <c r="I31" i="26" s="1"/>
  <c r="G28" i="24"/>
  <c r="I27" i="26" s="1"/>
  <c r="G24" i="24"/>
  <c r="I23" i="26" s="1"/>
  <c r="G20" i="24"/>
  <c r="I19" i="26" s="1"/>
  <c r="G16" i="24"/>
  <c r="I15" i="26" s="1"/>
  <c r="G12" i="24"/>
  <c r="I11" i="26" s="1"/>
  <c r="G8" i="24"/>
  <c r="I7" i="26" s="1"/>
  <c r="G4" i="24"/>
  <c r="I3" i="26" s="1"/>
  <c r="G33" i="24"/>
  <c r="I32" i="26" s="1"/>
  <c r="G21" i="24"/>
  <c r="I20" i="26" s="1"/>
  <c r="G13" i="24"/>
  <c r="I12" i="26" s="1"/>
  <c r="G3" i="24"/>
  <c r="I2" i="26" s="1"/>
  <c r="G31" i="24"/>
  <c r="I30" i="26" s="1"/>
  <c r="G27" i="24"/>
  <c r="I26" i="26" s="1"/>
  <c r="G23" i="24"/>
  <c r="I22" i="26" s="1"/>
  <c r="G19" i="24"/>
  <c r="I18" i="26" s="1"/>
  <c r="G15" i="24"/>
  <c r="I14" i="26" s="1"/>
  <c r="G11" i="24"/>
  <c r="I10" i="26" s="1"/>
  <c r="G7" i="24"/>
  <c r="I6" i="26" s="1"/>
  <c r="G25" i="24"/>
  <c r="I24" i="26" s="1"/>
  <c r="G9" i="24"/>
  <c r="I8" i="26" s="1"/>
  <c r="G30" i="24"/>
  <c r="I29" i="26" s="1"/>
  <c r="G26" i="24"/>
  <c r="I25" i="26" s="1"/>
  <c r="G22" i="24"/>
  <c r="I21" i="26" s="1"/>
  <c r="G18" i="24"/>
  <c r="I17" i="26" s="1"/>
  <c r="G14" i="24"/>
  <c r="I13" i="26" s="1"/>
  <c r="G10" i="24"/>
  <c r="I9" i="26" s="1"/>
  <c r="G6" i="24"/>
  <c r="I5" i="26" s="1"/>
  <c r="H20" i="24" l="1"/>
  <c r="K19" i="25" s="1"/>
  <c r="H12" i="24"/>
  <c r="K11" i="25" s="1"/>
  <c r="H23" i="24"/>
  <c r="K22" i="25" s="1"/>
  <c r="H15" i="24"/>
  <c r="K14" i="25" s="1"/>
  <c r="H6" i="24"/>
  <c r="K5" i="25" s="1"/>
  <c r="H22" i="24"/>
  <c r="K21" i="25" s="1"/>
  <c r="H18" i="24"/>
  <c r="K17" i="25" s="1"/>
  <c r="H14" i="24"/>
  <c r="K13" i="25" s="1"/>
  <c r="H10" i="24"/>
  <c r="K9" i="25" s="1"/>
  <c r="H5" i="24"/>
  <c r="K4" i="25" s="1"/>
  <c r="E3" i="24"/>
  <c r="D5" i="23"/>
  <c r="H24" i="24"/>
  <c r="K23" i="25" s="1"/>
  <c r="H16" i="24"/>
  <c r="K15" i="25" s="1"/>
  <c r="H7" i="24"/>
  <c r="K6" i="25" s="1"/>
  <c r="H19" i="24"/>
  <c r="K18" i="25" s="1"/>
  <c r="H11" i="24"/>
  <c r="K10" i="25" s="1"/>
  <c r="H5" i="23"/>
  <c r="H3" i="24"/>
  <c r="K2" i="25" s="1"/>
  <c r="H21" i="24"/>
  <c r="K20" i="25" s="1"/>
  <c r="H17" i="24"/>
  <c r="K16" i="25" s="1"/>
  <c r="H13" i="24"/>
  <c r="K12" i="25" s="1"/>
  <c r="H8" i="24"/>
  <c r="K7" i="25" s="1"/>
  <c r="H4" i="24"/>
  <c r="K3" i="25" s="1"/>
  <c r="I22" i="24"/>
  <c r="E21" i="25" s="1"/>
  <c r="I23" i="24"/>
  <c r="E22" i="25" s="1"/>
  <c r="I26" i="24"/>
  <c r="E25" i="25" s="1"/>
  <c r="I29" i="24"/>
  <c r="E28" i="25" s="1"/>
  <c r="I30" i="24"/>
  <c r="E29" i="25" s="1"/>
  <c r="I33" i="24"/>
  <c r="E32" i="25" s="1"/>
  <c r="I5" i="24"/>
  <c r="E4" i="25" s="1"/>
  <c r="I7" i="24"/>
  <c r="E6" i="25" s="1"/>
  <c r="I9" i="24"/>
  <c r="E8" i="25" s="1"/>
  <c r="I13" i="24"/>
  <c r="E12" i="25" s="1"/>
  <c r="I15" i="24"/>
  <c r="E14" i="25" s="1"/>
  <c r="F33" i="24"/>
  <c r="G32" i="25" l="1"/>
  <c r="E32" i="26"/>
  <c r="F32"/>
  <c r="F2" i="25"/>
  <c r="F13" i="24"/>
  <c r="F26"/>
  <c r="H27"/>
  <c r="K26" i="25" s="1"/>
  <c r="H28" i="24"/>
  <c r="K27" i="25" s="1"/>
  <c r="H29" i="24"/>
  <c r="K28" i="25" s="1"/>
  <c r="H30" i="24"/>
  <c r="K29" i="25" s="1"/>
  <c r="H31" i="24"/>
  <c r="K30" i="25" s="1"/>
  <c r="H32" i="24"/>
  <c r="K31" i="25" s="1"/>
  <c r="H33" i="24"/>
  <c r="K32" i="25" s="1"/>
  <c r="F17" i="24"/>
  <c r="F21"/>
  <c r="F27"/>
  <c r="F5"/>
  <c r="F25"/>
  <c r="F11"/>
  <c r="F15"/>
  <c r="I18"/>
  <c r="E17" i="25" s="1"/>
  <c r="F6" i="24"/>
  <c r="F8"/>
  <c r="F19"/>
  <c r="F28"/>
  <c r="F32"/>
  <c r="H26"/>
  <c r="K25" i="25" s="1"/>
  <c r="F18" i="24"/>
  <c r="I8"/>
  <c r="E7" i="25" s="1"/>
  <c r="I4" i="24"/>
  <c r="E3" i="25" s="1"/>
  <c r="I25" i="24"/>
  <c r="E24" i="25" s="1"/>
  <c r="I21" i="24"/>
  <c r="E20" i="25" s="1"/>
  <c r="I17" i="24"/>
  <c r="E16" i="25" s="1"/>
  <c r="F12" i="24"/>
  <c r="F14"/>
  <c r="F16"/>
  <c r="F20"/>
  <c r="F22"/>
  <c r="F29"/>
  <c r="F30"/>
  <c r="F31"/>
  <c r="H25"/>
  <c r="K24" i="25" s="1"/>
  <c r="I11" i="24"/>
  <c r="E10" i="25" s="1"/>
  <c r="I28" i="24"/>
  <c r="E27" i="25" s="1"/>
  <c r="I24" i="24"/>
  <c r="E23" i="25" s="1"/>
  <c r="I20" i="24"/>
  <c r="E19" i="25" s="1"/>
  <c r="I16" i="24"/>
  <c r="E15" i="25" s="1"/>
  <c r="F3" i="24"/>
  <c r="F2" i="26" s="1"/>
  <c r="F4" i="24"/>
  <c r="F7"/>
  <c r="F9"/>
  <c r="F10"/>
  <c r="F23"/>
  <c r="F24"/>
  <c r="I14"/>
  <c r="E13" i="25" s="1"/>
  <c r="I10" i="24"/>
  <c r="E9" i="25" s="1"/>
  <c r="I6" i="24"/>
  <c r="E5" i="25" s="1"/>
  <c r="I27" i="24"/>
  <c r="E26" i="25" s="1"/>
  <c r="I19" i="24"/>
  <c r="E18" i="25" s="1"/>
  <c r="I32" i="24"/>
  <c r="E31" i="25" s="1"/>
  <c r="O6" l="1"/>
  <c r="O8"/>
  <c r="O19"/>
  <c r="O23"/>
  <c r="O26"/>
  <c r="O10"/>
  <c r="O13"/>
  <c r="O4"/>
  <c r="O12"/>
  <c r="O25"/>
  <c r="O7"/>
  <c r="O16"/>
  <c r="O31"/>
  <c r="O24"/>
  <c r="O22"/>
  <c r="O18"/>
  <c r="O27"/>
  <c r="O20"/>
  <c r="O3"/>
  <c r="O14"/>
  <c r="O9"/>
  <c r="O11"/>
  <c r="O15"/>
  <c r="O17"/>
  <c r="O2"/>
  <c r="O29"/>
  <c r="O28"/>
  <c r="O21"/>
  <c r="O5"/>
  <c r="G29"/>
  <c r="E29" i="26"/>
  <c r="F29"/>
  <c r="G27" i="25"/>
  <c r="E27" i="26"/>
  <c r="F27"/>
  <c r="G7" i="25"/>
  <c r="E7" i="26"/>
  <c r="F7"/>
  <c r="E4"/>
  <c r="G4" i="25"/>
  <c r="F4" i="26"/>
  <c r="E20"/>
  <c r="G20" i="25"/>
  <c r="F20" i="26"/>
  <c r="G25" i="25"/>
  <c r="E25" i="26"/>
  <c r="F25"/>
  <c r="G22" i="25"/>
  <c r="E22" i="26"/>
  <c r="F22"/>
  <c r="E8"/>
  <c r="G8" i="25"/>
  <c r="F8" i="26"/>
  <c r="G3" i="25"/>
  <c r="E3" i="26"/>
  <c r="F3"/>
  <c r="G21" i="25"/>
  <c r="E21" i="26"/>
  <c r="F21"/>
  <c r="G15" i="25"/>
  <c r="E15" i="26"/>
  <c r="F15"/>
  <c r="G11" i="25"/>
  <c r="E11" i="26"/>
  <c r="F11"/>
  <c r="G17" i="25"/>
  <c r="E17" i="26"/>
  <c r="F17"/>
  <c r="G14" i="25"/>
  <c r="E14" i="26"/>
  <c r="F14"/>
  <c r="E24"/>
  <c r="G24" i="25"/>
  <c r="F24" i="26"/>
  <c r="G30" i="25"/>
  <c r="E30" i="26"/>
  <c r="F30"/>
  <c r="E28"/>
  <c r="G28" i="25"/>
  <c r="F28" i="26"/>
  <c r="G31" i="25"/>
  <c r="E31" i="26"/>
  <c r="F31"/>
  <c r="G18" i="25"/>
  <c r="E18" i="26"/>
  <c r="F18"/>
  <c r="G5" i="25"/>
  <c r="E5" i="26"/>
  <c r="F5"/>
  <c r="G26" i="25"/>
  <c r="E26" i="26"/>
  <c r="F26"/>
  <c r="E16"/>
  <c r="G16" i="25"/>
  <c r="F16" i="26"/>
  <c r="E12"/>
  <c r="G12" i="25"/>
  <c r="F12" i="26"/>
  <c r="G23" i="25"/>
  <c r="E23" i="26"/>
  <c r="F23"/>
  <c r="G9" i="25"/>
  <c r="E9" i="26"/>
  <c r="F9"/>
  <c r="G6" i="25"/>
  <c r="E6" i="26"/>
  <c r="F6"/>
  <c r="E2"/>
  <c r="L2" s="1"/>
  <c r="G2" i="25"/>
  <c r="G19"/>
  <c r="E19" i="26"/>
  <c r="F19"/>
  <c r="G13" i="25"/>
  <c r="E13" i="26"/>
  <c r="F13"/>
  <c r="G10" i="25"/>
  <c r="E10" i="26"/>
  <c r="F10"/>
  <c r="I31" i="24"/>
  <c r="E30" i="25" s="1"/>
  <c r="L28" i="26" l="1"/>
  <c r="L20"/>
  <c r="L13"/>
  <c r="L27"/>
  <c r="L6"/>
  <c r="L14"/>
  <c r="L21"/>
  <c r="L25"/>
  <c r="L31"/>
  <c r="L19"/>
  <c r="L9"/>
  <c r="L26"/>
  <c r="L17"/>
  <c r="L3"/>
  <c r="L8"/>
  <c r="L4"/>
  <c r="L29"/>
  <c r="O30" i="25"/>
  <c r="L23" i="26"/>
  <c r="L5"/>
  <c r="L30"/>
  <c r="L11"/>
  <c r="L12"/>
  <c r="L24"/>
  <c r="L10"/>
  <c r="L16"/>
  <c r="L18"/>
  <c r="L15"/>
  <c r="L22"/>
  <c r="L7"/>
  <c r="H19" i="13"/>
  <c r="AT24" i="1"/>
  <c r="E18" i="23"/>
  <c r="J18" i="11"/>
  <c r="J25"/>
  <c r="H26" i="13"/>
  <c r="E25" i="23"/>
  <c r="AT31" i="1"/>
  <c r="J31" i="11"/>
  <c r="E31" i="23"/>
  <c r="AT37" i="1"/>
  <c r="H32" i="13"/>
  <c r="E16" i="23"/>
  <c r="AT22" i="1"/>
  <c r="H17" i="13"/>
  <c r="J16" i="11"/>
  <c r="J7"/>
  <c r="E7" i="23"/>
  <c r="H8" i="13"/>
  <c r="AT13" i="1"/>
  <c r="AT20"/>
  <c r="J14" i="11"/>
  <c r="E14" i="23"/>
  <c r="H15" i="13"/>
  <c r="J24" i="11"/>
  <c r="E24" i="23"/>
  <c r="H25" i="13"/>
  <c r="AT30" i="1"/>
  <c r="E26" i="23"/>
  <c r="H27" i="13"/>
  <c r="AT32" i="1"/>
  <c r="J26" i="11"/>
  <c r="E6" i="23"/>
  <c r="J6" i="11"/>
  <c r="H7" i="13"/>
  <c r="AT12" i="1"/>
  <c r="E30" i="23"/>
  <c r="H31" i="13"/>
  <c r="J30" i="11"/>
  <c r="AT36" i="1"/>
  <c r="E33" i="23"/>
  <c r="AT39" i="1"/>
  <c r="J33" i="11"/>
  <c r="H34" i="13"/>
  <c r="AT18" i="1"/>
  <c r="H13" i="13"/>
  <c r="J12" i="11"/>
  <c r="E12" i="23"/>
  <c r="J15" i="11"/>
  <c r="AT21" i="1"/>
  <c r="E15" i="23"/>
  <c r="H16" i="13"/>
  <c r="E5" i="23"/>
  <c r="J5" i="11"/>
  <c r="H6" i="13"/>
  <c r="H3"/>
  <c r="AT11" i="1"/>
  <c r="E17" i="23"/>
  <c r="AT23" i="1"/>
  <c r="J17" i="11"/>
  <c r="H18" i="13"/>
  <c r="E29" i="23"/>
  <c r="AT35" i="1"/>
  <c r="J29" i="11"/>
  <c r="H30" i="13"/>
  <c r="H20"/>
  <c r="E19" i="23"/>
  <c r="J19" i="11"/>
  <c r="AT25" i="1"/>
  <c r="H21" i="13"/>
  <c r="E20" i="23"/>
  <c r="J20" i="11"/>
  <c r="AT26" i="1"/>
  <c r="J22" i="11"/>
  <c r="AT28" i="1"/>
  <c r="H23" i="13"/>
  <c r="E22" i="23"/>
  <c r="J35" i="11"/>
  <c r="E35" i="23"/>
  <c r="H36" i="13"/>
  <c r="AT41" i="1"/>
  <c r="E10" i="23"/>
  <c r="AT16" i="1"/>
  <c r="H11" i="13"/>
  <c r="J10" i="11"/>
  <c r="J13"/>
  <c r="E13" i="23"/>
  <c r="H14" i="13"/>
  <c r="AT19" i="1"/>
  <c r="AT17"/>
  <c r="J11" i="11"/>
  <c r="H12" i="13"/>
  <c r="E11" i="23"/>
  <c r="J34" i="11"/>
  <c r="E34" i="23"/>
  <c r="H35" i="13"/>
  <c r="AT40" i="1"/>
  <c r="E23" i="23"/>
  <c r="H24" i="13"/>
  <c r="AT29" i="1"/>
  <c r="J23" i="11"/>
  <c r="H29" i="13"/>
  <c r="AT34" i="1"/>
  <c r="E28" i="23"/>
  <c r="J28" i="11"/>
  <c r="AT14" i="1"/>
  <c r="E8" i="23"/>
  <c r="H9" i="13"/>
  <c r="J8" i="11"/>
  <c r="H33" i="13"/>
  <c r="E32" i="23"/>
  <c r="J32" i="11"/>
  <c r="AT38" i="1"/>
  <c r="H28" i="13"/>
  <c r="E27" i="23"/>
  <c r="AT33" i="1"/>
  <c r="J27" i="11"/>
  <c r="J9"/>
  <c r="E9" i="23"/>
  <c r="AT15" i="1"/>
  <c r="H10" i="13"/>
  <c r="J21" i="11"/>
  <c r="AT27" i="1"/>
  <c r="H22" i="13"/>
  <c r="E21" i="23"/>
  <c r="AT42" i="1"/>
  <c r="J36" i="11"/>
  <c r="E36" i="23"/>
  <c r="AT43" i="1"/>
</calcChain>
</file>

<file path=xl/comments1.xml><?xml version="1.0" encoding="utf-8"?>
<comments xmlns="http://schemas.openxmlformats.org/spreadsheetml/2006/main">
  <authors>
    <author>john.japhet</author>
  </authors>
  <commentList>
    <comment ref="AG12" authorId="0">
      <text>
        <r>
          <rPr>
            <b/>
            <sz val="9"/>
            <color indexed="81"/>
            <rFont val="Tahoma"/>
            <charset val="1"/>
          </rPr>
          <t>john.japhet:</t>
        </r>
        <r>
          <rPr>
            <sz val="9"/>
            <color indexed="81"/>
            <rFont val="Tahoma"/>
            <charset val="1"/>
          </rPr>
          <t xml:space="preserve">
Used to Incinerator machine</t>
        </r>
      </text>
    </comment>
    <comment ref="AI12" authorId="0">
      <text>
        <r>
          <rPr>
            <b/>
            <sz val="9"/>
            <color indexed="81"/>
            <rFont val="Tahoma"/>
            <charset val="1"/>
          </rPr>
          <t>john.japhet:</t>
        </r>
        <r>
          <rPr>
            <sz val="9"/>
            <color indexed="81"/>
            <rFont val="Tahoma"/>
            <charset val="1"/>
          </rPr>
          <t xml:space="preserve">
Taken by T 588 BSD, CRJE company.</t>
        </r>
      </text>
    </comment>
    <comment ref="AG16" authorId="0">
      <text>
        <r>
          <rPr>
            <b/>
            <sz val="9"/>
            <color indexed="81"/>
            <rFont val="Tahoma"/>
            <charset val="1"/>
          </rPr>
          <t>john.japhet:</t>
        </r>
        <r>
          <rPr>
            <sz val="9"/>
            <color indexed="81"/>
            <rFont val="Tahoma"/>
            <charset val="1"/>
          </rPr>
          <t xml:space="preserve">
Reduced to incinerator tank.</t>
        </r>
      </text>
    </comment>
  </commentList>
</comments>
</file>

<file path=xl/comments2.xml><?xml version="1.0" encoding="utf-8"?>
<comments xmlns="http://schemas.openxmlformats.org/spreadsheetml/2006/main">
  <authors>
    <author>Michael.Wendo</author>
  </authors>
  <commentList>
    <comment ref="F8" authorId="0">
      <text>
        <r>
          <rPr>
            <b/>
            <sz val="9"/>
            <color indexed="81"/>
            <rFont val="Tahoma"/>
            <family val="2"/>
          </rPr>
          <t>Michael.Wendo:</t>
        </r>
        <r>
          <rPr>
            <sz val="9"/>
            <color indexed="81"/>
            <rFont val="Tahoma"/>
            <family val="2"/>
          </rPr>
          <t xml:space="preserve">
Fuel pump calbration </t>
        </r>
      </text>
    </comment>
    <comment ref="F9" authorId="0">
      <text>
        <r>
          <rPr>
            <b/>
            <sz val="9"/>
            <color indexed="81"/>
            <rFont val="Tahoma"/>
            <family val="2"/>
          </rPr>
          <t>Michael.Wendo:</t>
        </r>
        <r>
          <rPr>
            <sz val="9"/>
            <color indexed="81"/>
            <rFont val="Tahoma"/>
            <family val="2"/>
          </rPr>
          <t xml:space="preserve">
Fuel pump calbration </t>
        </r>
      </text>
    </comment>
    <comment ref="F10" authorId="0">
      <text>
        <r>
          <rPr>
            <b/>
            <sz val="9"/>
            <color indexed="81"/>
            <rFont val="Tahoma"/>
            <family val="2"/>
          </rPr>
          <t>Michael.Wendo:</t>
        </r>
        <r>
          <rPr>
            <sz val="9"/>
            <color indexed="81"/>
            <rFont val="Tahoma"/>
            <family val="2"/>
          </rPr>
          <t xml:space="preserve">
The fuel pump was stucked( By pass ) This is approximately. </t>
        </r>
      </text>
    </comment>
    <comment ref="F11" authorId="0">
      <text>
        <r>
          <rPr>
            <b/>
            <sz val="9"/>
            <color indexed="81"/>
            <rFont val="Tahoma"/>
            <family val="2"/>
          </rPr>
          <t>Michael.Wendo:</t>
        </r>
        <r>
          <rPr>
            <sz val="9"/>
            <color indexed="81"/>
            <rFont val="Tahoma"/>
            <family val="2"/>
          </rPr>
          <t xml:space="preserve">
fuel pump calibration </t>
        </r>
      </text>
    </comment>
  </commentList>
</comments>
</file>

<file path=xl/sharedStrings.xml><?xml version="1.0" encoding="utf-8"?>
<sst xmlns="http://schemas.openxmlformats.org/spreadsheetml/2006/main" count="552" uniqueCount="334">
  <si>
    <t>Date</t>
  </si>
  <si>
    <t>%</t>
  </si>
  <si>
    <t>OPENING</t>
  </si>
  <si>
    <t>BALANCE</t>
  </si>
  <si>
    <t>VALUE</t>
  </si>
  <si>
    <t>Lc/swg/gust</t>
  </si>
  <si>
    <t>TOTAL USAGE</t>
  </si>
  <si>
    <t>DATE</t>
  </si>
  <si>
    <t>per pax</t>
  </si>
  <si>
    <t>pax</t>
  </si>
  <si>
    <t>Kg</t>
  </si>
  <si>
    <t xml:space="preserve">No.of </t>
  </si>
  <si>
    <t>Occu</t>
  </si>
  <si>
    <t>Total</t>
  </si>
  <si>
    <t xml:space="preserve">Cost </t>
  </si>
  <si>
    <t>Final</t>
  </si>
  <si>
    <t>consumption</t>
  </si>
  <si>
    <t>KITCHEN</t>
  </si>
  <si>
    <t>Total consumption</t>
  </si>
  <si>
    <t>STP</t>
  </si>
  <si>
    <t>Water</t>
  </si>
  <si>
    <t>KL</t>
  </si>
  <si>
    <t>F/Truck</t>
  </si>
  <si>
    <t>Usage</t>
  </si>
  <si>
    <t>Occ %</t>
  </si>
  <si>
    <t>BF</t>
  </si>
  <si>
    <t>TOTAL CO</t>
  </si>
  <si>
    <t>10/27//2009</t>
  </si>
  <si>
    <t>Vehicle</t>
  </si>
  <si>
    <t>Incenerator</t>
  </si>
  <si>
    <t xml:space="preserve">    TATA</t>
  </si>
  <si>
    <t>T 226 AUQ</t>
  </si>
  <si>
    <t>T 134 AXJ</t>
  </si>
  <si>
    <t>T 128 AXJ</t>
  </si>
  <si>
    <t>T 476 AWZ</t>
  </si>
  <si>
    <t>T 499 AXG</t>
  </si>
  <si>
    <t>1Ton (%)</t>
  </si>
  <si>
    <t xml:space="preserve">Meter Reading </t>
  </si>
  <si>
    <t>Received</t>
  </si>
  <si>
    <t>Total Diseal Consumed</t>
  </si>
  <si>
    <t>500KVA  Generator KWh</t>
  </si>
  <si>
    <t>Total Kwh generated</t>
  </si>
  <si>
    <t>Total Kwh Generated</t>
  </si>
  <si>
    <t>Total cost /Day (TSH)</t>
  </si>
  <si>
    <t xml:space="preserve">% of Dieasel balance in Tank </t>
  </si>
  <si>
    <t xml:space="preserve"> Diseal consumed by Gen (Ltrs)</t>
  </si>
  <si>
    <t xml:space="preserve"> Diseal consumed by Veichel (Ltrs)</t>
  </si>
  <si>
    <t>Total diseal consumed (Ltrs)</t>
  </si>
  <si>
    <t>Balance stock of Diseal (Ltrs)</t>
  </si>
  <si>
    <t xml:space="preserve">% of Gas  balance in Tank </t>
  </si>
  <si>
    <t>Occupenccy %</t>
  </si>
  <si>
    <t>Occ%</t>
  </si>
  <si>
    <t xml:space="preserve">Water consumed </t>
  </si>
  <si>
    <t>Main Meter</t>
  </si>
  <si>
    <t>Electricity</t>
  </si>
  <si>
    <t>Gas</t>
  </si>
  <si>
    <t>HLP Cost (TSH)</t>
  </si>
  <si>
    <t>Total Cost (TSH)</t>
  </si>
  <si>
    <t>BILILA LODGE INVESTMENT LIMITED</t>
  </si>
  <si>
    <t>1Ton%</t>
  </si>
  <si>
    <t>2Ton%</t>
  </si>
  <si>
    <t>Cost per room Total Occ</t>
  </si>
  <si>
    <t>Cost per room Guest Occ</t>
  </si>
  <si>
    <t>Cost per Room  Guest OOC  Usd</t>
  </si>
  <si>
    <t>Cost per Room Total OOC  Usd</t>
  </si>
  <si>
    <t>Total OCC  Room</t>
  </si>
  <si>
    <t>Guest Room Occ</t>
  </si>
  <si>
    <t>Gen Set Hours Working</t>
  </si>
  <si>
    <t>Nb Day</t>
  </si>
  <si>
    <t>Diesel Cost</t>
  </si>
  <si>
    <t>Rate$</t>
  </si>
  <si>
    <t xml:space="preserve">Four Sasons Safari Lodge Serengeti </t>
  </si>
  <si>
    <t>Consumption Kg</t>
  </si>
  <si>
    <t>A</t>
  </si>
  <si>
    <t>B</t>
  </si>
  <si>
    <t>C</t>
  </si>
  <si>
    <t>Usage KG</t>
  </si>
  <si>
    <t xml:space="preserve">Gas consumed (KG) </t>
  </si>
  <si>
    <t xml:space="preserve">Over budget </t>
  </si>
  <si>
    <t>Consumption Guest Occ%</t>
  </si>
  <si>
    <t>Budget Cost Per Room occ</t>
  </si>
  <si>
    <t>Safari-STAFF</t>
  </si>
  <si>
    <t>Eng pikcup</t>
  </si>
  <si>
    <t>GX Guest</t>
  </si>
  <si>
    <t xml:space="preserve">VIP Safari Car </t>
  </si>
  <si>
    <t>A&amp;K</t>
  </si>
  <si>
    <t>Machine ENG</t>
  </si>
  <si>
    <t xml:space="preserve">DATE </t>
  </si>
  <si>
    <t>OCC%</t>
  </si>
  <si>
    <t>D-TANK A</t>
  </si>
  <si>
    <t>D-TANK B</t>
  </si>
  <si>
    <t>DELIVERY DATE</t>
  </si>
  <si>
    <t>ISSUED-VEHICLE</t>
  </si>
  <si>
    <t>OTHERS</t>
  </si>
  <si>
    <t>M-R LV PANEL 1. KW-HR</t>
  </si>
  <si>
    <t>M-R LV PANEL 2. KW-HR</t>
  </si>
  <si>
    <t>MIN-KW</t>
  </si>
  <si>
    <t>Schedule delivery</t>
  </si>
  <si>
    <t>MAN</t>
  </si>
  <si>
    <t xml:space="preserve">Date </t>
  </si>
  <si>
    <t>Total occupancy</t>
  </si>
  <si>
    <t>Diesel Deliveries</t>
  </si>
  <si>
    <t>Water Meter reading</t>
  </si>
  <si>
    <r>
      <t>Water consumption m</t>
    </r>
    <r>
      <rPr>
        <b/>
        <sz val="11"/>
        <color indexed="8"/>
        <rFont val="Calibri"/>
        <family val="2"/>
      </rPr>
      <t>³</t>
    </r>
  </si>
  <si>
    <t>R.O WATER PRODUCTION LTRS + TIME</t>
  </si>
  <si>
    <t xml:space="preserve">Total RO production </t>
  </si>
  <si>
    <t>GAS TANK A</t>
  </si>
  <si>
    <t>GAS TANK B</t>
  </si>
  <si>
    <t>GAS TANK C</t>
  </si>
  <si>
    <t xml:space="preserve">Total Gas Tanks </t>
  </si>
  <si>
    <t>Kg /day</t>
  </si>
  <si>
    <t>TOTAL GAS cons.</t>
  </si>
  <si>
    <t xml:space="preserve">Balance </t>
  </si>
  <si>
    <t>PLANT NO 1</t>
  </si>
  <si>
    <t>PLANT NO 2</t>
  </si>
  <si>
    <t>PLANT NO 3</t>
  </si>
  <si>
    <t>/day</t>
  </si>
  <si>
    <t xml:space="preserve">Production </t>
  </si>
  <si>
    <t>Capacity</t>
  </si>
  <si>
    <t xml:space="preserve">Kg </t>
  </si>
  <si>
    <t>M3</t>
  </si>
  <si>
    <t>Hrs</t>
  </si>
  <si>
    <t xml:space="preserve">Total </t>
  </si>
  <si>
    <t>Gen.Diesel              consumption LTS</t>
  </si>
  <si>
    <t>Total Diesel consumption LTS</t>
  </si>
  <si>
    <t>Diesel balance LTS</t>
  </si>
  <si>
    <t>Rate Tsh /$</t>
  </si>
  <si>
    <t>Diesel cost / lits</t>
  </si>
  <si>
    <t xml:space="preserve"> Guest Rooms Occ </t>
  </si>
  <si>
    <t xml:space="preserve"> Electricity Production Cost /Room Occ by guest</t>
  </si>
  <si>
    <t>All Cost /Room Occ by guest</t>
  </si>
  <si>
    <t>Rooms  OCC</t>
  </si>
  <si>
    <t xml:space="preserve">Amani café </t>
  </si>
  <si>
    <t>Laundry</t>
  </si>
  <si>
    <t>Open Bal</t>
  </si>
  <si>
    <t>Main SW POOL</t>
  </si>
  <si>
    <t>Diseal</t>
  </si>
  <si>
    <t>Generator</t>
  </si>
  <si>
    <t>Transport</t>
  </si>
  <si>
    <t>RO</t>
  </si>
  <si>
    <t>Total Consumption</t>
  </si>
  <si>
    <t>1 Ton</t>
  </si>
  <si>
    <t xml:space="preserve">Room Occupied </t>
  </si>
  <si>
    <t>2 ton</t>
  </si>
  <si>
    <t>Cost of utilites</t>
  </si>
  <si>
    <t>Electricity /1.4$/liter</t>
  </si>
  <si>
    <t>Gas /2.38$/Kg</t>
  </si>
  <si>
    <t>Diseal for Transport</t>
  </si>
  <si>
    <t>Electricity Cost/Room  $</t>
  </si>
  <si>
    <t>Total HLP Cost</t>
  </si>
  <si>
    <t>cost/Room $</t>
  </si>
  <si>
    <t xml:space="preserve">          KITCHEN THREE PHASE KWH METER READING</t>
  </si>
  <si>
    <t xml:space="preserve">          KITCHEN WATER METER READING</t>
  </si>
  <si>
    <t xml:space="preserve">   DATE</t>
  </si>
  <si>
    <t xml:space="preserve"> READING  TIME</t>
  </si>
  <si>
    <t>METER READING OPEN</t>
  </si>
  <si>
    <t>METER READING ClOSE</t>
  </si>
  <si>
    <t xml:space="preserve">Close Last Month </t>
  </si>
  <si>
    <t>X120</t>
  </si>
  <si>
    <t xml:space="preserve">% as per the total Lodge consumption </t>
  </si>
  <si>
    <t>UNIT USED Kwh</t>
  </si>
  <si>
    <t>UNIT USED Cbm</t>
  </si>
  <si>
    <t>Cost Per day Elct+Water $</t>
  </si>
  <si>
    <t>METER READING ClOSE Cbm</t>
  </si>
  <si>
    <t>METER READING OPEN Cbm</t>
  </si>
  <si>
    <t>RO Meter reading</t>
  </si>
  <si>
    <t>Transport consumption</t>
  </si>
  <si>
    <t xml:space="preserve">         LAUNDRY THREE PHASE KWH METER READING</t>
  </si>
  <si>
    <t>METER READING ClOSE (Kwh)</t>
  </si>
  <si>
    <t>METER READING OPEN (Kwh)</t>
  </si>
  <si>
    <t xml:space="preserve">        LAUNDRY WATER METER READING</t>
  </si>
  <si>
    <t>AMANI Restaurant WATER METER READING</t>
  </si>
  <si>
    <t>Reading Hours Meter</t>
  </si>
  <si>
    <t>total production M3</t>
  </si>
  <si>
    <t>Flow M3</t>
  </si>
  <si>
    <t>MAX KW</t>
  </si>
  <si>
    <t>VODACOM TOWER</t>
  </si>
  <si>
    <t>AIRTEL TOWER</t>
  </si>
  <si>
    <t>OPEN METER READING</t>
  </si>
  <si>
    <t>CLOSE METER READING</t>
  </si>
  <si>
    <t>UNIT CONSUMED</t>
  </si>
  <si>
    <t>VODACOM AND AIRTEL KWH  METER READING</t>
  </si>
  <si>
    <t>Generator and Diseal Summry Report  JANUARY 2016</t>
  </si>
  <si>
    <t>BORE HOLE NO.1                       METER READING</t>
  </si>
  <si>
    <t>BORE HOLE NO.2                  METER READING</t>
  </si>
  <si>
    <t>BORE HOLE NO.3                  METER READING</t>
  </si>
  <si>
    <t>BORE HOLE NO.4                 METER READING</t>
  </si>
  <si>
    <t>Total        consumption</t>
  </si>
  <si>
    <t xml:space="preserve">OPEN </t>
  </si>
  <si>
    <t>FINAL</t>
  </si>
  <si>
    <t>PROD.</t>
  </si>
  <si>
    <t>TOTAL WATER PRODUCTION</t>
  </si>
  <si>
    <t>OTHER</t>
  </si>
  <si>
    <t xml:space="preserve">OPEN HRS READING </t>
  </si>
  <si>
    <t>CLOSE HRS READING</t>
  </si>
  <si>
    <t>TOTAL RUNNING HRS</t>
  </si>
  <si>
    <t xml:space="preserve">Diesel consumed </t>
  </si>
  <si>
    <t>TOTAL DIESEL CONS.</t>
  </si>
  <si>
    <t>Vehicles</t>
  </si>
  <si>
    <t xml:space="preserve">Liters </t>
  </si>
  <si>
    <t>Average Diesel/Kwh</t>
  </si>
  <si>
    <t>T/Hillux/pur</t>
  </si>
  <si>
    <t>Total Diseal Consumed Gen &amp;  Vehicle</t>
  </si>
  <si>
    <t xml:space="preserve">Diesel Consumed by 500KVA Generator </t>
  </si>
  <si>
    <t>RUNNING HRS</t>
  </si>
  <si>
    <t xml:space="preserve"> Diesel consumed by Gen (Ltrs)</t>
  </si>
  <si>
    <t>Total diesel consumed (Ltrs)</t>
  </si>
  <si>
    <t>Balance stock of Diesel (Ltrs)</t>
  </si>
  <si>
    <t xml:space="preserve"> Diesel consumed by Vehicle (Ltrs)</t>
  </si>
  <si>
    <t>T 214 CHV</t>
  </si>
  <si>
    <t>T 217 CHV</t>
  </si>
  <si>
    <t>T 139 AXE</t>
  </si>
  <si>
    <t>T 308 CLD</t>
  </si>
  <si>
    <t>T 852 AWU</t>
  </si>
  <si>
    <t>Driver name</t>
  </si>
  <si>
    <t>MAULY VEHICLES</t>
  </si>
  <si>
    <t>DIFFERENCE</t>
  </si>
  <si>
    <t>Authorized Manager</t>
  </si>
  <si>
    <t>RAW WATER TANK NO.1</t>
  </si>
  <si>
    <t xml:space="preserve">TREATED WATER TANK </t>
  </si>
  <si>
    <r>
      <t>CAPACITY 217 m</t>
    </r>
    <r>
      <rPr>
        <sz val="10"/>
        <rFont val="Calibri"/>
        <family val="2"/>
      </rPr>
      <t>³</t>
    </r>
  </si>
  <si>
    <r>
      <t>CAPACITY 92 m</t>
    </r>
    <r>
      <rPr>
        <sz val="10"/>
        <rFont val="Calibri"/>
        <family val="2"/>
      </rPr>
      <t>³</t>
    </r>
  </si>
  <si>
    <r>
      <t>CAPACITY 146 m</t>
    </r>
    <r>
      <rPr>
        <sz val="10"/>
        <rFont val="Calibri"/>
        <family val="2"/>
      </rPr>
      <t>³</t>
    </r>
  </si>
  <si>
    <r>
      <t>CAPACITY 213 m</t>
    </r>
    <r>
      <rPr>
        <sz val="10"/>
        <rFont val="Calibri"/>
        <family val="2"/>
      </rPr>
      <t>³</t>
    </r>
  </si>
  <si>
    <t xml:space="preserve">WATER TANK LEVEL </t>
  </si>
  <si>
    <t>TOTAL WATER AVAILABLE</t>
  </si>
  <si>
    <t>m³</t>
  </si>
  <si>
    <t xml:space="preserve">cm </t>
  </si>
  <si>
    <t>OTHERS VEHICLES</t>
  </si>
  <si>
    <t>Liters</t>
  </si>
  <si>
    <t>Athorized Manager</t>
  </si>
  <si>
    <t>Reasons</t>
  </si>
  <si>
    <t>FUEL METER  1 READNG</t>
  </si>
  <si>
    <t>FUEL METER 2 READING</t>
  </si>
  <si>
    <t>OPEN METER</t>
  </si>
  <si>
    <t>CLOSE METER</t>
  </si>
  <si>
    <t>DIESEL CONSUMED</t>
  </si>
  <si>
    <t>HLP-VEHICLES</t>
  </si>
  <si>
    <t>HLP-GENSETS</t>
  </si>
  <si>
    <t>RAW WATER TANK NO.2</t>
  </si>
  <si>
    <t xml:space="preserve">TREATED -HILL TANK </t>
  </si>
  <si>
    <t>BORE HOLE NO.5      METER READING</t>
  </si>
  <si>
    <t>RAIN WATER  - METER READING</t>
  </si>
  <si>
    <t xml:space="preserve">A &amp; K  VEHICLES </t>
  </si>
  <si>
    <t xml:space="preserve">DELIVERY </t>
  </si>
  <si>
    <t>BORE HOLE NO.6      METER READING</t>
  </si>
  <si>
    <t xml:space="preserve">   GREENLAND VEHICLE</t>
  </si>
  <si>
    <t>TZS</t>
  </si>
  <si>
    <t>USD</t>
  </si>
  <si>
    <t xml:space="preserve"> -   </t>
  </si>
  <si>
    <t>Av. Occ</t>
  </si>
  <si>
    <t>Electricity Units Generated KW</t>
  </si>
  <si>
    <t xml:space="preserve">  T 242 AXN - SABASABA</t>
  </si>
  <si>
    <t>PUMP 1 METER READING</t>
  </si>
  <si>
    <t>PUMP 2 METER READING</t>
  </si>
  <si>
    <t xml:space="preserve">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</si>
  <si>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</si>
  <si>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</si>
  <si>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</si>
  <si>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</t>
  </si>
  <si>
    <t>Generator and Diseal Summry Report 2019</t>
  </si>
  <si>
    <t xml:space="preserve">Four Seasons Safari Lodge Serengeti OCT 2019- Water Report </t>
  </si>
  <si>
    <t>DAILY UTILITIES REPORT</t>
  </si>
  <si>
    <t>OCC %</t>
  </si>
  <si>
    <t>GENERATOR FUEL (LTR)</t>
  </si>
  <si>
    <r>
      <t>WATER (M</t>
    </r>
    <r>
      <rPr>
        <b/>
        <sz val="11"/>
        <color theme="1"/>
        <rFont val="Calibri"/>
        <family val="2"/>
      </rPr>
      <t>³)</t>
    </r>
  </si>
  <si>
    <t>ELECTRICAL (Kwh)</t>
  </si>
  <si>
    <t>CONSUMPTION</t>
  </si>
  <si>
    <t>BOREHOLE PRODUCTION</t>
  </si>
  <si>
    <t>RO PRODUCTION</t>
  </si>
  <si>
    <t>LAUNDRY</t>
  </si>
  <si>
    <t>Usage KW</t>
  </si>
  <si>
    <t>Power production (KW)</t>
  </si>
  <si>
    <t>Water consumption (M3)</t>
  </si>
  <si>
    <t>RO prodution  (M3)</t>
  </si>
  <si>
    <t>Diesel consumption (LT)</t>
  </si>
  <si>
    <t xml:space="preserve"> Guest Rooms Occupied </t>
  </si>
  <si>
    <t>Diesel cost  Per  Liter        ($)</t>
  </si>
  <si>
    <t xml:space="preserve">Transport Consupmtion (LT)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</si>
  <si>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</si>
  <si>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</si>
  <si>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</si>
  <si>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</si>
  <si>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</si>
  <si>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</si>
  <si>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</si>
  <si>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</si>
  <si>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</si>
  <si>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</si>
  <si>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</si>
  <si>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Utilities day cost dh</t>
  </si>
  <si>
    <t>Serengeti</t>
  </si>
  <si>
    <t>Kitchen (KWh)</t>
  </si>
  <si>
    <t>Laundry (KWh)</t>
  </si>
  <si>
    <t xml:space="preserve">Generators Consumption (LT) </t>
  </si>
  <si>
    <t xml:space="preserve">Transport Consumption (LT) </t>
  </si>
  <si>
    <t>STP (M3)</t>
  </si>
  <si>
    <t>Amani Restaurant (M3)</t>
  </si>
  <si>
    <t>Kitchen (M3)</t>
  </si>
  <si>
    <t>Laundry (M3)</t>
  </si>
  <si>
    <t>Borehole #1 (M3)</t>
  </si>
  <si>
    <t>Borehole #2 (M3)</t>
  </si>
  <si>
    <t>Borehole #3 (M3)</t>
  </si>
  <si>
    <t>Borehole #4 (M3)</t>
  </si>
  <si>
    <t>Borehole #5 (M3)</t>
  </si>
  <si>
    <t>Borehole #6 (M3)</t>
  </si>
  <si>
    <t>GENERATOR NO.1</t>
  </si>
  <si>
    <t>GENERATOR NO.2</t>
  </si>
  <si>
    <t>GENERATOR NO.4</t>
  </si>
  <si>
    <t>GENERATOR NO.5</t>
  </si>
  <si>
    <t>GENERATOR NO.6</t>
  </si>
  <si>
    <t>VEHICLE CONSUMPTION</t>
  </si>
  <si>
    <t>DAILY UTILITY REPORT NOV 2019</t>
  </si>
  <si>
    <t xml:space="preserve">NOVEMBER UTILITY REPORT </t>
  </si>
  <si>
    <t>Total water Consumption  (M3)</t>
  </si>
  <si>
    <t xml:space="preserve">Total Bore holes production  (M3) </t>
  </si>
  <si>
    <t>Company</t>
  </si>
  <si>
    <t>RAHA</t>
  </si>
  <si>
    <t>PUMA</t>
  </si>
  <si>
    <t>HLP REPORT DEC.  2019</t>
  </si>
  <si>
    <t>CHINA</t>
  </si>
  <si>
    <t>T132CWQ</t>
  </si>
  <si>
    <t>Zakayo</t>
  </si>
  <si>
    <t>T111CWQ</t>
  </si>
  <si>
    <t>Richard</t>
  </si>
  <si>
    <t>T880DKQ</t>
  </si>
  <si>
    <t>Baraka</t>
  </si>
  <si>
    <t>T106CWQ</t>
  </si>
  <si>
    <t>Gasper</t>
  </si>
  <si>
    <t>Wendo</t>
  </si>
  <si>
    <t>John Kileo</t>
  </si>
  <si>
    <t>T 588 BSD</t>
  </si>
  <si>
    <t>T882DKQ</t>
  </si>
  <si>
    <t>Joseph</t>
  </si>
</sst>
</file>

<file path=xl/styles.xml><?xml version="1.0" encoding="utf-8"?>
<styleSheet xmlns="http://schemas.openxmlformats.org/spreadsheetml/2006/main">
  <numFmts count="13">
    <numFmt numFmtId="42" formatCode="_-&quot;TSh&quot;* #,##0_-;\-&quot;TSh&quot;* #,##0_-;_-&quot;TSh&quot;* &quot;-&quot;_-;_-@_-"/>
    <numFmt numFmtId="41" formatCode="_-* #,##0_-;\-* #,##0_-;_-* &quot;-&quot;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dd/mm/yyyy;@"/>
    <numFmt numFmtId="168" formatCode="dd/mm/yy;@"/>
    <numFmt numFmtId="169" formatCode="[$-409]d\-mmm\-yy;@"/>
    <numFmt numFmtId="170" formatCode="_(&quot;$&quot;* #,##0_);_(&quot;$&quot;* \(#,##0\);_(&quot;$&quot;* &quot;-&quot;??_);_(@_)"/>
    <numFmt numFmtId="171" formatCode="0.0%"/>
    <numFmt numFmtId="172" formatCode="0.0"/>
    <numFmt numFmtId="173" formatCode="_([$TZS]\ * #,##0_);_([$TZS]\ * \(#,##0\);_([$TZS]\ * &quot;-&quot;_);_(@_)"/>
    <numFmt numFmtId="174" formatCode="_([$TZS]\ * #,##0.00_);_([$TZS]\ * \(#,##0.00\);_([$TZS]\ * &quot;-&quot;??_);_(@_)"/>
  </numFmts>
  <fonts count="6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sz val="8"/>
      <name val="Arial"/>
      <family val="2"/>
    </font>
    <font>
      <b/>
      <sz val="10"/>
      <name val="Century Gothic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8"/>
      <name val="Century Gothic"/>
      <family val="2"/>
    </font>
    <font>
      <sz val="12"/>
      <name val="Arial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9"/>
      <name val="Century Gothic"/>
      <family val="2"/>
    </font>
    <font>
      <sz val="8"/>
      <name val="Century Gothic"/>
      <family val="2"/>
    </font>
    <font>
      <b/>
      <sz val="11"/>
      <name val="Century Gothic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8"/>
      <color rgb="FFFF0000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name val="Arial"/>
      <family val="2"/>
    </font>
    <font>
      <b/>
      <sz val="8"/>
      <name val="Calibri"/>
      <family val="2"/>
      <scheme val="minor"/>
    </font>
    <font>
      <sz val="8"/>
      <color indexed="10"/>
      <name val="Century Gothic"/>
      <family val="2"/>
    </font>
    <font>
      <b/>
      <sz val="8"/>
      <color indexed="12"/>
      <name val="Century Gothic"/>
      <family val="2"/>
    </font>
    <font>
      <sz val="8"/>
      <color theme="1"/>
      <name val="Century Gothic"/>
      <family val="2"/>
    </font>
    <font>
      <b/>
      <sz val="8"/>
      <color theme="1"/>
      <name val="Century Gothic"/>
      <family val="2"/>
    </font>
    <font>
      <sz val="8"/>
      <color indexed="8"/>
      <name val="Calibri"/>
      <family val="2"/>
    </font>
    <font>
      <b/>
      <sz val="14"/>
      <name val="Arial"/>
      <family val="2"/>
    </font>
    <font>
      <sz val="14"/>
      <name val="Arial"/>
      <family val="2"/>
    </font>
    <font>
      <sz val="10"/>
      <color rgb="FFFF0000"/>
      <name val="Century Gothic"/>
      <family val="2"/>
    </font>
    <font>
      <sz val="12"/>
      <color rgb="FFFF0000"/>
      <name val="Century Gothic"/>
      <family val="2"/>
    </font>
    <font>
      <b/>
      <sz val="18"/>
      <name val="Century Gothic"/>
      <family val="2"/>
    </font>
    <font>
      <sz val="11"/>
      <name val="Arial"/>
      <family val="2"/>
    </font>
    <font>
      <sz val="8"/>
      <color rgb="FFFF0000"/>
      <name val="Arial"/>
      <family val="2"/>
    </font>
    <font>
      <sz val="10"/>
      <name val="Calibri"/>
      <family val="2"/>
    </font>
    <font>
      <sz val="8"/>
      <color theme="1"/>
      <name val="Arial"/>
      <family val="2"/>
    </font>
    <font>
      <b/>
      <sz val="16"/>
      <name val="Arial"/>
      <family val="2"/>
    </font>
    <font>
      <b/>
      <sz val="16"/>
      <name val="Century Gothic"/>
      <family val="2"/>
    </font>
    <font>
      <b/>
      <sz val="20"/>
      <name val="Arial"/>
      <family val="2"/>
    </font>
    <font>
      <sz val="20"/>
      <name val="Arial"/>
      <family val="2"/>
    </font>
    <font>
      <b/>
      <sz val="12"/>
      <color theme="1"/>
      <name val="Calibri"/>
      <family val="2"/>
      <scheme val="minor"/>
    </font>
    <font>
      <sz val="16"/>
      <name val="Arial"/>
      <family val="2"/>
    </font>
    <font>
      <sz val="10"/>
      <name val="Arial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0"/>
      <name val="Arial"/>
      <family val="2"/>
    </font>
    <font>
      <sz val="18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sz val="16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</fills>
  <borders count="10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indexed="64"/>
      </right>
      <top/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medium">
        <color indexed="64"/>
      </left>
      <right style="thin">
        <color theme="1"/>
      </right>
      <top style="thin">
        <color indexed="64"/>
      </top>
      <bottom/>
      <diagonal/>
    </border>
  </borders>
  <cellStyleXfs count="11">
    <xf numFmtId="0" fontId="0" fillId="0" borderId="0"/>
    <xf numFmtId="165" fontId="2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8" fillId="0" borderId="0"/>
    <xf numFmtId="0" fontId="14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1" fontId="51" fillId="0" borderId="0" applyFont="0" applyFill="0" applyBorder="0" applyAlignment="0" applyProtection="0"/>
    <xf numFmtId="42" fontId="55" fillId="0" borderId="0" applyFont="0" applyFill="0" applyBorder="0" applyAlignment="0" applyProtection="0"/>
  </cellStyleXfs>
  <cellXfs count="887">
    <xf numFmtId="0" fontId="0" fillId="0" borderId="0" xfId="0"/>
    <xf numFmtId="166" fontId="3" fillId="0" borderId="1" xfId="1" applyNumberFormat="1" applyFont="1" applyFill="1" applyBorder="1"/>
    <xf numFmtId="166" fontId="6" fillId="3" borderId="1" xfId="0" applyNumberFormat="1" applyFont="1" applyFill="1" applyBorder="1"/>
    <xf numFmtId="0" fontId="3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3" fillId="0" borderId="1" xfId="0" applyFont="1" applyFill="1" applyBorder="1"/>
    <xf numFmtId="0" fontId="0" fillId="0" borderId="1" xfId="0" applyBorder="1"/>
    <xf numFmtId="165" fontId="3" fillId="4" borderId="5" xfId="0" applyNumberFormat="1" applyFont="1" applyFill="1" applyBorder="1"/>
    <xf numFmtId="0" fontId="0" fillId="0" borderId="9" xfId="0" applyBorder="1"/>
    <xf numFmtId="0" fontId="8" fillId="0" borderId="0" xfId="0" applyFont="1"/>
    <xf numFmtId="168" fontId="0" fillId="0" borderId="0" xfId="0" applyNumberFormat="1" applyAlignment="1">
      <alignment horizontal="left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2" xfId="0" applyBorder="1"/>
    <xf numFmtId="0" fontId="0" fillId="0" borderId="5" xfId="0" applyBorder="1"/>
    <xf numFmtId="10" fontId="0" fillId="0" borderId="0" xfId="0" applyNumberFormat="1"/>
    <xf numFmtId="0" fontId="0" fillId="0" borderId="0" xfId="0" applyBorder="1"/>
    <xf numFmtId="0" fontId="3" fillId="0" borderId="23" xfId="0" applyFont="1" applyFill="1" applyBorder="1"/>
    <xf numFmtId="0" fontId="3" fillId="8" borderId="25" xfId="0" applyFont="1" applyFill="1" applyBorder="1"/>
    <xf numFmtId="166" fontId="6" fillId="8" borderId="26" xfId="0" applyNumberFormat="1" applyFont="1" applyFill="1" applyBorder="1"/>
    <xf numFmtId="0" fontId="0" fillId="8" borderId="1" xfId="0" applyFill="1" applyBorder="1"/>
    <xf numFmtId="0" fontId="0" fillId="8" borderId="22" xfId="0" applyFill="1" applyBorder="1"/>
    <xf numFmtId="166" fontId="0" fillId="8" borderId="25" xfId="0" applyNumberFormat="1" applyFill="1" applyBorder="1"/>
    <xf numFmtId="0" fontId="0" fillId="8" borderId="26" xfId="0" applyFill="1" applyBorder="1"/>
    <xf numFmtId="166" fontId="0" fillId="8" borderId="1" xfId="0" applyNumberFormat="1" applyFill="1" applyBorder="1"/>
    <xf numFmtId="166" fontId="3" fillId="9" borderId="1" xfId="1" applyNumberFormat="1" applyFont="1" applyFill="1" applyBorder="1"/>
    <xf numFmtId="0" fontId="3" fillId="7" borderId="1" xfId="0" applyFont="1" applyFill="1" applyBorder="1"/>
    <xf numFmtId="0" fontId="0" fillId="0" borderId="27" xfId="0" applyBorder="1"/>
    <xf numFmtId="0" fontId="0" fillId="0" borderId="11" xfId="0" applyBorder="1"/>
    <xf numFmtId="0" fontId="0" fillId="0" borderId="13" xfId="0" applyBorder="1"/>
    <xf numFmtId="0" fontId="6" fillId="0" borderId="1" xfId="0" applyFont="1" applyFill="1" applyBorder="1"/>
    <xf numFmtId="0" fontId="12" fillId="0" borderId="28" xfId="0" applyFont="1" applyBorder="1"/>
    <xf numFmtId="0" fontId="12" fillId="0" borderId="11" xfId="0" applyFont="1" applyBorder="1"/>
    <xf numFmtId="0" fontId="12" fillId="0" borderId="12" xfId="0" applyFont="1" applyBorder="1"/>
    <xf numFmtId="0" fontId="12" fillId="0" borderId="0" xfId="0" applyFont="1"/>
    <xf numFmtId="0" fontId="12" fillId="0" borderId="13" xfId="0" applyFont="1" applyBorder="1"/>
    <xf numFmtId="0" fontId="12" fillId="0" borderId="0" xfId="0" applyFont="1" applyBorder="1"/>
    <xf numFmtId="0" fontId="12" fillId="0" borderId="15" xfId="0" applyFont="1" applyBorder="1"/>
    <xf numFmtId="0" fontId="12" fillId="0" borderId="23" xfId="0" applyFont="1" applyBorder="1"/>
    <xf numFmtId="0" fontId="12" fillId="0" borderId="24" xfId="0" applyFont="1" applyBorder="1"/>
    <xf numFmtId="0" fontId="12" fillId="0" borderId="27" xfId="0" applyFont="1" applyBorder="1"/>
    <xf numFmtId="0" fontId="12" fillId="0" borderId="25" xfId="0" applyFont="1" applyBorder="1"/>
    <xf numFmtId="0" fontId="6" fillId="0" borderId="11" xfId="0" applyFont="1" applyFill="1" applyBorder="1"/>
    <xf numFmtId="0" fontId="6" fillId="2" borderId="1" xfId="0" applyFont="1" applyFill="1" applyBorder="1" applyAlignment="1"/>
    <xf numFmtId="165" fontId="6" fillId="2" borderId="1" xfId="1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17" fontId="12" fillId="0" borderId="15" xfId="0" applyNumberFormat="1" applyFont="1" applyBorder="1"/>
    <xf numFmtId="0" fontId="0" fillId="0" borderId="0" xfId="0" applyAlignment="1">
      <alignment wrapText="1"/>
    </xf>
    <xf numFmtId="0" fontId="11" fillId="3" borderId="1" xfId="0" applyNumberFormat="1" applyFont="1" applyFill="1" applyBorder="1" applyAlignment="1">
      <alignment horizontal="center" wrapText="1"/>
    </xf>
    <xf numFmtId="0" fontId="20" fillId="0" borderId="1" xfId="0" applyFont="1" applyBorder="1" applyAlignment="1">
      <alignment horizontal="center" vertical="top" wrapText="1"/>
    </xf>
    <xf numFmtId="169" fontId="0" fillId="0" borderId="16" xfId="0" applyNumberFormat="1" applyBorder="1"/>
    <xf numFmtId="0" fontId="0" fillId="0" borderId="2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169" fontId="3" fillId="0" borderId="1" xfId="0" applyNumberFormat="1" applyFont="1" applyBorder="1" applyAlignment="1">
      <alignment horizontal="center"/>
    </xf>
    <xf numFmtId="165" fontId="3" fillId="9" borderId="1" xfId="1" applyNumberFormat="1" applyFont="1" applyFill="1" applyBorder="1"/>
    <xf numFmtId="0" fontId="21" fillId="0" borderId="1" xfId="0" applyFont="1" applyBorder="1" applyAlignment="1">
      <alignment vertical="center" wrapText="1"/>
    </xf>
    <xf numFmtId="0" fontId="0" fillId="0" borderId="6" xfId="0" applyBorder="1"/>
    <xf numFmtId="0" fontId="0" fillId="0" borderId="7" xfId="0" applyBorder="1"/>
    <xf numFmtId="0" fontId="0" fillId="0" borderId="16" xfId="0" applyBorder="1"/>
    <xf numFmtId="0" fontId="20" fillId="0" borderId="16" xfId="0" applyFont="1" applyBorder="1" applyAlignment="1">
      <alignment horizontal="center" vertical="top" wrapText="1"/>
    </xf>
    <xf numFmtId="0" fontId="21" fillId="0" borderId="8" xfId="0" applyFont="1" applyBorder="1" applyAlignment="1">
      <alignment vertical="center" wrapText="1"/>
    </xf>
    <xf numFmtId="0" fontId="0" fillId="0" borderId="36" xfId="0" applyBorder="1"/>
    <xf numFmtId="0" fontId="21" fillId="0" borderId="5" xfId="0" applyFont="1" applyBorder="1" applyAlignment="1">
      <alignment vertical="center" wrapText="1"/>
    </xf>
    <xf numFmtId="0" fontId="20" fillId="0" borderId="5" xfId="0" applyFont="1" applyBorder="1" applyAlignment="1">
      <alignment horizontal="center" vertical="center" wrapText="1"/>
    </xf>
    <xf numFmtId="0" fontId="0" fillId="13" borderId="1" xfId="0" applyFill="1" applyBorder="1"/>
    <xf numFmtId="0" fontId="0" fillId="13" borderId="9" xfId="0" applyFill="1" applyBorder="1"/>
    <xf numFmtId="0" fontId="0" fillId="11" borderId="1" xfId="0" applyFill="1" applyBorder="1"/>
    <xf numFmtId="0" fontId="0" fillId="14" borderId="1" xfId="0" applyFill="1" applyBorder="1"/>
    <xf numFmtId="0" fontId="0" fillId="14" borderId="9" xfId="0" applyFill="1" applyBorder="1"/>
    <xf numFmtId="0" fontId="20" fillId="0" borderId="1" xfId="0" applyFont="1" applyFill="1" applyBorder="1" applyAlignment="1">
      <alignment horizontal="center" vertical="top" wrapText="1"/>
    </xf>
    <xf numFmtId="0" fontId="0" fillId="0" borderId="0" xfId="0" applyFill="1"/>
    <xf numFmtId="166" fontId="0" fillId="0" borderId="1" xfId="1" applyNumberFormat="1" applyFont="1" applyBorder="1"/>
    <xf numFmtId="0" fontId="0" fillId="0" borderId="4" xfId="0" applyBorder="1"/>
    <xf numFmtId="164" fontId="0" fillId="0" borderId="1" xfId="3" applyFont="1" applyBorder="1"/>
    <xf numFmtId="0" fontId="8" fillId="0" borderId="0" xfId="0" applyFont="1" applyAlignment="1">
      <alignment horizontal="distributed" vertical="justify"/>
    </xf>
    <xf numFmtId="170" fontId="0" fillId="0" borderId="0" xfId="6" applyNumberFormat="1" applyFont="1"/>
    <xf numFmtId="164" fontId="0" fillId="0" borderId="0" xfId="0" applyNumberFormat="1"/>
    <xf numFmtId="0" fontId="20" fillId="0" borderId="22" xfId="0" applyFont="1" applyBorder="1" applyAlignment="1">
      <alignment horizontal="center" vertical="top" wrapText="1"/>
    </xf>
    <xf numFmtId="0" fontId="0" fillId="0" borderId="37" xfId="0" applyBorder="1"/>
    <xf numFmtId="165" fontId="0" fillId="0" borderId="22" xfId="1" applyFont="1" applyBorder="1"/>
    <xf numFmtId="165" fontId="0" fillId="0" borderId="0" xfId="0" applyNumberFormat="1"/>
    <xf numFmtId="0" fontId="0" fillId="15" borderId="9" xfId="0" applyFill="1" applyBorder="1"/>
    <xf numFmtId="0" fontId="0" fillId="6" borderId="1" xfId="0" applyFill="1" applyBorder="1"/>
    <xf numFmtId="0" fontId="0" fillId="6" borderId="9" xfId="0" applyFill="1" applyBorder="1"/>
    <xf numFmtId="9" fontId="0" fillId="14" borderId="1" xfId="0" applyNumberFormat="1" applyFill="1" applyBorder="1"/>
    <xf numFmtId="1" fontId="0" fillId="6" borderId="1" xfId="0" applyNumberFormat="1" applyFill="1" applyBorder="1"/>
    <xf numFmtId="10" fontId="0" fillId="6" borderId="1" xfId="0" applyNumberFormat="1" applyFill="1" applyBorder="1"/>
    <xf numFmtId="0" fontId="8" fillId="0" borderId="6" xfId="0" applyFont="1" applyBorder="1" applyAlignment="1">
      <alignment horizontal="center"/>
    </xf>
    <xf numFmtId="165" fontId="0" fillId="0" borderId="0" xfId="1" applyFont="1"/>
    <xf numFmtId="171" fontId="0" fillId="0" borderId="0" xfId="6" applyNumberFormat="1" applyFont="1"/>
    <xf numFmtId="169" fontId="5" fillId="0" borderId="1" xfId="0" applyNumberFormat="1" applyFont="1" applyFill="1" applyBorder="1" applyAlignment="1">
      <alignment horizontal="center"/>
    </xf>
    <xf numFmtId="169" fontId="0" fillId="0" borderId="0" xfId="0" applyNumberFormat="1" applyAlignment="1">
      <alignment horizontal="left"/>
    </xf>
    <xf numFmtId="169" fontId="7" fillId="0" borderId="1" xfId="0" applyNumberFormat="1" applyFont="1" applyBorder="1" applyAlignment="1">
      <alignment horizontal="center"/>
    </xf>
    <xf numFmtId="166" fontId="3" fillId="6" borderId="1" xfId="1" applyNumberFormat="1" applyFont="1" applyFill="1" applyBorder="1"/>
    <xf numFmtId="0" fontId="12" fillId="0" borderId="28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3" fillId="0" borderId="12" xfId="0" applyFont="1" applyFill="1" applyBorder="1" applyAlignment="1">
      <alignment horizontal="center" vertical="center"/>
    </xf>
    <xf numFmtId="166" fontId="6" fillId="3" borderId="1" xfId="0" applyNumberFormat="1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/>
    </xf>
    <xf numFmtId="0" fontId="9" fillId="6" borderId="4" xfId="0" applyFont="1" applyFill="1" applyBorder="1"/>
    <xf numFmtId="0" fontId="7" fillId="2" borderId="1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/>
    </xf>
    <xf numFmtId="0" fontId="7" fillId="6" borderId="1" xfId="0" applyFont="1" applyFill="1" applyBorder="1"/>
    <xf numFmtId="10" fontId="6" fillId="4" borderId="5" xfId="6" applyNumberFormat="1" applyFont="1" applyFill="1" applyBorder="1"/>
    <xf numFmtId="165" fontId="12" fillId="0" borderId="4" xfId="1" applyFont="1" applyBorder="1"/>
    <xf numFmtId="165" fontId="12" fillId="0" borderId="14" xfId="1" applyFont="1" applyBorder="1"/>
    <xf numFmtId="165" fontId="12" fillId="0" borderId="1" xfId="1" applyFont="1" applyBorder="1"/>
    <xf numFmtId="165" fontId="12" fillId="0" borderId="26" xfId="1" applyFont="1" applyBorder="1"/>
    <xf numFmtId="165" fontId="0" fillId="0" borderId="1" xfId="1" applyFont="1" applyBorder="1"/>
    <xf numFmtId="9" fontId="0" fillId="0" borderId="0" xfId="6" applyNumberFormat="1" applyFont="1"/>
    <xf numFmtId="0" fontId="0" fillId="0" borderId="6" xfId="0" applyBorder="1" applyAlignment="1">
      <alignment horizontal="center"/>
    </xf>
    <xf numFmtId="0" fontId="22" fillId="0" borderId="1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center"/>
    </xf>
    <xf numFmtId="164" fontId="0" fillId="0" borderId="9" xfId="3" applyFont="1" applyBorder="1"/>
    <xf numFmtId="164" fontId="0" fillId="0" borderId="8" xfId="3" applyFont="1" applyBorder="1"/>
    <xf numFmtId="164" fontId="0" fillId="0" borderId="10" xfId="3" applyFont="1" applyBorder="1"/>
    <xf numFmtId="164" fontId="8" fillId="0" borderId="1" xfId="3" applyFont="1" applyBorder="1"/>
    <xf numFmtId="0" fontId="0" fillId="0" borderId="1" xfId="0" applyFill="1" applyBorder="1"/>
    <xf numFmtId="0" fontId="2" fillId="0" borderId="17" xfId="0" applyFont="1" applyBorder="1" applyAlignment="1">
      <alignment horizontal="center"/>
    </xf>
    <xf numFmtId="0" fontId="19" fillId="0" borderId="38" xfId="0" applyFont="1" applyBorder="1" applyAlignment="1">
      <alignment horizontal="center" vertical="center" wrapText="1"/>
    </xf>
    <xf numFmtId="4" fontId="19" fillId="12" borderId="38" xfId="0" applyNumberFormat="1" applyFont="1" applyFill="1" applyBorder="1" applyAlignment="1">
      <alignment horizontal="center" vertical="center"/>
    </xf>
    <xf numFmtId="0" fontId="19" fillId="0" borderId="40" xfId="0" applyFont="1" applyBorder="1" applyAlignment="1">
      <alignment horizontal="center" vertical="center" wrapText="1"/>
    </xf>
    <xf numFmtId="0" fontId="19" fillId="0" borderId="2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41" xfId="0" applyFont="1" applyBorder="1" applyAlignment="1">
      <alignment horizontal="center" vertical="center" wrapText="1"/>
    </xf>
    <xf numFmtId="166" fontId="19" fillId="0" borderId="24" xfId="1" applyNumberFormat="1" applyFont="1" applyBorder="1" applyAlignment="1">
      <alignment horizontal="center" vertical="center" wrapText="1"/>
    </xf>
    <xf numFmtId="166" fontId="19" fillId="0" borderId="41" xfId="1" applyNumberFormat="1" applyFont="1" applyBorder="1" applyAlignment="1">
      <alignment horizontal="center" vertical="center" wrapText="1"/>
    </xf>
    <xf numFmtId="166" fontId="0" fillId="12" borderId="42" xfId="0" applyNumberFormat="1" applyFill="1" applyBorder="1"/>
    <xf numFmtId="166" fontId="0" fillId="0" borderId="0" xfId="1" applyNumberFormat="1" applyFont="1" applyFill="1" applyBorder="1"/>
    <xf numFmtId="166" fontId="0" fillId="0" borderId="0" xfId="0" applyNumberFormat="1"/>
    <xf numFmtId="0" fontId="19" fillId="12" borderId="38" xfId="0" applyFont="1" applyFill="1" applyBorder="1" applyAlignment="1">
      <alignment horizontal="center" vertical="center"/>
    </xf>
    <xf numFmtId="165" fontId="0" fillId="12" borderId="26" xfId="0" applyNumberFormat="1" applyFill="1" applyBorder="1"/>
    <xf numFmtId="0" fontId="0" fillId="12" borderId="1" xfId="0" applyFill="1" applyBorder="1"/>
    <xf numFmtId="0" fontId="0" fillId="12" borderId="43" xfId="0" applyFill="1" applyBorder="1"/>
    <xf numFmtId="0" fontId="0" fillId="12" borderId="46" xfId="0" applyFill="1" applyBorder="1"/>
    <xf numFmtId="0" fontId="0" fillId="12" borderId="44" xfId="0" applyFill="1" applyBorder="1"/>
    <xf numFmtId="0" fontId="19" fillId="0" borderId="47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48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 wrapText="1"/>
    </xf>
    <xf numFmtId="0" fontId="2" fillId="0" borderId="0" xfId="0" applyFont="1"/>
    <xf numFmtId="0" fontId="8" fillId="0" borderId="55" xfId="0" applyFont="1" applyBorder="1" applyAlignment="1">
      <alignment horizontal="center" wrapText="1"/>
    </xf>
    <xf numFmtId="0" fontId="24" fillId="0" borderId="55" xfId="0" applyFont="1" applyBorder="1" applyAlignment="1">
      <alignment vertical="center"/>
    </xf>
    <xf numFmtId="0" fontId="19" fillId="0" borderId="31" xfId="0" applyFont="1" applyBorder="1" applyAlignment="1">
      <alignment horizontal="left" vertical="center"/>
    </xf>
    <xf numFmtId="0" fontId="19" fillId="0" borderId="30" xfId="0" applyFont="1" applyBorder="1" applyAlignment="1">
      <alignment horizontal="left" vertical="center"/>
    </xf>
    <xf numFmtId="9" fontId="0" fillId="12" borderId="49" xfId="0" applyNumberFormat="1" applyFill="1" applyBorder="1"/>
    <xf numFmtId="0" fontId="0" fillId="0" borderId="0" xfId="0" applyFill="1" applyBorder="1"/>
    <xf numFmtId="166" fontId="0" fillId="0" borderId="0" xfId="0" applyNumberFormat="1" applyFill="1" applyBorder="1"/>
    <xf numFmtId="14" fontId="8" fillId="0" borderId="0" xfId="0" applyNumberFormat="1" applyFont="1" applyBorder="1"/>
    <xf numFmtId="166" fontId="8" fillId="12" borderId="38" xfId="1" applyNumberFormat="1" applyFont="1" applyFill="1" applyBorder="1"/>
    <xf numFmtId="9" fontId="8" fillId="0" borderId="0" xfId="0" applyNumberFormat="1" applyFont="1" applyBorder="1"/>
    <xf numFmtId="166" fontId="8" fillId="12" borderId="0" xfId="1" applyNumberFormat="1" applyFont="1" applyFill="1" applyBorder="1"/>
    <xf numFmtId="166" fontId="8" fillId="0" borderId="0" xfId="1" applyNumberFormat="1" applyFont="1" applyBorder="1"/>
    <xf numFmtId="165" fontId="8" fillId="0" borderId="38" xfId="0" applyNumberFormat="1" applyFont="1" applyBorder="1"/>
    <xf numFmtId="0" fontId="8" fillId="0" borderId="0" xfId="0" applyFont="1" applyBorder="1"/>
    <xf numFmtId="166" fontId="8" fillId="0" borderId="0" xfId="1" applyNumberFormat="1" applyFont="1" applyFill="1" applyBorder="1"/>
    <xf numFmtId="166" fontId="8" fillId="0" borderId="55" xfId="1" applyNumberFormat="1" applyFont="1" applyBorder="1"/>
    <xf numFmtId="0" fontId="8" fillId="0" borderId="38" xfId="0" applyFont="1" applyBorder="1"/>
    <xf numFmtId="166" fontId="0" fillId="8" borderId="26" xfId="0" applyNumberFormat="1" applyFill="1" applyBorder="1"/>
    <xf numFmtId="0" fontId="3" fillId="18" borderId="0" xfId="0" applyFont="1" applyFill="1" applyBorder="1" applyAlignment="1">
      <alignment horizontal="center"/>
    </xf>
    <xf numFmtId="0" fontId="3" fillId="18" borderId="0" xfId="0" applyFont="1" applyFill="1" applyBorder="1"/>
    <xf numFmtId="0" fontId="4" fillId="0" borderId="1" xfId="0" applyFont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10" fillId="0" borderId="1" xfId="0" applyFont="1" applyBorder="1" applyAlignment="1">
      <alignment horizontal="center" vertical="top" wrapText="1"/>
    </xf>
    <xf numFmtId="1" fontId="0" fillId="0" borderId="1" xfId="0" applyNumberFormat="1" applyBorder="1"/>
    <xf numFmtId="165" fontId="0" fillId="0" borderId="1" xfId="0" applyNumberFormat="1" applyBorder="1"/>
    <xf numFmtId="0" fontId="10" fillId="19" borderId="1" xfId="0" applyFont="1" applyFill="1" applyBorder="1" applyAlignment="1">
      <alignment vertical="top"/>
    </xf>
    <xf numFmtId="165" fontId="0" fillId="19" borderId="1" xfId="0" applyNumberFormat="1" applyFill="1" applyBorder="1"/>
    <xf numFmtId="0" fontId="10" fillId="20" borderId="1" xfId="0" applyFont="1" applyFill="1" applyBorder="1" applyAlignment="1">
      <alignment vertical="top"/>
    </xf>
    <xf numFmtId="0" fontId="10" fillId="20" borderId="1" xfId="0" applyFont="1" applyFill="1" applyBorder="1" applyAlignment="1">
      <alignment vertical="top" wrapText="1"/>
    </xf>
    <xf numFmtId="0" fontId="0" fillId="20" borderId="1" xfId="0" applyFill="1" applyBorder="1"/>
    <xf numFmtId="0" fontId="10" fillId="21" borderId="1" xfId="0" applyFont="1" applyFill="1" applyBorder="1" applyAlignment="1">
      <alignment vertical="top"/>
    </xf>
    <xf numFmtId="1" fontId="0" fillId="21" borderId="1" xfId="0" applyNumberFormat="1" applyFill="1" applyBorder="1"/>
    <xf numFmtId="0" fontId="10" fillId="21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7" fillId="2" borderId="4" xfId="0" applyFont="1" applyFill="1" applyBorder="1" applyAlignment="1">
      <alignment horizontal="center"/>
    </xf>
    <xf numFmtId="172" fontId="0" fillId="0" borderId="0" xfId="0" applyNumberFormat="1"/>
    <xf numFmtId="0" fontId="25" fillId="16" borderId="0" xfId="0" applyFont="1" applyFill="1" applyBorder="1" applyAlignment="1">
      <alignment wrapText="1"/>
    </xf>
    <xf numFmtId="0" fontId="19" fillId="16" borderId="68" xfId="0" applyFont="1" applyFill="1" applyBorder="1" applyAlignment="1">
      <alignment horizontal="center" vertical="center" wrapText="1"/>
    </xf>
    <xf numFmtId="0" fontId="19" fillId="16" borderId="69" xfId="0" applyFont="1" applyFill="1" applyBorder="1" applyAlignment="1">
      <alignment horizontal="center" wrapText="1"/>
    </xf>
    <xf numFmtId="0" fontId="19" fillId="16" borderId="70" xfId="0" applyFont="1" applyFill="1" applyBorder="1" applyAlignment="1">
      <alignment horizontal="center" vertical="center" wrapText="1"/>
    </xf>
    <xf numFmtId="0" fontId="19" fillId="16" borderId="71" xfId="0" applyFont="1" applyFill="1" applyBorder="1" applyAlignment="1">
      <alignment horizontal="center" vertical="center" wrapText="1"/>
    </xf>
    <xf numFmtId="0" fontId="19" fillId="16" borderId="0" xfId="0" applyFont="1" applyFill="1" applyBorder="1" applyAlignment="1">
      <alignment horizontal="center" vertical="center" wrapText="1"/>
    </xf>
    <xf numFmtId="0" fontId="25" fillId="0" borderId="72" xfId="0" applyFont="1" applyBorder="1"/>
    <xf numFmtId="0" fontId="26" fillId="0" borderId="72" xfId="0" applyFont="1" applyBorder="1"/>
    <xf numFmtId="0" fontId="25" fillId="0" borderId="0" xfId="0" applyFont="1" applyBorder="1"/>
    <xf numFmtId="18" fontId="25" fillId="0" borderId="72" xfId="0" applyNumberFormat="1" applyFont="1" applyBorder="1"/>
    <xf numFmtId="0" fontId="0" fillId="0" borderId="73" xfId="0" applyBorder="1"/>
    <xf numFmtId="173" fontId="0" fillId="0" borderId="0" xfId="0" applyNumberFormat="1"/>
    <xf numFmtId="174" fontId="0" fillId="0" borderId="0" xfId="0" applyNumberFormat="1"/>
    <xf numFmtId="0" fontId="25" fillId="0" borderId="74" xfId="0" applyFont="1" applyBorder="1"/>
    <xf numFmtId="0" fontId="25" fillId="0" borderId="75" xfId="0" applyFont="1" applyBorder="1"/>
    <xf numFmtId="0" fontId="0" fillId="0" borderId="30" xfId="0" applyBorder="1"/>
    <xf numFmtId="0" fontId="0" fillId="0" borderId="38" xfId="0" applyBorder="1"/>
    <xf numFmtId="0" fontId="2" fillId="0" borderId="31" xfId="0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17" fontId="2" fillId="0" borderId="47" xfId="0" applyNumberFormat="1" applyFont="1" applyBorder="1" applyAlignment="1">
      <alignment horizontal="center" vertical="center" wrapText="1"/>
    </xf>
    <xf numFmtId="9" fontId="0" fillId="0" borderId="3" xfId="6" applyFont="1" applyBorder="1" applyAlignment="1">
      <alignment wrapText="1"/>
    </xf>
    <xf numFmtId="0" fontId="19" fillId="16" borderId="76" xfId="0" applyFont="1" applyFill="1" applyBorder="1" applyAlignment="1">
      <alignment horizontal="center" vertical="center" wrapText="1"/>
    </xf>
    <xf numFmtId="0" fontId="25" fillId="0" borderId="77" xfId="0" applyFont="1" applyBorder="1"/>
    <xf numFmtId="173" fontId="0" fillId="0" borderId="0" xfId="0" applyNumberFormat="1" applyBorder="1"/>
    <xf numFmtId="164" fontId="25" fillId="0" borderId="1" xfId="3" applyFont="1" applyBorder="1"/>
    <xf numFmtId="0" fontId="0" fillId="0" borderId="38" xfId="0" applyBorder="1" applyAlignment="1">
      <alignment horizontal="center" vertical="center" wrapText="1"/>
    </xf>
    <xf numFmtId="10" fontId="0" fillId="0" borderId="1" xfId="6" applyNumberFormat="1" applyFont="1" applyBorder="1" applyAlignment="1">
      <alignment horizontal="center" vertical="center" wrapText="1"/>
    </xf>
    <xf numFmtId="164" fontId="25" fillId="0" borderId="26" xfId="3" applyFont="1" applyBorder="1"/>
    <xf numFmtId="10" fontId="0" fillId="0" borderId="26" xfId="6" applyNumberFormat="1" applyFont="1" applyBorder="1" applyAlignment="1">
      <alignment horizontal="center" vertical="center" wrapText="1"/>
    </xf>
    <xf numFmtId="0" fontId="0" fillId="0" borderId="2" xfId="0" applyBorder="1"/>
    <xf numFmtId="0" fontId="0" fillId="0" borderId="31" xfId="0" applyBorder="1"/>
    <xf numFmtId="0" fontId="25" fillId="0" borderId="78" xfId="0" applyFont="1" applyBorder="1"/>
    <xf numFmtId="0" fontId="0" fillId="12" borderId="27" xfId="0" applyFill="1" applyBorder="1"/>
    <xf numFmtId="0" fontId="19" fillId="0" borderId="60" xfId="0" applyFont="1" applyBorder="1" applyAlignment="1">
      <alignment vertical="center"/>
    </xf>
    <xf numFmtId="0" fontId="19" fillId="12" borderId="20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/>
    </xf>
    <xf numFmtId="0" fontId="19" fillId="12" borderId="57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vertical="center"/>
    </xf>
    <xf numFmtId="0" fontId="19" fillId="0" borderId="1" xfId="0" applyFont="1" applyBorder="1" applyAlignment="1">
      <alignment vertical="center"/>
    </xf>
    <xf numFmtId="0" fontId="19" fillId="12" borderId="1" xfId="0" applyFont="1" applyFill="1" applyBorder="1" applyAlignment="1">
      <alignment horizontal="center" vertical="center" wrapText="1"/>
    </xf>
    <xf numFmtId="0" fontId="19" fillId="12" borderId="1" xfId="0" applyFont="1" applyFill="1" applyBorder="1" applyAlignment="1">
      <alignment horizontal="center" vertical="center"/>
    </xf>
    <xf numFmtId="0" fontId="19" fillId="12" borderId="1" xfId="0" applyFont="1" applyFill="1" applyBorder="1" applyAlignment="1">
      <alignment vertical="center"/>
    </xf>
    <xf numFmtId="0" fontId="19" fillId="0" borderId="1" xfId="0" applyFont="1" applyBorder="1" applyAlignment="1">
      <alignment horizontal="center" vertical="center" wrapText="1"/>
    </xf>
    <xf numFmtId="0" fontId="19" fillId="0" borderId="45" xfId="0" applyFont="1" applyBorder="1" applyAlignment="1">
      <alignment vertical="center"/>
    </xf>
    <xf numFmtId="0" fontId="19" fillId="12" borderId="18" xfId="0" applyFont="1" applyFill="1" applyBorder="1" applyAlignment="1">
      <alignment horizontal="center" vertical="center" wrapText="1"/>
    </xf>
    <xf numFmtId="0" fontId="19" fillId="12" borderId="12" xfId="0" applyFont="1" applyFill="1" applyBorder="1" applyAlignment="1">
      <alignment horizontal="center" vertical="center" wrapText="1"/>
    </xf>
    <xf numFmtId="0" fontId="19" fillId="12" borderId="28" xfId="0" applyFont="1" applyFill="1" applyBorder="1" applyAlignment="1">
      <alignment horizontal="center" vertical="center" wrapText="1"/>
    </xf>
    <xf numFmtId="0" fontId="19" fillId="0" borderId="46" xfId="0" applyFont="1" applyBorder="1" applyAlignment="1">
      <alignment horizontal="center" vertical="center" wrapText="1"/>
    </xf>
    <xf numFmtId="0" fontId="19" fillId="0" borderId="28" xfId="0" applyFont="1" applyBorder="1" applyAlignment="1">
      <alignment horizontal="center" vertical="center" wrapText="1"/>
    </xf>
    <xf numFmtId="166" fontId="0" fillId="12" borderId="58" xfId="0" applyNumberFormat="1" applyFill="1" applyBorder="1"/>
    <xf numFmtId="0" fontId="0" fillId="12" borderId="41" xfId="0" applyFill="1" applyBorder="1"/>
    <xf numFmtId="0" fontId="0" fillId="14" borderId="38" xfId="0" applyFill="1" applyBorder="1" applyAlignment="1">
      <alignment horizontal="center" vertical="center" wrapText="1"/>
    </xf>
    <xf numFmtId="169" fontId="17" fillId="0" borderId="1" xfId="0" applyNumberFormat="1" applyFont="1" applyFill="1" applyBorder="1" applyAlignment="1">
      <alignment horizontal="center"/>
    </xf>
    <xf numFmtId="9" fontId="19" fillId="12" borderId="1" xfId="0" applyNumberFormat="1" applyFont="1" applyFill="1" applyBorder="1" applyAlignment="1">
      <alignment horizontal="center" vertical="center" wrapText="1"/>
    </xf>
    <xf numFmtId="0" fontId="19" fillId="7" borderId="47" xfId="0" applyFont="1" applyFill="1" applyBorder="1" applyAlignment="1">
      <alignment horizontal="center" vertical="center" wrapText="1"/>
    </xf>
    <xf numFmtId="0" fontId="4" fillId="0" borderId="0" xfId="0" applyFont="1"/>
    <xf numFmtId="165" fontId="4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NumberFormat="1" applyFont="1" applyBorder="1" applyAlignment="1">
      <alignment horizontal="center"/>
    </xf>
    <xf numFmtId="0" fontId="4" fillId="0" borderId="24" xfId="0" applyNumberFormat="1" applyFont="1" applyBorder="1" applyAlignment="1">
      <alignment horizontal="center"/>
    </xf>
    <xf numFmtId="4" fontId="4" fillId="0" borderId="0" xfId="0" applyNumberFormat="1" applyFont="1" applyFill="1" applyBorder="1" applyAlignment="1">
      <alignment horizontal="center"/>
    </xf>
    <xf numFmtId="0" fontId="4" fillId="0" borderId="4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NumberFormat="1" applyFont="1" applyAlignment="1">
      <alignment horizontal="center"/>
    </xf>
    <xf numFmtId="0" fontId="10" fillId="0" borderId="14" xfId="0" applyNumberFormat="1" applyFont="1" applyBorder="1" applyAlignment="1">
      <alignment horizontal="center"/>
    </xf>
    <xf numFmtId="0" fontId="10" fillId="0" borderId="0" xfId="0" applyNumberFormat="1" applyFont="1" applyBorder="1" applyAlignment="1">
      <alignment horizontal="center"/>
    </xf>
    <xf numFmtId="0" fontId="11" fillId="3" borderId="5" xfId="0" applyNumberFormat="1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31" fillId="0" borderId="0" xfId="0" applyFont="1" applyBorder="1" applyAlignment="1">
      <alignment horizontal="center"/>
    </xf>
    <xf numFmtId="165" fontId="31" fillId="10" borderId="1" xfId="1" applyFont="1" applyFill="1" applyBorder="1" applyAlignment="1">
      <alignment horizontal="center"/>
    </xf>
    <xf numFmtId="165" fontId="31" fillId="10" borderId="0" xfId="1" applyFont="1" applyFill="1" applyBorder="1" applyAlignment="1">
      <alignment horizontal="center"/>
    </xf>
    <xf numFmtId="165" fontId="16" fillId="0" borderId="0" xfId="1" applyFont="1" applyBorder="1" applyAlignment="1">
      <alignment horizontal="center"/>
    </xf>
    <xf numFmtId="165" fontId="16" fillId="0" borderId="4" xfId="1" applyFont="1" applyBorder="1" applyAlignment="1">
      <alignment horizontal="center"/>
    </xf>
    <xf numFmtId="165" fontId="16" fillId="16" borderId="4" xfId="1" applyFont="1" applyFill="1" applyBorder="1" applyAlignment="1">
      <alignment horizontal="center"/>
    </xf>
    <xf numFmtId="0" fontId="16" fillId="11" borderId="0" xfId="1" applyNumberFormat="1" applyFont="1" applyFill="1" applyBorder="1" applyAlignment="1">
      <alignment horizontal="center"/>
    </xf>
    <xf numFmtId="0" fontId="16" fillId="0" borderId="0" xfId="0" applyNumberFormat="1" applyFont="1" applyBorder="1" applyAlignment="1">
      <alignment horizontal="center"/>
    </xf>
    <xf numFmtId="0" fontId="16" fillId="0" borderId="1" xfId="0" applyNumberFormat="1" applyFont="1" applyBorder="1" applyAlignment="1">
      <alignment horizontal="center"/>
    </xf>
    <xf numFmtId="0" fontId="16" fillId="0" borderId="14" xfId="0" applyNumberFormat="1" applyFont="1" applyBorder="1" applyAlignment="1">
      <alignment horizontal="center"/>
    </xf>
    <xf numFmtId="0" fontId="16" fillId="0" borderId="25" xfId="0" applyNumberFormat="1" applyFont="1" applyBorder="1" applyAlignment="1">
      <alignment horizontal="center"/>
    </xf>
    <xf numFmtId="0" fontId="4" fillId="0" borderId="26" xfId="0" applyNumberFormat="1" applyFont="1" applyBorder="1" applyAlignment="1">
      <alignment horizontal="center"/>
    </xf>
    <xf numFmtId="0" fontId="11" fillId="0" borderId="0" xfId="0" applyNumberFormat="1" applyFont="1" applyBorder="1" applyAlignment="1">
      <alignment horizontal="center"/>
    </xf>
    <xf numFmtId="0" fontId="32" fillId="9" borderId="0" xfId="0" applyNumberFormat="1" applyFont="1" applyFill="1" applyBorder="1" applyAlignment="1">
      <alignment horizontal="center"/>
    </xf>
    <xf numFmtId="0" fontId="11" fillId="3" borderId="24" xfId="0" applyNumberFormat="1" applyFont="1" applyFill="1" applyBorder="1" applyAlignment="1">
      <alignment horizontal="center"/>
    </xf>
    <xf numFmtId="167" fontId="16" fillId="0" borderId="1" xfId="0" applyNumberFormat="1" applyFont="1" applyBorder="1" applyAlignment="1">
      <alignment horizontal="center"/>
    </xf>
    <xf numFmtId="167" fontId="16" fillId="0" borderId="4" xfId="0" applyNumberFormat="1" applyFont="1" applyBorder="1" applyAlignment="1">
      <alignment horizontal="center"/>
    </xf>
    <xf numFmtId="165" fontId="16" fillId="10" borderId="1" xfId="1" applyFont="1" applyFill="1" applyBorder="1" applyAlignment="1">
      <alignment horizontal="center"/>
    </xf>
    <xf numFmtId="165" fontId="16" fillId="10" borderId="5" xfId="1" applyFont="1" applyFill="1" applyBorder="1" applyAlignment="1">
      <alignment horizontal="center"/>
    </xf>
    <xf numFmtId="165" fontId="16" fillId="0" borderId="5" xfId="1" applyFont="1" applyBorder="1" applyAlignment="1">
      <alignment horizontal="center"/>
    </xf>
    <xf numFmtId="165" fontId="16" fillId="0" borderId="1" xfId="1" applyFont="1" applyBorder="1" applyAlignment="1">
      <alignment horizontal="center"/>
    </xf>
    <xf numFmtId="165" fontId="16" fillId="0" borderId="22" xfId="1" applyFont="1" applyBorder="1" applyAlignment="1">
      <alignment horizontal="center"/>
    </xf>
    <xf numFmtId="165" fontId="16" fillId="16" borderId="1" xfId="1" applyFont="1" applyFill="1" applyBorder="1" applyAlignment="1">
      <alignment horizontal="center"/>
    </xf>
    <xf numFmtId="165" fontId="16" fillId="16" borderId="23" xfId="1" applyFont="1" applyFill="1" applyBorder="1" applyAlignment="1">
      <alignment horizontal="center"/>
    </xf>
    <xf numFmtId="0" fontId="16" fillId="0" borderId="1" xfId="1" applyNumberFormat="1" applyFont="1" applyFill="1" applyBorder="1" applyAlignment="1">
      <alignment horizontal="center"/>
    </xf>
    <xf numFmtId="0" fontId="16" fillId="0" borderId="1" xfId="1" applyNumberFormat="1" applyFont="1" applyBorder="1" applyAlignment="1">
      <alignment horizontal="center"/>
    </xf>
    <xf numFmtId="0" fontId="16" fillId="0" borderId="23" xfId="1" applyNumberFormat="1" applyFont="1" applyFill="1" applyBorder="1" applyAlignment="1">
      <alignment horizontal="center"/>
    </xf>
    <xf numFmtId="0" fontId="16" fillId="0" borderId="22" xfId="1" applyNumberFormat="1" applyFont="1" applyBorder="1" applyAlignment="1">
      <alignment horizontal="center"/>
    </xf>
    <xf numFmtId="0" fontId="16" fillId="0" borderId="5" xfId="1" applyNumberFormat="1" applyFont="1" applyBorder="1" applyAlignment="1">
      <alignment horizontal="center"/>
    </xf>
    <xf numFmtId="0" fontId="11" fillId="0" borderId="1" xfId="1" applyNumberFormat="1" applyFont="1" applyBorder="1" applyAlignment="1">
      <alignment horizontal="center"/>
    </xf>
    <xf numFmtId="0" fontId="11" fillId="0" borderId="5" xfId="1" applyNumberFormat="1" applyFont="1" applyBorder="1" applyAlignment="1">
      <alignment horizontal="center"/>
    </xf>
    <xf numFmtId="165" fontId="11" fillId="9" borderId="1" xfId="1" applyNumberFormat="1" applyFont="1" applyFill="1" applyBorder="1" applyAlignment="1">
      <alignment horizontal="center"/>
    </xf>
    <xf numFmtId="0" fontId="11" fillId="9" borderId="23" xfId="1" applyNumberFormat="1" applyFont="1" applyFill="1" applyBorder="1" applyAlignment="1">
      <alignment horizontal="center"/>
    </xf>
    <xf numFmtId="169" fontId="11" fillId="0" borderId="1" xfId="0" applyNumberFormat="1" applyFont="1" applyFill="1" applyBorder="1" applyAlignment="1">
      <alignment horizontal="center"/>
    </xf>
    <xf numFmtId="4" fontId="10" fillId="7" borderId="1" xfId="0" applyNumberFormat="1" applyFont="1" applyFill="1" applyBorder="1" applyAlignment="1">
      <alignment horizontal="center"/>
    </xf>
    <xf numFmtId="165" fontId="11" fillId="11" borderId="1" xfId="1" applyNumberFormat="1" applyFont="1" applyFill="1" applyBorder="1" applyAlignment="1">
      <alignment horizontal="center"/>
    </xf>
    <xf numFmtId="0" fontId="11" fillId="11" borderId="5" xfId="1" applyNumberFormat="1" applyFont="1" applyFill="1" applyBorder="1" applyAlignment="1">
      <alignment horizontal="center"/>
    </xf>
    <xf numFmtId="165" fontId="16" fillId="0" borderId="1" xfId="1" applyFont="1" applyFill="1" applyBorder="1" applyAlignment="1">
      <alignment horizontal="center"/>
    </xf>
    <xf numFmtId="0" fontId="11" fillId="0" borderId="1" xfId="1" applyNumberFormat="1" applyFont="1" applyFill="1" applyBorder="1" applyAlignment="1">
      <alignment horizontal="center"/>
    </xf>
    <xf numFmtId="1" fontId="11" fillId="17" borderId="1" xfId="1" applyNumberFormat="1" applyFont="1" applyFill="1" applyBorder="1" applyAlignment="1">
      <alignment horizontal="center"/>
    </xf>
    <xf numFmtId="0" fontId="4" fillId="0" borderId="0" xfId="0" applyFont="1" applyFill="1"/>
    <xf numFmtId="166" fontId="16" fillId="10" borderId="1" xfId="1" applyNumberFormat="1" applyFont="1" applyFill="1" applyBorder="1" applyAlignment="1">
      <alignment horizontal="center"/>
    </xf>
    <xf numFmtId="166" fontId="16" fillId="0" borderId="5" xfId="1" applyNumberFormat="1" applyFont="1" applyBorder="1" applyAlignment="1">
      <alignment horizontal="center"/>
    </xf>
    <xf numFmtId="166" fontId="16" fillId="0" borderId="22" xfId="1" applyNumberFormat="1" applyFont="1" applyBorder="1" applyAlignment="1">
      <alignment horizontal="center"/>
    </xf>
    <xf numFmtId="0" fontId="11" fillId="0" borderId="4" xfId="1" applyNumberFormat="1" applyFont="1" applyBorder="1" applyAlignment="1">
      <alignment horizontal="center"/>
    </xf>
    <xf numFmtId="0" fontId="11" fillId="0" borderId="22" xfId="1" applyNumberFormat="1" applyFont="1" applyFill="1" applyBorder="1" applyAlignment="1">
      <alignment horizontal="center"/>
    </xf>
    <xf numFmtId="0" fontId="11" fillId="0" borderId="22" xfId="1" applyNumberFormat="1" applyFont="1" applyBorder="1" applyAlignment="1">
      <alignment horizontal="center"/>
    </xf>
    <xf numFmtId="9" fontId="11" fillId="0" borderId="1" xfId="0" applyNumberFormat="1" applyFont="1" applyBorder="1" applyAlignment="1">
      <alignment horizontal="center"/>
    </xf>
    <xf numFmtId="0" fontId="35" fillId="5" borderId="66" xfId="0" applyFont="1" applyFill="1" applyBorder="1" applyAlignment="1">
      <alignment horizontal="center"/>
    </xf>
    <xf numFmtId="0" fontId="35" fillId="22" borderId="29" xfId="0" applyFont="1" applyFill="1" applyBorder="1" applyAlignment="1">
      <alignment horizontal="center"/>
    </xf>
    <xf numFmtId="0" fontId="11" fillId="11" borderId="1" xfId="1" applyNumberFormat="1" applyFont="1" applyFill="1" applyBorder="1" applyAlignment="1">
      <alignment horizontal="center"/>
    </xf>
    <xf numFmtId="0" fontId="11" fillId="2" borderId="1" xfId="1" applyNumberFormat="1" applyFont="1" applyFill="1" applyBorder="1" applyAlignment="1">
      <alignment horizontal="center"/>
    </xf>
    <xf numFmtId="0" fontId="10" fillId="8" borderId="5" xfId="0" applyFont="1" applyFill="1" applyBorder="1" applyAlignment="1">
      <alignment horizontal="center"/>
    </xf>
    <xf numFmtId="4" fontId="10" fillId="8" borderId="1" xfId="0" applyNumberFormat="1" applyFont="1" applyFill="1" applyBorder="1" applyAlignment="1">
      <alignment horizontal="center"/>
    </xf>
    <xf numFmtId="0" fontId="10" fillId="0" borderId="24" xfId="0" applyNumberFormat="1" applyFont="1" applyBorder="1" applyAlignment="1">
      <alignment horizontal="center"/>
    </xf>
    <xf numFmtId="0" fontId="4" fillId="8" borderId="0" xfId="0" applyFont="1" applyFill="1" applyAlignment="1">
      <alignment horizontal="center"/>
    </xf>
    <xf numFmtId="0" fontId="11" fillId="11" borderId="4" xfId="1" applyNumberFormat="1" applyFont="1" applyFill="1" applyBorder="1" applyAlignment="1">
      <alignment horizontal="center"/>
    </xf>
    <xf numFmtId="0" fontId="16" fillId="0" borderId="4" xfId="1" applyNumberFormat="1" applyFont="1" applyBorder="1" applyAlignment="1">
      <alignment horizontal="center"/>
    </xf>
    <xf numFmtId="0" fontId="16" fillId="0" borderId="4" xfId="1" applyNumberFormat="1" applyFont="1" applyFill="1" applyBorder="1" applyAlignment="1">
      <alignment horizontal="center"/>
    </xf>
    <xf numFmtId="0" fontId="4" fillId="0" borderId="28" xfId="0" applyNumberFormat="1" applyFont="1" applyFill="1" applyBorder="1" applyAlignment="1">
      <alignment horizontal="center"/>
    </xf>
    <xf numFmtId="0" fontId="16" fillId="0" borderId="11" xfId="1" applyNumberFormat="1" applyFont="1" applyFill="1" applyBorder="1" applyAlignment="1">
      <alignment horizontal="center"/>
    </xf>
    <xf numFmtId="0" fontId="10" fillId="8" borderId="30" xfId="0" applyNumberFormat="1" applyFont="1" applyFill="1" applyBorder="1" applyAlignment="1">
      <alignment horizontal="center"/>
    </xf>
    <xf numFmtId="0" fontId="10" fillId="8" borderId="34" xfId="0" applyNumberFormat="1" applyFont="1" applyFill="1" applyBorder="1" applyAlignment="1">
      <alignment horizontal="center"/>
    </xf>
    <xf numFmtId="0" fontId="10" fillId="8" borderId="0" xfId="0" applyFont="1" applyFill="1"/>
    <xf numFmtId="0" fontId="33" fillId="0" borderId="0" xfId="0" applyNumberFormat="1" applyFont="1" applyFill="1" applyBorder="1" applyAlignment="1">
      <alignment horizontal="center"/>
    </xf>
    <xf numFmtId="4" fontId="4" fillId="0" borderId="0" xfId="0" applyNumberFormat="1" applyFont="1" applyAlignment="1">
      <alignment horizontal="center"/>
    </xf>
    <xf numFmtId="9" fontId="4" fillId="0" borderId="0" xfId="6" applyFont="1" applyAlignment="1">
      <alignment horizontal="center"/>
    </xf>
    <xf numFmtId="165" fontId="4" fillId="0" borderId="0" xfId="1" applyFont="1" applyAlignment="1">
      <alignment horizontal="center"/>
    </xf>
    <xf numFmtId="0" fontId="0" fillId="0" borderId="1" xfId="0" applyBorder="1" applyAlignment="1">
      <alignment horizontal="center" wrapText="1"/>
    </xf>
    <xf numFmtId="14" fontId="0" fillId="0" borderId="67" xfId="0" applyNumberFormat="1" applyBorder="1" applyAlignment="1">
      <alignment horizontal="center"/>
    </xf>
    <xf numFmtId="0" fontId="0" fillId="0" borderId="55" xfId="0" applyBorder="1"/>
    <xf numFmtId="166" fontId="11" fillId="0" borderId="5" xfId="1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15" fontId="6" fillId="0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25" fillId="24" borderId="1" xfId="4" applyFont="1" applyFill="1" applyBorder="1" applyAlignment="1">
      <alignment horizontal="center"/>
    </xf>
    <xf numFmtId="0" fontId="25" fillId="0" borderId="1" xfId="4" applyFont="1" applyBorder="1" applyAlignment="1">
      <alignment horizontal="center"/>
    </xf>
    <xf numFmtId="0" fontId="21" fillId="8" borderId="1" xfId="0" applyFont="1" applyFill="1" applyBorder="1"/>
    <xf numFmtId="165" fontId="38" fillId="8" borderId="1" xfId="1" applyNumberFormat="1" applyFont="1" applyFill="1" applyBorder="1"/>
    <xf numFmtId="166" fontId="38" fillId="8" borderId="5" xfId="1" applyNumberFormat="1" applyFont="1" applyFill="1" applyBorder="1"/>
    <xf numFmtId="166" fontId="3" fillId="11" borderId="5" xfId="1" applyNumberFormat="1" applyFont="1" applyFill="1" applyBorder="1"/>
    <xf numFmtId="0" fontId="0" fillId="0" borderId="48" xfId="0" applyBorder="1"/>
    <xf numFmtId="0" fontId="0" fillId="7" borderId="5" xfId="0" applyFill="1" applyBorder="1"/>
    <xf numFmtId="0" fontId="0" fillId="13" borderId="22" xfId="0" applyFill="1" applyBorder="1"/>
    <xf numFmtId="0" fontId="19" fillId="7" borderId="15" xfId="4" applyFont="1" applyFill="1" applyBorder="1" applyAlignment="1">
      <alignment horizontal="center"/>
    </xf>
    <xf numFmtId="0" fontId="19" fillId="7" borderId="14" xfId="4" applyFont="1" applyFill="1" applyBorder="1" applyAlignment="1">
      <alignment horizontal="center"/>
    </xf>
    <xf numFmtId="0" fontId="19" fillId="7" borderId="87" xfId="4" applyFont="1" applyFill="1" applyBorder="1" applyAlignment="1">
      <alignment horizontal="center"/>
    </xf>
    <xf numFmtId="166" fontId="39" fillId="8" borderId="1" xfId="0" applyNumberFormat="1" applyFont="1" applyFill="1" applyBorder="1"/>
    <xf numFmtId="0" fontId="19" fillId="7" borderId="88" xfId="4" applyFont="1" applyFill="1" applyBorder="1" applyAlignment="1">
      <alignment horizontal="center"/>
    </xf>
    <xf numFmtId="0" fontId="19" fillId="7" borderId="89" xfId="4" applyFont="1" applyFill="1" applyBorder="1" applyAlignment="1">
      <alignment horizontal="center"/>
    </xf>
    <xf numFmtId="166" fontId="36" fillId="0" borderId="1" xfId="2" applyNumberFormat="1" applyFont="1" applyFill="1" applyBorder="1" applyAlignment="1">
      <alignment horizontal="center"/>
    </xf>
    <xf numFmtId="169" fontId="5" fillId="0" borderId="26" xfId="0" applyNumberFormat="1" applyFont="1" applyFill="1" applyBorder="1" applyAlignment="1">
      <alignment horizontal="center"/>
    </xf>
    <xf numFmtId="0" fontId="23" fillId="0" borderId="32" xfId="0" applyFont="1" applyFill="1" applyBorder="1" applyAlignment="1">
      <alignment horizontal="center" vertical="center"/>
    </xf>
    <xf numFmtId="0" fontId="0" fillId="0" borderId="55" xfId="0" applyBorder="1" applyAlignment="1">
      <alignment horizontal="center"/>
    </xf>
    <xf numFmtId="0" fontId="0" fillId="0" borderId="32" xfId="0" applyBorder="1" applyAlignment="1">
      <alignment horizontal="center" wrapText="1"/>
    </xf>
    <xf numFmtId="0" fontId="0" fillId="0" borderId="33" xfId="0" applyBorder="1" applyAlignment="1">
      <alignment horizontal="center" wrapText="1"/>
    </xf>
    <xf numFmtId="0" fontId="41" fillId="0" borderId="65" xfId="0" applyFont="1" applyBorder="1" applyAlignment="1">
      <alignment horizontal="center" wrapText="1"/>
    </xf>
    <xf numFmtId="14" fontId="0" fillId="0" borderId="56" xfId="0" applyNumberFormat="1" applyBorder="1" applyAlignment="1">
      <alignment horizontal="center"/>
    </xf>
    <xf numFmtId="14" fontId="0" fillId="0" borderId="90" xfId="0" applyNumberFormat="1" applyBorder="1" applyAlignment="1">
      <alignment horizontal="center"/>
    </xf>
    <xf numFmtId="0" fontId="0" fillId="28" borderId="8" xfId="0" applyFill="1" applyBorder="1" applyAlignment="1">
      <alignment horizontal="center" wrapText="1"/>
    </xf>
    <xf numFmtId="165" fontId="0" fillId="29" borderId="26" xfId="0" applyNumberFormat="1" applyFill="1" applyBorder="1"/>
    <xf numFmtId="0" fontId="4" fillId="0" borderId="1" xfId="0" applyFont="1" applyBorder="1" applyAlignment="1"/>
    <xf numFmtId="0" fontId="6" fillId="29" borderId="1" xfId="0" applyFont="1" applyFill="1" applyBorder="1" applyAlignment="1">
      <alignment horizontal="center"/>
    </xf>
    <xf numFmtId="0" fontId="6" fillId="29" borderId="22" xfId="0" applyFont="1" applyFill="1" applyBorder="1"/>
    <xf numFmtId="1" fontId="6" fillId="29" borderId="1" xfId="1" applyNumberFormat="1" applyFont="1" applyFill="1" applyBorder="1"/>
    <xf numFmtId="0" fontId="42" fillId="0" borderId="1" xfId="0" applyFont="1" applyBorder="1" applyAlignment="1"/>
    <xf numFmtId="1" fontId="37" fillId="0" borderId="1" xfId="0" applyNumberFormat="1" applyFont="1" applyBorder="1"/>
    <xf numFmtId="0" fontId="4" fillId="0" borderId="8" xfId="0" applyFont="1" applyBorder="1" applyAlignment="1"/>
    <xf numFmtId="0" fontId="42" fillId="0" borderId="8" xfId="0" applyFont="1" applyBorder="1" applyAlignment="1"/>
    <xf numFmtId="0" fontId="0" fillId="14" borderId="2" xfId="0" applyFill="1" applyBorder="1" applyAlignment="1">
      <alignment horizontal="center" vertical="center" wrapText="1"/>
    </xf>
    <xf numFmtId="14" fontId="4" fillId="0" borderId="1" xfId="0" applyNumberFormat="1" applyFont="1" applyBorder="1" applyAlignment="1">
      <alignment vertical="top"/>
    </xf>
    <xf numFmtId="0" fontId="0" fillId="9" borderId="1" xfId="0" applyFill="1" applyBorder="1"/>
    <xf numFmtId="0" fontId="0" fillId="16" borderId="1" xfId="0" applyFill="1" applyBorder="1" applyAlignment="1">
      <alignment horizontal="center"/>
    </xf>
    <xf numFmtId="165" fontId="15" fillId="11" borderId="22" xfId="1" applyNumberFormat="1" applyFont="1" applyFill="1" applyBorder="1" applyAlignment="1">
      <alignment horizontal="center"/>
    </xf>
    <xf numFmtId="0" fontId="11" fillId="3" borderId="22" xfId="0" applyNumberFormat="1" applyFont="1" applyFill="1" applyBorder="1" applyAlignment="1">
      <alignment horizontal="center" wrapText="1"/>
    </xf>
    <xf numFmtId="0" fontId="4" fillId="0" borderId="1" xfId="0" applyFont="1" applyFill="1" applyBorder="1"/>
    <xf numFmtId="0" fontId="41" fillId="0" borderId="93" xfId="0" applyFont="1" applyBorder="1" applyAlignment="1">
      <alignment horizontal="center" wrapText="1"/>
    </xf>
    <xf numFmtId="0" fontId="0" fillId="9" borderId="0" xfId="0" applyFill="1" applyBorder="1"/>
    <xf numFmtId="0" fontId="9" fillId="9" borderId="0" xfId="0" applyFont="1" applyFill="1" applyBorder="1"/>
    <xf numFmtId="0" fontId="2" fillId="10" borderId="1" xfId="0" applyFont="1" applyFill="1" applyBorder="1" applyAlignment="1">
      <alignment horizontal="center" vertical="center"/>
    </xf>
    <xf numFmtId="0" fontId="0" fillId="33" borderId="1" xfId="0" applyFill="1" applyBorder="1"/>
    <xf numFmtId="0" fontId="0" fillId="34" borderId="1" xfId="0" applyFill="1" applyBorder="1"/>
    <xf numFmtId="0" fontId="0" fillId="0" borderId="35" xfId="0" applyBorder="1"/>
    <xf numFmtId="14" fontId="0" fillId="16" borderId="0" xfId="0" applyNumberFormat="1" applyFill="1" applyBorder="1"/>
    <xf numFmtId="166" fontId="0" fillId="16" borderId="0" xfId="1" applyNumberFormat="1" applyFont="1" applyFill="1" applyBorder="1"/>
    <xf numFmtId="9" fontId="0" fillId="16" borderId="0" xfId="0" applyNumberFormat="1" applyFill="1" applyBorder="1"/>
    <xf numFmtId="165" fontId="0" fillId="16" borderId="0" xfId="0" applyNumberFormat="1" applyFill="1" applyBorder="1"/>
    <xf numFmtId="0" fontId="0" fillId="16" borderId="0" xfId="0" applyFill="1" applyBorder="1"/>
    <xf numFmtId="165" fontId="34" fillId="7" borderId="1" xfId="0" applyNumberFormat="1" applyFont="1" applyFill="1" applyBorder="1" applyAlignment="1">
      <alignment horizontal="center"/>
    </xf>
    <xf numFmtId="0" fontId="19" fillId="12" borderId="2" xfId="0" applyFont="1" applyFill="1" applyBorder="1" applyAlignment="1">
      <alignment horizontal="center" vertical="center" wrapText="1"/>
    </xf>
    <xf numFmtId="0" fontId="19" fillId="12" borderId="38" xfId="0" applyFont="1" applyFill="1" applyBorder="1" applyAlignment="1">
      <alignment vertical="center" wrapText="1"/>
    </xf>
    <xf numFmtId="0" fontId="19" fillId="12" borderId="38" xfId="0" applyFont="1" applyFill="1" applyBorder="1" applyAlignment="1">
      <alignment horizontal="center" vertical="center" wrapText="1"/>
    </xf>
    <xf numFmtId="0" fontId="19" fillId="12" borderId="31" xfId="0" applyFont="1" applyFill="1" applyBorder="1" applyAlignment="1">
      <alignment horizontal="center"/>
    </xf>
    <xf numFmtId="0" fontId="19" fillId="12" borderId="62" xfId="0" applyFont="1" applyFill="1" applyBorder="1" applyAlignment="1">
      <alignment horizontal="center" vertical="center" wrapText="1"/>
    </xf>
    <xf numFmtId="0" fontId="19" fillId="12" borderId="63" xfId="0" applyFont="1" applyFill="1" applyBorder="1" applyAlignment="1">
      <alignment horizontal="center" vertical="center" wrapText="1"/>
    </xf>
    <xf numFmtId="0" fontId="19" fillId="12" borderId="64" xfId="0" applyFont="1" applyFill="1" applyBorder="1" applyAlignment="1">
      <alignment horizontal="center" vertical="center" wrapText="1"/>
    </xf>
    <xf numFmtId="0" fontId="19" fillId="12" borderId="61" xfId="0" applyFont="1" applyFill="1" applyBorder="1" applyAlignment="1">
      <alignment horizontal="center" vertical="center" wrapText="1"/>
    </xf>
    <xf numFmtId="0" fontId="19" fillId="7" borderId="99" xfId="4" applyFont="1" applyFill="1" applyBorder="1" applyAlignment="1">
      <alignment horizontal="center"/>
    </xf>
    <xf numFmtId="0" fontId="19" fillId="7" borderId="26" xfId="4" applyFont="1" applyFill="1" applyBorder="1" applyAlignment="1">
      <alignment horizontal="center"/>
    </xf>
    <xf numFmtId="0" fontId="0" fillId="13" borderId="25" xfId="0" applyFill="1" applyBorder="1"/>
    <xf numFmtId="169" fontId="3" fillId="7" borderId="40" xfId="0" applyNumberFormat="1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right" vertical="center"/>
    </xf>
    <xf numFmtId="165" fontId="0" fillId="11" borderId="1" xfId="0" applyNumberFormat="1" applyFill="1" applyBorder="1"/>
    <xf numFmtId="9" fontId="0" fillId="20" borderId="1" xfId="0" applyNumberFormat="1" applyFill="1" applyBorder="1"/>
    <xf numFmtId="165" fontId="16" fillId="16" borderId="12" xfId="1" applyFont="1" applyFill="1" applyBorder="1" applyAlignment="1">
      <alignment horizontal="center"/>
    </xf>
    <xf numFmtId="165" fontId="16" fillId="16" borderId="22" xfId="1" applyFont="1" applyFill="1" applyBorder="1" applyAlignment="1">
      <alignment horizontal="center"/>
    </xf>
    <xf numFmtId="165" fontId="16" fillId="0" borderId="59" xfId="1" applyFont="1" applyBorder="1" applyAlignment="1">
      <alignment horizontal="center"/>
    </xf>
    <xf numFmtId="165" fontId="16" fillId="0" borderId="100" xfId="1" applyFont="1" applyBorder="1" applyAlignment="1">
      <alignment horizontal="center"/>
    </xf>
    <xf numFmtId="165" fontId="16" fillId="16" borderId="1" xfId="1" applyNumberFormat="1" applyFont="1" applyFill="1" applyBorder="1" applyAlignment="1">
      <alignment horizontal="center"/>
    </xf>
    <xf numFmtId="0" fontId="4" fillId="0" borderId="52" xfId="0" applyFont="1" applyBorder="1" applyAlignment="1"/>
    <xf numFmtId="9" fontId="20" fillId="0" borderId="1" xfId="6" applyFont="1" applyBorder="1" applyAlignment="1">
      <alignment horizontal="center" vertical="top" wrapText="1"/>
    </xf>
    <xf numFmtId="0" fontId="0" fillId="11" borderId="38" xfId="0" applyFill="1" applyBorder="1" applyAlignment="1">
      <alignment horizontal="center"/>
    </xf>
    <xf numFmtId="0" fontId="0" fillId="16" borderId="1" xfId="0" applyFill="1" applyBorder="1" applyAlignment="1">
      <alignment horizontal="center" wrapText="1"/>
    </xf>
    <xf numFmtId="14" fontId="0" fillId="0" borderId="16" xfId="0" applyNumberFormat="1" applyBorder="1" applyAlignment="1">
      <alignment horizontal="center"/>
    </xf>
    <xf numFmtId="0" fontId="0" fillId="28" borderId="10" xfId="0" applyFill="1" applyBorder="1" applyAlignment="1">
      <alignment horizontal="center" wrapText="1"/>
    </xf>
    <xf numFmtId="14" fontId="4" fillId="0" borderId="1" xfId="0" applyNumberFormat="1" applyFont="1" applyBorder="1" applyAlignment="1">
      <alignment horizontal="center"/>
    </xf>
    <xf numFmtId="0" fontId="8" fillId="0" borderId="0" xfId="0" applyFont="1" applyBorder="1" applyAlignment="1">
      <alignment horizontal="center" vertical="center"/>
    </xf>
    <xf numFmtId="0" fontId="0" fillId="36" borderId="26" xfId="0" applyFill="1" applyBorder="1"/>
    <xf numFmtId="0" fontId="0" fillId="0" borderId="26" xfId="0" applyFill="1" applyBorder="1"/>
    <xf numFmtId="0" fontId="0" fillId="36" borderId="1" xfId="0" applyFill="1" applyBorder="1"/>
    <xf numFmtId="0" fontId="0" fillId="13" borderId="26" xfId="0" applyFill="1" applyBorder="1"/>
    <xf numFmtId="165" fontId="10" fillId="8" borderId="38" xfId="0" applyNumberFormat="1" applyFont="1" applyFill="1" applyBorder="1" applyAlignment="1">
      <alignment horizontal="center"/>
    </xf>
    <xf numFmtId="4" fontId="4" fillId="8" borderId="4" xfId="0" applyNumberFormat="1" applyFont="1" applyFill="1" applyBorder="1" applyAlignment="1">
      <alignment horizontal="center"/>
    </xf>
    <xf numFmtId="165" fontId="16" fillId="10" borderId="4" xfId="1" applyFont="1" applyFill="1" applyBorder="1" applyAlignment="1">
      <alignment horizontal="center"/>
    </xf>
    <xf numFmtId="0" fontId="10" fillId="0" borderId="28" xfId="0" applyNumberFormat="1" applyFont="1" applyBorder="1" applyAlignment="1">
      <alignment horizontal="center"/>
    </xf>
    <xf numFmtId="1" fontId="11" fillId="9" borderId="4" xfId="1" applyNumberFormat="1" applyFont="1" applyFill="1" applyBorder="1" applyAlignment="1">
      <alignment horizontal="center"/>
    </xf>
    <xf numFmtId="1" fontId="11" fillId="17" borderId="4" xfId="1" applyNumberFormat="1" applyFont="1" applyFill="1" applyBorder="1" applyAlignment="1">
      <alignment horizontal="center"/>
    </xf>
    <xf numFmtId="0" fontId="34" fillId="7" borderId="4" xfId="0" applyNumberFormat="1" applyFont="1" applyFill="1" applyBorder="1" applyAlignment="1">
      <alignment horizontal="center"/>
    </xf>
    <xf numFmtId="0" fontId="4" fillId="8" borderId="55" xfId="0" applyFont="1" applyFill="1" applyBorder="1" applyAlignment="1">
      <alignment horizontal="center"/>
    </xf>
    <xf numFmtId="0" fontId="4" fillId="8" borderId="93" xfId="0" applyFont="1" applyFill="1" applyBorder="1" applyAlignment="1">
      <alignment horizontal="center"/>
    </xf>
    <xf numFmtId="0" fontId="10" fillId="8" borderId="33" xfId="0" applyFont="1" applyFill="1" applyBorder="1" applyAlignment="1">
      <alignment horizontal="center"/>
    </xf>
    <xf numFmtId="165" fontId="10" fillId="8" borderId="30" xfId="0" applyNumberFormat="1" applyFont="1" applyFill="1" applyBorder="1" applyAlignment="1">
      <alignment horizontal="center"/>
    </xf>
    <xf numFmtId="165" fontId="10" fillId="8" borderId="33" xfId="0" applyNumberFormat="1" applyFont="1" applyFill="1" applyBorder="1" applyAlignment="1">
      <alignment horizontal="center"/>
    </xf>
    <xf numFmtId="165" fontId="10" fillId="8" borderId="65" xfId="0" applyNumberFormat="1" applyFont="1" applyFill="1" applyBorder="1" applyAlignment="1">
      <alignment horizontal="center"/>
    </xf>
    <xf numFmtId="0" fontId="11" fillId="8" borderId="33" xfId="1" applyNumberFormat="1" applyFont="1" applyFill="1" applyBorder="1" applyAlignment="1">
      <alignment horizontal="center"/>
    </xf>
    <xf numFmtId="1" fontId="11" fillId="8" borderId="33" xfId="1" applyNumberFormat="1" applyFont="1" applyFill="1" applyBorder="1" applyAlignment="1">
      <alignment horizontal="center"/>
    </xf>
    <xf numFmtId="1" fontId="34" fillId="8" borderId="33" xfId="0" applyNumberFormat="1" applyFont="1" applyFill="1" applyBorder="1" applyAlignment="1">
      <alignment horizontal="center"/>
    </xf>
    <xf numFmtId="0" fontId="10" fillId="8" borderId="31" xfId="0" applyFont="1" applyFill="1" applyBorder="1"/>
    <xf numFmtId="0" fontId="0" fillId="34" borderId="5" xfId="0" applyFill="1" applyBorder="1"/>
    <xf numFmtId="0" fontId="0" fillId="38" borderId="1" xfId="0" applyFill="1" applyBorder="1"/>
    <xf numFmtId="0" fontId="0" fillId="37" borderId="16" xfId="0" applyFill="1" applyBorder="1" applyAlignment="1">
      <alignment horizontal="center" wrapText="1"/>
    </xf>
    <xf numFmtId="0" fontId="0" fillId="34" borderId="23" xfId="0" applyFill="1" applyBorder="1"/>
    <xf numFmtId="0" fontId="0" fillId="37" borderId="18" xfId="0" applyFill="1" applyBorder="1" applyAlignment="1">
      <alignment horizontal="center" wrapText="1"/>
    </xf>
    <xf numFmtId="0" fontId="25" fillId="24" borderId="1" xfId="4" applyNumberFormat="1" applyFont="1" applyFill="1" applyBorder="1" applyAlignment="1">
      <alignment horizontal="center"/>
    </xf>
    <xf numFmtId="165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left"/>
    </xf>
    <xf numFmtId="0" fontId="0" fillId="0" borderId="22" xfId="1" applyNumberFormat="1" applyFont="1" applyBorder="1"/>
    <xf numFmtId="0" fontId="0" fillId="11" borderId="16" xfId="0" applyFill="1" applyBorder="1" applyAlignment="1">
      <alignment horizontal="center"/>
    </xf>
    <xf numFmtId="0" fontId="0" fillId="11" borderId="1" xfId="0" applyFill="1" applyBorder="1" applyAlignment="1">
      <alignment horizontal="center" wrapText="1"/>
    </xf>
    <xf numFmtId="0" fontId="0" fillId="11" borderId="8" xfId="0" applyFill="1" applyBorder="1" applyAlignment="1">
      <alignment horizontal="center" wrapText="1"/>
    </xf>
    <xf numFmtId="0" fontId="0" fillId="34" borderId="1" xfId="0" applyFill="1" applyBorder="1" applyAlignment="1">
      <alignment horizontal="center" wrapText="1"/>
    </xf>
    <xf numFmtId="0" fontId="0" fillId="10" borderId="1" xfId="0" applyFill="1" applyBorder="1" applyAlignment="1">
      <alignment horizontal="center" wrapText="1"/>
    </xf>
    <xf numFmtId="0" fontId="0" fillId="35" borderId="1" xfId="0" applyFill="1" applyBorder="1" applyAlignment="1">
      <alignment horizontal="center" wrapText="1"/>
    </xf>
    <xf numFmtId="0" fontId="10" fillId="11" borderId="45" xfId="0" applyFont="1" applyFill="1" applyBorder="1" applyAlignment="1">
      <alignment horizontal="center"/>
    </xf>
    <xf numFmtId="0" fontId="4" fillId="0" borderId="38" xfId="0" applyFont="1" applyBorder="1" applyAlignment="1">
      <alignment horizontal="center"/>
    </xf>
    <xf numFmtId="1" fontId="0" fillId="32" borderId="1" xfId="0" applyNumberFormat="1" applyFill="1" applyBorder="1"/>
    <xf numFmtId="0" fontId="2" fillId="0" borderId="17" xfId="0" applyFont="1" applyBorder="1" applyAlignment="1">
      <alignment horizontal="center" vertical="top" wrapText="1"/>
    </xf>
    <xf numFmtId="0" fontId="2" fillId="10" borderId="6" xfId="0" applyFont="1" applyFill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0" fillId="10" borderId="6" xfId="0" applyFill="1" applyBorder="1" applyAlignment="1">
      <alignment horizontal="center" vertical="top" wrapText="1"/>
    </xf>
    <xf numFmtId="0" fontId="0" fillId="10" borderId="7" xfId="0" applyFill="1" applyBorder="1" applyAlignment="1">
      <alignment horizontal="center"/>
    </xf>
    <xf numFmtId="1" fontId="0" fillId="33" borderId="8" xfId="0" applyNumberFormat="1" applyFill="1" applyBorder="1"/>
    <xf numFmtId="1" fontId="0" fillId="33" borderId="10" xfId="0" applyNumberFormat="1" applyFill="1" applyBorder="1"/>
    <xf numFmtId="0" fontId="23" fillId="0" borderId="26" xfId="0" applyFont="1" applyFill="1" applyBorder="1" applyAlignment="1">
      <alignment horizontal="center" vertical="center"/>
    </xf>
    <xf numFmtId="0" fontId="23" fillId="0" borderId="26" xfId="0" applyFont="1" applyFill="1" applyBorder="1" applyAlignment="1">
      <alignment horizontal="center" vertical="center" wrapText="1"/>
    </xf>
    <xf numFmtId="9" fontId="23" fillId="0" borderId="26" xfId="0" applyNumberFormat="1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 wrapText="1"/>
    </xf>
    <xf numFmtId="0" fontId="23" fillId="0" borderId="65" xfId="0" applyFont="1" applyFill="1" applyBorder="1" applyAlignment="1">
      <alignment horizontal="center" vertical="center" wrapText="1"/>
    </xf>
    <xf numFmtId="0" fontId="23" fillId="0" borderId="32" xfId="0" applyFont="1" applyFill="1" applyBorder="1" applyAlignment="1">
      <alignment horizontal="center" vertical="center" wrapText="1"/>
    </xf>
    <xf numFmtId="0" fontId="23" fillId="0" borderId="30" xfId="0" applyFont="1" applyFill="1" applyBorder="1" applyAlignment="1">
      <alignment horizontal="center" vertical="center" wrapText="1"/>
    </xf>
    <xf numFmtId="0" fontId="23" fillId="0" borderId="65" xfId="0" applyFont="1" applyFill="1" applyBorder="1" applyAlignment="1">
      <alignment horizontal="center" vertical="center"/>
    </xf>
    <xf numFmtId="0" fontId="23" fillId="0" borderId="38" xfId="0" applyFont="1" applyFill="1" applyBorder="1" applyAlignment="1">
      <alignment horizontal="center" vertical="center" wrapText="1"/>
    </xf>
    <xf numFmtId="0" fontId="0" fillId="14" borderId="5" xfId="0" applyFill="1" applyBorder="1" applyAlignment="1">
      <alignment horizontal="center" vertical="center" wrapText="1"/>
    </xf>
    <xf numFmtId="0" fontId="19" fillId="16" borderId="20" xfId="0" applyFont="1" applyFill="1" applyBorder="1" applyAlignment="1">
      <alignment horizontal="center" vertical="center" wrapText="1"/>
    </xf>
    <xf numFmtId="0" fontId="19" fillId="16" borderId="4" xfId="0" applyFont="1" applyFill="1" applyBorder="1" applyAlignment="1">
      <alignment horizontal="center" vertical="center" wrapText="1"/>
    </xf>
    <xf numFmtId="169" fontId="17" fillId="0" borderId="26" xfId="0" applyNumberFormat="1" applyFont="1" applyFill="1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0" fillId="37" borderId="17" xfId="0" applyFill="1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28" borderId="7" xfId="0" applyFill="1" applyBorder="1" applyAlignment="1">
      <alignment horizontal="center" wrapText="1"/>
    </xf>
    <xf numFmtId="0" fontId="0" fillId="0" borderId="22" xfId="0" applyBorder="1" applyAlignment="1">
      <alignment horizontal="center"/>
    </xf>
    <xf numFmtId="0" fontId="2" fillId="16" borderId="22" xfId="1" applyNumberFormat="1" applyFont="1" applyFill="1" applyBorder="1" applyAlignment="1">
      <alignment horizontal="center"/>
    </xf>
    <xf numFmtId="0" fontId="0" fillId="0" borderId="22" xfId="0" applyFill="1" applyBorder="1" applyAlignment="1">
      <alignment horizontal="center"/>
    </xf>
    <xf numFmtId="0" fontId="0" fillId="16" borderId="22" xfId="0" applyFill="1" applyBorder="1" applyAlignment="1">
      <alignment horizontal="center"/>
    </xf>
    <xf numFmtId="0" fontId="0" fillId="16" borderId="22" xfId="0" applyFill="1" applyBorder="1" applyAlignment="1">
      <alignment horizontal="center" wrapText="1"/>
    </xf>
    <xf numFmtId="0" fontId="0" fillId="28" borderId="19" xfId="0" applyFill="1" applyBorder="1" applyAlignment="1">
      <alignment horizontal="center" wrapText="1"/>
    </xf>
    <xf numFmtId="0" fontId="0" fillId="37" borderId="21" xfId="0" applyFill="1" applyBorder="1" applyAlignment="1">
      <alignment horizontal="center" wrapText="1"/>
    </xf>
    <xf numFmtId="14" fontId="4" fillId="0" borderId="16" xfId="0" applyNumberFormat="1" applyFont="1" applyBorder="1" applyAlignment="1">
      <alignment horizontal="center"/>
    </xf>
    <xf numFmtId="14" fontId="4" fillId="0" borderId="8" xfId="0" applyNumberFormat="1" applyFont="1" applyBorder="1" applyAlignment="1">
      <alignment horizontal="center"/>
    </xf>
    <xf numFmtId="14" fontId="4" fillId="0" borderId="21" xfId="0" applyNumberFormat="1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165" fontId="4" fillId="0" borderId="9" xfId="1" applyFont="1" applyBorder="1" applyAlignment="1">
      <alignment horizontal="center"/>
    </xf>
    <xf numFmtId="14" fontId="4" fillId="0" borderId="10" xfId="0" applyNumberFormat="1" applyFont="1" applyBorder="1" applyAlignment="1">
      <alignment horizontal="center"/>
    </xf>
    <xf numFmtId="0" fontId="4" fillId="0" borderId="80" xfId="0" applyFont="1" applyBorder="1" applyAlignment="1"/>
    <xf numFmtId="0" fontId="4" fillId="7" borderId="93" xfId="0" applyFont="1" applyFill="1" applyBorder="1" applyAlignment="1">
      <alignment horizontal="center" wrapText="1"/>
    </xf>
    <xf numFmtId="0" fontId="4" fillId="7" borderId="65" xfId="0" applyFont="1" applyFill="1" applyBorder="1" applyAlignment="1">
      <alignment horizontal="center"/>
    </xf>
    <xf numFmtId="0" fontId="4" fillId="0" borderId="49" xfId="0" applyFont="1" applyBorder="1" applyAlignment="1"/>
    <xf numFmtId="0" fontId="4" fillId="7" borderId="65" xfId="0" applyFont="1" applyFill="1" applyBorder="1" applyAlignment="1">
      <alignment horizontal="center" wrapText="1"/>
    </xf>
    <xf numFmtId="0" fontId="4" fillId="0" borderId="53" xfId="0" applyFont="1" applyBorder="1" applyAlignment="1">
      <alignment horizontal="center"/>
    </xf>
    <xf numFmtId="0" fontId="4" fillId="34" borderId="62" xfId="0" applyNumberFormat="1" applyFont="1" applyFill="1" applyBorder="1" applyAlignment="1">
      <alignment horizontal="center"/>
    </xf>
    <xf numFmtId="0" fontId="4" fillId="34" borderId="64" xfId="0" applyNumberFormat="1" applyFont="1" applyFill="1" applyBorder="1" applyAlignment="1">
      <alignment horizontal="center"/>
    </xf>
    <xf numFmtId="0" fontId="4" fillId="34" borderId="63" xfId="0" applyNumberFormat="1" applyFont="1" applyFill="1" applyBorder="1" applyAlignment="1">
      <alignment horizontal="center"/>
    </xf>
    <xf numFmtId="14" fontId="4" fillId="0" borderId="17" xfId="0" applyNumberFormat="1" applyFont="1" applyBorder="1" applyAlignment="1">
      <alignment horizontal="center"/>
    </xf>
    <xf numFmtId="0" fontId="10" fillId="0" borderId="55" xfId="0" applyNumberFormat="1" applyFont="1" applyBorder="1" applyAlignment="1">
      <alignment horizontal="center"/>
    </xf>
    <xf numFmtId="0" fontId="10" fillId="0" borderId="30" xfId="0" applyNumberFormat="1" applyFont="1" applyBorder="1" applyAlignment="1">
      <alignment horizontal="center"/>
    </xf>
    <xf numFmtId="0" fontId="10" fillId="0" borderId="31" xfId="0" applyNumberFormat="1" applyFont="1" applyBorder="1" applyAlignment="1">
      <alignment horizontal="center"/>
    </xf>
    <xf numFmtId="0" fontId="10" fillId="3" borderId="32" xfId="0" applyNumberFormat="1" applyFont="1" applyFill="1" applyBorder="1" applyAlignment="1">
      <alignment horizontal="center"/>
    </xf>
    <xf numFmtId="0" fontId="10" fillId="3" borderId="33" xfId="0" applyNumberFormat="1" applyFont="1" applyFill="1" applyBorder="1" applyAlignment="1">
      <alignment horizontal="center"/>
    </xf>
    <xf numFmtId="0" fontId="10" fillId="3" borderId="34" xfId="0" applyNumberFormat="1" applyFont="1" applyFill="1" applyBorder="1" applyAlignment="1">
      <alignment horizontal="center"/>
    </xf>
    <xf numFmtId="0" fontId="11" fillId="3" borderId="33" xfId="0" applyNumberFormat="1" applyFont="1" applyFill="1" applyBorder="1" applyAlignment="1">
      <alignment horizontal="center"/>
    </xf>
    <xf numFmtId="0" fontId="10" fillId="3" borderId="30" xfId="0" applyNumberFormat="1" applyFont="1" applyFill="1" applyBorder="1" applyAlignment="1">
      <alignment horizontal="center"/>
    </xf>
    <xf numFmtId="0" fontId="10" fillId="3" borderId="65" xfId="0" applyNumberFormat="1" applyFont="1" applyFill="1" applyBorder="1" applyAlignment="1">
      <alignment horizontal="center"/>
    </xf>
    <xf numFmtId="0" fontId="16" fillId="0" borderId="26" xfId="1" applyNumberFormat="1" applyFont="1" applyBorder="1" applyAlignment="1">
      <alignment horizontal="center"/>
    </xf>
    <xf numFmtId="0" fontId="16" fillId="0" borderId="26" xfId="0" applyNumberFormat="1" applyFont="1" applyBorder="1" applyAlignment="1">
      <alignment horizontal="center"/>
    </xf>
    <xf numFmtId="0" fontId="30" fillId="3" borderId="32" xfId="1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/>
    </xf>
    <xf numFmtId="0" fontId="30" fillId="3" borderId="34" xfId="0" applyNumberFormat="1" applyFont="1" applyFill="1" applyBorder="1" applyAlignment="1">
      <alignment horizontal="center" wrapText="1"/>
    </xf>
    <xf numFmtId="0" fontId="11" fillId="3" borderId="30" xfId="0" applyNumberFormat="1" applyFont="1" applyFill="1" applyBorder="1" applyAlignment="1">
      <alignment horizontal="center" wrapText="1"/>
    </xf>
    <xf numFmtId="0" fontId="11" fillId="3" borderId="33" xfId="0" applyNumberFormat="1" applyFont="1" applyFill="1" applyBorder="1" applyAlignment="1">
      <alignment horizontal="center" wrapText="1"/>
    </xf>
    <xf numFmtId="0" fontId="11" fillId="3" borderId="65" xfId="0" applyNumberFormat="1" applyFont="1" applyFill="1" applyBorder="1" applyAlignment="1">
      <alignment horizontal="center" wrapText="1"/>
    </xf>
    <xf numFmtId="165" fontId="15" fillId="11" borderId="26" xfId="1" applyNumberFormat="1" applyFont="1" applyFill="1" applyBorder="1" applyAlignment="1">
      <alignment horizontal="center"/>
    </xf>
    <xf numFmtId="165" fontId="15" fillId="11" borderId="38" xfId="1" applyNumberFormat="1" applyFont="1" applyFill="1" applyBorder="1" applyAlignment="1">
      <alignment horizontal="center"/>
    </xf>
    <xf numFmtId="0" fontId="10" fillId="11" borderId="38" xfId="0" applyNumberFormat="1" applyFont="1" applyFill="1" applyBorder="1" applyAlignment="1">
      <alignment horizontal="center"/>
    </xf>
    <xf numFmtId="165" fontId="11" fillId="9" borderId="26" xfId="1" applyNumberFormat="1" applyFont="1" applyFill="1" applyBorder="1" applyAlignment="1">
      <alignment horizontal="center"/>
    </xf>
    <xf numFmtId="0" fontId="11" fillId="3" borderId="38" xfId="0" applyNumberFormat="1" applyFont="1" applyFill="1" applyBorder="1" applyAlignment="1">
      <alignment horizontal="center" wrapText="1"/>
    </xf>
    <xf numFmtId="0" fontId="11" fillId="9" borderId="38" xfId="0" applyNumberFormat="1" applyFont="1" applyFill="1" applyBorder="1" applyAlignment="1">
      <alignment horizontal="center" wrapText="1"/>
    </xf>
    <xf numFmtId="165" fontId="16" fillId="0" borderId="14" xfId="1" applyFont="1" applyBorder="1" applyAlignment="1">
      <alignment horizontal="center"/>
    </xf>
    <xf numFmtId="166" fontId="16" fillId="0" borderId="26" xfId="1" applyNumberFormat="1" applyFont="1" applyBorder="1" applyAlignment="1">
      <alignment horizontal="center"/>
    </xf>
    <xf numFmtId="165" fontId="16" fillId="0" borderId="26" xfId="1" applyFont="1" applyBorder="1" applyAlignment="1">
      <alignment horizontal="center"/>
    </xf>
    <xf numFmtId="165" fontId="16" fillId="0" borderId="58" xfId="1" applyFont="1" applyBorder="1" applyAlignment="1">
      <alignment horizontal="center"/>
    </xf>
    <xf numFmtId="165" fontId="16" fillId="16" borderId="15" xfId="1" applyFont="1" applyFill="1" applyBorder="1" applyAlignment="1">
      <alignment horizontal="center"/>
    </xf>
    <xf numFmtId="165" fontId="16" fillId="16" borderId="14" xfId="1" applyFont="1" applyFill="1" applyBorder="1" applyAlignment="1">
      <alignment horizontal="center"/>
    </xf>
    <xf numFmtId="165" fontId="11" fillId="11" borderId="26" xfId="1" applyNumberFormat="1" applyFont="1" applyFill="1" applyBorder="1" applyAlignment="1">
      <alignment horizontal="center"/>
    </xf>
    <xf numFmtId="0" fontId="11" fillId="11" borderId="27" xfId="1" applyNumberFormat="1" applyFont="1" applyFill="1" applyBorder="1" applyAlignment="1">
      <alignment horizontal="center"/>
    </xf>
    <xf numFmtId="0" fontId="10" fillId="0" borderId="32" xfId="1" applyNumberFormat="1" applyFont="1" applyFill="1" applyBorder="1" applyAlignment="1">
      <alignment horizontal="center" vertical="center" wrapText="1"/>
    </xf>
    <xf numFmtId="0" fontId="10" fillId="0" borderId="33" xfId="1" applyNumberFormat="1" applyFont="1" applyFill="1" applyBorder="1" applyAlignment="1">
      <alignment horizontal="center" vertical="center" wrapText="1"/>
    </xf>
    <xf numFmtId="0" fontId="10" fillId="0" borderId="31" xfId="1" applyNumberFormat="1" applyFont="1" applyFill="1" applyBorder="1" applyAlignment="1">
      <alignment horizontal="center" vertical="center" wrapText="1"/>
    </xf>
    <xf numFmtId="0" fontId="10" fillId="16" borderId="34" xfId="1" applyNumberFormat="1" applyFont="1" applyFill="1" applyBorder="1" applyAlignment="1">
      <alignment horizontal="center" vertical="center" wrapText="1"/>
    </xf>
    <xf numFmtId="0" fontId="10" fillId="16" borderId="33" xfId="1" applyNumberFormat="1" applyFont="1" applyFill="1" applyBorder="1" applyAlignment="1">
      <alignment horizontal="center" vertical="center" wrapText="1"/>
    </xf>
    <xf numFmtId="0" fontId="11" fillId="11" borderId="33" xfId="1" applyNumberFormat="1" applyFont="1" applyFill="1" applyBorder="1" applyAlignment="1">
      <alignment horizontal="center" wrapText="1"/>
    </xf>
    <xf numFmtId="0" fontId="11" fillId="11" borderId="65" xfId="1" applyNumberFormat="1" applyFont="1" applyFill="1" applyBorder="1" applyAlignment="1">
      <alignment horizontal="center" wrapText="1"/>
    </xf>
    <xf numFmtId="165" fontId="31" fillId="10" borderId="26" xfId="1" applyFont="1" applyFill="1" applyBorder="1" applyAlignment="1">
      <alignment horizontal="center"/>
    </xf>
    <xf numFmtId="165" fontId="16" fillId="0" borderId="27" xfId="1" applyFont="1" applyBorder="1" applyAlignment="1">
      <alignment horizontal="center"/>
    </xf>
    <xf numFmtId="0" fontId="16" fillId="3" borderId="32" xfId="0" applyFont="1" applyFill="1" applyBorder="1" applyAlignment="1">
      <alignment horizontal="center" wrapText="1"/>
    </xf>
    <xf numFmtId="0" fontId="16" fillId="3" borderId="33" xfId="0" applyFont="1" applyFill="1" applyBorder="1" applyAlignment="1">
      <alignment horizontal="center" wrapText="1"/>
    </xf>
    <xf numFmtId="165" fontId="11" fillId="3" borderId="33" xfId="1" applyFont="1" applyFill="1" applyBorder="1" applyAlignment="1">
      <alignment horizontal="center" wrapText="1"/>
    </xf>
    <xf numFmtId="165" fontId="11" fillId="10" borderId="33" xfId="1" applyFont="1" applyFill="1" applyBorder="1" applyAlignment="1">
      <alignment horizontal="center" wrapText="1"/>
    </xf>
    <xf numFmtId="165" fontId="11" fillId="3" borderId="65" xfId="1" applyFont="1" applyFill="1" applyBorder="1" applyAlignment="1">
      <alignment horizontal="center" wrapText="1"/>
    </xf>
    <xf numFmtId="0" fontId="49" fillId="0" borderId="1" xfId="0" applyFont="1" applyBorder="1" applyAlignment="1">
      <alignment horizontal="center" vertical="center" wrapText="1"/>
    </xf>
    <xf numFmtId="0" fontId="4" fillId="7" borderId="62" xfId="0" applyFont="1" applyFill="1" applyBorder="1" applyAlignment="1">
      <alignment horizontal="center"/>
    </xf>
    <xf numFmtId="0" fontId="4" fillId="7" borderId="64" xfId="0" applyFont="1" applyFill="1" applyBorder="1" applyAlignment="1">
      <alignment horizontal="center"/>
    </xf>
    <xf numFmtId="0" fontId="4" fillId="7" borderId="64" xfId="0" applyFont="1" applyFill="1" applyBorder="1" applyAlignment="1"/>
    <xf numFmtId="0" fontId="4" fillId="7" borderId="63" xfId="0" applyFont="1" applyFill="1" applyBorder="1" applyAlignment="1"/>
    <xf numFmtId="165" fontId="4" fillId="0" borderId="1" xfId="1" applyFont="1" applyBorder="1" applyAlignment="1">
      <alignment horizontal="center"/>
    </xf>
    <xf numFmtId="14" fontId="4" fillId="0" borderId="6" xfId="0" applyNumberFormat="1" applyFont="1" applyBorder="1" applyAlignment="1">
      <alignment horizontal="center"/>
    </xf>
    <xf numFmtId="165" fontId="4" fillId="0" borderId="6" xfId="1" applyFont="1" applyBorder="1" applyAlignment="1">
      <alignment horizontal="center"/>
    </xf>
    <xf numFmtId="14" fontId="4" fillId="0" borderId="7" xfId="0" applyNumberFormat="1" applyFont="1" applyBorder="1" applyAlignment="1">
      <alignment horizontal="center"/>
    </xf>
    <xf numFmtId="0" fontId="44" fillId="0" borderId="5" xfId="0" applyFont="1" applyBorder="1" applyAlignment="1">
      <alignment horizontal="center"/>
    </xf>
    <xf numFmtId="166" fontId="3" fillId="16" borderId="1" xfId="1" applyNumberFormat="1" applyFont="1" applyFill="1" applyBorder="1"/>
    <xf numFmtId="166" fontId="37" fillId="0" borderId="1" xfId="2" applyNumberFormat="1" applyFont="1" applyBorder="1"/>
    <xf numFmtId="0" fontId="50" fillId="0" borderId="1" xfId="0" applyFont="1" applyBorder="1"/>
    <xf numFmtId="14" fontId="4" fillId="0" borderId="39" xfId="0" applyNumberFormat="1" applyFont="1" applyBorder="1" applyAlignment="1">
      <alignment horizontal="center"/>
    </xf>
    <xf numFmtId="0" fontId="4" fillId="0" borderId="1" xfId="0" applyNumberFormat="1" applyFont="1" applyBorder="1" applyAlignment="1">
      <alignment horizontal="center"/>
    </xf>
    <xf numFmtId="0" fontId="4" fillId="0" borderId="27" xfId="0" applyFont="1" applyBorder="1" applyAlignment="1">
      <alignment horizontal="center"/>
    </xf>
    <xf numFmtId="0" fontId="26" fillId="0" borderId="103" xfId="0" applyFont="1" applyBorder="1" applyAlignment="1">
      <alignment horizontal="center"/>
    </xf>
    <xf numFmtId="3" fontId="1" fillId="0" borderId="74" xfId="0" applyNumberFormat="1" applyFont="1" applyBorder="1"/>
    <xf numFmtId="0" fontId="25" fillId="0" borderId="104" xfId="0" applyFont="1" applyFill="1" applyBorder="1"/>
    <xf numFmtId="0" fontId="0" fillId="0" borderId="54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4" xfId="0" applyBorder="1" applyAlignment="1">
      <alignment horizontal="center"/>
    </xf>
    <xf numFmtId="0" fontId="41" fillId="0" borderId="0" xfId="0" applyFont="1" applyBorder="1"/>
    <xf numFmtId="166" fontId="0" fillId="13" borderId="22" xfId="0" applyNumberFormat="1" applyFill="1" applyBorder="1"/>
    <xf numFmtId="0" fontId="26" fillId="0" borderId="0" xfId="0" applyFont="1" applyFill="1" applyBorder="1" applyAlignment="1">
      <alignment horizontal="center"/>
    </xf>
    <xf numFmtId="173" fontId="0" fillId="0" borderId="0" xfId="0" applyNumberFormat="1" applyFill="1" applyBorder="1"/>
    <xf numFmtId="14" fontId="2" fillId="0" borderId="16" xfId="0" applyNumberFormat="1" applyFont="1" applyBorder="1" applyAlignment="1">
      <alignment horizontal="center"/>
    </xf>
    <xf numFmtId="0" fontId="0" fillId="28" borderId="1" xfId="0" applyFill="1" applyBorder="1" applyAlignment="1">
      <alignment horizontal="center" wrapText="1"/>
    </xf>
    <xf numFmtId="0" fontId="19" fillId="14" borderId="38" xfId="0" applyFont="1" applyFill="1" applyBorder="1" applyAlignment="1">
      <alignment horizontal="center" wrapText="1"/>
    </xf>
    <xf numFmtId="41" fontId="0" fillId="0" borderId="40" xfId="9" applyFont="1" applyBorder="1" applyAlignment="1">
      <alignment horizontal="center" vertical="center"/>
    </xf>
    <xf numFmtId="41" fontId="0" fillId="0" borderId="49" xfId="9" applyFont="1" applyBorder="1" applyAlignment="1">
      <alignment horizontal="center" vertical="center"/>
    </xf>
    <xf numFmtId="41" fontId="0" fillId="0" borderId="16" xfId="9" applyFont="1" applyBorder="1" applyAlignment="1">
      <alignment horizontal="center" vertical="center"/>
    </xf>
    <xf numFmtId="41" fontId="0" fillId="0" borderId="1" xfId="9" applyFont="1" applyBorder="1" applyAlignment="1">
      <alignment horizontal="center" vertical="center"/>
    </xf>
    <xf numFmtId="0" fontId="19" fillId="14" borderId="55" xfId="0" applyFont="1" applyFill="1" applyBorder="1" applyAlignment="1">
      <alignment horizontal="center" wrapText="1"/>
    </xf>
    <xf numFmtId="9" fontId="19" fillId="0" borderId="5" xfId="9" applyNumberFormat="1" applyFont="1" applyBorder="1" applyAlignment="1">
      <alignment horizontal="center" vertical="center"/>
    </xf>
    <xf numFmtId="9" fontId="19" fillId="0" borderId="36" xfId="9" applyNumberFormat="1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 wrapText="1"/>
    </xf>
    <xf numFmtId="165" fontId="10" fillId="8" borderId="1" xfId="0" applyNumberFormat="1" applyFont="1" applyFill="1" applyBorder="1" applyAlignment="1">
      <alignment horizontal="center"/>
    </xf>
    <xf numFmtId="0" fontId="10" fillId="8" borderId="1" xfId="0" applyFont="1" applyFill="1" applyBorder="1" applyAlignment="1">
      <alignment horizontal="center"/>
    </xf>
    <xf numFmtId="0" fontId="19" fillId="12" borderId="55" xfId="0" applyFont="1" applyFill="1" applyBorder="1" applyAlignment="1">
      <alignment horizontal="center" vertical="center" wrapText="1"/>
    </xf>
    <xf numFmtId="169" fontId="11" fillId="0" borderId="26" xfId="0" applyNumberFormat="1" applyFont="1" applyFill="1" applyBorder="1" applyAlignment="1">
      <alignment horizontal="center"/>
    </xf>
    <xf numFmtId="0" fontId="19" fillId="12" borderId="31" xfId="0" applyFont="1" applyFill="1" applyBorder="1" applyAlignment="1">
      <alignment horizontal="center" vertical="center" wrapText="1"/>
    </xf>
    <xf numFmtId="9" fontId="0" fillId="0" borderId="26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6" xfId="10" applyNumberFormat="1" applyFont="1" applyBorder="1" applyAlignment="1">
      <alignment horizontal="center"/>
    </xf>
    <xf numFmtId="0" fontId="19" fillId="0" borderId="48" xfId="0" applyFont="1" applyBorder="1" applyAlignment="1">
      <alignment horizontal="center"/>
    </xf>
    <xf numFmtId="0" fontId="57" fillId="0" borderId="48" xfId="0" applyFont="1" applyBorder="1" applyAlignment="1">
      <alignment horizontal="center"/>
    </xf>
    <xf numFmtId="1" fontId="57" fillId="0" borderId="48" xfId="0" applyNumberFormat="1" applyFont="1" applyBorder="1" applyAlignment="1">
      <alignment horizontal="center"/>
    </xf>
    <xf numFmtId="1" fontId="19" fillId="0" borderId="48" xfId="0" applyNumberFormat="1" applyFont="1" applyBorder="1" applyAlignment="1">
      <alignment horizontal="center" wrapText="1"/>
    </xf>
    <xf numFmtId="0" fontId="19" fillId="0" borderId="48" xfId="0" applyFont="1" applyBorder="1" applyAlignment="1">
      <alignment horizontal="center" wrapText="1"/>
    </xf>
    <xf numFmtId="0" fontId="19" fillId="0" borderId="0" xfId="0" applyFont="1" applyAlignment="1">
      <alignment wrapText="1"/>
    </xf>
    <xf numFmtId="0" fontId="19" fillId="0" borderId="0" xfId="0" applyFont="1"/>
    <xf numFmtId="0" fontId="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" fontId="2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19" fillId="12" borderId="47" xfId="0" applyFont="1" applyFill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0" fontId="2" fillId="0" borderId="39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22" xfId="0" applyFont="1" applyBorder="1" applyAlignment="1">
      <alignment horizontal="center"/>
    </xf>
    <xf numFmtId="0" fontId="4" fillId="0" borderId="10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4" fontId="4" fillId="0" borderId="22" xfId="0" applyNumberFormat="1" applyFont="1" applyBorder="1" applyAlignment="1">
      <alignment horizontal="center"/>
    </xf>
    <xf numFmtId="0" fontId="4" fillId="0" borderId="26" xfId="0" applyFont="1" applyBorder="1" applyAlignment="1"/>
    <xf numFmtId="0" fontId="4" fillId="7" borderId="33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26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2" fillId="0" borderId="5" xfId="0" applyFont="1" applyBorder="1" applyAlignment="1">
      <alignment horizontal="center"/>
    </xf>
    <xf numFmtId="0" fontId="58" fillId="0" borderId="48" xfId="0" applyFont="1" applyBorder="1" applyAlignment="1">
      <alignment horizontal="center" wrapText="1"/>
    </xf>
    <xf numFmtId="2" fontId="59" fillId="0" borderId="0" xfId="0" applyNumberFormat="1" applyFont="1" applyAlignment="1">
      <alignment horizontal="center"/>
    </xf>
    <xf numFmtId="0" fontId="59" fillId="0" borderId="0" xfId="0" applyFont="1" applyAlignment="1">
      <alignment horizontal="center"/>
    </xf>
    <xf numFmtId="14" fontId="4" fillId="0" borderId="22" xfId="0" applyNumberFormat="1" applyFont="1" applyBorder="1" applyAlignment="1">
      <alignment horizontal="center"/>
    </xf>
    <xf numFmtId="166" fontId="2" fillId="12" borderId="16" xfId="1" applyNumberFormat="1" applyFont="1" applyFill="1" applyBorder="1"/>
    <xf numFmtId="166" fontId="2" fillId="12" borderId="25" xfId="1" applyNumberFormat="1" applyFont="1" applyFill="1" applyBorder="1"/>
    <xf numFmtId="166" fontId="2" fillId="12" borderId="26" xfId="1" applyNumberFormat="1" applyFont="1" applyFill="1" applyBorder="1"/>
    <xf numFmtId="164" fontId="2" fillId="12" borderId="26" xfId="3" applyFont="1" applyFill="1" applyBorder="1"/>
    <xf numFmtId="166" fontId="2" fillId="12" borderId="27" xfId="1" applyNumberFormat="1" applyFont="1" applyFill="1" applyBorder="1"/>
    <xf numFmtId="166" fontId="2" fillId="23" borderId="22" xfId="1" applyNumberFormat="1" applyFont="1" applyFill="1" applyBorder="1"/>
    <xf numFmtId="166" fontId="2" fillId="23" borderId="58" xfId="1" applyNumberFormat="1" applyFont="1" applyFill="1" applyBorder="1"/>
    <xf numFmtId="166" fontId="2" fillId="23" borderId="49" xfId="1" applyNumberFormat="1" applyFont="1" applyFill="1" applyBorder="1"/>
    <xf numFmtId="166" fontId="2" fillId="12" borderId="41" xfId="1" applyNumberFormat="1" applyFont="1" applyFill="1" applyBorder="1"/>
    <xf numFmtId="166" fontId="2" fillId="12" borderId="23" xfId="1" applyNumberFormat="1" applyFont="1" applyFill="1" applyBorder="1"/>
    <xf numFmtId="166" fontId="2" fillId="12" borderId="43" xfId="1" applyNumberFormat="1" applyFont="1" applyFill="1" applyBorder="1"/>
    <xf numFmtId="166" fontId="2" fillId="12" borderId="44" xfId="1" applyNumberFormat="1" applyFont="1" applyFill="1" applyBorder="1"/>
    <xf numFmtId="166" fontId="2" fillId="12" borderId="54" xfId="1" applyNumberFormat="1" applyFont="1" applyFill="1" applyBorder="1"/>
    <xf numFmtId="166" fontId="2" fillId="12" borderId="58" xfId="1" applyNumberFormat="1" applyFont="1" applyFill="1" applyBorder="1"/>
    <xf numFmtId="0" fontId="1" fillId="0" borderId="0" xfId="4" applyFont="1"/>
    <xf numFmtId="165" fontId="1" fillId="0" borderId="0" xfId="1" applyFont="1"/>
    <xf numFmtId="0" fontId="1" fillId="0" borderId="0" xfId="4" applyFont="1" applyBorder="1"/>
    <xf numFmtId="165" fontId="1" fillId="0" borderId="0" xfId="1" applyFont="1" applyBorder="1"/>
    <xf numFmtId="166" fontId="2" fillId="15" borderId="1" xfId="1" applyNumberFormat="1" applyFont="1" applyFill="1" applyBorder="1"/>
    <xf numFmtId="0" fontId="2" fillId="0" borderId="6" xfId="0" applyFont="1" applyBorder="1" applyAlignment="1">
      <alignment horizontal="center"/>
    </xf>
    <xf numFmtId="0" fontId="2" fillId="0" borderId="6" xfId="0" applyFont="1" applyBorder="1"/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64" fontId="2" fillId="12" borderId="1" xfId="3" applyFont="1" applyFill="1" applyBorder="1"/>
    <xf numFmtId="164" fontId="2" fillId="12" borderId="0" xfId="3" applyFont="1" applyFill="1"/>
    <xf numFmtId="0" fontId="4" fillId="0" borderId="26" xfId="0" applyFont="1" applyBorder="1" applyAlignment="1">
      <alignment horizontal="center"/>
    </xf>
    <xf numFmtId="0" fontId="19" fillId="14" borderId="35" xfId="0" applyFont="1" applyFill="1" applyBorder="1" applyAlignment="1">
      <alignment horizontal="center" vertical="center"/>
    </xf>
    <xf numFmtId="165" fontId="16" fillId="0" borderId="5" xfId="1" applyFont="1" applyFill="1" applyBorder="1" applyAlignment="1">
      <alignment horizontal="center"/>
    </xf>
    <xf numFmtId="0" fontId="10" fillId="8" borderId="48" xfId="0" applyNumberFormat="1" applyFont="1" applyFill="1" applyBorder="1" applyAlignment="1">
      <alignment horizontal="center"/>
    </xf>
    <xf numFmtId="9" fontId="19" fillId="0" borderId="11" xfId="9" applyNumberFormat="1" applyFont="1" applyBorder="1" applyAlignment="1">
      <alignment horizontal="center" vertical="center"/>
    </xf>
    <xf numFmtId="41" fontId="0" fillId="0" borderId="105" xfId="9" applyFont="1" applyBorder="1" applyAlignment="1">
      <alignment horizontal="center" vertical="center"/>
    </xf>
    <xf numFmtId="1" fontId="1" fillId="0" borderId="1" xfId="9" applyNumberFormat="1" applyFont="1" applyBorder="1" applyAlignment="1">
      <alignment horizontal="center" vertical="center"/>
    </xf>
    <xf numFmtId="1" fontId="60" fillId="0" borderId="1" xfId="4" applyNumberFormat="1" applyFont="1" applyBorder="1" applyAlignment="1">
      <alignment horizontal="center"/>
    </xf>
    <xf numFmtId="41" fontId="0" fillId="0" borderId="25" xfId="9" applyFont="1" applyBorder="1" applyAlignment="1">
      <alignment horizontal="center" vertical="center"/>
    </xf>
    <xf numFmtId="0" fontId="19" fillId="14" borderId="45" xfId="0" applyFont="1" applyFill="1" applyBorder="1" applyAlignment="1">
      <alignment horizontal="center" vertical="center" wrapText="1"/>
    </xf>
    <xf numFmtId="4" fontId="0" fillId="6" borderId="1" xfId="0" applyNumberFormat="1" applyFill="1" applyBorder="1"/>
    <xf numFmtId="1" fontId="0" fillId="13" borderId="1" xfId="0" applyNumberFormat="1" applyFill="1" applyBorder="1"/>
    <xf numFmtId="0" fontId="25" fillId="0" borderId="106" xfId="0" applyFont="1" applyBorder="1"/>
    <xf numFmtId="0" fontId="26" fillId="0" borderId="107" xfId="0" applyFont="1" applyBorder="1" applyAlignment="1">
      <alignment horizontal="center"/>
    </xf>
    <xf numFmtId="1" fontId="0" fillId="12" borderId="1" xfId="0" applyNumberFormat="1" applyFill="1" applyBorder="1"/>
    <xf numFmtId="0" fontId="0" fillId="0" borderId="1" xfId="0" applyNumberFormat="1" applyBorder="1"/>
    <xf numFmtId="0" fontId="22" fillId="0" borderId="17" xfId="0" applyFont="1" applyBorder="1" applyAlignment="1">
      <alignment vertical="top"/>
    </xf>
    <xf numFmtId="0" fontId="22" fillId="0" borderId="6" xfId="0" applyFont="1" applyBorder="1" applyAlignment="1">
      <alignment vertical="top" wrapText="1"/>
    </xf>
    <xf numFmtId="0" fontId="22" fillId="0" borderId="6" xfId="0" applyFont="1" applyBorder="1" applyAlignment="1">
      <alignment horizontal="center" vertical="top" wrapText="1"/>
    </xf>
    <xf numFmtId="0" fontId="4" fillId="0" borderId="16" xfId="0" applyFont="1" applyBorder="1" applyAlignment="1">
      <alignment vertical="top"/>
    </xf>
    <xf numFmtId="0" fontId="0" fillId="0" borderId="8" xfId="0" applyBorder="1" applyAlignment="1">
      <alignment horizontal="center" vertical="top" wrapText="1"/>
    </xf>
    <xf numFmtId="14" fontId="41" fillId="0" borderId="16" xfId="0" applyNumberFormat="1" applyFont="1" applyBorder="1" applyAlignment="1">
      <alignment vertical="top"/>
    </xf>
    <xf numFmtId="165" fontId="0" fillId="0" borderId="8" xfId="0" applyNumberFormat="1" applyBorder="1"/>
    <xf numFmtId="0" fontId="0" fillId="0" borderId="8" xfId="0" applyBorder="1"/>
    <xf numFmtId="165" fontId="0" fillId="0" borderId="9" xfId="0" applyNumberFormat="1" applyBorder="1"/>
    <xf numFmtId="165" fontId="0" fillId="0" borderId="10" xfId="0" applyNumberFormat="1" applyBorder="1"/>
    <xf numFmtId="0" fontId="21" fillId="0" borderId="1" xfId="0" applyFont="1" applyBorder="1" applyAlignment="1">
      <alignment horizontal="center"/>
    </xf>
    <xf numFmtId="1" fontId="21" fillId="0" borderId="1" xfId="0" applyNumberFormat="1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0" fillId="0" borderId="21" xfId="0" applyBorder="1" applyAlignment="1">
      <alignment horizontal="center"/>
    </xf>
    <xf numFmtId="0" fontId="21" fillId="0" borderId="9" xfId="0" applyFont="1" applyBorder="1" applyAlignment="1">
      <alignment horizontal="center"/>
    </xf>
    <xf numFmtId="1" fontId="21" fillId="0" borderId="9" xfId="0" applyNumberFormat="1" applyFon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/>
    <xf numFmtId="0" fontId="2" fillId="0" borderId="40" xfId="0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1" fontId="21" fillId="0" borderId="26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0" fontId="19" fillId="0" borderId="32" xfId="0" applyFont="1" applyBorder="1" applyAlignment="1">
      <alignment horizontal="center"/>
    </xf>
    <xf numFmtId="0" fontId="57" fillId="0" borderId="33" xfId="0" applyFont="1" applyBorder="1" applyAlignment="1">
      <alignment horizontal="center"/>
    </xf>
    <xf numFmtId="1" fontId="57" fillId="0" borderId="33" xfId="0" applyNumberFormat="1" applyFont="1" applyBorder="1" applyAlignment="1">
      <alignment horizontal="center"/>
    </xf>
    <xf numFmtId="0" fontId="19" fillId="0" borderId="33" xfId="0" applyFont="1" applyBorder="1" applyAlignment="1">
      <alignment horizontal="center" wrapText="1"/>
    </xf>
    <xf numFmtId="1" fontId="19" fillId="0" borderId="33" xfId="0" applyNumberFormat="1" applyFont="1" applyBorder="1" applyAlignment="1">
      <alignment horizontal="center" wrapText="1"/>
    </xf>
    <xf numFmtId="9" fontId="10" fillId="8" borderId="5" xfId="0" applyNumberFormat="1" applyFont="1" applyFill="1" applyBorder="1" applyAlignment="1">
      <alignment horizontal="center"/>
    </xf>
    <xf numFmtId="0" fontId="0" fillId="16" borderId="26" xfId="0" applyFill="1" applyBorder="1"/>
    <xf numFmtId="0" fontId="19" fillId="0" borderId="93" xfId="0" applyFont="1" applyBorder="1" applyAlignment="1">
      <alignment wrapText="1"/>
    </xf>
    <xf numFmtId="0" fontId="0" fillId="0" borderId="53" xfId="0" applyBorder="1"/>
    <xf numFmtId="1" fontId="19" fillId="0" borderId="10" xfId="0" applyNumberFormat="1" applyFont="1" applyBorder="1" applyAlignment="1">
      <alignment horizontal="center" wrapText="1"/>
    </xf>
    <xf numFmtId="1" fontId="0" fillId="0" borderId="49" xfId="0" applyNumberFormat="1" applyBorder="1"/>
    <xf numFmtId="165" fontId="3" fillId="9" borderId="1" xfId="1" applyNumberFormat="1" applyFont="1" applyFill="1" applyBorder="1" applyAlignment="1">
      <alignment horizontal="right"/>
    </xf>
    <xf numFmtId="166" fontId="25" fillId="25" borderId="1" xfId="4" applyNumberFormat="1" applyFont="1" applyFill="1" applyBorder="1" applyAlignment="1">
      <alignment horizontal="right"/>
    </xf>
    <xf numFmtId="0" fontId="2" fillId="0" borderId="64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166" fontId="37" fillId="0" borderId="1" xfId="2" applyNumberFormat="1" applyFont="1" applyBorder="1" applyAlignment="1">
      <alignment horizontal="center"/>
    </xf>
    <xf numFmtId="0" fontId="60" fillId="0" borderId="1" xfId="4" applyFont="1" applyBorder="1" applyAlignment="1">
      <alignment horizontal="center"/>
    </xf>
    <xf numFmtId="2" fontId="41" fillId="16" borderId="26" xfId="1" applyNumberFormat="1" applyFont="1" applyFill="1" applyBorder="1" applyAlignment="1"/>
    <xf numFmtId="0" fontId="25" fillId="0" borderId="1" xfId="0" applyFont="1" applyBorder="1" applyAlignment="1">
      <alignment horizontal="center" vertical="center" wrapText="1"/>
    </xf>
    <xf numFmtId="2" fontId="41" fillId="16" borderId="1" xfId="1" applyNumberFormat="1" applyFont="1" applyFill="1" applyBorder="1"/>
    <xf numFmtId="2" fontId="12" fillId="16" borderId="26" xfId="1" applyNumberFormat="1" applyFont="1" applyFill="1" applyBorder="1" applyAlignment="1"/>
    <xf numFmtId="166" fontId="16" fillId="0" borderId="5" xfId="1" applyNumberFormat="1" applyFont="1" applyFill="1" applyBorder="1" applyAlignment="1">
      <alignment horizontal="center"/>
    </xf>
    <xf numFmtId="0" fontId="0" fillId="0" borderId="0" xfId="0" applyAlignment="1"/>
    <xf numFmtId="165" fontId="11" fillId="8" borderId="1" xfId="1" applyNumberFormat="1" applyFont="1" applyFill="1" applyBorder="1" applyAlignment="1">
      <alignment horizontal="center"/>
    </xf>
    <xf numFmtId="0" fontId="56" fillId="0" borderId="48" xfId="0" applyFont="1" applyBorder="1" applyAlignment="1">
      <alignment horizontal="center"/>
    </xf>
    <xf numFmtId="0" fontId="22" fillId="19" borderId="6" xfId="0" applyFont="1" applyFill="1" applyBorder="1" applyAlignment="1">
      <alignment horizontal="center" vertical="top"/>
    </xf>
    <xf numFmtId="0" fontId="22" fillId="20" borderId="6" xfId="0" applyFont="1" applyFill="1" applyBorder="1" applyAlignment="1">
      <alignment horizontal="center" vertical="top"/>
    </xf>
    <xf numFmtId="0" fontId="22" fillId="21" borderId="6" xfId="0" applyFont="1" applyFill="1" applyBorder="1" applyAlignment="1">
      <alignment horizontal="center" vertical="top"/>
    </xf>
    <xf numFmtId="0" fontId="22" fillId="0" borderId="6" xfId="0" applyFont="1" applyBorder="1" applyAlignment="1">
      <alignment horizontal="center" vertical="top"/>
    </xf>
    <xf numFmtId="0" fontId="19" fillId="12" borderId="55" xfId="0" applyFont="1" applyFill="1" applyBorder="1" applyAlignment="1">
      <alignment horizontal="center" vertical="center" wrapText="1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55" xfId="0" applyFont="1" applyFill="1" applyBorder="1" applyAlignment="1">
      <alignment horizontal="center" vertical="center"/>
    </xf>
    <xf numFmtId="0" fontId="19" fillId="12" borderId="30" xfId="0" applyFont="1" applyFill="1" applyBorder="1" applyAlignment="1">
      <alignment horizontal="center" vertical="center"/>
    </xf>
    <xf numFmtId="0" fontId="19" fillId="12" borderId="31" xfId="0" applyFont="1" applyFill="1" applyBorder="1" applyAlignment="1">
      <alignment horizontal="center" vertical="center"/>
    </xf>
    <xf numFmtId="0" fontId="19" fillId="12" borderId="20" xfId="0" applyFont="1" applyFill="1" applyBorder="1" applyAlignment="1">
      <alignment horizontal="center" vertical="center"/>
    </xf>
    <xf numFmtId="0" fontId="19" fillId="12" borderId="35" xfId="0" applyFont="1" applyFill="1" applyBorder="1" applyAlignment="1">
      <alignment horizontal="center" vertical="center"/>
    </xf>
    <xf numFmtId="0" fontId="19" fillId="12" borderId="57" xfId="0" applyFont="1" applyFill="1" applyBorder="1" applyAlignment="1">
      <alignment horizontal="center" vertical="center"/>
    </xf>
    <xf numFmtId="0" fontId="27" fillId="0" borderId="55" xfId="0" applyFont="1" applyBorder="1" applyAlignment="1">
      <alignment horizontal="center" vertical="center" wrapText="1"/>
    </xf>
    <xf numFmtId="0" fontId="27" fillId="0" borderId="30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19" fillId="0" borderId="55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164" fontId="19" fillId="0" borderId="55" xfId="3" applyFont="1" applyBorder="1" applyAlignment="1">
      <alignment horizontal="center" vertical="center" wrapText="1"/>
    </xf>
    <xf numFmtId="164" fontId="0" fillId="0" borderId="31" xfId="3" applyFont="1" applyBorder="1"/>
    <xf numFmtId="0" fontId="19" fillId="12" borderId="47" xfId="0" applyFont="1" applyFill="1" applyBorder="1" applyAlignment="1">
      <alignment horizontal="center" vertical="center" wrapText="1"/>
    </xf>
    <xf numFmtId="0" fontId="19" fillId="12" borderId="60" xfId="0" applyFont="1" applyFill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0" fontId="25" fillId="16" borderId="55" xfId="0" applyFont="1" applyFill="1" applyBorder="1" applyAlignment="1">
      <alignment wrapText="1"/>
    </xf>
    <xf numFmtId="0" fontId="25" fillId="16" borderId="30" xfId="0" applyFont="1" applyFill="1" applyBorder="1" applyAlignment="1">
      <alignment wrapText="1"/>
    </xf>
    <xf numFmtId="0" fontId="25" fillId="16" borderId="31" xfId="0" applyFont="1" applyFill="1" applyBorder="1" applyAlignment="1">
      <alignment wrapText="1"/>
    </xf>
    <xf numFmtId="0" fontId="2" fillId="0" borderId="55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2" fillId="0" borderId="91" xfId="0" applyFont="1" applyBorder="1" applyAlignment="1">
      <alignment horizontal="center"/>
    </xf>
    <xf numFmtId="0" fontId="2" fillId="0" borderId="102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17" fontId="28" fillId="0" borderId="0" xfId="0" applyNumberFormat="1" applyFont="1" applyBorder="1" applyAlignment="1">
      <alignment horizontal="center" wrapText="1"/>
    </xf>
    <xf numFmtId="0" fontId="0" fillId="0" borderId="0" xfId="0" applyBorder="1" applyAlignment="1">
      <alignment wrapText="1"/>
    </xf>
    <xf numFmtId="0" fontId="8" fillId="7" borderId="55" xfId="0" applyFont="1" applyFill="1" applyBorder="1" applyAlignment="1">
      <alignment horizontal="center" vertical="center"/>
    </xf>
    <xf numFmtId="0" fontId="8" fillId="7" borderId="30" xfId="0" applyFont="1" applyFill="1" applyBorder="1" applyAlignment="1">
      <alignment horizontal="center" vertical="center"/>
    </xf>
    <xf numFmtId="0" fontId="8" fillId="7" borderId="31" xfId="0" applyFont="1" applyFill="1" applyBorder="1" applyAlignment="1">
      <alignment horizontal="center" vertical="center"/>
    </xf>
    <xf numFmtId="0" fontId="4" fillId="0" borderId="26" xfId="0" applyFont="1" applyBorder="1" applyAlignment="1"/>
    <xf numFmtId="0" fontId="4" fillId="0" borderId="5" xfId="0" applyFont="1" applyBorder="1" applyAlignment="1"/>
    <xf numFmtId="0" fontId="4" fillId="0" borderId="22" xfId="0" applyFont="1" applyBorder="1" applyAlignment="1"/>
    <xf numFmtId="14" fontId="4" fillId="0" borderId="23" xfId="0" applyNumberFormat="1" applyFont="1" applyBorder="1" applyAlignment="1">
      <alignment horizontal="center"/>
    </xf>
    <xf numFmtId="14" fontId="4" fillId="0" borderId="22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22" xfId="0" applyFont="1" applyBorder="1" applyAlignment="1">
      <alignment horizontal="center"/>
    </xf>
    <xf numFmtId="14" fontId="4" fillId="0" borderId="56" xfId="0" applyNumberFormat="1" applyFont="1" applyBorder="1" applyAlignment="1"/>
    <xf numFmtId="14" fontId="4" fillId="0" borderId="25" xfId="0" applyNumberFormat="1" applyFont="1" applyBorder="1" applyAlignment="1"/>
    <xf numFmtId="14" fontId="4" fillId="0" borderId="67" xfId="0" applyNumberFormat="1" applyFont="1" applyBorder="1" applyAlignment="1">
      <alignment horizontal="right"/>
    </xf>
    <xf numFmtId="14" fontId="4" fillId="0" borderId="22" xfId="0" applyNumberFormat="1" applyFont="1" applyBorder="1" applyAlignment="1">
      <alignment horizontal="right"/>
    </xf>
    <xf numFmtId="14" fontId="4" fillId="0" borderId="67" xfId="0" applyNumberFormat="1" applyFont="1" applyBorder="1" applyAlignment="1"/>
    <xf numFmtId="14" fontId="4" fillId="0" borderId="22" xfId="0" applyNumberFormat="1" applyFont="1" applyBorder="1" applyAlignment="1"/>
    <xf numFmtId="0" fontId="4" fillId="32" borderId="55" xfId="0" applyNumberFormat="1" applyFont="1" applyFill="1" applyBorder="1" applyAlignment="1">
      <alignment horizontal="center"/>
    </xf>
    <xf numFmtId="0" fontId="4" fillId="32" borderId="30" xfId="0" applyNumberFormat="1" applyFont="1" applyFill="1" applyBorder="1" applyAlignment="1">
      <alignment horizontal="center"/>
    </xf>
    <xf numFmtId="0" fontId="4" fillId="32" borderId="31" xfId="0" applyNumberFormat="1" applyFont="1" applyFill="1" applyBorder="1" applyAlignment="1">
      <alignment horizontal="center"/>
    </xf>
    <xf numFmtId="0" fontId="10" fillId="30" borderId="55" xfId="0" applyFont="1" applyFill="1" applyBorder="1" applyAlignment="1">
      <alignment horizontal="center"/>
    </xf>
    <xf numFmtId="0" fontId="10" fillId="30" borderId="30" xfId="0" applyFont="1" applyFill="1" applyBorder="1" applyAlignment="1">
      <alignment horizontal="center"/>
    </xf>
    <xf numFmtId="0" fontId="10" fillId="30" borderId="31" xfId="0" applyFont="1" applyFill="1" applyBorder="1" applyAlignment="1">
      <alignment horizontal="center"/>
    </xf>
    <xf numFmtId="0" fontId="4" fillId="7" borderId="55" xfId="0" applyFont="1" applyFill="1" applyBorder="1" applyAlignment="1">
      <alignment horizontal="center"/>
    </xf>
    <xf numFmtId="0" fontId="4" fillId="7" borderId="34" xfId="0" applyFont="1" applyFill="1" applyBorder="1" applyAlignment="1">
      <alignment horizontal="center"/>
    </xf>
    <xf numFmtId="0" fontId="42" fillId="0" borderId="5" xfId="0" applyFont="1" applyBorder="1" applyAlignment="1">
      <alignment horizontal="center"/>
    </xf>
    <xf numFmtId="0" fontId="42" fillId="0" borderId="22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6" fillId="2" borderId="55" xfId="0" applyFont="1" applyFill="1" applyBorder="1" applyAlignment="1">
      <alignment horizontal="center"/>
    </xf>
    <xf numFmtId="0" fontId="46" fillId="2" borderId="30" xfId="0" applyFont="1" applyFill="1" applyBorder="1" applyAlignment="1">
      <alignment horizontal="center"/>
    </xf>
    <xf numFmtId="0" fontId="46" fillId="2" borderId="31" xfId="0" applyFont="1" applyFill="1" applyBorder="1" applyAlignment="1">
      <alignment horizontal="center"/>
    </xf>
    <xf numFmtId="0" fontId="10" fillId="31" borderId="20" xfId="0" applyFont="1" applyFill="1" applyBorder="1" applyAlignment="1">
      <alignment horizontal="center"/>
    </xf>
    <xf numFmtId="0" fontId="10" fillId="31" borderId="35" xfId="0" applyFont="1" applyFill="1" applyBorder="1" applyAlignment="1">
      <alignment horizontal="center"/>
    </xf>
    <xf numFmtId="0" fontId="10" fillId="31" borderId="57" xfId="0" applyFont="1" applyFill="1" applyBorder="1" applyAlignment="1">
      <alignment horizontal="center"/>
    </xf>
    <xf numFmtId="0" fontId="4" fillId="7" borderId="33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7" fontId="47" fillId="0" borderId="0" xfId="0" applyNumberFormat="1" applyFont="1" applyAlignment="1">
      <alignment horizontal="center"/>
    </xf>
    <xf numFmtId="0" fontId="48" fillId="0" borderId="0" xfId="0" applyFont="1" applyAlignment="1">
      <alignment horizontal="center"/>
    </xf>
    <xf numFmtId="0" fontId="36" fillId="0" borderId="20" xfId="0" applyFont="1" applyBorder="1" applyAlignment="1">
      <alignment horizontal="center"/>
    </xf>
    <xf numFmtId="0" fontId="36" fillId="0" borderId="30" xfId="0" applyFont="1" applyBorder="1" applyAlignment="1">
      <alignment horizontal="center"/>
    </xf>
    <xf numFmtId="0" fontId="36" fillId="0" borderId="31" xfId="0" applyFont="1" applyBorder="1" applyAlignment="1">
      <alignment horizontal="center"/>
    </xf>
    <xf numFmtId="0" fontId="45" fillId="0" borderId="55" xfId="0" applyFont="1" applyBorder="1" applyAlignment="1">
      <alignment horizontal="center"/>
    </xf>
    <xf numFmtId="0" fontId="45" fillId="0" borderId="30" xfId="0" applyFont="1" applyBorder="1" applyAlignment="1">
      <alignment horizontal="center"/>
    </xf>
    <xf numFmtId="0" fontId="45" fillId="0" borderId="31" xfId="0" applyFont="1" applyBorder="1" applyAlignment="1">
      <alignment horizontal="center"/>
    </xf>
    <xf numFmtId="0" fontId="4" fillId="0" borderId="26" xfId="0" applyFont="1" applyBorder="1" applyAlignment="1">
      <alignment horizontal="center"/>
    </xf>
    <xf numFmtId="14" fontId="4" fillId="0" borderId="24" xfId="0" applyNumberFormat="1" applyFont="1" applyBorder="1" applyAlignment="1">
      <alignment horizontal="center"/>
    </xf>
    <xf numFmtId="14" fontId="4" fillId="0" borderId="25" xfId="0" applyNumberFormat="1" applyFont="1" applyBorder="1" applyAlignment="1">
      <alignment horizontal="center"/>
    </xf>
    <xf numFmtId="0" fontId="10" fillId="27" borderId="55" xfId="0" applyFont="1" applyFill="1" applyBorder="1" applyAlignment="1">
      <alignment horizontal="center"/>
    </xf>
    <xf numFmtId="0" fontId="10" fillId="27" borderId="30" xfId="0" applyFont="1" applyFill="1" applyBorder="1" applyAlignment="1">
      <alignment horizontal="center"/>
    </xf>
    <xf numFmtId="14" fontId="4" fillId="0" borderId="54" xfId="0" applyNumberFormat="1" applyFont="1" applyBorder="1" applyAlignment="1">
      <alignment horizontal="center"/>
    </xf>
    <xf numFmtId="14" fontId="4" fillId="0" borderId="37" xfId="0" applyNumberFormat="1" applyFont="1" applyBorder="1" applyAlignment="1">
      <alignment horizontal="center"/>
    </xf>
    <xf numFmtId="0" fontId="4" fillId="0" borderId="101" xfId="0" applyFont="1" applyBorder="1" applyAlignment="1">
      <alignment horizontal="center"/>
    </xf>
    <xf numFmtId="0" fontId="4" fillId="0" borderId="79" xfId="0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28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2" fillId="28" borderId="58" xfId="0" applyFont="1" applyFill="1" applyBorder="1" applyAlignment="1">
      <alignment horizontal="center" wrapText="1"/>
    </xf>
    <xf numFmtId="0" fontId="2" fillId="28" borderId="100" xfId="0" applyFont="1" applyFill="1" applyBorder="1" applyAlignment="1">
      <alignment horizontal="center" wrapText="1"/>
    </xf>
    <xf numFmtId="0" fontId="37" fillId="11" borderId="55" xfId="0" applyFont="1" applyFill="1" applyBorder="1" applyAlignment="1">
      <alignment horizontal="center"/>
    </xf>
    <xf numFmtId="0" fontId="37" fillId="11" borderId="30" xfId="0" applyFont="1" applyFill="1" applyBorder="1" applyAlignment="1">
      <alignment horizontal="center"/>
    </xf>
    <xf numFmtId="0" fontId="37" fillId="11" borderId="31" xfId="0" applyFont="1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8" borderId="91" xfId="0" applyFill="1" applyBorder="1" applyAlignment="1">
      <alignment horizontal="center" vertical="top" wrapText="1"/>
    </xf>
    <xf numFmtId="0" fontId="0" fillId="28" borderId="42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top" wrapText="1"/>
    </xf>
    <xf numFmtId="0" fontId="0" fillId="28" borderId="7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center"/>
    </xf>
    <xf numFmtId="0" fontId="0" fillId="28" borderId="7" xfId="0" applyFill="1" applyBorder="1" applyAlignment="1">
      <alignment horizontal="center" vertical="center"/>
    </xf>
    <xf numFmtId="0" fontId="2" fillId="28" borderId="18" xfId="0" applyFont="1" applyFill="1" applyBorder="1" applyAlignment="1">
      <alignment horizontal="center" vertical="top" wrapText="1"/>
    </xf>
    <xf numFmtId="0" fontId="0" fillId="28" borderId="19" xfId="0" applyFill="1" applyBorder="1" applyAlignment="1">
      <alignment horizontal="center" vertical="top" wrapText="1"/>
    </xf>
    <xf numFmtId="0" fontId="3" fillId="7" borderId="4" xfId="0" applyFont="1" applyFill="1" applyBorder="1" applyAlignment="1">
      <alignment horizontal="center" vertical="center"/>
    </xf>
    <xf numFmtId="0" fontId="3" fillId="7" borderId="26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40" fillId="26" borderId="13" xfId="0" applyFont="1" applyFill="1" applyBorder="1" applyAlignment="1">
      <alignment horizontal="center"/>
    </xf>
    <xf numFmtId="0" fontId="40" fillId="26" borderId="0" xfId="0" applyFont="1" applyFill="1" applyBorder="1" applyAlignment="1">
      <alignment horizontal="center"/>
    </xf>
    <xf numFmtId="0" fontId="19" fillId="7" borderId="94" xfId="4" applyFont="1" applyFill="1" applyBorder="1" applyAlignment="1">
      <alignment horizontal="center" vertical="center" wrapText="1"/>
    </xf>
    <xf numFmtId="0" fontId="19" fillId="7" borderId="92" xfId="4" applyFont="1" applyFill="1" applyBorder="1" applyAlignment="1">
      <alignment horizontal="center" vertical="center" wrapText="1"/>
    </xf>
    <xf numFmtId="0" fontId="19" fillId="7" borderId="96" xfId="4" applyFont="1" applyFill="1" applyBorder="1" applyAlignment="1">
      <alignment horizontal="center" vertical="center" wrapText="1"/>
    </xf>
    <xf numFmtId="0" fontId="19" fillId="7" borderId="97" xfId="4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wrapText="1"/>
    </xf>
    <xf numFmtId="0" fontId="4" fillId="13" borderId="44" xfId="0" applyFont="1" applyFill="1" applyBorder="1" applyAlignment="1">
      <alignment horizontal="center" wrapText="1"/>
    </xf>
    <xf numFmtId="0" fontId="19" fillId="7" borderId="81" xfId="4" applyFont="1" applyFill="1" applyBorder="1" applyAlignment="1">
      <alignment horizontal="center" vertical="center" wrapText="1"/>
    </xf>
    <xf numFmtId="0" fontId="19" fillId="7" borderId="82" xfId="4" applyFont="1" applyFill="1" applyBorder="1" applyAlignment="1">
      <alignment horizontal="center" vertical="center" wrapText="1"/>
    </xf>
    <xf numFmtId="0" fontId="19" fillId="7" borderId="83" xfId="4" applyFont="1" applyFill="1" applyBorder="1" applyAlignment="1">
      <alignment horizontal="center" vertical="center" wrapText="1"/>
    </xf>
    <xf numFmtId="0" fontId="19" fillId="7" borderId="84" xfId="4" applyFont="1" applyFill="1" applyBorder="1" applyAlignment="1">
      <alignment horizontal="center" vertical="center" wrapText="1"/>
    </xf>
    <xf numFmtId="0" fontId="19" fillId="7" borderId="85" xfId="4" applyFont="1" applyFill="1" applyBorder="1" applyAlignment="1">
      <alignment horizontal="center" vertical="center" wrapText="1"/>
    </xf>
    <xf numFmtId="0" fontId="19" fillId="7" borderId="86" xfId="4" applyFont="1" applyFill="1" applyBorder="1" applyAlignment="1">
      <alignment horizontal="center" vertical="center" wrapText="1"/>
    </xf>
    <xf numFmtId="0" fontId="19" fillId="7" borderId="95" xfId="4" applyFont="1" applyFill="1" applyBorder="1" applyAlignment="1">
      <alignment horizontal="center" vertical="center" wrapText="1"/>
    </xf>
    <xf numFmtId="0" fontId="19" fillId="7" borderId="98" xfId="4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6" fillId="8" borderId="26" xfId="0" applyFont="1" applyFill="1" applyBorder="1" applyAlignment="1">
      <alignment horizontal="center"/>
    </xf>
    <xf numFmtId="0" fontId="29" fillId="0" borderId="20" xfId="0" applyFont="1" applyBorder="1" applyAlignment="1">
      <alignment horizontal="center"/>
    </xf>
    <xf numFmtId="0" fontId="29" fillId="0" borderId="35" xfId="0" applyFont="1" applyBorder="1" applyAlignment="1">
      <alignment horizontal="center"/>
    </xf>
    <xf numFmtId="0" fontId="29" fillId="0" borderId="57" xfId="0" applyFont="1" applyBorder="1" applyAlignment="1">
      <alignment horizontal="center"/>
    </xf>
    <xf numFmtId="0" fontId="8" fillId="11" borderId="34" xfId="0" applyFont="1" applyFill="1" applyBorder="1" applyAlignment="1">
      <alignment horizontal="center"/>
    </xf>
    <xf numFmtId="0" fontId="8" fillId="11" borderId="33" xfId="0" applyFont="1" applyFill="1" applyBorder="1" applyAlignment="1">
      <alignment horizontal="center"/>
    </xf>
    <xf numFmtId="0" fontId="8" fillId="11" borderId="65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60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61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50" xfId="0" applyBorder="1" applyAlignment="1">
      <alignment horizontal="center"/>
    </xf>
    <xf numFmtId="0" fontId="47" fillId="0" borderId="20" xfId="0" applyFont="1" applyBorder="1" applyAlignment="1">
      <alignment horizontal="center"/>
    </xf>
    <xf numFmtId="0" fontId="47" fillId="0" borderId="35" xfId="0" applyFont="1" applyBorder="1" applyAlignment="1">
      <alignment horizontal="center"/>
    </xf>
    <xf numFmtId="0" fontId="47" fillId="0" borderId="57" xfId="0" applyFont="1" applyBorder="1" applyAlignment="1">
      <alignment horizontal="center"/>
    </xf>
    <xf numFmtId="0" fontId="47" fillId="0" borderId="51" xfId="0" applyFont="1" applyBorder="1" applyAlignment="1">
      <alignment horizontal="center"/>
    </xf>
    <xf numFmtId="0" fontId="47" fillId="0" borderId="48" xfId="0" applyFont="1" applyBorder="1" applyAlignment="1">
      <alignment horizontal="center"/>
    </xf>
    <xf numFmtId="0" fontId="47" fillId="0" borderId="50" xfId="0" applyFont="1" applyBorder="1" applyAlignment="1">
      <alignment horizontal="center"/>
    </xf>
    <xf numFmtId="0" fontId="52" fillId="0" borderId="0" xfId="0" applyFont="1" applyAlignment="1">
      <alignment horizontal="center"/>
    </xf>
    <xf numFmtId="0" fontId="19" fillId="14" borderId="91" xfId="0" applyFont="1" applyFill="1" applyBorder="1" applyAlignment="1">
      <alignment horizontal="center" vertical="center"/>
    </xf>
    <xf numFmtId="0" fontId="19" fillId="14" borderId="90" xfId="0" applyFont="1" applyFill="1" applyBorder="1" applyAlignment="1">
      <alignment horizontal="center" vertical="center"/>
    </xf>
    <xf numFmtId="0" fontId="19" fillId="14" borderId="3" xfId="0" applyFont="1" applyFill="1" applyBorder="1" applyAlignment="1">
      <alignment horizontal="center" vertical="center"/>
    </xf>
    <xf numFmtId="0" fontId="19" fillId="14" borderId="46" xfId="0" applyFont="1" applyFill="1" applyBorder="1" applyAlignment="1">
      <alignment horizontal="center" vertical="center"/>
    </xf>
    <xf numFmtId="0" fontId="19" fillId="14" borderId="34" xfId="0" applyFont="1" applyFill="1" applyBorder="1" applyAlignment="1">
      <alignment horizontal="center"/>
    </xf>
    <xf numFmtId="0" fontId="19" fillId="14" borderId="65" xfId="0" applyFont="1" applyFill="1" applyBorder="1" applyAlignment="1">
      <alignment horizontal="center"/>
    </xf>
    <xf numFmtId="0" fontId="19" fillId="14" borderId="32" xfId="0" applyFont="1" applyFill="1" applyBorder="1" applyAlignment="1">
      <alignment horizontal="center"/>
    </xf>
    <xf numFmtId="0" fontId="19" fillId="14" borderId="33" xfId="0" applyFont="1" applyFill="1" applyBorder="1" applyAlignment="1">
      <alignment horizontal="center"/>
    </xf>
    <xf numFmtId="17" fontId="54" fillId="0" borderId="48" xfId="0" applyNumberFormat="1" applyFont="1" applyBorder="1" applyAlignment="1">
      <alignment horizontal="center"/>
    </xf>
    <xf numFmtId="0" fontId="54" fillId="0" borderId="48" xfId="0" applyFont="1" applyBorder="1" applyAlignment="1">
      <alignment horizontal="center"/>
    </xf>
  </cellXfs>
  <cellStyles count="11">
    <cellStyle name="Comma" xfId="1" builtinId="3"/>
    <cellStyle name="Comma [0]" xfId="9" builtinId="6"/>
    <cellStyle name="Comma 2" xfId="2"/>
    <cellStyle name="Currency" xfId="3" builtinId="4"/>
    <cellStyle name="Currency [0]" xfId="10" builtinId="7"/>
    <cellStyle name="Normal" xfId="0" builtinId="0"/>
    <cellStyle name="Normal 2" xfId="4"/>
    <cellStyle name="Normal 2 4" xfId="5"/>
    <cellStyle name="Normal 3" xfId="7"/>
    <cellStyle name="Normal 4" xfId="8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'Utility summery'!$D$7:$D$38</c:f>
              <c:numCache>
                <c:formatCode>_(* #,##0.00_);_(* \(#,##0.00\);_(* "-"??_);_(@_)</c:formatCode>
                <c:ptCount val="32"/>
                <c:pt idx="0">
                  <c:v>1688.71</c:v>
                </c:pt>
                <c:pt idx="1">
                  <c:v>1631.55</c:v>
                </c:pt>
                <c:pt idx="2">
                  <c:v>1767.07</c:v>
                </c:pt>
                <c:pt idx="3">
                  <c:v>1578.5899999999997</c:v>
                </c:pt>
                <c:pt idx="4">
                  <c:v>1833.0300000000002</c:v>
                </c:pt>
                <c:pt idx="5">
                  <c:v>1612.2599999999998</c:v>
                </c:pt>
                <c:pt idx="6">
                  <c:v>1594.7199999999998</c:v>
                </c:pt>
                <c:pt idx="7">
                  <c:v>1546.25</c:v>
                </c:pt>
                <c:pt idx="8">
                  <c:v>1693.96</c:v>
                </c:pt>
                <c:pt idx="9">
                  <c:v>1589.0299999999997</c:v>
                </c:pt>
                <c:pt idx="10">
                  <c:v>1661.0300000000002</c:v>
                </c:pt>
                <c:pt idx="11">
                  <c:v>1744.1100000000001</c:v>
                </c:pt>
                <c:pt idx="12">
                  <c:v>1718.37</c:v>
                </c:pt>
                <c:pt idx="13">
                  <c:v>1798.7200000000003</c:v>
                </c:pt>
                <c:pt idx="14">
                  <c:v>1811.63</c:v>
                </c:pt>
                <c:pt idx="15">
                  <c:v>1984.46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81-4EF3-A668-2EFC334EF29F}"/>
            </c:ext>
          </c:extLst>
        </c:ser>
        <c:axId val="116832512"/>
        <c:axId val="116834304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'Utility summery'!$B$7:$B$37</c:f>
              <c:numCache>
                <c:formatCode>General</c:formatCode>
                <c:ptCount val="31"/>
                <c:pt idx="0">
                  <c:v>9</c:v>
                </c:pt>
                <c:pt idx="1">
                  <c:v>6</c:v>
                </c:pt>
                <c:pt idx="2">
                  <c:v>8</c:v>
                </c:pt>
                <c:pt idx="3">
                  <c:v>9</c:v>
                </c:pt>
                <c:pt idx="4">
                  <c:v>11</c:v>
                </c:pt>
                <c:pt idx="5">
                  <c:v>6</c:v>
                </c:pt>
                <c:pt idx="6">
                  <c:v>9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6</c:v>
                </c:pt>
                <c:pt idx="11">
                  <c:v>8</c:v>
                </c:pt>
                <c:pt idx="12">
                  <c:v>10</c:v>
                </c:pt>
                <c:pt idx="13">
                  <c:v>15</c:v>
                </c:pt>
                <c:pt idx="14">
                  <c:v>15</c:v>
                </c:pt>
                <c:pt idx="15">
                  <c:v>36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481-4EF3-A668-2EFC334EF29F}"/>
            </c:ext>
          </c:extLst>
        </c:ser>
        <c:marker val="1"/>
        <c:axId val="116835840"/>
        <c:axId val="116837376"/>
      </c:lineChart>
      <c:catAx>
        <c:axId val="1168325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6834304"/>
        <c:crosses val="autoZero"/>
        <c:auto val="1"/>
        <c:lblAlgn val="ctr"/>
        <c:lblOffset val="100"/>
      </c:catAx>
      <c:valAx>
        <c:axId val="116834304"/>
        <c:scaling>
          <c:orientation val="minMax"/>
        </c:scaling>
        <c:axPos val="l"/>
        <c:majorGridlines/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6832512"/>
        <c:crosses val="autoZero"/>
        <c:crossBetween val="between"/>
        <c:majorUnit val="200"/>
      </c:valAx>
      <c:catAx>
        <c:axId val="116835840"/>
        <c:scaling>
          <c:orientation val="minMax"/>
        </c:scaling>
        <c:delete val="1"/>
        <c:axPos val="b"/>
        <c:tickLblPos val="none"/>
        <c:crossAx val="116837376"/>
        <c:crosses val="autoZero"/>
        <c:auto val="1"/>
        <c:lblAlgn val="ctr"/>
        <c:lblOffset val="100"/>
      </c:catAx>
      <c:valAx>
        <c:axId val="116837376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683584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'[2]Utility summery'!$D$7:$D$38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axId val="119226752"/>
        <c:axId val="119228288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'[2]Utility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19229824"/>
        <c:axId val="119235712"/>
      </c:lineChart>
      <c:catAx>
        <c:axId val="1192267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228288"/>
        <c:crosses val="autoZero"/>
        <c:auto val="1"/>
        <c:lblAlgn val="ctr"/>
        <c:lblOffset val="100"/>
      </c:catAx>
      <c:valAx>
        <c:axId val="1192282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226752"/>
        <c:crosses val="autoZero"/>
        <c:crossBetween val="between"/>
        <c:majorUnit val="200"/>
      </c:valAx>
      <c:catAx>
        <c:axId val="119229824"/>
        <c:scaling>
          <c:orientation val="minMax"/>
        </c:scaling>
        <c:delete val="1"/>
        <c:axPos val="b"/>
        <c:tickLblPos val="none"/>
        <c:crossAx val="119235712"/>
        <c:crosses val="autoZero"/>
        <c:auto val="1"/>
        <c:lblAlgn val="ctr"/>
        <c:lblOffset val="100"/>
      </c:catAx>
      <c:valAx>
        <c:axId val="119235712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22982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404.63</c:v>
                </c:pt>
                <c:pt idx="1">
                  <c:v>1310.5899999999999</c:v>
                </c:pt>
                <c:pt idx="2">
                  <c:v>1724.8</c:v>
                </c:pt>
                <c:pt idx="3">
                  <c:v>1745.89</c:v>
                </c:pt>
                <c:pt idx="4">
                  <c:v>1844.77</c:v>
                </c:pt>
                <c:pt idx="5">
                  <c:v>3821.7299999999996</c:v>
                </c:pt>
                <c:pt idx="6">
                  <c:v>1640.5899999999997</c:v>
                </c:pt>
                <c:pt idx="7">
                  <c:v>1833.0300000000002</c:v>
                </c:pt>
                <c:pt idx="8">
                  <c:v>1789.7199999999998</c:v>
                </c:pt>
                <c:pt idx="9">
                  <c:v>1607.9199999999998</c:v>
                </c:pt>
                <c:pt idx="10">
                  <c:v>1806.47</c:v>
                </c:pt>
                <c:pt idx="11">
                  <c:v>2083.27</c:v>
                </c:pt>
                <c:pt idx="12">
                  <c:v>1841.3099999999997</c:v>
                </c:pt>
                <c:pt idx="13">
                  <c:v>1885.4300000000003</c:v>
                </c:pt>
                <c:pt idx="14">
                  <c:v>2005.7200000000003</c:v>
                </c:pt>
                <c:pt idx="15">
                  <c:v>1822.4799999999998</c:v>
                </c:pt>
                <c:pt idx="16">
                  <c:v>2008.8600000000001</c:v>
                </c:pt>
                <c:pt idx="17">
                  <c:v>1811.63</c:v>
                </c:pt>
                <c:pt idx="18">
                  <c:v>1984.46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AD8-46A9-86E4-50C2CB57C16C}"/>
            </c:ext>
          </c:extLst>
        </c:ser>
        <c:marker val="1"/>
        <c:axId val="121206656"/>
        <c:axId val="121208192"/>
      </c:lineChart>
      <c:catAx>
        <c:axId val="1212066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208192"/>
        <c:crosses val="autoZero"/>
        <c:auto val="1"/>
        <c:lblAlgn val="ctr"/>
        <c:lblOffset val="200"/>
        <c:tickLblSkip val="1"/>
      </c:catAx>
      <c:valAx>
        <c:axId val="121208192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2066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0.11700000000000001</c:v>
                </c:pt>
                <c:pt idx="1">
                  <c:v>0.11700000000000001</c:v>
                </c:pt>
                <c:pt idx="2">
                  <c:v>0.182</c:v>
                </c:pt>
                <c:pt idx="3">
                  <c:v>9.0999999999999998E-2</c:v>
                </c:pt>
                <c:pt idx="4">
                  <c:v>0.104</c:v>
                </c:pt>
                <c:pt idx="5">
                  <c:v>9.8000000000000004E-2</c:v>
                </c:pt>
                <c:pt idx="6">
                  <c:v>0.1555</c:v>
                </c:pt>
                <c:pt idx="7">
                  <c:v>0.1038</c:v>
                </c:pt>
                <c:pt idx="8">
                  <c:v>0.16880000000000001</c:v>
                </c:pt>
                <c:pt idx="9">
                  <c:v>0.12989999999999999</c:v>
                </c:pt>
                <c:pt idx="10">
                  <c:v>0.10390000000000001</c:v>
                </c:pt>
                <c:pt idx="11">
                  <c:v>0.1429</c:v>
                </c:pt>
                <c:pt idx="12">
                  <c:v>0.12989999999999999</c:v>
                </c:pt>
                <c:pt idx="13">
                  <c:v>0.1429</c:v>
                </c:pt>
                <c:pt idx="14">
                  <c:v>0.15579999999999999</c:v>
                </c:pt>
                <c:pt idx="15">
                  <c:v>0.15579999999999999</c:v>
                </c:pt>
                <c:pt idx="16">
                  <c:v>0.36359999999999998</c:v>
                </c:pt>
                <c:pt idx="17">
                  <c:v>0.35049999999999998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4C8-4550-B56B-0C44981C988C}"/>
            </c:ext>
          </c:extLst>
        </c:ser>
        <c:marker val="1"/>
        <c:axId val="121236864"/>
        <c:axId val="122246272"/>
      </c:lineChart>
      <c:catAx>
        <c:axId val="1212368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246272"/>
        <c:crosses val="autoZero"/>
        <c:auto val="1"/>
        <c:lblAlgn val="ctr"/>
        <c:lblOffset val="100"/>
      </c:catAx>
      <c:valAx>
        <c:axId val="122246272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2368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4302</c:v>
                </c:pt>
                <c:pt idx="3">
                  <c:v>4286</c:v>
                </c:pt>
                <c:pt idx="4">
                  <c:v>4122</c:v>
                </c:pt>
                <c:pt idx="5">
                  <c:v>4432</c:v>
                </c:pt>
                <c:pt idx="6">
                  <c:v>4152</c:v>
                </c:pt>
                <c:pt idx="7">
                  <c:v>4564</c:v>
                </c:pt>
                <c:pt idx="8">
                  <c:v>4168</c:v>
                </c:pt>
                <c:pt idx="9">
                  <c:v>3985</c:v>
                </c:pt>
                <c:pt idx="10">
                  <c:v>4085</c:v>
                </c:pt>
                <c:pt idx="11">
                  <c:v>4227</c:v>
                </c:pt>
                <c:pt idx="12">
                  <c:v>4272</c:v>
                </c:pt>
                <c:pt idx="13">
                  <c:v>4226</c:v>
                </c:pt>
                <c:pt idx="14">
                  <c:v>4489</c:v>
                </c:pt>
                <c:pt idx="15">
                  <c:v>4460</c:v>
                </c:pt>
                <c:pt idx="16">
                  <c:v>4526</c:v>
                </c:pt>
                <c:pt idx="17">
                  <c:v>4416</c:v>
                </c:pt>
                <c:pt idx="18">
                  <c:v>5002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40A-49BF-9F5F-C63F7DC89D6B}"/>
            </c:ext>
          </c:extLst>
        </c:ser>
        <c:marker val="1"/>
        <c:axId val="122688640"/>
        <c:axId val="122690560"/>
      </c:lineChart>
      <c:catAx>
        <c:axId val="12268864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690560"/>
        <c:crosses val="autoZero"/>
        <c:auto val="1"/>
        <c:lblAlgn val="ctr"/>
        <c:lblOffset val="100"/>
      </c:catAx>
      <c:valAx>
        <c:axId val="122690560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688640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109</c:v>
                </c:pt>
                <c:pt idx="1">
                  <c:v>93</c:v>
                </c:pt>
                <c:pt idx="2">
                  <c:v>95</c:v>
                </c:pt>
                <c:pt idx="3">
                  <c:v>97</c:v>
                </c:pt>
                <c:pt idx="4">
                  <c:v>86</c:v>
                </c:pt>
                <c:pt idx="5">
                  <c:v>105</c:v>
                </c:pt>
                <c:pt idx="6">
                  <c:v>131</c:v>
                </c:pt>
                <c:pt idx="7">
                  <c:v>129</c:v>
                </c:pt>
                <c:pt idx="8">
                  <c:v>139</c:v>
                </c:pt>
                <c:pt idx="9">
                  <c:v>101</c:v>
                </c:pt>
                <c:pt idx="10">
                  <c:v>101</c:v>
                </c:pt>
                <c:pt idx="11">
                  <c:v>108</c:v>
                </c:pt>
                <c:pt idx="12">
                  <c:v>105</c:v>
                </c:pt>
                <c:pt idx="13">
                  <c:v>111</c:v>
                </c:pt>
                <c:pt idx="14">
                  <c:v>97</c:v>
                </c:pt>
                <c:pt idx="15">
                  <c:v>87</c:v>
                </c:pt>
                <c:pt idx="16">
                  <c:v>108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99C-478A-9D23-9F2FF815D3AD}"/>
            </c:ext>
          </c:extLst>
        </c:ser>
        <c:marker val="1"/>
        <c:axId val="122731904"/>
        <c:axId val="122742272"/>
      </c:lineChart>
      <c:catAx>
        <c:axId val="12273190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742272"/>
        <c:crosses val="autoZero"/>
        <c:auto val="1"/>
        <c:lblAlgn val="ctr"/>
        <c:lblOffset val="100"/>
      </c:catAx>
      <c:valAx>
        <c:axId val="122742272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731904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114.53199999999488</c:v>
                </c:pt>
                <c:pt idx="1">
                  <c:v>119.37200000002049</c:v>
                </c:pt>
                <c:pt idx="2">
                  <c:v>123.20000000000002</c:v>
                </c:pt>
                <c:pt idx="3">
                  <c:v>105.51199999998208</c:v>
                </c:pt>
                <c:pt idx="4">
                  <c:v>106.74399999997696</c:v>
                </c:pt>
                <c:pt idx="5">
                  <c:v>96.140000000025623</c:v>
                </c:pt>
                <c:pt idx="6">
                  <c:v>102.03600000001025</c:v>
                </c:pt>
                <c:pt idx="7">
                  <c:v>99.747999999992331</c:v>
                </c:pt>
                <c:pt idx="8">
                  <c:v>100.93600000001025</c:v>
                </c:pt>
                <c:pt idx="9">
                  <c:v>104.93999999996159</c:v>
                </c:pt>
                <c:pt idx="10">
                  <c:v>102.47600000003587</c:v>
                </c:pt>
                <c:pt idx="11">
                  <c:v>105.64399999997696</c:v>
                </c:pt>
                <c:pt idx="12">
                  <c:v>101.28800000001793</c:v>
                </c:pt>
                <c:pt idx="13">
                  <c:v>101.11199999998207</c:v>
                </c:pt>
                <c:pt idx="14">
                  <c:v>105.60000000000001</c:v>
                </c:pt>
                <c:pt idx="15">
                  <c:v>52.184000000002563</c:v>
                </c:pt>
                <c:pt idx="16">
                  <c:v>104.23600000001025</c:v>
                </c:pt>
                <c:pt idx="17">
                  <c:v>-301408.40400000004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C08-4B7D-8041-94D9B687749D}"/>
            </c:ext>
          </c:extLst>
        </c:ser>
        <c:marker val="1"/>
        <c:axId val="121653120"/>
        <c:axId val="121654656"/>
      </c:lineChart>
      <c:catAx>
        <c:axId val="1216531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654656"/>
        <c:crosses val="autoZero"/>
        <c:auto val="1"/>
        <c:lblAlgn val="ctr"/>
        <c:lblOffset val="100"/>
      </c:catAx>
      <c:valAx>
        <c:axId val="12165465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6531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6EAE-4140-9665-BF5AADCBDD1C}"/>
                </c:ext>
                <c:ext xmlns:c15="http://schemas.microsoft.com/office/drawing/2012/chart" uri="{CE6537A1-D6FC-4f65-9D91-7224C49458BB}"/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6EAE-4140-9665-BF5AADCBDD1C}"/>
                </c:ext>
                <c:ext xmlns:c15="http://schemas.microsoft.com/office/drawing/2012/chart" uri="{CE6537A1-D6FC-4f65-9D91-7224C49458BB}"/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6EAE-4140-9665-BF5AADCBDD1C}"/>
                </c:ext>
                <c:ext xmlns:c15="http://schemas.microsoft.com/office/drawing/2012/chart" uri="{CE6537A1-D6FC-4f65-9D91-7224C49458BB}"/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6EAE-4140-9665-BF5AADCBDD1C}"/>
                </c:ext>
                <c:ext xmlns:c15="http://schemas.microsoft.com/office/drawing/2012/chart" uri="{CE6537A1-D6FC-4f65-9D91-7224C49458BB}"/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4-6EAE-4140-9665-BF5AADCBDD1C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6EAE-4140-9665-BF5AADCBDD1C}"/>
            </c:ex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 xmlns:c16r2="http://schemas.microsoft.com/office/drawing/2015/06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6EAE-4140-9665-BF5AADCBDD1C}"/>
            </c:ex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 xmlns:c16r2="http://schemas.microsoft.com/office/drawing/2015/06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</c:extLst>
        </c:ser>
        <c:marker val="1"/>
        <c:axId val="123273600"/>
        <c:axId val="123275136"/>
      </c:lineChart>
      <c:catAx>
        <c:axId val="1232736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275136"/>
        <c:crosses val="autoZero"/>
        <c:auto val="1"/>
        <c:lblAlgn val="ctr"/>
        <c:lblOffset val="100"/>
      </c:catAx>
      <c:valAx>
        <c:axId val="1232751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2736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'Summery Report'!$G$4</c:f>
              <c:strCache>
                <c:ptCount val="1"/>
                <c:pt idx="0">
                  <c:v> Diesel consumed by Gen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1654.6399999999999</c:v>
                </c:pt>
                <c:pt idx="3">
                  <c:v>1688.71</c:v>
                </c:pt>
                <c:pt idx="4">
                  <c:v>1631.55</c:v>
                </c:pt>
                <c:pt idx="5">
                  <c:v>1767.07</c:v>
                </c:pt>
                <c:pt idx="6">
                  <c:v>1578.5899999999997</c:v>
                </c:pt>
                <c:pt idx="7">
                  <c:v>1833.0300000000002</c:v>
                </c:pt>
                <c:pt idx="8">
                  <c:v>1612.2599999999998</c:v>
                </c:pt>
                <c:pt idx="9">
                  <c:v>1594.7199999999998</c:v>
                </c:pt>
                <c:pt idx="10">
                  <c:v>1546.25</c:v>
                </c:pt>
                <c:pt idx="11">
                  <c:v>1693.96</c:v>
                </c:pt>
                <c:pt idx="12">
                  <c:v>1589.0299999999997</c:v>
                </c:pt>
                <c:pt idx="13">
                  <c:v>1661.0300000000002</c:v>
                </c:pt>
                <c:pt idx="14">
                  <c:v>1744.1100000000001</c:v>
                </c:pt>
                <c:pt idx="15">
                  <c:v>1718.37</c:v>
                </c:pt>
                <c:pt idx="16">
                  <c:v>1798.7200000000003</c:v>
                </c:pt>
                <c:pt idx="17">
                  <c:v>1811.63</c:v>
                </c:pt>
                <c:pt idx="18">
                  <c:v>1984.46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4D6-446C-8508-6BFCED729E25}"/>
            </c:ext>
          </c:extLst>
        </c:ser>
        <c:marker val="1"/>
        <c:axId val="123311616"/>
        <c:axId val="123313152"/>
      </c:lineChart>
      <c:catAx>
        <c:axId val="1233116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313152"/>
        <c:crosses val="autoZero"/>
        <c:auto val="1"/>
        <c:lblAlgn val="ctr"/>
        <c:lblOffset val="100"/>
      </c:catAx>
      <c:valAx>
        <c:axId val="1233131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3116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6568"/>
          <c:y val="7.4713247051100842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23337728"/>
        <c:axId val="147473152"/>
      </c:lineChart>
      <c:catAx>
        <c:axId val="1233377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473152"/>
        <c:crosses val="autoZero"/>
        <c:auto val="1"/>
        <c:lblAlgn val="ctr"/>
        <c:lblOffset val="200"/>
        <c:tickLblSkip val="1"/>
      </c:catAx>
      <c:valAx>
        <c:axId val="147473152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3377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47501824"/>
        <c:axId val="147503360"/>
      </c:lineChart>
      <c:catAx>
        <c:axId val="1475018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503360"/>
        <c:crosses val="autoZero"/>
        <c:auto val="1"/>
        <c:lblAlgn val="ctr"/>
        <c:lblOffset val="100"/>
      </c:catAx>
      <c:valAx>
        <c:axId val="1475033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5018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147269888"/>
        <c:axId val="147308928"/>
      </c:lineChart>
      <c:catAx>
        <c:axId val="14726988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308928"/>
        <c:crosses val="autoZero"/>
        <c:auto val="1"/>
        <c:lblAlgn val="ctr"/>
        <c:lblOffset val="100"/>
      </c:catAx>
      <c:valAx>
        <c:axId val="147308928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269888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147817216"/>
        <c:axId val="147819136"/>
      </c:lineChart>
      <c:catAx>
        <c:axId val="14781721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819136"/>
        <c:crosses val="autoZero"/>
        <c:auto val="1"/>
        <c:lblAlgn val="ctr"/>
        <c:lblOffset val="100"/>
      </c:catAx>
      <c:valAx>
        <c:axId val="147819136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81721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48192256"/>
        <c:axId val="148194048"/>
      </c:lineChart>
      <c:catAx>
        <c:axId val="1481922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8194048"/>
        <c:crosses val="autoZero"/>
        <c:auto val="1"/>
        <c:lblAlgn val="ctr"/>
        <c:lblOffset val="100"/>
      </c:catAx>
      <c:valAx>
        <c:axId val="1481940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81922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dLblPos val="b"/>
              <c:showVal val="1"/>
              <c:extLst>
                <c:ext xmlns:c15="http://schemas.microsoft.com/office/drawing/2012/chart" uri="{CE6537A1-D6FC-4f65-9D91-7224C49458BB}"/>
              </c:extLst>
            </c:dLbl>
            <c:dLbl>
              <c:idx val="7"/>
              <c:dLblPos val="b"/>
              <c:showVal val="1"/>
              <c:extLst>
                <c:ext xmlns:c15="http://schemas.microsoft.com/office/drawing/2012/chart" uri="{CE6537A1-D6FC-4f65-9D91-7224C49458BB}"/>
              </c:extLst>
            </c:dLbl>
            <c:dLbl>
              <c:idx val="10"/>
              <c:dLblPos val="b"/>
              <c:showVal val="1"/>
              <c:extLst>
                <c:ext xmlns:c15="http://schemas.microsoft.com/office/drawing/2012/chart" uri="{CE6537A1-D6FC-4f65-9D91-7224C49458BB}"/>
              </c:extLst>
            </c:dLbl>
            <c:dLbl>
              <c:idx val="12"/>
              <c:dLblPos val="b"/>
              <c:showVal val="1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</c:extLst>
        </c:ser>
        <c:marker val="1"/>
        <c:axId val="148219392"/>
        <c:axId val="148220928"/>
      </c:lineChart>
      <c:catAx>
        <c:axId val="1482193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8220928"/>
        <c:crosses val="autoZero"/>
        <c:auto val="1"/>
        <c:lblAlgn val="ctr"/>
        <c:lblOffset val="100"/>
      </c:catAx>
      <c:valAx>
        <c:axId val="1482209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82193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Report'!$G$4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47999360"/>
        <c:axId val="148001152"/>
      </c:lineChart>
      <c:catAx>
        <c:axId val="1479993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8001152"/>
        <c:crosses val="autoZero"/>
        <c:auto val="1"/>
        <c:lblAlgn val="ctr"/>
        <c:lblOffset val="100"/>
      </c:catAx>
      <c:valAx>
        <c:axId val="1480011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9993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65868"/>
          <c:y val="7.4713247051101231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'Energy Graph'!$B$1</c:f>
              <c:strCache>
                <c:ptCount val="1"/>
                <c:pt idx="0">
                  <c:v>Usage KW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43739</c:v>
                </c:pt>
                <c:pt idx="1">
                  <c:v>43740</c:v>
                </c:pt>
                <c:pt idx="2">
                  <c:v>43741</c:v>
                </c:pt>
                <c:pt idx="3">
                  <c:v>43742</c:v>
                </c:pt>
                <c:pt idx="4">
                  <c:v>43743</c:v>
                </c:pt>
                <c:pt idx="5">
                  <c:v>43744</c:v>
                </c:pt>
                <c:pt idx="6">
                  <c:v>43745</c:v>
                </c:pt>
                <c:pt idx="7">
                  <c:v>43746</c:v>
                </c:pt>
                <c:pt idx="8">
                  <c:v>43747</c:v>
                </c:pt>
                <c:pt idx="9">
                  <c:v>43748</c:v>
                </c:pt>
                <c:pt idx="10">
                  <c:v>43749</c:v>
                </c:pt>
                <c:pt idx="11">
                  <c:v>43750</c:v>
                </c:pt>
                <c:pt idx="12">
                  <c:v>43751</c:v>
                </c:pt>
                <c:pt idx="13">
                  <c:v>43752</c:v>
                </c:pt>
                <c:pt idx="14">
                  <c:v>43753</c:v>
                </c:pt>
                <c:pt idx="15">
                  <c:v>43754</c:v>
                </c:pt>
                <c:pt idx="16">
                  <c:v>43755</c:v>
                </c:pt>
                <c:pt idx="17">
                  <c:v>43756</c:v>
                </c:pt>
                <c:pt idx="18">
                  <c:v>43757</c:v>
                </c:pt>
                <c:pt idx="19">
                  <c:v>43758</c:v>
                </c:pt>
                <c:pt idx="20">
                  <c:v>43759</c:v>
                </c:pt>
                <c:pt idx="21">
                  <c:v>43760</c:v>
                </c:pt>
                <c:pt idx="22">
                  <c:v>43761</c:v>
                </c:pt>
                <c:pt idx="23">
                  <c:v>43762</c:v>
                </c:pt>
                <c:pt idx="24">
                  <c:v>43763</c:v>
                </c:pt>
                <c:pt idx="25">
                  <c:v>43764</c:v>
                </c:pt>
                <c:pt idx="26">
                  <c:v>43765</c:v>
                </c:pt>
                <c:pt idx="27">
                  <c:v>43766</c:v>
                </c:pt>
                <c:pt idx="28">
                  <c:v>43767</c:v>
                </c:pt>
                <c:pt idx="29">
                  <c:v>43768</c:v>
                </c:pt>
                <c:pt idx="30">
                  <c:v>43769</c:v>
                </c:pt>
              </c:numCache>
            </c:numRef>
          </c:cat>
          <c:val>
            <c:numRef>
              <c:f>'Energy Graph'!$B$2:$B$32</c:f>
              <c:numCache>
                <c:formatCode>_(* #,##0_);_(* \(#,##0\);_(* "-"??_);_(@_)</c:formatCode>
                <c:ptCount val="31"/>
                <c:pt idx="0">
                  <c:v>5669</c:v>
                </c:pt>
                <c:pt idx="1">
                  <c:v>6159</c:v>
                </c:pt>
                <c:pt idx="2">
                  <c:v>6580</c:v>
                </c:pt>
                <c:pt idx="3">
                  <c:v>6223</c:v>
                </c:pt>
                <c:pt idx="4">
                  <c:v>5984</c:v>
                </c:pt>
                <c:pt idx="5">
                  <c:v>6103</c:v>
                </c:pt>
                <c:pt idx="6">
                  <c:v>5576</c:v>
                </c:pt>
                <c:pt idx="7">
                  <c:v>5532</c:v>
                </c:pt>
                <c:pt idx="8">
                  <c:v>6233</c:v>
                </c:pt>
                <c:pt idx="9">
                  <c:v>6063</c:v>
                </c:pt>
                <c:pt idx="10">
                  <c:v>5967</c:v>
                </c:pt>
                <c:pt idx="11">
                  <c:v>5863</c:v>
                </c:pt>
                <c:pt idx="12">
                  <c:v>5720</c:v>
                </c:pt>
                <c:pt idx="13">
                  <c:v>6195</c:v>
                </c:pt>
                <c:pt idx="14">
                  <c:v>6450</c:v>
                </c:pt>
                <c:pt idx="15">
                  <c:v>6915</c:v>
                </c:pt>
                <c:pt idx="16">
                  <c:v>5962</c:v>
                </c:pt>
                <c:pt idx="17">
                  <c:v>5257</c:v>
                </c:pt>
                <c:pt idx="18">
                  <c:v>4691</c:v>
                </c:pt>
                <c:pt idx="19">
                  <c:v>5712</c:v>
                </c:pt>
                <c:pt idx="20">
                  <c:v>5941</c:v>
                </c:pt>
                <c:pt idx="21">
                  <c:v>5400</c:v>
                </c:pt>
                <c:pt idx="22">
                  <c:v>5371</c:v>
                </c:pt>
                <c:pt idx="23">
                  <c:v>5296</c:v>
                </c:pt>
                <c:pt idx="24">
                  <c:v>5221</c:v>
                </c:pt>
                <c:pt idx="25">
                  <c:v>5665</c:v>
                </c:pt>
                <c:pt idx="26">
                  <c:v>6109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8AA-48B2-9352-2EE36A97AD42}"/>
            </c:ext>
          </c:extLst>
        </c:ser>
        <c:marker val="1"/>
        <c:axId val="148759680"/>
        <c:axId val="148761216"/>
      </c:lineChart>
      <c:lineChart>
        <c:grouping val="stacked"/>
        <c:ser>
          <c:idx val="1"/>
          <c:order val="1"/>
          <c:tx>
            <c:strRef>
              <c:f>'Energy Graph'!$C$1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58AA-48B2-9352-2EE36A97AD42}"/>
                </c:ex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58AA-48B2-9352-2EE36A97AD42}"/>
                </c:ext>
                <c:ext xmlns:c15="http://schemas.microsoft.com/office/drawing/2012/chart" uri="{CE6537A1-D6FC-4f65-9D91-7224C49458BB}"/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58AA-48B2-9352-2EE36A97AD42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43739</c:v>
                </c:pt>
                <c:pt idx="1">
                  <c:v>43740</c:v>
                </c:pt>
                <c:pt idx="2">
                  <c:v>43741</c:v>
                </c:pt>
                <c:pt idx="3">
                  <c:v>43742</c:v>
                </c:pt>
                <c:pt idx="4">
                  <c:v>43743</c:v>
                </c:pt>
                <c:pt idx="5">
                  <c:v>43744</c:v>
                </c:pt>
                <c:pt idx="6">
                  <c:v>43745</c:v>
                </c:pt>
                <c:pt idx="7">
                  <c:v>43746</c:v>
                </c:pt>
                <c:pt idx="8">
                  <c:v>43747</c:v>
                </c:pt>
                <c:pt idx="9">
                  <c:v>43748</c:v>
                </c:pt>
                <c:pt idx="10">
                  <c:v>43749</c:v>
                </c:pt>
                <c:pt idx="11">
                  <c:v>43750</c:v>
                </c:pt>
                <c:pt idx="12">
                  <c:v>43751</c:v>
                </c:pt>
                <c:pt idx="13">
                  <c:v>43752</c:v>
                </c:pt>
                <c:pt idx="14">
                  <c:v>43753</c:v>
                </c:pt>
                <c:pt idx="15">
                  <c:v>43754</c:v>
                </c:pt>
                <c:pt idx="16">
                  <c:v>43755</c:v>
                </c:pt>
                <c:pt idx="17">
                  <c:v>43756</c:v>
                </c:pt>
                <c:pt idx="18">
                  <c:v>43757</c:v>
                </c:pt>
                <c:pt idx="19">
                  <c:v>43758</c:v>
                </c:pt>
                <c:pt idx="20">
                  <c:v>43759</c:v>
                </c:pt>
                <c:pt idx="21">
                  <c:v>43760</c:v>
                </c:pt>
                <c:pt idx="22">
                  <c:v>43761</c:v>
                </c:pt>
                <c:pt idx="23">
                  <c:v>43762</c:v>
                </c:pt>
                <c:pt idx="24">
                  <c:v>43763</c:v>
                </c:pt>
                <c:pt idx="25">
                  <c:v>43764</c:v>
                </c:pt>
                <c:pt idx="26">
                  <c:v>43765</c:v>
                </c:pt>
                <c:pt idx="27">
                  <c:v>43766</c:v>
                </c:pt>
                <c:pt idx="28">
                  <c:v>43767</c:v>
                </c:pt>
                <c:pt idx="29">
                  <c:v>43768</c:v>
                </c:pt>
                <c:pt idx="30">
                  <c:v>43769</c:v>
                </c:pt>
              </c:numCache>
            </c:numRef>
          </c:cat>
          <c:val>
            <c:numRef>
              <c:f>'Energy Graph'!$C$2:$C$32</c:f>
              <c:numCache>
                <c:formatCode>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58AA-48B2-9352-2EE36A97AD42}"/>
            </c:ext>
          </c:extLst>
        </c:ser>
        <c:marker val="1"/>
        <c:axId val="148971904"/>
        <c:axId val="148973440"/>
      </c:lineChart>
      <c:catAx>
        <c:axId val="148759680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8761216"/>
        <c:crosses val="autoZero"/>
        <c:lblAlgn val="ctr"/>
        <c:lblOffset val="100"/>
        <c:tickMarkSkip val="1"/>
      </c:catAx>
      <c:valAx>
        <c:axId val="148761216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8759680"/>
        <c:crosses val="autoZero"/>
        <c:crossBetween val="between"/>
      </c:valAx>
      <c:catAx>
        <c:axId val="148971904"/>
        <c:scaling>
          <c:orientation val="minMax"/>
        </c:scaling>
        <c:delete val="1"/>
        <c:axPos val="b"/>
        <c:numFmt formatCode="[$-409]d\-mmm\-yy;@" sourceLinked="1"/>
        <c:tickLblPos val="none"/>
        <c:crossAx val="148973440"/>
        <c:crosses val="autoZero"/>
        <c:lblAlgn val="ctr"/>
        <c:lblOffset val="100"/>
      </c:catAx>
      <c:valAx>
        <c:axId val="148973440"/>
        <c:scaling>
          <c:orientation val="minMax"/>
        </c:scaling>
        <c:axPos val="r"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897190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'Energy Graph'!$D$1</c:f>
              <c:strCache>
                <c:ptCount val="1"/>
                <c:pt idx="0">
                  <c:v>Cost per room Total Occ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627E-4A2A-AB62-4DA176BC70AF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627E-4A2A-AB62-4DA176BC70AF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627E-4A2A-AB62-4DA176BC70AF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val>
            <c:numRef>
              <c:f>'Energy Graph'!$D$2:$D$32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27E-4A2A-AB62-4DA176BC70AF}"/>
            </c:ext>
          </c:extLst>
        </c:ser>
        <c:marker val="1"/>
        <c:axId val="149005824"/>
        <c:axId val="149007360"/>
      </c:lineChart>
      <c:catAx>
        <c:axId val="1490058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007360"/>
        <c:crosses val="autoZero"/>
        <c:auto val="1"/>
        <c:lblAlgn val="ctr"/>
        <c:lblOffset val="100"/>
      </c:catAx>
      <c:valAx>
        <c:axId val="149007360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0058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486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'Energy Graph'!$E$1</c:f>
              <c:strCache>
                <c:ptCount val="1"/>
                <c:pt idx="0">
                  <c:v>Cost per room Guest Occ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Graph'!$E$2:$E$32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7E1-4FAD-9CCE-969769D85BFB}"/>
            </c:ext>
          </c:extLst>
        </c:ser>
        <c:marker val="1"/>
        <c:axId val="149023744"/>
        <c:axId val="150754048"/>
      </c:lineChart>
      <c:catAx>
        <c:axId val="1490237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754048"/>
        <c:crosses val="autoZero"/>
        <c:auto val="1"/>
        <c:lblAlgn val="ctr"/>
        <c:lblOffset val="100"/>
      </c:catAx>
      <c:valAx>
        <c:axId val="150754048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0237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REPORT.xlsx]Energy 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51211008"/>
        <c:axId val="151216896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REPORT.xlsx]Energy 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51218432"/>
        <c:axId val="151224320"/>
      </c:lineChart>
      <c:catAx>
        <c:axId val="151211008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216896"/>
        <c:crosses val="autoZero"/>
        <c:lblAlgn val="ctr"/>
        <c:lblOffset val="100"/>
        <c:tickMarkSkip val="1"/>
      </c:catAx>
      <c:valAx>
        <c:axId val="1512168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211008"/>
        <c:crosses val="autoZero"/>
        <c:crossBetween val="between"/>
      </c:valAx>
      <c:catAx>
        <c:axId val="151218432"/>
        <c:scaling>
          <c:orientation val="minMax"/>
        </c:scaling>
        <c:delete val="1"/>
        <c:axPos val="b"/>
        <c:numFmt formatCode="General" sourceLinked="1"/>
        <c:tickLblPos val="none"/>
        <c:crossAx val="151224320"/>
        <c:crosses val="autoZero"/>
        <c:lblAlgn val="ctr"/>
        <c:lblOffset val="100"/>
      </c:catAx>
      <c:valAx>
        <c:axId val="151224320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21843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Graph'!$D$1</c:f>
              <c:strCache>
                <c:ptCount val="1"/>
                <c:pt idx="0">
                  <c:v>#REF!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val>
            <c:numRef>
              <c:f>'[2]Energy Graph'!$D$2:$D$32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21569280"/>
        <c:axId val="121570816"/>
      </c:lineChart>
      <c:catAx>
        <c:axId val="1215692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570816"/>
        <c:crosses val="autoZero"/>
        <c:auto val="1"/>
        <c:lblAlgn val="ctr"/>
        <c:lblOffset val="100"/>
      </c:catAx>
      <c:valAx>
        <c:axId val="1215708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5692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48746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Graph'!$E$1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Graph'!$E$2:$E$32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21615872"/>
        <c:axId val="121617408"/>
      </c:lineChart>
      <c:catAx>
        <c:axId val="1216158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617408"/>
        <c:crosses val="autoZero"/>
        <c:auto val="1"/>
        <c:lblAlgn val="ctr"/>
        <c:lblOffset val="100"/>
      </c:catAx>
      <c:valAx>
        <c:axId val="1216174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6158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LPG_Graph!$B$1</c:f>
              <c:strCache>
                <c:ptCount val="1"/>
                <c:pt idx="0">
                  <c:v>Usage KG</c:v>
                </c:pt>
              </c:strCache>
            </c:strRef>
          </c:tx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43739</c:v>
                </c:pt>
                <c:pt idx="1">
                  <c:v>43740</c:v>
                </c:pt>
                <c:pt idx="2">
                  <c:v>43741</c:v>
                </c:pt>
                <c:pt idx="3">
                  <c:v>43742</c:v>
                </c:pt>
                <c:pt idx="4">
                  <c:v>43743</c:v>
                </c:pt>
                <c:pt idx="5">
                  <c:v>43744</c:v>
                </c:pt>
                <c:pt idx="6">
                  <c:v>43745</c:v>
                </c:pt>
                <c:pt idx="7">
                  <c:v>43746</c:v>
                </c:pt>
                <c:pt idx="8">
                  <c:v>43747</c:v>
                </c:pt>
                <c:pt idx="9">
                  <c:v>43748</c:v>
                </c:pt>
                <c:pt idx="10">
                  <c:v>43749</c:v>
                </c:pt>
                <c:pt idx="11">
                  <c:v>43750</c:v>
                </c:pt>
                <c:pt idx="12">
                  <c:v>43751</c:v>
                </c:pt>
                <c:pt idx="13">
                  <c:v>43752</c:v>
                </c:pt>
                <c:pt idx="14">
                  <c:v>43753</c:v>
                </c:pt>
                <c:pt idx="15">
                  <c:v>43754</c:v>
                </c:pt>
                <c:pt idx="16">
                  <c:v>43755</c:v>
                </c:pt>
                <c:pt idx="17">
                  <c:v>43756</c:v>
                </c:pt>
                <c:pt idx="18">
                  <c:v>43757</c:v>
                </c:pt>
                <c:pt idx="19">
                  <c:v>43758</c:v>
                </c:pt>
                <c:pt idx="20">
                  <c:v>43759</c:v>
                </c:pt>
                <c:pt idx="21">
                  <c:v>43760</c:v>
                </c:pt>
                <c:pt idx="22">
                  <c:v>43761</c:v>
                </c:pt>
                <c:pt idx="23">
                  <c:v>43762</c:v>
                </c:pt>
                <c:pt idx="24">
                  <c:v>43763</c:v>
                </c:pt>
                <c:pt idx="25">
                  <c:v>43764</c:v>
                </c:pt>
                <c:pt idx="26">
                  <c:v>43765</c:v>
                </c:pt>
                <c:pt idx="27">
                  <c:v>43766</c:v>
                </c:pt>
                <c:pt idx="28">
                  <c:v>43767</c:v>
                </c:pt>
                <c:pt idx="29">
                  <c:v>43768</c:v>
                </c:pt>
                <c:pt idx="30">
                  <c:v>43769</c:v>
                </c:pt>
              </c:numCache>
            </c:numRef>
          </c:cat>
          <c:val>
            <c:numRef>
              <c:f>LPG_Graph!$B$2:$B$32</c:f>
              <c:numCache>
                <c:formatCode>_(* #,##0_);_(* \(#,##0\);_(* "-"??_);_(@_)</c:formatCode>
                <c:ptCount val="31"/>
                <c:pt idx="0">
                  <c:v>197.55999999997439</c:v>
                </c:pt>
                <c:pt idx="1">
                  <c:v>131.95600000002307</c:v>
                </c:pt>
                <c:pt idx="2">
                  <c:v>117.4799999999872</c:v>
                </c:pt>
                <c:pt idx="3">
                  <c:v>102.9599999999744</c:v>
                </c:pt>
                <c:pt idx="4">
                  <c:v>101.81599999999744</c:v>
                </c:pt>
                <c:pt idx="5">
                  <c:v>106.92000000001282</c:v>
                </c:pt>
                <c:pt idx="6">
                  <c:v>116.73199999999488</c:v>
                </c:pt>
                <c:pt idx="7">
                  <c:v>105.73199999999488</c:v>
                </c:pt>
                <c:pt idx="8">
                  <c:v>114.4</c:v>
                </c:pt>
                <c:pt idx="9">
                  <c:v>102.08000000005123</c:v>
                </c:pt>
                <c:pt idx="10">
                  <c:v>105.29199999996928</c:v>
                </c:pt>
                <c:pt idx="11">
                  <c:v>114.66399999998977</c:v>
                </c:pt>
                <c:pt idx="12">
                  <c:v>113.78400000000256</c:v>
                </c:pt>
                <c:pt idx="13">
                  <c:v>114.62000000001281</c:v>
                </c:pt>
                <c:pt idx="14">
                  <c:v>107.49199999996928</c:v>
                </c:pt>
                <c:pt idx="15">
                  <c:v>106.78800000001793</c:v>
                </c:pt>
                <c:pt idx="16">
                  <c:v>100.76000000003843</c:v>
                </c:pt>
                <c:pt idx="17">
                  <c:v>108.6799999999872</c:v>
                </c:pt>
                <c:pt idx="18">
                  <c:v>92.795999999984645</c:v>
                </c:pt>
                <c:pt idx="19">
                  <c:v>137.80800000003075</c:v>
                </c:pt>
                <c:pt idx="20">
                  <c:v>103.79599999998464</c:v>
                </c:pt>
                <c:pt idx="21">
                  <c:v>20.415999999997439</c:v>
                </c:pt>
                <c:pt idx="22">
                  <c:v>197.69199999996928</c:v>
                </c:pt>
                <c:pt idx="23">
                  <c:v>101.11200000004611</c:v>
                </c:pt>
                <c:pt idx="24">
                  <c:v>95.303999999951344</c:v>
                </c:pt>
                <c:pt idx="25">
                  <c:v>104.80800000003075</c:v>
                </c:pt>
                <c:pt idx="26">
                  <c:v>102.43199999999489</c:v>
                </c:pt>
                <c:pt idx="27">
                  <c:v>-295728.88400000002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78E-4F2A-BB00-B65C7B5AB533}"/>
            </c:ext>
          </c:extLst>
        </c:ser>
        <c:marker val="1"/>
        <c:axId val="151546112"/>
        <c:axId val="151556096"/>
      </c:lineChart>
      <c:lineChart>
        <c:grouping val="stacked"/>
        <c:ser>
          <c:idx val="1"/>
          <c:order val="1"/>
          <c:tx>
            <c:strRef>
              <c:f>LPG_Graph!$C$1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43739</c:v>
                </c:pt>
                <c:pt idx="1">
                  <c:v>43740</c:v>
                </c:pt>
                <c:pt idx="2">
                  <c:v>43741</c:v>
                </c:pt>
                <c:pt idx="3">
                  <c:v>43742</c:v>
                </c:pt>
                <c:pt idx="4">
                  <c:v>43743</c:v>
                </c:pt>
                <c:pt idx="5">
                  <c:v>43744</c:v>
                </c:pt>
                <c:pt idx="6">
                  <c:v>43745</c:v>
                </c:pt>
                <c:pt idx="7">
                  <c:v>43746</c:v>
                </c:pt>
                <c:pt idx="8">
                  <c:v>43747</c:v>
                </c:pt>
                <c:pt idx="9">
                  <c:v>43748</c:v>
                </c:pt>
                <c:pt idx="10">
                  <c:v>43749</c:v>
                </c:pt>
                <c:pt idx="11">
                  <c:v>43750</c:v>
                </c:pt>
                <c:pt idx="12">
                  <c:v>43751</c:v>
                </c:pt>
                <c:pt idx="13">
                  <c:v>43752</c:v>
                </c:pt>
                <c:pt idx="14">
                  <c:v>43753</c:v>
                </c:pt>
                <c:pt idx="15">
                  <c:v>43754</c:v>
                </c:pt>
                <c:pt idx="16">
                  <c:v>43755</c:v>
                </c:pt>
                <c:pt idx="17">
                  <c:v>43756</c:v>
                </c:pt>
                <c:pt idx="18">
                  <c:v>43757</c:v>
                </c:pt>
                <c:pt idx="19">
                  <c:v>43758</c:v>
                </c:pt>
                <c:pt idx="20">
                  <c:v>43759</c:v>
                </c:pt>
                <c:pt idx="21">
                  <c:v>43760</c:v>
                </c:pt>
                <c:pt idx="22">
                  <c:v>43761</c:v>
                </c:pt>
                <c:pt idx="23">
                  <c:v>43762</c:v>
                </c:pt>
                <c:pt idx="24">
                  <c:v>43763</c:v>
                </c:pt>
                <c:pt idx="25">
                  <c:v>43764</c:v>
                </c:pt>
                <c:pt idx="26">
                  <c:v>43765</c:v>
                </c:pt>
                <c:pt idx="27">
                  <c:v>43766</c:v>
                </c:pt>
                <c:pt idx="28">
                  <c:v>43767</c:v>
                </c:pt>
                <c:pt idx="29">
                  <c:v>43768</c:v>
                </c:pt>
                <c:pt idx="30">
                  <c:v>43769</c:v>
                </c:pt>
              </c:numCache>
            </c:numRef>
          </c:cat>
          <c:val>
            <c:numRef>
              <c:f>LPG_Graph!$C$2:$C$32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78E-4F2A-BB00-B65C7B5AB533}"/>
            </c:ext>
          </c:extLst>
        </c:ser>
        <c:marker val="1"/>
        <c:axId val="151557632"/>
        <c:axId val="151559168"/>
      </c:lineChart>
      <c:catAx>
        <c:axId val="151546112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556096"/>
        <c:crosses val="autoZero"/>
        <c:lblAlgn val="ctr"/>
        <c:lblOffset val="100"/>
        <c:tickMarkSkip val="1"/>
      </c:catAx>
      <c:valAx>
        <c:axId val="151556096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546112"/>
        <c:crosses val="autoZero"/>
        <c:crossBetween val="between"/>
      </c:valAx>
      <c:catAx>
        <c:axId val="151557632"/>
        <c:scaling>
          <c:orientation val="minMax"/>
        </c:scaling>
        <c:delete val="1"/>
        <c:axPos val="b"/>
        <c:numFmt formatCode="[$-409]d\-mmm\-yy;@" sourceLinked="1"/>
        <c:tickLblPos val="none"/>
        <c:crossAx val="151559168"/>
        <c:crosses val="autoZero"/>
        <c:lblAlgn val="ctr"/>
        <c:lblOffset val="100"/>
      </c:catAx>
      <c:valAx>
        <c:axId val="151559168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55763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REPORT.xlsx]LPG_Graph'!$B$1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52908544"/>
        <c:axId val="152910080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REPORT.xlsx]LPG_Graph'!$C$1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52920064"/>
        <c:axId val="152921600"/>
      </c:lineChart>
      <c:catAx>
        <c:axId val="152908544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910080"/>
        <c:crosses val="autoZero"/>
        <c:lblAlgn val="ctr"/>
        <c:lblOffset val="100"/>
        <c:tickMarkSkip val="1"/>
      </c:catAx>
      <c:valAx>
        <c:axId val="1529100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908544"/>
        <c:crosses val="autoZero"/>
        <c:crossBetween val="between"/>
      </c:valAx>
      <c:catAx>
        <c:axId val="152920064"/>
        <c:scaling>
          <c:orientation val="minMax"/>
        </c:scaling>
        <c:delete val="1"/>
        <c:axPos val="b"/>
        <c:numFmt formatCode="General" sourceLinked="1"/>
        <c:tickLblPos val="none"/>
        <c:crossAx val="152921600"/>
        <c:crosses val="autoZero"/>
        <c:lblAlgn val="ctr"/>
        <c:lblOffset val="100"/>
      </c:catAx>
      <c:valAx>
        <c:axId val="152921600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92006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'Water_Graph '!$B$1</c:f>
              <c:strCache>
                <c:ptCount val="1"/>
                <c:pt idx="0">
                  <c:v>Usage</c:v>
                </c:pt>
              </c:strCache>
            </c:strRef>
          </c:tx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43739</c:v>
                </c:pt>
                <c:pt idx="1">
                  <c:v>43740</c:v>
                </c:pt>
                <c:pt idx="2">
                  <c:v>43741</c:v>
                </c:pt>
                <c:pt idx="3">
                  <c:v>43742</c:v>
                </c:pt>
                <c:pt idx="4">
                  <c:v>43743</c:v>
                </c:pt>
                <c:pt idx="5">
                  <c:v>43744</c:v>
                </c:pt>
                <c:pt idx="6">
                  <c:v>43745</c:v>
                </c:pt>
                <c:pt idx="7">
                  <c:v>43746</c:v>
                </c:pt>
                <c:pt idx="8">
                  <c:v>43747</c:v>
                </c:pt>
                <c:pt idx="9">
                  <c:v>43748</c:v>
                </c:pt>
                <c:pt idx="10">
                  <c:v>43749</c:v>
                </c:pt>
                <c:pt idx="11">
                  <c:v>43750</c:v>
                </c:pt>
                <c:pt idx="12">
                  <c:v>43751</c:v>
                </c:pt>
                <c:pt idx="13">
                  <c:v>43752</c:v>
                </c:pt>
                <c:pt idx="14">
                  <c:v>43753</c:v>
                </c:pt>
                <c:pt idx="15">
                  <c:v>43754</c:v>
                </c:pt>
                <c:pt idx="16">
                  <c:v>43755</c:v>
                </c:pt>
                <c:pt idx="17">
                  <c:v>43756</c:v>
                </c:pt>
                <c:pt idx="18">
                  <c:v>43757</c:v>
                </c:pt>
                <c:pt idx="19">
                  <c:v>43758</c:v>
                </c:pt>
                <c:pt idx="20">
                  <c:v>43759</c:v>
                </c:pt>
                <c:pt idx="21">
                  <c:v>43760</c:v>
                </c:pt>
                <c:pt idx="22">
                  <c:v>43761</c:v>
                </c:pt>
                <c:pt idx="23">
                  <c:v>43762</c:v>
                </c:pt>
                <c:pt idx="24">
                  <c:v>43763</c:v>
                </c:pt>
                <c:pt idx="25">
                  <c:v>43764</c:v>
                </c:pt>
                <c:pt idx="26">
                  <c:v>43765</c:v>
                </c:pt>
                <c:pt idx="27">
                  <c:v>43766</c:v>
                </c:pt>
                <c:pt idx="28">
                  <c:v>43767</c:v>
                </c:pt>
                <c:pt idx="29">
                  <c:v>43768</c:v>
                </c:pt>
                <c:pt idx="30">
                  <c:v>43769</c:v>
                </c:pt>
              </c:numCache>
            </c:numRef>
          </c:cat>
          <c:val>
            <c:numRef>
              <c:f>'Water_Graph '!$B$2:$B$32</c:f>
              <c:numCache>
                <c:formatCode>_(* #,##0_);_(* \(#,##0\);_(*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-212333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778-48D2-94CC-97DA53339F86}"/>
            </c:ext>
          </c:extLst>
        </c:ser>
        <c:marker val="1"/>
        <c:axId val="153214976"/>
        <c:axId val="153216512"/>
      </c:lineChart>
      <c:lineChart>
        <c:grouping val="stacked"/>
        <c:ser>
          <c:idx val="1"/>
          <c:order val="1"/>
          <c:tx>
            <c:strRef>
              <c:f>'Water_Graph 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43739</c:v>
                </c:pt>
                <c:pt idx="1">
                  <c:v>43740</c:v>
                </c:pt>
                <c:pt idx="2">
                  <c:v>43741</c:v>
                </c:pt>
                <c:pt idx="3">
                  <c:v>43742</c:v>
                </c:pt>
                <c:pt idx="4">
                  <c:v>43743</c:v>
                </c:pt>
                <c:pt idx="5">
                  <c:v>43744</c:v>
                </c:pt>
                <c:pt idx="6">
                  <c:v>43745</c:v>
                </c:pt>
                <c:pt idx="7">
                  <c:v>43746</c:v>
                </c:pt>
                <c:pt idx="8">
                  <c:v>43747</c:v>
                </c:pt>
                <c:pt idx="9">
                  <c:v>43748</c:v>
                </c:pt>
                <c:pt idx="10">
                  <c:v>43749</c:v>
                </c:pt>
                <c:pt idx="11">
                  <c:v>43750</c:v>
                </c:pt>
                <c:pt idx="12">
                  <c:v>43751</c:v>
                </c:pt>
                <c:pt idx="13">
                  <c:v>43752</c:v>
                </c:pt>
                <c:pt idx="14">
                  <c:v>43753</c:v>
                </c:pt>
                <c:pt idx="15">
                  <c:v>43754</c:v>
                </c:pt>
                <c:pt idx="16">
                  <c:v>43755</c:v>
                </c:pt>
                <c:pt idx="17">
                  <c:v>43756</c:v>
                </c:pt>
                <c:pt idx="18">
                  <c:v>43757</c:v>
                </c:pt>
                <c:pt idx="19">
                  <c:v>43758</c:v>
                </c:pt>
                <c:pt idx="20">
                  <c:v>43759</c:v>
                </c:pt>
                <c:pt idx="21">
                  <c:v>43760</c:v>
                </c:pt>
                <c:pt idx="22">
                  <c:v>43761</c:v>
                </c:pt>
                <c:pt idx="23">
                  <c:v>43762</c:v>
                </c:pt>
                <c:pt idx="24">
                  <c:v>43763</c:v>
                </c:pt>
                <c:pt idx="25">
                  <c:v>43764</c:v>
                </c:pt>
                <c:pt idx="26">
                  <c:v>43765</c:v>
                </c:pt>
                <c:pt idx="27">
                  <c:v>43766</c:v>
                </c:pt>
                <c:pt idx="28">
                  <c:v>43767</c:v>
                </c:pt>
                <c:pt idx="29">
                  <c:v>43768</c:v>
                </c:pt>
                <c:pt idx="30">
                  <c:v>43769</c:v>
                </c:pt>
              </c:numCache>
            </c:numRef>
          </c:cat>
          <c:val>
            <c:numRef>
              <c:f>'Water_Graph '!$C$2:$C$32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778-48D2-94CC-97DA53339F86}"/>
            </c:ext>
          </c:extLst>
        </c:ser>
        <c:marker val="1"/>
        <c:axId val="153218048"/>
        <c:axId val="153219840"/>
      </c:lineChart>
      <c:catAx>
        <c:axId val="153214976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216512"/>
        <c:crosses val="autoZero"/>
        <c:lblAlgn val="ctr"/>
        <c:lblOffset val="100"/>
        <c:tickMarkSkip val="1"/>
      </c:catAx>
      <c:valAx>
        <c:axId val="15321651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214976"/>
        <c:crosses val="autoZero"/>
        <c:crossBetween val="between"/>
      </c:valAx>
      <c:catAx>
        <c:axId val="153218048"/>
        <c:scaling>
          <c:orientation val="minMax"/>
        </c:scaling>
        <c:delete val="1"/>
        <c:axPos val="b"/>
        <c:numFmt formatCode="[$-409]d\-mmm\-yy;@" sourceLinked="1"/>
        <c:tickLblPos val="none"/>
        <c:crossAx val="153219840"/>
        <c:crosses val="autoZero"/>
        <c:lblAlgn val="ctr"/>
        <c:lblOffset val="100"/>
      </c:catAx>
      <c:valAx>
        <c:axId val="153219840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21804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REPORT.xlsx]Water_Graph 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53135360"/>
        <c:axId val="153141248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REPORT.xlsx]Water_Graph 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53142784"/>
        <c:axId val="153144320"/>
      </c:lineChart>
      <c:catAx>
        <c:axId val="153135360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141248"/>
        <c:crosses val="autoZero"/>
        <c:lblAlgn val="ctr"/>
        <c:lblOffset val="100"/>
        <c:tickMarkSkip val="1"/>
      </c:catAx>
      <c:valAx>
        <c:axId val="1531412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135360"/>
        <c:crosses val="autoZero"/>
        <c:crossBetween val="between"/>
      </c:valAx>
      <c:catAx>
        <c:axId val="153142784"/>
        <c:scaling>
          <c:orientation val="minMax"/>
        </c:scaling>
        <c:delete val="1"/>
        <c:axPos val="b"/>
        <c:numFmt formatCode="General" sourceLinked="1"/>
        <c:tickLblPos val="none"/>
        <c:crossAx val="153144320"/>
        <c:crosses val="autoZero"/>
        <c:lblAlgn val="ctr"/>
        <c:lblOffset val="100"/>
      </c:catAx>
      <c:valAx>
        <c:axId val="153144320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14278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4302</c:v>
                </c:pt>
                <c:pt idx="3">
                  <c:v>4286</c:v>
                </c:pt>
                <c:pt idx="4">
                  <c:v>4122</c:v>
                </c:pt>
                <c:pt idx="5">
                  <c:v>4432</c:v>
                </c:pt>
                <c:pt idx="6">
                  <c:v>4152</c:v>
                </c:pt>
                <c:pt idx="7">
                  <c:v>4564</c:v>
                </c:pt>
                <c:pt idx="8">
                  <c:v>4168</c:v>
                </c:pt>
                <c:pt idx="9">
                  <c:v>3985</c:v>
                </c:pt>
                <c:pt idx="10">
                  <c:v>4085</c:v>
                </c:pt>
                <c:pt idx="11">
                  <c:v>4227</c:v>
                </c:pt>
                <c:pt idx="12">
                  <c:v>4272</c:v>
                </c:pt>
                <c:pt idx="13">
                  <c:v>4226</c:v>
                </c:pt>
                <c:pt idx="14">
                  <c:v>4489</c:v>
                </c:pt>
                <c:pt idx="15">
                  <c:v>4460</c:v>
                </c:pt>
                <c:pt idx="16">
                  <c:v>4526</c:v>
                </c:pt>
                <c:pt idx="17">
                  <c:v>4416</c:v>
                </c:pt>
                <c:pt idx="18">
                  <c:v>5002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D72-4528-997A-82A20762F560}"/>
            </c:ext>
          </c:extLst>
        </c:ser>
        <c:marker val="1"/>
        <c:axId val="154545536"/>
        <c:axId val="154560000"/>
      </c:lineChart>
      <c:catAx>
        <c:axId val="15454553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560000"/>
        <c:crosses val="autoZero"/>
        <c:auto val="1"/>
        <c:lblAlgn val="ctr"/>
        <c:lblOffset val="100"/>
      </c:catAx>
      <c:valAx>
        <c:axId val="154560000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545536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109</c:v>
                </c:pt>
                <c:pt idx="1">
                  <c:v>93</c:v>
                </c:pt>
                <c:pt idx="2">
                  <c:v>95</c:v>
                </c:pt>
                <c:pt idx="3">
                  <c:v>97</c:v>
                </c:pt>
                <c:pt idx="4">
                  <c:v>86</c:v>
                </c:pt>
                <c:pt idx="5">
                  <c:v>105</c:v>
                </c:pt>
                <c:pt idx="6">
                  <c:v>131</c:v>
                </c:pt>
                <c:pt idx="7">
                  <c:v>129</c:v>
                </c:pt>
                <c:pt idx="8">
                  <c:v>139</c:v>
                </c:pt>
                <c:pt idx="9">
                  <c:v>101</c:v>
                </c:pt>
                <c:pt idx="10">
                  <c:v>101</c:v>
                </c:pt>
                <c:pt idx="11">
                  <c:v>108</c:v>
                </c:pt>
                <c:pt idx="12">
                  <c:v>105</c:v>
                </c:pt>
                <c:pt idx="13">
                  <c:v>111</c:v>
                </c:pt>
                <c:pt idx="14">
                  <c:v>97</c:v>
                </c:pt>
                <c:pt idx="15">
                  <c:v>87</c:v>
                </c:pt>
                <c:pt idx="16">
                  <c:v>108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9E8-4C76-BD95-3F178371E2AE}"/>
            </c:ext>
          </c:extLst>
        </c:ser>
        <c:marker val="1"/>
        <c:axId val="154584960"/>
        <c:axId val="154808320"/>
      </c:lineChart>
      <c:catAx>
        <c:axId val="15458496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808320"/>
        <c:crosses val="autoZero"/>
        <c:auto val="1"/>
        <c:lblAlgn val="ctr"/>
        <c:lblOffset val="100"/>
      </c:catAx>
      <c:valAx>
        <c:axId val="154808320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58496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404.63</c:v>
                </c:pt>
                <c:pt idx="1">
                  <c:v>1310.5899999999999</c:v>
                </c:pt>
                <c:pt idx="2">
                  <c:v>1724.8</c:v>
                </c:pt>
                <c:pt idx="3">
                  <c:v>1745.89</c:v>
                </c:pt>
                <c:pt idx="4">
                  <c:v>1844.77</c:v>
                </c:pt>
                <c:pt idx="5">
                  <c:v>3821.7299999999996</c:v>
                </c:pt>
                <c:pt idx="6">
                  <c:v>1640.5899999999997</c:v>
                </c:pt>
                <c:pt idx="7">
                  <c:v>1833.0300000000002</c:v>
                </c:pt>
                <c:pt idx="8">
                  <c:v>1789.7199999999998</c:v>
                </c:pt>
                <c:pt idx="9">
                  <c:v>1607.9199999999998</c:v>
                </c:pt>
                <c:pt idx="10">
                  <c:v>1806.47</c:v>
                </c:pt>
                <c:pt idx="11">
                  <c:v>2083.27</c:v>
                </c:pt>
                <c:pt idx="12">
                  <c:v>1841.3099999999997</c:v>
                </c:pt>
                <c:pt idx="13">
                  <c:v>1885.4300000000003</c:v>
                </c:pt>
                <c:pt idx="14">
                  <c:v>2005.7200000000003</c:v>
                </c:pt>
                <c:pt idx="15">
                  <c:v>1822.4799999999998</c:v>
                </c:pt>
                <c:pt idx="16">
                  <c:v>2008.8600000000001</c:v>
                </c:pt>
                <c:pt idx="17">
                  <c:v>1811.63</c:v>
                </c:pt>
                <c:pt idx="18">
                  <c:v>1984.46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283-405B-ADBC-85CB69E0A274}"/>
            </c:ext>
          </c:extLst>
        </c:ser>
        <c:marker val="1"/>
        <c:axId val="154837376"/>
        <c:axId val="154838912"/>
      </c:lineChart>
      <c:catAx>
        <c:axId val="1548373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838912"/>
        <c:crosses val="autoZero"/>
        <c:auto val="1"/>
        <c:lblAlgn val="ctr"/>
        <c:lblOffset val="200"/>
        <c:tickLblSkip val="1"/>
      </c:catAx>
      <c:valAx>
        <c:axId val="154838912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8373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0.11700000000000001</c:v>
                </c:pt>
                <c:pt idx="1">
                  <c:v>0.11700000000000001</c:v>
                </c:pt>
                <c:pt idx="2">
                  <c:v>0.182</c:v>
                </c:pt>
                <c:pt idx="3">
                  <c:v>9.0999999999999998E-2</c:v>
                </c:pt>
                <c:pt idx="4">
                  <c:v>0.104</c:v>
                </c:pt>
                <c:pt idx="5">
                  <c:v>9.8000000000000004E-2</c:v>
                </c:pt>
                <c:pt idx="6">
                  <c:v>0.1555</c:v>
                </c:pt>
                <c:pt idx="7">
                  <c:v>0.1038</c:v>
                </c:pt>
                <c:pt idx="8">
                  <c:v>0.16880000000000001</c:v>
                </c:pt>
                <c:pt idx="9">
                  <c:v>0.12989999999999999</c:v>
                </c:pt>
                <c:pt idx="10">
                  <c:v>0.10390000000000001</c:v>
                </c:pt>
                <c:pt idx="11">
                  <c:v>0.1429</c:v>
                </c:pt>
                <c:pt idx="12">
                  <c:v>0.12989999999999999</c:v>
                </c:pt>
                <c:pt idx="13">
                  <c:v>0.1429</c:v>
                </c:pt>
                <c:pt idx="14">
                  <c:v>0.15579999999999999</c:v>
                </c:pt>
                <c:pt idx="15">
                  <c:v>0.15579999999999999</c:v>
                </c:pt>
                <c:pt idx="16">
                  <c:v>0.36359999999999998</c:v>
                </c:pt>
                <c:pt idx="17">
                  <c:v>0.35049999999999998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FF0-4305-B0B2-55C318FC554B}"/>
            </c:ext>
          </c:extLst>
        </c:ser>
        <c:marker val="1"/>
        <c:axId val="155395968"/>
        <c:axId val="155397504"/>
      </c:lineChart>
      <c:catAx>
        <c:axId val="1553959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397504"/>
        <c:crosses val="autoZero"/>
        <c:auto val="1"/>
        <c:lblAlgn val="ctr"/>
        <c:lblOffset val="100"/>
      </c:catAx>
      <c:valAx>
        <c:axId val="155397504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3959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89477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114.53199999999488</c:v>
                </c:pt>
                <c:pt idx="1">
                  <c:v>119.37200000002049</c:v>
                </c:pt>
                <c:pt idx="2">
                  <c:v>123.20000000000002</c:v>
                </c:pt>
                <c:pt idx="3">
                  <c:v>105.51199999998208</c:v>
                </c:pt>
                <c:pt idx="4">
                  <c:v>106.74399999997696</c:v>
                </c:pt>
                <c:pt idx="5">
                  <c:v>96.140000000025623</c:v>
                </c:pt>
                <c:pt idx="6">
                  <c:v>102.03600000001025</c:v>
                </c:pt>
                <c:pt idx="7">
                  <c:v>99.747999999992331</c:v>
                </c:pt>
                <c:pt idx="8">
                  <c:v>100.93600000001025</c:v>
                </c:pt>
                <c:pt idx="9">
                  <c:v>104.93999999996159</c:v>
                </c:pt>
                <c:pt idx="10">
                  <c:v>102.47600000003587</c:v>
                </c:pt>
                <c:pt idx="11">
                  <c:v>105.64399999997696</c:v>
                </c:pt>
                <c:pt idx="12">
                  <c:v>101.28800000001793</c:v>
                </c:pt>
                <c:pt idx="13">
                  <c:v>101.11199999998207</c:v>
                </c:pt>
                <c:pt idx="14">
                  <c:v>105.60000000000001</c:v>
                </c:pt>
                <c:pt idx="15">
                  <c:v>52.184000000002563</c:v>
                </c:pt>
                <c:pt idx="16">
                  <c:v>104.23600000001025</c:v>
                </c:pt>
                <c:pt idx="17">
                  <c:v>-301408.40400000004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F1-45A3-8599-E536E5A58049}"/>
            </c:ext>
          </c:extLst>
        </c:ser>
        <c:marker val="1"/>
        <c:axId val="155426176"/>
        <c:axId val="155448448"/>
      </c:lineChart>
      <c:catAx>
        <c:axId val="1554261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448448"/>
        <c:crosses val="autoZero"/>
        <c:auto val="1"/>
        <c:lblAlgn val="ctr"/>
        <c:lblOffset val="100"/>
      </c:catAx>
      <c:valAx>
        <c:axId val="15544844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4261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4302</c:v>
                </c:pt>
                <c:pt idx="3">
                  <c:v>4286</c:v>
                </c:pt>
                <c:pt idx="4">
                  <c:v>4122</c:v>
                </c:pt>
                <c:pt idx="5">
                  <c:v>4432</c:v>
                </c:pt>
                <c:pt idx="6">
                  <c:v>4152</c:v>
                </c:pt>
                <c:pt idx="7">
                  <c:v>4564</c:v>
                </c:pt>
                <c:pt idx="8">
                  <c:v>4168</c:v>
                </c:pt>
                <c:pt idx="9">
                  <c:v>3985</c:v>
                </c:pt>
                <c:pt idx="10">
                  <c:v>4085</c:v>
                </c:pt>
                <c:pt idx="11">
                  <c:v>4227</c:v>
                </c:pt>
                <c:pt idx="12">
                  <c:v>4272</c:v>
                </c:pt>
                <c:pt idx="13">
                  <c:v>4226</c:v>
                </c:pt>
                <c:pt idx="14">
                  <c:v>4489</c:v>
                </c:pt>
                <c:pt idx="15">
                  <c:v>4460</c:v>
                </c:pt>
                <c:pt idx="16">
                  <c:v>4526</c:v>
                </c:pt>
                <c:pt idx="17">
                  <c:v>4416</c:v>
                </c:pt>
                <c:pt idx="18">
                  <c:v>5002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5FA-4D51-A179-DE8975BCDBE6}"/>
            </c:ext>
          </c:extLst>
        </c:ser>
        <c:marker val="1"/>
        <c:axId val="154399872"/>
        <c:axId val="154401792"/>
      </c:lineChart>
      <c:catAx>
        <c:axId val="15439987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401792"/>
        <c:crosses val="autoZero"/>
        <c:auto val="1"/>
        <c:lblAlgn val="ctr"/>
        <c:lblOffset val="100"/>
      </c:catAx>
      <c:valAx>
        <c:axId val="154401792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39987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109</c:v>
                </c:pt>
                <c:pt idx="1">
                  <c:v>93</c:v>
                </c:pt>
                <c:pt idx="2">
                  <c:v>95</c:v>
                </c:pt>
                <c:pt idx="3">
                  <c:v>97</c:v>
                </c:pt>
                <c:pt idx="4">
                  <c:v>86</c:v>
                </c:pt>
                <c:pt idx="5">
                  <c:v>105</c:v>
                </c:pt>
                <c:pt idx="6">
                  <c:v>131</c:v>
                </c:pt>
                <c:pt idx="7">
                  <c:v>129</c:v>
                </c:pt>
                <c:pt idx="8">
                  <c:v>139</c:v>
                </c:pt>
                <c:pt idx="9">
                  <c:v>101</c:v>
                </c:pt>
                <c:pt idx="10">
                  <c:v>101</c:v>
                </c:pt>
                <c:pt idx="11">
                  <c:v>108</c:v>
                </c:pt>
                <c:pt idx="12">
                  <c:v>105</c:v>
                </c:pt>
                <c:pt idx="13">
                  <c:v>111</c:v>
                </c:pt>
                <c:pt idx="14">
                  <c:v>97</c:v>
                </c:pt>
                <c:pt idx="15">
                  <c:v>87</c:v>
                </c:pt>
                <c:pt idx="16">
                  <c:v>108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F1-4B76-A0F3-3755C012F1B1}"/>
            </c:ext>
          </c:extLst>
        </c:ser>
        <c:marker val="1"/>
        <c:axId val="156327296"/>
        <c:axId val="156349952"/>
      </c:lineChart>
      <c:catAx>
        <c:axId val="15632729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349952"/>
        <c:crosses val="autoZero"/>
        <c:auto val="1"/>
        <c:lblAlgn val="ctr"/>
        <c:lblOffset val="100"/>
      </c:catAx>
      <c:valAx>
        <c:axId val="156349952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32729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404.63</c:v>
                </c:pt>
                <c:pt idx="1">
                  <c:v>1310.5899999999999</c:v>
                </c:pt>
                <c:pt idx="2">
                  <c:v>1724.8</c:v>
                </c:pt>
                <c:pt idx="3">
                  <c:v>1745.89</c:v>
                </c:pt>
                <c:pt idx="4">
                  <c:v>1844.77</c:v>
                </c:pt>
                <c:pt idx="5">
                  <c:v>3821.7299999999996</c:v>
                </c:pt>
                <c:pt idx="6">
                  <c:v>1640.5899999999997</c:v>
                </c:pt>
                <c:pt idx="7">
                  <c:v>1833.0300000000002</c:v>
                </c:pt>
                <c:pt idx="8">
                  <c:v>1789.7199999999998</c:v>
                </c:pt>
                <c:pt idx="9">
                  <c:v>1607.9199999999998</c:v>
                </c:pt>
                <c:pt idx="10">
                  <c:v>1806.47</c:v>
                </c:pt>
                <c:pt idx="11">
                  <c:v>2083.27</c:v>
                </c:pt>
                <c:pt idx="12">
                  <c:v>1841.3099999999997</c:v>
                </c:pt>
                <c:pt idx="13">
                  <c:v>1885.4300000000003</c:v>
                </c:pt>
                <c:pt idx="14">
                  <c:v>2005.7200000000003</c:v>
                </c:pt>
                <c:pt idx="15">
                  <c:v>1822.4799999999998</c:v>
                </c:pt>
                <c:pt idx="16">
                  <c:v>2008.8600000000001</c:v>
                </c:pt>
                <c:pt idx="17">
                  <c:v>1811.63</c:v>
                </c:pt>
                <c:pt idx="18">
                  <c:v>1984.46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FED-4997-A19B-2FAB412AF121}"/>
            </c:ext>
          </c:extLst>
        </c:ser>
        <c:marker val="1"/>
        <c:axId val="156366720"/>
        <c:axId val="156368256"/>
      </c:lineChart>
      <c:catAx>
        <c:axId val="1563667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368256"/>
        <c:crosses val="autoZero"/>
        <c:auto val="1"/>
        <c:lblAlgn val="ctr"/>
        <c:lblOffset val="200"/>
        <c:tickLblSkip val="1"/>
      </c:catAx>
      <c:valAx>
        <c:axId val="156368256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3667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0.11700000000000001</c:v>
                </c:pt>
                <c:pt idx="1">
                  <c:v>0.11700000000000001</c:v>
                </c:pt>
                <c:pt idx="2">
                  <c:v>0.182</c:v>
                </c:pt>
                <c:pt idx="3">
                  <c:v>9.0999999999999998E-2</c:v>
                </c:pt>
                <c:pt idx="4">
                  <c:v>0.104</c:v>
                </c:pt>
                <c:pt idx="5">
                  <c:v>9.8000000000000004E-2</c:v>
                </c:pt>
                <c:pt idx="6">
                  <c:v>0.1555</c:v>
                </c:pt>
                <c:pt idx="7">
                  <c:v>0.1038</c:v>
                </c:pt>
                <c:pt idx="8">
                  <c:v>0.16880000000000001</c:v>
                </c:pt>
                <c:pt idx="9">
                  <c:v>0.12989999999999999</c:v>
                </c:pt>
                <c:pt idx="10">
                  <c:v>0.10390000000000001</c:v>
                </c:pt>
                <c:pt idx="11">
                  <c:v>0.1429</c:v>
                </c:pt>
                <c:pt idx="12">
                  <c:v>0.12989999999999999</c:v>
                </c:pt>
                <c:pt idx="13">
                  <c:v>0.1429</c:v>
                </c:pt>
                <c:pt idx="14">
                  <c:v>0.15579999999999999</c:v>
                </c:pt>
                <c:pt idx="15">
                  <c:v>0.15579999999999999</c:v>
                </c:pt>
                <c:pt idx="16">
                  <c:v>0.36359999999999998</c:v>
                </c:pt>
                <c:pt idx="17">
                  <c:v>0.35049999999999998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AF4-4277-AE5C-2A615CC7E953}"/>
            </c:ext>
          </c:extLst>
        </c:ser>
        <c:marker val="1"/>
        <c:axId val="156544384"/>
        <c:axId val="156550272"/>
      </c:lineChart>
      <c:catAx>
        <c:axId val="1565443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550272"/>
        <c:crosses val="autoZero"/>
        <c:auto val="1"/>
        <c:lblAlgn val="ctr"/>
        <c:lblOffset val="100"/>
      </c:catAx>
      <c:valAx>
        <c:axId val="156550272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5443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89477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114.53199999999488</c:v>
                </c:pt>
                <c:pt idx="1">
                  <c:v>119.37200000002049</c:v>
                </c:pt>
                <c:pt idx="2">
                  <c:v>123.20000000000002</c:v>
                </c:pt>
                <c:pt idx="3">
                  <c:v>105.51199999998208</c:v>
                </c:pt>
                <c:pt idx="4">
                  <c:v>106.74399999997696</c:v>
                </c:pt>
                <c:pt idx="5">
                  <c:v>96.140000000025623</c:v>
                </c:pt>
                <c:pt idx="6">
                  <c:v>102.03600000001025</c:v>
                </c:pt>
                <c:pt idx="7">
                  <c:v>99.747999999992331</c:v>
                </c:pt>
                <c:pt idx="8">
                  <c:v>100.93600000001025</c:v>
                </c:pt>
                <c:pt idx="9">
                  <c:v>104.93999999996159</c:v>
                </c:pt>
                <c:pt idx="10">
                  <c:v>102.47600000003587</c:v>
                </c:pt>
                <c:pt idx="11">
                  <c:v>105.64399999997696</c:v>
                </c:pt>
                <c:pt idx="12">
                  <c:v>101.28800000001793</c:v>
                </c:pt>
                <c:pt idx="13">
                  <c:v>101.11199999998207</c:v>
                </c:pt>
                <c:pt idx="14">
                  <c:v>105.60000000000001</c:v>
                </c:pt>
                <c:pt idx="15">
                  <c:v>52.184000000002563</c:v>
                </c:pt>
                <c:pt idx="16">
                  <c:v>104.23600000001025</c:v>
                </c:pt>
                <c:pt idx="17">
                  <c:v>-301408.40400000004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8E6-443C-8E50-DBB973BAEC88}"/>
            </c:ext>
          </c:extLst>
        </c:ser>
        <c:marker val="1"/>
        <c:axId val="157631616"/>
        <c:axId val="157633152"/>
      </c:lineChart>
      <c:catAx>
        <c:axId val="1576316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633152"/>
        <c:crosses val="autoZero"/>
        <c:auto val="1"/>
        <c:lblAlgn val="ctr"/>
        <c:lblOffset val="100"/>
      </c:catAx>
      <c:valAx>
        <c:axId val="15763315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6316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157665920"/>
        <c:axId val="157102848"/>
      </c:lineChart>
      <c:catAx>
        <c:axId val="15766592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102848"/>
        <c:crosses val="autoZero"/>
        <c:auto val="1"/>
        <c:lblAlgn val="ctr"/>
        <c:lblOffset val="100"/>
      </c:catAx>
      <c:valAx>
        <c:axId val="157102848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665920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157148288"/>
        <c:axId val="157150208"/>
      </c:lineChart>
      <c:catAx>
        <c:axId val="15714828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150208"/>
        <c:crosses val="autoZero"/>
        <c:auto val="1"/>
        <c:lblAlgn val="ctr"/>
        <c:lblOffset val="100"/>
      </c:catAx>
      <c:valAx>
        <c:axId val="157150208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148288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58219648"/>
        <c:axId val="158233728"/>
      </c:lineChart>
      <c:catAx>
        <c:axId val="1582196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233728"/>
        <c:crosses val="autoZero"/>
        <c:auto val="1"/>
        <c:lblAlgn val="ctr"/>
        <c:lblOffset val="200"/>
        <c:tickLblSkip val="1"/>
      </c:catAx>
      <c:valAx>
        <c:axId val="158233728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2196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58258304"/>
        <c:axId val="158259840"/>
      </c:lineChart>
      <c:catAx>
        <c:axId val="1582583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259840"/>
        <c:crosses val="autoZero"/>
        <c:auto val="1"/>
        <c:lblAlgn val="ctr"/>
        <c:lblOffset val="100"/>
      </c:catAx>
      <c:valAx>
        <c:axId val="1582598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258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89727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58415488"/>
        <c:axId val="158433664"/>
      </c:lineChart>
      <c:catAx>
        <c:axId val="1584154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433664"/>
        <c:crosses val="autoZero"/>
        <c:auto val="1"/>
        <c:lblAlgn val="ctr"/>
        <c:lblOffset val="100"/>
      </c:catAx>
      <c:valAx>
        <c:axId val="1584336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4154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158929280"/>
        <c:axId val="158931200"/>
      </c:lineChart>
      <c:catAx>
        <c:axId val="15892928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931200"/>
        <c:crosses val="autoZero"/>
        <c:auto val="1"/>
        <c:lblAlgn val="ctr"/>
        <c:lblOffset val="100"/>
      </c:catAx>
      <c:valAx>
        <c:axId val="158931200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929280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158988928"/>
        <c:axId val="158728960"/>
      </c:lineChart>
      <c:catAx>
        <c:axId val="15898892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728960"/>
        <c:crosses val="autoZero"/>
        <c:auto val="1"/>
        <c:lblAlgn val="ctr"/>
        <c:lblOffset val="100"/>
      </c:catAx>
      <c:valAx>
        <c:axId val="158728960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988928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58749824"/>
        <c:axId val="158751360"/>
      </c:lineChart>
      <c:catAx>
        <c:axId val="1587498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751360"/>
        <c:crosses val="autoZero"/>
        <c:auto val="1"/>
        <c:lblAlgn val="ctr"/>
        <c:lblOffset val="200"/>
        <c:tickLblSkip val="1"/>
      </c:catAx>
      <c:valAx>
        <c:axId val="158751360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7498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59255168"/>
        <c:axId val="159265152"/>
      </c:lineChart>
      <c:catAx>
        <c:axId val="1592551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265152"/>
        <c:crosses val="autoZero"/>
        <c:auto val="1"/>
        <c:lblAlgn val="ctr"/>
        <c:lblOffset val="100"/>
      </c:catAx>
      <c:valAx>
        <c:axId val="1592651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2551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89727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59293824"/>
        <c:axId val="159295360"/>
      </c:lineChart>
      <c:catAx>
        <c:axId val="1592938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295360"/>
        <c:crosses val="autoZero"/>
        <c:auto val="1"/>
        <c:lblAlgn val="ctr"/>
        <c:lblOffset val="100"/>
      </c:catAx>
      <c:valAx>
        <c:axId val="1592953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2938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4.xml"/><Relationship Id="rId13" Type="http://schemas.openxmlformats.org/officeDocument/2006/relationships/chart" Target="../charts/chart39.xml"/><Relationship Id="rId18" Type="http://schemas.openxmlformats.org/officeDocument/2006/relationships/chart" Target="../charts/chart44.xml"/><Relationship Id="rId3" Type="http://schemas.openxmlformats.org/officeDocument/2006/relationships/chart" Target="../charts/chart29.xml"/><Relationship Id="rId7" Type="http://schemas.openxmlformats.org/officeDocument/2006/relationships/chart" Target="../charts/chart33.xml"/><Relationship Id="rId12" Type="http://schemas.openxmlformats.org/officeDocument/2006/relationships/chart" Target="../charts/chart38.xml"/><Relationship Id="rId17" Type="http://schemas.openxmlformats.org/officeDocument/2006/relationships/chart" Target="../charts/chart43.xml"/><Relationship Id="rId2" Type="http://schemas.openxmlformats.org/officeDocument/2006/relationships/chart" Target="../charts/chart28.xml"/><Relationship Id="rId16" Type="http://schemas.openxmlformats.org/officeDocument/2006/relationships/chart" Target="../charts/chart42.xml"/><Relationship Id="rId20" Type="http://schemas.openxmlformats.org/officeDocument/2006/relationships/chart" Target="../charts/chart46.xml"/><Relationship Id="rId1" Type="http://schemas.openxmlformats.org/officeDocument/2006/relationships/chart" Target="../charts/chart27.xml"/><Relationship Id="rId6" Type="http://schemas.openxmlformats.org/officeDocument/2006/relationships/chart" Target="../charts/chart32.xml"/><Relationship Id="rId11" Type="http://schemas.openxmlformats.org/officeDocument/2006/relationships/chart" Target="../charts/chart37.xml"/><Relationship Id="rId5" Type="http://schemas.openxmlformats.org/officeDocument/2006/relationships/chart" Target="../charts/chart31.xml"/><Relationship Id="rId15" Type="http://schemas.openxmlformats.org/officeDocument/2006/relationships/chart" Target="../charts/chart41.xml"/><Relationship Id="rId10" Type="http://schemas.openxmlformats.org/officeDocument/2006/relationships/chart" Target="../charts/chart36.xml"/><Relationship Id="rId19" Type="http://schemas.openxmlformats.org/officeDocument/2006/relationships/chart" Target="../charts/chart45.xml"/><Relationship Id="rId4" Type="http://schemas.openxmlformats.org/officeDocument/2006/relationships/chart" Target="../charts/chart30.xml"/><Relationship Id="rId9" Type="http://schemas.openxmlformats.org/officeDocument/2006/relationships/chart" Target="../charts/chart35.xml"/><Relationship Id="rId14" Type="http://schemas.openxmlformats.org/officeDocument/2006/relationships/chart" Target="../charts/chart40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57618833" name="Chart 1">
          <a:extLst>
            <a:ext uri="{FF2B5EF4-FFF2-40B4-BE49-F238E27FC236}">
              <a16:creationId xmlns:a16="http://schemas.microsoft.com/office/drawing/2014/main" xmlns="" id="{00000000-0008-0000-0100-000091316F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65118787" name="Chart 4">
          <a:extLst>
            <a:ext uri="{FF2B5EF4-FFF2-40B4-BE49-F238E27FC236}">
              <a16:creationId xmlns:a16="http://schemas.microsoft.com/office/drawing/2014/main" xmlns="" id="{00000000-0008-0000-0400-000043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65118788" name="Chart 7">
          <a:extLst>
            <a:ext uri="{FF2B5EF4-FFF2-40B4-BE49-F238E27FC236}">
              <a16:creationId xmlns:a16="http://schemas.microsoft.com/office/drawing/2014/main" xmlns="" id="{00000000-0008-0000-0400-000044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65118789" name="Chart 1">
          <a:extLst>
            <a:ext uri="{FF2B5EF4-FFF2-40B4-BE49-F238E27FC236}">
              <a16:creationId xmlns:a16="http://schemas.microsoft.com/office/drawing/2014/main" xmlns="" id="{00000000-0008-0000-0400-000045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65118790" name="Chart 3">
          <a:extLst>
            <a:ext uri="{FF2B5EF4-FFF2-40B4-BE49-F238E27FC236}">
              <a16:creationId xmlns:a16="http://schemas.microsoft.com/office/drawing/2014/main" xmlns="" id="{00000000-0008-0000-0400-000046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65118791" name="Chart 12">
          <a:extLst>
            <a:ext uri="{FF2B5EF4-FFF2-40B4-BE49-F238E27FC236}">
              <a16:creationId xmlns:a16="http://schemas.microsoft.com/office/drawing/2014/main" xmlns="" id="{00000000-0008-0000-0400-000047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65118792" name="Chart 16">
          <a:extLst>
            <a:ext uri="{FF2B5EF4-FFF2-40B4-BE49-F238E27FC236}">
              <a16:creationId xmlns:a16="http://schemas.microsoft.com/office/drawing/2014/main" xmlns="" id="{00000000-0008-0000-0400-000048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65118793" name="Chart 17">
          <a:extLst>
            <a:ext uri="{FF2B5EF4-FFF2-40B4-BE49-F238E27FC236}">
              <a16:creationId xmlns:a16="http://schemas.microsoft.com/office/drawing/2014/main" xmlns="" id="{00000000-0008-0000-0400-000049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9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10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11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12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13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14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15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185738</xdr:colOff>
      <xdr:row>0</xdr:row>
      <xdr:rowOff>128586</xdr:rowOff>
    </xdr:from>
    <xdr:to>
      <xdr:col>1</xdr:col>
      <xdr:colOff>528638</xdr:colOff>
      <xdr:row>4</xdr:row>
      <xdr:rowOff>100011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6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5738" y="128586"/>
          <a:ext cx="1001713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185738</xdr:colOff>
      <xdr:row>0</xdr:row>
      <xdr:rowOff>128586</xdr:rowOff>
    </xdr:from>
    <xdr:to>
      <xdr:col>1</xdr:col>
      <xdr:colOff>528638</xdr:colOff>
      <xdr:row>4</xdr:row>
      <xdr:rowOff>100011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5738" y="128586"/>
          <a:ext cx="1000125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63968651" name="Chart 14">
          <a:extLst>
            <a:ext uri="{FF2B5EF4-FFF2-40B4-BE49-F238E27FC236}">
              <a16:creationId xmlns:a16="http://schemas.microsoft.com/office/drawing/2014/main" xmlns="" id="{00000000-0008-0000-0700-00008B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3968652" name="Chart 2">
          <a:extLst>
            <a:ext uri="{FF2B5EF4-FFF2-40B4-BE49-F238E27FC236}">
              <a16:creationId xmlns:a16="http://schemas.microsoft.com/office/drawing/2014/main" xmlns="" id="{00000000-0008-0000-0700-00008C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63968653" name="Chart 3">
          <a:extLst>
            <a:ext uri="{FF2B5EF4-FFF2-40B4-BE49-F238E27FC236}">
              <a16:creationId xmlns:a16="http://schemas.microsoft.com/office/drawing/2014/main" xmlns="" id="{00000000-0008-0000-0700-00008D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7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638175</xdr:colOff>
      <xdr:row>4</xdr:row>
      <xdr:rowOff>171450</xdr:rowOff>
    </xdr:to>
    <xdr:pic>
      <xdr:nvPicPr>
        <xdr:cNvPr id="47866671" name="Picture 1" descr="SerengetiTanzania_SafariLodge">
          <a:extLst>
            <a:ext uri="{FF2B5EF4-FFF2-40B4-BE49-F238E27FC236}">
              <a16:creationId xmlns:a16="http://schemas.microsoft.com/office/drawing/2014/main" xmlns="" id="{00000000-0008-0000-0800-00002F63DA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6747" t="5600" r="5521"/>
        <a:stretch>
          <a:fillRect/>
        </a:stretch>
      </xdr:blipFill>
      <xdr:spPr bwMode="auto">
        <a:xfrm>
          <a:off x="0" y="0"/>
          <a:ext cx="1571625" cy="942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638175</xdr:colOff>
      <xdr:row>4</xdr:row>
      <xdr:rowOff>171450</xdr:rowOff>
    </xdr:to>
    <xdr:pic>
      <xdr:nvPicPr>
        <xdr:cNvPr id="3" name="Picture 1" descr="SerengetiTanzania_SafariLodg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6747" t="5600" r="5521"/>
        <a:stretch>
          <a:fillRect/>
        </a:stretch>
      </xdr:blipFill>
      <xdr:spPr bwMode="auto">
        <a:xfrm>
          <a:off x="0" y="0"/>
          <a:ext cx="1571625" cy="942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47867695" name="Chart 1">
          <a:extLst>
            <a:ext uri="{FF2B5EF4-FFF2-40B4-BE49-F238E27FC236}">
              <a16:creationId xmlns:a16="http://schemas.microsoft.com/office/drawing/2014/main" xmlns="" id="{00000000-0008-0000-0900-00002F67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47870767" name="Chart 1">
          <a:extLst>
            <a:ext uri="{FF2B5EF4-FFF2-40B4-BE49-F238E27FC236}">
              <a16:creationId xmlns:a16="http://schemas.microsoft.com/office/drawing/2014/main" xmlns="" id="{00000000-0008-0000-0B00-00002F73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85" name="Chart 1">
          <a:extLst>
            <a:ext uri="{FF2B5EF4-FFF2-40B4-BE49-F238E27FC236}">
              <a16:creationId xmlns:a16="http://schemas.microsoft.com/office/drawing/2014/main" xmlns="" id="{00000000-0008-0000-0C00-0000CD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86" name="Chart 3">
          <a:extLst>
            <a:ext uri="{FF2B5EF4-FFF2-40B4-BE49-F238E27FC236}">
              <a16:creationId xmlns:a16="http://schemas.microsoft.com/office/drawing/2014/main" xmlns="" id="{00000000-0008-0000-0C00-0000CE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87" name="Chart 3">
          <a:extLst>
            <a:ext uri="{FF2B5EF4-FFF2-40B4-BE49-F238E27FC236}">
              <a16:creationId xmlns:a16="http://schemas.microsoft.com/office/drawing/2014/main" xmlns="" id="{00000000-0008-0000-0C00-0000CF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88" name="Chart 4">
          <a:extLst>
            <a:ext uri="{FF2B5EF4-FFF2-40B4-BE49-F238E27FC236}">
              <a16:creationId xmlns:a16="http://schemas.microsoft.com/office/drawing/2014/main" xmlns="" id="{00000000-0008-0000-0C00-0000D0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89" name="Chart 5">
          <a:extLst>
            <a:ext uri="{FF2B5EF4-FFF2-40B4-BE49-F238E27FC236}">
              <a16:creationId xmlns:a16="http://schemas.microsoft.com/office/drawing/2014/main" xmlns="" id="{00000000-0008-0000-0C00-0000D1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90" name="Chart 1">
          <a:extLst>
            <a:ext uri="{FF2B5EF4-FFF2-40B4-BE49-F238E27FC236}">
              <a16:creationId xmlns:a16="http://schemas.microsoft.com/office/drawing/2014/main" xmlns="" id="{00000000-0008-0000-0C00-0000D2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91" name="Chart 3">
          <a:extLst>
            <a:ext uri="{FF2B5EF4-FFF2-40B4-BE49-F238E27FC236}">
              <a16:creationId xmlns:a16="http://schemas.microsoft.com/office/drawing/2014/main" xmlns="" id="{00000000-0008-0000-0C00-0000D3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92" name="Chart 8">
          <a:extLst>
            <a:ext uri="{FF2B5EF4-FFF2-40B4-BE49-F238E27FC236}">
              <a16:creationId xmlns:a16="http://schemas.microsoft.com/office/drawing/2014/main" xmlns="" id="{00000000-0008-0000-0C00-0000D4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93" name="Chart 9">
          <a:extLst>
            <a:ext uri="{FF2B5EF4-FFF2-40B4-BE49-F238E27FC236}">
              <a16:creationId xmlns:a16="http://schemas.microsoft.com/office/drawing/2014/main" xmlns="" id="{00000000-0008-0000-0C00-0000D5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94" name="Chart 10">
          <a:extLst>
            <a:ext uri="{FF2B5EF4-FFF2-40B4-BE49-F238E27FC236}">
              <a16:creationId xmlns:a16="http://schemas.microsoft.com/office/drawing/2014/main" xmlns="" id="{00000000-0008-0000-0C00-0000D6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1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1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8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2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2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238125</xdr:colOff>
      <xdr:row>57</xdr:row>
      <xdr:rowOff>85725</xdr:rowOff>
    </xdr:from>
    <xdr:to>
      <xdr:col>10</xdr:col>
      <xdr:colOff>466725</xdr:colOff>
      <xdr:row>64</xdr:row>
      <xdr:rowOff>76200</xdr:rowOff>
    </xdr:to>
    <xdr:pic>
      <xdr:nvPicPr>
        <xdr:cNvPr id="2" name="Picture 1" descr="C:\Users\JOHN~1.JAP\AppData\Local\Temp\notes9CB204\~6555962.jpg"/>
        <xdr:cNvPicPr/>
      </xdr:nvPicPr>
      <xdr:blipFill>
        <a:blip xmlns:r="http://schemas.openxmlformats.org/officeDocument/2006/relationships" r:embed="rId1"/>
        <a:srcRect l="30288" t="25601" b="54207"/>
        <a:stretch>
          <a:fillRect/>
        </a:stretch>
      </xdr:blipFill>
      <xdr:spPr bwMode="auto">
        <a:xfrm>
          <a:off x="6048375" y="9715500"/>
          <a:ext cx="3971925" cy="1123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504825</xdr:colOff>
      <xdr:row>57</xdr:row>
      <xdr:rowOff>114300</xdr:rowOff>
    </xdr:from>
    <xdr:to>
      <xdr:col>5</xdr:col>
      <xdr:colOff>352425</xdr:colOff>
      <xdr:row>64</xdr:row>
      <xdr:rowOff>66675</xdr:rowOff>
    </xdr:to>
    <xdr:pic>
      <xdr:nvPicPr>
        <xdr:cNvPr id="3" name="Picture 2" descr="C:\Users\JOHN~1.JAP\AppData\Local\Temp\notes9CB204\~1066775.jpg"/>
        <xdr:cNvPicPr/>
      </xdr:nvPicPr>
      <xdr:blipFill>
        <a:blip xmlns:r="http://schemas.openxmlformats.org/officeDocument/2006/relationships" r:embed="rId2"/>
        <a:srcRect l="30609" t="25361" b="54447"/>
        <a:stretch>
          <a:fillRect/>
        </a:stretch>
      </xdr:blipFill>
      <xdr:spPr bwMode="auto">
        <a:xfrm>
          <a:off x="1181100" y="9744075"/>
          <a:ext cx="3971925" cy="10858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HN~1.JAP/AppData/Local/Temp/notes9CB204/10%20OCT.%20%202019%20HLP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EAN-N~1.BRA/LOCALS~1/Temp/notes5669A7/DAILY%20UTILITY%20REPORT%20DECEMBER%2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Shared%20files\HLP-REPORT%202010%20to%202019\HLP-REPORT-2019\10%20OCT.%20%202019%20HLP%20REPOR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11%20NOV.%202019%20HLP%20REPORT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HLP-REPORT%202010%20to%202016/HLP-REPORT%202010%20to%202017/HLP-REPORT-2016/HLP/8%20AUGUST%202016%20HLP%20REPOR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HLP-REPORT%202010%20to%202016/HLP-REPORT%202010%20to%202017/HLP-REPORT-2016/HLP/9%20SEPTEMBER%202016%20HLP%20REPORT%20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  <sheetName val="Utility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C4" t="str">
            <v>Occ%</v>
          </cell>
        </row>
        <row r="5">
          <cell r="C5">
            <v>0.623</v>
          </cell>
          <cell r="F5">
            <v>5669</v>
          </cell>
        </row>
        <row r="6">
          <cell r="C6">
            <v>0.77900000000000003</v>
          </cell>
          <cell r="F6">
            <v>6159</v>
          </cell>
        </row>
        <row r="7">
          <cell r="C7">
            <v>0.53200000000000003</v>
          </cell>
          <cell r="F7">
            <v>6580</v>
          </cell>
        </row>
        <row r="8">
          <cell r="C8">
            <v>0.61</v>
          </cell>
          <cell r="F8">
            <v>6223</v>
          </cell>
        </row>
        <row r="9">
          <cell r="C9">
            <v>0.68799999999999994</v>
          </cell>
          <cell r="F9">
            <v>5984</v>
          </cell>
        </row>
        <row r="10">
          <cell r="C10">
            <v>0.53200000000000003</v>
          </cell>
          <cell r="F10">
            <v>6103</v>
          </cell>
        </row>
        <row r="11">
          <cell r="C11">
            <v>0.753</v>
          </cell>
          <cell r="F11">
            <v>5576</v>
          </cell>
        </row>
        <row r="12">
          <cell r="C12">
            <v>0.156</v>
          </cell>
          <cell r="F12">
            <v>5532</v>
          </cell>
        </row>
        <row r="13">
          <cell r="C13">
            <v>0.442</v>
          </cell>
          <cell r="F13">
            <v>6233</v>
          </cell>
        </row>
        <row r="14">
          <cell r="C14">
            <v>0.32500000000000001</v>
          </cell>
          <cell r="F14">
            <v>6063</v>
          </cell>
        </row>
        <row r="15">
          <cell r="C15">
            <v>0.45500000000000002</v>
          </cell>
          <cell r="F15">
            <v>5967</v>
          </cell>
        </row>
        <row r="16">
          <cell r="C16">
            <v>0.41599999999999998</v>
          </cell>
          <cell r="F16">
            <v>5863</v>
          </cell>
        </row>
        <row r="17">
          <cell r="C17">
            <v>0.39</v>
          </cell>
          <cell r="F17">
            <v>5720</v>
          </cell>
        </row>
        <row r="18">
          <cell r="C18">
            <v>0.63600000000000001</v>
          </cell>
          <cell r="F18">
            <v>6195</v>
          </cell>
        </row>
        <row r="19">
          <cell r="C19">
            <v>0.84399999999999997</v>
          </cell>
          <cell r="F19">
            <v>6450</v>
          </cell>
        </row>
        <row r="20">
          <cell r="C20">
            <v>0.81799999999999995</v>
          </cell>
          <cell r="F20">
            <v>6915</v>
          </cell>
        </row>
        <row r="21">
          <cell r="C21">
            <v>0.20799999999999999</v>
          </cell>
          <cell r="F21">
            <v>5962</v>
          </cell>
        </row>
        <row r="22">
          <cell r="C22">
            <v>0.221</v>
          </cell>
          <cell r="F22">
            <v>5257</v>
          </cell>
        </row>
        <row r="23">
          <cell r="C23">
            <v>0.11700000000000001</v>
          </cell>
          <cell r="F23">
            <v>4691</v>
          </cell>
        </row>
        <row r="24">
          <cell r="C24">
            <v>0.57099999999999995</v>
          </cell>
          <cell r="F24">
            <v>5712</v>
          </cell>
        </row>
        <row r="25">
          <cell r="C25">
            <v>0.55800000000000005</v>
          </cell>
          <cell r="F25">
            <v>5941</v>
          </cell>
        </row>
        <row r="26">
          <cell r="C26">
            <v>0.40300000000000002</v>
          </cell>
          <cell r="F26">
            <v>5400</v>
          </cell>
        </row>
        <row r="27">
          <cell r="C27">
            <v>0.24</v>
          </cell>
          <cell r="F27">
            <v>5371</v>
          </cell>
        </row>
        <row r="28">
          <cell r="C28">
            <v>0.09</v>
          </cell>
          <cell r="F28">
            <v>5296</v>
          </cell>
        </row>
        <row r="29">
          <cell r="C29">
            <v>0.28599999999999998</v>
          </cell>
          <cell r="F29">
            <v>5221</v>
          </cell>
        </row>
        <row r="30">
          <cell r="C30">
            <v>0.54500000000000004</v>
          </cell>
          <cell r="F30">
            <v>5665</v>
          </cell>
        </row>
        <row r="31">
          <cell r="C31">
            <v>0.67500000000000004</v>
          </cell>
          <cell r="F31">
            <v>6109</v>
          </cell>
        </row>
        <row r="32">
          <cell r="C32">
            <v>0.27300000000000002</v>
          </cell>
          <cell r="F32">
            <v>0</v>
          </cell>
        </row>
        <row r="33">
          <cell r="C33">
            <v>0</v>
          </cell>
          <cell r="F33">
            <v>0</v>
          </cell>
        </row>
        <row r="34">
          <cell r="C34">
            <v>0</v>
          </cell>
          <cell r="F34">
            <v>0</v>
          </cell>
        </row>
        <row r="35">
          <cell r="C35">
            <v>0</v>
          </cell>
          <cell r="F35">
            <v>0</v>
          </cell>
        </row>
      </sheetData>
      <sheetData sheetId="5" refreshError="1"/>
      <sheetData sheetId="6" refreshError="1">
        <row r="9">
          <cell r="C9">
            <v>35806.650000000031</v>
          </cell>
        </row>
        <row r="10">
          <cell r="T10">
            <v>0</v>
          </cell>
          <cell r="AJ10">
            <v>0</v>
          </cell>
        </row>
        <row r="11">
          <cell r="A11">
            <v>43739</v>
          </cell>
          <cell r="B11">
            <v>0.623</v>
          </cell>
          <cell r="S11">
            <v>2179.4799999999996</v>
          </cell>
          <cell r="T11">
            <v>5669</v>
          </cell>
          <cell r="AT11">
            <v>47806.650000000031</v>
          </cell>
        </row>
        <row r="12">
          <cell r="A12">
            <v>43740</v>
          </cell>
          <cell r="B12">
            <v>0.77900000000000003</v>
          </cell>
          <cell r="S12">
            <v>2472.85</v>
          </cell>
          <cell r="T12">
            <v>6159</v>
          </cell>
          <cell r="AT12">
            <v>45423.890000000029</v>
          </cell>
        </row>
        <row r="13">
          <cell r="A13">
            <v>43741</v>
          </cell>
          <cell r="B13">
            <v>0.53200000000000003</v>
          </cell>
          <cell r="S13">
            <v>2554.3900000000003</v>
          </cell>
          <cell r="T13">
            <v>6580</v>
          </cell>
          <cell r="AT13">
            <v>42919.590000000026</v>
          </cell>
        </row>
        <row r="14">
          <cell r="A14">
            <v>43742</v>
          </cell>
          <cell r="B14">
            <v>0.61</v>
          </cell>
          <cell r="S14">
            <v>2441.42</v>
          </cell>
          <cell r="T14">
            <v>6223</v>
          </cell>
          <cell r="AT14">
            <v>40258.940000000024</v>
          </cell>
        </row>
        <row r="15">
          <cell r="A15">
            <v>43743</v>
          </cell>
          <cell r="B15">
            <v>0.68799999999999994</v>
          </cell>
          <cell r="S15">
            <v>2338.3599999999997</v>
          </cell>
          <cell r="T15">
            <v>5984</v>
          </cell>
          <cell r="AT15">
            <v>37525.210000000021</v>
          </cell>
        </row>
        <row r="16">
          <cell r="A16">
            <v>43744</v>
          </cell>
          <cell r="B16">
            <v>0.53200000000000003</v>
          </cell>
          <cell r="S16">
            <v>2478.9</v>
          </cell>
          <cell r="T16">
            <v>6103</v>
          </cell>
          <cell r="AT16">
            <v>35107.690000000024</v>
          </cell>
        </row>
        <row r="17">
          <cell r="A17">
            <v>43745</v>
          </cell>
          <cell r="B17">
            <v>0.753</v>
          </cell>
          <cell r="S17">
            <v>2276.44</v>
          </cell>
          <cell r="T17">
            <v>5576</v>
          </cell>
          <cell r="AT17">
            <v>47513.140000000029</v>
          </cell>
        </row>
        <row r="18">
          <cell r="A18">
            <v>43746</v>
          </cell>
          <cell r="B18">
            <v>0.156</v>
          </cell>
          <cell r="S18">
            <v>2242.4</v>
          </cell>
          <cell r="T18">
            <v>5532</v>
          </cell>
          <cell r="AT18">
            <v>45161.890000000029</v>
          </cell>
        </row>
        <row r="19">
          <cell r="A19">
            <v>43747</v>
          </cell>
          <cell r="B19">
            <v>0.442</v>
          </cell>
          <cell r="S19">
            <v>2430.2700000000004</v>
          </cell>
          <cell r="T19">
            <v>6233</v>
          </cell>
          <cell r="AT19">
            <v>42825.480000000025</v>
          </cell>
        </row>
        <row r="20">
          <cell r="A20">
            <v>43748</v>
          </cell>
          <cell r="B20">
            <v>0.32500000000000001</v>
          </cell>
          <cell r="S20">
            <v>2463.77</v>
          </cell>
          <cell r="T20">
            <v>6063</v>
          </cell>
          <cell r="AT20">
            <v>40110.380000000026</v>
          </cell>
        </row>
        <row r="21">
          <cell r="A21">
            <v>43749</v>
          </cell>
          <cell r="B21">
            <v>0.45500000000000002</v>
          </cell>
          <cell r="S21">
            <v>2310.19</v>
          </cell>
          <cell r="T21">
            <v>5967</v>
          </cell>
          <cell r="AT21">
            <v>37540.570000000029</v>
          </cell>
        </row>
        <row r="22">
          <cell r="A22">
            <v>43750</v>
          </cell>
          <cell r="B22">
            <v>0.41599999999999998</v>
          </cell>
          <cell r="S22">
            <v>2429.17</v>
          </cell>
          <cell r="T22">
            <v>5863</v>
          </cell>
          <cell r="AT22">
            <v>34967.29000000003</v>
          </cell>
        </row>
        <row r="23">
          <cell r="A23">
            <v>43751</v>
          </cell>
          <cell r="B23">
            <v>0.39</v>
          </cell>
          <cell r="S23">
            <v>2249.5299999999997</v>
          </cell>
          <cell r="T23">
            <v>5720</v>
          </cell>
          <cell r="AT23">
            <v>32228.760000000031</v>
          </cell>
        </row>
        <row r="24">
          <cell r="A24">
            <v>43752</v>
          </cell>
          <cell r="B24">
            <v>0.63600000000000001</v>
          </cell>
          <cell r="S24">
            <v>2420.41</v>
          </cell>
          <cell r="T24">
            <v>6195</v>
          </cell>
          <cell r="AT24">
            <v>29915.45000000003</v>
          </cell>
        </row>
        <row r="25">
          <cell r="A25">
            <v>43753</v>
          </cell>
          <cell r="B25">
            <v>0.84399999999999997</v>
          </cell>
          <cell r="S25">
            <v>2670.31</v>
          </cell>
          <cell r="T25">
            <v>6450</v>
          </cell>
          <cell r="AJ25">
            <v>80.56</v>
          </cell>
          <cell r="AT25">
            <v>42248.240000000034</v>
          </cell>
        </row>
        <row r="26">
          <cell r="A26">
            <v>43754</v>
          </cell>
          <cell r="B26">
            <v>0.81799999999999995</v>
          </cell>
          <cell r="S26">
            <v>2741.7</v>
          </cell>
          <cell r="T26">
            <v>6915</v>
          </cell>
          <cell r="AT26">
            <v>39497.370000000032</v>
          </cell>
        </row>
        <row r="27">
          <cell r="A27">
            <v>43755</v>
          </cell>
          <cell r="B27">
            <v>0.20799999999999999</v>
          </cell>
          <cell r="S27">
            <v>2321.11</v>
          </cell>
          <cell r="T27">
            <v>5962</v>
          </cell>
          <cell r="AJ27">
            <v>597.9</v>
          </cell>
          <cell r="AT27">
            <v>36688.350000000035</v>
          </cell>
        </row>
        <row r="28">
          <cell r="A28">
            <v>43756</v>
          </cell>
          <cell r="B28">
            <v>0.221</v>
          </cell>
          <cell r="S28">
            <v>2204.84</v>
          </cell>
          <cell r="T28">
            <v>5257</v>
          </cell>
          <cell r="AJ28">
            <v>227.73000000000002</v>
          </cell>
          <cell r="AT28">
            <v>33769.340000000033</v>
          </cell>
        </row>
        <row r="29">
          <cell r="A29">
            <v>43757</v>
          </cell>
          <cell r="B29">
            <v>0.11700000000000001</v>
          </cell>
          <cell r="S29">
            <v>1845.1800000000003</v>
          </cell>
          <cell r="T29">
            <v>4691</v>
          </cell>
          <cell r="AJ29">
            <v>88.289999999999992</v>
          </cell>
          <cell r="AT29">
            <v>31336.770000000033</v>
          </cell>
        </row>
        <row r="30">
          <cell r="A30">
            <v>43758</v>
          </cell>
          <cell r="B30">
            <v>0.57099999999999995</v>
          </cell>
          <cell r="S30">
            <v>2197.0099999999998</v>
          </cell>
          <cell r="T30">
            <v>5712</v>
          </cell>
          <cell r="AJ30">
            <v>783.92</v>
          </cell>
          <cell r="AT30">
            <v>29403.300000000032</v>
          </cell>
        </row>
        <row r="31">
          <cell r="A31">
            <v>43759</v>
          </cell>
          <cell r="B31">
            <v>0.55800000000000005</v>
          </cell>
          <cell r="S31">
            <v>2262.16</v>
          </cell>
          <cell r="T31">
            <v>5941</v>
          </cell>
          <cell r="AJ31">
            <v>172.05</v>
          </cell>
          <cell r="AT31">
            <v>41422.370000000032</v>
          </cell>
        </row>
        <row r="32">
          <cell r="A32">
            <v>43760</v>
          </cell>
          <cell r="B32">
            <v>0.40300000000000002</v>
          </cell>
          <cell r="S32">
            <v>2286.86</v>
          </cell>
          <cell r="T32">
            <v>5400</v>
          </cell>
          <cell r="AJ32">
            <v>18.63</v>
          </cell>
          <cell r="AT32">
            <v>38988.160000000033</v>
          </cell>
        </row>
        <row r="33">
          <cell r="A33">
            <v>43761</v>
          </cell>
          <cell r="B33">
            <v>0.24</v>
          </cell>
          <cell r="S33">
            <v>2148.2999999999997</v>
          </cell>
          <cell r="T33">
            <v>5371</v>
          </cell>
          <cell r="AJ33">
            <v>311.34000000000003</v>
          </cell>
          <cell r="AT33">
            <v>36682.670000000035</v>
          </cell>
        </row>
        <row r="34">
          <cell r="A34">
            <v>43762</v>
          </cell>
          <cell r="B34">
            <v>0.09</v>
          </cell>
          <cell r="S34">
            <v>2213.27</v>
          </cell>
          <cell r="T34">
            <v>5296</v>
          </cell>
          <cell r="AJ34">
            <v>380.7</v>
          </cell>
          <cell r="AT34">
            <v>44223.030000000035</v>
          </cell>
        </row>
        <row r="35">
          <cell r="A35">
            <v>43763</v>
          </cell>
          <cell r="B35">
            <v>0.28599999999999998</v>
          </cell>
          <cell r="S35">
            <v>2104.5200000000004</v>
          </cell>
          <cell r="T35">
            <v>5221</v>
          </cell>
          <cell r="AJ35">
            <v>273.37</v>
          </cell>
          <cell r="AT35">
            <v>41629.060000000034</v>
          </cell>
        </row>
        <row r="36">
          <cell r="A36">
            <v>43764</v>
          </cell>
          <cell r="B36">
            <v>0.54500000000000004</v>
          </cell>
          <cell r="S36">
            <v>2470.2400000000002</v>
          </cell>
          <cell r="T36">
            <v>5665</v>
          </cell>
          <cell r="AJ36">
            <v>396.56</v>
          </cell>
          <cell r="AT36">
            <v>39251.170000000035</v>
          </cell>
        </row>
        <row r="37">
          <cell r="A37">
            <v>43765</v>
          </cell>
          <cell r="B37">
            <v>0.67500000000000004</v>
          </cell>
          <cell r="S37">
            <v>2323.7399999999998</v>
          </cell>
          <cell r="T37">
            <v>6109</v>
          </cell>
          <cell r="AJ37">
            <v>280.63</v>
          </cell>
          <cell r="AT37">
            <v>36384.370000000032</v>
          </cell>
        </row>
        <row r="38">
          <cell r="A38">
            <v>43766</v>
          </cell>
          <cell r="B38">
            <v>0.27300000000000002</v>
          </cell>
          <cell r="S38">
            <v>0</v>
          </cell>
          <cell r="T38">
            <v>0</v>
          </cell>
          <cell r="AJ38">
            <v>0</v>
          </cell>
          <cell r="AT38">
            <v>33780.000000000029</v>
          </cell>
        </row>
        <row r="39">
          <cell r="A39">
            <v>43767</v>
          </cell>
          <cell r="S39">
            <v>0</v>
          </cell>
          <cell r="T39">
            <v>0</v>
          </cell>
          <cell r="AJ39">
            <v>0</v>
          </cell>
          <cell r="AT39">
            <v>33780.000000000029</v>
          </cell>
        </row>
        <row r="40">
          <cell r="A40">
            <v>43768</v>
          </cell>
          <cell r="S40">
            <v>0</v>
          </cell>
          <cell r="T40">
            <v>0</v>
          </cell>
          <cell r="AJ40">
            <v>0</v>
          </cell>
          <cell r="AT40">
            <v>33780.000000000029</v>
          </cell>
        </row>
        <row r="41">
          <cell r="A41">
            <v>43769</v>
          </cell>
          <cell r="S41">
            <v>0</v>
          </cell>
          <cell r="T41">
            <v>0</v>
          </cell>
          <cell r="AJ41">
            <v>0</v>
          </cell>
          <cell r="AT41">
            <v>33780.000000000029</v>
          </cell>
        </row>
        <row r="42">
          <cell r="T42">
            <v>0</v>
          </cell>
        </row>
      </sheetData>
      <sheetData sheetId="7" refreshError="1"/>
      <sheetData sheetId="8" refreshError="1">
        <row r="10">
          <cell r="B10">
            <v>85</v>
          </cell>
          <cell r="G10">
            <v>197.55999999997439</v>
          </cell>
        </row>
        <row r="11">
          <cell r="G11">
            <v>131.95600000002307</v>
          </cell>
        </row>
        <row r="12">
          <cell r="G12">
            <v>117.4799999999872</v>
          </cell>
        </row>
        <row r="13">
          <cell r="G13">
            <v>102.9599999999744</v>
          </cell>
        </row>
        <row r="14">
          <cell r="G14">
            <v>101.81599999999744</v>
          </cell>
        </row>
        <row r="15">
          <cell r="G15">
            <v>106.92000000001282</v>
          </cell>
        </row>
        <row r="16">
          <cell r="G16">
            <v>116.73199999999488</v>
          </cell>
        </row>
        <row r="17">
          <cell r="G17">
            <v>105.73199999999488</v>
          </cell>
        </row>
        <row r="18">
          <cell r="G18">
            <v>114.4</v>
          </cell>
        </row>
        <row r="19">
          <cell r="G19">
            <v>102.08000000005123</v>
          </cell>
        </row>
        <row r="20">
          <cell r="G20">
            <v>105.29199999996928</v>
          </cell>
        </row>
        <row r="21">
          <cell r="G21">
            <v>114.66399999998977</v>
          </cell>
        </row>
        <row r="22">
          <cell r="G22">
            <v>113.78400000000256</v>
          </cell>
        </row>
        <row r="23">
          <cell r="G23">
            <v>114.62000000001281</v>
          </cell>
        </row>
        <row r="24">
          <cell r="G24">
            <v>107.49199999996928</v>
          </cell>
        </row>
        <row r="25">
          <cell r="G25">
            <v>106.78800000001793</v>
          </cell>
        </row>
        <row r="26">
          <cell r="G26">
            <v>100.76000000003843</v>
          </cell>
        </row>
        <row r="27">
          <cell r="G27">
            <v>108.6799999999872</v>
          </cell>
        </row>
        <row r="28">
          <cell r="G28">
            <v>92.795999999984645</v>
          </cell>
        </row>
        <row r="29">
          <cell r="G29">
            <v>137.80800000003075</v>
          </cell>
        </row>
        <row r="30">
          <cell r="G30">
            <v>103.79599999998464</v>
          </cell>
        </row>
        <row r="31">
          <cell r="G31">
            <v>20.415999999997439</v>
          </cell>
        </row>
        <row r="32">
          <cell r="G32">
            <v>197.69199999996928</v>
          </cell>
        </row>
        <row r="33">
          <cell r="G33">
            <v>101.11200000004611</v>
          </cell>
        </row>
        <row r="34">
          <cell r="G34">
            <v>95.303999999951344</v>
          </cell>
        </row>
        <row r="35">
          <cell r="G35">
            <v>104.80800000003075</v>
          </cell>
        </row>
        <row r="36">
          <cell r="G36">
            <v>102.43199999999489</v>
          </cell>
        </row>
        <row r="37">
          <cell r="G37">
            <v>-295728.88400000002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0</v>
          </cell>
        </row>
      </sheetData>
      <sheetData sheetId="9" refreshError="1"/>
      <sheetData sheetId="10" refreshError="1">
        <row r="5">
          <cell r="G5">
            <v>36423</v>
          </cell>
          <cell r="J5">
            <v>7351</v>
          </cell>
          <cell r="P5">
            <v>18541</v>
          </cell>
        </row>
        <row r="6">
          <cell r="G6">
            <v>36434</v>
          </cell>
          <cell r="J6">
            <v>7353</v>
          </cell>
          <cell r="P6">
            <v>18547</v>
          </cell>
        </row>
        <row r="7">
          <cell r="G7">
            <v>36454</v>
          </cell>
          <cell r="J7">
            <v>7357</v>
          </cell>
          <cell r="P7">
            <v>18554</v>
          </cell>
        </row>
        <row r="8">
          <cell r="G8">
            <v>36472</v>
          </cell>
          <cell r="J8">
            <v>7360</v>
          </cell>
          <cell r="P8">
            <v>18563</v>
          </cell>
        </row>
        <row r="9">
          <cell r="G9">
            <v>36485</v>
          </cell>
          <cell r="J9">
            <v>7364</v>
          </cell>
          <cell r="P9">
            <v>18575</v>
          </cell>
        </row>
        <row r="10">
          <cell r="E10">
            <v>114</v>
          </cell>
          <cell r="G10">
            <v>36500</v>
          </cell>
          <cell r="J10">
            <v>7367</v>
          </cell>
          <cell r="P10">
            <v>18586</v>
          </cell>
        </row>
        <row r="11">
          <cell r="E11">
            <v>126</v>
          </cell>
          <cell r="G11">
            <v>36516</v>
          </cell>
          <cell r="J11">
            <v>7369</v>
          </cell>
          <cell r="P11">
            <v>18593</v>
          </cell>
        </row>
        <row r="12">
          <cell r="E12">
            <v>116</v>
          </cell>
          <cell r="G12">
            <v>36529</v>
          </cell>
          <cell r="J12">
            <v>7372</v>
          </cell>
          <cell r="P12">
            <v>18606</v>
          </cell>
        </row>
        <row r="13">
          <cell r="E13">
            <v>120</v>
          </cell>
          <cell r="G13">
            <v>36543</v>
          </cell>
          <cell r="J13">
            <v>7374</v>
          </cell>
          <cell r="P13">
            <v>18616</v>
          </cell>
        </row>
        <row r="14">
          <cell r="E14">
            <v>107</v>
          </cell>
          <cell r="G14">
            <v>36560</v>
          </cell>
          <cell r="J14">
            <v>7377</v>
          </cell>
          <cell r="P14">
            <v>18623</v>
          </cell>
        </row>
        <row r="15">
          <cell r="E15">
            <v>123</v>
          </cell>
          <cell r="G15">
            <v>36574</v>
          </cell>
          <cell r="J15">
            <v>7381</v>
          </cell>
          <cell r="P15">
            <v>18634</v>
          </cell>
        </row>
        <row r="16">
          <cell r="E16">
            <v>112</v>
          </cell>
          <cell r="G16">
            <v>36591</v>
          </cell>
          <cell r="J16">
            <v>7385</v>
          </cell>
          <cell r="P16">
            <v>18643</v>
          </cell>
        </row>
        <row r="17">
          <cell r="E17">
            <v>128</v>
          </cell>
          <cell r="G17">
            <v>36605</v>
          </cell>
          <cell r="J17">
            <v>7388</v>
          </cell>
          <cell r="P17">
            <v>18652</v>
          </cell>
        </row>
        <row r="18">
          <cell r="E18">
            <v>114</v>
          </cell>
          <cell r="G18">
            <v>36619</v>
          </cell>
          <cell r="J18">
            <v>7390</v>
          </cell>
          <cell r="P18">
            <v>18661</v>
          </cell>
        </row>
        <row r="19">
          <cell r="E19">
            <v>119</v>
          </cell>
          <cell r="G19">
            <v>36632</v>
          </cell>
          <cell r="J19">
            <v>7393</v>
          </cell>
          <cell r="P19">
            <v>18672</v>
          </cell>
        </row>
        <row r="20">
          <cell r="E20">
            <v>128</v>
          </cell>
          <cell r="G20">
            <v>36651</v>
          </cell>
          <cell r="J20">
            <v>7396</v>
          </cell>
          <cell r="P20">
            <v>18680</v>
          </cell>
        </row>
        <row r="21">
          <cell r="E21">
            <v>127</v>
          </cell>
          <cell r="G21">
            <v>36668</v>
          </cell>
          <cell r="J21">
            <v>7398</v>
          </cell>
          <cell r="P21">
            <v>18689</v>
          </cell>
        </row>
        <row r="22">
          <cell r="E22">
            <v>122</v>
          </cell>
          <cell r="G22">
            <v>36681</v>
          </cell>
          <cell r="J22">
            <v>7402</v>
          </cell>
          <cell r="P22">
            <v>18701</v>
          </cell>
        </row>
        <row r="23">
          <cell r="G23">
            <v>36696</v>
          </cell>
          <cell r="J23">
            <v>7404</v>
          </cell>
          <cell r="P23">
            <v>18712</v>
          </cell>
        </row>
        <row r="24">
          <cell r="E24">
            <v>104</v>
          </cell>
          <cell r="G24">
            <v>36708</v>
          </cell>
          <cell r="J24">
            <v>7408</v>
          </cell>
          <cell r="P24">
            <v>18719</v>
          </cell>
        </row>
        <row r="25">
          <cell r="E25">
            <v>100</v>
          </cell>
          <cell r="G25">
            <v>36724</v>
          </cell>
          <cell r="J25">
            <v>7412</v>
          </cell>
          <cell r="P25">
            <v>18728</v>
          </cell>
        </row>
        <row r="26">
          <cell r="E26">
            <v>116</v>
          </cell>
          <cell r="G26">
            <v>36740</v>
          </cell>
          <cell r="J26">
            <v>7415</v>
          </cell>
          <cell r="P26">
            <v>18737</v>
          </cell>
        </row>
        <row r="27">
          <cell r="E27">
            <v>114</v>
          </cell>
          <cell r="G27">
            <v>36754</v>
          </cell>
          <cell r="J27">
            <v>7418</v>
          </cell>
          <cell r="P27">
            <v>18746</v>
          </cell>
        </row>
        <row r="28">
          <cell r="E28">
            <v>113</v>
          </cell>
          <cell r="G28">
            <v>36767</v>
          </cell>
          <cell r="J28">
            <v>7421</v>
          </cell>
          <cell r="P28">
            <v>18754</v>
          </cell>
        </row>
        <row r="29">
          <cell r="E29">
            <v>99</v>
          </cell>
          <cell r="G29">
            <v>36779</v>
          </cell>
          <cell r="J29">
            <v>7423</v>
          </cell>
          <cell r="P29">
            <v>18763</v>
          </cell>
        </row>
        <row r="30">
          <cell r="E30">
            <v>111</v>
          </cell>
          <cell r="G30">
            <v>36792</v>
          </cell>
          <cell r="J30">
            <v>7426</v>
          </cell>
          <cell r="P30">
            <v>18773</v>
          </cell>
        </row>
        <row r="31">
          <cell r="E31">
            <v>130</v>
          </cell>
          <cell r="G31">
            <v>36809</v>
          </cell>
          <cell r="J31">
            <v>7428</v>
          </cell>
          <cell r="P31">
            <v>18782</v>
          </cell>
        </row>
        <row r="32">
          <cell r="E32">
            <v>114</v>
          </cell>
          <cell r="G32">
            <v>36825</v>
          </cell>
          <cell r="J32">
            <v>7432</v>
          </cell>
          <cell r="P32">
            <v>18790</v>
          </cell>
        </row>
        <row r="33">
          <cell r="E33">
            <v>-215493</v>
          </cell>
        </row>
        <row r="34">
          <cell r="E34">
            <v>0</v>
          </cell>
        </row>
        <row r="35">
          <cell r="E35">
            <v>0</v>
          </cell>
        </row>
        <row r="36">
          <cell r="E36">
            <v>0</v>
          </cell>
        </row>
        <row r="37">
          <cell r="E37">
            <v>0</v>
          </cell>
        </row>
        <row r="38">
          <cell r="E38">
            <v>-212333</v>
          </cell>
          <cell r="R38">
            <v>-212333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Utility summery"/>
      <sheetName val="Summery Report"/>
      <sheetName val="Energy Graph"/>
      <sheetName val="LPG_Graph"/>
      <sheetName val="Water_Graph "/>
    </sheetNames>
    <sheetDataSet>
      <sheetData sheetId="0" refreshError="1">
        <row r="36">
          <cell r="AA36">
            <v>950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ummery Report"/>
      <sheetName val="Energy Graph"/>
      <sheetName val="LPG_Graph"/>
      <sheetName val="Water_Graph 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35">
          <cell r="L35">
            <v>33424</v>
          </cell>
          <cell r="O35">
            <v>28328</v>
          </cell>
          <cell r="R35">
            <v>33652</v>
          </cell>
          <cell r="U35">
            <v>31164</v>
          </cell>
          <cell r="X35">
            <v>18739</v>
          </cell>
        </row>
      </sheetData>
      <sheetData sheetId="8">
        <row r="43">
          <cell r="C43">
            <v>34821.972000000016</v>
          </cell>
        </row>
      </sheetData>
      <sheetData sheetId="9"/>
      <sheetData sheetId="10"/>
      <sheetData sheetId="11"/>
      <sheetData sheetId="12">
        <row r="35">
          <cell r="J35">
            <v>7536</v>
          </cell>
          <cell r="M35">
            <v>10984</v>
          </cell>
          <cell r="P35">
            <v>19119</v>
          </cell>
          <cell r="T35">
            <v>46850</v>
          </cell>
          <cell r="W35">
            <v>65746</v>
          </cell>
          <cell r="Z35">
            <v>75179</v>
          </cell>
          <cell r="AC35">
            <v>11741</v>
          </cell>
          <cell r="AF35">
            <v>14515</v>
          </cell>
          <cell r="AI35">
            <v>23324</v>
          </cell>
        </row>
      </sheetData>
      <sheetData sheetId="13"/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Utility summery"/>
      <sheetName val="Utility report"/>
      <sheetName val="Kit report"/>
      <sheetName val="Summery Report"/>
      <sheetName val="Daily report Gen"/>
      <sheetName val="Gen"/>
      <sheetName val="Energy Graph"/>
      <sheetName val="Lpg (2)"/>
      <sheetName val="LPG_Graph"/>
      <sheetName val="LUB OIL-1"/>
      <sheetName val="Water-Meter"/>
      <sheetName val="Water_Graph "/>
      <sheetName val="WTL-Softner"/>
      <sheetName val="Sheet1"/>
      <sheetName val="PRINT"/>
      <sheetName val="VODACOM AND AIRTEL"/>
      <sheetName val="SABASABA GENERATOR "/>
      <sheetName val="FUEL METER READ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43">
          <cell r="C43">
            <v>43914.400000000001</v>
          </cell>
        </row>
        <row r="45">
          <cell r="AR45">
            <v>72766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Utility summery"/>
      <sheetName val="Utility report"/>
      <sheetName val="Kit report"/>
      <sheetName val="Summery Report"/>
      <sheetName val="Daily report Gen"/>
      <sheetName val="Gen"/>
      <sheetName val="Energy Graph"/>
      <sheetName val="Lpg (2)"/>
      <sheetName val="LPG_Graph"/>
      <sheetName val="LUB OIL-1"/>
      <sheetName val="Water-Meter"/>
      <sheetName val="Water_Graph "/>
      <sheetName val="WTL-Softner"/>
      <sheetName val="Sheet1"/>
      <sheetName val="PRINT"/>
      <sheetName val="VODACOM AND AIRTEL"/>
      <sheetName val="SABASABA GENERATOR "/>
      <sheetName val="FUEL METER READ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43">
          <cell r="C43">
            <v>45006.900000000016</v>
          </cell>
        </row>
        <row r="45">
          <cell r="AR45">
            <v>64036.499999999993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9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L39"/>
  <sheetViews>
    <sheetView workbookViewId="0">
      <selection activeCell="E36" sqref="E35:E36"/>
    </sheetView>
  </sheetViews>
  <sheetFormatPr defaultColWidth="11.5703125" defaultRowHeight="12.75"/>
  <cols>
    <col min="1" max="1" width="12.42578125" style="12" customWidth="1"/>
    <col min="2" max="3" width="11.5703125" style="606"/>
    <col min="4" max="4" width="13.42578125" style="607" customWidth="1"/>
    <col min="5" max="5" width="12.5703125" style="608" customWidth="1"/>
    <col min="6" max="6" width="12.5703125" style="12" customWidth="1"/>
    <col min="7" max="7" width="11.5703125" style="12"/>
    <col min="8" max="8" width="11.5703125" style="627"/>
    <col min="9" max="9" width="11.5703125" style="12"/>
    <col min="10" max="10" width="11.5703125" style="627"/>
    <col min="11" max="11" width="11.5703125" style="608"/>
    <col min="12" max="12" width="0" hidden="1" customWidth="1"/>
    <col min="256" max="256" width="12.42578125" customWidth="1"/>
    <col min="259" max="259" width="13.42578125" customWidth="1"/>
    <col min="260" max="261" width="12.5703125" customWidth="1"/>
    <col min="268" max="268" width="0" hidden="1" customWidth="1"/>
    <col min="512" max="512" width="12.42578125" customWidth="1"/>
    <col min="515" max="515" width="13.42578125" customWidth="1"/>
    <col min="516" max="517" width="12.5703125" customWidth="1"/>
    <col min="524" max="524" width="0" hidden="1" customWidth="1"/>
    <col min="768" max="768" width="12.42578125" customWidth="1"/>
    <col min="771" max="771" width="13.42578125" customWidth="1"/>
    <col min="772" max="773" width="12.5703125" customWidth="1"/>
    <col min="780" max="780" width="0" hidden="1" customWidth="1"/>
    <col min="1024" max="1024" width="12.42578125" customWidth="1"/>
    <col min="1027" max="1027" width="13.42578125" customWidth="1"/>
    <col min="1028" max="1029" width="12.5703125" customWidth="1"/>
    <col min="1036" max="1036" width="0" hidden="1" customWidth="1"/>
    <col min="1280" max="1280" width="12.42578125" customWidth="1"/>
    <col min="1283" max="1283" width="13.42578125" customWidth="1"/>
    <col min="1284" max="1285" width="12.5703125" customWidth="1"/>
    <col min="1292" max="1292" width="0" hidden="1" customWidth="1"/>
    <col min="1536" max="1536" width="12.42578125" customWidth="1"/>
    <col min="1539" max="1539" width="13.42578125" customWidth="1"/>
    <col min="1540" max="1541" width="12.5703125" customWidth="1"/>
    <col min="1548" max="1548" width="0" hidden="1" customWidth="1"/>
    <col min="1792" max="1792" width="12.42578125" customWidth="1"/>
    <col min="1795" max="1795" width="13.42578125" customWidth="1"/>
    <col min="1796" max="1797" width="12.5703125" customWidth="1"/>
    <col min="1804" max="1804" width="0" hidden="1" customWidth="1"/>
    <col min="2048" max="2048" width="12.42578125" customWidth="1"/>
    <col min="2051" max="2051" width="13.42578125" customWidth="1"/>
    <col min="2052" max="2053" width="12.5703125" customWidth="1"/>
    <col min="2060" max="2060" width="0" hidden="1" customWidth="1"/>
    <col min="2304" max="2304" width="12.42578125" customWidth="1"/>
    <col min="2307" max="2307" width="13.42578125" customWidth="1"/>
    <col min="2308" max="2309" width="12.5703125" customWidth="1"/>
    <col min="2316" max="2316" width="0" hidden="1" customWidth="1"/>
    <col min="2560" max="2560" width="12.42578125" customWidth="1"/>
    <col min="2563" max="2563" width="13.42578125" customWidth="1"/>
    <col min="2564" max="2565" width="12.5703125" customWidth="1"/>
    <col min="2572" max="2572" width="0" hidden="1" customWidth="1"/>
    <col min="2816" max="2816" width="12.42578125" customWidth="1"/>
    <col min="2819" max="2819" width="13.42578125" customWidth="1"/>
    <col min="2820" max="2821" width="12.5703125" customWidth="1"/>
    <col min="2828" max="2828" width="0" hidden="1" customWidth="1"/>
    <col min="3072" max="3072" width="12.42578125" customWidth="1"/>
    <col min="3075" max="3075" width="13.42578125" customWidth="1"/>
    <col min="3076" max="3077" width="12.5703125" customWidth="1"/>
    <col min="3084" max="3084" width="0" hidden="1" customWidth="1"/>
    <col min="3328" max="3328" width="12.42578125" customWidth="1"/>
    <col min="3331" max="3331" width="13.42578125" customWidth="1"/>
    <col min="3332" max="3333" width="12.5703125" customWidth="1"/>
    <col min="3340" max="3340" width="0" hidden="1" customWidth="1"/>
    <col min="3584" max="3584" width="12.42578125" customWidth="1"/>
    <col min="3587" max="3587" width="13.42578125" customWidth="1"/>
    <col min="3588" max="3589" width="12.5703125" customWidth="1"/>
    <col min="3596" max="3596" width="0" hidden="1" customWidth="1"/>
    <col min="3840" max="3840" width="12.42578125" customWidth="1"/>
    <col min="3843" max="3843" width="13.42578125" customWidth="1"/>
    <col min="3844" max="3845" width="12.5703125" customWidth="1"/>
    <col min="3852" max="3852" width="0" hidden="1" customWidth="1"/>
    <col min="4096" max="4096" width="12.42578125" customWidth="1"/>
    <col min="4099" max="4099" width="13.42578125" customWidth="1"/>
    <col min="4100" max="4101" width="12.5703125" customWidth="1"/>
    <col min="4108" max="4108" width="0" hidden="1" customWidth="1"/>
    <col min="4352" max="4352" width="12.42578125" customWidth="1"/>
    <col min="4355" max="4355" width="13.42578125" customWidth="1"/>
    <col min="4356" max="4357" width="12.5703125" customWidth="1"/>
    <col min="4364" max="4364" width="0" hidden="1" customWidth="1"/>
    <col min="4608" max="4608" width="12.42578125" customWidth="1"/>
    <col min="4611" max="4611" width="13.42578125" customWidth="1"/>
    <col min="4612" max="4613" width="12.5703125" customWidth="1"/>
    <col min="4620" max="4620" width="0" hidden="1" customWidth="1"/>
    <col min="4864" max="4864" width="12.42578125" customWidth="1"/>
    <col min="4867" max="4867" width="13.42578125" customWidth="1"/>
    <col min="4868" max="4869" width="12.5703125" customWidth="1"/>
    <col min="4876" max="4876" width="0" hidden="1" customWidth="1"/>
    <col min="5120" max="5120" width="12.42578125" customWidth="1"/>
    <col min="5123" max="5123" width="13.42578125" customWidth="1"/>
    <col min="5124" max="5125" width="12.5703125" customWidth="1"/>
    <col min="5132" max="5132" width="0" hidden="1" customWidth="1"/>
    <col min="5376" max="5376" width="12.42578125" customWidth="1"/>
    <col min="5379" max="5379" width="13.42578125" customWidth="1"/>
    <col min="5380" max="5381" width="12.5703125" customWidth="1"/>
    <col min="5388" max="5388" width="0" hidden="1" customWidth="1"/>
    <col min="5632" max="5632" width="12.42578125" customWidth="1"/>
    <col min="5635" max="5635" width="13.42578125" customWidth="1"/>
    <col min="5636" max="5637" width="12.5703125" customWidth="1"/>
    <col min="5644" max="5644" width="0" hidden="1" customWidth="1"/>
    <col min="5888" max="5888" width="12.42578125" customWidth="1"/>
    <col min="5891" max="5891" width="13.42578125" customWidth="1"/>
    <col min="5892" max="5893" width="12.5703125" customWidth="1"/>
    <col min="5900" max="5900" width="0" hidden="1" customWidth="1"/>
    <col min="6144" max="6144" width="12.42578125" customWidth="1"/>
    <col min="6147" max="6147" width="13.42578125" customWidth="1"/>
    <col min="6148" max="6149" width="12.5703125" customWidth="1"/>
    <col min="6156" max="6156" width="0" hidden="1" customWidth="1"/>
    <col min="6400" max="6400" width="12.42578125" customWidth="1"/>
    <col min="6403" max="6403" width="13.42578125" customWidth="1"/>
    <col min="6404" max="6405" width="12.5703125" customWidth="1"/>
    <col min="6412" max="6412" width="0" hidden="1" customWidth="1"/>
    <col min="6656" max="6656" width="12.42578125" customWidth="1"/>
    <col min="6659" max="6659" width="13.42578125" customWidth="1"/>
    <col min="6660" max="6661" width="12.5703125" customWidth="1"/>
    <col min="6668" max="6668" width="0" hidden="1" customWidth="1"/>
    <col min="6912" max="6912" width="12.42578125" customWidth="1"/>
    <col min="6915" max="6915" width="13.42578125" customWidth="1"/>
    <col min="6916" max="6917" width="12.5703125" customWidth="1"/>
    <col min="6924" max="6924" width="0" hidden="1" customWidth="1"/>
    <col min="7168" max="7168" width="12.42578125" customWidth="1"/>
    <col min="7171" max="7171" width="13.42578125" customWidth="1"/>
    <col min="7172" max="7173" width="12.5703125" customWidth="1"/>
    <col min="7180" max="7180" width="0" hidden="1" customWidth="1"/>
    <col min="7424" max="7424" width="12.42578125" customWidth="1"/>
    <col min="7427" max="7427" width="13.42578125" customWidth="1"/>
    <col min="7428" max="7429" width="12.5703125" customWidth="1"/>
    <col min="7436" max="7436" width="0" hidden="1" customWidth="1"/>
    <col min="7680" max="7680" width="12.42578125" customWidth="1"/>
    <col min="7683" max="7683" width="13.42578125" customWidth="1"/>
    <col min="7684" max="7685" width="12.5703125" customWidth="1"/>
    <col min="7692" max="7692" width="0" hidden="1" customWidth="1"/>
    <col min="7936" max="7936" width="12.42578125" customWidth="1"/>
    <col min="7939" max="7939" width="13.42578125" customWidth="1"/>
    <col min="7940" max="7941" width="12.5703125" customWidth="1"/>
    <col min="7948" max="7948" width="0" hidden="1" customWidth="1"/>
    <col min="8192" max="8192" width="12.42578125" customWidth="1"/>
    <col min="8195" max="8195" width="13.42578125" customWidth="1"/>
    <col min="8196" max="8197" width="12.5703125" customWidth="1"/>
    <col min="8204" max="8204" width="0" hidden="1" customWidth="1"/>
    <col min="8448" max="8448" width="12.42578125" customWidth="1"/>
    <col min="8451" max="8451" width="13.42578125" customWidth="1"/>
    <col min="8452" max="8453" width="12.5703125" customWidth="1"/>
    <col min="8460" max="8460" width="0" hidden="1" customWidth="1"/>
    <col min="8704" max="8704" width="12.42578125" customWidth="1"/>
    <col min="8707" max="8707" width="13.42578125" customWidth="1"/>
    <col min="8708" max="8709" width="12.5703125" customWidth="1"/>
    <col min="8716" max="8716" width="0" hidden="1" customWidth="1"/>
    <col min="8960" max="8960" width="12.42578125" customWidth="1"/>
    <col min="8963" max="8963" width="13.42578125" customWidth="1"/>
    <col min="8964" max="8965" width="12.5703125" customWidth="1"/>
    <col min="8972" max="8972" width="0" hidden="1" customWidth="1"/>
    <col min="9216" max="9216" width="12.42578125" customWidth="1"/>
    <col min="9219" max="9219" width="13.42578125" customWidth="1"/>
    <col min="9220" max="9221" width="12.5703125" customWidth="1"/>
    <col min="9228" max="9228" width="0" hidden="1" customWidth="1"/>
    <col min="9472" max="9472" width="12.42578125" customWidth="1"/>
    <col min="9475" max="9475" width="13.42578125" customWidth="1"/>
    <col min="9476" max="9477" width="12.5703125" customWidth="1"/>
    <col min="9484" max="9484" width="0" hidden="1" customWidth="1"/>
    <col min="9728" max="9728" width="12.42578125" customWidth="1"/>
    <col min="9731" max="9731" width="13.42578125" customWidth="1"/>
    <col min="9732" max="9733" width="12.5703125" customWidth="1"/>
    <col min="9740" max="9740" width="0" hidden="1" customWidth="1"/>
    <col min="9984" max="9984" width="12.42578125" customWidth="1"/>
    <col min="9987" max="9987" width="13.42578125" customWidth="1"/>
    <col min="9988" max="9989" width="12.5703125" customWidth="1"/>
    <col min="9996" max="9996" width="0" hidden="1" customWidth="1"/>
    <col min="10240" max="10240" width="12.42578125" customWidth="1"/>
    <col min="10243" max="10243" width="13.42578125" customWidth="1"/>
    <col min="10244" max="10245" width="12.5703125" customWidth="1"/>
    <col min="10252" max="10252" width="0" hidden="1" customWidth="1"/>
    <col min="10496" max="10496" width="12.42578125" customWidth="1"/>
    <col min="10499" max="10499" width="13.42578125" customWidth="1"/>
    <col min="10500" max="10501" width="12.5703125" customWidth="1"/>
    <col min="10508" max="10508" width="0" hidden="1" customWidth="1"/>
    <col min="10752" max="10752" width="12.42578125" customWidth="1"/>
    <col min="10755" max="10755" width="13.42578125" customWidth="1"/>
    <col min="10756" max="10757" width="12.5703125" customWidth="1"/>
    <col min="10764" max="10764" width="0" hidden="1" customWidth="1"/>
    <col min="11008" max="11008" width="12.42578125" customWidth="1"/>
    <col min="11011" max="11011" width="13.42578125" customWidth="1"/>
    <col min="11012" max="11013" width="12.5703125" customWidth="1"/>
    <col min="11020" max="11020" width="0" hidden="1" customWidth="1"/>
    <col min="11264" max="11264" width="12.42578125" customWidth="1"/>
    <col min="11267" max="11267" width="13.42578125" customWidth="1"/>
    <col min="11268" max="11269" width="12.5703125" customWidth="1"/>
    <col min="11276" max="11276" width="0" hidden="1" customWidth="1"/>
    <col min="11520" max="11520" width="12.42578125" customWidth="1"/>
    <col min="11523" max="11523" width="13.42578125" customWidth="1"/>
    <col min="11524" max="11525" width="12.5703125" customWidth="1"/>
    <col min="11532" max="11532" width="0" hidden="1" customWidth="1"/>
    <col min="11776" max="11776" width="12.42578125" customWidth="1"/>
    <col min="11779" max="11779" width="13.42578125" customWidth="1"/>
    <col min="11780" max="11781" width="12.5703125" customWidth="1"/>
    <col min="11788" max="11788" width="0" hidden="1" customWidth="1"/>
    <col min="12032" max="12032" width="12.42578125" customWidth="1"/>
    <col min="12035" max="12035" width="13.42578125" customWidth="1"/>
    <col min="12036" max="12037" width="12.5703125" customWidth="1"/>
    <col min="12044" max="12044" width="0" hidden="1" customWidth="1"/>
    <col min="12288" max="12288" width="12.42578125" customWidth="1"/>
    <col min="12291" max="12291" width="13.42578125" customWidth="1"/>
    <col min="12292" max="12293" width="12.5703125" customWidth="1"/>
    <col min="12300" max="12300" width="0" hidden="1" customWidth="1"/>
    <col min="12544" max="12544" width="12.42578125" customWidth="1"/>
    <col min="12547" max="12547" width="13.42578125" customWidth="1"/>
    <col min="12548" max="12549" width="12.5703125" customWidth="1"/>
    <col min="12556" max="12556" width="0" hidden="1" customWidth="1"/>
    <col min="12800" max="12800" width="12.42578125" customWidth="1"/>
    <col min="12803" max="12803" width="13.42578125" customWidth="1"/>
    <col min="12804" max="12805" width="12.5703125" customWidth="1"/>
    <col min="12812" max="12812" width="0" hidden="1" customWidth="1"/>
    <col min="13056" max="13056" width="12.42578125" customWidth="1"/>
    <col min="13059" max="13059" width="13.42578125" customWidth="1"/>
    <col min="13060" max="13061" width="12.5703125" customWidth="1"/>
    <col min="13068" max="13068" width="0" hidden="1" customWidth="1"/>
    <col min="13312" max="13312" width="12.42578125" customWidth="1"/>
    <col min="13315" max="13315" width="13.42578125" customWidth="1"/>
    <col min="13316" max="13317" width="12.5703125" customWidth="1"/>
    <col min="13324" max="13324" width="0" hidden="1" customWidth="1"/>
    <col min="13568" max="13568" width="12.42578125" customWidth="1"/>
    <col min="13571" max="13571" width="13.42578125" customWidth="1"/>
    <col min="13572" max="13573" width="12.5703125" customWidth="1"/>
    <col min="13580" max="13580" width="0" hidden="1" customWidth="1"/>
    <col min="13824" max="13824" width="12.42578125" customWidth="1"/>
    <col min="13827" max="13827" width="13.42578125" customWidth="1"/>
    <col min="13828" max="13829" width="12.5703125" customWidth="1"/>
    <col min="13836" max="13836" width="0" hidden="1" customWidth="1"/>
    <col min="14080" max="14080" width="12.42578125" customWidth="1"/>
    <col min="14083" max="14083" width="13.42578125" customWidth="1"/>
    <col min="14084" max="14085" width="12.5703125" customWidth="1"/>
    <col min="14092" max="14092" width="0" hidden="1" customWidth="1"/>
    <col min="14336" max="14336" width="12.42578125" customWidth="1"/>
    <col min="14339" max="14339" width="13.42578125" customWidth="1"/>
    <col min="14340" max="14341" width="12.5703125" customWidth="1"/>
    <col min="14348" max="14348" width="0" hidden="1" customWidth="1"/>
    <col min="14592" max="14592" width="12.42578125" customWidth="1"/>
    <col min="14595" max="14595" width="13.42578125" customWidth="1"/>
    <col min="14596" max="14597" width="12.5703125" customWidth="1"/>
    <col min="14604" max="14604" width="0" hidden="1" customWidth="1"/>
    <col min="14848" max="14848" width="12.42578125" customWidth="1"/>
    <col min="14851" max="14851" width="13.42578125" customWidth="1"/>
    <col min="14852" max="14853" width="12.5703125" customWidth="1"/>
    <col min="14860" max="14860" width="0" hidden="1" customWidth="1"/>
    <col min="15104" max="15104" width="12.42578125" customWidth="1"/>
    <col min="15107" max="15107" width="13.42578125" customWidth="1"/>
    <col min="15108" max="15109" width="12.5703125" customWidth="1"/>
    <col min="15116" max="15116" width="0" hidden="1" customWidth="1"/>
    <col min="15360" max="15360" width="12.42578125" customWidth="1"/>
    <col min="15363" max="15363" width="13.42578125" customWidth="1"/>
    <col min="15364" max="15365" width="12.5703125" customWidth="1"/>
    <col min="15372" max="15372" width="0" hidden="1" customWidth="1"/>
    <col min="15616" max="15616" width="12.42578125" customWidth="1"/>
    <col min="15619" max="15619" width="13.42578125" customWidth="1"/>
    <col min="15620" max="15621" width="12.5703125" customWidth="1"/>
    <col min="15628" max="15628" width="0" hidden="1" customWidth="1"/>
    <col min="15872" max="15872" width="12.42578125" customWidth="1"/>
    <col min="15875" max="15875" width="13.42578125" customWidth="1"/>
    <col min="15876" max="15877" width="12.5703125" customWidth="1"/>
    <col min="15884" max="15884" width="0" hidden="1" customWidth="1"/>
    <col min="16128" max="16128" width="12.42578125" customWidth="1"/>
    <col min="16131" max="16131" width="13.42578125" customWidth="1"/>
    <col min="16132" max="16133" width="12.5703125" customWidth="1"/>
    <col min="16140" max="16140" width="0" hidden="1" customWidth="1"/>
  </cols>
  <sheetData>
    <row r="1" spans="1:12" s="604" customFormat="1" ht="60.75" thickBot="1">
      <c r="A1" s="598" t="s">
        <v>279</v>
      </c>
      <c r="B1" s="599" t="s">
        <v>280</v>
      </c>
      <c r="C1" s="599" t="s">
        <v>281</v>
      </c>
      <c r="D1" s="600" t="s">
        <v>282</v>
      </c>
      <c r="E1" s="601" t="s">
        <v>283</v>
      </c>
      <c r="F1" s="602" t="s">
        <v>284</v>
      </c>
      <c r="G1" s="602" t="s">
        <v>285</v>
      </c>
      <c r="H1" s="625" t="s">
        <v>286</v>
      </c>
      <c r="I1" s="602" t="s">
        <v>287</v>
      </c>
      <c r="J1" s="625" t="s">
        <v>288</v>
      </c>
      <c r="K1" s="601" t="s">
        <v>289</v>
      </c>
      <c r="L1" s="603" t="s">
        <v>290</v>
      </c>
    </row>
    <row r="2" spans="1:12">
      <c r="A2" s="605" t="s">
        <v>291</v>
      </c>
      <c r="B2" s="606">
        <v>1</v>
      </c>
      <c r="C2" s="606">
        <v>12</v>
      </c>
      <c r="D2" s="607">
        <v>2019</v>
      </c>
      <c r="E2" s="608">
        <f>'UTILITY REPORT 1'!F3</f>
        <v>4302</v>
      </c>
      <c r="F2" s="609">
        <f>('UTILITY REPORT 1'!E3*'UTILITY REPORT 1'!D3)/'UTILITY REPORT 1'!F3</f>
        <v>0.38462110646211062</v>
      </c>
      <c r="G2" s="609">
        <f>IF('Utility summery'!M6&lt;0,"0",'Utility summery'!M6)</f>
        <v>114.53199999999488</v>
      </c>
      <c r="H2" s="626">
        <v>0</v>
      </c>
      <c r="I2" s="609">
        <f>IF('UTILITY REPORT 1'!G3&lt;0,"0",'UTILITY REPORT 1'!G3)</f>
        <v>109</v>
      </c>
      <c r="J2" s="626">
        <v>0</v>
      </c>
      <c r="K2" s="608">
        <f>'UTILITY REPORT 1'!C3</f>
        <v>9</v>
      </c>
      <c r="L2" s="610" t="e">
        <f>E2*F2+G2*H2+#REF!*#REF!+I2*J2</f>
        <v>#REF!</v>
      </c>
    </row>
    <row r="3" spans="1:12">
      <c r="A3" s="605" t="s">
        <v>291</v>
      </c>
      <c r="B3" s="606">
        <f>B2+1</f>
        <v>2</v>
      </c>
      <c r="C3" s="606">
        <v>12</v>
      </c>
      <c r="D3" s="607">
        <v>2019</v>
      </c>
      <c r="E3" s="608">
        <f>'UTILITY REPORT 1'!F4</f>
        <v>4286</v>
      </c>
      <c r="F3" s="609">
        <f>('UTILITY REPORT 1'!E4*'UTILITY REPORT 1'!D4)/'UTILITY REPORT 1'!F4</f>
        <v>0.39400606626224921</v>
      </c>
      <c r="G3" s="609">
        <f>IF('Utility summery'!M7&lt;0,"0",'Utility summery'!M7)</f>
        <v>119.37200000002049</v>
      </c>
      <c r="H3" s="626">
        <v>0</v>
      </c>
      <c r="I3" s="609">
        <f>IF('UTILITY REPORT 1'!G4&lt;0,"0",'UTILITY REPORT 1'!G4)</f>
        <v>93</v>
      </c>
      <c r="J3" s="626">
        <v>0</v>
      </c>
      <c r="K3" s="608">
        <f>'UTILITY REPORT 1'!C4</f>
        <v>9</v>
      </c>
      <c r="L3" s="610" t="e">
        <f>E3*F3+G3*H3+#REF!*#REF!+I3*J3</f>
        <v>#REF!</v>
      </c>
    </row>
    <row r="4" spans="1:12">
      <c r="A4" s="605" t="s">
        <v>291</v>
      </c>
      <c r="B4" s="606">
        <f t="shared" ref="B4:B31" si="0">B3+1</f>
        <v>3</v>
      </c>
      <c r="C4" s="606">
        <v>12</v>
      </c>
      <c r="D4" s="607">
        <v>2019</v>
      </c>
      <c r="E4" s="608">
        <f>'UTILITY REPORT 1'!F5</f>
        <v>4122</v>
      </c>
      <c r="F4" s="609">
        <f>('UTILITY REPORT 1'!E5*'UTILITY REPORT 1'!D5)/'UTILITY REPORT 1'!F5</f>
        <v>0.39581513828238718</v>
      </c>
      <c r="G4" s="609">
        <f>IF('Utility summery'!M8&lt;0,"0",'Utility summery'!M8)</f>
        <v>123.20000000000002</v>
      </c>
      <c r="H4" s="626">
        <v>0</v>
      </c>
      <c r="I4" s="609">
        <f>IF('UTILITY REPORT 1'!G5&lt;0,"0",'UTILITY REPORT 1'!G5)</f>
        <v>95</v>
      </c>
      <c r="J4" s="626">
        <v>0</v>
      </c>
      <c r="K4" s="608">
        <f>'UTILITY REPORT 1'!C5</f>
        <v>6</v>
      </c>
      <c r="L4" s="610" t="e">
        <f>E4*F4+G4*H4+#REF!*#REF!+I4*J4</f>
        <v>#REF!</v>
      </c>
    </row>
    <row r="5" spans="1:12">
      <c r="A5" s="605" t="s">
        <v>291</v>
      </c>
      <c r="B5" s="606">
        <f t="shared" si="0"/>
        <v>4</v>
      </c>
      <c r="C5" s="606">
        <v>12</v>
      </c>
      <c r="D5" s="607">
        <v>2019</v>
      </c>
      <c r="E5" s="608">
        <f>'UTILITY REPORT 1'!F6</f>
        <v>4432</v>
      </c>
      <c r="F5" s="609">
        <f>('UTILITY REPORT 1'!E6*'UTILITY REPORT 1'!D6)/'UTILITY REPORT 1'!F6</f>
        <v>0.3987071299638989</v>
      </c>
      <c r="G5" s="609">
        <f>IF('Utility summery'!M9&lt;0,"0",'Utility summery'!M9)</f>
        <v>105.51199999998208</v>
      </c>
      <c r="H5" s="626">
        <v>0</v>
      </c>
      <c r="I5" s="609">
        <f>IF('UTILITY REPORT 1'!G6&lt;0,"0",'UTILITY REPORT 1'!G6)</f>
        <v>97</v>
      </c>
      <c r="J5" s="626">
        <v>0</v>
      </c>
      <c r="K5" s="608">
        <f>'UTILITY REPORT 1'!C6</f>
        <v>8</v>
      </c>
      <c r="L5" s="610" t="e">
        <f>E5*F5+G5*H5+#REF!*#REF!+I5*J5</f>
        <v>#REF!</v>
      </c>
    </row>
    <row r="6" spans="1:12">
      <c r="A6" s="605" t="s">
        <v>291</v>
      </c>
      <c r="B6" s="606">
        <f t="shared" si="0"/>
        <v>5</v>
      </c>
      <c r="C6" s="606">
        <v>12</v>
      </c>
      <c r="D6" s="607">
        <v>2019</v>
      </c>
      <c r="E6" s="608">
        <f>'UTILITY REPORT 1'!F7</f>
        <v>4152</v>
      </c>
      <c r="F6" s="609">
        <f>('UTILITY REPORT 1'!E7*'UTILITY REPORT 1'!D7)/'UTILITY REPORT 1'!F7</f>
        <v>0.38019990366088624</v>
      </c>
      <c r="G6" s="609">
        <f>IF('Utility summery'!M10&lt;0,"0",'Utility summery'!M10)</f>
        <v>106.74399999997696</v>
      </c>
      <c r="H6" s="626">
        <v>0</v>
      </c>
      <c r="I6" s="609">
        <f>IF('UTILITY REPORT 1'!G7&lt;0,"0",'UTILITY REPORT 1'!G7)</f>
        <v>86</v>
      </c>
      <c r="J6" s="626">
        <v>0</v>
      </c>
      <c r="K6" s="608">
        <f>'UTILITY REPORT 1'!C7</f>
        <v>9</v>
      </c>
      <c r="L6" s="610" t="e">
        <f>E6*F6+G6*H6+#REF!*#REF!+I6*J6</f>
        <v>#REF!</v>
      </c>
    </row>
    <row r="7" spans="1:12">
      <c r="A7" s="605" t="s">
        <v>291</v>
      </c>
      <c r="B7" s="606">
        <f t="shared" si="0"/>
        <v>6</v>
      </c>
      <c r="C7" s="606">
        <v>12</v>
      </c>
      <c r="D7" s="607">
        <v>2019</v>
      </c>
      <c r="E7" s="608">
        <f>'UTILITY REPORT 1'!F8</f>
        <v>4564</v>
      </c>
      <c r="F7" s="609">
        <f>('UTILITY REPORT 1'!E8*'UTILITY REPORT 1'!D8)/'UTILITY REPORT 1'!F8</f>
        <v>0.40162795793163897</v>
      </c>
      <c r="G7" s="609">
        <f>IF('Utility summery'!M11&lt;0,"0",'Utility summery'!M11)</f>
        <v>96.140000000025623</v>
      </c>
      <c r="H7" s="626">
        <v>0</v>
      </c>
      <c r="I7" s="609">
        <f>IF('UTILITY REPORT 1'!G8&lt;0,"0",'UTILITY REPORT 1'!G8)</f>
        <v>105</v>
      </c>
      <c r="J7" s="626">
        <v>0</v>
      </c>
      <c r="K7" s="608">
        <f>'UTILITY REPORT 1'!C8</f>
        <v>11</v>
      </c>
      <c r="L7" s="610" t="e">
        <f>E7*F7+G7*H7+#REF!*#REF!+I7*J7</f>
        <v>#REF!</v>
      </c>
    </row>
    <row r="8" spans="1:12">
      <c r="A8" s="605" t="s">
        <v>291</v>
      </c>
      <c r="B8" s="606">
        <f t="shared" si="0"/>
        <v>7</v>
      </c>
      <c r="C8" s="606">
        <v>12</v>
      </c>
      <c r="D8" s="607">
        <v>2019</v>
      </c>
      <c r="E8" s="608">
        <f>'UTILITY REPORT 1'!F9</f>
        <v>4168</v>
      </c>
      <c r="F8" s="609">
        <f>('UTILITY REPORT 1'!E9*'UTILITY REPORT 1'!D9)/'UTILITY REPORT 1'!F9</f>
        <v>0.38681861804222645</v>
      </c>
      <c r="G8" s="609">
        <f>IF('Utility summery'!M12&lt;0,"0",'Utility summery'!M12)</f>
        <v>102.03600000001025</v>
      </c>
      <c r="H8" s="626">
        <v>0</v>
      </c>
      <c r="I8" s="609">
        <f>IF('UTILITY REPORT 1'!G9&lt;0,"0",'UTILITY REPORT 1'!G9)</f>
        <v>131</v>
      </c>
      <c r="J8" s="626">
        <v>0</v>
      </c>
      <c r="K8" s="608">
        <f>'UTILITY REPORT 1'!C9</f>
        <v>6</v>
      </c>
      <c r="L8" s="610" t="e">
        <f>E8*F8+G8*H8+#REF!*#REF!+I8*J8</f>
        <v>#REF!</v>
      </c>
    </row>
    <row r="9" spans="1:12">
      <c r="A9" s="605" t="s">
        <v>291</v>
      </c>
      <c r="B9" s="606">
        <f t="shared" si="0"/>
        <v>8</v>
      </c>
      <c r="C9" s="606">
        <v>12</v>
      </c>
      <c r="D9" s="607">
        <v>2019</v>
      </c>
      <c r="E9" s="608">
        <f>'UTILITY REPORT 1'!F10</f>
        <v>3985</v>
      </c>
      <c r="F9" s="609">
        <f>('UTILITY REPORT 1'!E10*'UTILITY REPORT 1'!D10)/'UTILITY REPORT 1'!F10</f>
        <v>0.40018067754077785</v>
      </c>
      <c r="G9" s="609">
        <f>IF('Utility summery'!M13&lt;0,"0",'Utility summery'!M13)</f>
        <v>99.747999999992331</v>
      </c>
      <c r="H9" s="626">
        <v>0</v>
      </c>
      <c r="I9" s="609">
        <f>IF('UTILITY REPORT 1'!G10&lt;0,"0",'UTILITY REPORT 1'!G10)</f>
        <v>129</v>
      </c>
      <c r="J9" s="626">
        <v>0</v>
      </c>
      <c r="K9" s="608">
        <f>'UTILITY REPORT 1'!C10</f>
        <v>9</v>
      </c>
      <c r="L9" s="610" t="e">
        <f>E9*F9+G9*H9+#REF!*#REF!+I9*J9</f>
        <v>#REF!</v>
      </c>
    </row>
    <row r="10" spans="1:12">
      <c r="A10" s="605" t="s">
        <v>291</v>
      </c>
      <c r="B10" s="606">
        <f t="shared" si="0"/>
        <v>9</v>
      </c>
      <c r="C10" s="606">
        <v>12</v>
      </c>
      <c r="D10" s="607">
        <v>2019</v>
      </c>
      <c r="E10" s="608">
        <f>'UTILITY REPORT 1'!F11</f>
        <v>4085</v>
      </c>
      <c r="F10" s="609">
        <f>('UTILITY REPORT 1'!E11*'UTILITY REPORT 1'!D11)/'UTILITY REPORT 1'!F11</f>
        <v>0.37851897184822519</v>
      </c>
      <c r="G10" s="609">
        <f>IF('Utility summery'!M14&lt;0,"0",'Utility summery'!M14)</f>
        <v>100.93600000001025</v>
      </c>
      <c r="H10" s="626">
        <v>0</v>
      </c>
      <c r="I10" s="609">
        <f>IF('UTILITY REPORT 1'!G11&lt;0,"0",'UTILITY REPORT 1'!G11)</f>
        <v>139</v>
      </c>
      <c r="J10" s="626">
        <v>0</v>
      </c>
      <c r="K10" s="608">
        <f>'UTILITY REPORT 1'!C11</f>
        <v>7</v>
      </c>
      <c r="L10" s="610" t="e">
        <f>E10*F10+G10*H10+#REF!*#REF!+I10*J10</f>
        <v>#REF!</v>
      </c>
    </row>
    <row r="11" spans="1:12">
      <c r="A11" s="605" t="s">
        <v>291</v>
      </c>
      <c r="B11" s="606">
        <f t="shared" si="0"/>
        <v>10</v>
      </c>
      <c r="C11" s="606">
        <v>12</v>
      </c>
      <c r="D11" s="607">
        <v>2019</v>
      </c>
      <c r="E11" s="608">
        <f>'UTILITY REPORT 1'!F12</f>
        <v>4227</v>
      </c>
      <c r="F11" s="609">
        <f>('UTILITY REPORT 1'!E12*'UTILITY REPORT 1'!D12)/'UTILITY REPORT 1'!F12</f>
        <v>0.40074757511237286</v>
      </c>
      <c r="G11" s="609">
        <f>IF('Utility summery'!M15&lt;0,"0",'Utility summery'!M15)</f>
        <v>104.93999999996159</v>
      </c>
      <c r="H11" s="626">
        <v>0</v>
      </c>
      <c r="I11" s="609">
        <f>IF('UTILITY REPORT 1'!G12&lt;0,"0",'UTILITY REPORT 1'!G12)</f>
        <v>101</v>
      </c>
      <c r="J11" s="626">
        <v>0</v>
      </c>
      <c r="K11" s="608">
        <f>'UTILITY REPORT 1'!C12</f>
        <v>8</v>
      </c>
      <c r="L11" s="610" t="e">
        <f>E11*F11+G11*H11+#REF!*#REF!+I11*J11</f>
        <v>#REF!</v>
      </c>
    </row>
    <row r="12" spans="1:12">
      <c r="A12" s="605" t="s">
        <v>291</v>
      </c>
      <c r="B12" s="606">
        <f t="shared" si="0"/>
        <v>11</v>
      </c>
      <c r="C12" s="606">
        <v>12</v>
      </c>
      <c r="D12" s="607">
        <v>2019</v>
      </c>
      <c r="E12" s="608">
        <f>'UTILITY REPORT 1'!F13</f>
        <v>4272</v>
      </c>
      <c r="F12" s="609">
        <f>('UTILITY REPORT 1'!E13*'UTILITY REPORT 1'!D13)/'UTILITY REPORT 1'!F13</f>
        <v>0.37196395131086135</v>
      </c>
      <c r="G12" s="609">
        <f>IF('Utility summery'!M16&lt;0,"0",'Utility summery'!M16)</f>
        <v>102.47600000003587</v>
      </c>
      <c r="H12" s="626">
        <v>0</v>
      </c>
      <c r="I12" s="609">
        <f>IF('UTILITY REPORT 1'!G13&lt;0,"0",'UTILITY REPORT 1'!G13)</f>
        <v>101</v>
      </c>
      <c r="J12" s="626">
        <v>0</v>
      </c>
      <c r="K12" s="608">
        <f>'UTILITY REPORT 1'!C13</f>
        <v>9</v>
      </c>
      <c r="L12" s="610" t="e">
        <f>E12*F12+G12*H12+#REF!*#REF!+I12*J12</f>
        <v>#REF!</v>
      </c>
    </row>
    <row r="13" spans="1:12">
      <c r="A13" s="605" t="s">
        <v>291</v>
      </c>
      <c r="B13" s="606">
        <f t="shared" si="0"/>
        <v>12</v>
      </c>
      <c r="C13" s="606">
        <v>12</v>
      </c>
      <c r="D13" s="607">
        <v>2019</v>
      </c>
      <c r="E13" s="608">
        <f>'UTILITY REPORT 1'!F14</f>
        <v>4226</v>
      </c>
      <c r="F13" s="609">
        <f>('UTILITY REPORT 1'!E14*'UTILITY REPORT 1'!D14)/'UTILITY REPORT 1'!F14</f>
        <v>0.39305016564126838</v>
      </c>
      <c r="G13" s="609">
        <f>IF('Utility summery'!M17&lt;0,"0",'Utility summery'!M17)</f>
        <v>105.64399999997696</v>
      </c>
      <c r="H13" s="626">
        <v>0</v>
      </c>
      <c r="I13" s="609">
        <f>IF('UTILITY REPORT 1'!G14&lt;0,"0",'UTILITY REPORT 1'!G14)</f>
        <v>108</v>
      </c>
      <c r="J13" s="626">
        <v>0</v>
      </c>
      <c r="K13" s="608">
        <f>'UTILITY REPORT 1'!C14</f>
        <v>6</v>
      </c>
      <c r="L13" s="610" t="e">
        <f>E13*F13+G13*H13+#REF!*#REF!+I13*J13</f>
        <v>#REF!</v>
      </c>
    </row>
    <row r="14" spans="1:12">
      <c r="A14" s="605" t="s">
        <v>291</v>
      </c>
      <c r="B14" s="606">
        <f t="shared" si="0"/>
        <v>13</v>
      </c>
      <c r="C14" s="606">
        <v>12</v>
      </c>
      <c r="D14" s="607">
        <v>2019</v>
      </c>
      <c r="E14" s="608">
        <f>'UTILITY REPORT 1'!F15</f>
        <v>4489</v>
      </c>
      <c r="F14" s="609">
        <f>('UTILITY REPORT 1'!E15*'UTILITY REPORT 1'!D15)/'UTILITY REPORT 1'!F15</f>
        <v>0.38852973936288709</v>
      </c>
      <c r="G14" s="609">
        <f>IF('Utility summery'!M18&lt;0,"0",'Utility summery'!M18)</f>
        <v>101.28800000001793</v>
      </c>
      <c r="H14" s="626">
        <v>0</v>
      </c>
      <c r="I14" s="609">
        <f>IF('UTILITY REPORT 1'!G15&lt;0,"0",'UTILITY REPORT 1'!G15)</f>
        <v>105</v>
      </c>
      <c r="J14" s="626">
        <v>0</v>
      </c>
      <c r="K14" s="608">
        <f>'UTILITY REPORT 1'!C15</f>
        <v>8</v>
      </c>
      <c r="L14" s="610" t="e">
        <f>E14*F14+G14*H14+#REF!*#REF!+I14*J14</f>
        <v>#REF!</v>
      </c>
    </row>
    <row r="15" spans="1:12">
      <c r="A15" s="605" t="s">
        <v>291</v>
      </c>
      <c r="B15" s="606">
        <f t="shared" si="0"/>
        <v>14</v>
      </c>
      <c r="C15" s="606">
        <v>12</v>
      </c>
      <c r="D15" s="607">
        <v>2019</v>
      </c>
      <c r="E15" s="608">
        <f>'UTILITY REPORT 1'!F16</f>
        <v>4460</v>
      </c>
      <c r="F15" s="609">
        <f>('UTILITY REPORT 1'!E16*'UTILITY REPORT 1'!D16)/'UTILITY REPORT 1'!F16</f>
        <v>0.38528475336322865</v>
      </c>
      <c r="G15" s="609">
        <f>IF('Utility summery'!M19&lt;0,"0",'Utility summery'!M19)</f>
        <v>101.11199999998207</v>
      </c>
      <c r="H15" s="626">
        <v>0</v>
      </c>
      <c r="I15" s="609">
        <f>IF('UTILITY REPORT 1'!G16&lt;0,"0",'UTILITY REPORT 1'!G16)</f>
        <v>111</v>
      </c>
      <c r="J15" s="626">
        <v>0</v>
      </c>
      <c r="K15" s="608">
        <f>'UTILITY REPORT 1'!C16</f>
        <v>10</v>
      </c>
      <c r="L15" s="610" t="e">
        <f>E15*F15+G15*H15+#REF!*#REF!+I15*J15</f>
        <v>#REF!</v>
      </c>
    </row>
    <row r="16" spans="1:12">
      <c r="A16" s="605" t="s">
        <v>291</v>
      </c>
      <c r="B16" s="606">
        <f t="shared" si="0"/>
        <v>15</v>
      </c>
      <c r="C16" s="606">
        <v>12</v>
      </c>
      <c r="D16" s="607">
        <v>2019</v>
      </c>
      <c r="E16" s="608">
        <f>'UTILITY REPORT 1'!F17</f>
        <v>4526</v>
      </c>
      <c r="F16" s="609">
        <f>('UTILITY REPORT 1'!E17*'UTILITY REPORT 1'!D17)/'UTILITY REPORT 1'!F17</f>
        <v>0.39741935483870972</v>
      </c>
      <c r="G16" s="609">
        <f>IF('Utility summery'!M20&lt;0,"0",'Utility summery'!M20)</f>
        <v>105.60000000000001</v>
      </c>
      <c r="H16" s="626">
        <v>0</v>
      </c>
      <c r="I16" s="609">
        <f>IF('UTILITY REPORT 1'!G17&lt;0,"0",'UTILITY REPORT 1'!G17)</f>
        <v>97</v>
      </c>
      <c r="J16" s="626">
        <v>0</v>
      </c>
      <c r="K16" s="608">
        <f>'UTILITY REPORT 1'!C17</f>
        <v>15</v>
      </c>
      <c r="L16" s="610" t="e">
        <f>E16*F16+G16*H16+#REF!*#REF!+I16*J16</f>
        <v>#REF!</v>
      </c>
    </row>
    <row r="17" spans="1:12">
      <c r="A17" s="605" t="s">
        <v>291</v>
      </c>
      <c r="B17" s="606">
        <f t="shared" si="0"/>
        <v>16</v>
      </c>
      <c r="C17" s="606">
        <v>12</v>
      </c>
      <c r="D17" s="607">
        <v>2019</v>
      </c>
      <c r="E17" s="608">
        <f>'UTILITY REPORT 1'!F18</f>
        <v>4416</v>
      </c>
      <c r="F17" s="609">
        <f>('UTILITY REPORT 1'!E18*'UTILITY REPORT 1'!D18)/'UTILITY REPORT 1'!F18</f>
        <v>0.41024230072463769</v>
      </c>
      <c r="G17" s="609">
        <f>IF('Utility summery'!M21&lt;0,"0",'Utility summery'!M21)</f>
        <v>52.184000000002563</v>
      </c>
      <c r="H17" s="626">
        <v>0</v>
      </c>
      <c r="I17" s="609">
        <f>IF('UTILITY REPORT 1'!G18&lt;0,"0",'UTILITY REPORT 1'!G18)</f>
        <v>87</v>
      </c>
      <c r="J17" s="626">
        <v>0</v>
      </c>
      <c r="K17" s="608">
        <f>'UTILITY REPORT 1'!C18</f>
        <v>15</v>
      </c>
      <c r="L17" s="610" t="e">
        <f>E17*F17+G17*H17+#REF!*#REF!+I17*J17</f>
        <v>#REF!</v>
      </c>
    </row>
    <row r="18" spans="1:12">
      <c r="A18" s="605" t="s">
        <v>291</v>
      </c>
      <c r="B18" s="606">
        <f t="shared" si="0"/>
        <v>17</v>
      </c>
      <c r="C18" s="606">
        <v>12</v>
      </c>
      <c r="D18" s="607">
        <v>2019</v>
      </c>
      <c r="E18" s="608">
        <f>'UTILITY REPORT 1'!F19</f>
        <v>5002</v>
      </c>
      <c r="F18" s="609">
        <f>('UTILITY REPORT 1'!E19*'UTILITY REPORT 1'!D19)/'UTILITY REPORT 1'!F19</f>
        <v>0.39673330667732909</v>
      </c>
      <c r="G18" s="609">
        <f>IF('Utility summery'!M22&lt;0,"0",'Utility summery'!M22)</f>
        <v>104.23600000001025</v>
      </c>
      <c r="H18" s="626">
        <v>0</v>
      </c>
      <c r="I18" s="609">
        <f>IF('UTILITY REPORT 1'!G19&lt;0,"0",'UTILITY REPORT 1'!G19)</f>
        <v>108</v>
      </c>
      <c r="J18" s="626">
        <v>0</v>
      </c>
      <c r="K18" s="608">
        <f>'UTILITY REPORT 1'!C19</f>
        <v>36</v>
      </c>
      <c r="L18" s="610" t="e">
        <f>E18*F18+G18*H18+#REF!*#REF!+I18*J18</f>
        <v>#REF!</v>
      </c>
    </row>
    <row r="19" spans="1:12">
      <c r="A19" s="605" t="s">
        <v>291</v>
      </c>
      <c r="B19" s="606">
        <f t="shared" si="0"/>
        <v>18</v>
      </c>
      <c r="C19" s="606">
        <v>12</v>
      </c>
      <c r="D19" s="607">
        <v>2019</v>
      </c>
      <c r="E19" s="608">
        <f>'UTILITY REPORT 1'!F20</f>
        <v>0</v>
      </c>
      <c r="F19" s="609" t="e">
        <f>('UTILITY REPORT 1'!E20*'UTILITY REPORT 1'!D20)/'UTILITY REPORT 1'!F20</f>
        <v>#DIV/0!</v>
      </c>
      <c r="G19" s="609" t="str">
        <f>IF('Utility summery'!M23&lt;0,"0",'Utility summery'!M23)</f>
        <v>0</v>
      </c>
      <c r="H19" s="626">
        <v>0</v>
      </c>
      <c r="I19" s="609" t="str">
        <f>IF('UTILITY REPORT 1'!G20&lt;0,"0",'UTILITY REPORT 1'!G20)</f>
        <v>0</v>
      </c>
      <c r="J19" s="626">
        <v>0</v>
      </c>
      <c r="K19" s="608">
        <f>'UTILITY REPORT 1'!C20</f>
        <v>0</v>
      </c>
      <c r="L19" s="610" t="e">
        <f>E19*F19+G19*H19+#REF!*#REF!+I19*J19</f>
        <v>#DIV/0!</v>
      </c>
    </row>
    <row r="20" spans="1:12">
      <c r="A20" s="605" t="s">
        <v>291</v>
      </c>
      <c r="B20" s="606">
        <f t="shared" si="0"/>
        <v>19</v>
      </c>
      <c r="C20" s="606">
        <v>12</v>
      </c>
      <c r="D20" s="607">
        <v>2019</v>
      </c>
      <c r="E20" s="608">
        <f>'UTILITY REPORT 1'!F21</f>
        <v>0</v>
      </c>
      <c r="F20" s="609" t="e">
        <f>('UTILITY REPORT 1'!E21*'UTILITY REPORT 1'!D21)/'UTILITY REPORT 1'!F21</f>
        <v>#DIV/0!</v>
      </c>
      <c r="G20" s="609">
        <f>IF('Utility summery'!M24&lt;0,"0",'Utility summery'!M24)</f>
        <v>0</v>
      </c>
      <c r="H20" s="626">
        <v>0</v>
      </c>
      <c r="I20" s="609">
        <f>IF('UTILITY REPORT 1'!G21&lt;0,"0",'UTILITY REPORT 1'!G21)</f>
        <v>0</v>
      </c>
      <c r="J20" s="626">
        <v>0</v>
      </c>
      <c r="K20" s="608">
        <f>'UTILITY REPORT 1'!C21</f>
        <v>0</v>
      </c>
      <c r="L20" s="610" t="e">
        <f>E20*F20+G20*H20+#REF!*#REF!+I20*J20</f>
        <v>#DIV/0!</v>
      </c>
    </row>
    <row r="21" spans="1:12">
      <c r="A21" s="605" t="s">
        <v>291</v>
      </c>
      <c r="B21" s="606">
        <f t="shared" si="0"/>
        <v>20</v>
      </c>
      <c r="C21" s="606">
        <v>12</v>
      </c>
      <c r="D21" s="607">
        <v>2019</v>
      </c>
      <c r="E21" s="608">
        <f>'UTILITY REPORT 1'!F22</f>
        <v>0</v>
      </c>
      <c r="F21" s="609" t="e">
        <f>('UTILITY REPORT 1'!E22*'UTILITY REPORT 1'!D22)/'UTILITY REPORT 1'!F22</f>
        <v>#DIV/0!</v>
      </c>
      <c r="G21" s="609">
        <f>IF('Utility summery'!M25&lt;0,"0",'Utility summery'!M25)</f>
        <v>0</v>
      </c>
      <c r="H21" s="626">
        <v>0</v>
      </c>
      <c r="I21" s="609">
        <f>IF('UTILITY REPORT 1'!G22&lt;0,"0",'UTILITY REPORT 1'!G22)</f>
        <v>0</v>
      </c>
      <c r="J21" s="626">
        <v>0</v>
      </c>
      <c r="K21" s="608">
        <f>'UTILITY REPORT 1'!C22</f>
        <v>0</v>
      </c>
      <c r="L21" s="610" t="e">
        <f>E21*F21+G21*H21+#REF!*#REF!+I21*J21</f>
        <v>#DIV/0!</v>
      </c>
    </row>
    <row r="22" spans="1:12">
      <c r="A22" s="605" t="s">
        <v>291</v>
      </c>
      <c r="B22" s="606">
        <f t="shared" si="0"/>
        <v>21</v>
      </c>
      <c r="C22" s="606">
        <v>12</v>
      </c>
      <c r="D22" s="607">
        <v>2019</v>
      </c>
      <c r="E22" s="608">
        <f>'UTILITY REPORT 1'!F23</f>
        <v>0</v>
      </c>
      <c r="F22" s="609" t="e">
        <f>('UTILITY REPORT 1'!E23*'UTILITY REPORT 1'!D23)/'UTILITY REPORT 1'!F23</f>
        <v>#DIV/0!</v>
      </c>
      <c r="G22" s="609">
        <f>IF('Utility summery'!M26&lt;0,"0",'Utility summery'!M26)</f>
        <v>0</v>
      </c>
      <c r="H22" s="626">
        <v>0</v>
      </c>
      <c r="I22" s="609">
        <f>IF('UTILITY REPORT 1'!G23&lt;0,"0",'UTILITY REPORT 1'!G23)</f>
        <v>0</v>
      </c>
      <c r="J22" s="626">
        <v>0</v>
      </c>
      <c r="K22" s="608">
        <f>'UTILITY REPORT 1'!C23</f>
        <v>0</v>
      </c>
      <c r="L22" s="610" t="e">
        <f>E22*F22+G22*H22+#REF!*#REF!+I22*J22</f>
        <v>#DIV/0!</v>
      </c>
    </row>
    <row r="23" spans="1:12">
      <c r="A23" s="605" t="s">
        <v>291</v>
      </c>
      <c r="B23" s="606">
        <f t="shared" si="0"/>
        <v>22</v>
      </c>
      <c r="C23" s="606">
        <v>12</v>
      </c>
      <c r="D23" s="607">
        <v>2019</v>
      </c>
      <c r="E23" s="608">
        <f>'UTILITY REPORT 1'!F24</f>
        <v>0</v>
      </c>
      <c r="F23" s="609" t="e">
        <f>('UTILITY REPORT 1'!E24*'UTILITY REPORT 1'!D24)/'UTILITY REPORT 1'!F24</f>
        <v>#DIV/0!</v>
      </c>
      <c r="G23" s="609">
        <f>IF('Utility summery'!M27&lt;0,"0",'Utility summery'!M27)</f>
        <v>0</v>
      </c>
      <c r="H23" s="626">
        <v>0</v>
      </c>
      <c r="I23" s="609">
        <f>IF('UTILITY REPORT 1'!G24&lt;0,"0",'UTILITY REPORT 1'!G24)</f>
        <v>0</v>
      </c>
      <c r="J23" s="626">
        <v>0</v>
      </c>
      <c r="K23" s="608">
        <f>'UTILITY REPORT 1'!C24</f>
        <v>0</v>
      </c>
      <c r="L23" s="610" t="e">
        <f>E23*F23+G23*H23+#REF!*#REF!+I23*J23</f>
        <v>#DIV/0!</v>
      </c>
    </row>
    <row r="24" spans="1:12">
      <c r="A24" s="605" t="s">
        <v>291</v>
      </c>
      <c r="B24" s="606">
        <f t="shared" si="0"/>
        <v>23</v>
      </c>
      <c r="C24" s="606">
        <v>12</v>
      </c>
      <c r="D24" s="607">
        <v>2019</v>
      </c>
      <c r="E24" s="608">
        <f>'UTILITY REPORT 1'!F25</f>
        <v>0</v>
      </c>
      <c r="F24" s="609" t="e">
        <f>('UTILITY REPORT 1'!E25*'UTILITY REPORT 1'!D25)/'UTILITY REPORT 1'!F25</f>
        <v>#DIV/0!</v>
      </c>
      <c r="G24" s="609">
        <f>IF('Utility summery'!M28&lt;0,"0",'Utility summery'!M28)</f>
        <v>0</v>
      </c>
      <c r="H24" s="626">
        <v>0</v>
      </c>
      <c r="I24" s="609">
        <f>IF('UTILITY REPORT 1'!G25&lt;0,"0",'UTILITY REPORT 1'!G25)</f>
        <v>0</v>
      </c>
      <c r="J24" s="626">
        <v>0</v>
      </c>
      <c r="K24" s="608">
        <f>'UTILITY REPORT 1'!C25</f>
        <v>0</v>
      </c>
      <c r="L24" s="610" t="e">
        <f>E24*F24+G24*H24+#REF!*#REF!+I24*J24</f>
        <v>#DIV/0!</v>
      </c>
    </row>
    <row r="25" spans="1:12">
      <c r="A25" s="605" t="s">
        <v>291</v>
      </c>
      <c r="B25" s="606">
        <f t="shared" si="0"/>
        <v>24</v>
      </c>
      <c r="C25" s="606">
        <v>12</v>
      </c>
      <c r="D25" s="607">
        <v>2019</v>
      </c>
      <c r="E25" s="608">
        <f>'UTILITY REPORT 1'!F26</f>
        <v>0</v>
      </c>
      <c r="F25" s="609" t="e">
        <f>('UTILITY REPORT 1'!E26*'UTILITY REPORT 1'!D26)/'UTILITY REPORT 1'!F26</f>
        <v>#DIV/0!</v>
      </c>
      <c r="G25" s="609">
        <f>IF('Utility summery'!M29&lt;0,"0",'Utility summery'!M29)</f>
        <v>0</v>
      </c>
      <c r="H25" s="626">
        <v>0</v>
      </c>
      <c r="I25" s="609">
        <f>IF('UTILITY REPORT 1'!G26&lt;0,"0",'UTILITY REPORT 1'!G26)</f>
        <v>0</v>
      </c>
      <c r="J25" s="626">
        <v>0</v>
      </c>
      <c r="K25" s="608">
        <f>'UTILITY REPORT 1'!C26</f>
        <v>0</v>
      </c>
      <c r="L25" s="610" t="e">
        <f>E25*F25+G25*H25+#REF!*#REF!+I25*J25</f>
        <v>#DIV/0!</v>
      </c>
    </row>
    <row r="26" spans="1:12">
      <c r="A26" s="605" t="s">
        <v>291</v>
      </c>
      <c r="B26" s="606">
        <f>B25+1</f>
        <v>25</v>
      </c>
      <c r="C26" s="606">
        <v>12</v>
      </c>
      <c r="D26" s="607">
        <v>2019</v>
      </c>
      <c r="E26" s="608">
        <f>'UTILITY REPORT 1'!F27</f>
        <v>0</v>
      </c>
      <c r="F26" s="609" t="e">
        <f>('UTILITY REPORT 1'!E27*'UTILITY REPORT 1'!D27)/'UTILITY REPORT 1'!F27</f>
        <v>#DIV/0!</v>
      </c>
      <c r="G26" s="609">
        <f>IF('Utility summery'!M30&lt;0,"0",'Utility summery'!M30)</f>
        <v>0</v>
      </c>
      <c r="H26" s="626">
        <v>0</v>
      </c>
      <c r="I26" s="609">
        <f>IF('UTILITY REPORT 1'!G27&lt;0,"0",'UTILITY REPORT 1'!G27)</f>
        <v>0</v>
      </c>
      <c r="J26" s="626">
        <v>0</v>
      </c>
      <c r="K26" s="608">
        <f>'UTILITY REPORT 1'!C27</f>
        <v>0</v>
      </c>
      <c r="L26" s="610" t="e">
        <f>E26*F26+G26*H26+#REF!*#REF!+I26*J26</f>
        <v>#DIV/0!</v>
      </c>
    </row>
    <row r="27" spans="1:12">
      <c r="A27" s="605" t="s">
        <v>291</v>
      </c>
      <c r="B27" s="606">
        <f t="shared" si="0"/>
        <v>26</v>
      </c>
      <c r="C27" s="606">
        <v>12</v>
      </c>
      <c r="D27" s="607">
        <v>2019</v>
      </c>
      <c r="E27" s="608">
        <f>'UTILITY REPORT 1'!F28</f>
        <v>0</v>
      </c>
      <c r="F27" s="609" t="e">
        <f>('UTILITY REPORT 1'!E28*'UTILITY REPORT 1'!D28)/'UTILITY REPORT 1'!F28</f>
        <v>#DIV/0!</v>
      </c>
      <c r="G27" s="609">
        <f>IF('Utility summery'!M31&lt;0,"0",'Utility summery'!M31)</f>
        <v>0</v>
      </c>
      <c r="H27" s="626">
        <v>0</v>
      </c>
      <c r="I27" s="609">
        <f>IF('UTILITY REPORT 1'!G28&lt;0,"0",'UTILITY REPORT 1'!G28)</f>
        <v>0</v>
      </c>
      <c r="J27" s="626">
        <v>0</v>
      </c>
      <c r="K27" s="608">
        <f>'UTILITY REPORT 1'!C28</f>
        <v>0</v>
      </c>
      <c r="L27" s="610" t="e">
        <f>E27*F27+G27*H27+#REF!*#REF!+I27*J27</f>
        <v>#DIV/0!</v>
      </c>
    </row>
    <row r="28" spans="1:12">
      <c r="A28" s="605" t="s">
        <v>291</v>
      </c>
      <c r="B28" s="606">
        <f t="shared" si="0"/>
        <v>27</v>
      </c>
      <c r="C28" s="606">
        <v>12</v>
      </c>
      <c r="D28" s="607">
        <v>2019</v>
      </c>
      <c r="E28" s="608">
        <f>'UTILITY REPORT 1'!F29</f>
        <v>0</v>
      </c>
      <c r="F28" s="609" t="e">
        <f>('UTILITY REPORT 1'!E29*'UTILITY REPORT 1'!D29)/'UTILITY REPORT 1'!F29</f>
        <v>#DIV/0!</v>
      </c>
      <c r="G28" s="609">
        <f>IF('Utility summery'!M32&lt;0,"0",'Utility summery'!M32)</f>
        <v>0</v>
      </c>
      <c r="H28" s="626">
        <v>0</v>
      </c>
      <c r="I28" s="609">
        <f>IF('UTILITY REPORT 1'!G29&lt;0,"0",'UTILITY REPORT 1'!G29)</f>
        <v>0</v>
      </c>
      <c r="J28" s="626">
        <v>0</v>
      </c>
      <c r="K28" s="608">
        <f>'UTILITY REPORT 1'!C29</f>
        <v>0</v>
      </c>
      <c r="L28" s="610" t="e">
        <f>E28*F28+G28*H28+#REF!*#REF!+I28*J28</f>
        <v>#DIV/0!</v>
      </c>
    </row>
    <row r="29" spans="1:12">
      <c r="A29" s="605" t="s">
        <v>291</v>
      </c>
      <c r="B29" s="606">
        <f t="shared" si="0"/>
        <v>28</v>
      </c>
      <c r="C29" s="606">
        <v>12</v>
      </c>
      <c r="D29" s="607">
        <v>2019</v>
      </c>
      <c r="E29" s="608">
        <f>'UTILITY REPORT 1'!F30</f>
        <v>0</v>
      </c>
      <c r="F29" s="609" t="e">
        <f>('UTILITY REPORT 1'!E30*'UTILITY REPORT 1'!D30)/'UTILITY REPORT 1'!F30</f>
        <v>#DIV/0!</v>
      </c>
      <c r="G29" s="609">
        <f>IF('Utility summery'!M33&lt;0,"0",'Utility summery'!M33)</f>
        <v>0</v>
      </c>
      <c r="H29" s="626">
        <v>0</v>
      </c>
      <c r="I29" s="609">
        <f>IF('UTILITY REPORT 1'!G30&lt;0,"0",'UTILITY REPORT 1'!G30)</f>
        <v>0</v>
      </c>
      <c r="J29" s="626">
        <v>0</v>
      </c>
      <c r="K29" s="608">
        <f>'UTILITY REPORT 1'!C30</f>
        <v>0</v>
      </c>
      <c r="L29" s="610" t="e">
        <f>E29*F29+G29*H29+#REF!*#REF!+I29*J29</f>
        <v>#DIV/0!</v>
      </c>
    </row>
    <row r="30" spans="1:12">
      <c r="A30" s="605" t="s">
        <v>291</v>
      </c>
      <c r="B30" s="606">
        <f t="shared" si="0"/>
        <v>29</v>
      </c>
      <c r="C30" s="606">
        <v>12</v>
      </c>
      <c r="D30" s="607">
        <v>2019</v>
      </c>
      <c r="E30" s="608">
        <f>'UTILITY REPORT 1'!F31</f>
        <v>0</v>
      </c>
      <c r="F30" s="609" t="e">
        <f>('UTILITY REPORT 1'!E31*'UTILITY REPORT 1'!D31)/'UTILITY REPORT 1'!F31</f>
        <v>#DIV/0!</v>
      </c>
      <c r="G30" s="609">
        <f>IF('Utility summery'!M34&lt;0,"0",'Utility summery'!M34)</f>
        <v>0</v>
      </c>
      <c r="H30" s="626">
        <v>0</v>
      </c>
      <c r="I30" s="609">
        <f>IF('UTILITY REPORT 1'!G31&lt;0,"0",'UTILITY REPORT 1'!G31)</f>
        <v>0</v>
      </c>
      <c r="J30" s="626">
        <v>0</v>
      </c>
      <c r="K30" s="608">
        <f>'UTILITY REPORT 1'!C31</f>
        <v>0</v>
      </c>
      <c r="L30" s="610" t="e">
        <f>E30*F30+G30*H30+#REF!*#REF!+I30*J30</f>
        <v>#DIV/0!</v>
      </c>
    </row>
    <row r="31" spans="1:12">
      <c r="A31" s="605" t="s">
        <v>291</v>
      </c>
      <c r="B31" s="606">
        <f t="shared" si="0"/>
        <v>30</v>
      </c>
      <c r="C31" s="606">
        <v>12</v>
      </c>
      <c r="D31" s="607">
        <v>2019</v>
      </c>
      <c r="E31" s="608">
        <f>'UTILITY REPORT 1'!F32</f>
        <v>0</v>
      </c>
      <c r="F31" s="609" t="e">
        <f>('UTILITY REPORT 1'!E32*'UTILITY REPORT 1'!D32)/'UTILITY REPORT 1'!F32</f>
        <v>#DIV/0!</v>
      </c>
      <c r="G31" s="609">
        <f>IF('Utility summery'!M35&lt;0,"0",'Utility summery'!M35)</f>
        <v>0</v>
      </c>
      <c r="H31" s="626">
        <v>0</v>
      </c>
      <c r="I31" s="609">
        <f>IF('UTILITY REPORT 1'!G32&lt;0,"0",'UTILITY REPORT 1'!G32)</f>
        <v>0</v>
      </c>
      <c r="J31" s="626">
        <v>0</v>
      </c>
      <c r="K31" s="608">
        <f>'UTILITY REPORT 1'!C32</f>
        <v>0</v>
      </c>
      <c r="L31" s="610" t="e">
        <f>E31*F31+G31*H31+#REF!*#REF!+I31*J31</f>
        <v>#DIV/0!</v>
      </c>
    </row>
    <row r="32" spans="1:12">
      <c r="A32" s="605" t="s">
        <v>291</v>
      </c>
      <c r="B32" s="606">
        <v>1</v>
      </c>
      <c r="C32" s="606">
        <v>12</v>
      </c>
      <c r="D32" s="607">
        <v>2019</v>
      </c>
      <c r="E32" s="608">
        <f>'UTILITY REPORT 1'!F33</f>
        <v>0</v>
      </c>
      <c r="F32" s="609" t="e">
        <f>('UTILITY REPORT 1'!E33*'UTILITY REPORT 1'!D33)/'UTILITY REPORT 1'!F33</f>
        <v>#DIV/0!</v>
      </c>
      <c r="G32" s="609">
        <f>IF('Utility summery'!M36&lt;0,"0",'Utility summery'!M36)</f>
        <v>0</v>
      </c>
      <c r="H32" s="626">
        <v>0</v>
      </c>
      <c r="I32" s="609">
        <f>IF('UTILITY REPORT 1'!G33&lt;0,"0",'UTILITY REPORT 1'!G33)</f>
        <v>0</v>
      </c>
      <c r="J32" s="626">
        <v>0</v>
      </c>
      <c r="K32" s="608">
        <f>'UTILITY REPORT 1'!C33</f>
        <v>0</v>
      </c>
    </row>
    <row r="33" spans="6:10">
      <c r="F33" s="609"/>
      <c r="G33" s="609"/>
      <c r="H33" s="626"/>
      <c r="I33" s="609" t="s">
        <v>259</v>
      </c>
      <c r="J33" s="626"/>
    </row>
    <row r="34" spans="6:10">
      <c r="F34" s="609"/>
      <c r="G34" s="609"/>
      <c r="H34" s="626"/>
      <c r="I34" s="609"/>
      <c r="J34" s="626"/>
    </row>
    <row r="35" spans="6:10">
      <c r="F35" s="609"/>
      <c r="G35" s="609"/>
      <c r="H35" s="626"/>
      <c r="I35" s="609"/>
      <c r="J35" s="626"/>
    </row>
    <row r="36" spans="6:10">
      <c r="F36" s="609"/>
      <c r="G36" s="609"/>
      <c r="H36" s="626"/>
      <c r="I36" s="609"/>
      <c r="J36" s="626"/>
    </row>
    <row r="37" spans="6:10">
      <c r="F37" s="609"/>
      <c r="G37" s="609"/>
      <c r="H37" s="626"/>
      <c r="I37" s="609"/>
      <c r="J37" s="626"/>
    </row>
    <row r="38" spans="6:10">
      <c r="F38" s="609"/>
      <c r="G38" s="609"/>
      <c r="H38" s="626"/>
      <c r="I38" s="609"/>
      <c r="J38" s="626"/>
    </row>
    <row r="39" spans="6:10">
      <c r="F39" s="609"/>
      <c r="G39" s="609"/>
      <c r="H39" s="626"/>
      <c r="I39" s="609"/>
      <c r="J39" s="62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C000"/>
  </sheetPr>
  <dimension ref="A1:X39"/>
  <sheetViews>
    <sheetView workbookViewId="0">
      <selection activeCell="B2" sqref="B2"/>
    </sheetView>
  </sheetViews>
  <sheetFormatPr defaultColWidth="11.5703125" defaultRowHeight="12.75"/>
  <cols>
    <col min="1" max="1" width="12.42578125" style="12" customWidth="1"/>
    <col min="2" max="3" width="11.5703125" style="606"/>
    <col min="4" max="4" width="13.42578125" style="607" customWidth="1"/>
    <col min="5" max="6" width="12.5703125" style="12" customWidth="1"/>
    <col min="7" max="7" width="12.5703125" style="608" customWidth="1"/>
    <col min="8" max="10" width="11.5703125" style="12"/>
    <col min="11" max="11" width="12.5703125" style="608" customWidth="1"/>
    <col min="12" max="12" width="11.5703125" style="12"/>
    <col min="13" max="14" width="11.5703125" style="608"/>
    <col min="15" max="15" width="0" style="12" hidden="1" customWidth="1"/>
    <col min="16" max="16" width="13.42578125" style="12" customWidth="1"/>
    <col min="17" max="22" width="11.5703125" style="12"/>
    <col min="259" max="259" width="12.42578125" customWidth="1"/>
    <col min="262" max="262" width="13.42578125" customWidth="1"/>
    <col min="263" max="264" width="12.5703125" customWidth="1"/>
    <col min="271" max="271" width="0" hidden="1" customWidth="1"/>
    <col min="515" max="515" width="12.42578125" customWidth="1"/>
    <col min="518" max="518" width="13.42578125" customWidth="1"/>
    <col min="519" max="520" width="12.5703125" customWidth="1"/>
    <col min="527" max="527" width="0" hidden="1" customWidth="1"/>
    <col min="771" max="771" width="12.42578125" customWidth="1"/>
    <col min="774" max="774" width="13.42578125" customWidth="1"/>
    <col min="775" max="776" width="12.5703125" customWidth="1"/>
    <col min="783" max="783" width="0" hidden="1" customWidth="1"/>
    <col min="1027" max="1027" width="12.42578125" customWidth="1"/>
    <col min="1030" max="1030" width="13.42578125" customWidth="1"/>
    <col min="1031" max="1032" width="12.5703125" customWidth="1"/>
    <col min="1039" max="1039" width="0" hidden="1" customWidth="1"/>
    <col min="1283" max="1283" width="12.42578125" customWidth="1"/>
    <col min="1286" max="1286" width="13.42578125" customWidth="1"/>
    <col min="1287" max="1288" width="12.5703125" customWidth="1"/>
    <col min="1295" max="1295" width="0" hidden="1" customWidth="1"/>
    <col min="1539" max="1539" width="12.42578125" customWidth="1"/>
    <col min="1542" max="1542" width="13.42578125" customWidth="1"/>
    <col min="1543" max="1544" width="12.5703125" customWidth="1"/>
    <col min="1551" max="1551" width="0" hidden="1" customWidth="1"/>
    <col min="1795" max="1795" width="12.42578125" customWidth="1"/>
    <col min="1798" max="1798" width="13.42578125" customWidth="1"/>
    <col min="1799" max="1800" width="12.5703125" customWidth="1"/>
    <col min="1807" max="1807" width="0" hidden="1" customWidth="1"/>
    <col min="2051" max="2051" width="12.42578125" customWidth="1"/>
    <col min="2054" max="2054" width="13.42578125" customWidth="1"/>
    <col min="2055" max="2056" width="12.5703125" customWidth="1"/>
    <col min="2063" max="2063" width="0" hidden="1" customWidth="1"/>
    <col min="2307" max="2307" width="12.42578125" customWidth="1"/>
    <col min="2310" max="2310" width="13.42578125" customWidth="1"/>
    <col min="2311" max="2312" width="12.5703125" customWidth="1"/>
    <col min="2319" max="2319" width="0" hidden="1" customWidth="1"/>
    <col min="2563" max="2563" width="12.42578125" customWidth="1"/>
    <col min="2566" max="2566" width="13.42578125" customWidth="1"/>
    <col min="2567" max="2568" width="12.5703125" customWidth="1"/>
    <col min="2575" max="2575" width="0" hidden="1" customWidth="1"/>
    <col min="2819" max="2819" width="12.42578125" customWidth="1"/>
    <col min="2822" max="2822" width="13.42578125" customWidth="1"/>
    <col min="2823" max="2824" width="12.5703125" customWidth="1"/>
    <col min="2831" max="2831" width="0" hidden="1" customWidth="1"/>
    <col min="3075" max="3075" width="12.42578125" customWidth="1"/>
    <col min="3078" max="3078" width="13.42578125" customWidth="1"/>
    <col min="3079" max="3080" width="12.5703125" customWidth="1"/>
    <col min="3087" max="3087" width="0" hidden="1" customWidth="1"/>
    <col min="3331" max="3331" width="12.42578125" customWidth="1"/>
    <col min="3334" max="3334" width="13.42578125" customWidth="1"/>
    <col min="3335" max="3336" width="12.5703125" customWidth="1"/>
    <col min="3343" max="3343" width="0" hidden="1" customWidth="1"/>
    <col min="3587" max="3587" width="12.42578125" customWidth="1"/>
    <col min="3590" max="3590" width="13.42578125" customWidth="1"/>
    <col min="3591" max="3592" width="12.5703125" customWidth="1"/>
    <col min="3599" max="3599" width="0" hidden="1" customWidth="1"/>
    <col min="3843" max="3843" width="12.42578125" customWidth="1"/>
    <col min="3846" max="3846" width="13.42578125" customWidth="1"/>
    <col min="3847" max="3848" width="12.5703125" customWidth="1"/>
    <col min="3855" max="3855" width="0" hidden="1" customWidth="1"/>
    <col min="4099" max="4099" width="12.42578125" customWidth="1"/>
    <col min="4102" max="4102" width="13.42578125" customWidth="1"/>
    <col min="4103" max="4104" width="12.5703125" customWidth="1"/>
    <col min="4111" max="4111" width="0" hidden="1" customWidth="1"/>
    <col min="4355" max="4355" width="12.42578125" customWidth="1"/>
    <col min="4358" max="4358" width="13.42578125" customWidth="1"/>
    <col min="4359" max="4360" width="12.5703125" customWidth="1"/>
    <col min="4367" max="4367" width="0" hidden="1" customWidth="1"/>
    <col min="4611" max="4611" width="12.42578125" customWidth="1"/>
    <col min="4614" max="4614" width="13.42578125" customWidth="1"/>
    <col min="4615" max="4616" width="12.5703125" customWidth="1"/>
    <col min="4623" max="4623" width="0" hidden="1" customWidth="1"/>
    <col min="4867" max="4867" width="12.42578125" customWidth="1"/>
    <col min="4870" max="4870" width="13.42578125" customWidth="1"/>
    <col min="4871" max="4872" width="12.5703125" customWidth="1"/>
    <col min="4879" max="4879" width="0" hidden="1" customWidth="1"/>
    <col min="5123" max="5123" width="12.42578125" customWidth="1"/>
    <col min="5126" max="5126" width="13.42578125" customWidth="1"/>
    <col min="5127" max="5128" width="12.5703125" customWidth="1"/>
    <col min="5135" max="5135" width="0" hidden="1" customWidth="1"/>
    <col min="5379" max="5379" width="12.42578125" customWidth="1"/>
    <col min="5382" max="5382" width="13.42578125" customWidth="1"/>
    <col min="5383" max="5384" width="12.5703125" customWidth="1"/>
    <col min="5391" max="5391" width="0" hidden="1" customWidth="1"/>
    <col min="5635" max="5635" width="12.42578125" customWidth="1"/>
    <col min="5638" max="5638" width="13.42578125" customWidth="1"/>
    <col min="5639" max="5640" width="12.5703125" customWidth="1"/>
    <col min="5647" max="5647" width="0" hidden="1" customWidth="1"/>
    <col min="5891" max="5891" width="12.42578125" customWidth="1"/>
    <col min="5894" max="5894" width="13.42578125" customWidth="1"/>
    <col min="5895" max="5896" width="12.5703125" customWidth="1"/>
    <col min="5903" max="5903" width="0" hidden="1" customWidth="1"/>
    <col min="6147" max="6147" width="12.42578125" customWidth="1"/>
    <col min="6150" max="6150" width="13.42578125" customWidth="1"/>
    <col min="6151" max="6152" width="12.5703125" customWidth="1"/>
    <col min="6159" max="6159" width="0" hidden="1" customWidth="1"/>
    <col min="6403" max="6403" width="12.42578125" customWidth="1"/>
    <col min="6406" max="6406" width="13.42578125" customWidth="1"/>
    <col min="6407" max="6408" width="12.5703125" customWidth="1"/>
    <col min="6415" max="6415" width="0" hidden="1" customWidth="1"/>
    <col min="6659" max="6659" width="12.42578125" customWidth="1"/>
    <col min="6662" max="6662" width="13.42578125" customWidth="1"/>
    <col min="6663" max="6664" width="12.5703125" customWidth="1"/>
    <col min="6671" max="6671" width="0" hidden="1" customWidth="1"/>
    <col min="6915" max="6915" width="12.42578125" customWidth="1"/>
    <col min="6918" max="6918" width="13.42578125" customWidth="1"/>
    <col min="6919" max="6920" width="12.5703125" customWidth="1"/>
    <col min="6927" max="6927" width="0" hidden="1" customWidth="1"/>
    <col min="7171" max="7171" width="12.42578125" customWidth="1"/>
    <col min="7174" max="7174" width="13.42578125" customWidth="1"/>
    <col min="7175" max="7176" width="12.5703125" customWidth="1"/>
    <col min="7183" max="7183" width="0" hidden="1" customWidth="1"/>
    <col min="7427" max="7427" width="12.42578125" customWidth="1"/>
    <col min="7430" max="7430" width="13.42578125" customWidth="1"/>
    <col min="7431" max="7432" width="12.5703125" customWidth="1"/>
    <col min="7439" max="7439" width="0" hidden="1" customWidth="1"/>
    <col min="7683" max="7683" width="12.42578125" customWidth="1"/>
    <col min="7686" max="7686" width="13.42578125" customWidth="1"/>
    <col min="7687" max="7688" width="12.5703125" customWidth="1"/>
    <col min="7695" max="7695" width="0" hidden="1" customWidth="1"/>
    <col min="7939" max="7939" width="12.42578125" customWidth="1"/>
    <col min="7942" max="7942" width="13.42578125" customWidth="1"/>
    <col min="7943" max="7944" width="12.5703125" customWidth="1"/>
    <col min="7951" max="7951" width="0" hidden="1" customWidth="1"/>
    <col min="8195" max="8195" width="12.42578125" customWidth="1"/>
    <col min="8198" max="8198" width="13.42578125" customWidth="1"/>
    <col min="8199" max="8200" width="12.5703125" customWidth="1"/>
    <col min="8207" max="8207" width="0" hidden="1" customWidth="1"/>
    <col min="8451" max="8451" width="12.42578125" customWidth="1"/>
    <col min="8454" max="8454" width="13.42578125" customWidth="1"/>
    <col min="8455" max="8456" width="12.5703125" customWidth="1"/>
    <col min="8463" max="8463" width="0" hidden="1" customWidth="1"/>
    <col min="8707" max="8707" width="12.42578125" customWidth="1"/>
    <col min="8710" max="8710" width="13.42578125" customWidth="1"/>
    <col min="8711" max="8712" width="12.5703125" customWidth="1"/>
    <col min="8719" max="8719" width="0" hidden="1" customWidth="1"/>
    <col min="8963" max="8963" width="12.42578125" customWidth="1"/>
    <col min="8966" max="8966" width="13.42578125" customWidth="1"/>
    <col min="8967" max="8968" width="12.5703125" customWidth="1"/>
    <col min="8975" max="8975" width="0" hidden="1" customWidth="1"/>
    <col min="9219" max="9219" width="12.42578125" customWidth="1"/>
    <col min="9222" max="9222" width="13.42578125" customWidth="1"/>
    <col min="9223" max="9224" width="12.5703125" customWidth="1"/>
    <col min="9231" max="9231" width="0" hidden="1" customWidth="1"/>
    <col min="9475" max="9475" width="12.42578125" customWidth="1"/>
    <col min="9478" max="9478" width="13.42578125" customWidth="1"/>
    <col min="9479" max="9480" width="12.5703125" customWidth="1"/>
    <col min="9487" max="9487" width="0" hidden="1" customWidth="1"/>
    <col min="9731" max="9731" width="12.42578125" customWidth="1"/>
    <col min="9734" max="9734" width="13.42578125" customWidth="1"/>
    <col min="9735" max="9736" width="12.5703125" customWidth="1"/>
    <col min="9743" max="9743" width="0" hidden="1" customWidth="1"/>
    <col min="9987" max="9987" width="12.42578125" customWidth="1"/>
    <col min="9990" max="9990" width="13.42578125" customWidth="1"/>
    <col min="9991" max="9992" width="12.5703125" customWidth="1"/>
    <col min="9999" max="9999" width="0" hidden="1" customWidth="1"/>
    <col min="10243" max="10243" width="12.42578125" customWidth="1"/>
    <col min="10246" max="10246" width="13.42578125" customWidth="1"/>
    <col min="10247" max="10248" width="12.5703125" customWidth="1"/>
    <col min="10255" max="10255" width="0" hidden="1" customWidth="1"/>
    <col min="10499" max="10499" width="12.42578125" customWidth="1"/>
    <col min="10502" max="10502" width="13.42578125" customWidth="1"/>
    <col min="10503" max="10504" width="12.5703125" customWidth="1"/>
    <col min="10511" max="10511" width="0" hidden="1" customWidth="1"/>
    <col min="10755" max="10755" width="12.42578125" customWidth="1"/>
    <col min="10758" max="10758" width="13.42578125" customWidth="1"/>
    <col min="10759" max="10760" width="12.5703125" customWidth="1"/>
    <col min="10767" max="10767" width="0" hidden="1" customWidth="1"/>
    <col min="11011" max="11011" width="12.42578125" customWidth="1"/>
    <col min="11014" max="11014" width="13.42578125" customWidth="1"/>
    <col min="11015" max="11016" width="12.5703125" customWidth="1"/>
    <col min="11023" max="11023" width="0" hidden="1" customWidth="1"/>
    <col min="11267" max="11267" width="12.42578125" customWidth="1"/>
    <col min="11270" max="11270" width="13.42578125" customWidth="1"/>
    <col min="11271" max="11272" width="12.5703125" customWidth="1"/>
    <col min="11279" max="11279" width="0" hidden="1" customWidth="1"/>
    <col min="11523" max="11523" width="12.42578125" customWidth="1"/>
    <col min="11526" max="11526" width="13.42578125" customWidth="1"/>
    <col min="11527" max="11528" width="12.5703125" customWidth="1"/>
    <col min="11535" max="11535" width="0" hidden="1" customWidth="1"/>
    <col min="11779" max="11779" width="12.42578125" customWidth="1"/>
    <col min="11782" max="11782" width="13.42578125" customWidth="1"/>
    <col min="11783" max="11784" width="12.5703125" customWidth="1"/>
    <col min="11791" max="11791" width="0" hidden="1" customWidth="1"/>
    <col min="12035" max="12035" width="12.42578125" customWidth="1"/>
    <col min="12038" max="12038" width="13.42578125" customWidth="1"/>
    <col min="12039" max="12040" width="12.5703125" customWidth="1"/>
    <col min="12047" max="12047" width="0" hidden="1" customWidth="1"/>
    <col min="12291" max="12291" width="12.42578125" customWidth="1"/>
    <col min="12294" max="12294" width="13.42578125" customWidth="1"/>
    <col min="12295" max="12296" width="12.5703125" customWidth="1"/>
    <col min="12303" max="12303" width="0" hidden="1" customWidth="1"/>
    <col min="12547" max="12547" width="12.42578125" customWidth="1"/>
    <col min="12550" max="12550" width="13.42578125" customWidth="1"/>
    <col min="12551" max="12552" width="12.5703125" customWidth="1"/>
    <col min="12559" max="12559" width="0" hidden="1" customWidth="1"/>
    <col min="12803" max="12803" width="12.42578125" customWidth="1"/>
    <col min="12806" max="12806" width="13.42578125" customWidth="1"/>
    <col min="12807" max="12808" width="12.5703125" customWidth="1"/>
    <col min="12815" max="12815" width="0" hidden="1" customWidth="1"/>
    <col min="13059" max="13059" width="12.42578125" customWidth="1"/>
    <col min="13062" max="13062" width="13.42578125" customWidth="1"/>
    <col min="13063" max="13064" width="12.5703125" customWidth="1"/>
    <col min="13071" max="13071" width="0" hidden="1" customWidth="1"/>
    <col min="13315" max="13315" width="12.42578125" customWidth="1"/>
    <col min="13318" max="13318" width="13.42578125" customWidth="1"/>
    <col min="13319" max="13320" width="12.5703125" customWidth="1"/>
    <col min="13327" max="13327" width="0" hidden="1" customWidth="1"/>
    <col min="13571" max="13571" width="12.42578125" customWidth="1"/>
    <col min="13574" max="13574" width="13.42578125" customWidth="1"/>
    <col min="13575" max="13576" width="12.5703125" customWidth="1"/>
    <col min="13583" max="13583" width="0" hidden="1" customWidth="1"/>
    <col min="13827" max="13827" width="12.42578125" customWidth="1"/>
    <col min="13830" max="13830" width="13.42578125" customWidth="1"/>
    <col min="13831" max="13832" width="12.5703125" customWidth="1"/>
    <col min="13839" max="13839" width="0" hidden="1" customWidth="1"/>
    <col min="14083" max="14083" width="12.42578125" customWidth="1"/>
    <col min="14086" max="14086" width="13.42578125" customWidth="1"/>
    <col min="14087" max="14088" width="12.5703125" customWidth="1"/>
    <col min="14095" max="14095" width="0" hidden="1" customWidth="1"/>
    <col min="14339" max="14339" width="12.42578125" customWidth="1"/>
    <col min="14342" max="14342" width="13.42578125" customWidth="1"/>
    <col min="14343" max="14344" width="12.5703125" customWidth="1"/>
    <col min="14351" max="14351" width="0" hidden="1" customWidth="1"/>
    <col min="14595" max="14595" width="12.42578125" customWidth="1"/>
    <col min="14598" max="14598" width="13.42578125" customWidth="1"/>
    <col min="14599" max="14600" width="12.5703125" customWidth="1"/>
    <col min="14607" max="14607" width="0" hidden="1" customWidth="1"/>
    <col min="14851" max="14851" width="12.42578125" customWidth="1"/>
    <col min="14854" max="14854" width="13.42578125" customWidth="1"/>
    <col min="14855" max="14856" width="12.5703125" customWidth="1"/>
    <col min="14863" max="14863" width="0" hidden="1" customWidth="1"/>
    <col min="15107" max="15107" width="12.42578125" customWidth="1"/>
    <col min="15110" max="15110" width="13.42578125" customWidth="1"/>
    <col min="15111" max="15112" width="12.5703125" customWidth="1"/>
    <col min="15119" max="15119" width="0" hidden="1" customWidth="1"/>
    <col min="15363" max="15363" width="12.42578125" customWidth="1"/>
    <col min="15366" max="15366" width="13.42578125" customWidth="1"/>
    <col min="15367" max="15368" width="12.5703125" customWidth="1"/>
    <col min="15375" max="15375" width="0" hidden="1" customWidth="1"/>
    <col min="15619" max="15619" width="12.42578125" customWidth="1"/>
    <col min="15622" max="15622" width="13.42578125" customWidth="1"/>
    <col min="15623" max="15624" width="12.5703125" customWidth="1"/>
    <col min="15631" max="15631" width="0" hidden="1" customWidth="1"/>
    <col min="15875" max="15875" width="12.42578125" customWidth="1"/>
    <col min="15878" max="15878" width="13.42578125" customWidth="1"/>
    <col min="15879" max="15880" width="12.5703125" customWidth="1"/>
    <col min="15887" max="15887" width="0" hidden="1" customWidth="1"/>
    <col min="16131" max="16131" width="12.42578125" customWidth="1"/>
    <col min="16134" max="16134" width="13.42578125" customWidth="1"/>
    <col min="16135" max="16136" width="12.5703125" customWidth="1"/>
    <col min="16143" max="16143" width="0" hidden="1" customWidth="1"/>
  </cols>
  <sheetData>
    <row r="1" spans="1:24" s="604" customFormat="1" ht="60.75" thickBot="1">
      <c r="A1" s="697" t="s">
        <v>279</v>
      </c>
      <c r="B1" s="698" t="s">
        <v>280</v>
      </c>
      <c r="C1" s="698" t="s">
        <v>281</v>
      </c>
      <c r="D1" s="699" t="s">
        <v>282</v>
      </c>
      <c r="E1" s="700" t="s">
        <v>295</v>
      </c>
      <c r="F1" s="700" t="s">
        <v>294</v>
      </c>
      <c r="G1" s="701" t="s">
        <v>283</v>
      </c>
      <c r="H1" s="700" t="s">
        <v>292</v>
      </c>
      <c r="I1" s="700" t="s">
        <v>293</v>
      </c>
      <c r="J1" s="700" t="s">
        <v>296</v>
      </c>
      <c r="K1" s="701" t="s">
        <v>274</v>
      </c>
      <c r="L1" s="700" t="s">
        <v>297</v>
      </c>
      <c r="M1" s="701" t="s">
        <v>298</v>
      </c>
      <c r="N1" s="701" t="s">
        <v>299</v>
      </c>
      <c r="O1" s="701" t="s">
        <v>299</v>
      </c>
      <c r="P1" s="701" t="s">
        <v>314</v>
      </c>
      <c r="Q1" s="701" t="s">
        <v>300</v>
      </c>
      <c r="R1" s="701" t="s">
        <v>301</v>
      </c>
      <c r="S1" s="701" t="s">
        <v>302</v>
      </c>
      <c r="T1" s="701" t="s">
        <v>303</v>
      </c>
      <c r="U1" s="701" t="s">
        <v>304</v>
      </c>
      <c r="V1" s="701" t="s">
        <v>305</v>
      </c>
      <c r="W1" s="704" t="s">
        <v>315</v>
      </c>
      <c r="X1" s="706" t="s">
        <v>289</v>
      </c>
    </row>
    <row r="2" spans="1:24">
      <c r="A2" s="692" t="s">
        <v>291</v>
      </c>
      <c r="B2" s="693">
        <v>1</v>
      </c>
      <c r="C2" s="693">
        <v>12</v>
      </c>
      <c r="D2" s="694">
        <v>2019</v>
      </c>
      <c r="E2" s="695">
        <f>'UTILITY REPORT 1'!I3</f>
        <v>404.63</v>
      </c>
      <c r="F2" s="695">
        <f>'UTILITY REPORT 1'!E3</f>
        <v>1654.6399999999999</v>
      </c>
      <c r="G2" s="696">
        <f>'UTILITY REPORT 1'!F3</f>
        <v>4302</v>
      </c>
      <c r="H2" s="695">
        <f>IF('Kit report'!F4&lt;0,"0",'Kit report'!F4)</f>
        <v>456.00000000002183</v>
      </c>
      <c r="I2" s="695">
        <f>IF('Kit report'!X4&lt;0,"0",'Kit report'!X4)</f>
        <v>480.00000000010914</v>
      </c>
      <c r="J2" s="695">
        <f>IF('Utility summery'!H6&lt;0,"0",'Utility summery'!H6)</f>
        <v>58</v>
      </c>
      <c r="K2" s="696">
        <f>IF('UTILITY REPORT 1'!H3&lt;0,"0",'UTILITY REPORT 1'!H3)</f>
        <v>108</v>
      </c>
      <c r="L2" s="695" t="str">
        <f>'Water-Meter'!K6</f>
        <v>0</v>
      </c>
      <c r="M2" s="696">
        <f>'Water-Meter'!H6</f>
        <v>8</v>
      </c>
      <c r="N2" s="696">
        <f>'Water-Meter'!Q6</f>
        <v>11</v>
      </c>
      <c r="O2" s="695" t="e">
        <f>K2*E2+H2*I2+#REF!*#REF!+J2*L2</f>
        <v>#REF!</v>
      </c>
      <c r="P2" s="695">
        <f>'Water-Meter'!E6</f>
        <v>109</v>
      </c>
      <c r="Q2" s="596">
        <f>IF('Water-Meter'!U6&lt;0,"0",'Water-Meter'!U6)</f>
        <v>30</v>
      </c>
      <c r="R2" s="596">
        <f>IF('Water-Meter'!X6&lt;0,"0",'Water-Meter'!X6)</f>
        <v>52</v>
      </c>
      <c r="S2" s="596">
        <f>IF('Water-Meter'!AA6&lt;0,"0",'Water-Meter'!AA6)</f>
        <v>54</v>
      </c>
      <c r="T2" s="596">
        <f>IF('Water-Meter'!AD6&lt;0,"0",'Water-Meter'!AD6)</f>
        <v>9</v>
      </c>
      <c r="U2" s="596">
        <f>IF('Water-Meter'!AG6&lt;0,"0",'Water-Meter'!AG6)</f>
        <v>19</v>
      </c>
      <c r="V2" s="596">
        <f>IF('Water-Meter'!AJ6&lt;0,"0",'Water-Meter'!AJ6)</f>
        <v>20</v>
      </c>
      <c r="W2" s="31">
        <f>'Water-Meter'!AN6</f>
        <v>184</v>
      </c>
      <c r="X2" s="707">
        <f>Total!K2</f>
        <v>9</v>
      </c>
    </row>
    <row r="3" spans="1:24">
      <c r="A3" s="684" t="s">
        <v>291</v>
      </c>
      <c r="B3" s="680">
        <f>B2+1</f>
        <v>2</v>
      </c>
      <c r="C3" s="693">
        <v>12</v>
      </c>
      <c r="D3" s="681">
        <v>2019</v>
      </c>
      <c r="E3" s="682">
        <f>'UTILITY REPORT 1'!I4</f>
        <v>1310.5899999999999</v>
      </c>
      <c r="F3" s="682">
        <f>'UTILITY REPORT 1'!E4</f>
        <v>1688.71</v>
      </c>
      <c r="G3" s="683">
        <f>'UTILITY REPORT 1'!F4</f>
        <v>4286</v>
      </c>
      <c r="H3" s="682">
        <f>IF('Kit report'!F5&lt;0,"0",'Kit report'!F5)</f>
        <v>503.99999999997817</v>
      </c>
      <c r="I3" s="682">
        <f>IF('Kit report'!X5&lt;0,"0",'Kit report'!X5)</f>
        <v>579.99999999992724</v>
      </c>
      <c r="J3" s="682">
        <f>IF('Utility summery'!H7&lt;0,"0",'Utility summery'!H7)</f>
        <v>57</v>
      </c>
      <c r="K3" s="683">
        <f>IF('UTILITY REPORT 1'!H4&lt;0,"0",'UTILITY REPORT 1'!H4)</f>
        <v>111</v>
      </c>
      <c r="L3" s="682">
        <f>'Water-Meter'!K7</f>
        <v>2</v>
      </c>
      <c r="M3" s="683">
        <f>'Water-Meter'!H7</f>
        <v>9</v>
      </c>
      <c r="N3" s="683">
        <f>'Water-Meter'!Q7</f>
        <v>9</v>
      </c>
      <c r="O3" s="682" t="e">
        <f>K3*E3+H3*I3+#REF!*#REF!+J3*L3</f>
        <v>#REF!</v>
      </c>
      <c r="P3" s="695">
        <f>'Water-Meter'!E7</f>
        <v>93</v>
      </c>
      <c r="Q3" s="333">
        <f>IF('Water-Meter'!U7&lt;0,"0",'Water-Meter'!U7)</f>
        <v>30</v>
      </c>
      <c r="R3" s="333">
        <f>IF('Water-Meter'!X7&lt;0,"0",'Water-Meter'!X7)</f>
        <v>52</v>
      </c>
      <c r="S3" s="333">
        <f>IF('Water-Meter'!AA7&lt;0,"0",'Water-Meter'!AA7)</f>
        <v>52</v>
      </c>
      <c r="T3" s="333">
        <f>IF('Water-Meter'!AD7&lt;0,"0",'Water-Meter'!AD7)</f>
        <v>9</v>
      </c>
      <c r="U3" s="333">
        <f>IF('Water-Meter'!AG7&lt;0,"0",'Water-Meter'!AG7)</f>
        <v>19</v>
      </c>
      <c r="V3" s="333">
        <f>IF('Water-Meter'!AJ7&lt;0,"0",'Water-Meter'!AJ7)</f>
        <v>20</v>
      </c>
      <c r="W3" s="31">
        <f>'Water-Meter'!AN7</f>
        <v>182</v>
      </c>
      <c r="X3" s="707">
        <f>Total!K3</f>
        <v>9</v>
      </c>
    </row>
    <row r="4" spans="1:24">
      <c r="A4" s="684" t="s">
        <v>291</v>
      </c>
      <c r="B4" s="680">
        <f t="shared" ref="B4:B31" si="0">B3+1</f>
        <v>3</v>
      </c>
      <c r="C4" s="693">
        <v>12</v>
      </c>
      <c r="D4" s="681">
        <v>2019</v>
      </c>
      <c r="E4" s="682">
        <f>'UTILITY REPORT 1'!I5</f>
        <v>70.16</v>
      </c>
      <c r="F4" s="682">
        <f>'UTILITY REPORT 1'!E5</f>
        <v>1631.55</v>
      </c>
      <c r="G4" s="683">
        <f>'UTILITY REPORT 1'!F5</f>
        <v>4122</v>
      </c>
      <c r="H4" s="682">
        <f>IF('Kit report'!F6&lt;0,"0",'Kit report'!F6)</f>
        <v>456.00000000002183</v>
      </c>
      <c r="I4" s="682">
        <f>IF('Kit report'!X6&lt;0,"0",'Kit report'!X6)</f>
        <v>420.00000000007276</v>
      </c>
      <c r="J4" s="682">
        <f>IF('Utility summery'!H8&lt;0,"0",'Utility summery'!H8)</f>
        <v>60</v>
      </c>
      <c r="K4" s="683">
        <f>IF('UTILITY REPORT 1'!H5&lt;0,"0",'UTILITY REPORT 1'!H5)</f>
        <v>51</v>
      </c>
      <c r="L4" s="682">
        <f>'Water-Meter'!K8</f>
        <v>3</v>
      </c>
      <c r="M4" s="683">
        <f>'Water-Meter'!H8</f>
        <v>8</v>
      </c>
      <c r="N4" s="683">
        <f>'Water-Meter'!Q8</f>
        <v>11</v>
      </c>
      <c r="O4" s="682" t="e">
        <f>K4*E4+H4*I4+#REF!*#REF!+J4*L4</f>
        <v>#REF!</v>
      </c>
      <c r="P4" s="695">
        <f>'Water-Meter'!E8</f>
        <v>95</v>
      </c>
      <c r="Q4" s="333">
        <f>IF('Water-Meter'!U8&lt;0,"0",'Water-Meter'!U8)</f>
        <v>30</v>
      </c>
      <c r="R4" s="333">
        <f>IF('Water-Meter'!X8&lt;0,"0",'Water-Meter'!X8)</f>
        <v>52</v>
      </c>
      <c r="S4" s="333">
        <f>IF('Water-Meter'!AA8&lt;0,"0",'Water-Meter'!AA8)</f>
        <v>54</v>
      </c>
      <c r="T4" s="333">
        <f>IF('Water-Meter'!AD8&lt;0,"0",'Water-Meter'!AD8)</f>
        <v>9</v>
      </c>
      <c r="U4" s="333">
        <f>IF('Water-Meter'!AG8&lt;0,"0",'Water-Meter'!AG8)</f>
        <v>18</v>
      </c>
      <c r="V4" s="333">
        <f>IF('Water-Meter'!AJ8&lt;0,"0",'Water-Meter'!AJ8)</f>
        <v>20</v>
      </c>
      <c r="W4" s="31">
        <f>'Water-Meter'!AN8</f>
        <v>183</v>
      </c>
      <c r="X4" s="707">
        <f>Total!K4</f>
        <v>6</v>
      </c>
    </row>
    <row r="5" spans="1:24">
      <c r="A5" s="684" t="s">
        <v>291</v>
      </c>
      <c r="B5" s="680">
        <f t="shared" si="0"/>
        <v>4</v>
      </c>
      <c r="C5" s="693">
        <v>12</v>
      </c>
      <c r="D5" s="681">
        <v>2019</v>
      </c>
      <c r="E5" s="682">
        <f>'UTILITY REPORT 1'!I6</f>
        <v>57.18</v>
      </c>
      <c r="F5" s="682">
        <f>'UTILITY REPORT 1'!E6</f>
        <v>1767.07</v>
      </c>
      <c r="G5" s="683">
        <f>'UTILITY REPORT 1'!F6</f>
        <v>4432</v>
      </c>
      <c r="H5" s="682">
        <f>IF('Kit report'!F7&lt;0,"0",'Kit report'!F7)</f>
        <v>443.99999999997817</v>
      </c>
      <c r="I5" s="682">
        <f>IF('Kit report'!X7&lt;0,"0",'Kit report'!X7)</f>
        <v>459.99999999985448</v>
      </c>
      <c r="J5" s="682">
        <f>IF('Utility summery'!H9&lt;0,"0",'Utility summery'!H9)</f>
        <v>54</v>
      </c>
      <c r="K5" s="683">
        <f>IF('UTILITY REPORT 1'!H6&lt;0,"0",'UTILITY REPORT 1'!H6)</f>
        <v>114</v>
      </c>
      <c r="L5" s="682">
        <f>'Water-Meter'!K9</f>
        <v>3</v>
      </c>
      <c r="M5" s="683">
        <f>'Water-Meter'!H9</f>
        <v>7</v>
      </c>
      <c r="N5" s="683">
        <f>'Water-Meter'!Q9</f>
        <v>9</v>
      </c>
      <c r="O5" s="682" t="e">
        <f>K5*E5+H5*I5+#REF!*#REF!+J5*L5</f>
        <v>#REF!</v>
      </c>
      <c r="P5" s="695">
        <f>'Water-Meter'!E9</f>
        <v>97</v>
      </c>
      <c r="Q5" s="333">
        <f>IF('Water-Meter'!U9&lt;0,"0",'Water-Meter'!U9)</f>
        <v>31</v>
      </c>
      <c r="R5" s="333">
        <f>IF('Water-Meter'!X9&lt;0,"0",'Water-Meter'!X9)</f>
        <v>54</v>
      </c>
      <c r="S5" s="333">
        <f>IF('Water-Meter'!AA9&lt;0,"0",'Water-Meter'!AA9)</f>
        <v>61</v>
      </c>
      <c r="T5" s="333">
        <f>IF('Water-Meter'!AD9&lt;0,"0",'Water-Meter'!AD9)</f>
        <v>10</v>
      </c>
      <c r="U5" s="333">
        <f>IF('Water-Meter'!AG9&lt;0,"0",'Water-Meter'!AG9)</f>
        <v>22</v>
      </c>
      <c r="V5" s="333">
        <f>IF('Water-Meter'!AJ9&lt;0,"0",'Water-Meter'!AJ9)</f>
        <v>17</v>
      </c>
      <c r="W5" s="31">
        <f>'Water-Meter'!AN9</f>
        <v>195</v>
      </c>
      <c r="X5" s="707">
        <f>Total!K5</f>
        <v>8</v>
      </c>
    </row>
    <row r="6" spans="1:24">
      <c r="A6" s="684" t="s">
        <v>291</v>
      </c>
      <c r="B6" s="680">
        <f t="shared" si="0"/>
        <v>5</v>
      </c>
      <c r="C6" s="693">
        <v>12</v>
      </c>
      <c r="D6" s="681">
        <v>2019</v>
      </c>
      <c r="E6" s="682">
        <f>'UTILITY REPORT 1'!I7</f>
        <v>213.22000000000003</v>
      </c>
      <c r="F6" s="682">
        <f>'UTILITY REPORT 1'!E7</f>
        <v>1578.5899999999997</v>
      </c>
      <c r="G6" s="683">
        <f>'UTILITY REPORT 1'!F7</f>
        <v>4152</v>
      </c>
      <c r="H6" s="682">
        <f>IF('Kit report'!F8&lt;0,"0",'Kit report'!F8)</f>
        <v>468.00000000006548</v>
      </c>
      <c r="I6" s="682">
        <f>IF('Kit report'!X8&lt;0,"0",'Kit report'!X8)</f>
        <v>460.00000000003638</v>
      </c>
      <c r="J6" s="682">
        <f>IF('Utility summery'!H10&lt;0,"0",'Utility summery'!H10)</f>
        <v>55</v>
      </c>
      <c r="K6" s="683">
        <f>IF('UTILITY REPORT 1'!H7&lt;0,"0",'UTILITY REPORT 1'!H7)</f>
        <v>111</v>
      </c>
      <c r="L6" s="682">
        <f>'Water-Meter'!K10</f>
        <v>2</v>
      </c>
      <c r="M6" s="683">
        <f>'Water-Meter'!H10</f>
        <v>9</v>
      </c>
      <c r="N6" s="683">
        <f>'Water-Meter'!Q10</f>
        <v>10</v>
      </c>
      <c r="O6" s="682" t="e">
        <f>K6*E6+H6*I6+#REF!*#REF!+J6*L6</f>
        <v>#REF!</v>
      </c>
      <c r="P6" s="695">
        <f>'Water-Meter'!E10</f>
        <v>86</v>
      </c>
      <c r="Q6" s="333">
        <f>IF('Water-Meter'!U10&lt;0,"0",'Water-Meter'!U10)</f>
        <v>0</v>
      </c>
      <c r="R6" s="333">
        <f>IF('Water-Meter'!X10&lt;0,"0",'Water-Meter'!X10)</f>
        <v>54</v>
      </c>
      <c r="S6" s="333">
        <f>IF('Water-Meter'!AA10&lt;0,"0",'Water-Meter'!AA10)</f>
        <v>54</v>
      </c>
      <c r="T6" s="333">
        <f>IF('Water-Meter'!AD10&lt;0,"0",'Water-Meter'!AD10)</f>
        <v>1</v>
      </c>
      <c r="U6" s="333">
        <f>IF('Water-Meter'!AG10&lt;0,"0",'Water-Meter'!AG10)</f>
        <v>19</v>
      </c>
      <c r="V6" s="333">
        <f>IF('Water-Meter'!AJ10&lt;0,"0",'Water-Meter'!AJ10)</f>
        <v>18</v>
      </c>
      <c r="W6" s="31">
        <f>'Water-Meter'!AN10</f>
        <v>146</v>
      </c>
      <c r="X6" s="707">
        <f>Total!K6</f>
        <v>9</v>
      </c>
    </row>
    <row r="7" spans="1:24">
      <c r="A7" s="684" t="s">
        <v>291</v>
      </c>
      <c r="B7" s="680">
        <f t="shared" si="0"/>
        <v>6</v>
      </c>
      <c r="C7" s="693">
        <v>12</v>
      </c>
      <c r="D7" s="681">
        <v>2019</v>
      </c>
      <c r="E7" s="682">
        <f>'UTILITY REPORT 1'!I8</f>
        <v>2054.66</v>
      </c>
      <c r="F7" s="682">
        <f>'UTILITY REPORT 1'!E8</f>
        <v>1833.0300000000002</v>
      </c>
      <c r="G7" s="683">
        <f>'UTILITY REPORT 1'!F8</f>
        <v>4564</v>
      </c>
      <c r="H7" s="682">
        <f>IF('Kit report'!F9&lt;0,"0",'Kit report'!F9)</f>
        <v>455.99999999991269</v>
      </c>
      <c r="I7" s="682">
        <f>IF('Kit report'!X9&lt;0,"0",'Kit report'!X9)</f>
        <v>480.00000000010914</v>
      </c>
      <c r="J7" s="682">
        <f>IF('Utility summery'!H11&lt;0,"0",'Utility summery'!H11)</f>
        <v>51</v>
      </c>
      <c r="K7" s="683">
        <f>IF('UTILITY REPORT 1'!H8&lt;0,"0",'UTILITY REPORT 1'!H8)</f>
        <v>111</v>
      </c>
      <c r="L7" s="682">
        <f>'Water-Meter'!K11</f>
        <v>4</v>
      </c>
      <c r="M7" s="683">
        <f>'Water-Meter'!H11</f>
        <v>8</v>
      </c>
      <c r="N7" s="683">
        <f>'Water-Meter'!Q11</f>
        <v>9</v>
      </c>
      <c r="O7" s="682" t="e">
        <f>K7*E7+H7*I7+#REF!*#REF!+J7*L7</f>
        <v>#REF!</v>
      </c>
      <c r="P7" s="695">
        <f>'Water-Meter'!E11</f>
        <v>105</v>
      </c>
      <c r="Q7" s="333">
        <f>IF('Water-Meter'!U11&lt;0,"0",'Water-Meter'!U11)</f>
        <v>30</v>
      </c>
      <c r="R7" s="333">
        <f>IF('Water-Meter'!X11&lt;0,"0",'Water-Meter'!X11)</f>
        <v>55</v>
      </c>
      <c r="S7" s="333">
        <f>IF('Water-Meter'!AA11&lt;0,"0",'Water-Meter'!AA11)</f>
        <v>56</v>
      </c>
      <c r="T7" s="333">
        <f>IF('Water-Meter'!AD11&lt;0,"0",'Water-Meter'!AD11)</f>
        <v>0</v>
      </c>
      <c r="U7" s="333">
        <f>IF('Water-Meter'!AG11&lt;0,"0",'Water-Meter'!AG11)</f>
        <v>20</v>
      </c>
      <c r="V7" s="333">
        <f>IF('Water-Meter'!AJ11&lt;0,"0",'Water-Meter'!AJ11)</f>
        <v>19</v>
      </c>
      <c r="W7" s="31">
        <f>'Water-Meter'!AN11</f>
        <v>180</v>
      </c>
      <c r="X7" s="707">
        <f>Total!K7</f>
        <v>11</v>
      </c>
    </row>
    <row r="8" spans="1:24">
      <c r="A8" s="684" t="s">
        <v>291</v>
      </c>
      <c r="B8" s="680">
        <f t="shared" si="0"/>
        <v>7</v>
      </c>
      <c r="C8" s="693">
        <v>12</v>
      </c>
      <c r="D8" s="681">
        <v>2019</v>
      </c>
      <c r="E8" s="682">
        <f>'UTILITY REPORT 1'!I9</f>
        <v>62</v>
      </c>
      <c r="F8" s="682">
        <f>'UTILITY REPORT 1'!E9</f>
        <v>1612.2599999999998</v>
      </c>
      <c r="G8" s="683">
        <f>'UTILITY REPORT 1'!F9</f>
        <v>4168</v>
      </c>
      <c r="H8" s="682">
        <f>IF('Kit report'!F10&lt;0,"0",'Kit report'!F10)</f>
        <v>396.00000000013097</v>
      </c>
      <c r="I8" s="682">
        <f>IF('Kit report'!X10&lt;0,"0",'Kit report'!X10)</f>
        <v>579.99999999992724</v>
      </c>
      <c r="J8" s="682">
        <f>IF('Utility summery'!H12&lt;0,"0",'Utility summery'!H12)</f>
        <v>40</v>
      </c>
      <c r="K8" s="683">
        <f>IF('UTILITY REPORT 1'!H9&lt;0,"0",'UTILITY REPORT 1'!H9)</f>
        <v>111</v>
      </c>
      <c r="L8" s="682">
        <f>'Water-Meter'!K12</f>
        <v>4</v>
      </c>
      <c r="M8" s="683">
        <f>'Water-Meter'!H12</f>
        <v>9</v>
      </c>
      <c r="N8" s="683">
        <f>'Water-Meter'!Q12</f>
        <v>9</v>
      </c>
      <c r="O8" s="682" t="e">
        <f>K8*E8+H8*I8+#REF!*#REF!+J8*L8</f>
        <v>#REF!</v>
      </c>
      <c r="P8" s="695">
        <f>'Water-Meter'!E12</f>
        <v>131</v>
      </c>
      <c r="Q8" s="333">
        <f>IF('Water-Meter'!U12&lt;0,"0",'Water-Meter'!U12)</f>
        <v>30</v>
      </c>
      <c r="R8" s="333">
        <f>IF('Water-Meter'!X12&lt;0,"0",'Water-Meter'!X12)</f>
        <v>53</v>
      </c>
      <c r="S8" s="333">
        <f>IF('Water-Meter'!AA12&lt;0,"0",'Water-Meter'!AA12)</f>
        <v>55</v>
      </c>
      <c r="T8" s="333">
        <f>IF('Water-Meter'!AD12&lt;0,"0",'Water-Meter'!AD12)</f>
        <v>10</v>
      </c>
      <c r="U8" s="333">
        <f>IF('Water-Meter'!AG12&lt;0,"0",'Water-Meter'!AG12)</f>
        <v>18</v>
      </c>
      <c r="V8" s="333">
        <f>IF('Water-Meter'!AJ12&lt;0,"0",'Water-Meter'!AJ12)</f>
        <v>20</v>
      </c>
      <c r="W8" s="31">
        <f>'Water-Meter'!AN12</f>
        <v>186</v>
      </c>
      <c r="X8" s="707">
        <f>Total!K8</f>
        <v>6</v>
      </c>
    </row>
    <row r="9" spans="1:24">
      <c r="A9" s="684" t="s">
        <v>291</v>
      </c>
      <c r="B9" s="680">
        <f t="shared" si="0"/>
        <v>8</v>
      </c>
      <c r="C9" s="693">
        <v>12</v>
      </c>
      <c r="D9" s="681">
        <v>2019</v>
      </c>
      <c r="E9" s="682">
        <f>'UTILITY REPORT 1'!I10</f>
        <v>0</v>
      </c>
      <c r="F9" s="682">
        <f>'UTILITY REPORT 1'!E10</f>
        <v>1594.7199999999998</v>
      </c>
      <c r="G9" s="683">
        <f>'UTILITY REPORT 1'!F10</f>
        <v>3985</v>
      </c>
      <c r="H9" s="682">
        <f>IF('Kit report'!F11&lt;0,"0",'Kit report'!F11)</f>
        <v>323.99999999986903</v>
      </c>
      <c r="I9" s="682">
        <f>IF('Kit report'!X11&lt;0,"0",'Kit report'!X11)</f>
        <v>460.00000000003638</v>
      </c>
      <c r="J9" s="682">
        <f>IF('Utility summery'!H13&lt;0,"0",'Utility summery'!H13)</f>
        <v>73</v>
      </c>
      <c r="K9" s="683">
        <f>IF('UTILITY REPORT 1'!H10&lt;0,"0",'UTILITY REPORT 1'!H10)</f>
        <v>105</v>
      </c>
      <c r="L9" s="682">
        <f>'Water-Meter'!K13</f>
        <v>2</v>
      </c>
      <c r="M9" s="683">
        <f>'Water-Meter'!H13</f>
        <v>10</v>
      </c>
      <c r="N9" s="683">
        <f>'Water-Meter'!Q13</f>
        <v>11</v>
      </c>
      <c r="O9" s="682" t="e">
        <f>K9*E9+H9*I9+#REF!*#REF!+J9*L9</f>
        <v>#REF!</v>
      </c>
      <c r="P9" s="695">
        <f>'Water-Meter'!E13</f>
        <v>129</v>
      </c>
      <c r="Q9" s="333">
        <f>IF('Water-Meter'!U13&lt;0,"0",'Water-Meter'!U13)</f>
        <v>30</v>
      </c>
      <c r="R9" s="333">
        <f>IF('Water-Meter'!X13&lt;0,"0",'Water-Meter'!X13)</f>
        <v>56</v>
      </c>
      <c r="S9" s="333">
        <f>IF('Water-Meter'!AA13&lt;0,"0",'Water-Meter'!AA13)</f>
        <v>27</v>
      </c>
      <c r="T9" s="333">
        <f>IF('Water-Meter'!AD13&lt;0,"0",'Water-Meter'!AD13)</f>
        <v>14</v>
      </c>
      <c r="U9" s="333">
        <f>IF('Water-Meter'!AG13&lt;0,"0",'Water-Meter'!AG13)</f>
        <v>18</v>
      </c>
      <c r="V9" s="333">
        <f>IF('Water-Meter'!AJ13&lt;0,"0",'Water-Meter'!AJ13)</f>
        <v>19</v>
      </c>
      <c r="W9" s="31">
        <f>'Water-Meter'!AN13</f>
        <v>164</v>
      </c>
      <c r="X9" s="707">
        <f>Total!K9</f>
        <v>9</v>
      </c>
    </row>
    <row r="10" spans="1:24">
      <c r="A10" s="684" t="s">
        <v>291</v>
      </c>
      <c r="B10" s="680">
        <f t="shared" si="0"/>
        <v>9</v>
      </c>
      <c r="C10" s="693">
        <v>12</v>
      </c>
      <c r="D10" s="681">
        <v>2019</v>
      </c>
      <c r="E10" s="682">
        <f>'UTILITY REPORT 1'!I11</f>
        <v>177.46</v>
      </c>
      <c r="F10" s="682">
        <f>'UTILITY REPORT 1'!E11</f>
        <v>1546.25</v>
      </c>
      <c r="G10" s="683">
        <f>'UTILITY REPORT 1'!F11</f>
        <v>4085</v>
      </c>
      <c r="H10" s="682">
        <f>IF('Kit report'!F12&lt;0,"0",'Kit report'!F12)</f>
        <v>467.99999999995634</v>
      </c>
      <c r="I10" s="682">
        <f>IF('Kit report'!X12&lt;0,"0",'Kit report'!X12)</f>
        <v>460.00000000003638</v>
      </c>
      <c r="J10" s="682">
        <f>IF('Utility summery'!H14&lt;0,"0",'Utility summery'!H14)</f>
        <v>70</v>
      </c>
      <c r="K10" s="683">
        <f>IF('UTILITY REPORT 1'!H11&lt;0,"0",'UTILITY REPORT 1'!H11)</f>
        <v>103</v>
      </c>
      <c r="L10" s="682">
        <f>'Water-Meter'!K14</f>
        <v>3</v>
      </c>
      <c r="M10" s="683">
        <f>'Water-Meter'!H14</f>
        <v>15</v>
      </c>
      <c r="N10" s="683">
        <f>'Water-Meter'!Q14</f>
        <v>10</v>
      </c>
      <c r="O10" s="682" t="e">
        <f>K10*E10+H10*I10+#REF!*#REF!+J10*L10</f>
        <v>#REF!</v>
      </c>
      <c r="P10" s="695">
        <f>'Water-Meter'!E14</f>
        <v>139</v>
      </c>
      <c r="Q10" s="333">
        <f>IF('Water-Meter'!U14&lt;0,"0",'Water-Meter'!U14)</f>
        <v>33</v>
      </c>
      <c r="R10" s="333">
        <f>IF('Water-Meter'!X14&lt;0,"0",'Water-Meter'!X14)</f>
        <v>55</v>
      </c>
      <c r="S10" s="333">
        <f>IF('Water-Meter'!AA14&lt;0,"0",'Water-Meter'!AA14)</f>
        <v>54</v>
      </c>
      <c r="T10" s="333">
        <f>IF('Water-Meter'!AD14&lt;0,"0",'Water-Meter'!AD14)</f>
        <v>10</v>
      </c>
      <c r="U10" s="333">
        <f>IF('Water-Meter'!AG14&lt;0,"0",'Water-Meter'!AG14)</f>
        <v>18</v>
      </c>
      <c r="V10" s="333">
        <f>IF('Water-Meter'!AJ14&lt;0,"0",'Water-Meter'!AJ14)</f>
        <v>20</v>
      </c>
      <c r="W10" s="31">
        <f>'Water-Meter'!AN14</f>
        <v>190</v>
      </c>
      <c r="X10" s="707">
        <f>Total!K10</f>
        <v>7</v>
      </c>
    </row>
    <row r="11" spans="1:24">
      <c r="A11" s="684" t="s">
        <v>291</v>
      </c>
      <c r="B11" s="680">
        <f t="shared" si="0"/>
        <v>10</v>
      </c>
      <c r="C11" s="693">
        <v>12</v>
      </c>
      <c r="D11" s="681">
        <v>2019</v>
      </c>
      <c r="E11" s="682">
        <f>'UTILITY REPORT 1'!I12</f>
        <v>13.2</v>
      </c>
      <c r="F11" s="682">
        <f>'UTILITY REPORT 1'!E12</f>
        <v>1693.96</v>
      </c>
      <c r="G11" s="683">
        <f>'UTILITY REPORT 1'!F12</f>
        <v>4227</v>
      </c>
      <c r="H11" s="682">
        <f>IF('Kit report'!F13&lt;0,"0",'Kit report'!F13)</f>
        <v>468.00000000017462</v>
      </c>
      <c r="I11" s="682">
        <f>IF('Kit report'!X13&lt;0,"0",'Kit report'!X13)</f>
        <v>419.99999999989086</v>
      </c>
      <c r="J11" s="682">
        <f>IF('Utility summery'!H15&lt;0,"0",'Utility summery'!H15)</f>
        <v>46</v>
      </c>
      <c r="K11" s="683">
        <f>IF('UTILITY REPORT 1'!H12&lt;0,"0",'UTILITY REPORT 1'!H12)</f>
        <v>105</v>
      </c>
      <c r="L11" s="682">
        <f>'Water-Meter'!K15</f>
        <v>2</v>
      </c>
      <c r="M11" s="683">
        <f>'Water-Meter'!H15</f>
        <v>11</v>
      </c>
      <c r="N11" s="683">
        <f>'Water-Meter'!Q15</f>
        <v>9</v>
      </c>
      <c r="O11" s="682" t="e">
        <f>K11*E11+H11*I11+#REF!*#REF!+J11*L11</f>
        <v>#REF!</v>
      </c>
      <c r="P11" s="695">
        <f>'Water-Meter'!E15</f>
        <v>101</v>
      </c>
      <c r="Q11" s="333">
        <f>IF('Water-Meter'!U15&lt;0,"0",'Water-Meter'!U15)</f>
        <v>31</v>
      </c>
      <c r="R11" s="333">
        <f>IF('Water-Meter'!X15&lt;0,"0",'Water-Meter'!X15)</f>
        <v>56</v>
      </c>
      <c r="S11" s="333">
        <f>IF('Water-Meter'!AA15&lt;0,"0",'Water-Meter'!AA15)</f>
        <v>21</v>
      </c>
      <c r="T11" s="333">
        <f>IF('Water-Meter'!AD15&lt;0,"0",'Water-Meter'!AD15)</f>
        <v>13</v>
      </c>
      <c r="U11" s="333">
        <f>IF('Water-Meter'!AG15&lt;0,"0",'Water-Meter'!AG15)</f>
        <v>32</v>
      </c>
      <c r="V11" s="333">
        <f>IF('Water-Meter'!AJ15&lt;0,"0",'Water-Meter'!AJ15)</f>
        <v>18</v>
      </c>
      <c r="W11" s="31">
        <f>'Water-Meter'!AN15</f>
        <v>171</v>
      </c>
      <c r="X11" s="707">
        <f>Total!K11</f>
        <v>8</v>
      </c>
    </row>
    <row r="12" spans="1:24">
      <c r="A12" s="684" t="s">
        <v>291</v>
      </c>
      <c r="B12" s="680">
        <f t="shared" si="0"/>
        <v>11</v>
      </c>
      <c r="C12" s="693">
        <v>12</v>
      </c>
      <c r="D12" s="681">
        <v>2019</v>
      </c>
      <c r="E12" s="682">
        <f>'UTILITY REPORT 1'!I13</f>
        <v>260.22000000000003</v>
      </c>
      <c r="F12" s="682">
        <f>'UTILITY REPORT 1'!E13</f>
        <v>1589.0299999999997</v>
      </c>
      <c r="G12" s="683">
        <f>'UTILITY REPORT 1'!F13</f>
        <v>4272</v>
      </c>
      <c r="H12" s="682">
        <f>IF('Kit report'!F14&lt;0,"0",'Kit report'!F14)</f>
        <v>480</v>
      </c>
      <c r="I12" s="682">
        <f>IF('Kit report'!X14&lt;0,"0",'Kit report'!X14)</f>
        <v>460.00000000003638</v>
      </c>
      <c r="J12" s="682">
        <f>IF('Utility summery'!H16&lt;0,"0",'Utility summery'!H16)</f>
        <v>47</v>
      </c>
      <c r="K12" s="683">
        <f>IF('UTILITY REPORT 1'!H13&lt;0,"0",'UTILITY REPORT 1'!H13)</f>
        <v>117</v>
      </c>
      <c r="L12" s="682">
        <f>'Water-Meter'!K16</f>
        <v>2</v>
      </c>
      <c r="M12" s="683">
        <f>'Water-Meter'!H16</f>
        <v>12</v>
      </c>
      <c r="N12" s="683">
        <f>'Water-Meter'!Q16</f>
        <v>10</v>
      </c>
      <c r="O12" s="682" t="e">
        <f>K12*E12+H12*I12+#REF!*#REF!+J12*L12</f>
        <v>#REF!</v>
      </c>
      <c r="P12" s="695">
        <f>'Water-Meter'!E16</f>
        <v>101</v>
      </c>
      <c r="Q12" s="333">
        <f>IF('Water-Meter'!U16&lt;0,"0",'Water-Meter'!U16)</f>
        <v>32</v>
      </c>
      <c r="R12" s="333">
        <f>IF('Water-Meter'!X16&lt;0,"0",'Water-Meter'!X16)</f>
        <v>56</v>
      </c>
      <c r="S12" s="333">
        <f>IF('Water-Meter'!AA16&lt;0,"0",'Water-Meter'!AA16)</f>
        <v>22</v>
      </c>
      <c r="T12" s="333">
        <f>IF('Water-Meter'!AD16&lt;0,"0",'Water-Meter'!AD16)</f>
        <v>13</v>
      </c>
      <c r="U12" s="333">
        <f>IF('Water-Meter'!AG16&lt;0,"0",'Water-Meter'!AG16)</f>
        <v>30</v>
      </c>
      <c r="V12" s="333">
        <f>IF('Water-Meter'!AJ16&lt;0,"0",'Water-Meter'!AJ16)</f>
        <v>19</v>
      </c>
      <c r="W12" s="31">
        <f>'Water-Meter'!AN16</f>
        <v>172</v>
      </c>
      <c r="X12" s="707">
        <f>Total!K12</f>
        <v>9</v>
      </c>
    </row>
    <row r="13" spans="1:24">
      <c r="A13" s="684" t="s">
        <v>291</v>
      </c>
      <c r="B13" s="680">
        <f t="shared" si="0"/>
        <v>12</v>
      </c>
      <c r="C13" s="693">
        <v>12</v>
      </c>
      <c r="D13" s="681">
        <v>2019</v>
      </c>
      <c r="E13" s="682">
        <f>'UTILITY REPORT 1'!I14</f>
        <v>389.31</v>
      </c>
      <c r="F13" s="682">
        <f>'UTILITY REPORT 1'!E14</f>
        <v>1661.0300000000002</v>
      </c>
      <c r="G13" s="683">
        <f>'UTILITY REPORT 1'!F14</f>
        <v>4226</v>
      </c>
      <c r="H13" s="682">
        <f>IF('Kit report'!F15&lt;0,"0",'Kit report'!F15)</f>
        <v>443.99999999986903</v>
      </c>
      <c r="I13" s="682">
        <f>IF('Kit report'!X15&lt;0,"0",'Kit report'!X15)</f>
        <v>560.00000000003638</v>
      </c>
      <c r="J13" s="682">
        <f>IF('Utility summery'!H17&lt;0,"0",'Utility summery'!H17)</f>
        <v>70</v>
      </c>
      <c r="K13" s="683">
        <f>IF('UTILITY REPORT 1'!H14&lt;0,"0",'UTILITY REPORT 1'!H14)</f>
        <v>121</v>
      </c>
      <c r="L13" s="682">
        <f>'Water-Meter'!K17</f>
        <v>2</v>
      </c>
      <c r="M13" s="683">
        <f>'Water-Meter'!H17</f>
        <v>16</v>
      </c>
      <c r="N13" s="683">
        <f>'Water-Meter'!Q17</f>
        <v>9</v>
      </c>
      <c r="O13" s="682" t="e">
        <f>K13*E13+H13*I13+#REF!*#REF!+J13*L13</f>
        <v>#REF!</v>
      </c>
      <c r="P13" s="695">
        <f>'Water-Meter'!E17</f>
        <v>108</v>
      </c>
      <c r="Q13" s="333">
        <f>IF('Water-Meter'!U17&lt;0,"0",'Water-Meter'!U17)</f>
        <v>31</v>
      </c>
      <c r="R13" s="333">
        <f>IF('Water-Meter'!X17&lt;0,"0",'Water-Meter'!X17)</f>
        <v>57</v>
      </c>
      <c r="S13" s="333">
        <f>IF('Water-Meter'!AA17&lt;0,"0",'Water-Meter'!AA17)</f>
        <v>55</v>
      </c>
      <c r="T13" s="333">
        <f>IF('Water-Meter'!AD17&lt;0,"0",'Water-Meter'!AD17)</f>
        <v>10</v>
      </c>
      <c r="U13" s="333">
        <f>IF('Water-Meter'!AG17&lt;0,"0",'Water-Meter'!AG17)</f>
        <v>17</v>
      </c>
      <c r="V13" s="333">
        <f>IF('Water-Meter'!AJ17&lt;0,"0",'Water-Meter'!AJ17)</f>
        <v>20</v>
      </c>
      <c r="W13" s="31">
        <f>'Water-Meter'!AN17</f>
        <v>190</v>
      </c>
      <c r="X13" s="707">
        <f>Total!K13</f>
        <v>6</v>
      </c>
    </row>
    <row r="14" spans="1:24">
      <c r="A14" s="684" t="s">
        <v>291</v>
      </c>
      <c r="B14" s="680">
        <f t="shared" si="0"/>
        <v>13</v>
      </c>
      <c r="C14" s="693">
        <v>12</v>
      </c>
      <c r="D14" s="681">
        <v>2019</v>
      </c>
      <c r="E14" s="682">
        <f>'UTILITY REPORT 1'!I15</f>
        <v>252.28</v>
      </c>
      <c r="F14" s="682">
        <f>'UTILITY REPORT 1'!E15</f>
        <v>1744.1100000000001</v>
      </c>
      <c r="G14" s="683">
        <f>'UTILITY REPORT 1'!F15</f>
        <v>4489</v>
      </c>
      <c r="H14" s="682">
        <f>IF('Kit report'!F16&lt;0,"0",'Kit report'!F16)</f>
        <v>480</v>
      </c>
      <c r="I14" s="682">
        <f>IF('Kit report'!X16&lt;0,"0",'Kit report'!X16)</f>
        <v>619.99999999989086</v>
      </c>
      <c r="J14" s="682">
        <f>IF('Utility summery'!H18&lt;0,"0",'Utility summery'!H18)</f>
        <v>60</v>
      </c>
      <c r="K14" s="683">
        <f>IF('UTILITY REPORT 1'!H15&lt;0,"0",'UTILITY REPORT 1'!H15)</f>
        <v>115</v>
      </c>
      <c r="L14" s="682">
        <f>'Water-Meter'!K18</f>
        <v>3</v>
      </c>
      <c r="M14" s="683">
        <f>'Water-Meter'!H18</f>
        <v>15</v>
      </c>
      <c r="N14" s="683">
        <f>'Water-Meter'!Q18</f>
        <v>8</v>
      </c>
      <c r="O14" s="682" t="e">
        <f>K14*E14+H14*I14+#REF!*#REF!+J14*L14</f>
        <v>#REF!</v>
      </c>
      <c r="P14" s="695">
        <f>'Water-Meter'!E18</f>
        <v>105</v>
      </c>
      <c r="Q14" s="333">
        <f>IF('Water-Meter'!U18&lt;0,"0",'Water-Meter'!U18)</f>
        <v>32</v>
      </c>
      <c r="R14" s="333">
        <f>IF('Water-Meter'!X18&lt;0,"0",'Water-Meter'!X18)</f>
        <v>55</v>
      </c>
      <c r="S14" s="333">
        <f>IF('Water-Meter'!AA18&lt;0,"0",'Water-Meter'!AA18)</f>
        <v>54</v>
      </c>
      <c r="T14" s="333">
        <f>IF('Water-Meter'!AD18&lt;0,"0",'Water-Meter'!AD18)</f>
        <v>10</v>
      </c>
      <c r="U14" s="333">
        <f>IF('Water-Meter'!AG18&lt;0,"0",'Water-Meter'!AG18)</f>
        <v>18</v>
      </c>
      <c r="V14" s="333">
        <f>IF('Water-Meter'!AJ18&lt;0,"0",'Water-Meter'!AJ18)</f>
        <v>20</v>
      </c>
      <c r="W14" s="31">
        <f>'Water-Meter'!AN18</f>
        <v>189</v>
      </c>
      <c r="X14" s="707">
        <f>Total!K14</f>
        <v>8</v>
      </c>
    </row>
    <row r="15" spans="1:24">
      <c r="A15" s="684" t="s">
        <v>291</v>
      </c>
      <c r="B15" s="680">
        <f t="shared" si="0"/>
        <v>14</v>
      </c>
      <c r="C15" s="693">
        <v>12</v>
      </c>
      <c r="D15" s="681">
        <v>2019</v>
      </c>
      <c r="E15" s="682">
        <f>'UTILITY REPORT 1'!I16</f>
        <v>224.4</v>
      </c>
      <c r="F15" s="682">
        <f>'UTILITY REPORT 1'!E16</f>
        <v>1718.37</v>
      </c>
      <c r="G15" s="683">
        <f>'UTILITY REPORT 1'!F16</f>
        <v>4460</v>
      </c>
      <c r="H15" s="682">
        <f>IF('Kit report'!F17&lt;0,"0",'Kit report'!F17)</f>
        <v>456.00000000013097</v>
      </c>
      <c r="I15" s="682">
        <f>IF('Kit report'!X17&lt;0,"0",'Kit report'!X17)</f>
        <v>500</v>
      </c>
      <c r="J15" s="682">
        <f>IF('Utility summery'!H19&lt;0,"0",'Utility summery'!H19)</f>
        <v>30</v>
      </c>
      <c r="K15" s="683">
        <f>IF('UTILITY REPORT 1'!H16&lt;0,"0",'UTILITY REPORT 1'!H16)</f>
        <v>113</v>
      </c>
      <c r="L15" s="682">
        <f>'Water-Meter'!K19</f>
        <v>3</v>
      </c>
      <c r="M15" s="683">
        <f>'Water-Meter'!H19</f>
        <v>13</v>
      </c>
      <c r="N15" s="683">
        <f>'Water-Meter'!Q19</f>
        <v>8</v>
      </c>
      <c r="O15" s="682" t="e">
        <f>K15*E15+H15*I15+#REF!*#REF!+J15*L15</f>
        <v>#REF!</v>
      </c>
      <c r="P15" s="695">
        <f>'Water-Meter'!E19</f>
        <v>111</v>
      </c>
      <c r="Q15" s="333">
        <f>IF('Water-Meter'!U19&lt;0,"0",'Water-Meter'!U19)</f>
        <v>31</v>
      </c>
      <c r="R15" s="333">
        <f>IF('Water-Meter'!X19&lt;0,"0",'Water-Meter'!X19)</f>
        <v>55</v>
      </c>
      <c r="S15" s="333">
        <f>IF('Water-Meter'!AA19&lt;0,"0",'Water-Meter'!AA19)</f>
        <v>55</v>
      </c>
      <c r="T15" s="333">
        <f>IF('Water-Meter'!AD19&lt;0,"0",'Water-Meter'!AD19)</f>
        <v>10</v>
      </c>
      <c r="U15" s="333">
        <f>IF('Water-Meter'!AG19&lt;0,"0",'Water-Meter'!AG19)</f>
        <v>17</v>
      </c>
      <c r="V15" s="333">
        <f>IF('Water-Meter'!AJ19&lt;0,"0",'Water-Meter'!AJ19)</f>
        <v>20</v>
      </c>
      <c r="W15" s="31">
        <f>'Water-Meter'!AN19</f>
        <v>188</v>
      </c>
      <c r="X15" s="707">
        <f>Total!K15</f>
        <v>10</v>
      </c>
    </row>
    <row r="16" spans="1:24">
      <c r="A16" s="684" t="s">
        <v>291</v>
      </c>
      <c r="B16" s="680">
        <f t="shared" si="0"/>
        <v>15</v>
      </c>
      <c r="C16" s="693">
        <v>12</v>
      </c>
      <c r="D16" s="681">
        <v>2019</v>
      </c>
      <c r="E16" s="682">
        <f>'UTILITY REPORT 1'!I17</f>
        <v>261.61</v>
      </c>
      <c r="F16" s="682">
        <f>'UTILITY REPORT 1'!E17</f>
        <v>1798.7200000000003</v>
      </c>
      <c r="G16" s="683">
        <f>'UTILITY REPORT 1'!F17</f>
        <v>4526</v>
      </c>
      <c r="H16" s="682">
        <f>IF('Kit report'!F18&lt;0,"0",'Kit report'!F18)</f>
        <v>480</v>
      </c>
      <c r="I16" s="682">
        <f>IF('Kit report'!X18&lt;0,"0",'Kit report'!X18)</f>
        <v>480.00000000010914</v>
      </c>
      <c r="J16" s="682">
        <f>IF('Utility summery'!H20&lt;0,"0",'Utility summery'!H20)</f>
        <v>0</v>
      </c>
      <c r="K16" s="683">
        <f>IF('UTILITY REPORT 1'!H17&lt;0,"0",'UTILITY REPORT 1'!H17)</f>
        <v>113</v>
      </c>
      <c r="L16" s="682">
        <f>'Water-Meter'!K20</f>
        <v>2</v>
      </c>
      <c r="M16" s="683">
        <f>'Water-Meter'!H20</f>
        <v>12</v>
      </c>
      <c r="N16" s="683">
        <f>'Water-Meter'!Q20</f>
        <v>9</v>
      </c>
      <c r="O16" s="682" t="e">
        <f>K16*E16+H16*I16+#REF!*#REF!+J16*L16</f>
        <v>#REF!</v>
      </c>
      <c r="P16" s="695">
        <f>'Water-Meter'!E20</f>
        <v>97</v>
      </c>
      <c r="Q16" s="333">
        <f>IF('Water-Meter'!U20&lt;0,"0",'Water-Meter'!U20)</f>
        <v>30</v>
      </c>
      <c r="R16" s="333">
        <f>IF('Water-Meter'!X20&lt;0,"0",'Water-Meter'!X20)</f>
        <v>56</v>
      </c>
      <c r="S16" s="333">
        <f>IF('Water-Meter'!AA20&lt;0,"0",'Water-Meter'!AA20)</f>
        <v>33</v>
      </c>
      <c r="T16" s="333">
        <f>IF('Water-Meter'!AD20&lt;0,"0",'Water-Meter'!AD20)</f>
        <v>11</v>
      </c>
      <c r="U16" s="333">
        <f>IF('Water-Meter'!AG20&lt;0,"0",'Water-Meter'!AG20)</f>
        <v>20</v>
      </c>
      <c r="V16" s="333">
        <f>IF('Water-Meter'!AJ20&lt;0,"0",'Water-Meter'!AJ20)</f>
        <v>20</v>
      </c>
      <c r="W16" s="31">
        <f>'Water-Meter'!AN20</f>
        <v>170</v>
      </c>
      <c r="X16" s="707">
        <f>Total!K16</f>
        <v>15</v>
      </c>
    </row>
    <row r="17" spans="1:24">
      <c r="A17" s="684" t="s">
        <v>291</v>
      </c>
      <c r="B17" s="680">
        <f t="shared" si="0"/>
        <v>16</v>
      </c>
      <c r="C17" s="693">
        <v>12</v>
      </c>
      <c r="D17" s="681">
        <v>2019</v>
      </c>
      <c r="E17" s="682">
        <f>'UTILITY REPORT 1'!I18</f>
        <v>104.11</v>
      </c>
      <c r="F17" s="682">
        <f>'UTILITY REPORT 1'!E18</f>
        <v>1811.63</v>
      </c>
      <c r="G17" s="683">
        <f>'UTILITY REPORT 1'!F18</f>
        <v>4416</v>
      </c>
      <c r="H17" s="682">
        <f>IF('Kit report'!F19&lt;0,"0",'Kit report'!F19)</f>
        <v>491.99999999982538</v>
      </c>
      <c r="I17" s="682">
        <f>IF('Kit report'!X19&lt;0,"0",'Kit report'!X19)</f>
        <v>439.99999999996362</v>
      </c>
      <c r="J17" s="682">
        <f>IF('Utility summery'!H21&lt;0,"0",'Utility summery'!H21)</f>
        <v>0</v>
      </c>
      <c r="K17" s="683">
        <f>IF('UTILITY REPORT 1'!H18&lt;0,"0",'UTILITY REPORT 1'!H18)</f>
        <v>113</v>
      </c>
      <c r="L17" s="682">
        <f>'Water-Meter'!K21</f>
        <v>3</v>
      </c>
      <c r="M17" s="683">
        <f>'Water-Meter'!H21</f>
        <v>17</v>
      </c>
      <c r="N17" s="683">
        <f>'Water-Meter'!Q21</f>
        <v>11</v>
      </c>
      <c r="O17" s="682" t="e">
        <f>K17*E17+H17*I17+#REF!*#REF!+J17*L17</f>
        <v>#REF!</v>
      </c>
      <c r="P17" s="695">
        <f>'Water-Meter'!E21</f>
        <v>87</v>
      </c>
      <c r="Q17" s="333">
        <f>IF('Water-Meter'!U21&lt;0,"0",'Water-Meter'!U21)</f>
        <v>30</v>
      </c>
      <c r="R17" s="333">
        <f>IF('Water-Meter'!X21&lt;0,"0",'Water-Meter'!X21)</f>
        <v>58</v>
      </c>
      <c r="S17" s="333">
        <f>IF('Water-Meter'!AA21&lt;0,"0",'Water-Meter'!AA21)</f>
        <v>4</v>
      </c>
      <c r="T17" s="333">
        <f>IF('Water-Meter'!AD21&lt;0,"0",'Water-Meter'!AD21)</f>
        <v>17</v>
      </c>
      <c r="U17" s="333">
        <f>IF('Water-Meter'!AG21&lt;0,"0",'Water-Meter'!AG21)</f>
        <v>39</v>
      </c>
      <c r="V17" s="333">
        <f>IF('Water-Meter'!AJ21&lt;0,"0",'Water-Meter'!AJ21)</f>
        <v>16</v>
      </c>
      <c r="W17" s="31">
        <f>'Water-Meter'!AN21</f>
        <v>164</v>
      </c>
      <c r="X17" s="707">
        <f>Total!K17</f>
        <v>15</v>
      </c>
    </row>
    <row r="18" spans="1:24">
      <c r="A18" s="684" t="s">
        <v>291</v>
      </c>
      <c r="B18" s="680">
        <f t="shared" si="0"/>
        <v>17</v>
      </c>
      <c r="C18" s="693">
        <v>12</v>
      </c>
      <c r="D18" s="681">
        <v>2019</v>
      </c>
      <c r="E18" s="682">
        <f>'UTILITY REPORT 1'!I19</f>
        <v>210.14</v>
      </c>
      <c r="F18" s="682">
        <f>'UTILITY REPORT 1'!E19</f>
        <v>1984.46</v>
      </c>
      <c r="G18" s="683">
        <f>'UTILITY REPORT 1'!F19</f>
        <v>5002</v>
      </c>
      <c r="H18" s="682">
        <f>IF('Kit report'!F20&lt;0,"0",'Kit report'!F20)</f>
        <v>504.00000000008731</v>
      </c>
      <c r="I18" s="682">
        <f>IF('Kit report'!X20&lt;0,"0",'Kit report'!X20)</f>
        <v>779.99999999992724</v>
      </c>
      <c r="J18" s="682">
        <f>IF('Utility summery'!H22&lt;0,"0",'Utility summery'!H22)</f>
        <v>4</v>
      </c>
      <c r="K18" s="683">
        <f>IF('UTILITY REPORT 1'!H19&lt;0,"0",'UTILITY REPORT 1'!H19)</f>
        <v>78</v>
      </c>
      <c r="L18" s="682">
        <f>'Water-Meter'!K22</f>
        <v>3</v>
      </c>
      <c r="M18" s="683">
        <f>'Water-Meter'!H22</f>
        <v>15</v>
      </c>
      <c r="N18" s="683">
        <f>'Water-Meter'!Q22</f>
        <v>10</v>
      </c>
      <c r="O18" s="682" t="e">
        <f>K18*E18+H18*I18+#REF!*#REF!+J18*L18</f>
        <v>#REF!</v>
      </c>
      <c r="P18" s="695">
        <f>'Water-Meter'!E22</f>
        <v>108</v>
      </c>
      <c r="Q18" s="333">
        <f>IF('Water-Meter'!U22&lt;0,"0",'Water-Meter'!U22)</f>
        <v>38</v>
      </c>
      <c r="R18" s="333">
        <f>IF('Water-Meter'!X22&lt;0,"0",'Water-Meter'!X22)</f>
        <v>6</v>
      </c>
      <c r="S18" s="333">
        <f>IF('Water-Meter'!AA22&lt;0,"0",'Water-Meter'!AA22)</f>
        <v>3</v>
      </c>
      <c r="T18" s="333">
        <f>IF('Water-Meter'!AD22&lt;0,"0",'Water-Meter'!AD22)</f>
        <v>11</v>
      </c>
      <c r="U18" s="333">
        <f>IF('Water-Meter'!AG22&lt;0,"0",'Water-Meter'!AG22)</f>
        <v>25</v>
      </c>
      <c r="V18" s="333">
        <f>IF('Water-Meter'!AJ22&lt;0,"0",'Water-Meter'!AJ22)</f>
        <v>2</v>
      </c>
      <c r="W18" s="31">
        <f>'Water-Meter'!AN22</f>
        <v>85</v>
      </c>
      <c r="X18" s="707">
        <f>Total!K18</f>
        <v>36</v>
      </c>
    </row>
    <row r="19" spans="1:24">
      <c r="A19" s="684" t="s">
        <v>291</v>
      </c>
      <c r="B19" s="680">
        <f t="shared" si="0"/>
        <v>18</v>
      </c>
      <c r="C19" s="693">
        <v>12</v>
      </c>
      <c r="D19" s="681">
        <v>2019</v>
      </c>
      <c r="E19" s="682">
        <f>'UTILITY REPORT 1'!I20</f>
        <v>0</v>
      </c>
      <c r="F19" s="682">
        <f>'UTILITY REPORT 1'!E20</f>
        <v>0</v>
      </c>
      <c r="G19" s="683">
        <f>'UTILITY REPORT 1'!F20</f>
        <v>0</v>
      </c>
      <c r="H19" s="682" t="str">
        <f>IF('Kit report'!F21&lt;0,"0",'Kit report'!F21)</f>
        <v>0</v>
      </c>
      <c r="I19" s="682" t="str">
        <f>IF('Kit report'!X21&lt;0,"0",'Kit report'!X21)</f>
        <v>0</v>
      </c>
      <c r="J19" s="682" t="str">
        <f>IF('Utility summery'!H23&lt;0,"0",'Utility summery'!H23)</f>
        <v>0</v>
      </c>
      <c r="K19" s="683" t="str">
        <f>IF('UTILITY REPORT 1'!H20&lt;0,"0",'UTILITY REPORT 1'!H20)</f>
        <v>0</v>
      </c>
      <c r="L19" s="682" t="str">
        <f>'Water-Meter'!K23</f>
        <v>0</v>
      </c>
      <c r="M19" s="683" t="str">
        <f>'Water-Meter'!H23</f>
        <v>0</v>
      </c>
      <c r="N19" s="683" t="str">
        <f>'Water-Meter'!Q23</f>
        <v>0</v>
      </c>
      <c r="O19" s="682" t="e">
        <f>K19*E19+H19*I19+#REF!*#REF!+J19*L19</f>
        <v>#REF!</v>
      </c>
      <c r="P19" s="695" t="str">
        <f>'Water-Meter'!E23</f>
        <v>0</v>
      </c>
      <c r="Q19" s="333" t="str">
        <f>IF('Water-Meter'!U23&lt;0,"0",'Water-Meter'!U23)</f>
        <v>0</v>
      </c>
      <c r="R19" s="333" t="str">
        <f>IF('Water-Meter'!X23&lt;0,"0",'Water-Meter'!X23)</f>
        <v>0</v>
      </c>
      <c r="S19" s="333" t="str">
        <f>IF('Water-Meter'!AA23&lt;0,"0",'Water-Meter'!AA23)</f>
        <v>0</v>
      </c>
      <c r="T19" s="333" t="str">
        <f>IF('Water-Meter'!AD23&lt;0,"0",'Water-Meter'!AD23)</f>
        <v>0</v>
      </c>
      <c r="U19" s="333" t="str">
        <f>IF('Water-Meter'!AG23&lt;0,"0",'Water-Meter'!AG23)</f>
        <v>0</v>
      </c>
      <c r="V19" s="333" t="str">
        <f>IF('Water-Meter'!AJ23&lt;0,"0",'Water-Meter'!AJ23)</f>
        <v>0</v>
      </c>
      <c r="W19" s="31">
        <f>'Water-Meter'!AN23</f>
        <v>0</v>
      </c>
      <c r="X19" s="707">
        <f>Total!K19</f>
        <v>0</v>
      </c>
    </row>
    <row r="20" spans="1:24">
      <c r="A20" s="684" t="s">
        <v>291</v>
      </c>
      <c r="B20" s="680">
        <f t="shared" si="0"/>
        <v>19</v>
      </c>
      <c r="C20" s="693">
        <v>12</v>
      </c>
      <c r="D20" s="681">
        <v>2019</v>
      </c>
      <c r="E20" s="682">
        <f>'UTILITY REPORT 1'!I21</f>
        <v>0</v>
      </c>
      <c r="F20" s="682">
        <f>'UTILITY REPORT 1'!E21</f>
        <v>0</v>
      </c>
      <c r="G20" s="683">
        <f>'UTILITY REPORT 1'!F21</f>
        <v>0</v>
      </c>
      <c r="H20" s="682">
        <f>IF('Kit report'!F22&lt;0,"0",'Kit report'!F22)</f>
        <v>0</v>
      </c>
      <c r="I20" s="682">
        <f>IF('Kit report'!X22&lt;0,"0",'Kit report'!X22)</f>
        <v>0</v>
      </c>
      <c r="J20" s="682">
        <f>IF('Utility summery'!H24&lt;0,"0",'Utility summery'!H24)</f>
        <v>0</v>
      </c>
      <c r="K20" s="683">
        <f>IF('UTILITY REPORT 1'!H21&lt;0,"0",'UTILITY REPORT 1'!H21)</f>
        <v>0</v>
      </c>
      <c r="L20" s="682">
        <f>'Water-Meter'!K24</f>
        <v>0</v>
      </c>
      <c r="M20" s="683">
        <f>'Water-Meter'!H24</f>
        <v>0</v>
      </c>
      <c r="N20" s="683">
        <f>'Water-Meter'!Q24</f>
        <v>0</v>
      </c>
      <c r="O20" s="682" t="e">
        <f>K20*E20+H20*I20+#REF!*#REF!+J20*L20</f>
        <v>#REF!</v>
      </c>
      <c r="P20" s="695">
        <f>'Water-Meter'!E24</f>
        <v>0</v>
      </c>
      <c r="Q20" s="333">
        <f>IF('Water-Meter'!U24&lt;0,"0",'Water-Meter'!U24)</f>
        <v>0</v>
      </c>
      <c r="R20" s="333">
        <f>IF('Water-Meter'!X24&lt;0,"0",'Water-Meter'!X24)</f>
        <v>0</v>
      </c>
      <c r="S20" s="333">
        <f>IF('Water-Meter'!AA24&lt;0,"0",'Water-Meter'!AA24)</f>
        <v>0</v>
      </c>
      <c r="T20" s="333">
        <f>IF('Water-Meter'!AD24&lt;0,"0",'Water-Meter'!AD24)</f>
        <v>0</v>
      </c>
      <c r="U20" s="333">
        <f>IF('Water-Meter'!AG24&lt;0,"0",'Water-Meter'!AG24)</f>
        <v>0</v>
      </c>
      <c r="V20" s="333">
        <f>IF('Water-Meter'!AJ24&lt;0,"0",'Water-Meter'!AJ24)</f>
        <v>0</v>
      </c>
      <c r="W20" s="31">
        <f>'Water-Meter'!AN24</f>
        <v>0</v>
      </c>
      <c r="X20" s="707">
        <f>Total!K20</f>
        <v>0</v>
      </c>
    </row>
    <row r="21" spans="1:24">
      <c r="A21" s="684" t="s">
        <v>291</v>
      </c>
      <c r="B21" s="680">
        <f t="shared" si="0"/>
        <v>20</v>
      </c>
      <c r="C21" s="693">
        <v>12</v>
      </c>
      <c r="D21" s="681">
        <v>2019</v>
      </c>
      <c r="E21" s="682">
        <f>'UTILITY REPORT 1'!I22</f>
        <v>0</v>
      </c>
      <c r="F21" s="682">
        <f>'UTILITY REPORT 1'!E22</f>
        <v>0</v>
      </c>
      <c r="G21" s="683">
        <f>'UTILITY REPORT 1'!F22</f>
        <v>0</v>
      </c>
      <c r="H21" s="682">
        <f>IF('Kit report'!F23&lt;0,"0",'Kit report'!F23)</f>
        <v>0</v>
      </c>
      <c r="I21" s="682">
        <f>IF('Kit report'!X23&lt;0,"0",'Kit report'!X23)</f>
        <v>0</v>
      </c>
      <c r="J21" s="682">
        <f>IF('Utility summery'!H25&lt;0,"0",'Utility summery'!H25)</f>
        <v>0</v>
      </c>
      <c r="K21" s="683">
        <f>IF('UTILITY REPORT 1'!H22&lt;0,"0",'UTILITY REPORT 1'!H22)</f>
        <v>0</v>
      </c>
      <c r="L21" s="682">
        <f>'Water-Meter'!K25</f>
        <v>0</v>
      </c>
      <c r="M21" s="683">
        <f>'Water-Meter'!H25</f>
        <v>0</v>
      </c>
      <c r="N21" s="683">
        <f>'Water-Meter'!Q25</f>
        <v>0</v>
      </c>
      <c r="O21" s="682" t="e">
        <f>K21*E21+H21*I21+#REF!*#REF!+J21*L21</f>
        <v>#REF!</v>
      </c>
      <c r="P21" s="695">
        <f>'Water-Meter'!E25</f>
        <v>0</v>
      </c>
      <c r="Q21" s="333">
        <f>IF('Water-Meter'!U25&lt;0,"0",'Water-Meter'!U25)</f>
        <v>0</v>
      </c>
      <c r="R21" s="333">
        <f>IF('Water-Meter'!X25&lt;0,"0",'Water-Meter'!X25)</f>
        <v>0</v>
      </c>
      <c r="S21" s="333">
        <f>IF('Water-Meter'!AA25&lt;0,"0",'Water-Meter'!AA25)</f>
        <v>0</v>
      </c>
      <c r="T21" s="333">
        <f>IF('Water-Meter'!AD25&lt;0,"0",'Water-Meter'!AD25)</f>
        <v>0</v>
      </c>
      <c r="U21" s="333">
        <f>IF('Water-Meter'!AG25&lt;0,"0",'Water-Meter'!AG25)</f>
        <v>0</v>
      </c>
      <c r="V21" s="333">
        <f>IF('Water-Meter'!AJ25&lt;0,"0",'Water-Meter'!AJ25)</f>
        <v>0</v>
      </c>
      <c r="W21" s="31">
        <f>'Water-Meter'!AN25</f>
        <v>0</v>
      </c>
      <c r="X21" s="707">
        <f>Total!K21</f>
        <v>0</v>
      </c>
    </row>
    <row r="22" spans="1:24">
      <c r="A22" s="684" t="s">
        <v>291</v>
      </c>
      <c r="B22" s="680">
        <f t="shared" si="0"/>
        <v>21</v>
      </c>
      <c r="C22" s="693">
        <v>12</v>
      </c>
      <c r="D22" s="681">
        <v>2019</v>
      </c>
      <c r="E22" s="682">
        <f>'UTILITY REPORT 1'!I23</f>
        <v>0</v>
      </c>
      <c r="F22" s="682">
        <f>'UTILITY REPORT 1'!E23</f>
        <v>0</v>
      </c>
      <c r="G22" s="683">
        <f>'UTILITY REPORT 1'!F23</f>
        <v>0</v>
      </c>
      <c r="H22" s="682">
        <f>IF('Kit report'!F24&lt;0,"0",'Kit report'!F24)</f>
        <v>0</v>
      </c>
      <c r="I22" s="682">
        <f>IF('Kit report'!X24&lt;0,"0",'Kit report'!X24)</f>
        <v>0</v>
      </c>
      <c r="J22" s="682">
        <f>IF('Utility summery'!H26&lt;0,"0",'Utility summery'!H26)</f>
        <v>0</v>
      </c>
      <c r="K22" s="683">
        <f>IF('UTILITY REPORT 1'!H23&lt;0,"0",'UTILITY REPORT 1'!H23)</f>
        <v>0</v>
      </c>
      <c r="L22" s="682">
        <f>'Water-Meter'!K26</f>
        <v>0</v>
      </c>
      <c r="M22" s="683">
        <f>'Water-Meter'!H26</f>
        <v>0</v>
      </c>
      <c r="N22" s="683">
        <f>'Water-Meter'!Q26</f>
        <v>0</v>
      </c>
      <c r="O22" s="682" t="e">
        <f>K22*E22+H22*I22+#REF!*#REF!+J22*L22</f>
        <v>#REF!</v>
      </c>
      <c r="P22" s="695">
        <f>'Water-Meter'!E26</f>
        <v>0</v>
      </c>
      <c r="Q22" s="333">
        <f>IF('Water-Meter'!U26&lt;0,"0",'Water-Meter'!U26)</f>
        <v>0</v>
      </c>
      <c r="R22" s="333">
        <f>IF('Water-Meter'!X26&lt;0,"0",'Water-Meter'!X26)</f>
        <v>0</v>
      </c>
      <c r="S22" s="333">
        <f>IF('Water-Meter'!AA26&lt;0,"0",'Water-Meter'!AA26)</f>
        <v>0</v>
      </c>
      <c r="T22" s="333">
        <f>IF('Water-Meter'!AD26&lt;0,"0",'Water-Meter'!AD26)</f>
        <v>0</v>
      </c>
      <c r="U22" s="333">
        <f>IF('Water-Meter'!AG26&lt;0,"0",'Water-Meter'!AG26)</f>
        <v>0</v>
      </c>
      <c r="V22" s="333">
        <f>IF('Water-Meter'!AJ26&lt;0,"0",'Water-Meter'!AJ26)</f>
        <v>0</v>
      </c>
      <c r="W22" s="31">
        <f>'Water-Meter'!AN26</f>
        <v>0</v>
      </c>
      <c r="X22" s="707">
        <f>Total!K22</f>
        <v>0</v>
      </c>
    </row>
    <row r="23" spans="1:24">
      <c r="A23" s="684" t="s">
        <v>291</v>
      </c>
      <c r="B23" s="680">
        <f t="shared" si="0"/>
        <v>22</v>
      </c>
      <c r="C23" s="693">
        <v>12</v>
      </c>
      <c r="D23" s="681">
        <v>2019</v>
      </c>
      <c r="E23" s="682">
        <f>'UTILITY REPORT 1'!I24</f>
        <v>0</v>
      </c>
      <c r="F23" s="682">
        <f>'UTILITY REPORT 1'!E24</f>
        <v>0</v>
      </c>
      <c r="G23" s="683">
        <f>'UTILITY REPORT 1'!F24</f>
        <v>0</v>
      </c>
      <c r="H23" s="682">
        <f>IF('Kit report'!F25&lt;0,"0",'Kit report'!F25)</f>
        <v>0</v>
      </c>
      <c r="I23" s="682">
        <f>IF('Kit report'!X25&lt;0,"0",'Kit report'!X25)</f>
        <v>0</v>
      </c>
      <c r="J23" s="682">
        <f>IF('Utility summery'!H27&lt;0,"0",'Utility summery'!H27)</f>
        <v>0</v>
      </c>
      <c r="K23" s="683">
        <f>IF('UTILITY REPORT 1'!H24&lt;0,"0",'UTILITY REPORT 1'!H24)</f>
        <v>0</v>
      </c>
      <c r="L23" s="682">
        <f>'Water-Meter'!K27</f>
        <v>0</v>
      </c>
      <c r="M23" s="683">
        <f>'Water-Meter'!H27</f>
        <v>0</v>
      </c>
      <c r="N23" s="683">
        <f>'Water-Meter'!Q27</f>
        <v>0</v>
      </c>
      <c r="O23" s="682" t="e">
        <f>K23*E23+H23*I23+#REF!*#REF!+J23*L23</f>
        <v>#REF!</v>
      </c>
      <c r="P23" s="695">
        <f>'Water-Meter'!E27</f>
        <v>0</v>
      </c>
      <c r="Q23" s="333">
        <f>IF('Water-Meter'!U27&lt;0,"0",'Water-Meter'!U27)</f>
        <v>0</v>
      </c>
      <c r="R23" s="333">
        <f>IF('Water-Meter'!X27&lt;0,"0",'Water-Meter'!X27)</f>
        <v>0</v>
      </c>
      <c r="S23" s="333">
        <f>IF('Water-Meter'!AA27&lt;0,"0",'Water-Meter'!AA27)</f>
        <v>0</v>
      </c>
      <c r="T23" s="333">
        <f>IF('Water-Meter'!AD27&lt;0,"0",'Water-Meter'!AD27)</f>
        <v>0</v>
      </c>
      <c r="U23" s="333">
        <f>IF('Water-Meter'!AG27&lt;0,"0",'Water-Meter'!AG27)</f>
        <v>0</v>
      </c>
      <c r="V23" s="333">
        <f>IF('Water-Meter'!AJ27&lt;0,"0",'Water-Meter'!AJ27)</f>
        <v>0</v>
      </c>
      <c r="W23" s="31">
        <f>'Water-Meter'!AN27</f>
        <v>0</v>
      </c>
      <c r="X23" s="707">
        <f>Total!K23</f>
        <v>0</v>
      </c>
    </row>
    <row r="24" spans="1:24">
      <c r="A24" s="684" t="s">
        <v>291</v>
      </c>
      <c r="B24" s="680">
        <f t="shared" si="0"/>
        <v>23</v>
      </c>
      <c r="C24" s="693">
        <v>12</v>
      </c>
      <c r="D24" s="681">
        <v>2019</v>
      </c>
      <c r="E24" s="682">
        <f>'UTILITY REPORT 1'!I25</f>
        <v>0</v>
      </c>
      <c r="F24" s="682">
        <f>'UTILITY REPORT 1'!E25</f>
        <v>0</v>
      </c>
      <c r="G24" s="683">
        <f>'UTILITY REPORT 1'!F25</f>
        <v>0</v>
      </c>
      <c r="H24" s="682">
        <f>IF('Kit report'!F26&lt;0,"0",'Kit report'!F26)</f>
        <v>0</v>
      </c>
      <c r="I24" s="682">
        <f>IF('Kit report'!X26&lt;0,"0",'Kit report'!X26)</f>
        <v>0</v>
      </c>
      <c r="J24" s="682">
        <f>IF('Utility summery'!H28&lt;0,"0",'Utility summery'!H28)</f>
        <v>0</v>
      </c>
      <c r="K24" s="683">
        <f>IF('UTILITY REPORT 1'!H25&lt;0,"0",'UTILITY REPORT 1'!H25)</f>
        <v>0</v>
      </c>
      <c r="L24" s="682">
        <f>'Water-Meter'!K28</f>
        <v>0</v>
      </c>
      <c r="M24" s="683">
        <f>'Water-Meter'!H28</f>
        <v>0</v>
      </c>
      <c r="N24" s="683">
        <f>'Water-Meter'!Q28</f>
        <v>0</v>
      </c>
      <c r="O24" s="682" t="e">
        <f>K24*E24+H24*I24+#REF!*#REF!+J24*L24</f>
        <v>#REF!</v>
      </c>
      <c r="P24" s="695">
        <f>'Water-Meter'!E28</f>
        <v>0</v>
      </c>
      <c r="Q24" s="333">
        <f>IF('Water-Meter'!U28&lt;0,"0",'Water-Meter'!U28)</f>
        <v>0</v>
      </c>
      <c r="R24" s="333">
        <f>IF('Water-Meter'!X28&lt;0,"0",'Water-Meter'!X28)</f>
        <v>0</v>
      </c>
      <c r="S24" s="333">
        <f>IF('Water-Meter'!AA28&lt;0,"0",'Water-Meter'!AA28)</f>
        <v>0</v>
      </c>
      <c r="T24" s="333">
        <f>IF('Water-Meter'!AD28&lt;0,"0",'Water-Meter'!AD28)</f>
        <v>0</v>
      </c>
      <c r="U24" s="333">
        <f>IF('Water-Meter'!AG28&lt;0,"0",'Water-Meter'!AG28)</f>
        <v>0</v>
      </c>
      <c r="V24" s="333">
        <f>IF('Water-Meter'!AJ28&lt;0,"0",'Water-Meter'!AJ28)</f>
        <v>0</v>
      </c>
      <c r="W24" s="31">
        <f>'Water-Meter'!AN28</f>
        <v>0</v>
      </c>
      <c r="X24" s="707">
        <f>Total!K24</f>
        <v>0</v>
      </c>
    </row>
    <row r="25" spans="1:24">
      <c r="A25" s="684" t="s">
        <v>291</v>
      </c>
      <c r="B25" s="680">
        <f t="shared" si="0"/>
        <v>24</v>
      </c>
      <c r="C25" s="693">
        <v>12</v>
      </c>
      <c r="D25" s="681">
        <v>2019</v>
      </c>
      <c r="E25" s="682">
        <f>'UTILITY REPORT 1'!I26</f>
        <v>0</v>
      </c>
      <c r="F25" s="682">
        <f>'UTILITY REPORT 1'!E26</f>
        <v>0</v>
      </c>
      <c r="G25" s="683">
        <f>'UTILITY REPORT 1'!F26</f>
        <v>0</v>
      </c>
      <c r="H25" s="682">
        <f>IF('Kit report'!F27&lt;0,"0",'Kit report'!F27)</f>
        <v>0</v>
      </c>
      <c r="I25" s="682">
        <f>IF('Kit report'!X27&lt;0,"0",'Kit report'!X27)</f>
        <v>0</v>
      </c>
      <c r="J25" s="682">
        <f>IF('Utility summery'!H29&lt;0,"0",'Utility summery'!H29)</f>
        <v>0</v>
      </c>
      <c r="K25" s="683">
        <f>IF('UTILITY REPORT 1'!H26&lt;0,"0",'UTILITY REPORT 1'!H26)</f>
        <v>0</v>
      </c>
      <c r="L25" s="682">
        <f>'Water-Meter'!K29</f>
        <v>0</v>
      </c>
      <c r="M25" s="683">
        <f>'Water-Meter'!H29</f>
        <v>0</v>
      </c>
      <c r="N25" s="683">
        <f>'Water-Meter'!Q29</f>
        <v>0</v>
      </c>
      <c r="O25" s="682" t="e">
        <f>K25*E25+H25*I25+#REF!*#REF!+J25*L25</f>
        <v>#REF!</v>
      </c>
      <c r="P25" s="695">
        <f>'Water-Meter'!E29</f>
        <v>0</v>
      </c>
      <c r="Q25" s="333">
        <f>IF('Water-Meter'!U29&lt;0,"0",'Water-Meter'!U29)</f>
        <v>0</v>
      </c>
      <c r="R25" s="333">
        <f>IF('Water-Meter'!X29&lt;0,"0",'Water-Meter'!X29)</f>
        <v>0</v>
      </c>
      <c r="S25" s="333">
        <f>IF('Water-Meter'!AA29&lt;0,"0",'Water-Meter'!AA29)</f>
        <v>0</v>
      </c>
      <c r="T25" s="333">
        <f>IF('Water-Meter'!AD29&lt;0,"0",'Water-Meter'!AD29)</f>
        <v>0</v>
      </c>
      <c r="U25" s="333">
        <f>IF('Water-Meter'!AG29&lt;0,"0",'Water-Meter'!AG29)</f>
        <v>0</v>
      </c>
      <c r="V25" s="333">
        <f>IF('Water-Meter'!AJ29&lt;0,"0",'Water-Meter'!AJ29)</f>
        <v>0</v>
      </c>
      <c r="W25" s="31">
        <f>'Water-Meter'!AN29</f>
        <v>0</v>
      </c>
      <c r="X25" s="707">
        <f>Total!K25</f>
        <v>0</v>
      </c>
    </row>
    <row r="26" spans="1:24">
      <c r="A26" s="684" t="s">
        <v>291</v>
      </c>
      <c r="B26" s="680">
        <f>B25+1</f>
        <v>25</v>
      </c>
      <c r="C26" s="693">
        <v>12</v>
      </c>
      <c r="D26" s="681">
        <v>2019</v>
      </c>
      <c r="E26" s="682">
        <f>'UTILITY REPORT 1'!I27</f>
        <v>0</v>
      </c>
      <c r="F26" s="682">
        <f>'UTILITY REPORT 1'!E27</f>
        <v>0</v>
      </c>
      <c r="G26" s="683">
        <f>'UTILITY REPORT 1'!F27</f>
        <v>0</v>
      </c>
      <c r="H26" s="682">
        <f>IF('Kit report'!F28&lt;0,"0",'Kit report'!F28)</f>
        <v>0</v>
      </c>
      <c r="I26" s="682">
        <f>IF('Kit report'!X28&lt;0,"0",'Kit report'!X28)</f>
        <v>0</v>
      </c>
      <c r="J26" s="682">
        <f>IF('Utility summery'!H30&lt;0,"0",'Utility summery'!H30)</f>
        <v>0</v>
      </c>
      <c r="K26" s="683">
        <f>IF('UTILITY REPORT 1'!H27&lt;0,"0",'UTILITY REPORT 1'!H27)</f>
        <v>0</v>
      </c>
      <c r="L26" s="682">
        <f>'Water-Meter'!K30</f>
        <v>0</v>
      </c>
      <c r="M26" s="683">
        <f>'Water-Meter'!H30</f>
        <v>0</v>
      </c>
      <c r="N26" s="683">
        <f>'Water-Meter'!Q30</f>
        <v>0</v>
      </c>
      <c r="O26" s="682" t="e">
        <f>K26*E26+H26*I26+#REF!*#REF!+J26*L26</f>
        <v>#REF!</v>
      </c>
      <c r="P26" s="695">
        <f>'Water-Meter'!E30</f>
        <v>0</v>
      </c>
      <c r="Q26" s="333">
        <f>IF('Water-Meter'!U30&lt;0,"0",'Water-Meter'!U30)</f>
        <v>0</v>
      </c>
      <c r="R26" s="333">
        <f>IF('Water-Meter'!X30&lt;0,"0",'Water-Meter'!X30)</f>
        <v>0</v>
      </c>
      <c r="S26" s="333">
        <f>IF('Water-Meter'!AA30&lt;0,"0",'Water-Meter'!AA30)</f>
        <v>0</v>
      </c>
      <c r="T26" s="333">
        <f>IF('Water-Meter'!AD30&lt;0,"0",'Water-Meter'!AD30)</f>
        <v>0</v>
      </c>
      <c r="U26" s="333">
        <f>IF('Water-Meter'!AG30&lt;0,"0",'Water-Meter'!AG30)</f>
        <v>0</v>
      </c>
      <c r="V26" s="333">
        <f>IF('Water-Meter'!AJ30&lt;0,"0",'Water-Meter'!AJ30)</f>
        <v>0</v>
      </c>
      <c r="W26" s="31">
        <f>'Water-Meter'!AN30</f>
        <v>0</v>
      </c>
      <c r="X26" s="707">
        <f>Total!K26</f>
        <v>0</v>
      </c>
    </row>
    <row r="27" spans="1:24">
      <c r="A27" s="684" t="s">
        <v>291</v>
      </c>
      <c r="B27" s="680">
        <f t="shared" si="0"/>
        <v>26</v>
      </c>
      <c r="C27" s="693">
        <v>12</v>
      </c>
      <c r="D27" s="681">
        <v>2019</v>
      </c>
      <c r="E27" s="682">
        <f>'UTILITY REPORT 1'!I28</f>
        <v>0</v>
      </c>
      <c r="F27" s="682">
        <f>'UTILITY REPORT 1'!E28</f>
        <v>0</v>
      </c>
      <c r="G27" s="683">
        <f>'UTILITY REPORT 1'!F28</f>
        <v>0</v>
      </c>
      <c r="H27" s="682">
        <f>IF('Kit report'!F29&lt;0,"0",'Kit report'!F29)</f>
        <v>0</v>
      </c>
      <c r="I27" s="682">
        <f>IF('Kit report'!X29&lt;0,"0",'Kit report'!X29)</f>
        <v>0</v>
      </c>
      <c r="J27" s="682">
        <f>IF('Utility summery'!H31&lt;0,"0",'Utility summery'!H31)</f>
        <v>0</v>
      </c>
      <c r="K27" s="683">
        <f>IF('UTILITY REPORT 1'!H28&lt;0,"0",'UTILITY REPORT 1'!H28)</f>
        <v>0</v>
      </c>
      <c r="L27" s="682">
        <f>'Water-Meter'!K31</f>
        <v>0</v>
      </c>
      <c r="M27" s="683">
        <f>'Water-Meter'!H31</f>
        <v>0</v>
      </c>
      <c r="N27" s="683">
        <f>'Water-Meter'!Q31</f>
        <v>0</v>
      </c>
      <c r="O27" s="682" t="e">
        <f>K27*E27+H27*I27+#REF!*#REF!+J27*L27</f>
        <v>#REF!</v>
      </c>
      <c r="P27" s="695">
        <f>'Water-Meter'!E31</f>
        <v>0</v>
      </c>
      <c r="Q27" s="333">
        <f>IF('Water-Meter'!U31&lt;0,"0",'Water-Meter'!U31)</f>
        <v>0</v>
      </c>
      <c r="R27" s="333">
        <f>IF('Water-Meter'!X31&lt;0,"0",'Water-Meter'!X31)</f>
        <v>0</v>
      </c>
      <c r="S27" s="333">
        <f>IF('Water-Meter'!AA31&lt;0,"0",'Water-Meter'!AA31)</f>
        <v>0</v>
      </c>
      <c r="T27" s="333">
        <f>IF('Water-Meter'!AD31&lt;0,"0",'Water-Meter'!AD31)</f>
        <v>0</v>
      </c>
      <c r="U27" s="333">
        <f>IF('Water-Meter'!AG31&lt;0,"0",'Water-Meter'!AG31)</f>
        <v>0</v>
      </c>
      <c r="V27" s="333">
        <f>IF('Water-Meter'!AJ31&lt;0,"0",'Water-Meter'!AJ31)</f>
        <v>0</v>
      </c>
      <c r="W27" s="31">
        <f>'Water-Meter'!AN31</f>
        <v>0</v>
      </c>
      <c r="X27" s="707">
        <f>Total!K27</f>
        <v>0</v>
      </c>
    </row>
    <row r="28" spans="1:24">
      <c r="A28" s="684" t="s">
        <v>291</v>
      </c>
      <c r="B28" s="680">
        <f t="shared" si="0"/>
        <v>27</v>
      </c>
      <c r="C28" s="693">
        <v>12</v>
      </c>
      <c r="D28" s="681">
        <v>2019</v>
      </c>
      <c r="E28" s="682">
        <f>'UTILITY REPORT 1'!I29</f>
        <v>0</v>
      </c>
      <c r="F28" s="682">
        <f>'UTILITY REPORT 1'!E29</f>
        <v>0</v>
      </c>
      <c r="G28" s="683">
        <f>'UTILITY REPORT 1'!F29</f>
        <v>0</v>
      </c>
      <c r="H28" s="682">
        <f>IF('Kit report'!F30&lt;0,"0",'Kit report'!F30)</f>
        <v>0</v>
      </c>
      <c r="I28" s="682">
        <f>IF('Kit report'!X30&lt;0,"0",'Kit report'!X30)</f>
        <v>0</v>
      </c>
      <c r="J28" s="682">
        <f>IF('Utility summery'!H32&lt;0,"0",'Utility summery'!H32)</f>
        <v>0</v>
      </c>
      <c r="K28" s="683">
        <f>IF('UTILITY REPORT 1'!H29&lt;0,"0",'UTILITY REPORT 1'!H29)</f>
        <v>0</v>
      </c>
      <c r="L28" s="682">
        <f>'Water-Meter'!K32</f>
        <v>0</v>
      </c>
      <c r="M28" s="683">
        <f>'Water-Meter'!H32</f>
        <v>0</v>
      </c>
      <c r="N28" s="683">
        <f>'Water-Meter'!Q32</f>
        <v>0</v>
      </c>
      <c r="O28" s="682" t="e">
        <f>K28*E28+H28*I28+#REF!*#REF!+J28*L28</f>
        <v>#REF!</v>
      </c>
      <c r="P28" s="695">
        <f>'Water-Meter'!E32</f>
        <v>0</v>
      </c>
      <c r="Q28" s="333">
        <f>IF('Water-Meter'!U32&lt;0,"0",'Water-Meter'!U32)</f>
        <v>0</v>
      </c>
      <c r="R28" s="333">
        <f>IF('Water-Meter'!X32&lt;0,"0",'Water-Meter'!X32)</f>
        <v>0</v>
      </c>
      <c r="S28" s="333">
        <f>IF('Water-Meter'!AA32&lt;0,"0",'Water-Meter'!AA32)</f>
        <v>0</v>
      </c>
      <c r="T28" s="333">
        <f>IF('Water-Meter'!AD32&lt;0,"0",'Water-Meter'!AD32)</f>
        <v>0</v>
      </c>
      <c r="U28" s="333">
        <f>IF('Water-Meter'!AG32&lt;0,"0",'Water-Meter'!AG32)</f>
        <v>0</v>
      </c>
      <c r="V28" s="333">
        <f>IF('Water-Meter'!AJ32&lt;0,"0",'Water-Meter'!AJ32)</f>
        <v>0</v>
      </c>
      <c r="W28" s="31">
        <f>'Water-Meter'!AN32</f>
        <v>0</v>
      </c>
      <c r="X28" s="707">
        <f>Total!K28</f>
        <v>0</v>
      </c>
    </row>
    <row r="29" spans="1:24">
      <c r="A29" s="684" t="s">
        <v>291</v>
      </c>
      <c r="B29" s="680">
        <f t="shared" si="0"/>
        <v>28</v>
      </c>
      <c r="C29" s="693">
        <v>12</v>
      </c>
      <c r="D29" s="681">
        <v>2019</v>
      </c>
      <c r="E29" s="682">
        <f>'UTILITY REPORT 1'!I30</f>
        <v>0</v>
      </c>
      <c r="F29" s="682">
        <f>'UTILITY REPORT 1'!E30</f>
        <v>0</v>
      </c>
      <c r="G29" s="683">
        <f>'UTILITY REPORT 1'!F30</f>
        <v>0</v>
      </c>
      <c r="H29" s="682">
        <f>IF('Kit report'!F31&lt;0,"0",'Kit report'!F31)</f>
        <v>0</v>
      </c>
      <c r="I29" s="682">
        <f>IF('Kit report'!X31&lt;0,"0",'Kit report'!X31)</f>
        <v>0</v>
      </c>
      <c r="J29" s="682">
        <f>IF('Utility summery'!H33&lt;0,"0",'Utility summery'!H33)</f>
        <v>0</v>
      </c>
      <c r="K29" s="683">
        <f>IF('UTILITY REPORT 1'!H30&lt;0,"0",'UTILITY REPORT 1'!H30)</f>
        <v>0</v>
      </c>
      <c r="L29" s="682">
        <f>'Water-Meter'!K33</f>
        <v>0</v>
      </c>
      <c r="M29" s="683">
        <f>'Water-Meter'!H33</f>
        <v>0</v>
      </c>
      <c r="N29" s="683">
        <f>'Water-Meter'!Q33</f>
        <v>0</v>
      </c>
      <c r="O29" s="682" t="e">
        <f>K29*E29+H29*I29+#REF!*#REF!+J29*L29</f>
        <v>#REF!</v>
      </c>
      <c r="P29" s="695">
        <f>'Water-Meter'!E33</f>
        <v>0</v>
      </c>
      <c r="Q29" s="333">
        <f>IF('Water-Meter'!U33&lt;0,"0",'Water-Meter'!U33)</f>
        <v>0</v>
      </c>
      <c r="R29" s="333">
        <f>IF('Water-Meter'!X33&lt;0,"0",'Water-Meter'!X33)</f>
        <v>0</v>
      </c>
      <c r="S29" s="333">
        <f>IF('Water-Meter'!AA33&lt;0,"0",'Water-Meter'!AA33)</f>
        <v>0</v>
      </c>
      <c r="T29" s="333">
        <f>IF('Water-Meter'!AD33&lt;0,"0",'Water-Meter'!AD33)</f>
        <v>0</v>
      </c>
      <c r="U29" s="333">
        <f>IF('Water-Meter'!AG33&lt;0,"0",'Water-Meter'!AG33)</f>
        <v>0</v>
      </c>
      <c r="V29" s="333">
        <f>IF('Water-Meter'!AJ33&lt;0,"0",'Water-Meter'!AJ33)</f>
        <v>0</v>
      </c>
      <c r="W29" s="31">
        <f>'Water-Meter'!AN33</f>
        <v>0</v>
      </c>
      <c r="X29" s="707">
        <f>Total!K29</f>
        <v>0</v>
      </c>
    </row>
    <row r="30" spans="1:24">
      <c r="A30" s="684" t="s">
        <v>291</v>
      </c>
      <c r="B30" s="680">
        <f t="shared" si="0"/>
        <v>29</v>
      </c>
      <c r="C30" s="693">
        <v>12</v>
      </c>
      <c r="D30" s="681">
        <v>2019</v>
      </c>
      <c r="E30" s="682">
        <f>'UTILITY REPORT 1'!I31</f>
        <v>0</v>
      </c>
      <c r="F30" s="682">
        <f>'UTILITY REPORT 1'!E31</f>
        <v>0</v>
      </c>
      <c r="G30" s="683">
        <f>'UTILITY REPORT 1'!F31</f>
        <v>0</v>
      </c>
      <c r="H30" s="682">
        <f>IF('Kit report'!F32&lt;0,"0",'Kit report'!F32)</f>
        <v>0</v>
      </c>
      <c r="I30" s="682">
        <f>IF('Kit report'!X32&lt;0,"0",'Kit report'!X32)</f>
        <v>0</v>
      </c>
      <c r="J30" s="682">
        <f>IF('Utility summery'!H34&lt;0,"0",'Utility summery'!H34)</f>
        <v>0</v>
      </c>
      <c r="K30" s="683">
        <f>IF('UTILITY REPORT 1'!H31&lt;0,"0",'UTILITY REPORT 1'!H31)</f>
        <v>0</v>
      </c>
      <c r="L30" s="682">
        <f>'Water-Meter'!K34</f>
        <v>0</v>
      </c>
      <c r="M30" s="683">
        <f>'Water-Meter'!H34</f>
        <v>0</v>
      </c>
      <c r="N30" s="683">
        <f>'Water-Meter'!Q34</f>
        <v>0</v>
      </c>
      <c r="O30" s="682" t="e">
        <f>K30*E30+H30*I30+#REF!*#REF!+J30*L30</f>
        <v>#REF!</v>
      </c>
      <c r="P30" s="695">
        <f>'Water-Meter'!E34</f>
        <v>0</v>
      </c>
      <c r="Q30" s="333">
        <f>IF('Water-Meter'!U34&lt;0,"0",'Water-Meter'!U34)</f>
        <v>0</v>
      </c>
      <c r="R30" s="333">
        <f>IF('Water-Meter'!X34&lt;0,"0",'Water-Meter'!X34)</f>
        <v>0</v>
      </c>
      <c r="S30" s="333">
        <f>IF('Water-Meter'!AA34&lt;0,"0",'Water-Meter'!AA34)</f>
        <v>0</v>
      </c>
      <c r="T30" s="333">
        <f>IF('Water-Meter'!AD34&lt;0,"0",'Water-Meter'!AD34)</f>
        <v>0</v>
      </c>
      <c r="U30" s="333">
        <f>IF('Water-Meter'!AG34&lt;0,"0",'Water-Meter'!AG34)</f>
        <v>0</v>
      </c>
      <c r="V30" s="333">
        <f>IF('Water-Meter'!AJ34&lt;0,"0",'Water-Meter'!AJ34)</f>
        <v>0</v>
      </c>
      <c r="W30" s="31">
        <f>'Water-Meter'!AN34</f>
        <v>0</v>
      </c>
      <c r="X30" s="707">
        <f>Total!K30</f>
        <v>0</v>
      </c>
    </row>
    <row r="31" spans="1:24">
      <c r="A31" s="684" t="s">
        <v>291</v>
      </c>
      <c r="B31" s="680">
        <f t="shared" si="0"/>
        <v>30</v>
      </c>
      <c r="C31" s="693">
        <v>12</v>
      </c>
      <c r="D31" s="681">
        <v>2019</v>
      </c>
      <c r="E31" s="682">
        <f>'UTILITY REPORT 1'!I32</f>
        <v>0</v>
      </c>
      <c r="F31" s="682">
        <f>'UTILITY REPORT 1'!E32</f>
        <v>0</v>
      </c>
      <c r="G31" s="683">
        <f>'UTILITY REPORT 1'!F32</f>
        <v>0</v>
      </c>
      <c r="H31" s="682">
        <f>IF('Kit report'!F33&lt;0,"0",'Kit report'!F33)</f>
        <v>0</v>
      </c>
      <c r="I31" s="682">
        <f>IF('Kit report'!X33&lt;0,"0",'Kit report'!X33)</f>
        <v>0</v>
      </c>
      <c r="J31" s="682">
        <f>IF('Utility summery'!H35&lt;0,"0",'Utility summery'!H35)</f>
        <v>0</v>
      </c>
      <c r="K31" s="683">
        <f>IF('UTILITY REPORT 1'!H32&lt;0,"0",'UTILITY REPORT 1'!H32)</f>
        <v>0</v>
      </c>
      <c r="L31" s="682">
        <f>'Water-Meter'!K35</f>
        <v>0</v>
      </c>
      <c r="M31" s="683">
        <f>'Water-Meter'!H35</f>
        <v>0</v>
      </c>
      <c r="N31" s="683">
        <f>'Water-Meter'!Q35</f>
        <v>0</v>
      </c>
      <c r="O31" s="682" t="e">
        <f>K31*E31+H31*I31+#REF!*#REF!+J31*L31</f>
        <v>#REF!</v>
      </c>
      <c r="P31" s="695">
        <f>'Water-Meter'!E35</f>
        <v>0</v>
      </c>
      <c r="Q31" s="333">
        <f>IF('Water-Meter'!U35&lt;0,"0",'Water-Meter'!U35)</f>
        <v>0</v>
      </c>
      <c r="R31" s="333">
        <f>IF('Water-Meter'!X35&lt;0,"0",'Water-Meter'!X35)</f>
        <v>0</v>
      </c>
      <c r="S31" s="333">
        <f>IF('Water-Meter'!AA35&lt;0,"0",'Water-Meter'!AA35)</f>
        <v>0</v>
      </c>
      <c r="T31" s="333">
        <f>IF('Water-Meter'!AD35&lt;0,"0",'Water-Meter'!AD35)</f>
        <v>0</v>
      </c>
      <c r="U31" s="333">
        <f>IF('Water-Meter'!AG35&lt;0,"0",'Water-Meter'!AG35)</f>
        <v>0</v>
      </c>
      <c r="V31" s="333">
        <f>IF('Water-Meter'!AJ35&lt;0,"0",'Water-Meter'!AJ35)</f>
        <v>0</v>
      </c>
      <c r="W31" s="31">
        <f>'Water-Meter'!AN35</f>
        <v>0</v>
      </c>
      <c r="X31" s="707">
        <f>Total!K31</f>
        <v>0</v>
      </c>
    </row>
    <row r="32" spans="1:24">
      <c r="A32" s="684" t="s">
        <v>291</v>
      </c>
      <c r="B32" s="680">
        <v>1</v>
      </c>
      <c r="C32" s="693">
        <v>12</v>
      </c>
      <c r="D32" s="681">
        <v>2019</v>
      </c>
      <c r="E32" s="682">
        <f>'UTILITY REPORT 1'!I33</f>
        <v>0</v>
      </c>
      <c r="F32" s="682">
        <f>'UTILITY REPORT 1'!E33</f>
        <v>0</v>
      </c>
      <c r="G32" s="683">
        <f>'UTILITY REPORT 1'!F33</f>
        <v>0</v>
      </c>
      <c r="H32" s="682">
        <f>IF('Kit report'!F34&lt;0,"0",'Kit report'!F34)</f>
        <v>0</v>
      </c>
      <c r="I32" s="682">
        <f>IF('Kit report'!X34&lt;0,"0",'Kit report'!X34)</f>
        <v>0</v>
      </c>
      <c r="J32" s="682">
        <f>IF('Utility summery'!H36&lt;0,"0",'Utility summery'!H36)</f>
        <v>0</v>
      </c>
      <c r="K32" s="683">
        <f>IF('UTILITY REPORT 1'!H33&lt;0,"0",'UTILITY REPORT 1'!H33)</f>
        <v>0</v>
      </c>
      <c r="L32" s="682">
        <f>'Water-Meter'!K36</f>
        <v>0</v>
      </c>
      <c r="M32" s="683">
        <f>'Water-Meter'!H36</f>
        <v>0</v>
      </c>
      <c r="N32" s="683">
        <f>'Water-Meter'!Q36</f>
        <v>0</v>
      </c>
      <c r="O32" s="333"/>
      <c r="P32" s="695">
        <f>'Water-Meter'!E36</f>
        <v>0</v>
      </c>
      <c r="Q32" s="333">
        <f>IF('Water-Meter'!U36&lt;0,"0",'Water-Meter'!U36)</f>
        <v>0</v>
      </c>
      <c r="R32" s="333">
        <f>IF('Water-Meter'!X36&lt;0,"0",'Water-Meter'!X36)</f>
        <v>0</v>
      </c>
      <c r="S32" s="333">
        <f>IF('Water-Meter'!AA36&lt;0,"0",'Water-Meter'!AA36)</f>
        <v>0</v>
      </c>
      <c r="T32" s="333">
        <f>IF('Water-Meter'!AD36&lt;0,"0",'Water-Meter'!AD36)</f>
        <v>0</v>
      </c>
      <c r="U32" s="333">
        <f>IF('Water-Meter'!AG36&lt;0,"0",'Water-Meter'!AG36)</f>
        <v>0</v>
      </c>
      <c r="V32" s="333">
        <f>IF('Water-Meter'!AJ36&lt;0,"0",'Water-Meter'!AJ36)</f>
        <v>0</v>
      </c>
      <c r="W32" s="31">
        <f>'Water-Meter'!AN36</f>
        <v>0</v>
      </c>
      <c r="X32" s="707">
        <f>Total!K32</f>
        <v>0</v>
      </c>
    </row>
    <row r="33" spans="1:24" ht="13.5" thickBot="1">
      <c r="A33" s="685"/>
      <c r="B33" s="686"/>
      <c r="C33" s="686"/>
      <c r="D33" s="687"/>
      <c r="E33" s="688"/>
      <c r="F33" s="688"/>
      <c r="G33" s="689"/>
      <c r="H33" s="688"/>
      <c r="I33" s="688"/>
      <c r="J33" s="688"/>
      <c r="K33" s="689"/>
      <c r="L33" s="688"/>
      <c r="M33" s="689"/>
      <c r="N33" s="689"/>
      <c r="O33" s="690"/>
      <c r="P33" s="690"/>
      <c r="Q33" s="690"/>
      <c r="R33" s="690"/>
      <c r="S33" s="690"/>
      <c r="T33" s="690"/>
      <c r="U33" s="690"/>
      <c r="V33" s="690"/>
      <c r="W33" s="705"/>
      <c r="X33" s="691"/>
    </row>
    <row r="34" spans="1:24">
      <c r="E34" s="609"/>
      <c r="F34" s="609"/>
      <c r="H34" s="609"/>
      <c r="I34" s="609"/>
      <c r="J34" s="609"/>
      <c r="L34" s="609"/>
    </row>
    <row r="35" spans="1:24">
      <c r="E35" s="609"/>
      <c r="F35" s="609"/>
      <c r="H35" s="609"/>
      <c r="I35" s="609"/>
      <c r="J35" s="609"/>
      <c r="L35" s="609"/>
    </row>
    <row r="36" spans="1:24">
      <c r="E36" s="609"/>
      <c r="F36" s="609"/>
      <c r="H36" s="609"/>
      <c r="I36" s="609"/>
      <c r="J36" s="609"/>
      <c r="L36" s="609"/>
    </row>
    <row r="37" spans="1:24">
      <c r="E37" s="609"/>
      <c r="F37" s="609"/>
      <c r="H37" s="609"/>
      <c r="I37" s="609"/>
      <c r="J37" s="609"/>
      <c r="L37" s="609"/>
    </row>
    <row r="38" spans="1:24">
      <c r="E38" s="609"/>
      <c r="F38" s="609"/>
      <c r="H38" s="609"/>
      <c r="I38" s="609"/>
      <c r="J38" s="609"/>
      <c r="L38" s="609"/>
    </row>
    <row r="39" spans="1:24">
      <c r="E39" s="609"/>
      <c r="F39" s="609"/>
      <c r="H39" s="609"/>
      <c r="I39" s="609"/>
      <c r="J39" s="609"/>
      <c r="L39" s="60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3"/>
  <sheetViews>
    <sheetView workbookViewId="0">
      <selection activeCell="L4" sqref="L4"/>
    </sheetView>
  </sheetViews>
  <sheetFormatPr defaultRowHeight="12.75"/>
  <cols>
    <col min="3" max="3" width="12.140625" customWidth="1"/>
    <col min="4" max="4" width="13" customWidth="1"/>
    <col min="5" max="5" width="15" customWidth="1"/>
    <col min="6" max="6" width="12.85546875" customWidth="1"/>
    <col min="7" max="7" width="13.28515625" customWidth="1"/>
    <col min="8" max="8" width="13.140625" customWidth="1"/>
    <col min="9" max="9" width="13.42578125" customWidth="1"/>
  </cols>
  <sheetData>
    <row r="1" spans="1:9" ht="24" thickBot="1">
      <c r="A1" s="721" t="s">
        <v>313</v>
      </c>
      <c r="B1" s="721"/>
      <c r="C1" s="721"/>
      <c r="D1" s="721"/>
      <c r="E1" s="721"/>
      <c r="F1" s="721"/>
      <c r="G1" s="721"/>
      <c r="H1" s="721"/>
    </row>
    <row r="2" spans="1:9" ht="48" customHeight="1" thickBot="1">
      <c r="A2" s="331" t="s">
        <v>0</v>
      </c>
      <c r="B2" s="142" t="s">
        <v>1</v>
      </c>
      <c r="C2" s="594" t="s">
        <v>276</v>
      </c>
      <c r="D2" s="392" t="s">
        <v>277</v>
      </c>
      <c r="E2" s="592" t="s">
        <v>275</v>
      </c>
      <c r="F2" s="392" t="s">
        <v>272</v>
      </c>
      <c r="G2" s="392" t="s">
        <v>273</v>
      </c>
      <c r="H2" s="594" t="s">
        <v>274</v>
      </c>
      <c r="I2" s="392" t="s">
        <v>278</v>
      </c>
    </row>
    <row r="3" spans="1:9" ht="13.5">
      <c r="A3" s="593">
        <v>43770</v>
      </c>
      <c r="B3" s="595">
        <f>Gen!B11</f>
        <v>0.11700000000000001</v>
      </c>
      <c r="C3" s="596">
        <f>'Summery Report'!E5</f>
        <v>9</v>
      </c>
      <c r="D3" s="597">
        <v>1</v>
      </c>
      <c r="E3" s="596">
        <f>Gen!S11</f>
        <v>1654.6399999999999</v>
      </c>
      <c r="F3" s="596">
        <f>Gen!T11</f>
        <v>4302</v>
      </c>
      <c r="G3" s="596">
        <f>'Water-Meter'!E6</f>
        <v>109</v>
      </c>
      <c r="H3" s="596">
        <f>'Utility report '!AC6</f>
        <v>108</v>
      </c>
      <c r="I3" s="596">
        <f>Gen!AJ11</f>
        <v>404.63</v>
      </c>
    </row>
    <row r="4" spans="1:9" ht="13.5">
      <c r="A4" s="593">
        <v>43771</v>
      </c>
      <c r="B4" s="595">
        <f>Gen!B12</f>
        <v>0.11700000000000001</v>
      </c>
      <c r="C4" s="596">
        <f>'Summery Report'!E6</f>
        <v>9</v>
      </c>
      <c r="D4" s="597">
        <v>1</v>
      </c>
      <c r="E4" s="596">
        <f>Gen!S12</f>
        <v>1688.71</v>
      </c>
      <c r="F4" s="596">
        <f>Gen!T12</f>
        <v>4286</v>
      </c>
      <c r="G4" s="596">
        <f>'Water-Meter'!E7</f>
        <v>93</v>
      </c>
      <c r="H4" s="596">
        <f>'Utility report '!AC7</f>
        <v>111</v>
      </c>
      <c r="I4" s="596">
        <f>Gen!AJ12</f>
        <v>1310.5899999999999</v>
      </c>
    </row>
    <row r="5" spans="1:9" ht="13.5">
      <c r="A5" s="593">
        <v>43772</v>
      </c>
      <c r="B5" s="595">
        <f>Gen!B13</f>
        <v>0.182</v>
      </c>
      <c r="C5" s="596">
        <f>'Summery Report'!E7</f>
        <v>6</v>
      </c>
      <c r="D5" s="597">
        <v>1</v>
      </c>
      <c r="E5" s="596">
        <f>Gen!S13</f>
        <v>1631.55</v>
      </c>
      <c r="F5" s="596">
        <f>Gen!T13</f>
        <v>4122</v>
      </c>
      <c r="G5" s="596">
        <f>'Water-Meter'!E8</f>
        <v>95</v>
      </c>
      <c r="H5" s="596">
        <f>'Utility report '!AC8</f>
        <v>51</v>
      </c>
      <c r="I5" s="596">
        <f>Gen!AJ13</f>
        <v>70.16</v>
      </c>
    </row>
    <row r="6" spans="1:9" ht="13.5">
      <c r="A6" s="593">
        <v>43773</v>
      </c>
      <c r="B6" s="595">
        <f>Gen!B14</f>
        <v>9.0999999999999998E-2</v>
      </c>
      <c r="C6" s="596">
        <f>'Summery Report'!E8</f>
        <v>8</v>
      </c>
      <c r="D6" s="597">
        <v>1</v>
      </c>
      <c r="E6" s="596">
        <f>Gen!S14</f>
        <v>1767.07</v>
      </c>
      <c r="F6" s="596">
        <f>Gen!T14</f>
        <v>4432</v>
      </c>
      <c r="G6" s="596">
        <f>'Water-Meter'!E9</f>
        <v>97</v>
      </c>
      <c r="H6" s="596">
        <f>'Utility report '!AC9</f>
        <v>114</v>
      </c>
      <c r="I6" s="596">
        <f>Gen!AJ14</f>
        <v>57.18</v>
      </c>
    </row>
    <row r="7" spans="1:9" ht="13.5">
      <c r="A7" s="593">
        <v>43774</v>
      </c>
      <c r="B7" s="595">
        <f>Gen!B15</f>
        <v>0.104</v>
      </c>
      <c r="C7" s="596">
        <f>'Summery Report'!E9</f>
        <v>9</v>
      </c>
      <c r="D7" s="597">
        <v>1</v>
      </c>
      <c r="E7" s="596">
        <f>Gen!S15</f>
        <v>1578.5899999999997</v>
      </c>
      <c r="F7" s="596">
        <f>Gen!T15</f>
        <v>4152</v>
      </c>
      <c r="G7" s="596">
        <f>'Water-Meter'!E10</f>
        <v>86</v>
      </c>
      <c r="H7" s="596">
        <f>'Utility report '!AC10</f>
        <v>111</v>
      </c>
      <c r="I7" s="596">
        <f>Gen!AJ15</f>
        <v>213.22000000000003</v>
      </c>
    </row>
    <row r="8" spans="1:9" ht="13.5">
      <c r="A8" s="593">
        <v>43775</v>
      </c>
      <c r="B8" s="595">
        <f>Gen!B16</f>
        <v>9.8000000000000004E-2</v>
      </c>
      <c r="C8" s="596">
        <f>'Summery Report'!E10</f>
        <v>11</v>
      </c>
      <c r="D8" s="597">
        <v>1</v>
      </c>
      <c r="E8" s="596">
        <f>Gen!S16</f>
        <v>1833.0300000000002</v>
      </c>
      <c r="F8" s="596">
        <f>Gen!T16</f>
        <v>4564</v>
      </c>
      <c r="G8" s="596">
        <f>'Water-Meter'!E11</f>
        <v>105</v>
      </c>
      <c r="H8" s="596">
        <f>'Utility report '!AC11</f>
        <v>111</v>
      </c>
      <c r="I8" s="596">
        <f>Gen!AJ16</f>
        <v>2054.66</v>
      </c>
    </row>
    <row r="9" spans="1:9" ht="13.5">
      <c r="A9" s="593">
        <v>43776</v>
      </c>
      <c r="B9" s="595">
        <f>Gen!B17</f>
        <v>0.1555</v>
      </c>
      <c r="C9" s="596">
        <f>'Summery Report'!E11</f>
        <v>6</v>
      </c>
      <c r="D9" s="597">
        <v>1</v>
      </c>
      <c r="E9" s="596">
        <f>Gen!S17</f>
        <v>1612.2599999999998</v>
      </c>
      <c r="F9" s="596">
        <f>Gen!T17</f>
        <v>4168</v>
      </c>
      <c r="G9" s="596">
        <f>'Water-Meter'!E12</f>
        <v>131</v>
      </c>
      <c r="H9" s="596">
        <f>'Utility report '!AC12</f>
        <v>111</v>
      </c>
      <c r="I9" s="596">
        <f>Gen!AJ17</f>
        <v>62</v>
      </c>
    </row>
    <row r="10" spans="1:9" ht="13.5">
      <c r="A10" s="593">
        <v>43777</v>
      </c>
      <c r="B10" s="595">
        <f>Gen!B18</f>
        <v>0.1038</v>
      </c>
      <c r="C10" s="596">
        <f>'Summery Report'!E12</f>
        <v>9</v>
      </c>
      <c r="D10" s="597">
        <v>1</v>
      </c>
      <c r="E10" s="596">
        <f>Gen!S18</f>
        <v>1594.7199999999998</v>
      </c>
      <c r="F10" s="596">
        <f>Gen!T18</f>
        <v>3985</v>
      </c>
      <c r="G10" s="596">
        <f>'Water-Meter'!E13</f>
        <v>129</v>
      </c>
      <c r="H10" s="596">
        <f>'Utility report '!AC13</f>
        <v>105</v>
      </c>
      <c r="I10" s="596">
        <f>Gen!AJ18</f>
        <v>0</v>
      </c>
    </row>
    <row r="11" spans="1:9" ht="13.5">
      <c r="A11" s="593">
        <v>43778</v>
      </c>
      <c r="B11" s="595">
        <f>Gen!B19</f>
        <v>0.16880000000000001</v>
      </c>
      <c r="C11" s="596">
        <f>'Summery Report'!E13</f>
        <v>7</v>
      </c>
      <c r="D11" s="597">
        <v>1</v>
      </c>
      <c r="E11" s="596">
        <f>Gen!S19</f>
        <v>1546.25</v>
      </c>
      <c r="F11" s="596">
        <f>Gen!T19</f>
        <v>4085</v>
      </c>
      <c r="G11" s="596">
        <f>'Water-Meter'!E14</f>
        <v>139</v>
      </c>
      <c r="H11" s="596">
        <f>'Utility report '!AC14</f>
        <v>103</v>
      </c>
      <c r="I11" s="596">
        <f>Gen!AJ19</f>
        <v>177.46</v>
      </c>
    </row>
    <row r="12" spans="1:9" ht="13.5">
      <c r="A12" s="593">
        <v>43779</v>
      </c>
      <c r="B12" s="595">
        <f>Gen!B20</f>
        <v>0.12989999999999999</v>
      </c>
      <c r="C12" s="596">
        <f>'Summery Report'!E14</f>
        <v>8</v>
      </c>
      <c r="D12" s="597">
        <v>1</v>
      </c>
      <c r="E12" s="596">
        <f>Gen!S20</f>
        <v>1693.96</v>
      </c>
      <c r="F12" s="596">
        <f>Gen!T20</f>
        <v>4227</v>
      </c>
      <c r="G12" s="596">
        <f>'Water-Meter'!E15</f>
        <v>101</v>
      </c>
      <c r="H12" s="596">
        <f>'Utility report '!AC15</f>
        <v>105</v>
      </c>
      <c r="I12" s="596">
        <f>Gen!AJ20</f>
        <v>13.2</v>
      </c>
    </row>
    <row r="13" spans="1:9" ht="13.5">
      <c r="A13" s="593">
        <v>43780</v>
      </c>
      <c r="B13" s="595">
        <f>Gen!B21</f>
        <v>0.10390000000000001</v>
      </c>
      <c r="C13" s="596">
        <f>'Summery Report'!E15</f>
        <v>9</v>
      </c>
      <c r="D13" s="597">
        <v>1</v>
      </c>
      <c r="E13" s="596">
        <f>Gen!S21</f>
        <v>1589.0299999999997</v>
      </c>
      <c r="F13" s="596">
        <f>Gen!T21</f>
        <v>4272</v>
      </c>
      <c r="G13" s="596">
        <f>'Water-Meter'!E16</f>
        <v>101</v>
      </c>
      <c r="H13" s="596">
        <f>'Utility report '!AC16</f>
        <v>117</v>
      </c>
      <c r="I13" s="596">
        <f>Gen!AJ21</f>
        <v>260.22000000000003</v>
      </c>
    </row>
    <row r="14" spans="1:9" ht="13.5">
      <c r="A14" s="593">
        <v>43781</v>
      </c>
      <c r="B14" s="595">
        <f>Gen!B22</f>
        <v>0.1429</v>
      </c>
      <c r="C14" s="596">
        <f>'Summery Report'!E16</f>
        <v>6</v>
      </c>
      <c r="D14" s="597">
        <v>1</v>
      </c>
      <c r="E14" s="596">
        <f>Gen!S22</f>
        <v>1661.0300000000002</v>
      </c>
      <c r="F14" s="596">
        <f>Gen!T22</f>
        <v>4226</v>
      </c>
      <c r="G14" s="596">
        <f>'Water-Meter'!E17</f>
        <v>108</v>
      </c>
      <c r="H14" s="596">
        <f>'Utility report '!AC17</f>
        <v>121</v>
      </c>
      <c r="I14" s="596">
        <f>Gen!AJ22</f>
        <v>389.31</v>
      </c>
    </row>
    <row r="15" spans="1:9" ht="13.5">
      <c r="A15" s="593">
        <v>43782</v>
      </c>
      <c r="B15" s="595">
        <f>Gen!B23</f>
        <v>0.12989999999999999</v>
      </c>
      <c r="C15" s="596">
        <f>'Summery Report'!E17</f>
        <v>8</v>
      </c>
      <c r="D15" s="597">
        <v>1</v>
      </c>
      <c r="E15" s="596">
        <f>Gen!S23</f>
        <v>1744.1100000000001</v>
      </c>
      <c r="F15" s="596">
        <f>Gen!T23</f>
        <v>4489</v>
      </c>
      <c r="G15" s="596">
        <f>'Water-Meter'!E18</f>
        <v>105</v>
      </c>
      <c r="H15" s="596">
        <f>'Utility report '!AC18</f>
        <v>115</v>
      </c>
      <c r="I15" s="596">
        <f>Gen!AJ23</f>
        <v>252.28</v>
      </c>
    </row>
    <row r="16" spans="1:9" ht="13.5">
      <c r="A16" s="593">
        <v>43783</v>
      </c>
      <c r="B16" s="595">
        <f>Gen!B24</f>
        <v>0.1429</v>
      </c>
      <c r="C16" s="596">
        <f>'Summery Report'!E18</f>
        <v>10</v>
      </c>
      <c r="D16" s="597">
        <v>1</v>
      </c>
      <c r="E16" s="596">
        <f>Gen!S24</f>
        <v>1718.37</v>
      </c>
      <c r="F16" s="596">
        <f>Gen!T24</f>
        <v>4460</v>
      </c>
      <c r="G16" s="596">
        <f>'Water-Meter'!E19</f>
        <v>111</v>
      </c>
      <c r="H16" s="596">
        <f>'Utility report '!AC19</f>
        <v>113</v>
      </c>
      <c r="I16" s="596">
        <f>Gen!AJ24</f>
        <v>224.4</v>
      </c>
    </row>
    <row r="17" spans="1:9" ht="13.5">
      <c r="A17" s="593">
        <v>43784</v>
      </c>
      <c r="B17" s="595">
        <f>Gen!B25</f>
        <v>0.15579999999999999</v>
      </c>
      <c r="C17" s="596">
        <f>'Summery Report'!E19</f>
        <v>15</v>
      </c>
      <c r="D17" s="597">
        <v>1</v>
      </c>
      <c r="E17" s="596">
        <f>Gen!S25</f>
        <v>1798.7200000000003</v>
      </c>
      <c r="F17" s="596">
        <f>Gen!T25</f>
        <v>4526</v>
      </c>
      <c r="G17" s="596">
        <f>'Water-Meter'!E20</f>
        <v>97</v>
      </c>
      <c r="H17" s="596">
        <f>'Utility report '!AC20</f>
        <v>113</v>
      </c>
      <c r="I17" s="596">
        <f>Gen!AJ25</f>
        <v>261.61</v>
      </c>
    </row>
    <row r="18" spans="1:9" ht="13.5">
      <c r="A18" s="593">
        <v>43785</v>
      </c>
      <c r="B18" s="595">
        <f>Gen!B26</f>
        <v>0.15579999999999999</v>
      </c>
      <c r="C18" s="596">
        <f>'Summery Report'!E20</f>
        <v>15</v>
      </c>
      <c r="D18" s="597">
        <v>1</v>
      </c>
      <c r="E18" s="596">
        <f>Gen!S26</f>
        <v>1811.63</v>
      </c>
      <c r="F18" s="596">
        <f>Gen!T26</f>
        <v>4416</v>
      </c>
      <c r="G18" s="596">
        <f>'Water-Meter'!E21</f>
        <v>87</v>
      </c>
      <c r="H18" s="596">
        <f>'Utility report '!AC21</f>
        <v>113</v>
      </c>
      <c r="I18" s="596">
        <f>Gen!AJ26</f>
        <v>104.11</v>
      </c>
    </row>
    <row r="19" spans="1:9" ht="13.5">
      <c r="A19" s="593">
        <v>43786</v>
      </c>
      <c r="B19" s="595">
        <f>Gen!B27</f>
        <v>0.36359999999999998</v>
      </c>
      <c r="C19" s="596">
        <f>'Summery Report'!E21</f>
        <v>36</v>
      </c>
      <c r="D19" s="597">
        <v>1</v>
      </c>
      <c r="E19" s="596">
        <f>Gen!S27</f>
        <v>1984.46</v>
      </c>
      <c r="F19" s="596">
        <f>Gen!T27</f>
        <v>5002</v>
      </c>
      <c r="G19" s="596">
        <f>'Water-Meter'!E22</f>
        <v>108</v>
      </c>
      <c r="H19" s="596">
        <f>'Utility report '!AC22</f>
        <v>78</v>
      </c>
      <c r="I19" s="596">
        <f>Gen!AJ27</f>
        <v>210.14</v>
      </c>
    </row>
    <row r="20" spans="1:9" ht="13.5">
      <c r="A20" s="593">
        <v>43787</v>
      </c>
      <c r="B20" s="595">
        <f>Gen!B28</f>
        <v>0.35049999999999998</v>
      </c>
      <c r="C20" s="596">
        <f>'Summery Report'!E22</f>
        <v>0</v>
      </c>
      <c r="D20" s="597">
        <v>1</v>
      </c>
      <c r="E20" s="596">
        <f>Gen!S28</f>
        <v>0</v>
      </c>
      <c r="F20" s="596">
        <f>Gen!T28</f>
        <v>0</v>
      </c>
      <c r="G20" s="596" t="str">
        <f>'Water-Meter'!E23</f>
        <v>0</v>
      </c>
      <c r="H20" s="596">
        <f>'Utility report '!AC23</f>
        <v>-19778</v>
      </c>
      <c r="I20" s="596">
        <f>Gen!AJ28</f>
        <v>0</v>
      </c>
    </row>
    <row r="21" spans="1:9" ht="13.5">
      <c r="A21" s="593">
        <v>43788</v>
      </c>
      <c r="B21" s="595">
        <f>Gen!B29</f>
        <v>0</v>
      </c>
      <c r="C21" s="596">
        <f>'Summery Report'!E23</f>
        <v>0</v>
      </c>
      <c r="D21" s="597">
        <v>1</v>
      </c>
      <c r="E21" s="596">
        <f>Gen!S29</f>
        <v>0</v>
      </c>
      <c r="F21" s="596">
        <f>Gen!T29</f>
        <v>0</v>
      </c>
      <c r="G21" s="596">
        <f>'Water-Meter'!E24</f>
        <v>0</v>
      </c>
      <c r="H21" s="596">
        <f>'Utility report '!AC24</f>
        <v>0</v>
      </c>
      <c r="I21" s="596">
        <f>Gen!AJ29</f>
        <v>0</v>
      </c>
    </row>
    <row r="22" spans="1:9" ht="13.5">
      <c r="A22" s="593">
        <v>43789</v>
      </c>
      <c r="B22" s="595">
        <f>Gen!B30</f>
        <v>0</v>
      </c>
      <c r="C22" s="596">
        <f>'Summery Report'!E24</f>
        <v>0</v>
      </c>
      <c r="D22" s="597">
        <v>1</v>
      </c>
      <c r="E22" s="596">
        <f>Gen!S30</f>
        <v>0</v>
      </c>
      <c r="F22" s="596">
        <f>Gen!T30</f>
        <v>0</v>
      </c>
      <c r="G22" s="596">
        <f>'Water-Meter'!E25</f>
        <v>0</v>
      </c>
      <c r="H22" s="596">
        <f>'Utility report '!AC25</f>
        <v>0</v>
      </c>
      <c r="I22" s="596">
        <f>Gen!AJ30</f>
        <v>0</v>
      </c>
    </row>
    <row r="23" spans="1:9" ht="13.5">
      <c r="A23" s="593">
        <v>43790</v>
      </c>
      <c r="B23" s="595">
        <f>Gen!B31</f>
        <v>0</v>
      </c>
      <c r="C23" s="596">
        <f>'Summery Report'!E25</f>
        <v>0</v>
      </c>
      <c r="D23" s="597">
        <v>1</v>
      </c>
      <c r="E23" s="596">
        <f>Gen!S31</f>
        <v>0</v>
      </c>
      <c r="F23" s="596">
        <f>Gen!T31</f>
        <v>0</v>
      </c>
      <c r="G23" s="596">
        <f>'Water-Meter'!E26</f>
        <v>0</v>
      </c>
      <c r="H23" s="596">
        <f>'Utility report '!AC26</f>
        <v>0</v>
      </c>
      <c r="I23" s="596">
        <f>Gen!AJ31</f>
        <v>0</v>
      </c>
    </row>
    <row r="24" spans="1:9" ht="13.5">
      <c r="A24" s="593">
        <v>43791</v>
      </c>
      <c r="B24" s="595">
        <f>Gen!B32</f>
        <v>0</v>
      </c>
      <c r="C24" s="596">
        <f>'Summery Report'!E26</f>
        <v>0</v>
      </c>
      <c r="D24" s="597">
        <v>1</v>
      </c>
      <c r="E24" s="596">
        <f>Gen!S32</f>
        <v>0</v>
      </c>
      <c r="F24" s="596">
        <f>Gen!T32</f>
        <v>0</v>
      </c>
      <c r="G24" s="596">
        <f>'Water-Meter'!E27</f>
        <v>0</v>
      </c>
      <c r="H24" s="596">
        <f>'Utility report '!AC27</f>
        <v>0</v>
      </c>
      <c r="I24" s="596">
        <f>Gen!AJ32</f>
        <v>0</v>
      </c>
    </row>
    <row r="25" spans="1:9" ht="13.5">
      <c r="A25" s="593">
        <v>43792</v>
      </c>
      <c r="B25" s="595">
        <f>Gen!B33</f>
        <v>0</v>
      </c>
      <c r="C25" s="596">
        <f>'Summery Report'!E27</f>
        <v>0</v>
      </c>
      <c r="D25" s="597">
        <v>1</v>
      </c>
      <c r="E25" s="596">
        <f>Gen!S33</f>
        <v>0</v>
      </c>
      <c r="F25" s="596">
        <f>Gen!T33</f>
        <v>0</v>
      </c>
      <c r="G25" s="596">
        <f>'Water-Meter'!E28</f>
        <v>0</v>
      </c>
      <c r="H25" s="596">
        <f>'Utility report '!AC28</f>
        <v>0</v>
      </c>
      <c r="I25" s="596">
        <f>Gen!AJ33</f>
        <v>0</v>
      </c>
    </row>
    <row r="26" spans="1:9" ht="13.5">
      <c r="A26" s="593">
        <v>43793</v>
      </c>
      <c r="B26" s="595">
        <f>Gen!B34</f>
        <v>0</v>
      </c>
      <c r="C26" s="596">
        <f>'Summery Report'!E28</f>
        <v>0</v>
      </c>
      <c r="D26" s="597">
        <v>1</v>
      </c>
      <c r="E26" s="596">
        <f>Gen!S34</f>
        <v>0</v>
      </c>
      <c r="F26" s="596">
        <f>Gen!T34</f>
        <v>0</v>
      </c>
      <c r="G26" s="596">
        <f>'Water-Meter'!E29</f>
        <v>0</v>
      </c>
      <c r="H26" s="596">
        <f>'Utility report '!AC29</f>
        <v>0</v>
      </c>
      <c r="I26" s="596">
        <f>Gen!AJ34</f>
        <v>0</v>
      </c>
    </row>
    <row r="27" spans="1:9" ht="13.5">
      <c r="A27" s="593">
        <v>43794</v>
      </c>
      <c r="B27" s="595">
        <f>Gen!B35</f>
        <v>0</v>
      </c>
      <c r="C27" s="596">
        <f>'Summery Report'!E29</f>
        <v>0</v>
      </c>
      <c r="D27" s="597">
        <v>1</v>
      </c>
      <c r="E27" s="596">
        <f>Gen!S35</f>
        <v>0</v>
      </c>
      <c r="F27" s="596">
        <f>Gen!T35</f>
        <v>0</v>
      </c>
      <c r="G27" s="596">
        <f>'Water-Meter'!E30</f>
        <v>0</v>
      </c>
      <c r="H27" s="596">
        <f>'Utility report '!AC30</f>
        <v>0</v>
      </c>
      <c r="I27" s="596">
        <f>Gen!AJ35</f>
        <v>0</v>
      </c>
    </row>
    <row r="28" spans="1:9" ht="13.5">
      <c r="A28" s="593">
        <v>43795</v>
      </c>
      <c r="B28" s="595">
        <f>Gen!B36</f>
        <v>0</v>
      </c>
      <c r="C28" s="596">
        <f>'Summery Report'!E30</f>
        <v>0</v>
      </c>
      <c r="D28" s="597">
        <v>1</v>
      </c>
      <c r="E28" s="596">
        <f>Gen!S36</f>
        <v>0</v>
      </c>
      <c r="F28" s="596">
        <f>Gen!T36</f>
        <v>0</v>
      </c>
      <c r="G28" s="596">
        <f>'Water-Meter'!E31</f>
        <v>0</v>
      </c>
      <c r="H28" s="596">
        <f>'Utility report '!AC31</f>
        <v>0</v>
      </c>
      <c r="I28" s="596">
        <f>Gen!AJ36</f>
        <v>0</v>
      </c>
    </row>
    <row r="29" spans="1:9" ht="13.5">
      <c r="A29" s="593">
        <v>43796</v>
      </c>
      <c r="B29" s="595">
        <f>Gen!B37</f>
        <v>0</v>
      </c>
      <c r="C29" s="596">
        <f>'Summery Report'!E31</f>
        <v>0</v>
      </c>
      <c r="D29" s="597">
        <v>1</v>
      </c>
      <c r="E29" s="596">
        <f>Gen!S37</f>
        <v>0</v>
      </c>
      <c r="F29" s="596">
        <f>Gen!T37</f>
        <v>0</v>
      </c>
      <c r="G29" s="596">
        <f>'Water-Meter'!E32</f>
        <v>0</v>
      </c>
      <c r="H29" s="596">
        <f>'Utility report '!AC32</f>
        <v>0</v>
      </c>
      <c r="I29" s="596">
        <f>Gen!AJ37</f>
        <v>0</v>
      </c>
    </row>
    <row r="30" spans="1:9" ht="13.5">
      <c r="A30" s="593">
        <v>43797</v>
      </c>
      <c r="B30" s="595">
        <f>Gen!B38</f>
        <v>0</v>
      </c>
      <c r="C30" s="596">
        <f>'Summery Report'!E32</f>
        <v>0</v>
      </c>
      <c r="D30" s="597">
        <v>1</v>
      </c>
      <c r="E30" s="596">
        <f>Gen!S38</f>
        <v>0</v>
      </c>
      <c r="F30" s="596">
        <f>Gen!T38</f>
        <v>0</v>
      </c>
      <c r="G30" s="596">
        <f>'Water-Meter'!E33</f>
        <v>0</v>
      </c>
      <c r="H30" s="596">
        <f>'Utility report '!AC33</f>
        <v>0</v>
      </c>
      <c r="I30" s="596">
        <f>Gen!AJ38</f>
        <v>0</v>
      </c>
    </row>
    <row r="31" spans="1:9" ht="13.5">
      <c r="A31" s="593">
        <v>43798</v>
      </c>
      <c r="B31" s="595">
        <f>Gen!B39</f>
        <v>0</v>
      </c>
      <c r="C31" s="596">
        <f>'Summery Report'!E33</f>
        <v>0</v>
      </c>
      <c r="D31" s="597">
        <v>1</v>
      </c>
      <c r="E31" s="596">
        <f>Gen!S39</f>
        <v>0</v>
      </c>
      <c r="F31" s="596">
        <f>Gen!T39</f>
        <v>0</v>
      </c>
      <c r="G31" s="596">
        <f>'Water-Meter'!E34</f>
        <v>0</v>
      </c>
      <c r="H31" s="596">
        <f>'Utility report '!AC34</f>
        <v>0</v>
      </c>
      <c r="I31" s="596">
        <f>Gen!AJ39</f>
        <v>0</v>
      </c>
    </row>
    <row r="32" spans="1:9" ht="13.5">
      <c r="A32" s="593">
        <v>43799</v>
      </c>
      <c r="B32" s="595">
        <f>Gen!B40</f>
        <v>0</v>
      </c>
      <c r="C32" s="596">
        <f>'Summery Report'!E34</f>
        <v>0</v>
      </c>
      <c r="D32" s="597">
        <v>1</v>
      </c>
      <c r="E32" s="596">
        <f>Gen!S40</f>
        <v>0</v>
      </c>
      <c r="F32" s="596">
        <f>Gen!T40</f>
        <v>0</v>
      </c>
      <c r="G32" s="596">
        <f>'Water-Meter'!E35</f>
        <v>0</v>
      </c>
      <c r="H32" s="596">
        <f>'Utility report '!AC35</f>
        <v>0</v>
      </c>
      <c r="I32" s="596">
        <f>Gen!AJ40</f>
        <v>0</v>
      </c>
    </row>
    <row r="33" spans="1:9" ht="13.5">
      <c r="A33" s="593">
        <v>43800</v>
      </c>
      <c r="B33" s="595">
        <f>Gen!B41</f>
        <v>0</v>
      </c>
      <c r="C33" s="596">
        <f>'Summery Report'!E35</f>
        <v>0</v>
      </c>
      <c r="D33" s="597">
        <v>1</v>
      </c>
      <c r="E33" s="596">
        <f>Gen!S41</f>
        <v>0</v>
      </c>
      <c r="F33" s="596">
        <f>Gen!T41</f>
        <v>0</v>
      </c>
      <c r="G33" s="596">
        <f>'Water-Meter'!E36</f>
        <v>0</v>
      </c>
      <c r="H33" s="596">
        <f>'Utility report '!AC36</f>
        <v>0</v>
      </c>
      <c r="I33" s="596">
        <f>Gen!AJ41</f>
        <v>0</v>
      </c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3:T39"/>
  <sheetViews>
    <sheetView zoomScale="85" zoomScaleNormal="85" workbookViewId="0">
      <selection activeCell="A39" sqref="A39"/>
    </sheetView>
  </sheetViews>
  <sheetFormatPr defaultRowHeight="12.75"/>
  <cols>
    <col min="1" max="1" width="11.42578125" customWidth="1"/>
    <col min="2" max="2" width="9" customWidth="1"/>
    <col min="3" max="3" width="12.5703125" customWidth="1"/>
    <col min="4" max="4" width="10.28515625" bestFit="1" customWidth="1"/>
    <col min="5" max="5" width="12.28515625" customWidth="1"/>
    <col min="6" max="6" width="14" customWidth="1"/>
    <col min="7" max="7" width="16" customWidth="1"/>
    <col min="8" max="8" width="10.85546875" customWidth="1"/>
    <col min="9" max="9" width="14.140625" customWidth="1"/>
    <col min="10" max="10" width="14.28515625" customWidth="1"/>
    <col min="11" max="11" width="10.140625" customWidth="1"/>
    <col min="12" max="12" width="10" customWidth="1"/>
    <col min="13" max="13" width="13" customWidth="1"/>
    <col min="14" max="14" width="10.28515625" customWidth="1"/>
    <col min="15" max="15" width="9.28515625" customWidth="1"/>
    <col min="16" max="16" width="13.7109375" customWidth="1"/>
    <col min="17" max="17" width="15.28515625" customWidth="1"/>
    <col min="18" max="18" width="18.85546875" customWidth="1"/>
    <col min="19" max="19" width="15.7109375" customWidth="1"/>
  </cols>
  <sheetData>
    <row r="3" spans="1:19" ht="13.5" thickBot="1"/>
    <row r="4" spans="1:19" ht="33.75">
      <c r="A4" s="670" t="s">
        <v>0</v>
      </c>
      <c r="B4" s="671" t="s">
        <v>142</v>
      </c>
      <c r="C4" s="672" t="s">
        <v>251</v>
      </c>
      <c r="D4" s="722" t="s">
        <v>136</v>
      </c>
      <c r="E4" s="722"/>
      <c r="F4" s="722"/>
      <c r="G4" s="723" t="s">
        <v>20</v>
      </c>
      <c r="H4" s="723"/>
      <c r="I4" s="723"/>
      <c r="J4" s="724" t="s">
        <v>55</v>
      </c>
      <c r="K4" s="724"/>
      <c r="L4" s="724"/>
      <c r="M4" s="724"/>
      <c r="N4" s="725" t="s">
        <v>144</v>
      </c>
      <c r="O4" s="725"/>
      <c r="P4" s="725"/>
      <c r="Q4" s="61"/>
      <c r="R4" s="61"/>
      <c r="S4" s="62"/>
    </row>
    <row r="5" spans="1:19" ht="25.5">
      <c r="A5" s="673"/>
      <c r="B5" s="371"/>
      <c r="C5" s="175"/>
      <c r="D5" s="180" t="s">
        <v>137</v>
      </c>
      <c r="E5" s="180" t="s">
        <v>138</v>
      </c>
      <c r="F5" s="180" t="s">
        <v>122</v>
      </c>
      <c r="G5" s="182" t="s">
        <v>139</v>
      </c>
      <c r="H5" s="182" t="s">
        <v>19</v>
      </c>
      <c r="I5" s="183" t="s">
        <v>140</v>
      </c>
      <c r="J5" s="185" t="s">
        <v>143</v>
      </c>
      <c r="K5" s="185" t="s">
        <v>141</v>
      </c>
      <c r="L5" s="185" t="s">
        <v>141</v>
      </c>
      <c r="M5" s="187" t="s">
        <v>18</v>
      </c>
      <c r="N5" s="176" t="s">
        <v>145</v>
      </c>
      <c r="O5" s="176" t="s">
        <v>147</v>
      </c>
      <c r="P5" s="177" t="s">
        <v>146</v>
      </c>
      <c r="Q5" s="188" t="s">
        <v>149</v>
      </c>
      <c r="R5" s="188" t="s">
        <v>148</v>
      </c>
      <c r="S5" s="674" t="s">
        <v>150</v>
      </c>
    </row>
    <row r="6" spans="1:19" ht="14.25">
      <c r="A6" s="675">
        <f>Gen!A11</f>
        <v>43800</v>
      </c>
      <c r="B6" s="6">
        <f>'Summery Report'!E5</f>
        <v>9</v>
      </c>
      <c r="C6" s="6">
        <f>Gen!T11</f>
        <v>4302</v>
      </c>
      <c r="D6" s="181">
        <f>Gen!S11</f>
        <v>1654.6399999999999</v>
      </c>
      <c r="E6" s="181">
        <f>Gen!AJ11</f>
        <v>404.63</v>
      </c>
      <c r="F6" s="181">
        <f>Gen!AR11</f>
        <v>2059.27</v>
      </c>
      <c r="G6" s="184">
        <f>'Utility report '!AC6</f>
        <v>108</v>
      </c>
      <c r="H6" s="184">
        <f>'Utility report '!AE6</f>
        <v>58</v>
      </c>
      <c r="I6" s="405">
        <f>'Water-Meter'!E6</f>
        <v>109</v>
      </c>
      <c r="J6" s="186">
        <f>'Lpg (2)'!B10</f>
        <v>77</v>
      </c>
      <c r="K6" s="186">
        <f>'Lpg (2)'!C10</f>
        <v>85</v>
      </c>
      <c r="L6" s="186">
        <f>'Lpg (2)'!D10</f>
        <v>85</v>
      </c>
      <c r="M6" s="669">
        <f>'Lpg (2)'!G10</f>
        <v>114.53199999999488</v>
      </c>
      <c r="N6" s="6"/>
      <c r="O6" s="179">
        <f>E6</f>
        <v>404.63</v>
      </c>
      <c r="P6" s="178" t="e">
        <f>'[1]Lpg (2)'!#REF!</f>
        <v>#REF!</v>
      </c>
      <c r="Q6" s="179" t="e">
        <f>'[1]Summery Report'!#REF!</f>
        <v>#REF!</v>
      </c>
      <c r="R6" s="179">
        <f t="shared" ref="R6:R36" si="0">N6/B6</f>
        <v>0</v>
      </c>
      <c r="S6" s="676" t="e">
        <f t="shared" ref="S6:S37" si="1">Q6/B6</f>
        <v>#REF!</v>
      </c>
    </row>
    <row r="7" spans="1:19" ht="14.25">
      <c r="A7" s="675">
        <f>Gen!A12</f>
        <v>43801</v>
      </c>
      <c r="B7" s="6">
        <f>'Summery Report'!E6</f>
        <v>9</v>
      </c>
      <c r="C7" s="6">
        <f>Gen!T12</f>
        <v>4286</v>
      </c>
      <c r="D7" s="181">
        <f>Gen!S12</f>
        <v>1688.71</v>
      </c>
      <c r="E7" s="181">
        <f>Gen!AJ12</f>
        <v>1310.5899999999999</v>
      </c>
      <c r="F7" s="181">
        <f>Gen!AR12</f>
        <v>2999.3</v>
      </c>
      <c r="G7" s="184">
        <f>'Utility report '!AC7</f>
        <v>111</v>
      </c>
      <c r="H7" s="184">
        <f>'Utility report '!AE7</f>
        <v>57</v>
      </c>
      <c r="I7" s="405">
        <f>'Water-Meter'!E7</f>
        <v>93</v>
      </c>
      <c r="J7" s="186">
        <f>'Lpg (2)'!B11</f>
        <v>75</v>
      </c>
      <c r="K7" s="186">
        <f>'Lpg (2)'!C11</f>
        <v>85</v>
      </c>
      <c r="L7" s="186">
        <f>'Lpg (2)'!D11</f>
        <v>85</v>
      </c>
      <c r="M7" s="669">
        <f>'Lpg (2)'!G11</f>
        <v>119.37200000002049</v>
      </c>
      <c r="N7" s="179">
        <f>D7*1.4</f>
        <v>2364.194</v>
      </c>
      <c r="O7" s="179">
        <f>E7*1.4</f>
        <v>1834.8259999999998</v>
      </c>
      <c r="P7" s="178" t="e">
        <f>'[1]Lpg (2)'!#REF!</f>
        <v>#REF!</v>
      </c>
      <c r="Q7" s="179" t="e">
        <f>'[1]Summery Report'!#REF!</f>
        <v>#REF!</v>
      </c>
      <c r="R7" s="179">
        <f t="shared" si="0"/>
        <v>262.68822222222224</v>
      </c>
      <c r="S7" s="676" t="e">
        <f t="shared" si="1"/>
        <v>#REF!</v>
      </c>
    </row>
    <row r="8" spans="1:19" ht="14.25">
      <c r="A8" s="675">
        <f>Gen!A13</f>
        <v>43802</v>
      </c>
      <c r="B8" s="6">
        <f>'Summery Report'!E7</f>
        <v>6</v>
      </c>
      <c r="C8" s="6">
        <f>Gen!T13</f>
        <v>4122</v>
      </c>
      <c r="D8" s="181">
        <f>Gen!S13</f>
        <v>1631.55</v>
      </c>
      <c r="E8" s="181">
        <f>Gen!AJ13</f>
        <v>70.16</v>
      </c>
      <c r="F8" s="181">
        <f>Gen!AR13</f>
        <v>1701.71</v>
      </c>
      <c r="G8" s="184">
        <f>'Utility report '!AC8</f>
        <v>51</v>
      </c>
      <c r="H8" s="184">
        <f>'Utility report '!AE8</f>
        <v>60</v>
      </c>
      <c r="I8" s="405">
        <f>'Water-Meter'!E8</f>
        <v>95</v>
      </c>
      <c r="J8" s="186">
        <f>'Lpg (2)'!B12</f>
        <v>73</v>
      </c>
      <c r="K8" s="186">
        <f>'Lpg (2)'!C12</f>
        <v>85</v>
      </c>
      <c r="L8" s="186">
        <f>'Lpg (2)'!D12</f>
        <v>85</v>
      </c>
      <c r="M8" s="669">
        <f>'Lpg (2)'!G12</f>
        <v>123.20000000000002</v>
      </c>
      <c r="N8" s="179">
        <f t="shared" ref="N8:O36" si="2">D8*1.4</f>
        <v>2284.1699999999996</v>
      </c>
      <c r="O8" s="179">
        <f t="shared" si="2"/>
        <v>98.22399999999999</v>
      </c>
      <c r="P8" s="178" t="e">
        <f>'[1]Lpg (2)'!#REF!</f>
        <v>#REF!</v>
      </c>
      <c r="Q8" s="179" t="e">
        <f>'[1]Summery Report'!#REF!</f>
        <v>#REF!</v>
      </c>
      <c r="R8" s="179">
        <f t="shared" si="0"/>
        <v>380.69499999999994</v>
      </c>
      <c r="S8" s="676" t="e">
        <f t="shared" si="1"/>
        <v>#REF!</v>
      </c>
    </row>
    <row r="9" spans="1:19" ht="14.25">
      <c r="A9" s="675">
        <f>Gen!A14</f>
        <v>43803</v>
      </c>
      <c r="B9" s="6">
        <f>'Summery Report'!E8</f>
        <v>8</v>
      </c>
      <c r="C9" s="6">
        <f>Gen!T14</f>
        <v>4432</v>
      </c>
      <c r="D9" s="181">
        <f>Gen!S14</f>
        <v>1767.07</v>
      </c>
      <c r="E9" s="181">
        <f>Gen!AJ14</f>
        <v>57.18</v>
      </c>
      <c r="F9" s="181">
        <f>Gen!AR14</f>
        <v>1824.25</v>
      </c>
      <c r="G9" s="184">
        <f>'Utility report '!AC9</f>
        <v>114</v>
      </c>
      <c r="H9" s="184">
        <f>'Utility report '!AE9</f>
        <v>54</v>
      </c>
      <c r="I9" s="405">
        <f>'Water-Meter'!E9</f>
        <v>97</v>
      </c>
      <c r="J9" s="186">
        <f>'Lpg (2)'!B13</f>
        <v>70</v>
      </c>
      <c r="K9" s="186">
        <f>'Lpg (2)'!C13</f>
        <v>85</v>
      </c>
      <c r="L9" s="186">
        <f>'Lpg (2)'!D13</f>
        <v>85</v>
      </c>
      <c r="M9" s="669">
        <f>'Lpg (2)'!G13</f>
        <v>105.51199999998208</v>
      </c>
      <c r="N9" s="179">
        <f t="shared" si="2"/>
        <v>2473.8979999999997</v>
      </c>
      <c r="O9" s="179">
        <f t="shared" si="2"/>
        <v>80.051999999999992</v>
      </c>
      <c r="P9" s="178" t="e">
        <f>'[1]Lpg (2)'!#REF!</f>
        <v>#REF!</v>
      </c>
      <c r="Q9" s="179" t="e">
        <f>'[1]Summery Report'!#REF!</f>
        <v>#REF!</v>
      </c>
      <c r="R9" s="179">
        <f t="shared" si="0"/>
        <v>309.23724999999996</v>
      </c>
      <c r="S9" s="676" t="e">
        <f t="shared" si="1"/>
        <v>#REF!</v>
      </c>
    </row>
    <row r="10" spans="1:19" ht="14.25">
      <c r="A10" s="675">
        <f>Gen!A15</f>
        <v>43804</v>
      </c>
      <c r="B10" s="6">
        <f>'Summery Report'!E9</f>
        <v>9</v>
      </c>
      <c r="C10" s="6">
        <f>Gen!T15</f>
        <v>4152</v>
      </c>
      <c r="D10" s="181">
        <f>Gen!S15</f>
        <v>1578.5899999999997</v>
      </c>
      <c r="E10" s="181">
        <f>Gen!AJ15</f>
        <v>213.22000000000003</v>
      </c>
      <c r="F10" s="181">
        <f>Gen!AR15</f>
        <v>1791.8099999999997</v>
      </c>
      <c r="G10" s="184">
        <f>'Utility report '!AC10</f>
        <v>111</v>
      </c>
      <c r="H10" s="184">
        <f>'Utility report '!AE10</f>
        <v>55</v>
      </c>
      <c r="I10" s="405">
        <f>'Water-Meter'!E10</f>
        <v>86</v>
      </c>
      <c r="J10" s="186">
        <f>'Lpg (2)'!B14</f>
        <v>68</v>
      </c>
      <c r="K10" s="186">
        <f>'Lpg (2)'!C14</f>
        <v>85</v>
      </c>
      <c r="L10" s="186">
        <f>'Lpg (2)'!D14</f>
        <v>85</v>
      </c>
      <c r="M10" s="669">
        <f>'Lpg (2)'!G14</f>
        <v>106.74399999997696</v>
      </c>
      <c r="N10" s="179">
        <f t="shared" si="2"/>
        <v>2210.0259999999994</v>
      </c>
      <c r="O10" s="179">
        <f t="shared" si="2"/>
        <v>298.50800000000004</v>
      </c>
      <c r="P10" s="178" t="e">
        <f>'[1]Lpg (2)'!#REF!</f>
        <v>#REF!</v>
      </c>
      <c r="Q10" s="179" t="e">
        <f>'[1]Summery Report'!#REF!</f>
        <v>#REF!</v>
      </c>
      <c r="R10" s="179">
        <f t="shared" si="0"/>
        <v>245.55844444444438</v>
      </c>
      <c r="S10" s="676" t="e">
        <f t="shared" si="1"/>
        <v>#REF!</v>
      </c>
    </row>
    <row r="11" spans="1:19" ht="14.25">
      <c r="A11" s="675">
        <f>Gen!A16</f>
        <v>43805</v>
      </c>
      <c r="B11" s="6">
        <f>'Summery Report'!E10</f>
        <v>11</v>
      </c>
      <c r="C11" s="6">
        <f>Gen!T16</f>
        <v>4564</v>
      </c>
      <c r="D11" s="181">
        <f>Gen!S16</f>
        <v>1833.0300000000002</v>
      </c>
      <c r="E11" s="181">
        <f>Gen!AJ16</f>
        <v>2054.66</v>
      </c>
      <c r="F11" s="181">
        <f>Gen!AR16</f>
        <v>3887.69</v>
      </c>
      <c r="G11" s="184">
        <f>'Utility report '!AC11</f>
        <v>111</v>
      </c>
      <c r="H11" s="184">
        <f>'Utility report '!AE11</f>
        <v>51</v>
      </c>
      <c r="I11" s="405">
        <f>'Water-Meter'!E11</f>
        <v>105</v>
      </c>
      <c r="J11" s="186">
        <f>'Lpg (2)'!B15</f>
        <v>66</v>
      </c>
      <c r="K11" s="186">
        <f>'Lpg (2)'!C15</f>
        <v>85</v>
      </c>
      <c r="L11" s="186">
        <f>'Lpg (2)'!D15</f>
        <v>85</v>
      </c>
      <c r="M11" s="669">
        <f>'Lpg (2)'!G15</f>
        <v>96.140000000025623</v>
      </c>
      <c r="N11" s="179">
        <f t="shared" si="2"/>
        <v>2566.2420000000002</v>
      </c>
      <c r="O11" s="179">
        <f t="shared" si="2"/>
        <v>2876.5239999999994</v>
      </c>
      <c r="P11" s="178" t="e">
        <f>'[1]Lpg (2)'!#REF!</f>
        <v>#REF!</v>
      </c>
      <c r="Q11" s="179" t="e">
        <f>'[1]Summery Report'!#REF!</f>
        <v>#REF!</v>
      </c>
      <c r="R11" s="179">
        <f t="shared" si="0"/>
        <v>233.2947272727273</v>
      </c>
      <c r="S11" s="676" t="e">
        <f t="shared" si="1"/>
        <v>#REF!</v>
      </c>
    </row>
    <row r="12" spans="1:19" ht="14.25">
      <c r="A12" s="675">
        <f>Gen!A17</f>
        <v>43806</v>
      </c>
      <c r="B12" s="6">
        <f>'Summery Report'!E11</f>
        <v>6</v>
      </c>
      <c r="C12" s="6">
        <f>Gen!T17</f>
        <v>4168</v>
      </c>
      <c r="D12" s="181">
        <f>Gen!S17</f>
        <v>1612.2599999999998</v>
      </c>
      <c r="E12" s="181">
        <f>Gen!AJ17</f>
        <v>62</v>
      </c>
      <c r="F12" s="181">
        <f>Gen!AR17</f>
        <v>1674.2599999999998</v>
      </c>
      <c r="G12" s="184">
        <f>'Utility report '!AC12</f>
        <v>111</v>
      </c>
      <c r="H12" s="184">
        <f>'Utility report '!AE12</f>
        <v>40</v>
      </c>
      <c r="I12" s="405">
        <f>'Water-Meter'!E12</f>
        <v>131</v>
      </c>
      <c r="J12" s="186">
        <f>'Lpg (2)'!B16</f>
        <v>64</v>
      </c>
      <c r="K12" s="186">
        <f>'Lpg (2)'!C16</f>
        <v>85</v>
      </c>
      <c r="L12" s="186">
        <f>'Lpg (2)'!D16</f>
        <v>85</v>
      </c>
      <c r="M12" s="669">
        <f>'Lpg (2)'!G16</f>
        <v>102.03600000001025</v>
      </c>
      <c r="N12" s="179">
        <f t="shared" si="2"/>
        <v>2257.1639999999993</v>
      </c>
      <c r="O12" s="179">
        <f t="shared" si="2"/>
        <v>86.8</v>
      </c>
      <c r="P12" s="178" t="e">
        <f>'[1]Lpg (2)'!#REF!</f>
        <v>#REF!</v>
      </c>
      <c r="Q12" s="179" t="e">
        <f>'[1]Summery Report'!#REF!</f>
        <v>#REF!</v>
      </c>
      <c r="R12" s="179">
        <f t="shared" si="0"/>
        <v>376.1939999999999</v>
      </c>
      <c r="S12" s="676" t="e">
        <f t="shared" si="1"/>
        <v>#REF!</v>
      </c>
    </row>
    <row r="13" spans="1:19" ht="14.25">
      <c r="A13" s="675">
        <f>Gen!A18</f>
        <v>43807</v>
      </c>
      <c r="B13" s="6">
        <f>'Summery Report'!E12</f>
        <v>9</v>
      </c>
      <c r="C13" s="6">
        <f>Gen!T18</f>
        <v>3985</v>
      </c>
      <c r="D13" s="181">
        <f>Gen!S18</f>
        <v>1594.7199999999998</v>
      </c>
      <c r="E13" s="181">
        <f>Gen!AJ18</f>
        <v>0</v>
      </c>
      <c r="F13" s="181">
        <f>Gen!AR18</f>
        <v>1594.7199999999998</v>
      </c>
      <c r="G13" s="184">
        <f>'Utility report '!AC13</f>
        <v>105</v>
      </c>
      <c r="H13" s="184">
        <f>'Utility report '!AE13</f>
        <v>73</v>
      </c>
      <c r="I13" s="405">
        <f>'Water-Meter'!E13</f>
        <v>129</v>
      </c>
      <c r="J13" s="186">
        <f>'Lpg (2)'!B17</f>
        <v>61</v>
      </c>
      <c r="K13" s="186">
        <f>'Lpg (2)'!C17</f>
        <v>85</v>
      </c>
      <c r="L13" s="186">
        <f>'Lpg (2)'!D17</f>
        <v>85</v>
      </c>
      <c r="M13" s="669">
        <f>'Lpg (2)'!G17</f>
        <v>99.747999999992331</v>
      </c>
      <c r="N13" s="179">
        <f t="shared" si="2"/>
        <v>2232.6079999999997</v>
      </c>
      <c r="O13" s="179">
        <f t="shared" si="2"/>
        <v>0</v>
      </c>
      <c r="P13" s="178" t="e">
        <f>'[1]Lpg (2)'!#REF!</f>
        <v>#REF!</v>
      </c>
      <c r="Q13" s="179" t="e">
        <f>'[1]Summery Report'!#REF!</f>
        <v>#REF!</v>
      </c>
      <c r="R13" s="179">
        <f t="shared" si="0"/>
        <v>248.06755555555551</v>
      </c>
      <c r="S13" s="676" t="e">
        <f t="shared" si="1"/>
        <v>#REF!</v>
      </c>
    </row>
    <row r="14" spans="1:19" ht="14.25">
      <c r="A14" s="675">
        <f>Gen!A19</f>
        <v>43808</v>
      </c>
      <c r="B14" s="6">
        <f>'Summery Report'!E13</f>
        <v>7</v>
      </c>
      <c r="C14" s="6">
        <f>Gen!T19</f>
        <v>4085</v>
      </c>
      <c r="D14" s="181">
        <f>Gen!S19</f>
        <v>1546.25</v>
      </c>
      <c r="E14" s="181">
        <f>Gen!AJ19</f>
        <v>177.46</v>
      </c>
      <c r="F14" s="181">
        <f>Gen!AR19</f>
        <v>1723.71</v>
      </c>
      <c r="G14" s="184">
        <f>'Utility report '!AC14</f>
        <v>103</v>
      </c>
      <c r="H14" s="184">
        <f>'Utility report '!AE14</f>
        <v>70</v>
      </c>
      <c r="I14" s="405">
        <f>'Water-Meter'!E14</f>
        <v>139</v>
      </c>
      <c r="J14" s="186">
        <f>'Lpg (2)'!B18</f>
        <v>58</v>
      </c>
      <c r="K14" s="186">
        <f>'Lpg (2)'!C18</f>
        <v>85</v>
      </c>
      <c r="L14" s="186">
        <f>'Lpg (2)'!D18</f>
        <v>85</v>
      </c>
      <c r="M14" s="669">
        <f>'Lpg (2)'!G18</f>
        <v>100.93600000001025</v>
      </c>
      <c r="N14" s="179">
        <f t="shared" si="2"/>
        <v>2164.75</v>
      </c>
      <c r="O14" s="179">
        <f t="shared" si="2"/>
        <v>248.44399999999999</v>
      </c>
      <c r="P14" s="178" t="e">
        <f>'[1]Lpg (2)'!#REF!</f>
        <v>#REF!</v>
      </c>
      <c r="Q14" s="179" t="e">
        <f>'[1]Summery Report'!#REF!</f>
        <v>#REF!</v>
      </c>
      <c r="R14" s="179">
        <f t="shared" si="0"/>
        <v>309.25</v>
      </c>
      <c r="S14" s="676" t="e">
        <f t="shared" si="1"/>
        <v>#REF!</v>
      </c>
    </row>
    <row r="15" spans="1:19" ht="14.25">
      <c r="A15" s="675">
        <f>Gen!A20</f>
        <v>43809</v>
      </c>
      <c r="B15" s="6">
        <f>'Summery Report'!E14</f>
        <v>8</v>
      </c>
      <c r="C15" s="6">
        <f>Gen!T20</f>
        <v>4227</v>
      </c>
      <c r="D15" s="181">
        <f>Gen!S20</f>
        <v>1693.96</v>
      </c>
      <c r="E15" s="181">
        <f>Gen!AJ20</f>
        <v>13.2</v>
      </c>
      <c r="F15" s="181">
        <f>Gen!AR20</f>
        <v>1707.16</v>
      </c>
      <c r="G15" s="184">
        <f>'Utility report '!AC15</f>
        <v>105</v>
      </c>
      <c r="H15" s="184">
        <f>'Utility report '!AE15</f>
        <v>46</v>
      </c>
      <c r="I15" s="405">
        <f>'Water-Meter'!E15</f>
        <v>101</v>
      </c>
      <c r="J15" s="186">
        <f>'Lpg (2)'!B19</f>
        <v>55</v>
      </c>
      <c r="K15" s="186">
        <f>'Lpg (2)'!C19</f>
        <v>85</v>
      </c>
      <c r="L15" s="186">
        <f>'Lpg (2)'!D19</f>
        <v>85</v>
      </c>
      <c r="M15" s="669">
        <f>'Lpg (2)'!G19</f>
        <v>104.93999999996159</v>
      </c>
      <c r="N15" s="179">
        <f t="shared" si="2"/>
        <v>2371.5439999999999</v>
      </c>
      <c r="O15" s="179">
        <f t="shared" si="2"/>
        <v>18.479999999999997</v>
      </c>
      <c r="P15" s="178" t="e">
        <f>'[1]Lpg (2)'!#REF!</f>
        <v>#REF!</v>
      </c>
      <c r="Q15" s="179" t="e">
        <f>'[1]Summery Report'!#REF!</f>
        <v>#REF!</v>
      </c>
      <c r="R15" s="179">
        <f t="shared" si="0"/>
        <v>296.44299999999998</v>
      </c>
      <c r="S15" s="676" t="e">
        <f t="shared" si="1"/>
        <v>#REF!</v>
      </c>
    </row>
    <row r="16" spans="1:19" ht="14.25">
      <c r="A16" s="675">
        <f>Gen!A21</f>
        <v>43810</v>
      </c>
      <c r="B16" s="6">
        <f>'Summery Report'!E15</f>
        <v>9</v>
      </c>
      <c r="C16" s="6">
        <f>Gen!T21</f>
        <v>4272</v>
      </c>
      <c r="D16" s="181">
        <f>Gen!S21</f>
        <v>1589.0299999999997</v>
      </c>
      <c r="E16" s="181">
        <f>Gen!AJ21</f>
        <v>260.22000000000003</v>
      </c>
      <c r="F16" s="181">
        <f>Gen!AR21</f>
        <v>1849.2499999999998</v>
      </c>
      <c r="G16" s="184">
        <f>'Utility report '!AC16</f>
        <v>117</v>
      </c>
      <c r="H16" s="184">
        <f>'Utility report '!AE16</f>
        <v>47</v>
      </c>
      <c r="I16" s="405">
        <f>'Water-Meter'!E16</f>
        <v>101</v>
      </c>
      <c r="J16" s="186">
        <f>'Lpg (2)'!B20</f>
        <v>53</v>
      </c>
      <c r="K16" s="186">
        <f>'Lpg (2)'!C20</f>
        <v>85</v>
      </c>
      <c r="L16" s="186">
        <f>'Lpg (2)'!D20</f>
        <v>85</v>
      </c>
      <c r="M16" s="669">
        <f>'Lpg (2)'!G20</f>
        <v>102.47600000003587</v>
      </c>
      <c r="N16" s="179">
        <f t="shared" si="2"/>
        <v>2224.6419999999994</v>
      </c>
      <c r="O16" s="179">
        <f t="shared" si="2"/>
        <v>364.30799999999999</v>
      </c>
      <c r="P16" s="178" t="e">
        <f>'[1]Lpg (2)'!#REF!</f>
        <v>#REF!</v>
      </c>
      <c r="Q16" s="179" t="e">
        <f>'[1]Summery Report'!#REF!</f>
        <v>#REF!</v>
      </c>
      <c r="R16" s="179">
        <f t="shared" si="0"/>
        <v>247.18244444444437</v>
      </c>
      <c r="S16" s="676" t="e">
        <f t="shared" si="1"/>
        <v>#REF!</v>
      </c>
    </row>
    <row r="17" spans="1:19" ht="14.25">
      <c r="A17" s="675">
        <f>Gen!A22</f>
        <v>43811</v>
      </c>
      <c r="B17" s="6">
        <f>'Summery Report'!E16</f>
        <v>6</v>
      </c>
      <c r="C17" s="6">
        <f>Gen!T22</f>
        <v>4226</v>
      </c>
      <c r="D17" s="181">
        <f>Gen!S22</f>
        <v>1661.0300000000002</v>
      </c>
      <c r="E17" s="181">
        <f>Gen!AJ22</f>
        <v>389.31</v>
      </c>
      <c r="F17" s="181">
        <f>Gen!AR22</f>
        <v>2050.34</v>
      </c>
      <c r="G17" s="184">
        <f>'Utility report '!AC17</f>
        <v>121</v>
      </c>
      <c r="H17" s="184">
        <f>'Utility report '!AE17</f>
        <v>70</v>
      </c>
      <c r="I17" s="405">
        <f>'Water-Meter'!E17</f>
        <v>108</v>
      </c>
      <c r="J17" s="186">
        <f>'Lpg (2)'!B21</f>
        <v>51</v>
      </c>
      <c r="K17" s="186">
        <f>'Lpg (2)'!C21</f>
        <v>85</v>
      </c>
      <c r="L17" s="186">
        <f>'Lpg (2)'!D21</f>
        <v>85</v>
      </c>
      <c r="M17" s="669">
        <f>'Lpg (2)'!G21</f>
        <v>105.64399999997696</v>
      </c>
      <c r="N17" s="179">
        <f t="shared" si="2"/>
        <v>2325.442</v>
      </c>
      <c r="O17" s="179">
        <f t="shared" si="2"/>
        <v>545.03399999999999</v>
      </c>
      <c r="P17" s="178" t="e">
        <f>'[1]Lpg (2)'!#REF!</f>
        <v>#REF!</v>
      </c>
      <c r="Q17" s="179" t="e">
        <f>'[1]Summery Report'!#REF!</f>
        <v>#REF!</v>
      </c>
      <c r="R17" s="179">
        <f t="shared" si="0"/>
        <v>387.57366666666667</v>
      </c>
      <c r="S17" s="676" t="e">
        <f t="shared" si="1"/>
        <v>#REF!</v>
      </c>
    </row>
    <row r="18" spans="1:19" ht="14.25">
      <c r="A18" s="675">
        <f>Gen!A23</f>
        <v>43812</v>
      </c>
      <c r="B18" s="6">
        <f>'Summery Report'!E17</f>
        <v>8</v>
      </c>
      <c r="C18" s="6">
        <f>Gen!T23</f>
        <v>4489</v>
      </c>
      <c r="D18" s="181">
        <f>Gen!S23</f>
        <v>1744.1100000000001</v>
      </c>
      <c r="E18" s="181">
        <f>Gen!AJ23</f>
        <v>252.28</v>
      </c>
      <c r="F18" s="181">
        <f>Gen!AR23</f>
        <v>1996.39</v>
      </c>
      <c r="G18" s="184">
        <f>'Utility report '!AC18</f>
        <v>115</v>
      </c>
      <c r="H18" s="184">
        <f>'Utility report '!AE18</f>
        <v>60</v>
      </c>
      <c r="I18" s="405">
        <f>'Water-Meter'!E18</f>
        <v>105</v>
      </c>
      <c r="J18" s="186">
        <f>'Lpg (2)'!B22</f>
        <v>48</v>
      </c>
      <c r="K18" s="186">
        <f>'Lpg (2)'!C22</f>
        <v>85</v>
      </c>
      <c r="L18" s="186">
        <f>'Lpg (2)'!D22</f>
        <v>85</v>
      </c>
      <c r="M18" s="669">
        <f>'Lpg (2)'!G22</f>
        <v>101.28800000001793</v>
      </c>
      <c r="N18" s="179">
        <f t="shared" si="2"/>
        <v>2441.7539999999999</v>
      </c>
      <c r="O18" s="179">
        <f t="shared" si="2"/>
        <v>353.19200000000001</v>
      </c>
      <c r="P18" s="178" t="e">
        <f>'[1]Lpg (2)'!#REF!</f>
        <v>#REF!</v>
      </c>
      <c r="Q18" s="179" t="e">
        <f>'[1]Summery Report'!#REF!</f>
        <v>#REF!</v>
      </c>
      <c r="R18" s="179">
        <f t="shared" si="0"/>
        <v>305.21924999999999</v>
      </c>
      <c r="S18" s="676" t="e">
        <f t="shared" si="1"/>
        <v>#REF!</v>
      </c>
    </row>
    <row r="19" spans="1:19" ht="14.25">
      <c r="A19" s="675">
        <f>Gen!A24</f>
        <v>43813</v>
      </c>
      <c r="B19" s="6">
        <f>'Summery Report'!E18</f>
        <v>10</v>
      </c>
      <c r="C19" s="6">
        <f>Gen!T24</f>
        <v>4460</v>
      </c>
      <c r="D19" s="181">
        <f>Gen!S24</f>
        <v>1718.37</v>
      </c>
      <c r="E19" s="181">
        <f>Gen!AJ24</f>
        <v>224.4</v>
      </c>
      <c r="F19" s="181">
        <f>Gen!AR24</f>
        <v>1942.77</v>
      </c>
      <c r="G19" s="184">
        <f>'Utility report '!AC19</f>
        <v>113</v>
      </c>
      <c r="H19" s="184">
        <f>'Utility report '!AE19</f>
        <v>30</v>
      </c>
      <c r="I19" s="405">
        <f>'Water-Meter'!E19</f>
        <v>111</v>
      </c>
      <c r="J19" s="186">
        <f>'Lpg (2)'!B23</f>
        <v>46</v>
      </c>
      <c r="K19" s="186">
        <f>'Lpg (2)'!C23</f>
        <v>85</v>
      </c>
      <c r="L19" s="186">
        <f>'Lpg (2)'!D23</f>
        <v>85</v>
      </c>
      <c r="M19" s="669">
        <f>'Lpg (2)'!G23</f>
        <v>101.11199999998207</v>
      </c>
      <c r="N19" s="179">
        <f t="shared" si="2"/>
        <v>2405.7179999999998</v>
      </c>
      <c r="O19" s="179">
        <f t="shared" si="2"/>
        <v>314.15999999999997</v>
      </c>
      <c r="P19" s="178" t="e">
        <f>'[1]Lpg (2)'!#REF!</f>
        <v>#REF!</v>
      </c>
      <c r="Q19" s="179" t="e">
        <f>'[1]Summery Report'!#REF!</f>
        <v>#REF!</v>
      </c>
      <c r="R19" s="179">
        <f t="shared" si="0"/>
        <v>240.5718</v>
      </c>
      <c r="S19" s="676" t="e">
        <f t="shared" si="1"/>
        <v>#REF!</v>
      </c>
    </row>
    <row r="20" spans="1:19" ht="14.25">
      <c r="A20" s="675">
        <f>Gen!A25</f>
        <v>43814</v>
      </c>
      <c r="B20" s="6">
        <f>'Summery Report'!E19</f>
        <v>15</v>
      </c>
      <c r="C20" s="6">
        <f>Gen!T25</f>
        <v>4526</v>
      </c>
      <c r="D20" s="181">
        <f>Gen!S25</f>
        <v>1798.7200000000003</v>
      </c>
      <c r="E20" s="181">
        <f>Gen!AJ25</f>
        <v>261.61</v>
      </c>
      <c r="F20" s="181">
        <f>Gen!AR25</f>
        <v>2060.3300000000004</v>
      </c>
      <c r="G20" s="184">
        <f>'Utility report '!AC20</f>
        <v>113</v>
      </c>
      <c r="H20" s="184">
        <f>'Utility report '!AE20</f>
        <v>0</v>
      </c>
      <c r="I20" s="405">
        <f>'Water-Meter'!E20</f>
        <v>97</v>
      </c>
      <c r="J20" s="186">
        <f>'Lpg (2)'!B24</f>
        <v>44</v>
      </c>
      <c r="K20" s="186">
        <f>'Lpg (2)'!C24</f>
        <v>85</v>
      </c>
      <c r="L20" s="186">
        <f>'Lpg (2)'!D24</f>
        <v>85</v>
      </c>
      <c r="M20" s="669">
        <f>'Lpg (2)'!G24</f>
        <v>105.60000000000001</v>
      </c>
      <c r="N20" s="179">
        <f t="shared" si="2"/>
        <v>2518.2080000000001</v>
      </c>
      <c r="O20" s="179">
        <f t="shared" si="2"/>
        <v>366.25400000000002</v>
      </c>
      <c r="P20" s="178" t="e">
        <f>'[1]Lpg (2)'!#REF!</f>
        <v>#REF!</v>
      </c>
      <c r="Q20" s="179" t="e">
        <f>'[1]Summery Report'!#REF!</f>
        <v>#REF!</v>
      </c>
      <c r="R20" s="179">
        <f t="shared" si="0"/>
        <v>167.88053333333335</v>
      </c>
      <c r="S20" s="676" t="e">
        <f t="shared" si="1"/>
        <v>#REF!</v>
      </c>
    </row>
    <row r="21" spans="1:19" ht="14.25">
      <c r="A21" s="675">
        <f>Gen!A26</f>
        <v>43815</v>
      </c>
      <c r="B21" s="6">
        <f>'Summery Report'!E20</f>
        <v>15</v>
      </c>
      <c r="C21" s="6">
        <f>Gen!T26</f>
        <v>4416</v>
      </c>
      <c r="D21" s="181">
        <f>Gen!S26</f>
        <v>1811.63</v>
      </c>
      <c r="E21" s="181">
        <f>Gen!AJ26</f>
        <v>104.11</v>
      </c>
      <c r="F21" s="181">
        <f>Gen!AR26</f>
        <v>1915.74</v>
      </c>
      <c r="G21" s="184">
        <f>'Utility report '!AC21</f>
        <v>113</v>
      </c>
      <c r="H21" s="184">
        <f>'Utility report '!AE21</f>
        <v>0</v>
      </c>
      <c r="I21" s="405">
        <f>'Water-Meter'!E21</f>
        <v>87</v>
      </c>
      <c r="J21" s="186">
        <f>'Lpg (2)'!B25</f>
        <v>41</v>
      </c>
      <c r="K21" s="186">
        <f>'Lpg (2)'!C25</f>
        <v>85</v>
      </c>
      <c r="L21" s="186">
        <f>'Lpg (2)'!D25</f>
        <v>85</v>
      </c>
      <c r="M21" s="669">
        <f>'Lpg (2)'!G25</f>
        <v>52.184000000002563</v>
      </c>
      <c r="N21" s="179">
        <f t="shared" si="2"/>
        <v>2536.2820000000002</v>
      </c>
      <c r="O21" s="179">
        <f t="shared" si="2"/>
        <v>145.75399999999999</v>
      </c>
      <c r="P21" s="178" t="e">
        <f>'[1]Lpg (2)'!#REF!</f>
        <v>#REF!</v>
      </c>
      <c r="Q21" s="179" t="e">
        <f>'[1]Summery Report'!#REF!</f>
        <v>#REF!</v>
      </c>
      <c r="R21" s="179">
        <f t="shared" si="0"/>
        <v>169.08546666666669</v>
      </c>
      <c r="S21" s="676" t="e">
        <f t="shared" si="1"/>
        <v>#REF!</v>
      </c>
    </row>
    <row r="22" spans="1:19" ht="14.25">
      <c r="A22" s="675">
        <f>Gen!A27</f>
        <v>43816</v>
      </c>
      <c r="B22" s="6">
        <f>'Summery Report'!E21</f>
        <v>36</v>
      </c>
      <c r="C22" s="6">
        <f>Gen!T27</f>
        <v>5002</v>
      </c>
      <c r="D22" s="181">
        <f>Gen!S27</f>
        <v>1984.46</v>
      </c>
      <c r="E22" s="181">
        <f>Gen!AJ27</f>
        <v>210.14</v>
      </c>
      <c r="F22" s="181">
        <f>Gen!AR27</f>
        <v>2194.6</v>
      </c>
      <c r="G22" s="184">
        <f>'Utility report '!AC22</f>
        <v>78</v>
      </c>
      <c r="H22" s="184">
        <f>'Utility report '!AE22</f>
        <v>4</v>
      </c>
      <c r="I22" s="405">
        <f>'Water-Meter'!E22</f>
        <v>108</v>
      </c>
      <c r="J22" s="186">
        <f>'Lpg (2)'!B26</f>
        <v>38</v>
      </c>
      <c r="K22" s="186">
        <f>'Lpg (2)'!C26</f>
        <v>85</v>
      </c>
      <c r="L22" s="186">
        <f>'Lpg (2)'!D26</f>
        <v>85</v>
      </c>
      <c r="M22" s="669">
        <f>'Lpg (2)'!G26</f>
        <v>104.23600000001025</v>
      </c>
      <c r="N22" s="179">
        <f t="shared" si="2"/>
        <v>2778.2439999999997</v>
      </c>
      <c r="O22" s="179">
        <f t="shared" si="2"/>
        <v>294.19599999999997</v>
      </c>
      <c r="P22" s="178" t="e">
        <f>'[1]Lpg (2)'!#REF!</f>
        <v>#REF!</v>
      </c>
      <c r="Q22" s="179" t="e">
        <f>'[1]Summery Report'!#REF!</f>
        <v>#REF!</v>
      </c>
      <c r="R22" s="179">
        <f t="shared" si="0"/>
        <v>77.173444444444442</v>
      </c>
      <c r="S22" s="676" t="e">
        <f t="shared" si="1"/>
        <v>#REF!</v>
      </c>
    </row>
    <row r="23" spans="1:19" ht="14.25">
      <c r="A23" s="675">
        <f>Gen!A28</f>
        <v>43817</v>
      </c>
      <c r="B23" s="6">
        <f>'Summery Report'!E22</f>
        <v>0</v>
      </c>
      <c r="C23" s="6">
        <f>Gen!T28</f>
        <v>0</v>
      </c>
      <c r="D23" s="181">
        <f>Gen!S28</f>
        <v>0</v>
      </c>
      <c r="E23" s="181">
        <f>Gen!AJ28</f>
        <v>0</v>
      </c>
      <c r="F23" s="181">
        <f>Gen!AR28</f>
        <v>0</v>
      </c>
      <c r="G23" s="184">
        <f>'Utility report '!AC23</f>
        <v>-19778</v>
      </c>
      <c r="H23" s="184">
        <f>'Utility report '!AE23</f>
        <v>-192761</v>
      </c>
      <c r="I23" s="405" t="str">
        <f>'Water-Meter'!E23</f>
        <v>0</v>
      </c>
      <c r="J23" s="186">
        <f>'Lpg (2)'!B27</f>
        <v>0</v>
      </c>
      <c r="K23" s="186">
        <f>'Lpg (2)'!C27</f>
        <v>0</v>
      </c>
      <c r="L23" s="186">
        <f>'Lpg (2)'!D27</f>
        <v>0</v>
      </c>
      <c r="M23" s="669">
        <f>'Lpg (2)'!G27</f>
        <v>-301408.40400000004</v>
      </c>
      <c r="N23" s="179">
        <f t="shared" si="2"/>
        <v>0</v>
      </c>
      <c r="O23" s="179">
        <f t="shared" si="2"/>
        <v>0</v>
      </c>
      <c r="P23" s="178" t="e">
        <f>'[1]Lpg (2)'!#REF!</f>
        <v>#REF!</v>
      </c>
      <c r="Q23" s="179" t="e">
        <f>'[1]Summery Report'!#REF!</f>
        <v>#REF!</v>
      </c>
      <c r="R23" s="179" t="e">
        <f t="shared" si="0"/>
        <v>#DIV/0!</v>
      </c>
      <c r="S23" s="676" t="e">
        <f t="shared" si="1"/>
        <v>#REF!</v>
      </c>
    </row>
    <row r="24" spans="1:19" ht="14.25">
      <c r="A24" s="675">
        <f>Gen!A29</f>
        <v>43818</v>
      </c>
      <c r="B24" s="6">
        <f>'Summery Report'!E23</f>
        <v>0</v>
      </c>
      <c r="C24" s="6">
        <f>Gen!T29</f>
        <v>0</v>
      </c>
      <c r="D24" s="181">
        <f>Gen!S29</f>
        <v>0</v>
      </c>
      <c r="E24" s="181">
        <f>Gen!AJ29</f>
        <v>0</v>
      </c>
      <c r="F24" s="181">
        <f>Gen!AR29</f>
        <v>0</v>
      </c>
      <c r="G24" s="184">
        <f>'Utility report '!AC24</f>
        <v>0</v>
      </c>
      <c r="H24" s="184">
        <f>'Utility report '!AE24</f>
        <v>0</v>
      </c>
      <c r="I24" s="405">
        <f>'Water-Meter'!E24</f>
        <v>0</v>
      </c>
      <c r="J24" s="186">
        <f>'Lpg (2)'!B28</f>
        <v>0</v>
      </c>
      <c r="K24" s="186">
        <f>'Lpg (2)'!C28</f>
        <v>0</v>
      </c>
      <c r="L24" s="186">
        <f>'Lpg (2)'!D28</f>
        <v>0</v>
      </c>
      <c r="M24" s="669">
        <f>'Lpg (2)'!G28</f>
        <v>0</v>
      </c>
      <c r="N24" s="179">
        <f t="shared" si="2"/>
        <v>0</v>
      </c>
      <c r="O24" s="179">
        <f t="shared" si="2"/>
        <v>0</v>
      </c>
      <c r="P24" s="178" t="e">
        <f>'[1]Lpg (2)'!#REF!</f>
        <v>#REF!</v>
      </c>
      <c r="Q24" s="179" t="e">
        <f>'[1]Summery Report'!#REF!</f>
        <v>#REF!</v>
      </c>
      <c r="R24" s="179" t="e">
        <f t="shared" si="0"/>
        <v>#DIV/0!</v>
      </c>
      <c r="S24" s="676" t="e">
        <f t="shared" si="1"/>
        <v>#REF!</v>
      </c>
    </row>
    <row r="25" spans="1:19" ht="14.25">
      <c r="A25" s="675">
        <f>Gen!A30</f>
        <v>43819</v>
      </c>
      <c r="B25" s="6">
        <f>'Summery Report'!E24</f>
        <v>0</v>
      </c>
      <c r="C25" s="6">
        <f>Gen!T30</f>
        <v>0</v>
      </c>
      <c r="D25" s="181">
        <f>Gen!S30</f>
        <v>0</v>
      </c>
      <c r="E25" s="181">
        <f>Gen!AJ30</f>
        <v>0</v>
      </c>
      <c r="F25" s="181">
        <f>Gen!AR30</f>
        <v>0</v>
      </c>
      <c r="G25" s="184">
        <f>'Utility report '!AC25</f>
        <v>0</v>
      </c>
      <c r="H25" s="184">
        <f>'Utility report '!AE25</f>
        <v>0</v>
      </c>
      <c r="I25" s="405">
        <f>'Water-Meter'!E25</f>
        <v>0</v>
      </c>
      <c r="J25" s="186">
        <f>'Lpg (2)'!B29</f>
        <v>0</v>
      </c>
      <c r="K25" s="186">
        <f>'Lpg (2)'!C29</f>
        <v>0</v>
      </c>
      <c r="L25" s="186">
        <f>'Lpg (2)'!D29</f>
        <v>0</v>
      </c>
      <c r="M25" s="669">
        <f>'Lpg (2)'!G29</f>
        <v>0</v>
      </c>
      <c r="N25" s="179">
        <f t="shared" si="2"/>
        <v>0</v>
      </c>
      <c r="O25" s="179">
        <f t="shared" si="2"/>
        <v>0</v>
      </c>
      <c r="P25" s="178" t="e">
        <f>'[1]Lpg (2)'!#REF!</f>
        <v>#REF!</v>
      </c>
      <c r="Q25" s="179" t="e">
        <f>'[1]Summery Report'!#REF!</f>
        <v>#REF!</v>
      </c>
      <c r="R25" s="179" t="e">
        <f t="shared" si="0"/>
        <v>#DIV/0!</v>
      </c>
      <c r="S25" s="676" t="e">
        <f t="shared" si="1"/>
        <v>#REF!</v>
      </c>
    </row>
    <row r="26" spans="1:19" ht="14.25">
      <c r="A26" s="675">
        <f>Gen!A31</f>
        <v>43820</v>
      </c>
      <c r="B26" s="6">
        <f>'Summery Report'!E25</f>
        <v>0</v>
      </c>
      <c r="C26" s="6">
        <f>Gen!T31</f>
        <v>0</v>
      </c>
      <c r="D26" s="181">
        <f>Gen!S31</f>
        <v>0</v>
      </c>
      <c r="E26" s="181">
        <f>Gen!AJ31</f>
        <v>0</v>
      </c>
      <c r="F26" s="181">
        <f>Gen!AR31</f>
        <v>0</v>
      </c>
      <c r="G26" s="184">
        <f>'Utility report '!AC26</f>
        <v>0</v>
      </c>
      <c r="H26" s="184">
        <f>'Utility report '!AE26</f>
        <v>0</v>
      </c>
      <c r="I26" s="405">
        <f>'Water-Meter'!E26</f>
        <v>0</v>
      </c>
      <c r="J26" s="186">
        <f>'Lpg (2)'!B30</f>
        <v>0</v>
      </c>
      <c r="K26" s="186">
        <f>'Lpg (2)'!C30</f>
        <v>0</v>
      </c>
      <c r="L26" s="186">
        <f>'Lpg (2)'!D30</f>
        <v>0</v>
      </c>
      <c r="M26" s="669">
        <f>'Lpg (2)'!G30</f>
        <v>0</v>
      </c>
      <c r="N26" s="179">
        <f t="shared" si="2"/>
        <v>0</v>
      </c>
      <c r="O26" s="179">
        <f t="shared" si="2"/>
        <v>0</v>
      </c>
      <c r="P26" s="178" t="e">
        <f>'[1]Lpg (2)'!#REF!</f>
        <v>#REF!</v>
      </c>
      <c r="Q26" s="179" t="e">
        <f>'[1]Summery Report'!#REF!</f>
        <v>#REF!</v>
      </c>
      <c r="R26" s="179" t="e">
        <f t="shared" si="0"/>
        <v>#DIV/0!</v>
      </c>
      <c r="S26" s="676" t="e">
        <f t="shared" si="1"/>
        <v>#REF!</v>
      </c>
    </row>
    <row r="27" spans="1:19" ht="14.25">
      <c r="A27" s="675">
        <f>Gen!A32</f>
        <v>43821</v>
      </c>
      <c r="B27" s="6">
        <f>'Summery Report'!E26</f>
        <v>0</v>
      </c>
      <c r="C27" s="6">
        <f>Gen!T32</f>
        <v>0</v>
      </c>
      <c r="D27" s="181">
        <f>Gen!S32</f>
        <v>0</v>
      </c>
      <c r="E27" s="181">
        <f>Gen!AJ32</f>
        <v>0</v>
      </c>
      <c r="F27" s="181">
        <f>Gen!AR32</f>
        <v>0</v>
      </c>
      <c r="G27" s="184">
        <f>'Utility report '!AC27</f>
        <v>0</v>
      </c>
      <c r="H27" s="184">
        <f>'Utility report '!AE27</f>
        <v>0</v>
      </c>
      <c r="I27" s="405">
        <f>'Water-Meter'!E27</f>
        <v>0</v>
      </c>
      <c r="J27" s="186">
        <f>'Lpg (2)'!B31</f>
        <v>0</v>
      </c>
      <c r="K27" s="186">
        <f>'Lpg (2)'!C31</f>
        <v>0</v>
      </c>
      <c r="L27" s="186">
        <f>'Lpg (2)'!D31</f>
        <v>0</v>
      </c>
      <c r="M27" s="669">
        <f>'Lpg (2)'!G31</f>
        <v>0</v>
      </c>
      <c r="N27" s="179">
        <f t="shared" si="2"/>
        <v>0</v>
      </c>
      <c r="O27" s="179">
        <f t="shared" si="2"/>
        <v>0</v>
      </c>
      <c r="P27" s="178" t="e">
        <f>'[1]Lpg (2)'!#REF!</f>
        <v>#REF!</v>
      </c>
      <c r="Q27" s="179" t="e">
        <f>'[1]Summery Report'!#REF!</f>
        <v>#REF!</v>
      </c>
      <c r="R27" s="179" t="e">
        <f t="shared" si="0"/>
        <v>#DIV/0!</v>
      </c>
      <c r="S27" s="676" t="e">
        <f t="shared" si="1"/>
        <v>#REF!</v>
      </c>
    </row>
    <row r="28" spans="1:19" ht="14.25">
      <c r="A28" s="675">
        <f>Gen!A33</f>
        <v>43822</v>
      </c>
      <c r="B28" s="6">
        <f>'Summery Report'!E27</f>
        <v>0</v>
      </c>
      <c r="C28" s="6">
        <f>Gen!T33</f>
        <v>0</v>
      </c>
      <c r="D28" s="181">
        <f>Gen!S33</f>
        <v>0</v>
      </c>
      <c r="E28" s="181">
        <f>Gen!AJ33</f>
        <v>0</v>
      </c>
      <c r="F28" s="181">
        <f>Gen!AR33</f>
        <v>0</v>
      </c>
      <c r="G28" s="184">
        <f>'Utility report '!AC28</f>
        <v>0</v>
      </c>
      <c r="H28" s="184">
        <f>'Utility report '!AE28</f>
        <v>0</v>
      </c>
      <c r="I28" s="405">
        <f>'Water-Meter'!E28</f>
        <v>0</v>
      </c>
      <c r="J28" s="186">
        <f>'Lpg (2)'!B32</f>
        <v>0</v>
      </c>
      <c r="K28" s="186">
        <f>'Lpg (2)'!C32</f>
        <v>0</v>
      </c>
      <c r="L28" s="186">
        <f>'Lpg (2)'!D32</f>
        <v>0</v>
      </c>
      <c r="M28" s="669">
        <f>'Lpg (2)'!G32</f>
        <v>0</v>
      </c>
      <c r="N28" s="179">
        <f t="shared" si="2"/>
        <v>0</v>
      </c>
      <c r="O28" s="179">
        <f t="shared" si="2"/>
        <v>0</v>
      </c>
      <c r="P28" s="178" t="e">
        <f>'[1]Lpg (2)'!#REF!</f>
        <v>#REF!</v>
      </c>
      <c r="Q28" s="179" t="e">
        <f>'[1]Summery Report'!#REF!</f>
        <v>#REF!</v>
      </c>
      <c r="R28" s="179" t="e">
        <f t="shared" si="0"/>
        <v>#DIV/0!</v>
      </c>
      <c r="S28" s="676" t="e">
        <f t="shared" si="1"/>
        <v>#REF!</v>
      </c>
    </row>
    <row r="29" spans="1:19" ht="14.25">
      <c r="A29" s="675">
        <f>Gen!A34</f>
        <v>43823</v>
      </c>
      <c r="B29" s="6">
        <f>'Summery Report'!E28</f>
        <v>0</v>
      </c>
      <c r="C29" s="6">
        <f>Gen!T34</f>
        <v>0</v>
      </c>
      <c r="D29" s="181">
        <f>Gen!S34</f>
        <v>0</v>
      </c>
      <c r="E29" s="181">
        <f>Gen!AJ34</f>
        <v>0</v>
      </c>
      <c r="F29" s="181">
        <f>Gen!AR34</f>
        <v>0</v>
      </c>
      <c r="G29" s="184">
        <f>'Utility report '!AC29</f>
        <v>0</v>
      </c>
      <c r="H29" s="184">
        <f>'Utility report '!AE29</f>
        <v>0</v>
      </c>
      <c r="I29" s="405">
        <f>'Water-Meter'!E29</f>
        <v>0</v>
      </c>
      <c r="J29" s="186">
        <f>'Lpg (2)'!B33</f>
        <v>0</v>
      </c>
      <c r="K29" s="186">
        <f>'Lpg (2)'!C33</f>
        <v>0</v>
      </c>
      <c r="L29" s="186">
        <f>'Lpg (2)'!D33</f>
        <v>0</v>
      </c>
      <c r="M29" s="669">
        <f>'Lpg (2)'!G33</f>
        <v>0</v>
      </c>
      <c r="N29" s="179">
        <f t="shared" si="2"/>
        <v>0</v>
      </c>
      <c r="O29" s="179">
        <f t="shared" si="2"/>
        <v>0</v>
      </c>
      <c r="P29" s="178" t="e">
        <f>'[1]Lpg (2)'!#REF!</f>
        <v>#REF!</v>
      </c>
      <c r="Q29" s="179" t="e">
        <f>'[1]Summery Report'!#REF!</f>
        <v>#REF!</v>
      </c>
      <c r="R29" s="179" t="e">
        <f t="shared" si="0"/>
        <v>#DIV/0!</v>
      </c>
      <c r="S29" s="676" t="e">
        <f t="shared" si="1"/>
        <v>#REF!</v>
      </c>
    </row>
    <row r="30" spans="1:19" ht="14.25">
      <c r="A30" s="675">
        <f>Gen!A35</f>
        <v>43824</v>
      </c>
      <c r="B30" s="6">
        <f>'Summery Report'!E29</f>
        <v>0</v>
      </c>
      <c r="C30" s="6">
        <f>Gen!T35</f>
        <v>0</v>
      </c>
      <c r="D30" s="181">
        <f>Gen!S35</f>
        <v>0</v>
      </c>
      <c r="E30" s="181">
        <f>Gen!AJ35</f>
        <v>0</v>
      </c>
      <c r="F30" s="181">
        <f>Gen!AR35</f>
        <v>0</v>
      </c>
      <c r="G30" s="184">
        <f>'Utility report '!AC30</f>
        <v>0</v>
      </c>
      <c r="H30" s="184">
        <f>'Utility report '!AE30</f>
        <v>0</v>
      </c>
      <c r="I30" s="405">
        <f>'Water-Meter'!E30</f>
        <v>0</v>
      </c>
      <c r="J30" s="186">
        <f>'Lpg (2)'!B34</f>
        <v>0</v>
      </c>
      <c r="K30" s="186">
        <f>'Lpg (2)'!C34</f>
        <v>0</v>
      </c>
      <c r="L30" s="186">
        <f>'Lpg (2)'!D34</f>
        <v>0</v>
      </c>
      <c r="M30" s="669">
        <f>'Lpg (2)'!G34</f>
        <v>0</v>
      </c>
      <c r="N30" s="179">
        <f t="shared" si="2"/>
        <v>0</v>
      </c>
      <c r="O30" s="179">
        <f t="shared" si="2"/>
        <v>0</v>
      </c>
      <c r="P30" s="178" t="e">
        <f>'[1]Lpg (2)'!#REF!</f>
        <v>#REF!</v>
      </c>
      <c r="Q30" s="179" t="e">
        <f>'[1]Summery Report'!#REF!</f>
        <v>#REF!</v>
      </c>
      <c r="R30" s="179" t="e">
        <f t="shared" si="0"/>
        <v>#DIV/0!</v>
      </c>
      <c r="S30" s="676" t="e">
        <f t="shared" si="1"/>
        <v>#REF!</v>
      </c>
    </row>
    <row r="31" spans="1:19" ht="14.25">
      <c r="A31" s="675">
        <f>Gen!A36</f>
        <v>43825</v>
      </c>
      <c r="B31" s="6">
        <f>'Summery Report'!E30</f>
        <v>0</v>
      </c>
      <c r="C31" s="6">
        <f>Gen!T36</f>
        <v>0</v>
      </c>
      <c r="D31" s="181">
        <f>Gen!S36</f>
        <v>0</v>
      </c>
      <c r="E31" s="181">
        <f>Gen!AJ36</f>
        <v>0</v>
      </c>
      <c r="F31" s="181">
        <f>Gen!AR36</f>
        <v>0</v>
      </c>
      <c r="G31" s="184">
        <f>'Utility report '!AC31</f>
        <v>0</v>
      </c>
      <c r="H31" s="184">
        <f>'Utility report '!AE31</f>
        <v>0</v>
      </c>
      <c r="I31" s="405">
        <f>'Water-Meter'!E31</f>
        <v>0</v>
      </c>
      <c r="J31" s="186">
        <f>'Lpg (2)'!B35</f>
        <v>0</v>
      </c>
      <c r="K31" s="186">
        <f>'Lpg (2)'!C35</f>
        <v>0</v>
      </c>
      <c r="L31" s="186">
        <f>'Lpg (2)'!D35</f>
        <v>0</v>
      </c>
      <c r="M31" s="669">
        <f>'Lpg (2)'!G35</f>
        <v>0</v>
      </c>
      <c r="N31" s="179">
        <f t="shared" si="2"/>
        <v>0</v>
      </c>
      <c r="O31" s="179">
        <f t="shared" si="2"/>
        <v>0</v>
      </c>
      <c r="P31" s="178" t="e">
        <f>'[1]Lpg (2)'!#REF!</f>
        <v>#REF!</v>
      </c>
      <c r="Q31" s="179" t="e">
        <f>'[1]Summery Report'!#REF!</f>
        <v>#REF!</v>
      </c>
      <c r="R31" s="179" t="e">
        <f t="shared" si="0"/>
        <v>#DIV/0!</v>
      </c>
      <c r="S31" s="676" t="e">
        <f t="shared" si="1"/>
        <v>#REF!</v>
      </c>
    </row>
    <row r="32" spans="1:19" ht="14.25">
      <c r="A32" s="675">
        <f>Gen!A37</f>
        <v>43826</v>
      </c>
      <c r="B32" s="6">
        <f>'Summery Report'!E31</f>
        <v>0</v>
      </c>
      <c r="C32" s="6">
        <f>Gen!T37</f>
        <v>0</v>
      </c>
      <c r="D32" s="181">
        <f>Gen!S37</f>
        <v>0</v>
      </c>
      <c r="E32" s="181">
        <f>Gen!AJ37</f>
        <v>0</v>
      </c>
      <c r="F32" s="181">
        <f>Gen!AR37</f>
        <v>0</v>
      </c>
      <c r="G32" s="184">
        <f>'Utility report '!AC32</f>
        <v>0</v>
      </c>
      <c r="H32" s="184">
        <f>'Utility report '!AE32</f>
        <v>0</v>
      </c>
      <c r="I32" s="405">
        <f>'Water-Meter'!E32</f>
        <v>0</v>
      </c>
      <c r="J32" s="186">
        <f>'Lpg (2)'!B36</f>
        <v>0</v>
      </c>
      <c r="K32" s="186">
        <f>'Lpg (2)'!C36</f>
        <v>0</v>
      </c>
      <c r="L32" s="186">
        <f>'Lpg (2)'!D36</f>
        <v>0</v>
      </c>
      <c r="M32" s="669">
        <f>'Lpg (2)'!G36</f>
        <v>0</v>
      </c>
      <c r="N32" s="179">
        <f t="shared" si="2"/>
        <v>0</v>
      </c>
      <c r="O32" s="179">
        <f t="shared" si="2"/>
        <v>0</v>
      </c>
      <c r="P32" s="178" t="e">
        <f>'[1]Lpg (2)'!#REF!</f>
        <v>#REF!</v>
      </c>
      <c r="Q32" s="179" t="e">
        <f>'[1]Summery Report'!#REF!</f>
        <v>#REF!</v>
      </c>
      <c r="R32" s="179" t="e">
        <f t="shared" si="0"/>
        <v>#DIV/0!</v>
      </c>
      <c r="S32" s="676" t="e">
        <f t="shared" si="1"/>
        <v>#REF!</v>
      </c>
    </row>
    <row r="33" spans="1:20" ht="14.25">
      <c r="A33" s="675">
        <f>Gen!A38</f>
        <v>43827</v>
      </c>
      <c r="B33" s="6">
        <f>'Summery Report'!E32</f>
        <v>0</v>
      </c>
      <c r="C33" s="6">
        <f>Gen!T38</f>
        <v>0</v>
      </c>
      <c r="D33" s="181">
        <f>Gen!S38</f>
        <v>0</v>
      </c>
      <c r="E33" s="181">
        <f>Gen!AJ38</f>
        <v>0</v>
      </c>
      <c r="F33" s="181">
        <f>Gen!AR38</f>
        <v>0</v>
      </c>
      <c r="G33" s="184">
        <f>'Utility report '!AC33</f>
        <v>0</v>
      </c>
      <c r="H33" s="184">
        <f>'Utility report '!AE33</f>
        <v>0</v>
      </c>
      <c r="I33" s="405">
        <f>'Water-Meter'!E33</f>
        <v>0</v>
      </c>
      <c r="J33" s="186">
        <f>'Lpg (2)'!B37</f>
        <v>0</v>
      </c>
      <c r="K33" s="186">
        <f>'Lpg (2)'!C37</f>
        <v>0</v>
      </c>
      <c r="L33" s="186">
        <f>'Lpg (2)'!D37</f>
        <v>0</v>
      </c>
      <c r="M33" s="669">
        <f>'Lpg (2)'!G37</f>
        <v>0</v>
      </c>
      <c r="N33" s="179">
        <f t="shared" si="2"/>
        <v>0</v>
      </c>
      <c r="O33" s="179">
        <f t="shared" si="2"/>
        <v>0</v>
      </c>
      <c r="P33" s="178" t="e">
        <f>'[1]Lpg (2)'!#REF!</f>
        <v>#REF!</v>
      </c>
      <c r="Q33" s="179" t="e">
        <f>'[1]Summery Report'!#REF!</f>
        <v>#REF!</v>
      </c>
      <c r="R33" s="179" t="e">
        <f t="shared" si="0"/>
        <v>#DIV/0!</v>
      </c>
      <c r="S33" s="676" t="e">
        <f t="shared" si="1"/>
        <v>#REF!</v>
      </c>
      <c r="T33">
        <f>3124/13</f>
        <v>240.30769230769232</v>
      </c>
    </row>
    <row r="34" spans="1:20" ht="14.25">
      <c r="A34" s="675">
        <f>Gen!A39</f>
        <v>43828</v>
      </c>
      <c r="B34" s="6">
        <f>'Summery Report'!E33</f>
        <v>0</v>
      </c>
      <c r="C34" s="6">
        <f>Gen!T39</f>
        <v>0</v>
      </c>
      <c r="D34" s="181">
        <f>Gen!S39</f>
        <v>0</v>
      </c>
      <c r="E34" s="181">
        <f>Gen!AJ39</f>
        <v>0</v>
      </c>
      <c r="F34" s="181">
        <f>Gen!AR39</f>
        <v>0</v>
      </c>
      <c r="G34" s="184">
        <f>'Utility report '!AC34</f>
        <v>0</v>
      </c>
      <c r="H34" s="184">
        <f>'Utility report '!AE34</f>
        <v>0</v>
      </c>
      <c r="I34" s="405">
        <f>'Water-Meter'!E34</f>
        <v>0</v>
      </c>
      <c r="J34" s="186">
        <f>'Lpg (2)'!B38</f>
        <v>0</v>
      </c>
      <c r="K34" s="186">
        <f>'Lpg (2)'!C38</f>
        <v>0</v>
      </c>
      <c r="L34" s="186">
        <f>'Lpg (2)'!D38</f>
        <v>0</v>
      </c>
      <c r="M34" s="669">
        <f>'Lpg (2)'!G38</f>
        <v>0</v>
      </c>
      <c r="N34" s="179">
        <f t="shared" si="2"/>
        <v>0</v>
      </c>
      <c r="O34" s="179">
        <f t="shared" si="2"/>
        <v>0</v>
      </c>
      <c r="P34" s="178" t="e">
        <f>'[1]Lpg (2)'!#REF!</f>
        <v>#REF!</v>
      </c>
      <c r="Q34" s="179" t="e">
        <f>'[1]Summery Report'!#REF!</f>
        <v>#REF!</v>
      </c>
      <c r="R34" s="179" t="e">
        <f t="shared" si="0"/>
        <v>#DIV/0!</v>
      </c>
      <c r="S34" s="676" t="e">
        <f t="shared" si="1"/>
        <v>#REF!</v>
      </c>
    </row>
    <row r="35" spans="1:20" ht="14.25">
      <c r="A35" s="675">
        <f>Gen!A40</f>
        <v>43829</v>
      </c>
      <c r="B35" s="6">
        <f>'Summery Report'!E34</f>
        <v>0</v>
      </c>
      <c r="C35" s="6">
        <f>Gen!T40</f>
        <v>0</v>
      </c>
      <c r="D35" s="181">
        <f>Gen!S40</f>
        <v>0</v>
      </c>
      <c r="E35" s="181">
        <f>Gen!AJ40</f>
        <v>0</v>
      </c>
      <c r="F35" s="181">
        <f>Gen!AR40</f>
        <v>0</v>
      </c>
      <c r="G35" s="184">
        <f>'Utility report '!AC35</f>
        <v>0</v>
      </c>
      <c r="H35" s="184">
        <f>'Utility report '!AE35</f>
        <v>0</v>
      </c>
      <c r="I35" s="405">
        <f>'Water-Meter'!E35</f>
        <v>0</v>
      </c>
      <c r="J35" s="186">
        <f>'Lpg (2)'!B39</f>
        <v>0</v>
      </c>
      <c r="K35" s="186">
        <f>'Lpg (2)'!C39</f>
        <v>0</v>
      </c>
      <c r="L35" s="186">
        <f>'Lpg (2)'!D39</f>
        <v>0</v>
      </c>
      <c r="M35" s="669">
        <f>'Lpg (2)'!G39</f>
        <v>0</v>
      </c>
      <c r="N35" s="179">
        <f t="shared" si="2"/>
        <v>0</v>
      </c>
      <c r="O35" s="179">
        <f t="shared" si="2"/>
        <v>0</v>
      </c>
      <c r="P35" s="178" t="e">
        <f>'[1]Lpg (2)'!#REF!</f>
        <v>#REF!</v>
      </c>
      <c r="Q35" s="179" t="e">
        <f>'[1]Summery Report'!#REF!</f>
        <v>#REF!</v>
      </c>
      <c r="R35" s="179" t="e">
        <f t="shared" si="0"/>
        <v>#DIV/0!</v>
      </c>
      <c r="S35" s="676" t="e">
        <f t="shared" si="1"/>
        <v>#REF!</v>
      </c>
    </row>
    <row r="36" spans="1:20" ht="14.25">
      <c r="A36" s="675">
        <f>Gen!A41</f>
        <v>43830</v>
      </c>
      <c r="B36" s="6">
        <f>'Summery Report'!E35</f>
        <v>0</v>
      </c>
      <c r="C36" s="6">
        <f>Gen!T41</f>
        <v>0</v>
      </c>
      <c r="D36" s="181">
        <f>Gen!S41</f>
        <v>0</v>
      </c>
      <c r="E36" s="181">
        <f>Gen!AJ41</f>
        <v>0</v>
      </c>
      <c r="F36" s="181">
        <f>Gen!AR41</f>
        <v>0</v>
      </c>
      <c r="G36" s="184">
        <f>'Utility report '!AC36</f>
        <v>0</v>
      </c>
      <c r="H36" s="184">
        <f>'Utility report '!AE36</f>
        <v>0</v>
      </c>
      <c r="I36" s="405">
        <f>'Water-Meter'!E36</f>
        <v>0</v>
      </c>
      <c r="J36" s="186">
        <f>'Lpg (2)'!B40</f>
        <v>0</v>
      </c>
      <c r="K36" s="186">
        <f>'Lpg (2)'!C40</f>
        <v>0</v>
      </c>
      <c r="L36" s="186">
        <f>'Lpg (2)'!D40</f>
        <v>0</v>
      </c>
      <c r="M36" s="669">
        <f>'Lpg (2)'!G40</f>
        <v>0</v>
      </c>
      <c r="N36" s="179">
        <f t="shared" si="2"/>
        <v>0</v>
      </c>
      <c r="O36" s="179">
        <f t="shared" si="2"/>
        <v>0</v>
      </c>
      <c r="P36" s="178" t="e">
        <f>'[1]Lpg (2)'!#REF!</f>
        <v>#REF!</v>
      </c>
      <c r="Q36" s="179" t="e">
        <f>'[1]Summery Report'!#REF!</f>
        <v>#REF!</v>
      </c>
      <c r="R36" s="179" t="e">
        <f t="shared" si="0"/>
        <v>#DIV/0!</v>
      </c>
      <c r="S36" s="676" t="e">
        <f t="shared" si="1"/>
        <v>#REF!</v>
      </c>
    </row>
    <row r="37" spans="1:20" ht="14.25">
      <c r="A37" s="675" t="e">
        <f>[1]Gen!A42</f>
        <v>#REF!</v>
      </c>
      <c r="B37" s="6">
        <f>'Summery Report'!E36</f>
        <v>0</v>
      </c>
      <c r="C37" s="6">
        <f>Gen!T42</f>
        <v>0</v>
      </c>
      <c r="D37" s="181">
        <f>Gen!S42</f>
        <v>0</v>
      </c>
      <c r="E37" s="181">
        <f>Gen!AJ42</f>
        <v>0</v>
      </c>
      <c r="F37" s="181">
        <f>Gen!AR42</f>
        <v>0</v>
      </c>
      <c r="G37" s="184">
        <f>'Utility report '!AC37</f>
        <v>0</v>
      </c>
      <c r="H37" s="184">
        <f>'Utility report '!AE37</f>
        <v>0</v>
      </c>
      <c r="I37" s="405">
        <f>'Water-Meter'!E37</f>
        <v>0</v>
      </c>
      <c r="J37" s="186">
        <f>'Lpg (2)'!B41</f>
        <v>0</v>
      </c>
      <c r="K37" s="186">
        <f>'Lpg (2)'!C41</f>
        <v>0</v>
      </c>
      <c r="L37" s="186">
        <f>'Lpg (2)'!D41</f>
        <v>0</v>
      </c>
      <c r="M37" s="669">
        <f>'Lpg (2)'!G41</f>
        <v>0</v>
      </c>
      <c r="N37" s="6"/>
      <c r="O37" s="6"/>
      <c r="P37" s="6"/>
      <c r="Q37" s="179" t="e">
        <f>'[1]Summery Report'!#REF!</f>
        <v>#REF!</v>
      </c>
      <c r="R37" s="179"/>
      <c r="S37" s="676" t="e">
        <f t="shared" si="1"/>
        <v>#REF!</v>
      </c>
    </row>
    <row r="38" spans="1:20" ht="14.25">
      <c r="A38" s="675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77"/>
    </row>
    <row r="39" spans="1:20" ht="13.5" thickBot="1">
      <c r="A39" s="55" t="s">
        <v>13</v>
      </c>
      <c r="B39" s="678">
        <f>SUM(B7:B37)</f>
        <v>172</v>
      </c>
      <c r="C39" s="678">
        <f>SUM(C7:C35)</f>
        <v>69412</v>
      </c>
      <c r="D39" s="678">
        <f>SUM(D7:D35)</f>
        <v>27253.489999999998</v>
      </c>
      <c r="E39" s="678">
        <f t="shared" ref="E39:S39" si="3">SUM(E7:E35)</f>
        <v>5660.5399999999991</v>
      </c>
      <c r="F39" s="678">
        <f t="shared" si="3"/>
        <v>32914.030000000006</v>
      </c>
      <c r="G39" s="678">
        <f t="shared" si="3"/>
        <v>-18086</v>
      </c>
      <c r="H39" s="678">
        <f t="shared" si="3"/>
        <v>-192044</v>
      </c>
      <c r="I39" s="678">
        <f t="shared" si="3"/>
        <v>1693</v>
      </c>
      <c r="J39" s="678">
        <f t="shared" si="3"/>
        <v>911</v>
      </c>
      <c r="K39" s="678">
        <f t="shared" si="3"/>
        <v>1360</v>
      </c>
      <c r="L39" s="678">
        <f t="shared" si="3"/>
        <v>1360</v>
      </c>
      <c r="M39" s="678">
        <f t="shared" si="3"/>
        <v>-299777.23600000003</v>
      </c>
      <c r="N39" s="678">
        <f t="shared" si="3"/>
        <v>38154.885999999999</v>
      </c>
      <c r="O39" s="678">
        <f t="shared" si="3"/>
        <v>7924.7559999999985</v>
      </c>
      <c r="P39" s="678" t="e">
        <f t="shared" si="3"/>
        <v>#REF!</v>
      </c>
      <c r="Q39" s="678" t="e">
        <f t="shared" si="3"/>
        <v>#REF!</v>
      </c>
      <c r="R39" s="678" t="e">
        <f t="shared" si="3"/>
        <v>#DIV/0!</v>
      </c>
      <c r="S39" s="679" t="e">
        <f t="shared" si="3"/>
        <v>#REF!</v>
      </c>
    </row>
  </sheetData>
  <mergeCells count="4">
    <mergeCell ref="D4:F4"/>
    <mergeCell ref="G4:I4"/>
    <mergeCell ref="J4:M4"/>
    <mergeCell ref="N4:P4"/>
  </mergeCells>
  <pageMargins left="0.45" right="0.45" top="0.5" bottom="0.75" header="0.3" footer="0.3"/>
  <pageSetup scale="52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AK74"/>
  <sheetViews>
    <sheetView view="pageLayout" topLeftCell="J4" zoomScale="85" zoomScalePageLayoutView="85" workbookViewId="0">
      <selection activeCell="AB26" sqref="AB26"/>
    </sheetView>
  </sheetViews>
  <sheetFormatPr defaultRowHeight="12.75"/>
  <cols>
    <col min="1" max="1" width="13.28515625" customWidth="1"/>
    <col min="2" max="2" width="9" customWidth="1"/>
    <col min="3" max="3" width="10.85546875" customWidth="1"/>
    <col min="4" max="4" width="8.5703125" customWidth="1"/>
    <col min="5" max="5" width="8.42578125" customWidth="1"/>
    <col min="6" max="6" width="10.5703125" bestFit="1" customWidth="1"/>
    <col min="7" max="7" width="13.42578125" customWidth="1"/>
    <col min="8" max="8" width="16.28515625" bestFit="1" customWidth="1"/>
    <col min="9" max="9" width="12" customWidth="1"/>
    <col min="10" max="11" width="11.7109375" customWidth="1"/>
    <col min="12" max="12" width="12.5703125" customWidth="1"/>
    <col min="14" max="14" width="10.85546875" customWidth="1"/>
    <col min="15" max="15" width="5.85546875" customWidth="1"/>
    <col min="16" max="16" width="11.7109375" bestFit="1" customWidth="1"/>
    <col min="17" max="17" width="9.5703125" customWidth="1"/>
    <col min="18" max="18" width="9.7109375" customWidth="1"/>
    <col min="19" max="19" width="6.140625" customWidth="1"/>
    <col min="20" max="20" width="10.5703125" customWidth="1"/>
    <col min="21" max="22" width="9.28515625" bestFit="1" customWidth="1"/>
    <col min="23" max="23" width="7.140625" customWidth="1"/>
    <col min="24" max="24" width="11" bestFit="1" customWidth="1"/>
    <col min="25" max="26" width="9.42578125" bestFit="1" customWidth="1"/>
    <col min="27" max="27" width="12.5703125" bestFit="1" customWidth="1"/>
    <col min="28" max="30" width="8.7109375" customWidth="1"/>
    <col min="31" max="31" width="12.28515625" bestFit="1" customWidth="1"/>
    <col min="32" max="33" width="9.28515625" bestFit="1" customWidth="1"/>
    <col min="34" max="34" width="8.5703125" bestFit="1" customWidth="1"/>
    <col min="35" max="35" width="11.28515625" bestFit="1" customWidth="1"/>
    <col min="36" max="36" width="11.85546875" bestFit="1" customWidth="1"/>
    <col min="37" max="37" width="6.85546875" bestFit="1" customWidth="1"/>
  </cols>
  <sheetData>
    <row r="1" spans="1:37" ht="24" thickBot="1">
      <c r="A1" s="734" t="s">
        <v>312</v>
      </c>
      <c r="B1" s="735"/>
      <c r="C1" s="735"/>
      <c r="D1" s="735"/>
      <c r="E1" s="735"/>
      <c r="F1" s="735"/>
      <c r="G1" s="735"/>
      <c r="H1" s="735"/>
      <c r="I1" s="735"/>
      <c r="J1" s="735"/>
      <c r="K1" s="735"/>
      <c r="L1" s="735"/>
      <c r="M1" s="735"/>
      <c r="N1" s="735"/>
      <c r="O1" s="735"/>
      <c r="P1" s="735"/>
      <c r="Q1" s="735"/>
      <c r="R1" s="735"/>
      <c r="S1" s="735"/>
      <c r="T1" s="735"/>
      <c r="U1" s="735"/>
      <c r="V1" s="735"/>
      <c r="W1" s="735"/>
      <c r="X1" s="735"/>
      <c r="Y1" s="735"/>
      <c r="Z1" s="735"/>
      <c r="AA1" s="735"/>
      <c r="AB1" s="735"/>
      <c r="AC1" s="735"/>
      <c r="AD1" s="735"/>
      <c r="AE1" s="735"/>
      <c r="AF1" s="735"/>
      <c r="AG1" s="735"/>
      <c r="AH1" s="735"/>
      <c r="AI1" s="735"/>
      <c r="AJ1" s="735"/>
      <c r="AK1" s="736"/>
    </row>
    <row r="2" spans="1:37" ht="61.5" customHeight="1" thickBot="1">
      <c r="A2" s="151" t="s">
        <v>99</v>
      </c>
      <c r="B2" s="737" t="s">
        <v>100</v>
      </c>
      <c r="C2" s="738"/>
      <c r="D2" s="739"/>
      <c r="E2" s="152"/>
      <c r="F2" s="152"/>
      <c r="G2" s="152"/>
      <c r="H2" s="149" t="s">
        <v>125</v>
      </c>
      <c r="I2" s="390" t="s">
        <v>101</v>
      </c>
      <c r="J2" s="742" t="s">
        <v>123</v>
      </c>
      <c r="K2" s="612"/>
      <c r="L2" s="744" t="s">
        <v>124</v>
      </c>
      <c r="M2" s="611" t="s">
        <v>102</v>
      </c>
      <c r="N2" s="742" t="s">
        <v>103</v>
      </c>
      <c r="O2" s="726" t="s">
        <v>104</v>
      </c>
      <c r="P2" s="727"/>
      <c r="Q2" s="727"/>
      <c r="R2" s="727"/>
      <c r="S2" s="727"/>
      <c r="T2" s="727"/>
      <c r="U2" s="727"/>
      <c r="V2" s="727"/>
      <c r="W2" s="727"/>
      <c r="X2" s="727"/>
      <c r="Y2" s="727"/>
      <c r="Z2" s="727"/>
      <c r="AA2" s="391" t="s">
        <v>105</v>
      </c>
      <c r="AB2" s="737" t="s">
        <v>165</v>
      </c>
      <c r="AC2" s="739"/>
      <c r="AD2" s="148">
        <v>0</v>
      </c>
      <c r="AE2" s="589"/>
      <c r="AF2" s="153" t="s">
        <v>106</v>
      </c>
      <c r="AG2" s="149" t="s">
        <v>107</v>
      </c>
      <c r="AH2" s="153" t="s">
        <v>108</v>
      </c>
      <c r="AI2" s="149" t="s">
        <v>109</v>
      </c>
      <c r="AJ2" s="150" t="s">
        <v>110</v>
      </c>
      <c r="AK2" s="149" t="s">
        <v>111</v>
      </c>
    </row>
    <row r="3" spans="1:37" ht="44.25" customHeight="1" thickBot="1">
      <c r="A3" s="156" t="s">
        <v>126</v>
      </c>
      <c r="B3" s="157">
        <v>1640</v>
      </c>
      <c r="C3" s="155" t="s">
        <v>127</v>
      </c>
      <c r="D3" s="157">
        <v>2175</v>
      </c>
      <c r="E3" s="158"/>
      <c r="F3" s="740">
        <f>SUM(D3/B3)</f>
        <v>1.3262195121951219</v>
      </c>
      <c r="G3" s="741"/>
      <c r="H3" s="132">
        <f>Gen!C11</f>
        <v>52821.972000000016</v>
      </c>
      <c r="I3" s="142"/>
      <c r="J3" s="742"/>
      <c r="K3" s="612" t="s">
        <v>166</v>
      </c>
      <c r="L3" s="744"/>
      <c r="M3" s="392" t="s">
        <v>112</v>
      </c>
      <c r="N3" s="742"/>
      <c r="O3" s="726" t="s">
        <v>113</v>
      </c>
      <c r="P3" s="727"/>
      <c r="Q3" s="727"/>
      <c r="R3" s="727"/>
      <c r="S3" s="728" t="s">
        <v>114</v>
      </c>
      <c r="T3" s="729"/>
      <c r="U3" s="729"/>
      <c r="V3" s="730"/>
      <c r="W3" s="731" t="s">
        <v>115</v>
      </c>
      <c r="X3" s="732"/>
      <c r="Y3" s="732"/>
      <c r="Z3" s="733"/>
      <c r="AA3" s="393" t="s">
        <v>116</v>
      </c>
      <c r="AB3" s="131" t="s">
        <v>112</v>
      </c>
      <c r="AC3" s="131" t="s">
        <v>117</v>
      </c>
      <c r="AD3" s="131">
        <v>0</v>
      </c>
      <c r="AE3" s="131" t="s">
        <v>117</v>
      </c>
      <c r="AF3" s="133" t="s">
        <v>118</v>
      </c>
      <c r="AG3" s="134" t="s">
        <v>118</v>
      </c>
      <c r="AH3" s="135" t="s">
        <v>118</v>
      </c>
      <c r="AI3" s="136" t="s">
        <v>119</v>
      </c>
      <c r="AJ3" s="137" t="s">
        <v>116</v>
      </c>
      <c r="AK3" s="138" t="s">
        <v>116</v>
      </c>
    </row>
    <row r="4" spans="1:37" ht="75.75" thickBot="1">
      <c r="A4" s="224"/>
      <c r="B4" s="225" t="s">
        <v>131</v>
      </c>
      <c r="C4" s="226" t="s">
        <v>1</v>
      </c>
      <c r="D4" s="227" t="s">
        <v>128</v>
      </c>
      <c r="E4" s="228"/>
      <c r="F4" s="228" t="s">
        <v>129</v>
      </c>
      <c r="G4" s="228" t="s">
        <v>130</v>
      </c>
      <c r="H4" s="229"/>
      <c r="I4" s="229"/>
      <c r="J4" s="742"/>
      <c r="K4" s="612"/>
      <c r="L4" s="744"/>
      <c r="M4" s="144"/>
      <c r="N4" s="743"/>
      <c r="O4" s="394" t="s">
        <v>174</v>
      </c>
      <c r="P4" s="395" t="s">
        <v>172</v>
      </c>
      <c r="Q4" s="395" t="s">
        <v>121</v>
      </c>
      <c r="R4" s="227" t="s">
        <v>173</v>
      </c>
      <c r="S4" s="394" t="s">
        <v>174</v>
      </c>
      <c r="T4" s="395" t="s">
        <v>172</v>
      </c>
      <c r="U4" s="395" t="s">
        <v>121</v>
      </c>
      <c r="V4" s="227" t="s">
        <v>173</v>
      </c>
      <c r="W4" s="394" t="s">
        <v>174</v>
      </c>
      <c r="X4" s="396"/>
      <c r="Y4" s="396" t="s">
        <v>121</v>
      </c>
      <c r="Z4" s="395" t="s">
        <v>173</v>
      </c>
      <c r="AA4" s="397" t="s">
        <v>120</v>
      </c>
      <c r="AB4" s="246"/>
      <c r="AC4" s="235" t="s">
        <v>120</v>
      </c>
      <c r="AD4" s="246"/>
      <c r="AE4" s="235" t="s">
        <v>120</v>
      </c>
      <c r="AF4" s="236">
        <v>2000</v>
      </c>
      <c r="AG4" s="237">
        <v>1000</v>
      </c>
      <c r="AH4" s="238">
        <v>1000</v>
      </c>
      <c r="AI4" s="239">
        <f>SUM([2]Sheet1!$AA$36)</f>
        <v>950</v>
      </c>
      <c r="AJ4" s="240" t="s">
        <v>10</v>
      </c>
      <c r="AK4" s="239" t="s">
        <v>120</v>
      </c>
    </row>
    <row r="5" spans="1:37" ht="19.5" thickBot="1">
      <c r="A5" s="230"/>
      <c r="B5" s="231"/>
      <c r="C5" s="232"/>
      <c r="D5" s="231"/>
      <c r="E5" s="231"/>
      <c r="F5" s="231"/>
      <c r="G5" s="231"/>
      <c r="H5" s="233"/>
      <c r="I5" s="233"/>
      <c r="J5" s="234"/>
      <c r="K5" s="234"/>
      <c r="L5" s="234"/>
      <c r="M5" s="144"/>
      <c r="N5" s="234"/>
      <c r="O5" s="234"/>
      <c r="P5" s="553">
        <v>18553</v>
      </c>
      <c r="Q5" s="76"/>
      <c r="R5" s="234"/>
      <c r="S5" s="234"/>
      <c r="T5" s="716">
        <v>15719</v>
      </c>
      <c r="U5" s="234"/>
      <c r="V5" s="234"/>
      <c r="W5" s="234"/>
      <c r="X5" s="714">
        <v>21849</v>
      </c>
      <c r="Y5" s="234"/>
      <c r="Z5" s="234"/>
      <c r="AA5" s="234"/>
      <c r="AB5" s="715">
        <v>17978</v>
      </c>
      <c r="AC5" s="139"/>
      <c r="AD5" s="553">
        <v>191986</v>
      </c>
      <c r="AE5" s="230"/>
      <c r="AF5" s="245">
        <v>0.85</v>
      </c>
      <c r="AG5" s="245">
        <v>0.85</v>
      </c>
      <c r="AH5" s="245">
        <v>0.85</v>
      </c>
      <c r="AI5" s="234"/>
      <c r="AJ5" s="234"/>
      <c r="AK5" s="234"/>
    </row>
    <row r="6" spans="1:37" ht="19.5" thickBot="1">
      <c r="A6" s="95">
        <f>Gen!A11</f>
        <v>43800</v>
      </c>
      <c r="B6" s="629">
        <f>'Summery Report'!E5</f>
        <v>9</v>
      </c>
      <c r="C6" s="159">
        <f>Gen!B11</f>
        <v>0.11700000000000001</v>
      </c>
      <c r="D6" s="630">
        <f>'Summery Report'!E5</f>
        <v>9</v>
      </c>
      <c r="E6" s="631">
        <f>SUM(F3)</f>
        <v>1.3262195121951219</v>
      </c>
      <c r="F6" s="632">
        <f>SUM(J6*E6)/D6</f>
        <v>243.82398373983739</v>
      </c>
      <c r="G6" s="632">
        <f t="shared" ref="G6:G36" si="0">SUM(L6*E6)/D6</f>
        <v>303.44933943089433</v>
      </c>
      <c r="H6" s="631">
        <f>Gen!C11</f>
        <v>52821.972000000016</v>
      </c>
      <c r="I6" s="633">
        <f>Gen!E11</f>
        <v>18000</v>
      </c>
      <c r="J6" s="143">
        <f>Gen!S11</f>
        <v>1654.6399999999999</v>
      </c>
      <c r="K6" s="143">
        <f>Gen!AJ11</f>
        <v>404.63</v>
      </c>
      <c r="L6" s="143">
        <f t="shared" ref="L6:L37" si="1">SUM(J6:K6)</f>
        <v>2059.27</v>
      </c>
      <c r="M6" s="668">
        <f>'Water-Meter'!K46</f>
        <v>531.35707011104432</v>
      </c>
      <c r="N6" s="223">
        <f>'Water-Meter'!E6</f>
        <v>109</v>
      </c>
      <c r="O6" s="234"/>
      <c r="P6" s="553">
        <v>18553</v>
      </c>
      <c r="Q6" s="634">
        <f t="shared" ref="Q6:Q36" si="2">SUM(P6-P5)</f>
        <v>0</v>
      </c>
      <c r="R6" s="635">
        <f>SUM(Q6*O6)</f>
        <v>0</v>
      </c>
      <c r="S6" s="553"/>
      <c r="T6" s="716">
        <v>15719</v>
      </c>
      <c r="U6" s="634">
        <f>T6-T5</f>
        <v>0</v>
      </c>
      <c r="V6" s="636" t="s">
        <v>249</v>
      </c>
      <c r="W6" s="234">
        <v>5</v>
      </c>
      <c r="X6" s="714">
        <v>21887</v>
      </c>
      <c r="Y6" s="634">
        <f>X6-X5</f>
        <v>38</v>
      </c>
      <c r="Z6" s="634">
        <f t="shared" ref="Z6:AA6" si="3">Y6-Y5</f>
        <v>38</v>
      </c>
      <c r="AA6" s="634">
        <f t="shared" si="3"/>
        <v>38</v>
      </c>
      <c r="AB6" s="715">
        <v>18086</v>
      </c>
      <c r="AC6" s="139">
        <f>AB6-AB5</f>
        <v>108</v>
      </c>
      <c r="AD6" s="553">
        <v>192044</v>
      </c>
      <c r="AE6" s="241">
        <f>AD6-AD5</f>
        <v>58</v>
      </c>
      <c r="AF6" s="363">
        <f>'Lpg (2)'!B10*2000/85</f>
        <v>1811.7647058823529</v>
      </c>
      <c r="AG6" s="364">
        <f>'Lpg (2)'!C10*1000/85</f>
        <v>1000</v>
      </c>
      <c r="AH6" s="365">
        <f>'Lpg (2)'!D10*1000/85</f>
        <v>1000</v>
      </c>
      <c r="AI6" s="637">
        <f>SUM(AF6*2000)+(AG6*1000)+(AH6*1000)</f>
        <v>5623529.4117647056</v>
      </c>
      <c r="AJ6" s="638">
        <f t="shared" ref="AJ6:AJ36" si="4">SUM(AI5-AI6)</f>
        <v>-5623529.4117647056</v>
      </c>
      <c r="AK6" s="242"/>
    </row>
    <row r="7" spans="1:37" ht="19.5" thickBot="1">
      <c r="A7" s="95">
        <f>Gen!A12</f>
        <v>43801</v>
      </c>
      <c r="B7" s="629">
        <f>'Summery Report'!E6</f>
        <v>9</v>
      </c>
      <c r="C7" s="159">
        <f>Gen!B12</f>
        <v>0.11700000000000001</v>
      </c>
      <c r="D7" s="630">
        <f>'Summery Report'!E6</f>
        <v>9</v>
      </c>
      <c r="E7" s="631">
        <f>SUM(E6)</f>
        <v>1.3262195121951219</v>
      </c>
      <c r="F7" s="632">
        <f>SUM(J7*E7)/D7</f>
        <v>248.84446138211382</v>
      </c>
      <c r="G7" s="632">
        <f t="shared" si="0"/>
        <v>441.97002032520328</v>
      </c>
      <c r="H7" s="631">
        <f>Gen!C12</f>
        <v>50762.702000000019</v>
      </c>
      <c r="I7" s="633">
        <f>Gen!E12</f>
        <v>0</v>
      </c>
      <c r="J7" s="143">
        <f>Gen!S12</f>
        <v>1688.71</v>
      </c>
      <c r="K7" s="143">
        <f>Gen!AJ12</f>
        <v>1310.5899999999999</v>
      </c>
      <c r="L7" s="143">
        <f t="shared" si="1"/>
        <v>2999.3</v>
      </c>
      <c r="M7" s="668">
        <f>'Water-Meter'!K47</f>
        <v>527.89927790325214</v>
      </c>
      <c r="N7" s="223">
        <f>'Water-Meter'!E7</f>
        <v>93</v>
      </c>
      <c r="O7" s="234"/>
      <c r="P7" s="553">
        <v>18553</v>
      </c>
      <c r="Q7" s="634">
        <f t="shared" si="2"/>
        <v>0</v>
      </c>
      <c r="R7" s="635">
        <f t="shared" ref="R7:R36" si="5">SUM(Q7*O7)</f>
        <v>0</v>
      </c>
      <c r="S7" s="553"/>
      <c r="T7" s="716">
        <v>15719</v>
      </c>
      <c r="U7" s="634">
        <f t="shared" ref="U7:U36" si="6">T7-T6</f>
        <v>0</v>
      </c>
      <c r="V7" s="636">
        <f t="shared" ref="V7:V9" si="7">SUM(U7*S7)</f>
        <v>0</v>
      </c>
      <c r="W7" s="234">
        <v>5</v>
      </c>
      <c r="X7" s="714">
        <v>21897</v>
      </c>
      <c r="Y7" s="634">
        <f t="shared" ref="Y7:Y36" si="8">X7-X6</f>
        <v>10</v>
      </c>
      <c r="Z7" s="636">
        <f t="shared" ref="Z7:Z36" si="9">SUM(Y7*W7)</f>
        <v>50</v>
      </c>
      <c r="AA7" s="636">
        <f t="shared" ref="AA7:AA36" si="10">SUM(Z7*X9)</f>
        <v>1096600</v>
      </c>
      <c r="AB7" s="715">
        <v>18197</v>
      </c>
      <c r="AC7" s="139">
        <f t="shared" ref="AC7:AC27" si="11">AB7-AB6</f>
        <v>111</v>
      </c>
      <c r="AD7" s="553">
        <v>192101</v>
      </c>
      <c r="AE7" s="241">
        <f>AD7-AD6</f>
        <v>57</v>
      </c>
      <c r="AF7" s="363">
        <f>'Lpg (2)'!B11*2000/85</f>
        <v>1764.7058823529412</v>
      </c>
      <c r="AG7" s="364">
        <f>'Lpg (2)'!C11*1000/85</f>
        <v>1000</v>
      </c>
      <c r="AH7" s="365">
        <f>'Lpg (2)'!D11*1000/85</f>
        <v>1000</v>
      </c>
      <c r="AI7" s="639">
        <f t="shared" ref="AI7:AI14" si="12">SUM(AF6*2000)+(AG7*1000)+(AH7*1000)</f>
        <v>5623529.4117647056</v>
      </c>
      <c r="AJ7" s="638">
        <f t="shared" si="4"/>
        <v>0</v>
      </c>
      <c r="AK7" s="145"/>
    </row>
    <row r="8" spans="1:37" ht="19.5" thickBot="1">
      <c r="A8" s="95">
        <f>Gen!A13</f>
        <v>43802</v>
      </c>
      <c r="B8" s="629">
        <f>'Summery Report'!E7</f>
        <v>6</v>
      </c>
      <c r="C8" s="159">
        <f>Gen!B13</f>
        <v>0.182</v>
      </c>
      <c r="D8" s="630">
        <f>'Summery Report'!E7</f>
        <v>6</v>
      </c>
      <c r="E8" s="631">
        <f t="shared" ref="E8:E36" si="13">SUM(E7)</f>
        <v>1.3262195121951219</v>
      </c>
      <c r="F8" s="632">
        <f t="shared" ref="F8:F36" si="14">SUM(J8*E8)/D8</f>
        <v>360.63224085365852</v>
      </c>
      <c r="G8" s="632">
        <f t="shared" si="0"/>
        <v>376.14016768292686</v>
      </c>
      <c r="H8" s="631">
        <f>Gen!C13</f>
        <v>47763.402000000016</v>
      </c>
      <c r="I8" s="633">
        <f>Gen!E13</f>
        <v>0</v>
      </c>
      <c r="J8" s="143">
        <f>Gen!S13</f>
        <v>1631.55</v>
      </c>
      <c r="K8" s="143">
        <f>Gen!AJ13</f>
        <v>70.16</v>
      </c>
      <c r="L8" s="143">
        <f t="shared" si="1"/>
        <v>1701.71</v>
      </c>
      <c r="M8" s="668">
        <f>'Water-Meter'!K48</f>
        <v>593.69455887532968</v>
      </c>
      <c r="N8" s="223">
        <f>'Water-Meter'!E8</f>
        <v>95</v>
      </c>
      <c r="O8" s="234"/>
      <c r="P8" s="553">
        <v>18553</v>
      </c>
      <c r="Q8" s="634">
        <f t="shared" si="2"/>
        <v>0</v>
      </c>
      <c r="R8" s="635">
        <f t="shared" si="5"/>
        <v>0</v>
      </c>
      <c r="S8" s="553"/>
      <c r="T8" s="716">
        <v>15719</v>
      </c>
      <c r="U8" s="634">
        <f t="shared" si="6"/>
        <v>0</v>
      </c>
      <c r="V8" s="636">
        <f t="shared" si="7"/>
        <v>0</v>
      </c>
      <c r="W8" s="553">
        <v>5</v>
      </c>
      <c r="X8" s="714">
        <v>21908</v>
      </c>
      <c r="Y8" s="634">
        <f t="shared" si="8"/>
        <v>11</v>
      </c>
      <c r="Z8" s="636">
        <f t="shared" si="9"/>
        <v>55</v>
      </c>
      <c r="AA8" s="636">
        <f t="shared" si="10"/>
        <v>1207580</v>
      </c>
      <c r="AB8" s="715">
        <v>18248</v>
      </c>
      <c r="AC8" s="139">
        <f t="shared" si="11"/>
        <v>51</v>
      </c>
      <c r="AD8" s="553">
        <v>192161</v>
      </c>
      <c r="AE8" s="241">
        <f t="shared" ref="AE8:AE37" si="15">AD8-AD7</f>
        <v>60</v>
      </c>
      <c r="AF8" s="363">
        <f>'Lpg (2)'!B12*2000/85</f>
        <v>1717.6470588235295</v>
      </c>
      <c r="AG8" s="364">
        <f>'Lpg (2)'!C12*1000/85</f>
        <v>1000</v>
      </c>
      <c r="AH8" s="365">
        <f>'Lpg (2)'!D12*1000/85</f>
        <v>1000</v>
      </c>
      <c r="AI8" s="639">
        <f t="shared" si="12"/>
        <v>5529411.7647058824</v>
      </c>
      <c r="AJ8" s="638">
        <f t="shared" si="4"/>
        <v>94117.647058823146</v>
      </c>
      <c r="AK8" s="145"/>
    </row>
    <row r="9" spans="1:37" ht="19.5" thickBot="1">
      <c r="A9" s="95">
        <f>Gen!A14</f>
        <v>43803</v>
      </c>
      <c r="B9" s="629">
        <f>'Summery Report'!E8</f>
        <v>8</v>
      </c>
      <c r="C9" s="159">
        <f>Gen!B14</f>
        <v>9.0999999999999998E-2</v>
      </c>
      <c r="D9" s="630">
        <f>'Summery Report'!E8</f>
        <v>8</v>
      </c>
      <c r="E9" s="631">
        <f t="shared" si="13"/>
        <v>1.3262195121951219</v>
      </c>
      <c r="F9" s="632">
        <f t="shared" si="14"/>
        <v>292.94033917682924</v>
      </c>
      <c r="G9" s="632">
        <f t="shared" si="0"/>
        <v>302.4194931402439</v>
      </c>
      <c r="H9" s="631">
        <f>Gen!C14</f>
        <v>46061.692000000017</v>
      </c>
      <c r="I9" s="633">
        <f>Gen!E14</f>
        <v>0</v>
      </c>
      <c r="J9" s="143">
        <f>Gen!S14</f>
        <v>1767.07</v>
      </c>
      <c r="K9" s="143">
        <f>Gen!AJ14</f>
        <v>57.18</v>
      </c>
      <c r="L9" s="143">
        <f t="shared" si="1"/>
        <v>1824.25</v>
      </c>
      <c r="M9" s="668">
        <f>'Water-Meter'!K49</f>
        <v>562.59647114716665</v>
      </c>
      <c r="N9" s="223">
        <f>'Water-Meter'!E9</f>
        <v>97</v>
      </c>
      <c r="O9" s="234"/>
      <c r="P9" s="553">
        <v>18553</v>
      </c>
      <c r="Q9" s="634">
        <f t="shared" si="2"/>
        <v>0</v>
      </c>
      <c r="R9" s="635">
        <f t="shared" si="5"/>
        <v>0</v>
      </c>
      <c r="S9" s="553"/>
      <c r="T9" s="716">
        <v>15719</v>
      </c>
      <c r="U9" s="634">
        <f t="shared" si="6"/>
        <v>0</v>
      </c>
      <c r="V9" s="636">
        <f t="shared" si="7"/>
        <v>0</v>
      </c>
      <c r="W9" s="553">
        <v>4.9000000000000004</v>
      </c>
      <c r="X9" s="714">
        <v>21932</v>
      </c>
      <c r="Y9" s="634">
        <f t="shared" si="8"/>
        <v>24</v>
      </c>
      <c r="Z9" s="636">
        <f t="shared" si="9"/>
        <v>117.60000000000001</v>
      </c>
      <c r="AA9" s="636">
        <f t="shared" si="10"/>
        <v>2584965.6</v>
      </c>
      <c r="AB9" s="715">
        <v>18362</v>
      </c>
      <c r="AC9" s="139">
        <f t="shared" si="11"/>
        <v>114</v>
      </c>
      <c r="AD9" s="553">
        <v>192215</v>
      </c>
      <c r="AE9" s="241">
        <f t="shared" si="15"/>
        <v>54</v>
      </c>
      <c r="AF9" s="363">
        <f>'Lpg (2)'!B13*2000/85</f>
        <v>1647.0588235294117</v>
      </c>
      <c r="AG9" s="364">
        <f>'Lpg (2)'!C13*1000/85</f>
        <v>1000</v>
      </c>
      <c r="AH9" s="365">
        <f>'Lpg (2)'!D13*1000/85</f>
        <v>1000</v>
      </c>
      <c r="AI9" s="639">
        <f t="shared" si="12"/>
        <v>5435294.1176470593</v>
      </c>
      <c r="AJ9" s="638">
        <f t="shared" si="4"/>
        <v>94117.647058823146</v>
      </c>
      <c r="AK9" s="145"/>
    </row>
    <row r="10" spans="1:37" ht="19.5" thickBot="1">
      <c r="A10" s="95">
        <f>Gen!A15</f>
        <v>43804</v>
      </c>
      <c r="B10" s="629">
        <f>'Summery Report'!E9</f>
        <v>9</v>
      </c>
      <c r="C10" s="159">
        <f>Gen!B15</f>
        <v>0.104</v>
      </c>
      <c r="D10" s="630">
        <f>'Summery Report'!E9</f>
        <v>9</v>
      </c>
      <c r="E10" s="631">
        <f t="shared" si="13"/>
        <v>1.3262195121951219</v>
      </c>
      <c r="F10" s="632">
        <f t="shared" si="14"/>
        <v>232.61742886178854</v>
      </c>
      <c r="G10" s="632">
        <f t="shared" si="0"/>
        <v>264.03704268292677</v>
      </c>
      <c r="H10" s="631">
        <f>Gen!C15</f>
        <v>44237.442000000017</v>
      </c>
      <c r="I10" s="633">
        <f>Gen!E15</f>
        <v>0</v>
      </c>
      <c r="J10" s="143">
        <f>Gen!S15</f>
        <v>1578.5899999999997</v>
      </c>
      <c r="K10" s="143">
        <f>Gen!AJ15</f>
        <v>213.22000000000003</v>
      </c>
      <c r="L10" s="143">
        <f t="shared" si="1"/>
        <v>1791.8099999999997</v>
      </c>
      <c r="M10" s="668">
        <f>'Water-Meter'!K50</f>
        <v>553.12160563017005</v>
      </c>
      <c r="N10" s="223">
        <f>'Water-Meter'!E10</f>
        <v>86</v>
      </c>
      <c r="O10" s="234"/>
      <c r="P10" s="553">
        <v>18553</v>
      </c>
      <c r="Q10" s="634">
        <f t="shared" si="2"/>
        <v>0</v>
      </c>
      <c r="R10" s="635">
        <f t="shared" si="5"/>
        <v>0</v>
      </c>
      <c r="S10" s="553"/>
      <c r="T10" s="716">
        <v>15719</v>
      </c>
      <c r="U10" s="634">
        <f t="shared" si="6"/>
        <v>0</v>
      </c>
      <c r="V10" s="636">
        <f t="shared" ref="V10:V16" si="16">SUM(U10*S10)</f>
        <v>0</v>
      </c>
      <c r="W10" s="553">
        <v>5.0999999999999996</v>
      </c>
      <c r="X10" s="714">
        <v>21956</v>
      </c>
      <c r="Y10" s="634">
        <f t="shared" si="8"/>
        <v>24</v>
      </c>
      <c r="Z10" s="636">
        <f t="shared" si="9"/>
        <v>122.39999999999999</v>
      </c>
      <c r="AA10" s="636">
        <f t="shared" si="10"/>
        <v>2693412</v>
      </c>
      <c r="AB10" s="715">
        <v>18473</v>
      </c>
      <c r="AC10" s="139">
        <f t="shared" si="11"/>
        <v>111</v>
      </c>
      <c r="AD10" s="553">
        <v>192270</v>
      </c>
      <c r="AE10" s="241">
        <f t="shared" si="15"/>
        <v>55</v>
      </c>
      <c r="AF10" s="363">
        <f>'Lpg (2)'!B14*2000/85</f>
        <v>1600</v>
      </c>
      <c r="AG10" s="364">
        <f>'Lpg (2)'!C14*1000/85</f>
        <v>1000</v>
      </c>
      <c r="AH10" s="365">
        <f>'Lpg (2)'!D14*1000/85</f>
        <v>1000</v>
      </c>
      <c r="AI10" s="639">
        <f t="shared" si="12"/>
        <v>5294117.6470588241</v>
      </c>
      <c r="AJ10" s="638">
        <f t="shared" si="4"/>
        <v>141176.47058823518</v>
      </c>
      <c r="AK10" s="145"/>
    </row>
    <row r="11" spans="1:37" ht="19.5" thickBot="1">
      <c r="A11" s="95">
        <f>Gen!A16</f>
        <v>43805</v>
      </c>
      <c r="B11" s="629">
        <f>'Summery Report'!E10</f>
        <v>11</v>
      </c>
      <c r="C11" s="159">
        <f>Gen!B16</f>
        <v>9.8000000000000004E-2</v>
      </c>
      <c r="D11" s="630">
        <f>'Summery Report'!E10</f>
        <v>11</v>
      </c>
      <c r="E11" s="631">
        <f t="shared" si="13"/>
        <v>1.3262195121951219</v>
      </c>
      <c r="F11" s="632">
        <f t="shared" si="14"/>
        <v>221.00001385809313</v>
      </c>
      <c r="G11" s="632">
        <f t="shared" si="0"/>
        <v>468.72093957871397</v>
      </c>
      <c r="H11" s="631">
        <f>Gen!C16</f>
        <v>42445.63200000002</v>
      </c>
      <c r="I11" s="633">
        <f>Gen!E16</f>
        <v>0</v>
      </c>
      <c r="J11" s="143">
        <f>Gen!S16</f>
        <v>1833.0300000000002</v>
      </c>
      <c r="K11" s="143">
        <f>Gen!AJ16</f>
        <v>2054.66</v>
      </c>
      <c r="L11" s="143">
        <f t="shared" si="1"/>
        <v>3887.69</v>
      </c>
      <c r="M11" s="668">
        <f>'Water-Meter'!K51</f>
        <v>548.6883006837503</v>
      </c>
      <c r="N11" s="223">
        <f>'Water-Meter'!E11</f>
        <v>105</v>
      </c>
      <c r="O11" s="234"/>
      <c r="P11" s="553">
        <v>18553</v>
      </c>
      <c r="Q11" s="634">
        <f t="shared" si="2"/>
        <v>0</v>
      </c>
      <c r="R11" s="635">
        <f t="shared" si="5"/>
        <v>0</v>
      </c>
      <c r="S11" s="553"/>
      <c r="T11" s="716">
        <v>15719</v>
      </c>
      <c r="U11" s="634">
        <f t="shared" si="6"/>
        <v>0</v>
      </c>
      <c r="V11" s="636">
        <f t="shared" si="16"/>
        <v>0</v>
      </c>
      <c r="W11" s="553">
        <v>5.0999999999999996</v>
      </c>
      <c r="X11" s="714">
        <v>21981</v>
      </c>
      <c r="Y11" s="634">
        <f t="shared" si="8"/>
        <v>25</v>
      </c>
      <c r="Z11" s="636">
        <f t="shared" si="9"/>
        <v>127.49999999999999</v>
      </c>
      <c r="AA11" s="636">
        <f t="shared" si="10"/>
        <v>2808569.9999999995</v>
      </c>
      <c r="AB11" s="715">
        <v>18584</v>
      </c>
      <c r="AC11" s="139">
        <f t="shared" si="11"/>
        <v>111</v>
      </c>
      <c r="AD11" s="553">
        <v>192321</v>
      </c>
      <c r="AE11" s="241">
        <f t="shared" si="15"/>
        <v>51</v>
      </c>
      <c r="AF11" s="363">
        <f>'Lpg (2)'!B15*2000/85</f>
        <v>1552.9411764705883</v>
      </c>
      <c r="AG11" s="364">
        <f>'Lpg (2)'!C15*1000/85</f>
        <v>1000</v>
      </c>
      <c r="AH11" s="365">
        <f>'Lpg (2)'!D15*1000/85</f>
        <v>1000</v>
      </c>
      <c r="AI11" s="639">
        <f t="shared" si="12"/>
        <v>5200000</v>
      </c>
      <c r="AJ11" s="638">
        <f t="shared" si="4"/>
        <v>94117.647058824077</v>
      </c>
      <c r="AK11" s="145"/>
    </row>
    <row r="12" spans="1:37" ht="19.5" thickBot="1">
      <c r="A12" s="95">
        <f>Gen!A17</f>
        <v>43806</v>
      </c>
      <c r="B12" s="629">
        <f>'Summery Report'!E11</f>
        <v>6</v>
      </c>
      <c r="C12" s="159">
        <f>Gen!B17</f>
        <v>0.1555</v>
      </c>
      <c r="D12" s="630">
        <f>'Summery Report'!E11</f>
        <v>6</v>
      </c>
      <c r="E12" s="631">
        <f t="shared" si="13"/>
        <v>1.3262195121951219</v>
      </c>
      <c r="F12" s="632">
        <f t="shared" si="14"/>
        <v>356.3684451219512</v>
      </c>
      <c r="G12" s="632">
        <f t="shared" si="0"/>
        <v>370.07271341463411</v>
      </c>
      <c r="H12" s="631">
        <f>Gen!C17</f>
        <v>53557.942000000017</v>
      </c>
      <c r="I12" s="633">
        <f>Gen!E17</f>
        <v>15000</v>
      </c>
      <c r="J12" s="143">
        <f>Gen!S17</f>
        <v>1612.2599999999998</v>
      </c>
      <c r="K12" s="143">
        <f>Gen!AJ17</f>
        <v>62</v>
      </c>
      <c r="L12" s="143">
        <f t="shared" si="1"/>
        <v>1674.2599999999998</v>
      </c>
      <c r="M12" s="668">
        <f>'Water-Meter'!K52</f>
        <v>544.39137723410295</v>
      </c>
      <c r="N12" s="223">
        <f>'Water-Meter'!E12</f>
        <v>131</v>
      </c>
      <c r="O12" s="234"/>
      <c r="P12" s="553">
        <v>18553</v>
      </c>
      <c r="Q12" s="634">
        <f t="shared" si="2"/>
        <v>0</v>
      </c>
      <c r="R12" s="635">
        <f t="shared" si="5"/>
        <v>0</v>
      </c>
      <c r="S12" s="553"/>
      <c r="T12" s="716">
        <v>15719</v>
      </c>
      <c r="U12" s="634">
        <f t="shared" si="6"/>
        <v>0</v>
      </c>
      <c r="V12" s="636">
        <f t="shared" si="16"/>
        <v>0</v>
      </c>
      <c r="W12" s="553">
        <v>5.0999999999999996</v>
      </c>
      <c r="X12" s="714">
        <v>22005</v>
      </c>
      <c r="Y12" s="634">
        <f t="shared" si="8"/>
        <v>24</v>
      </c>
      <c r="Z12" s="636">
        <f t="shared" si="9"/>
        <v>122.39999999999999</v>
      </c>
      <c r="AA12" s="636">
        <f t="shared" si="10"/>
        <v>2698920</v>
      </c>
      <c r="AB12" s="715">
        <v>18695</v>
      </c>
      <c r="AC12" s="139">
        <f t="shared" si="11"/>
        <v>111</v>
      </c>
      <c r="AD12" s="553">
        <v>192361</v>
      </c>
      <c r="AE12" s="241">
        <f t="shared" si="15"/>
        <v>40</v>
      </c>
      <c r="AF12" s="363">
        <f>'Lpg (2)'!B16*2000/85</f>
        <v>1505.8823529411766</v>
      </c>
      <c r="AG12" s="364">
        <f>'Lpg (2)'!C16*1000/85</f>
        <v>1000</v>
      </c>
      <c r="AH12" s="365">
        <f>'Lpg (2)'!D16*1000/85</f>
        <v>1000</v>
      </c>
      <c r="AI12" s="639">
        <f t="shared" si="12"/>
        <v>5105882.3529411759</v>
      </c>
      <c r="AJ12" s="638">
        <f t="shared" si="4"/>
        <v>94117.647058824077</v>
      </c>
      <c r="AK12" s="145"/>
    </row>
    <row r="13" spans="1:37" ht="19.5" thickBot="1">
      <c r="A13" s="95">
        <f>Gen!A18</f>
        <v>43807</v>
      </c>
      <c r="B13" s="629">
        <f>'Summery Report'!E12</f>
        <v>9</v>
      </c>
      <c r="C13" s="159">
        <f>Gen!B18</f>
        <v>0.1038</v>
      </c>
      <c r="D13" s="630">
        <f>'Summery Report'!E12</f>
        <v>9</v>
      </c>
      <c r="E13" s="631">
        <f t="shared" si="13"/>
        <v>1.3262195121951219</v>
      </c>
      <c r="F13" s="632">
        <f t="shared" si="14"/>
        <v>234.99430894308938</v>
      </c>
      <c r="G13" s="632">
        <f t="shared" si="0"/>
        <v>234.99430894308938</v>
      </c>
      <c r="H13" s="631">
        <f>Gen!C18</f>
        <v>51883.682000000015</v>
      </c>
      <c r="I13" s="633">
        <f>Gen!E18</f>
        <v>0</v>
      </c>
      <c r="J13" s="143">
        <f>Gen!S18</f>
        <v>1594.7199999999998</v>
      </c>
      <c r="K13" s="143">
        <f>Gen!AJ18</f>
        <v>0</v>
      </c>
      <c r="L13" s="143">
        <f t="shared" si="1"/>
        <v>1594.7199999999998</v>
      </c>
      <c r="M13" s="668">
        <f>'Water-Meter'!K53</f>
        <v>527.27379955503693</v>
      </c>
      <c r="N13" s="223">
        <f>'Water-Meter'!E13</f>
        <v>129</v>
      </c>
      <c r="O13" s="234"/>
      <c r="P13" s="553">
        <v>18553</v>
      </c>
      <c r="Q13" s="634">
        <f t="shared" si="2"/>
        <v>0</v>
      </c>
      <c r="R13" s="635">
        <f t="shared" si="5"/>
        <v>0</v>
      </c>
      <c r="S13" s="553"/>
      <c r="T13" s="716">
        <v>15719</v>
      </c>
      <c r="U13" s="634">
        <f t="shared" si="6"/>
        <v>0</v>
      </c>
      <c r="V13" s="636">
        <f t="shared" si="16"/>
        <v>0</v>
      </c>
      <c r="W13" s="553">
        <v>5.0999999999999996</v>
      </c>
      <c r="X13" s="714">
        <v>22028</v>
      </c>
      <c r="Y13" s="634">
        <f t="shared" si="8"/>
        <v>23</v>
      </c>
      <c r="Z13" s="636">
        <f t="shared" si="9"/>
        <v>117.3</v>
      </c>
      <c r="AA13" s="636">
        <f t="shared" si="10"/>
        <v>2588928.2999999998</v>
      </c>
      <c r="AB13" s="715">
        <v>18800</v>
      </c>
      <c r="AC13" s="139">
        <f t="shared" si="11"/>
        <v>105</v>
      </c>
      <c r="AD13" s="553">
        <v>192434</v>
      </c>
      <c r="AE13" s="241">
        <f t="shared" si="15"/>
        <v>73</v>
      </c>
      <c r="AF13" s="363">
        <f>'Lpg (2)'!B17*2000/85</f>
        <v>1435.2941176470588</v>
      </c>
      <c r="AG13" s="364">
        <f>'Lpg (2)'!C17*1000/85</f>
        <v>1000</v>
      </c>
      <c r="AH13" s="365">
        <f>'Lpg (2)'!D17*1000/85</f>
        <v>1000</v>
      </c>
      <c r="AI13" s="639">
        <f t="shared" si="12"/>
        <v>5011764.7058823537</v>
      </c>
      <c r="AJ13" s="638">
        <f t="shared" si="4"/>
        <v>94117.647058822215</v>
      </c>
      <c r="AK13" s="146"/>
    </row>
    <row r="14" spans="1:37" ht="19.5" thickBot="1">
      <c r="A14" s="95">
        <f>Gen!A19</f>
        <v>43808</v>
      </c>
      <c r="B14" s="629">
        <f>'Summery Report'!E13</f>
        <v>7</v>
      </c>
      <c r="C14" s="159">
        <f>Gen!B19</f>
        <v>0.16880000000000001</v>
      </c>
      <c r="D14" s="630">
        <f>'Summery Report'!E13</f>
        <v>7</v>
      </c>
      <c r="E14" s="631">
        <f t="shared" si="13"/>
        <v>1.3262195121951219</v>
      </c>
      <c r="F14" s="632">
        <f t="shared" si="14"/>
        <v>292.95241724738673</v>
      </c>
      <c r="G14" s="632">
        <f t="shared" si="0"/>
        <v>326.57397648083622</v>
      </c>
      <c r="H14" s="631">
        <f>Gen!C19</f>
        <v>50288.962000000014</v>
      </c>
      <c r="I14" s="633">
        <f>Gen!E19</f>
        <v>0</v>
      </c>
      <c r="J14" s="143">
        <f>Gen!S19</f>
        <v>1546.25</v>
      </c>
      <c r="K14" s="143">
        <f>Gen!AJ19</f>
        <v>177.46</v>
      </c>
      <c r="L14" s="143">
        <f t="shared" si="1"/>
        <v>1723.71</v>
      </c>
      <c r="M14" s="668">
        <f>'Water-Meter'!K54</f>
        <v>521.48698850052051</v>
      </c>
      <c r="N14" s="223">
        <f>'Water-Meter'!E14</f>
        <v>139</v>
      </c>
      <c r="O14" s="234"/>
      <c r="P14" s="553">
        <v>18553</v>
      </c>
      <c r="Q14" s="634">
        <f t="shared" si="2"/>
        <v>0</v>
      </c>
      <c r="R14" s="635">
        <f t="shared" si="5"/>
        <v>0</v>
      </c>
      <c r="S14" s="553"/>
      <c r="T14" s="716">
        <v>15719</v>
      </c>
      <c r="U14" s="634">
        <f t="shared" si="6"/>
        <v>0</v>
      </c>
      <c r="V14" s="636">
        <f t="shared" si="16"/>
        <v>0</v>
      </c>
      <c r="W14" s="553">
        <v>5.0999999999999996</v>
      </c>
      <c r="X14" s="714">
        <v>22050</v>
      </c>
      <c r="Y14" s="634">
        <f t="shared" si="8"/>
        <v>22</v>
      </c>
      <c r="Z14" s="636">
        <f t="shared" si="9"/>
        <v>112.19999999999999</v>
      </c>
      <c r="AA14" s="636">
        <f t="shared" si="10"/>
        <v>2479058.9999999995</v>
      </c>
      <c r="AB14" s="715">
        <v>18903</v>
      </c>
      <c r="AC14" s="139">
        <f t="shared" si="11"/>
        <v>103</v>
      </c>
      <c r="AD14" s="553">
        <v>192504</v>
      </c>
      <c r="AE14" s="241">
        <f t="shared" si="15"/>
        <v>70</v>
      </c>
      <c r="AF14" s="363">
        <f>'Lpg (2)'!B18*2000/85</f>
        <v>1364.7058823529412</v>
      </c>
      <c r="AG14" s="364">
        <f>'Lpg (2)'!C18*1000/85</f>
        <v>1000</v>
      </c>
      <c r="AH14" s="365">
        <f>'Lpg (2)'!D18*1000/85</f>
        <v>1000</v>
      </c>
      <c r="AI14" s="639">
        <f t="shared" si="12"/>
        <v>4870588.2352941176</v>
      </c>
      <c r="AJ14" s="638">
        <f t="shared" si="4"/>
        <v>141176.47058823612</v>
      </c>
      <c r="AK14" s="145"/>
    </row>
    <row r="15" spans="1:37" ht="19.5" thickBot="1">
      <c r="A15" s="95">
        <f>Gen!A20</f>
        <v>43809</v>
      </c>
      <c r="B15" s="629">
        <f>'Summery Report'!E14</f>
        <v>8</v>
      </c>
      <c r="C15" s="159">
        <f>Gen!B20</f>
        <v>0.12989999999999999</v>
      </c>
      <c r="D15" s="630">
        <f>'Summery Report'!E14</f>
        <v>8</v>
      </c>
      <c r="E15" s="631">
        <f t="shared" si="13"/>
        <v>1.3262195121951219</v>
      </c>
      <c r="F15" s="632">
        <f t="shared" si="14"/>
        <v>280.82035060975608</v>
      </c>
      <c r="G15" s="632">
        <f t="shared" si="0"/>
        <v>283.00861280487806</v>
      </c>
      <c r="H15" s="631">
        <f>Gen!C20</f>
        <v>48565.252000000015</v>
      </c>
      <c r="I15" s="633">
        <f>Gen!E20</f>
        <v>0</v>
      </c>
      <c r="J15" s="143">
        <f>Gen!S20</f>
        <v>1693.96</v>
      </c>
      <c r="K15" s="143">
        <f>Gen!AJ20</f>
        <v>13.2</v>
      </c>
      <c r="L15" s="143">
        <f t="shared" si="1"/>
        <v>1707.16</v>
      </c>
      <c r="M15" s="668">
        <f>'Water-Meter'!K55</f>
        <v>565.2773344947509</v>
      </c>
      <c r="N15" s="223">
        <f>'Water-Meter'!E15</f>
        <v>101</v>
      </c>
      <c r="O15" s="234"/>
      <c r="P15" s="553">
        <v>18553</v>
      </c>
      <c r="Q15" s="634">
        <f t="shared" si="2"/>
        <v>0</v>
      </c>
      <c r="R15" s="635">
        <f t="shared" si="5"/>
        <v>0</v>
      </c>
      <c r="S15" s="553"/>
      <c r="T15" s="716">
        <v>15719</v>
      </c>
      <c r="U15" s="634">
        <f t="shared" si="6"/>
        <v>0</v>
      </c>
      <c r="V15" s="636">
        <f t="shared" si="16"/>
        <v>0</v>
      </c>
      <c r="W15" s="553">
        <v>5.0999999999999996</v>
      </c>
      <c r="X15" s="714">
        <v>22071</v>
      </c>
      <c r="Y15" s="634">
        <f t="shared" si="8"/>
        <v>21</v>
      </c>
      <c r="Z15" s="636">
        <f t="shared" si="9"/>
        <v>107.1</v>
      </c>
      <c r="AA15" s="636">
        <f t="shared" si="10"/>
        <v>2369052</v>
      </c>
      <c r="AB15" s="715">
        <v>19008</v>
      </c>
      <c r="AC15" s="139">
        <f t="shared" si="11"/>
        <v>105</v>
      </c>
      <c r="AD15" s="553">
        <v>192550</v>
      </c>
      <c r="AE15" s="241">
        <f>AD15-AD14</f>
        <v>46</v>
      </c>
      <c r="AF15" s="363">
        <f>'Lpg (2)'!B19*2000/85</f>
        <v>1294.1176470588234</v>
      </c>
      <c r="AG15" s="364">
        <f>'Lpg (2)'!C19*1000/85</f>
        <v>1000</v>
      </c>
      <c r="AH15" s="365">
        <f>'Lpg (2)'!D19*1000/85</f>
        <v>1000</v>
      </c>
      <c r="AI15" s="639">
        <f t="shared" ref="AI15:AI35" si="17">SUM(AF15*2000)+(AG15*1000)+(AH15*1000)</f>
        <v>4588235.2941176463</v>
      </c>
      <c r="AJ15" s="638">
        <f t="shared" si="4"/>
        <v>282352.9411764713</v>
      </c>
      <c r="AK15" s="145"/>
    </row>
    <row r="16" spans="1:37" ht="19.5" thickBot="1">
      <c r="A16" s="95">
        <f>Gen!A21</f>
        <v>43810</v>
      </c>
      <c r="B16" s="629">
        <f>'Summery Report'!E15</f>
        <v>9</v>
      </c>
      <c r="C16" s="159">
        <f>Gen!B21</f>
        <v>0.10390000000000001</v>
      </c>
      <c r="D16" s="630">
        <f>'Summery Report'!E15</f>
        <v>9</v>
      </c>
      <c r="E16" s="631">
        <f t="shared" si="13"/>
        <v>1.3262195121951219</v>
      </c>
      <c r="F16" s="632">
        <f t="shared" si="14"/>
        <v>234.15584349593493</v>
      </c>
      <c r="G16" s="632">
        <f t="shared" si="0"/>
        <v>272.50127032520322</v>
      </c>
      <c r="H16" s="631">
        <f>Gen!C21</f>
        <v>46858.092000000011</v>
      </c>
      <c r="I16" s="633">
        <f>Gen!E21</f>
        <v>0</v>
      </c>
      <c r="J16" s="143">
        <f>Gen!S21</f>
        <v>1589.0299999999997</v>
      </c>
      <c r="K16" s="143">
        <f>Gen!AJ21</f>
        <v>260.22000000000003</v>
      </c>
      <c r="L16" s="143">
        <f t="shared" si="1"/>
        <v>1849.2499999999998</v>
      </c>
      <c r="M16" s="668">
        <f>'Water-Meter'!K56</f>
        <v>593.77047521027532</v>
      </c>
      <c r="N16" s="223">
        <f>'Water-Meter'!E16</f>
        <v>101</v>
      </c>
      <c r="O16" s="234"/>
      <c r="P16" s="553">
        <v>18553</v>
      </c>
      <c r="Q16" s="634">
        <f t="shared" si="2"/>
        <v>0</v>
      </c>
      <c r="R16" s="635">
        <f t="shared" si="5"/>
        <v>0</v>
      </c>
      <c r="S16" s="553"/>
      <c r="T16" s="716">
        <v>15719</v>
      </c>
      <c r="U16" s="634">
        <f t="shared" si="6"/>
        <v>0</v>
      </c>
      <c r="V16" s="636">
        <f t="shared" si="16"/>
        <v>0</v>
      </c>
      <c r="W16" s="553">
        <v>5.0999999999999996</v>
      </c>
      <c r="X16" s="714">
        <v>22095</v>
      </c>
      <c r="Y16" s="634">
        <f t="shared" si="8"/>
        <v>24</v>
      </c>
      <c r="Z16" s="636">
        <f t="shared" si="9"/>
        <v>122.39999999999999</v>
      </c>
      <c r="AA16" s="636">
        <f t="shared" si="10"/>
        <v>2710548</v>
      </c>
      <c r="AB16" s="715">
        <v>19125</v>
      </c>
      <c r="AC16" s="139">
        <f t="shared" si="11"/>
        <v>117</v>
      </c>
      <c r="AD16" s="553">
        <v>192597</v>
      </c>
      <c r="AE16" s="241">
        <f t="shared" si="15"/>
        <v>47</v>
      </c>
      <c r="AF16" s="363">
        <f>'Lpg (2)'!B20*2000/85</f>
        <v>1247.0588235294117</v>
      </c>
      <c r="AG16" s="364">
        <f>'Lpg (2)'!C20*1000/85</f>
        <v>1000</v>
      </c>
      <c r="AH16" s="365">
        <f>'Lpg (2)'!D20*1000/85</f>
        <v>1000</v>
      </c>
      <c r="AI16" s="639">
        <f t="shared" si="17"/>
        <v>4494117.6470588241</v>
      </c>
      <c r="AJ16" s="638">
        <f t="shared" si="4"/>
        <v>94117.647058822215</v>
      </c>
      <c r="AK16" s="145"/>
    </row>
    <row r="17" spans="1:37" ht="19.5" thickBot="1">
      <c r="A17" s="95">
        <f>Gen!A22</f>
        <v>43811</v>
      </c>
      <c r="B17" s="629">
        <f>'Summery Report'!E16</f>
        <v>6</v>
      </c>
      <c r="C17" s="159">
        <f>Gen!B22</f>
        <v>0.1429</v>
      </c>
      <c r="D17" s="630">
        <f>'Summery Report'!E16</f>
        <v>6</v>
      </c>
      <c r="E17" s="631">
        <f t="shared" si="13"/>
        <v>1.3262195121951219</v>
      </c>
      <c r="F17" s="632">
        <f t="shared" si="14"/>
        <v>367.14839939024392</v>
      </c>
      <c r="G17" s="632">
        <f t="shared" si="0"/>
        <v>453.20015243902441</v>
      </c>
      <c r="H17" s="631">
        <f>Gen!C22</f>
        <v>45008.842000000011</v>
      </c>
      <c r="I17" s="633">
        <f>Gen!E22</f>
        <v>0</v>
      </c>
      <c r="J17" s="143">
        <f>Gen!S22</f>
        <v>1661.0300000000002</v>
      </c>
      <c r="K17" s="143">
        <f>Gen!AJ22</f>
        <v>389.31</v>
      </c>
      <c r="L17" s="143">
        <f t="shared" si="1"/>
        <v>2050.34</v>
      </c>
      <c r="M17" s="668">
        <f>'Water-Meter'!K57</f>
        <v>606.72182420940499</v>
      </c>
      <c r="N17" s="223">
        <f>'Water-Meter'!E17</f>
        <v>108</v>
      </c>
      <c r="O17" s="234"/>
      <c r="P17" s="553">
        <v>18553</v>
      </c>
      <c r="Q17" s="634">
        <f>SUM(P18-P16)</f>
        <v>0</v>
      </c>
      <c r="R17" s="635">
        <f t="shared" si="5"/>
        <v>0</v>
      </c>
      <c r="S17" s="553"/>
      <c r="T17" s="716">
        <v>15719</v>
      </c>
      <c r="U17" s="634">
        <f t="shared" si="6"/>
        <v>0</v>
      </c>
      <c r="V17" s="636">
        <f t="shared" ref="V17:V36" si="18">SUM(U17*S17)</f>
        <v>0</v>
      </c>
      <c r="W17" s="553">
        <v>5.2</v>
      </c>
      <c r="X17" s="714">
        <v>22120</v>
      </c>
      <c r="Y17" s="634">
        <f t="shared" si="8"/>
        <v>25</v>
      </c>
      <c r="Z17" s="636">
        <f t="shared" si="9"/>
        <v>130</v>
      </c>
      <c r="AA17" s="636">
        <f t="shared" si="10"/>
        <v>2881970</v>
      </c>
      <c r="AB17" s="715">
        <v>19246</v>
      </c>
      <c r="AC17" s="139">
        <f t="shared" si="11"/>
        <v>121</v>
      </c>
      <c r="AD17" s="553">
        <v>192667</v>
      </c>
      <c r="AE17" s="241">
        <f t="shared" si="15"/>
        <v>70</v>
      </c>
      <c r="AF17" s="363">
        <f>'Lpg (2)'!B21*2000/85</f>
        <v>1200</v>
      </c>
      <c r="AG17" s="364">
        <f>'Lpg (2)'!C21*1000/85</f>
        <v>1000</v>
      </c>
      <c r="AH17" s="365">
        <f>'Lpg (2)'!D21*1000/85</f>
        <v>1000</v>
      </c>
      <c r="AI17" s="639">
        <f t="shared" si="17"/>
        <v>4400000</v>
      </c>
      <c r="AJ17" s="638">
        <f t="shared" si="4"/>
        <v>94117.647058824077</v>
      </c>
      <c r="AK17" s="145"/>
    </row>
    <row r="18" spans="1:37" ht="19.5" thickBot="1">
      <c r="A18" s="95">
        <f>Gen!A23</f>
        <v>43812</v>
      </c>
      <c r="B18" s="629">
        <f>'Summery Report'!E17</f>
        <v>8</v>
      </c>
      <c r="C18" s="159">
        <f>Gen!B23</f>
        <v>0.12989999999999999</v>
      </c>
      <c r="D18" s="630">
        <f>'Summery Report'!E17</f>
        <v>8</v>
      </c>
      <c r="E18" s="631">
        <f t="shared" si="13"/>
        <v>1.3262195121951219</v>
      </c>
      <c r="F18" s="632">
        <f t="shared" si="14"/>
        <v>289.13408917682926</v>
      </c>
      <c r="G18" s="632">
        <f t="shared" si="0"/>
        <v>330.95642149390244</v>
      </c>
      <c r="H18" s="631">
        <f>Gen!C23</f>
        <v>42958.502000000008</v>
      </c>
      <c r="I18" s="633">
        <f>Gen!E23</f>
        <v>0</v>
      </c>
      <c r="J18" s="143">
        <f>Gen!S23</f>
        <v>1744.1100000000001</v>
      </c>
      <c r="K18" s="143">
        <f>Gen!AJ23</f>
        <v>252.28</v>
      </c>
      <c r="L18" s="143">
        <f t="shared" si="1"/>
        <v>1996.39</v>
      </c>
      <c r="M18" s="668">
        <f>'Water-Meter'!K58</f>
        <v>611.84668759738315</v>
      </c>
      <c r="N18" s="223">
        <f>'Water-Meter'!E18</f>
        <v>105</v>
      </c>
      <c r="O18" s="234"/>
      <c r="P18" s="553">
        <v>18553</v>
      </c>
      <c r="Q18" s="634"/>
      <c r="R18" s="635">
        <f t="shared" si="5"/>
        <v>0</v>
      </c>
      <c r="S18" s="553"/>
      <c r="T18" s="716">
        <v>15719</v>
      </c>
      <c r="U18" s="634">
        <f t="shared" si="6"/>
        <v>0</v>
      </c>
      <c r="V18" s="636">
        <f t="shared" si="18"/>
        <v>0</v>
      </c>
      <c r="W18" s="553">
        <v>5.0999999999999996</v>
      </c>
      <c r="X18" s="714">
        <v>22145</v>
      </c>
      <c r="Y18" s="634">
        <f t="shared" si="8"/>
        <v>25</v>
      </c>
      <c r="Z18" s="636">
        <f t="shared" si="9"/>
        <v>127.49999999999999</v>
      </c>
      <c r="AA18" s="636">
        <f t="shared" si="10"/>
        <v>2829479.9999999995</v>
      </c>
      <c r="AB18" s="715">
        <v>19361</v>
      </c>
      <c r="AC18" s="139">
        <f t="shared" si="11"/>
        <v>115</v>
      </c>
      <c r="AD18" s="553">
        <v>192727</v>
      </c>
      <c r="AE18" s="241">
        <f t="shared" si="15"/>
        <v>60</v>
      </c>
      <c r="AF18" s="363">
        <f>'Lpg (2)'!B22*2000/85</f>
        <v>1129.4117647058824</v>
      </c>
      <c r="AG18" s="364">
        <f>'Lpg (2)'!C22*1000/85</f>
        <v>1000</v>
      </c>
      <c r="AH18" s="365">
        <f>'Lpg (2)'!D22*1000/85</f>
        <v>1000</v>
      </c>
      <c r="AI18" s="639">
        <f t="shared" si="17"/>
        <v>4258823.5294117648</v>
      </c>
      <c r="AJ18" s="638">
        <f t="shared" si="4"/>
        <v>141176.47058823518</v>
      </c>
      <c r="AK18" s="145"/>
    </row>
    <row r="19" spans="1:37" ht="19.5" thickBot="1">
      <c r="A19" s="95">
        <f>Gen!A24</f>
        <v>43813</v>
      </c>
      <c r="B19" s="629">
        <f>'Summery Report'!E18</f>
        <v>10</v>
      </c>
      <c r="C19" s="159">
        <f>Gen!B24</f>
        <v>0.1429</v>
      </c>
      <c r="D19" s="630">
        <f>'Summery Report'!E18</f>
        <v>10</v>
      </c>
      <c r="E19" s="631">
        <f t="shared" si="13"/>
        <v>1.3262195121951219</v>
      </c>
      <c r="F19" s="632">
        <f t="shared" si="14"/>
        <v>227.89358231707314</v>
      </c>
      <c r="G19" s="632">
        <f t="shared" si="0"/>
        <v>257.65394817073172</v>
      </c>
      <c r="H19" s="631">
        <f>Gen!C24</f>
        <v>40962.112000000008</v>
      </c>
      <c r="I19" s="633">
        <f>Gen!E24</f>
        <v>0</v>
      </c>
      <c r="J19" s="143">
        <f>Gen!S24</f>
        <v>1718.37</v>
      </c>
      <c r="K19" s="143">
        <f>Gen!AJ24</f>
        <v>224.4</v>
      </c>
      <c r="L19" s="143">
        <f t="shared" si="1"/>
        <v>1942.77</v>
      </c>
      <c r="M19" s="668">
        <f>'Water-Meter'!K59</f>
        <v>618.35466786847815</v>
      </c>
      <c r="N19" s="223">
        <f>'Water-Meter'!E19</f>
        <v>111</v>
      </c>
      <c r="O19" s="234"/>
      <c r="P19" s="553">
        <v>18553</v>
      </c>
      <c r="Q19" s="634"/>
      <c r="R19" s="635">
        <f t="shared" si="5"/>
        <v>0</v>
      </c>
      <c r="S19" s="553"/>
      <c r="T19" s="716">
        <v>15719</v>
      </c>
      <c r="U19" s="634">
        <f t="shared" si="6"/>
        <v>0</v>
      </c>
      <c r="V19" s="636">
        <f t="shared" si="18"/>
        <v>0</v>
      </c>
      <c r="W19" s="553">
        <v>5.2</v>
      </c>
      <c r="X19" s="714">
        <v>22169</v>
      </c>
      <c r="Y19" s="634">
        <f t="shared" si="8"/>
        <v>24</v>
      </c>
      <c r="Z19" s="636">
        <f t="shared" si="9"/>
        <v>124.80000000000001</v>
      </c>
      <c r="AA19" s="636">
        <f t="shared" si="10"/>
        <v>2772556.8000000003</v>
      </c>
      <c r="AB19" s="715">
        <v>19474</v>
      </c>
      <c r="AC19" s="139">
        <f t="shared" si="11"/>
        <v>113</v>
      </c>
      <c r="AD19" s="553">
        <v>192757</v>
      </c>
      <c r="AE19" s="241">
        <f t="shared" si="15"/>
        <v>30</v>
      </c>
      <c r="AF19" s="363">
        <f>'Lpg (2)'!B23*2000/85</f>
        <v>1082.3529411764705</v>
      </c>
      <c r="AG19" s="364">
        <f>'Lpg (2)'!C23*1000/85</f>
        <v>1000</v>
      </c>
      <c r="AH19" s="365">
        <f>'Lpg (2)'!D23*1000/85</f>
        <v>1000</v>
      </c>
      <c r="AI19" s="639">
        <f t="shared" si="17"/>
        <v>4164705.8823529412</v>
      </c>
      <c r="AJ19" s="638">
        <f t="shared" si="4"/>
        <v>94117.647058823612</v>
      </c>
      <c r="AK19" s="145"/>
    </row>
    <row r="20" spans="1:37" ht="19.5" thickBot="1">
      <c r="A20" s="95">
        <f>Gen!A25</f>
        <v>43814</v>
      </c>
      <c r="B20" s="629">
        <f>'Summery Report'!E19</f>
        <v>15</v>
      </c>
      <c r="C20" s="159">
        <f>Gen!B25</f>
        <v>0.15579999999999999</v>
      </c>
      <c r="D20" s="630">
        <f>'Summery Report'!E19</f>
        <v>15</v>
      </c>
      <c r="E20" s="631">
        <f t="shared" si="13"/>
        <v>1.3262195121951219</v>
      </c>
      <c r="F20" s="632">
        <f t="shared" si="14"/>
        <v>159.03317073170734</v>
      </c>
      <c r="G20" s="632">
        <f t="shared" si="0"/>
        <v>182.16332317073176</v>
      </c>
      <c r="H20" s="631">
        <f>Gen!C25</f>
        <v>39019.342000000011</v>
      </c>
      <c r="I20" s="633">
        <f>Gen!E25</f>
        <v>0</v>
      </c>
      <c r="J20" s="143">
        <f>Gen!S25</f>
        <v>1798.7200000000003</v>
      </c>
      <c r="K20" s="143">
        <f>Gen!AJ25</f>
        <v>261.61</v>
      </c>
      <c r="L20" s="143">
        <f t="shared" si="1"/>
        <v>2060.3300000000004</v>
      </c>
      <c r="M20" s="668">
        <f>'Water-Meter'!K60</f>
        <v>612.57002093071651</v>
      </c>
      <c r="N20" s="223">
        <f>'Water-Meter'!E20</f>
        <v>97</v>
      </c>
      <c r="O20" s="234"/>
      <c r="P20" s="553">
        <v>18553</v>
      </c>
      <c r="Q20" s="634">
        <f t="shared" si="2"/>
        <v>0</v>
      </c>
      <c r="R20" s="635">
        <f t="shared" si="5"/>
        <v>0</v>
      </c>
      <c r="S20" s="553"/>
      <c r="T20" s="716">
        <v>15719</v>
      </c>
      <c r="U20" s="634">
        <f t="shared" si="6"/>
        <v>0</v>
      </c>
      <c r="V20" s="636">
        <f t="shared" si="18"/>
        <v>0</v>
      </c>
      <c r="W20" s="553">
        <v>5.2</v>
      </c>
      <c r="X20" s="714">
        <v>22192</v>
      </c>
      <c r="Y20" s="634">
        <f t="shared" si="8"/>
        <v>23</v>
      </c>
      <c r="Z20" s="636">
        <f t="shared" si="9"/>
        <v>119.60000000000001</v>
      </c>
      <c r="AA20" s="636">
        <f t="shared" si="10"/>
        <v>2658947.2000000002</v>
      </c>
      <c r="AB20" s="715">
        <v>19587</v>
      </c>
      <c r="AC20" s="139">
        <f t="shared" si="11"/>
        <v>113</v>
      </c>
      <c r="AD20" s="553">
        <v>192757</v>
      </c>
      <c r="AE20" s="241">
        <f t="shared" si="15"/>
        <v>0</v>
      </c>
      <c r="AF20" s="363">
        <f>'Lpg (2)'!B24*2000/85</f>
        <v>1035.2941176470588</v>
      </c>
      <c r="AG20" s="364">
        <f>'Lpg (2)'!C24*1000/85</f>
        <v>1000</v>
      </c>
      <c r="AH20" s="365">
        <f>'Lpg (2)'!D24*1000/85</f>
        <v>1000</v>
      </c>
      <c r="AI20" s="639">
        <f t="shared" si="17"/>
        <v>4070588.2352941176</v>
      </c>
      <c r="AJ20" s="638">
        <f t="shared" si="4"/>
        <v>94117.647058823612</v>
      </c>
      <c r="AK20" s="145"/>
    </row>
    <row r="21" spans="1:37" ht="19.5" thickBot="1">
      <c r="A21" s="95">
        <f>Gen!A26</f>
        <v>43815</v>
      </c>
      <c r="B21" s="629">
        <f>'Summery Report'!E20</f>
        <v>15</v>
      </c>
      <c r="C21" s="159">
        <f>Gen!B26</f>
        <v>0.15579999999999999</v>
      </c>
      <c r="D21" s="630">
        <f>'Summery Report'!E20</f>
        <v>15</v>
      </c>
      <c r="E21" s="631">
        <f t="shared" si="13"/>
        <v>1.3262195121951219</v>
      </c>
      <c r="F21" s="632">
        <f t="shared" si="14"/>
        <v>160.17460365853657</v>
      </c>
      <c r="G21" s="632">
        <f t="shared" si="0"/>
        <v>169.37945121951219</v>
      </c>
      <c r="H21" s="631">
        <f>Gen!C26</f>
        <v>36959.01200000001</v>
      </c>
      <c r="I21" s="633">
        <f>Gen!E26</f>
        <v>0</v>
      </c>
      <c r="J21" s="143">
        <f>Gen!S26</f>
        <v>1811.63</v>
      </c>
      <c r="K21" s="143">
        <f>Gen!AJ26</f>
        <v>104.11</v>
      </c>
      <c r="L21" s="143">
        <f t="shared" si="1"/>
        <v>1915.74</v>
      </c>
      <c r="M21" s="668">
        <f>'Water-Meter'!K61</f>
        <v>614.13772797776778</v>
      </c>
      <c r="N21" s="223">
        <f>'Water-Meter'!E21</f>
        <v>87</v>
      </c>
      <c r="O21" s="234"/>
      <c r="P21" s="553">
        <v>18553</v>
      </c>
      <c r="Q21" s="634">
        <f t="shared" si="2"/>
        <v>0</v>
      </c>
      <c r="R21" s="635">
        <f t="shared" si="5"/>
        <v>0</v>
      </c>
      <c r="S21" s="553"/>
      <c r="T21" s="716">
        <v>15719</v>
      </c>
      <c r="U21" s="634">
        <f t="shared" si="6"/>
        <v>0</v>
      </c>
      <c r="V21" s="636">
        <f t="shared" si="18"/>
        <v>0</v>
      </c>
      <c r="W21" s="553">
        <v>5.2</v>
      </c>
      <c r="X21" s="714">
        <v>22216</v>
      </c>
      <c r="Y21" s="634">
        <f t="shared" si="8"/>
        <v>24</v>
      </c>
      <c r="Z21" s="636">
        <f t="shared" si="9"/>
        <v>124.80000000000001</v>
      </c>
      <c r="AA21" s="636">
        <f t="shared" si="10"/>
        <v>0</v>
      </c>
      <c r="AB21" s="715">
        <v>19700</v>
      </c>
      <c r="AC21" s="139">
        <f t="shared" si="11"/>
        <v>113</v>
      </c>
      <c r="AD21" s="553">
        <v>192757</v>
      </c>
      <c r="AE21" s="241">
        <f t="shared" si="15"/>
        <v>0</v>
      </c>
      <c r="AF21" s="363">
        <f>'Lpg (2)'!B25*2000/85</f>
        <v>964.70588235294122</v>
      </c>
      <c r="AG21" s="364">
        <f>'Lpg (2)'!C25*1000/85</f>
        <v>1000</v>
      </c>
      <c r="AH21" s="365">
        <f>'Lpg (2)'!D25*1000/85</f>
        <v>1000</v>
      </c>
      <c r="AI21" s="639">
        <f t="shared" si="17"/>
        <v>3929411.7647058824</v>
      </c>
      <c r="AJ21" s="638">
        <f t="shared" si="4"/>
        <v>141176.47058823518</v>
      </c>
      <c r="AK21" s="145"/>
    </row>
    <row r="22" spans="1:37" ht="19.5" thickBot="1">
      <c r="A22" s="95">
        <f>Gen!A27</f>
        <v>43816</v>
      </c>
      <c r="B22" s="629">
        <f>'Summery Report'!E21</f>
        <v>36</v>
      </c>
      <c r="C22" s="159">
        <f>Gen!B27</f>
        <v>0.36359999999999998</v>
      </c>
      <c r="D22" s="630">
        <f>'Summery Report'!E21</f>
        <v>36</v>
      </c>
      <c r="E22" s="631">
        <f t="shared" si="13"/>
        <v>1.3262195121951219</v>
      </c>
      <c r="F22" s="632">
        <f t="shared" si="14"/>
        <v>73.106377032520328</v>
      </c>
      <c r="G22" s="632">
        <f t="shared" si="0"/>
        <v>80.847815040650403</v>
      </c>
      <c r="H22" s="631">
        <f>Gen!C27</f>
        <v>35043.272000000012</v>
      </c>
      <c r="I22" s="633">
        <f>Gen!E27</f>
        <v>0</v>
      </c>
      <c r="J22" s="143">
        <f>Gen!S27</f>
        <v>1984.46</v>
      </c>
      <c r="K22" s="143">
        <f>Gen!AJ27</f>
        <v>210.14</v>
      </c>
      <c r="L22" s="143">
        <f t="shared" si="1"/>
        <v>2194.6</v>
      </c>
      <c r="M22" s="668">
        <f>'Water-Meter'!K62</f>
        <v>541.01364460918239</v>
      </c>
      <c r="N22" s="223">
        <f>'Water-Meter'!E22</f>
        <v>108</v>
      </c>
      <c r="O22" s="234"/>
      <c r="P22" s="553">
        <v>18553</v>
      </c>
      <c r="Q22" s="634">
        <f t="shared" si="2"/>
        <v>0</v>
      </c>
      <c r="R22" s="635">
        <f t="shared" si="5"/>
        <v>0</v>
      </c>
      <c r="S22" s="553"/>
      <c r="T22" s="716">
        <v>15719</v>
      </c>
      <c r="U22" s="634">
        <f t="shared" si="6"/>
        <v>0</v>
      </c>
      <c r="V22" s="636">
        <f t="shared" si="18"/>
        <v>0</v>
      </c>
      <c r="W22" s="553">
        <v>5.2</v>
      </c>
      <c r="X22" s="714">
        <v>22232</v>
      </c>
      <c r="Y22" s="634">
        <f t="shared" si="8"/>
        <v>16</v>
      </c>
      <c r="Z22" s="636">
        <f t="shared" si="9"/>
        <v>83.2</v>
      </c>
      <c r="AA22" s="636">
        <f t="shared" si="10"/>
        <v>0</v>
      </c>
      <c r="AB22" s="715">
        <v>19778</v>
      </c>
      <c r="AC22" s="139">
        <f t="shared" si="11"/>
        <v>78</v>
      </c>
      <c r="AD22" s="553">
        <v>192761</v>
      </c>
      <c r="AE22" s="241">
        <f t="shared" si="15"/>
        <v>4</v>
      </c>
      <c r="AF22" s="363">
        <f>'Lpg (2)'!B26*2000/85</f>
        <v>894.11764705882354</v>
      </c>
      <c r="AG22" s="364">
        <f>'Lpg (2)'!C26*1000/85</f>
        <v>1000</v>
      </c>
      <c r="AH22" s="365">
        <f>'Lpg (2)'!D26*1000/85</f>
        <v>1000</v>
      </c>
      <c r="AI22" s="639">
        <f t="shared" si="17"/>
        <v>3788235.2941176472</v>
      </c>
      <c r="AJ22" s="638">
        <f t="shared" si="4"/>
        <v>141176.47058823518</v>
      </c>
      <c r="AK22" s="145"/>
    </row>
    <row r="23" spans="1:37" ht="19.5" thickBot="1">
      <c r="A23" s="95">
        <f>Gen!A28</f>
        <v>43817</v>
      </c>
      <c r="B23" s="629">
        <f>'Summery Report'!E22</f>
        <v>0</v>
      </c>
      <c r="C23" s="159">
        <f>Gen!B28</f>
        <v>0.35049999999999998</v>
      </c>
      <c r="D23" s="630">
        <f>'Summery Report'!E22</f>
        <v>0</v>
      </c>
      <c r="E23" s="631">
        <f t="shared" si="13"/>
        <v>1.3262195121951219</v>
      </c>
      <c r="F23" s="632" t="e">
        <f t="shared" si="14"/>
        <v>#DIV/0!</v>
      </c>
      <c r="G23" s="632" t="e">
        <f t="shared" si="0"/>
        <v>#DIV/0!</v>
      </c>
      <c r="H23" s="631">
        <f>Gen!C28</f>
        <v>32848.672000000013</v>
      </c>
      <c r="I23" s="633">
        <f>Gen!E28</f>
        <v>0</v>
      </c>
      <c r="J23" s="143">
        <f>Gen!S28</f>
        <v>0</v>
      </c>
      <c r="K23" s="143">
        <f>Gen!AJ28</f>
        <v>0</v>
      </c>
      <c r="L23" s="143">
        <f t="shared" si="1"/>
        <v>0</v>
      </c>
      <c r="M23" s="668">
        <f>'Water-Meter'!K63</f>
        <v>0</v>
      </c>
      <c r="N23" s="223" t="str">
        <f>'Water-Meter'!E23</f>
        <v>0</v>
      </c>
      <c r="O23" s="234"/>
      <c r="P23" s="553"/>
      <c r="Q23" s="634">
        <f t="shared" si="2"/>
        <v>-18553</v>
      </c>
      <c r="R23" s="635">
        <f t="shared" si="5"/>
        <v>0</v>
      </c>
      <c r="S23" s="553"/>
      <c r="T23" s="716"/>
      <c r="U23" s="634">
        <f t="shared" si="6"/>
        <v>-15719</v>
      </c>
      <c r="V23" s="636">
        <f t="shared" si="18"/>
        <v>0</v>
      </c>
      <c r="W23" s="553"/>
      <c r="X23" s="714"/>
      <c r="Y23" s="634">
        <f t="shared" si="8"/>
        <v>-22232</v>
      </c>
      <c r="Z23" s="636">
        <f t="shared" si="9"/>
        <v>0</v>
      </c>
      <c r="AA23" s="636">
        <f t="shared" si="10"/>
        <v>0</v>
      </c>
      <c r="AB23" s="715"/>
      <c r="AC23" s="139">
        <f t="shared" si="11"/>
        <v>-19778</v>
      </c>
      <c r="AD23" s="553"/>
      <c r="AE23" s="241">
        <f t="shared" si="15"/>
        <v>-192761</v>
      </c>
      <c r="AF23" s="363">
        <f>'Lpg (2)'!B27*2000/85</f>
        <v>0</v>
      </c>
      <c r="AG23" s="364">
        <f>'Lpg (2)'!C27*1000/85</f>
        <v>0</v>
      </c>
      <c r="AH23" s="365">
        <f>'Lpg (2)'!D27*1000/85</f>
        <v>0</v>
      </c>
      <c r="AI23" s="639">
        <f t="shared" si="17"/>
        <v>0</v>
      </c>
      <c r="AJ23" s="638">
        <f t="shared" si="4"/>
        <v>3788235.2941176472</v>
      </c>
      <c r="AK23" s="145"/>
    </row>
    <row r="24" spans="1:37" ht="19.5" thickBot="1">
      <c r="A24" s="95">
        <f>Gen!A29</f>
        <v>43818</v>
      </c>
      <c r="B24" s="629">
        <f>'Summery Report'!E23</f>
        <v>0</v>
      </c>
      <c r="C24" s="159">
        <f>Gen!B29</f>
        <v>0</v>
      </c>
      <c r="D24" s="630">
        <f>'Summery Report'!E23</f>
        <v>0</v>
      </c>
      <c r="E24" s="631">
        <f t="shared" si="13"/>
        <v>1.3262195121951219</v>
      </c>
      <c r="F24" s="632" t="e">
        <f t="shared" si="14"/>
        <v>#DIV/0!</v>
      </c>
      <c r="G24" s="632" t="e">
        <f t="shared" si="0"/>
        <v>#DIV/0!</v>
      </c>
      <c r="H24" s="631">
        <f>Gen!C29</f>
        <v>32848.672000000013</v>
      </c>
      <c r="I24" s="633">
        <f>Gen!E29</f>
        <v>18000</v>
      </c>
      <c r="J24" s="143">
        <f>Gen!S29</f>
        <v>0</v>
      </c>
      <c r="K24" s="143">
        <f>Gen!AJ29</f>
        <v>0</v>
      </c>
      <c r="L24" s="143">
        <f t="shared" si="1"/>
        <v>0</v>
      </c>
      <c r="M24" s="668">
        <f>'Water-Meter'!K64</f>
        <v>0</v>
      </c>
      <c r="N24" s="223">
        <f>'Water-Meter'!E24</f>
        <v>0</v>
      </c>
      <c r="O24" s="234"/>
      <c r="P24" s="553"/>
      <c r="Q24" s="634">
        <f t="shared" si="2"/>
        <v>0</v>
      </c>
      <c r="R24" s="635">
        <f t="shared" si="5"/>
        <v>0</v>
      </c>
      <c r="S24" s="553"/>
      <c r="T24" s="716"/>
      <c r="U24" s="634">
        <f t="shared" si="6"/>
        <v>0</v>
      </c>
      <c r="V24" s="636">
        <f t="shared" si="18"/>
        <v>0</v>
      </c>
      <c r="W24" s="553"/>
      <c r="X24" s="714"/>
      <c r="Y24" s="634">
        <f t="shared" si="8"/>
        <v>0</v>
      </c>
      <c r="Z24" s="636">
        <f t="shared" si="9"/>
        <v>0</v>
      </c>
      <c r="AA24" s="636">
        <f t="shared" si="10"/>
        <v>0</v>
      </c>
      <c r="AB24" s="715"/>
      <c r="AC24" s="139">
        <f t="shared" si="11"/>
        <v>0</v>
      </c>
      <c r="AD24" s="553"/>
      <c r="AE24" s="241">
        <f t="shared" si="15"/>
        <v>0</v>
      </c>
      <c r="AF24" s="363">
        <f>'Lpg (2)'!B28*2000/85</f>
        <v>0</v>
      </c>
      <c r="AG24" s="364">
        <f>'Lpg (2)'!C28*1000/85</f>
        <v>0</v>
      </c>
      <c r="AH24" s="365">
        <f>'Lpg (2)'!D28*1000/85</f>
        <v>0</v>
      </c>
      <c r="AI24" s="639">
        <f t="shared" si="17"/>
        <v>0</v>
      </c>
      <c r="AJ24" s="638">
        <f t="shared" si="4"/>
        <v>0</v>
      </c>
      <c r="AK24" s="145"/>
    </row>
    <row r="25" spans="1:37" ht="19.5" thickBot="1">
      <c r="A25" s="95">
        <f>Gen!A30</f>
        <v>43819</v>
      </c>
      <c r="B25" s="629">
        <f>'Summery Report'!E24</f>
        <v>0</v>
      </c>
      <c r="C25" s="159">
        <f>Gen!B30</f>
        <v>0</v>
      </c>
      <c r="D25" s="630">
        <f>'Summery Report'!E24</f>
        <v>0</v>
      </c>
      <c r="E25" s="631">
        <f t="shared" si="13"/>
        <v>1.3262195121951219</v>
      </c>
      <c r="F25" s="632" t="e">
        <f t="shared" si="14"/>
        <v>#DIV/0!</v>
      </c>
      <c r="G25" s="632" t="e">
        <f t="shared" si="0"/>
        <v>#DIV/0!</v>
      </c>
      <c r="H25" s="631">
        <f>Gen!C30</f>
        <v>32848.672000000013</v>
      </c>
      <c r="I25" s="633">
        <f>Gen!E30</f>
        <v>0</v>
      </c>
      <c r="J25" s="143">
        <f>Gen!S30</f>
        <v>0</v>
      </c>
      <c r="K25" s="143">
        <f>Gen!AJ30</f>
        <v>0</v>
      </c>
      <c r="L25" s="143">
        <f t="shared" si="1"/>
        <v>0</v>
      </c>
      <c r="M25" s="668">
        <f>'Water-Meter'!K65</f>
        <v>0</v>
      </c>
      <c r="N25" s="223">
        <f>'Water-Meter'!E25</f>
        <v>0</v>
      </c>
      <c r="O25" s="234"/>
      <c r="P25" s="553"/>
      <c r="Q25" s="634">
        <f t="shared" si="2"/>
        <v>0</v>
      </c>
      <c r="R25" s="635">
        <f t="shared" si="5"/>
        <v>0</v>
      </c>
      <c r="S25" s="553"/>
      <c r="T25" s="716"/>
      <c r="U25" s="634">
        <f t="shared" si="6"/>
        <v>0</v>
      </c>
      <c r="V25" s="636">
        <f t="shared" si="18"/>
        <v>0</v>
      </c>
      <c r="W25" s="553"/>
      <c r="X25" s="714"/>
      <c r="Y25" s="634">
        <f t="shared" si="8"/>
        <v>0</v>
      </c>
      <c r="Z25" s="636">
        <f t="shared" si="9"/>
        <v>0</v>
      </c>
      <c r="AA25" s="636">
        <f t="shared" si="10"/>
        <v>0</v>
      </c>
      <c r="AB25" s="715"/>
      <c r="AC25" s="139">
        <f t="shared" si="11"/>
        <v>0</v>
      </c>
      <c r="AD25" s="553"/>
      <c r="AE25" s="241">
        <f t="shared" si="15"/>
        <v>0</v>
      </c>
      <c r="AF25" s="363">
        <f>'Lpg (2)'!B29*2000/85</f>
        <v>0</v>
      </c>
      <c r="AG25" s="364">
        <f>'Lpg (2)'!C29*1000/85</f>
        <v>0</v>
      </c>
      <c r="AH25" s="365">
        <f>'Lpg (2)'!D29*1000/85</f>
        <v>0</v>
      </c>
      <c r="AI25" s="639">
        <f t="shared" si="17"/>
        <v>0</v>
      </c>
      <c r="AJ25" s="638">
        <f t="shared" si="4"/>
        <v>0</v>
      </c>
      <c r="AK25" s="145"/>
    </row>
    <row r="26" spans="1:37" ht="19.5" thickBot="1">
      <c r="A26" s="95">
        <f>Gen!A31</f>
        <v>43820</v>
      </c>
      <c r="B26" s="629">
        <f>'Summery Report'!E25</f>
        <v>0</v>
      </c>
      <c r="C26" s="159">
        <f>Gen!B31</f>
        <v>0</v>
      </c>
      <c r="D26" s="630">
        <f>'Summery Report'!E25</f>
        <v>0</v>
      </c>
      <c r="E26" s="631">
        <f t="shared" si="13"/>
        <v>1.3262195121951219</v>
      </c>
      <c r="F26" s="632" t="e">
        <f>SUM(J26*E26)/D26</f>
        <v>#DIV/0!</v>
      </c>
      <c r="G26" s="632" t="e">
        <f t="shared" si="0"/>
        <v>#DIV/0!</v>
      </c>
      <c r="H26" s="631">
        <f>Gen!C31</f>
        <v>32848.672000000013</v>
      </c>
      <c r="I26" s="633">
        <f>Gen!E31</f>
        <v>0</v>
      </c>
      <c r="J26" s="143">
        <f>Gen!S31</f>
        <v>0</v>
      </c>
      <c r="K26" s="143">
        <f>Gen!AJ31</f>
        <v>0</v>
      </c>
      <c r="L26" s="143">
        <f t="shared" si="1"/>
        <v>0</v>
      </c>
      <c r="M26" s="668">
        <f>'Water-Meter'!K66</f>
        <v>0</v>
      </c>
      <c r="N26" s="223">
        <f>'Water-Meter'!E26</f>
        <v>0</v>
      </c>
      <c r="O26" s="234"/>
      <c r="P26" s="553"/>
      <c r="Q26" s="634">
        <f t="shared" si="2"/>
        <v>0</v>
      </c>
      <c r="R26" s="635">
        <f t="shared" si="5"/>
        <v>0</v>
      </c>
      <c r="S26" s="553"/>
      <c r="T26" s="716"/>
      <c r="U26" s="634">
        <f t="shared" si="6"/>
        <v>0</v>
      </c>
      <c r="V26" s="636">
        <f t="shared" si="18"/>
        <v>0</v>
      </c>
      <c r="W26" s="553"/>
      <c r="X26" s="714"/>
      <c r="Y26" s="634">
        <f t="shared" si="8"/>
        <v>0</v>
      </c>
      <c r="Z26" s="636">
        <f t="shared" si="9"/>
        <v>0</v>
      </c>
      <c r="AA26" s="636">
        <f t="shared" si="10"/>
        <v>0</v>
      </c>
      <c r="AB26" s="715"/>
      <c r="AC26" s="139">
        <f t="shared" si="11"/>
        <v>0</v>
      </c>
      <c r="AD26" s="553"/>
      <c r="AE26" s="241">
        <f t="shared" si="15"/>
        <v>0</v>
      </c>
      <c r="AF26" s="363">
        <f>'Lpg (2)'!B30*2000/85</f>
        <v>0</v>
      </c>
      <c r="AG26" s="364">
        <f>'Lpg (2)'!C30*1000/85</f>
        <v>0</v>
      </c>
      <c r="AH26" s="365">
        <f>'Lpg (2)'!D30*1000/85</f>
        <v>0</v>
      </c>
      <c r="AI26" s="639">
        <f t="shared" si="17"/>
        <v>0</v>
      </c>
      <c r="AJ26" s="638">
        <f t="shared" si="4"/>
        <v>0</v>
      </c>
      <c r="AK26" s="145"/>
    </row>
    <row r="27" spans="1:37" ht="19.5" thickBot="1">
      <c r="A27" s="95">
        <f>Gen!A32</f>
        <v>43821</v>
      </c>
      <c r="B27" s="629">
        <f>'Summery Report'!E26</f>
        <v>0</v>
      </c>
      <c r="C27" s="159">
        <f>Gen!B32</f>
        <v>0</v>
      </c>
      <c r="D27" s="630">
        <f>'Summery Report'!E26</f>
        <v>0</v>
      </c>
      <c r="E27" s="631">
        <f t="shared" si="13"/>
        <v>1.3262195121951219</v>
      </c>
      <c r="F27" s="632" t="e">
        <f t="shared" si="14"/>
        <v>#DIV/0!</v>
      </c>
      <c r="G27" s="632" t="e">
        <f t="shared" si="0"/>
        <v>#DIV/0!</v>
      </c>
      <c r="H27" s="631">
        <f>Gen!C32</f>
        <v>32848.672000000013</v>
      </c>
      <c r="I27" s="633">
        <f>Gen!E32</f>
        <v>0</v>
      </c>
      <c r="J27" s="143">
        <f>Gen!S32</f>
        <v>0</v>
      </c>
      <c r="K27" s="143">
        <f>Gen!AJ32</f>
        <v>0</v>
      </c>
      <c r="L27" s="143">
        <f t="shared" si="1"/>
        <v>0</v>
      </c>
      <c r="M27" s="668">
        <f>'Water-Meter'!K67</f>
        <v>0</v>
      </c>
      <c r="N27" s="223">
        <f>'Water-Meter'!E27</f>
        <v>0</v>
      </c>
      <c r="O27" s="234"/>
      <c r="P27" s="553"/>
      <c r="Q27" s="634">
        <f t="shared" si="2"/>
        <v>0</v>
      </c>
      <c r="R27" s="635">
        <f t="shared" si="5"/>
        <v>0</v>
      </c>
      <c r="S27" s="553"/>
      <c r="T27" s="716"/>
      <c r="U27" s="634">
        <f t="shared" si="6"/>
        <v>0</v>
      </c>
      <c r="V27" s="636">
        <f t="shared" si="18"/>
        <v>0</v>
      </c>
      <c r="W27" s="553"/>
      <c r="X27" s="714"/>
      <c r="Y27" s="634">
        <f t="shared" si="8"/>
        <v>0</v>
      </c>
      <c r="Z27" s="636">
        <f t="shared" si="9"/>
        <v>0</v>
      </c>
      <c r="AA27" s="636">
        <f t="shared" si="10"/>
        <v>0</v>
      </c>
      <c r="AB27" s="715"/>
      <c r="AC27" s="139">
        <f t="shared" si="11"/>
        <v>0</v>
      </c>
      <c r="AD27" s="553"/>
      <c r="AE27" s="241">
        <f t="shared" si="15"/>
        <v>0</v>
      </c>
      <c r="AF27" s="363">
        <f>'Lpg (2)'!B31*2000/85</f>
        <v>0</v>
      </c>
      <c r="AG27" s="364">
        <f>'Lpg (2)'!C31*1000/85</f>
        <v>0</v>
      </c>
      <c r="AH27" s="365">
        <f>'Lpg (2)'!D31*1000/85</f>
        <v>0</v>
      </c>
      <c r="AI27" s="639">
        <f t="shared" si="17"/>
        <v>0</v>
      </c>
      <c r="AJ27" s="638">
        <f t="shared" si="4"/>
        <v>0</v>
      </c>
      <c r="AK27" s="145"/>
    </row>
    <row r="28" spans="1:37" ht="19.5" thickBot="1">
      <c r="A28" s="95">
        <f>Gen!A33</f>
        <v>43822</v>
      </c>
      <c r="B28" s="629">
        <f>'Summery Report'!E27</f>
        <v>0</v>
      </c>
      <c r="C28" s="159">
        <f>Gen!B33</f>
        <v>0</v>
      </c>
      <c r="D28" s="630">
        <f>'Summery Report'!E27</f>
        <v>0</v>
      </c>
      <c r="E28" s="631">
        <f t="shared" si="13"/>
        <v>1.3262195121951219</v>
      </c>
      <c r="F28" s="632" t="e">
        <f t="shared" si="14"/>
        <v>#DIV/0!</v>
      </c>
      <c r="G28" s="632" t="e">
        <f t="shared" si="0"/>
        <v>#DIV/0!</v>
      </c>
      <c r="H28" s="631">
        <f>Gen!C33</f>
        <v>32848.672000000013</v>
      </c>
      <c r="I28" s="633">
        <f>Gen!E33</f>
        <v>0</v>
      </c>
      <c r="J28" s="143">
        <f>Gen!S33</f>
        <v>0</v>
      </c>
      <c r="K28" s="143">
        <f>Gen!AJ33</f>
        <v>0</v>
      </c>
      <c r="L28" s="143">
        <f t="shared" si="1"/>
        <v>0</v>
      </c>
      <c r="M28" s="668">
        <f>'Water-Meter'!K68</f>
        <v>0</v>
      </c>
      <c r="N28" s="223">
        <f>'Water-Meter'!E28</f>
        <v>0</v>
      </c>
      <c r="O28" s="234"/>
      <c r="P28" s="553"/>
      <c r="Q28" s="634">
        <f t="shared" si="2"/>
        <v>0</v>
      </c>
      <c r="R28" s="635">
        <f t="shared" si="5"/>
        <v>0</v>
      </c>
      <c r="S28" s="553"/>
      <c r="T28" s="716"/>
      <c r="U28" s="634">
        <f t="shared" si="6"/>
        <v>0</v>
      </c>
      <c r="V28" s="636">
        <f t="shared" si="18"/>
        <v>0</v>
      </c>
      <c r="W28" s="553"/>
      <c r="X28" s="714"/>
      <c r="Y28" s="634">
        <f t="shared" si="8"/>
        <v>0</v>
      </c>
      <c r="Z28" s="636">
        <f t="shared" si="9"/>
        <v>0</v>
      </c>
      <c r="AA28" s="636">
        <f t="shared" si="10"/>
        <v>0</v>
      </c>
      <c r="AB28" s="715"/>
      <c r="AC28" s="139">
        <f t="shared" ref="AC28:AC37" si="19">SUM(AB28-AB27)</f>
        <v>0</v>
      </c>
      <c r="AD28" s="553"/>
      <c r="AE28" s="241">
        <f t="shared" si="15"/>
        <v>0</v>
      </c>
      <c r="AF28" s="363">
        <f>'Lpg (2)'!B32*2000/85</f>
        <v>0</v>
      </c>
      <c r="AG28" s="364">
        <f>'Lpg (2)'!C32*1000/85</f>
        <v>0</v>
      </c>
      <c r="AH28" s="365">
        <f>'Lpg (2)'!D32*1000/85</f>
        <v>0</v>
      </c>
      <c r="AI28" s="639">
        <f t="shared" si="17"/>
        <v>0</v>
      </c>
      <c r="AJ28" s="638">
        <f t="shared" si="4"/>
        <v>0</v>
      </c>
      <c r="AK28" s="145"/>
    </row>
    <row r="29" spans="1:37" ht="19.5" thickBot="1">
      <c r="A29" s="95">
        <f>Gen!A34</f>
        <v>43823</v>
      </c>
      <c r="B29" s="629">
        <f>'Summery Report'!E28</f>
        <v>0</v>
      </c>
      <c r="C29" s="159">
        <f>Gen!B34</f>
        <v>0</v>
      </c>
      <c r="D29" s="630">
        <f>'Summery Report'!E28</f>
        <v>0</v>
      </c>
      <c r="E29" s="631">
        <f t="shared" si="13"/>
        <v>1.3262195121951219</v>
      </c>
      <c r="F29" s="632" t="e">
        <f t="shared" si="14"/>
        <v>#DIV/0!</v>
      </c>
      <c r="G29" s="632" t="e">
        <f t="shared" si="0"/>
        <v>#DIV/0!</v>
      </c>
      <c r="H29" s="631">
        <f>Gen!C34</f>
        <v>32848.672000000013</v>
      </c>
      <c r="I29" s="633">
        <f>Gen!E34</f>
        <v>0</v>
      </c>
      <c r="J29" s="143">
        <f>Gen!S34</f>
        <v>0</v>
      </c>
      <c r="K29" s="143">
        <f>Gen!AJ34</f>
        <v>0</v>
      </c>
      <c r="L29" s="143">
        <f t="shared" si="1"/>
        <v>0</v>
      </c>
      <c r="M29" s="668">
        <f>'Water-Meter'!K69</f>
        <v>0</v>
      </c>
      <c r="N29" s="223">
        <f>'Water-Meter'!E29</f>
        <v>0</v>
      </c>
      <c r="O29" s="234"/>
      <c r="P29" s="553"/>
      <c r="Q29" s="634">
        <f t="shared" si="2"/>
        <v>0</v>
      </c>
      <c r="R29" s="635">
        <f t="shared" si="5"/>
        <v>0</v>
      </c>
      <c r="S29" s="553"/>
      <c r="T29" s="716"/>
      <c r="U29" s="634">
        <f t="shared" si="6"/>
        <v>0</v>
      </c>
      <c r="V29" s="636">
        <f t="shared" si="18"/>
        <v>0</v>
      </c>
      <c r="W29" s="553"/>
      <c r="X29" s="714"/>
      <c r="Y29" s="634">
        <f t="shared" si="8"/>
        <v>0</v>
      </c>
      <c r="Z29" s="636">
        <f t="shared" si="9"/>
        <v>0</v>
      </c>
      <c r="AA29" s="636">
        <f t="shared" si="10"/>
        <v>0</v>
      </c>
      <c r="AB29" s="715"/>
      <c r="AC29" s="139">
        <f t="shared" si="19"/>
        <v>0</v>
      </c>
      <c r="AD29" s="553"/>
      <c r="AE29" s="241">
        <f t="shared" si="15"/>
        <v>0</v>
      </c>
      <c r="AF29" s="363">
        <f>'Lpg (2)'!B33*2000/85</f>
        <v>0</v>
      </c>
      <c r="AG29" s="364">
        <f>'Lpg (2)'!C33*1000/85</f>
        <v>0</v>
      </c>
      <c r="AH29" s="365">
        <f>'Lpg (2)'!D33*1000/85</f>
        <v>0</v>
      </c>
      <c r="AI29" s="639">
        <f t="shared" si="17"/>
        <v>0</v>
      </c>
      <c r="AJ29" s="638">
        <f t="shared" si="4"/>
        <v>0</v>
      </c>
      <c r="AK29" s="145"/>
    </row>
    <row r="30" spans="1:37" ht="19.5" thickBot="1">
      <c r="A30" s="95">
        <f>Gen!A35</f>
        <v>43824</v>
      </c>
      <c r="B30" s="629">
        <f>'Summery Report'!E29</f>
        <v>0</v>
      </c>
      <c r="C30" s="159">
        <f>Gen!B35</f>
        <v>0</v>
      </c>
      <c r="D30" s="630">
        <f>'Summery Report'!E29</f>
        <v>0</v>
      </c>
      <c r="E30" s="631">
        <f t="shared" si="13"/>
        <v>1.3262195121951219</v>
      </c>
      <c r="F30" s="632" t="e">
        <f t="shared" si="14"/>
        <v>#DIV/0!</v>
      </c>
      <c r="G30" s="632" t="e">
        <f t="shared" si="0"/>
        <v>#DIV/0!</v>
      </c>
      <c r="H30" s="631">
        <f>Gen!C35</f>
        <v>32848.672000000013</v>
      </c>
      <c r="I30" s="633">
        <f>Gen!E35</f>
        <v>0</v>
      </c>
      <c r="J30" s="143">
        <f>Gen!S35</f>
        <v>0</v>
      </c>
      <c r="K30" s="143">
        <f>Gen!AJ35</f>
        <v>0</v>
      </c>
      <c r="L30" s="143">
        <f t="shared" si="1"/>
        <v>0</v>
      </c>
      <c r="M30" s="668">
        <f>'Water-Meter'!K70</f>
        <v>0</v>
      </c>
      <c r="N30" s="223">
        <f>'Water-Meter'!E30</f>
        <v>0</v>
      </c>
      <c r="O30" s="234"/>
      <c r="P30" s="553"/>
      <c r="Q30" s="634">
        <f t="shared" si="2"/>
        <v>0</v>
      </c>
      <c r="R30" s="635">
        <f t="shared" si="5"/>
        <v>0</v>
      </c>
      <c r="S30" s="553"/>
      <c r="T30" s="716"/>
      <c r="U30" s="634">
        <f t="shared" si="6"/>
        <v>0</v>
      </c>
      <c r="V30" s="636">
        <f t="shared" si="18"/>
        <v>0</v>
      </c>
      <c r="W30" s="553"/>
      <c r="X30" s="714"/>
      <c r="Y30" s="634">
        <f t="shared" si="8"/>
        <v>0</v>
      </c>
      <c r="Z30" s="636">
        <f t="shared" si="9"/>
        <v>0</v>
      </c>
      <c r="AA30" s="636">
        <f t="shared" si="10"/>
        <v>0</v>
      </c>
      <c r="AB30" s="715"/>
      <c r="AC30" s="139">
        <f t="shared" si="19"/>
        <v>0</v>
      </c>
      <c r="AD30" s="553"/>
      <c r="AE30" s="241">
        <f t="shared" si="15"/>
        <v>0</v>
      </c>
      <c r="AF30" s="363">
        <f>'Lpg (2)'!B34*2000/85</f>
        <v>0</v>
      </c>
      <c r="AG30" s="364">
        <f>'Lpg (2)'!C34*1000/85</f>
        <v>0</v>
      </c>
      <c r="AH30" s="365">
        <f>'Lpg (2)'!D34*1000/85</f>
        <v>0</v>
      </c>
      <c r="AI30" s="639">
        <f t="shared" si="17"/>
        <v>0</v>
      </c>
      <c r="AJ30" s="638">
        <f t="shared" si="4"/>
        <v>0</v>
      </c>
      <c r="AK30" s="145"/>
    </row>
    <row r="31" spans="1:37" ht="19.5" thickBot="1">
      <c r="A31" s="95">
        <f>Gen!A36</f>
        <v>43825</v>
      </c>
      <c r="B31" s="629">
        <f>'Summery Report'!E30</f>
        <v>0</v>
      </c>
      <c r="C31" s="159">
        <f>Gen!B36</f>
        <v>0</v>
      </c>
      <c r="D31" s="630">
        <f>'Summery Report'!E30</f>
        <v>0</v>
      </c>
      <c r="E31" s="631">
        <f t="shared" si="13"/>
        <v>1.3262195121951219</v>
      </c>
      <c r="F31" s="632" t="e">
        <f t="shared" si="14"/>
        <v>#DIV/0!</v>
      </c>
      <c r="G31" s="632" t="e">
        <f t="shared" si="0"/>
        <v>#DIV/0!</v>
      </c>
      <c r="H31" s="631">
        <f>Gen!C36</f>
        <v>32848.672000000013</v>
      </c>
      <c r="I31" s="633">
        <f>Gen!E36</f>
        <v>0</v>
      </c>
      <c r="J31" s="143">
        <f>Gen!S36</f>
        <v>0</v>
      </c>
      <c r="K31" s="143">
        <f>Gen!AJ36</f>
        <v>0</v>
      </c>
      <c r="L31" s="143">
        <f t="shared" si="1"/>
        <v>0</v>
      </c>
      <c r="M31" s="668">
        <f>'Water-Meter'!K71</f>
        <v>0</v>
      </c>
      <c r="N31" s="223">
        <f>'Water-Meter'!E31</f>
        <v>0</v>
      </c>
      <c r="O31" s="234"/>
      <c r="P31" s="553"/>
      <c r="Q31" s="634">
        <f t="shared" si="2"/>
        <v>0</v>
      </c>
      <c r="R31" s="635">
        <f t="shared" si="5"/>
        <v>0</v>
      </c>
      <c r="S31" s="553"/>
      <c r="T31" s="716"/>
      <c r="U31" s="634">
        <f t="shared" si="6"/>
        <v>0</v>
      </c>
      <c r="V31" s="636">
        <f t="shared" si="18"/>
        <v>0</v>
      </c>
      <c r="W31" s="553"/>
      <c r="X31" s="717"/>
      <c r="Y31" s="634">
        <f t="shared" si="8"/>
        <v>0</v>
      </c>
      <c r="Z31" s="636">
        <f t="shared" si="9"/>
        <v>0</v>
      </c>
      <c r="AA31" s="636">
        <f t="shared" si="10"/>
        <v>0</v>
      </c>
      <c r="AB31" s="715"/>
      <c r="AC31" s="139">
        <f t="shared" si="19"/>
        <v>0</v>
      </c>
      <c r="AD31" s="553"/>
      <c r="AE31" s="241">
        <f t="shared" si="15"/>
        <v>0</v>
      </c>
      <c r="AF31" s="363">
        <f>'Lpg (2)'!B35*2000/85</f>
        <v>0</v>
      </c>
      <c r="AG31" s="364">
        <f>'Lpg (2)'!C35*1000/85</f>
        <v>0</v>
      </c>
      <c r="AH31" s="365">
        <f>'Lpg (2)'!D35*1000/85</f>
        <v>0</v>
      </c>
      <c r="AI31" s="639">
        <f t="shared" si="17"/>
        <v>0</v>
      </c>
      <c r="AJ31" s="638">
        <f t="shared" si="4"/>
        <v>0</v>
      </c>
      <c r="AK31" s="145"/>
    </row>
    <row r="32" spans="1:37" ht="19.5" thickBot="1">
      <c r="A32" s="95">
        <f>Gen!A37</f>
        <v>43826</v>
      </c>
      <c r="B32" s="629">
        <f>'Summery Report'!E31</f>
        <v>0</v>
      </c>
      <c r="C32" s="159">
        <f>Gen!B37</f>
        <v>0</v>
      </c>
      <c r="D32" s="630">
        <f>'Summery Report'!E31</f>
        <v>0</v>
      </c>
      <c r="E32" s="631">
        <f t="shared" si="13"/>
        <v>1.3262195121951219</v>
      </c>
      <c r="F32" s="632" t="e">
        <f t="shared" si="14"/>
        <v>#DIV/0!</v>
      </c>
      <c r="G32" s="632" t="e">
        <f t="shared" si="0"/>
        <v>#DIV/0!</v>
      </c>
      <c r="H32" s="631">
        <f>Gen!C37</f>
        <v>32848.672000000013</v>
      </c>
      <c r="I32" s="633">
        <f>Gen!E37</f>
        <v>0</v>
      </c>
      <c r="J32" s="143">
        <f>Gen!S37</f>
        <v>0</v>
      </c>
      <c r="K32" s="143">
        <f>Gen!AJ37</f>
        <v>0</v>
      </c>
      <c r="L32" s="143">
        <f t="shared" si="1"/>
        <v>0</v>
      </c>
      <c r="M32" s="668">
        <f>'Water-Meter'!K72</f>
        <v>0</v>
      </c>
      <c r="N32" s="223">
        <f>'Water-Meter'!E32</f>
        <v>0</v>
      </c>
      <c r="O32" s="234"/>
      <c r="P32" s="553"/>
      <c r="Q32" s="634">
        <f t="shared" si="2"/>
        <v>0</v>
      </c>
      <c r="R32" s="635">
        <f t="shared" si="5"/>
        <v>0</v>
      </c>
      <c r="S32" s="553"/>
      <c r="T32" s="716"/>
      <c r="U32" s="634">
        <f t="shared" si="6"/>
        <v>0</v>
      </c>
      <c r="V32" s="636">
        <f t="shared" si="18"/>
        <v>0</v>
      </c>
      <c r="W32" s="553"/>
      <c r="X32" s="714"/>
      <c r="Y32" s="634">
        <f t="shared" si="8"/>
        <v>0</v>
      </c>
      <c r="Z32" s="636">
        <f t="shared" si="9"/>
        <v>0</v>
      </c>
      <c r="AA32" s="636">
        <f t="shared" si="10"/>
        <v>0</v>
      </c>
      <c r="AB32" s="715"/>
      <c r="AC32" s="139">
        <f t="shared" si="19"/>
        <v>0</v>
      </c>
      <c r="AD32" s="553"/>
      <c r="AE32" s="241">
        <f t="shared" si="15"/>
        <v>0</v>
      </c>
      <c r="AF32" s="363">
        <f>'Lpg (2)'!B36*2000/85</f>
        <v>0</v>
      </c>
      <c r="AG32" s="364">
        <f>'Lpg (2)'!C36*1000/85</f>
        <v>0</v>
      </c>
      <c r="AH32" s="365">
        <f>'Lpg (2)'!D36*1000/85</f>
        <v>0</v>
      </c>
      <c r="AI32" s="639">
        <f t="shared" si="17"/>
        <v>0</v>
      </c>
      <c r="AJ32" s="638">
        <f t="shared" si="4"/>
        <v>0</v>
      </c>
      <c r="AK32" s="145"/>
    </row>
    <row r="33" spans="1:37" ht="19.5" thickBot="1">
      <c r="A33" s="95">
        <f>Gen!A38</f>
        <v>43827</v>
      </c>
      <c r="B33" s="629">
        <f>'Summery Report'!E32</f>
        <v>0</v>
      </c>
      <c r="C33" s="159">
        <f>Gen!B38</f>
        <v>0</v>
      </c>
      <c r="D33" s="630">
        <f>'Summery Report'!E32</f>
        <v>0</v>
      </c>
      <c r="E33" s="631">
        <f t="shared" si="13"/>
        <v>1.3262195121951219</v>
      </c>
      <c r="F33" s="632" t="e">
        <f t="shared" si="14"/>
        <v>#DIV/0!</v>
      </c>
      <c r="G33" s="632" t="e">
        <f t="shared" si="0"/>
        <v>#DIV/0!</v>
      </c>
      <c r="H33" s="631">
        <f>Gen!C38</f>
        <v>32848.672000000013</v>
      </c>
      <c r="I33" s="633">
        <f>Gen!E38</f>
        <v>0</v>
      </c>
      <c r="J33" s="143">
        <f>Gen!S38</f>
        <v>0</v>
      </c>
      <c r="K33" s="143">
        <f>Gen!AJ38</f>
        <v>0</v>
      </c>
      <c r="L33" s="143">
        <f t="shared" si="1"/>
        <v>0</v>
      </c>
      <c r="M33" s="668">
        <f>'Water-Meter'!K73</f>
        <v>0</v>
      </c>
      <c r="N33" s="223">
        <f>'Water-Meter'!E33</f>
        <v>0</v>
      </c>
      <c r="O33" s="234"/>
      <c r="P33" s="553"/>
      <c r="Q33" s="634">
        <f t="shared" si="2"/>
        <v>0</v>
      </c>
      <c r="R33" s="635">
        <f t="shared" si="5"/>
        <v>0</v>
      </c>
      <c r="S33" s="553"/>
      <c r="T33" s="716"/>
      <c r="U33" s="634">
        <f t="shared" si="6"/>
        <v>0</v>
      </c>
      <c r="V33" s="636">
        <f t="shared" si="18"/>
        <v>0</v>
      </c>
      <c r="W33" s="553"/>
      <c r="X33" s="714"/>
      <c r="Y33" s="634">
        <f t="shared" si="8"/>
        <v>0</v>
      </c>
      <c r="Z33" s="636">
        <f t="shared" si="9"/>
        <v>0</v>
      </c>
      <c r="AA33" s="636">
        <f t="shared" si="10"/>
        <v>0</v>
      </c>
      <c r="AB33" s="715"/>
      <c r="AC33" s="139">
        <f t="shared" si="19"/>
        <v>0</v>
      </c>
      <c r="AD33" s="553"/>
      <c r="AE33" s="241">
        <f t="shared" si="15"/>
        <v>0</v>
      </c>
      <c r="AF33" s="363">
        <f>'Lpg (2)'!B37*2000/85</f>
        <v>0</v>
      </c>
      <c r="AG33" s="364">
        <f>'Lpg (2)'!C37*1000/85</f>
        <v>0</v>
      </c>
      <c r="AH33" s="365">
        <f>'Lpg (2)'!D37*1000/85</f>
        <v>0</v>
      </c>
      <c r="AI33" s="639">
        <f t="shared" si="17"/>
        <v>0</v>
      </c>
      <c r="AJ33" s="638">
        <f t="shared" si="4"/>
        <v>0</v>
      </c>
      <c r="AK33" s="145"/>
    </row>
    <row r="34" spans="1:37" ht="19.5" thickBot="1">
      <c r="A34" s="95">
        <f>Gen!A39</f>
        <v>43828</v>
      </c>
      <c r="B34" s="629">
        <f>'Summery Report'!E33</f>
        <v>0</v>
      </c>
      <c r="C34" s="159">
        <f>Gen!B39</f>
        <v>0</v>
      </c>
      <c r="D34" s="630">
        <f>'Summery Report'!E33</f>
        <v>0</v>
      </c>
      <c r="E34" s="631">
        <f t="shared" si="13"/>
        <v>1.3262195121951219</v>
      </c>
      <c r="F34" s="632" t="e">
        <f t="shared" si="14"/>
        <v>#DIV/0!</v>
      </c>
      <c r="G34" s="632" t="e">
        <f t="shared" si="0"/>
        <v>#DIV/0!</v>
      </c>
      <c r="H34" s="631">
        <f>Gen!C39</f>
        <v>32848.672000000013</v>
      </c>
      <c r="I34" s="633">
        <f>Gen!E39</f>
        <v>15000</v>
      </c>
      <c r="J34" s="143">
        <f>Gen!S39</f>
        <v>0</v>
      </c>
      <c r="K34" s="143">
        <f>Gen!AJ39</f>
        <v>0</v>
      </c>
      <c r="L34" s="143">
        <f t="shared" si="1"/>
        <v>0</v>
      </c>
      <c r="M34" s="668">
        <f>'Water-Meter'!K74</f>
        <v>0</v>
      </c>
      <c r="N34" s="223">
        <f>'Water-Meter'!E34</f>
        <v>0</v>
      </c>
      <c r="O34" s="234"/>
      <c r="P34" s="553"/>
      <c r="Q34" s="634">
        <f t="shared" si="2"/>
        <v>0</v>
      </c>
      <c r="R34" s="635">
        <f t="shared" si="5"/>
        <v>0</v>
      </c>
      <c r="S34" s="553"/>
      <c r="T34" s="716"/>
      <c r="U34" s="634">
        <f t="shared" si="6"/>
        <v>0</v>
      </c>
      <c r="V34" s="636">
        <f t="shared" si="18"/>
        <v>0</v>
      </c>
      <c r="W34" s="553"/>
      <c r="X34" s="714"/>
      <c r="Y34" s="634">
        <f t="shared" si="8"/>
        <v>0</v>
      </c>
      <c r="Z34" s="636">
        <f t="shared" si="9"/>
        <v>0</v>
      </c>
      <c r="AA34" s="636">
        <f t="shared" si="10"/>
        <v>0</v>
      </c>
      <c r="AB34" s="715"/>
      <c r="AC34" s="139">
        <f t="shared" si="19"/>
        <v>0</v>
      </c>
      <c r="AD34" s="553"/>
      <c r="AE34" s="241">
        <f t="shared" si="15"/>
        <v>0</v>
      </c>
      <c r="AF34" s="363">
        <f>'Lpg (2)'!B38*2000/85</f>
        <v>0</v>
      </c>
      <c r="AG34" s="364">
        <f>'Lpg (2)'!C38*1000/85</f>
        <v>0</v>
      </c>
      <c r="AH34" s="365">
        <f>'Lpg (2)'!D38*1000/85</f>
        <v>0</v>
      </c>
      <c r="AI34" s="639">
        <f t="shared" si="17"/>
        <v>0</v>
      </c>
      <c r="AJ34" s="638">
        <f t="shared" si="4"/>
        <v>0</v>
      </c>
      <c r="AK34" s="145"/>
    </row>
    <row r="35" spans="1:37" ht="19.5" thickBot="1">
      <c r="A35" s="95">
        <f>Gen!A40</f>
        <v>43829</v>
      </c>
      <c r="B35" s="629">
        <f>'Summery Report'!E34</f>
        <v>0</v>
      </c>
      <c r="C35" s="159">
        <f>Gen!B40</f>
        <v>0</v>
      </c>
      <c r="D35" s="630">
        <f>'Summery Report'!E34</f>
        <v>0</v>
      </c>
      <c r="E35" s="631">
        <f t="shared" si="13"/>
        <v>1.3262195121951219</v>
      </c>
      <c r="F35" s="632" t="e">
        <f t="shared" si="14"/>
        <v>#DIV/0!</v>
      </c>
      <c r="G35" s="632" t="e">
        <f t="shared" si="0"/>
        <v>#DIV/0!</v>
      </c>
      <c r="H35" s="631">
        <f>Gen!C40</f>
        <v>32848.672000000013</v>
      </c>
      <c r="I35" s="633">
        <f>Gen!E40</f>
        <v>0</v>
      </c>
      <c r="J35" s="143">
        <f>Gen!S40</f>
        <v>0</v>
      </c>
      <c r="K35" s="143">
        <f>Gen!AJ40</f>
        <v>0</v>
      </c>
      <c r="L35" s="143">
        <f t="shared" si="1"/>
        <v>0</v>
      </c>
      <c r="M35" s="668">
        <f>'Water-Meter'!K75</f>
        <v>0</v>
      </c>
      <c r="N35" s="223">
        <f>'Water-Meter'!E35</f>
        <v>0</v>
      </c>
      <c r="O35" s="234"/>
      <c r="P35" s="553"/>
      <c r="Q35" s="634">
        <f t="shared" si="2"/>
        <v>0</v>
      </c>
      <c r="R35" s="635">
        <f t="shared" si="5"/>
        <v>0</v>
      </c>
      <c r="S35" s="553"/>
      <c r="T35" s="716"/>
      <c r="U35" s="634">
        <f t="shared" si="6"/>
        <v>0</v>
      </c>
      <c r="V35" s="636">
        <f t="shared" si="18"/>
        <v>0</v>
      </c>
      <c r="W35" s="553"/>
      <c r="X35" s="714"/>
      <c r="Y35" s="634">
        <f t="shared" si="8"/>
        <v>0</v>
      </c>
      <c r="Z35" s="636">
        <f t="shared" si="9"/>
        <v>0</v>
      </c>
      <c r="AA35" s="636">
        <f t="shared" si="10"/>
        <v>0</v>
      </c>
      <c r="AB35" s="715"/>
      <c r="AC35" s="139">
        <f t="shared" si="19"/>
        <v>0</v>
      </c>
      <c r="AD35" s="553"/>
      <c r="AE35" s="241">
        <f t="shared" si="15"/>
        <v>0</v>
      </c>
      <c r="AF35" s="363">
        <f>'Lpg (2)'!B39*2000/85</f>
        <v>0</v>
      </c>
      <c r="AG35" s="364">
        <f>'Lpg (2)'!C39*1000/85</f>
        <v>0</v>
      </c>
      <c r="AH35" s="365">
        <f>'Lpg (2)'!D39*1000/85</f>
        <v>0</v>
      </c>
      <c r="AI35" s="639">
        <f t="shared" si="17"/>
        <v>0</v>
      </c>
      <c r="AJ35" s="638">
        <f t="shared" si="4"/>
        <v>0</v>
      </c>
      <c r="AK35" s="147"/>
    </row>
    <row r="36" spans="1:37" ht="19.5" thickBot="1">
      <c r="A36" s="95">
        <f>Gen!A41</f>
        <v>43830</v>
      </c>
      <c r="B36" s="629">
        <f>'Summery Report'!E35</f>
        <v>0</v>
      </c>
      <c r="C36" s="159">
        <f>Gen!B41</f>
        <v>0</v>
      </c>
      <c r="D36" s="630">
        <f>'Summery Report'!E35</f>
        <v>0</v>
      </c>
      <c r="E36" s="631">
        <f t="shared" si="13"/>
        <v>1.3262195121951219</v>
      </c>
      <c r="F36" s="632" t="e">
        <f t="shared" si="14"/>
        <v>#DIV/0!</v>
      </c>
      <c r="G36" s="632" t="e">
        <f t="shared" si="0"/>
        <v>#DIV/0!</v>
      </c>
      <c r="H36" s="631">
        <f>Gen!C41</f>
        <v>32848.672000000013</v>
      </c>
      <c r="I36" s="633">
        <f>Gen!E41</f>
        <v>0</v>
      </c>
      <c r="J36" s="143">
        <f>Gen!S41</f>
        <v>0</v>
      </c>
      <c r="K36" s="143">
        <f>Gen!AJ41</f>
        <v>0</v>
      </c>
      <c r="L36" s="143">
        <f t="shared" si="1"/>
        <v>0</v>
      </c>
      <c r="M36" s="668">
        <f>'Water-Meter'!K76</f>
        <v>0</v>
      </c>
      <c r="N36" s="223">
        <f>'Water-Meter'!E36</f>
        <v>0</v>
      </c>
      <c r="O36" s="234"/>
      <c r="P36" s="553"/>
      <c r="Q36" s="634">
        <f t="shared" si="2"/>
        <v>0</v>
      </c>
      <c r="R36" s="635">
        <f t="shared" si="5"/>
        <v>0</v>
      </c>
      <c r="S36" s="553"/>
      <c r="T36" s="716"/>
      <c r="U36" s="634">
        <f t="shared" si="6"/>
        <v>0</v>
      </c>
      <c r="V36" s="636">
        <f t="shared" si="18"/>
        <v>0</v>
      </c>
      <c r="W36" s="553"/>
      <c r="X36" s="714"/>
      <c r="Y36" s="634">
        <f t="shared" si="8"/>
        <v>0</v>
      </c>
      <c r="Z36" s="636">
        <f t="shared" si="9"/>
        <v>0</v>
      </c>
      <c r="AA36" s="636">
        <f t="shared" si="10"/>
        <v>0</v>
      </c>
      <c r="AB36" s="715"/>
      <c r="AC36" s="139">
        <f t="shared" si="19"/>
        <v>0</v>
      </c>
      <c r="AD36" s="553"/>
      <c r="AE36" s="241">
        <f t="shared" si="15"/>
        <v>0</v>
      </c>
      <c r="AF36" s="363">
        <f>'Lpg (2)'!B40*2000/85</f>
        <v>0</v>
      </c>
      <c r="AG36" s="364">
        <f>'Lpg (2)'!C40*1000/85</f>
        <v>0</v>
      </c>
      <c r="AH36" s="365">
        <f>'Lpg (2)'!D40*1000/85</f>
        <v>0</v>
      </c>
      <c r="AI36" s="640">
        <f>SUM(AF36*1000)+(AG36*1000)+(AH36*2000)</f>
        <v>0</v>
      </c>
      <c r="AJ36" s="641">
        <f t="shared" si="4"/>
        <v>0</v>
      </c>
      <c r="AK36" s="147"/>
    </row>
    <row r="37" spans="1:37" s="9" customFormat="1" ht="15.75" thickBot="1">
      <c r="A37" s="162" t="s">
        <v>68</v>
      </c>
      <c r="B37" s="163">
        <v>0</v>
      </c>
      <c r="C37" s="164"/>
      <c r="D37" s="164"/>
      <c r="E37" s="164"/>
      <c r="F37" s="164"/>
      <c r="G37" s="164"/>
      <c r="H37" s="165"/>
      <c r="I37" s="166"/>
      <c r="J37" s="167">
        <f>SUM(J6:J36)</f>
        <v>28908.129999999997</v>
      </c>
      <c r="K37" s="167"/>
      <c r="L37" s="143">
        <f t="shared" si="1"/>
        <v>28908.129999999997</v>
      </c>
      <c r="M37" s="168"/>
      <c r="N37" s="223">
        <f>'Water-Meter'!E37</f>
        <v>0</v>
      </c>
      <c r="O37" s="168"/>
      <c r="P37" s="168"/>
      <c r="Q37" s="168"/>
      <c r="R37" s="168"/>
      <c r="S37" s="168"/>
      <c r="T37" s="168"/>
      <c r="U37" s="388"/>
      <c r="V37" s="168"/>
      <c r="W37" s="168"/>
      <c r="X37" s="168"/>
      <c r="Y37" s="168"/>
      <c r="Z37" s="168"/>
      <c r="AA37" s="642"/>
      <c r="AB37" s="169"/>
      <c r="AC37" s="139">
        <f t="shared" si="19"/>
        <v>0</v>
      </c>
      <c r="AD37" s="234"/>
      <c r="AE37" s="241">
        <f t="shared" si="15"/>
        <v>0</v>
      </c>
      <c r="AF37" s="168"/>
      <c r="AG37" s="168"/>
      <c r="AH37" s="168"/>
      <c r="AI37" s="165"/>
      <c r="AJ37" s="170">
        <f>SUM(AJ6:AJ36)</f>
        <v>0</v>
      </c>
      <c r="AK37" s="171">
        <f>SUM(AK6:AK36)</f>
        <v>0</v>
      </c>
    </row>
    <row r="38" spans="1:37" s="75" customFormat="1">
      <c r="A38" s="384"/>
      <c r="B38" s="385"/>
      <c r="C38" s="386"/>
      <c r="D38" s="386"/>
      <c r="E38" s="386"/>
      <c r="F38" s="386"/>
      <c r="G38" s="386"/>
      <c r="H38" s="385"/>
      <c r="I38" s="385"/>
      <c r="J38" s="387"/>
      <c r="K38" s="387"/>
      <c r="L38" s="387"/>
      <c r="M38" s="388"/>
      <c r="N38" s="388"/>
      <c r="O38" s="388"/>
      <c r="P38" s="388"/>
      <c r="Q38" s="388"/>
      <c r="R38" s="388"/>
      <c r="S38" s="388"/>
      <c r="T38" s="388"/>
      <c r="U38" s="388"/>
      <c r="V38" s="388"/>
      <c r="W38" s="388"/>
      <c r="X38" s="160"/>
      <c r="Y38" s="160"/>
      <c r="Z38" s="160"/>
      <c r="AA38" s="140"/>
      <c r="AB38" s="140"/>
      <c r="AC38" s="161"/>
      <c r="AD38" s="140"/>
      <c r="AE38" s="161"/>
      <c r="AF38" s="160"/>
      <c r="AG38" s="160"/>
      <c r="AH38" s="160"/>
      <c r="AI38" s="140"/>
      <c r="AJ38" s="140"/>
      <c r="AK38" s="160"/>
    </row>
    <row r="39" spans="1:37">
      <c r="C39" s="141"/>
      <c r="J39" s="141"/>
      <c r="X39" s="141"/>
      <c r="AF39" s="141"/>
      <c r="AH39" s="140"/>
    </row>
    <row r="40" spans="1:37" ht="30.75" customHeight="1">
      <c r="C40" s="141"/>
      <c r="J40" s="141"/>
      <c r="X40" s="141"/>
    </row>
    <row r="41" spans="1:37">
      <c r="C41" s="141"/>
      <c r="J41" s="141"/>
    </row>
    <row r="42" spans="1:37">
      <c r="C42" s="141"/>
      <c r="J42" s="141"/>
    </row>
    <row r="43" spans="1:37" ht="15">
      <c r="C43" s="141"/>
      <c r="J43" s="141"/>
      <c r="X43" s="643"/>
    </row>
    <row r="44" spans="1:37" ht="15">
      <c r="C44" s="141"/>
      <c r="J44" s="141"/>
      <c r="X44" s="644"/>
    </row>
    <row r="45" spans="1:37" ht="15">
      <c r="C45" s="141"/>
      <c r="J45" s="141"/>
      <c r="X45" s="643"/>
    </row>
    <row r="46" spans="1:37" ht="15">
      <c r="C46" s="141"/>
      <c r="J46" s="141"/>
      <c r="X46" s="644"/>
    </row>
    <row r="47" spans="1:37">
      <c r="C47" s="141"/>
      <c r="J47" s="141"/>
    </row>
    <row r="48" spans="1:37">
      <c r="C48" s="141"/>
      <c r="J48" s="141"/>
    </row>
    <row r="49" spans="3:10">
      <c r="C49" s="141"/>
      <c r="J49" s="141"/>
    </row>
    <row r="50" spans="3:10">
      <c r="C50" s="141"/>
      <c r="J50" s="141"/>
    </row>
    <row r="51" spans="3:10">
      <c r="C51" s="141"/>
      <c r="J51" s="141"/>
    </row>
    <row r="52" spans="3:10">
      <c r="C52" s="141"/>
      <c r="J52" s="141"/>
    </row>
    <row r="53" spans="3:10">
      <c r="C53" s="141"/>
      <c r="J53" s="141"/>
    </row>
    <row r="54" spans="3:10">
      <c r="C54" s="141"/>
      <c r="J54" s="141"/>
    </row>
    <row r="55" spans="3:10">
      <c r="C55" s="141"/>
      <c r="J55" s="141"/>
    </row>
    <row r="56" spans="3:10">
      <c r="C56" s="141"/>
      <c r="J56" s="141"/>
    </row>
    <row r="57" spans="3:10">
      <c r="C57" s="141"/>
      <c r="J57" s="141"/>
    </row>
    <row r="58" spans="3:10">
      <c r="C58" s="141"/>
      <c r="J58" s="141"/>
    </row>
    <row r="59" spans="3:10">
      <c r="C59" s="141"/>
      <c r="J59" s="141"/>
    </row>
    <row r="60" spans="3:10">
      <c r="C60" s="141"/>
      <c r="J60" s="141"/>
    </row>
    <row r="61" spans="3:10">
      <c r="C61" s="141"/>
      <c r="J61" s="141"/>
    </row>
    <row r="62" spans="3:10">
      <c r="C62" s="141"/>
      <c r="J62" s="141"/>
    </row>
    <row r="63" spans="3:10">
      <c r="C63" s="141"/>
      <c r="J63" s="141"/>
    </row>
    <row r="64" spans="3:10">
      <c r="C64" s="141"/>
      <c r="J64" s="141"/>
    </row>
    <row r="65" spans="3:24">
      <c r="C65" s="141"/>
      <c r="J65" s="141"/>
    </row>
    <row r="66" spans="3:24" ht="15">
      <c r="C66" s="141"/>
      <c r="J66" s="141"/>
      <c r="X66" s="645"/>
    </row>
    <row r="67" spans="3:24" ht="15">
      <c r="C67" s="141"/>
      <c r="J67" s="141"/>
      <c r="X67" s="646"/>
    </row>
    <row r="68" spans="3:24" ht="15">
      <c r="C68" s="141"/>
      <c r="J68" s="141"/>
      <c r="X68" s="646"/>
    </row>
    <row r="69" spans="3:24" ht="15">
      <c r="C69" s="141"/>
      <c r="J69" s="141"/>
      <c r="X69" s="646"/>
    </row>
    <row r="70" spans="3:24" ht="15">
      <c r="C70" s="141"/>
      <c r="J70" s="141"/>
      <c r="X70" s="646"/>
    </row>
    <row r="71" spans="3:24" ht="15">
      <c r="C71" s="141"/>
      <c r="J71" s="141"/>
      <c r="X71" s="646"/>
    </row>
    <row r="72" spans="3:24">
      <c r="C72" s="141"/>
      <c r="J72" s="141"/>
      <c r="X72" s="20"/>
    </row>
    <row r="73" spans="3:24">
      <c r="C73" s="141"/>
      <c r="J73" s="141"/>
      <c r="X73" s="20"/>
    </row>
    <row r="74" spans="3:24">
      <c r="C74" s="141"/>
      <c r="J74" s="141"/>
    </row>
  </sheetData>
  <mergeCells count="11">
    <mergeCell ref="O3:R3"/>
    <mergeCell ref="S3:V3"/>
    <mergeCell ref="W3:Z3"/>
    <mergeCell ref="O2:Z2"/>
    <mergeCell ref="A1:AK1"/>
    <mergeCell ref="B2:D2"/>
    <mergeCell ref="F3:G3"/>
    <mergeCell ref="AB2:AC2"/>
    <mergeCell ref="N2:N4"/>
    <mergeCell ref="J2:J4"/>
    <mergeCell ref="L2:L4"/>
  </mergeCells>
  <pageMargins left="0.7" right="0.7" top="0.75" bottom="0.75" header="0.3" footer="0.3"/>
  <pageSetup paperSize="9" scale="3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H53"/>
  <sheetViews>
    <sheetView zoomScale="86" zoomScaleNormal="86" workbookViewId="0">
      <selection activeCell="W21" sqref="W21"/>
    </sheetView>
  </sheetViews>
  <sheetFormatPr defaultRowHeight="12.75"/>
  <cols>
    <col min="1" max="1" width="9.140625" style="51" customWidth="1"/>
    <col min="2" max="2" width="14.28515625" bestFit="1" customWidth="1"/>
    <col min="3" max="3" width="9.140625" hidden="1" customWidth="1"/>
    <col min="4" max="4" width="8.85546875" customWidth="1"/>
    <col min="5" max="5" width="17.28515625" bestFit="1" customWidth="1"/>
    <col min="6" max="6" width="13.140625" customWidth="1"/>
    <col min="7" max="7" width="1.140625" customWidth="1"/>
    <col min="8" max="8" width="14.28515625" bestFit="1" customWidth="1"/>
    <col min="9" max="9" width="9.140625" hidden="1" customWidth="1"/>
    <col min="10" max="10" width="8.85546875" customWidth="1"/>
    <col min="11" max="11" width="16.85546875" customWidth="1"/>
    <col min="12" max="12" width="9.28515625" bestFit="1" customWidth="1"/>
    <col min="13" max="13" width="15" customWidth="1"/>
    <col min="14" max="16" width="7.85546875" customWidth="1"/>
    <col min="17" max="17" width="12.28515625" customWidth="1"/>
    <col min="18" max="18" width="16.5703125" customWidth="1"/>
    <col min="19" max="19" width="12.5703125" style="16" customWidth="1"/>
    <col min="20" max="20" width="14.28515625" bestFit="1" customWidth="1"/>
    <col min="21" max="21" width="9.140625" hidden="1" customWidth="1"/>
    <col min="22" max="22" width="8.85546875" customWidth="1"/>
    <col min="23" max="23" width="14.85546875" customWidth="1"/>
    <col min="25" max="25" width="14.28515625" bestFit="1" customWidth="1"/>
    <col min="26" max="26" width="9.140625" hidden="1" customWidth="1"/>
    <col min="27" max="27" width="15.7109375" customWidth="1"/>
    <col min="28" max="28" width="14.85546875" customWidth="1"/>
    <col min="29" max="29" width="11.140625" customWidth="1"/>
  </cols>
  <sheetData>
    <row r="1" spans="1:34" ht="19.5" customHeight="1" thickBot="1">
      <c r="B1" s="745" t="s">
        <v>151</v>
      </c>
      <c r="C1" s="746"/>
      <c r="D1" s="746"/>
      <c r="E1" s="746"/>
      <c r="F1" s="747"/>
      <c r="G1" s="191"/>
      <c r="H1" s="745" t="s">
        <v>152</v>
      </c>
      <c r="I1" s="746"/>
      <c r="J1" s="746"/>
      <c r="K1" s="746"/>
      <c r="L1" s="747"/>
      <c r="M1" s="745" t="s">
        <v>171</v>
      </c>
      <c r="N1" s="746"/>
      <c r="O1" s="746"/>
      <c r="P1" s="746"/>
      <c r="Q1" s="747"/>
      <c r="R1" s="191"/>
      <c r="T1" s="745" t="s">
        <v>167</v>
      </c>
      <c r="U1" s="746"/>
      <c r="V1" s="746"/>
      <c r="W1" s="746"/>
      <c r="X1" s="747"/>
      <c r="Y1" s="745" t="s">
        <v>170</v>
      </c>
      <c r="Z1" s="746"/>
      <c r="AA1" s="746"/>
      <c r="AB1" s="746"/>
      <c r="AC1" s="747"/>
    </row>
    <row r="2" spans="1:34" ht="75.75" thickBot="1">
      <c r="A2" s="209" t="s">
        <v>24</v>
      </c>
      <c r="B2" s="192" t="s">
        <v>153</v>
      </c>
      <c r="C2" s="193" t="s">
        <v>154</v>
      </c>
      <c r="D2" s="194" t="s">
        <v>155</v>
      </c>
      <c r="E2" s="194" t="s">
        <v>156</v>
      </c>
      <c r="F2" s="195" t="s">
        <v>160</v>
      </c>
      <c r="G2" s="196"/>
      <c r="H2" s="192" t="s">
        <v>153</v>
      </c>
      <c r="I2" s="193" t="s">
        <v>154</v>
      </c>
      <c r="J2" s="194" t="s">
        <v>164</v>
      </c>
      <c r="K2" s="194" t="s">
        <v>163</v>
      </c>
      <c r="L2" s="212" t="s">
        <v>161</v>
      </c>
      <c r="M2" s="192" t="s">
        <v>153</v>
      </c>
      <c r="N2" s="193" t="s">
        <v>154</v>
      </c>
      <c r="O2" s="194" t="s">
        <v>164</v>
      </c>
      <c r="P2" s="194" t="s">
        <v>163</v>
      </c>
      <c r="Q2" s="212" t="s">
        <v>161</v>
      </c>
      <c r="R2" s="476" t="s">
        <v>162</v>
      </c>
      <c r="S2" s="477" t="s">
        <v>159</v>
      </c>
      <c r="T2" s="192" t="s">
        <v>153</v>
      </c>
      <c r="U2" s="193" t="s">
        <v>154</v>
      </c>
      <c r="V2" s="194" t="s">
        <v>169</v>
      </c>
      <c r="W2" s="194" t="s">
        <v>168</v>
      </c>
      <c r="X2" s="195" t="s">
        <v>160</v>
      </c>
      <c r="Y2" s="192" t="s">
        <v>153</v>
      </c>
      <c r="Z2" s="193" t="s">
        <v>154</v>
      </c>
      <c r="AA2" s="194" t="s">
        <v>164</v>
      </c>
      <c r="AB2" s="194" t="s">
        <v>163</v>
      </c>
      <c r="AC2" s="195" t="s">
        <v>161</v>
      </c>
    </row>
    <row r="3" spans="1:34" ht="31.5" customHeight="1" thickBot="1">
      <c r="A3" s="210">
        <v>43770</v>
      </c>
      <c r="B3" s="748" t="s">
        <v>157</v>
      </c>
      <c r="C3" s="749"/>
      <c r="D3" s="207"/>
      <c r="E3" s="569">
        <v>8165.7</v>
      </c>
      <c r="F3" s="208" t="s">
        <v>158</v>
      </c>
      <c r="G3" s="199"/>
      <c r="H3" s="748" t="s">
        <v>157</v>
      </c>
      <c r="I3" s="749"/>
      <c r="J3" s="331"/>
      <c r="K3" s="475">
        <f>'[1]Water-Meter'!G5</f>
        <v>36423</v>
      </c>
      <c r="L3" s="331"/>
      <c r="M3" s="748" t="s">
        <v>157</v>
      </c>
      <c r="N3" s="749"/>
      <c r="O3" s="207"/>
      <c r="P3" s="216">
        <f>'[1]Water-Meter'!J5</f>
        <v>7351</v>
      </c>
      <c r="Q3" s="206"/>
      <c r="R3" s="331"/>
      <c r="S3" s="480"/>
      <c r="T3" s="748" t="s">
        <v>157</v>
      </c>
      <c r="U3" s="749"/>
      <c r="V3" s="207"/>
      <c r="W3" s="198">
        <v>7352.2</v>
      </c>
      <c r="X3" s="205">
        <f t="shared" ref="X3:X35" si="0">(W3-V3)*200</f>
        <v>1470440</v>
      </c>
      <c r="Y3" s="748" t="s">
        <v>157</v>
      </c>
      <c r="Z3" s="749"/>
      <c r="AA3" s="207"/>
      <c r="AB3" s="216">
        <f>'[1]Water-Meter'!P5</f>
        <v>18541</v>
      </c>
      <c r="AC3" s="221"/>
    </row>
    <row r="4" spans="1:34" ht="19.5" thickBot="1">
      <c r="A4" s="211">
        <f>Gen!B11</f>
        <v>0.11700000000000001</v>
      </c>
      <c r="B4" s="95">
        <f>Gen!A11</f>
        <v>43800</v>
      </c>
      <c r="C4" s="204"/>
      <c r="D4" s="197">
        <f t="shared" ref="D4:D23" si="1">E3</f>
        <v>8165.7</v>
      </c>
      <c r="E4" s="569">
        <v>8169.5</v>
      </c>
      <c r="F4" s="205">
        <f t="shared" ref="F4:F15" si="2">SUM(E4-D4)*120</f>
        <v>456.00000000002183</v>
      </c>
      <c r="G4" s="199"/>
      <c r="H4" s="244">
        <f>B4</f>
        <v>43800</v>
      </c>
      <c r="I4" s="197"/>
      <c r="J4" s="197">
        <f t="shared" ref="J4:J30" si="3">SUM(K3)</f>
        <v>36423</v>
      </c>
      <c r="K4" s="370">
        <f>'[1]Water-Meter'!G6</f>
        <v>36434</v>
      </c>
      <c r="L4" s="213">
        <f t="shared" ref="L4:L34" si="4">SUM(K4-J4)</f>
        <v>11</v>
      </c>
      <c r="M4" s="478">
        <f>H4</f>
        <v>43800</v>
      </c>
      <c r="N4" s="204"/>
      <c r="O4" s="204">
        <f t="shared" ref="O4:O33" si="5">SUM(P3)</f>
        <v>7351</v>
      </c>
      <c r="P4" s="479">
        <f>'[1]Water-Meter'!J6</f>
        <v>7353</v>
      </c>
      <c r="Q4" s="213">
        <f t="shared" ref="Q4:Q34" si="6">SUM(P4-O4)</f>
        <v>2</v>
      </c>
      <c r="R4" s="218">
        <f t="shared" ref="R4:R20" si="7">SUM(Q4/1615)</f>
        <v>1.238390092879257E-3</v>
      </c>
      <c r="S4" s="219" t="e">
        <f>SUM(F4/[1]Gen!T10)</f>
        <v>#DIV/0!</v>
      </c>
      <c r="T4" s="478">
        <f>M4</f>
        <v>43800</v>
      </c>
      <c r="U4" s="204"/>
      <c r="V4" s="197">
        <f t="shared" ref="V4:V33" si="8">W3</f>
        <v>7352.2</v>
      </c>
      <c r="W4" s="198">
        <v>7354.6</v>
      </c>
      <c r="X4" s="205">
        <f t="shared" si="0"/>
        <v>480.00000000010914</v>
      </c>
      <c r="Y4" s="244">
        <f>T4</f>
        <v>43800</v>
      </c>
      <c r="Z4" s="197"/>
      <c r="AA4" s="197">
        <v>3397.9</v>
      </c>
      <c r="AB4" s="216">
        <f>'[1]Water-Meter'!P6</f>
        <v>18547</v>
      </c>
      <c r="AC4" s="205">
        <f t="shared" ref="AC4:AC34" si="9">SUM(AB4-AA4)</f>
        <v>15149.1</v>
      </c>
    </row>
    <row r="5" spans="1:34" ht="19.5" thickBot="1">
      <c r="A5" s="211">
        <f>Gen!B12</f>
        <v>0.11700000000000001</v>
      </c>
      <c r="B5" s="95">
        <f>Gen!A12</f>
        <v>43801</v>
      </c>
      <c r="C5" s="197"/>
      <c r="D5" s="197">
        <f t="shared" si="1"/>
        <v>8169.5</v>
      </c>
      <c r="E5" s="569">
        <v>8173.7</v>
      </c>
      <c r="F5" s="205">
        <f t="shared" si="2"/>
        <v>503.99999999997817</v>
      </c>
      <c r="G5" s="199"/>
      <c r="H5" s="244">
        <f t="shared" ref="H5:H35" si="10">B5</f>
        <v>43801</v>
      </c>
      <c r="I5" s="197"/>
      <c r="J5" s="197">
        <f t="shared" si="3"/>
        <v>36434</v>
      </c>
      <c r="K5" s="243">
        <f>'[1]Water-Meter'!G7</f>
        <v>36454</v>
      </c>
      <c r="L5" s="213">
        <f t="shared" si="4"/>
        <v>20</v>
      </c>
      <c r="M5" s="244">
        <f t="shared" ref="M5:M35" si="11">H5</f>
        <v>43801</v>
      </c>
      <c r="N5" s="197"/>
      <c r="O5" s="197">
        <f t="shared" si="5"/>
        <v>7353</v>
      </c>
      <c r="P5" s="216">
        <f>'[1]Water-Meter'!J7</f>
        <v>7357</v>
      </c>
      <c r="Q5" s="213">
        <f t="shared" si="6"/>
        <v>4</v>
      </c>
      <c r="R5" s="218">
        <f t="shared" si="7"/>
        <v>2.4767801857585141E-3</v>
      </c>
      <c r="S5" s="219">
        <f>SUM(F5/[1]Gen!T11)</f>
        <v>8.8904568706999143E-2</v>
      </c>
      <c r="T5" s="244">
        <f t="shared" ref="T5:T30" si="12">M5</f>
        <v>43801</v>
      </c>
      <c r="U5" s="197"/>
      <c r="V5" s="197">
        <f t="shared" si="8"/>
        <v>7354.6</v>
      </c>
      <c r="W5" s="198">
        <v>7357.5</v>
      </c>
      <c r="X5" s="205">
        <f t="shared" si="0"/>
        <v>579.99999999992724</v>
      </c>
      <c r="Y5" s="244">
        <f t="shared" ref="Y5:Y30" si="13">T5</f>
        <v>43801</v>
      </c>
      <c r="Z5" s="197"/>
      <c r="AA5" s="197">
        <f t="shared" ref="AA5:AA35" si="14">SUM(AB4)</f>
        <v>18547</v>
      </c>
      <c r="AB5" s="216">
        <f>'[1]Water-Meter'!P7</f>
        <v>18554</v>
      </c>
      <c r="AC5" s="205">
        <f t="shared" si="9"/>
        <v>7</v>
      </c>
    </row>
    <row r="6" spans="1:34" ht="19.5" thickBot="1">
      <c r="A6" s="211">
        <f>Gen!B13</f>
        <v>0.182</v>
      </c>
      <c r="B6" s="95">
        <f>Gen!A13</f>
        <v>43802</v>
      </c>
      <c r="C6" s="197"/>
      <c r="D6" s="197">
        <f t="shared" si="1"/>
        <v>8173.7</v>
      </c>
      <c r="E6" s="569">
        <v>8177.5</v>
      </c>
      <c r="F6" s="205">
        <f t="shared" si="2"/>
        <v>456.00000000002183</v>
      </c>
      <c r="G6" s="199"/>
      <c r="H6" s="244">
        <f t="shared" si="10"/>
        <v>43802</v>
      </c>
      <c r="I6" s="197"/>
      <c r="J6" s="197">
        <f t="shared" si="3"/>
        <v>36454</v>
      </c>
      <c r="K6" s="243">
        <f>'[1]Water-Meter'!G8</f>
        <v>36472</v>
      </c>
      <c r="L6" s="213">
        <f t="shared" si="4"/>
        <v>18</v>
      </c>
      <c r="M6" s="244">
        <f t="shared" si="11"/>
        <v>43802</v>
      </c>
      <c r="N6" s="197"/>
      <c r="O6" s="197">
        <f t="shared" si="5"/>
        <v>7357</v>
      </c>
      <c r="P6" s="216">
        <f>'[1]Water-Meter'!J8</f>
        <v>7360</v>
      </c>
      <c r="Q6" s="213">
        <f t="shared" si="6"/>
        <v>3</v>
      </c>
      <c r="R6" s="215">
        <f t="shared" si="7"/>
        <v>1.8575851393188853E-3</v>
      </c>
      <c r="S6" s="217">
        <f>SUM(F6/[1]Gen!T12)</f>
        <v>7.4037993180714703E-2</v>
      </c>
      <c r="T6" s="244">
        <f t="shared" si="12"/>
        <v>43802</v>
      </c>
      <c r="U6" s="197"/>
      <c r="V6" s="197">
        <f t="shared" si="8"/>
        <v>7357.5</v>
      </c>
      <c r="W6" s="198">
        <v>7359.6</v>
      </c>
      <c r="X6" s="205">
        <f t="shared" si="0"/>
        <v>420.00000000007276</v>
      </c>
      <c r="Y6" s="244">
        <f t="shared" si="13"/>
        <v>43802</v>
      </c>
      <c r="Z6" s="197"/>
      <c r="AA6" s="197">
        <f t="shared" si="14"/>
        <v>18554</v>
      </c>
      <c r="AB6" s="216">
        <f>'[1]Water-Meter'!P8</f>
        <v>18563</v>
      </c>
      <c r="AC6" s="205">
        <f t="shared" si="9"/>
        <v>9</v>
      </c>
    </row>
    <row r="7" spans="1:34" ht="19.5" thickBot="1">
      <c r="A7" s="211">
        <f>Gen!B14</f>
        <v>9.0999999999999998E-2</v>
      </c>
      <c r="B7" s="95">
        <f>Gen!A14</f>
        <v>43803</v>
      </c>
      <c r="C7" s="197"/>
      <c r="D7" s="197">
        <f t="shared" si="1"/>
        <v>8177.5</v>
      </c>
      <c r="E7" s="569">
        <v>8181.2</v>
      </c>
      <c r="F7" s="205">
        <f t="shared" si="2"/>
        <v>443.99999999997817</v>
      </c>
      <c r="G7" s="199"/>
      <c r="H7" s="244">
        <f t="shared" si="10"/>
        <v>43803</v>
      </c>
      <c r="I7" s="197"/>
      <c r="J7" s="197">
        <f t="shared" si="3"/>
        <v>36472</v>
      </c>
      <c r="K7" s="243">
        <f>'[1]Water-Meter'!G9</f>
        <v>36485</v>
      </c>
      <c r="L7" s="213">
        <f t="shared" si="4"/>
        <v>13</v>
      </c>
      <c r="M7" s="244">
        <f t="shared" si="11"/>
        <v>43803</v>
      </c>
      <c r="N7" s="197"/>
      <c r="O7" s="197">
        <f t="shared" si="5"/>
        <v>7360</v>
      </c>
      <c r="P7" s="216">
        <f>'[1]Water-Meter'!J9</f>
        <v>7364</v>
      </c>
      <c r="Q7" s="213">
        <f t="shared" si="6"/>
        <v>4</v>
      </c>
      <c r="R7" s="215">
        <f t="shared" si="7"/>
        <v>2.4767801857585141E-3</v>
      </c>
      <c r="S7" s="217">
        <f>SUM(F7/[1]Gen!T13)</f>
        <v>6.7477203647413095E-2</v>
      </c>
      <c r="T7" s="244">
        <f t="shared" si="12"/>
        <v>43803</v>
      </c>
      <c r="U7" s="197"/>
      <c r="V7" s="197">
        <f t="shared" si="8"/>
        <v>7359.6</v>
      </c>
      <c r="W7" s="198">
        <v>7361.9</v>
      </c>
      <c r="X7" s="205">
        <f t="shared" si="0"/>
        <v>459.99999999985448</v>
      </c>
      <c r="Y7" s="244">
        <f t="shared" si="13"/>
        <v>43803</v>
      </c>
      <c r="Z7" s="197"/>
      <c r="AA7" s="197">
        <f t="shared" si="14"/>
        <v>18563</v>
      </c>
      <c r="AB7" s="216">
        <f>'[1]Water-Meter'!P9</f>
        <v>18575</v>
      </c>
      <c r="AC7" s="205">
        <f t="shared" si="9"/>
        <v>12</v>
      </c>
    </row>
    <row r="8" spans="1:34" ht="19.5" thickBot="1">
      <c r="A8" s="211">
        <f>Gen!B15</f>
        <v>0.104</v>
      </c>
      <c r="B8" s="95">
        <f>Gen!A15</f>
        <v>43804</v>
      </c>
      <c r="C8" s="197"/>
      <c r="D8" s="197">
        <f t="shared" si="1"/>
        <v>8181.2</v>
      </c>
      <c r="E8" s="569">
        <v>8185.1</v>
      </c>
      <c r="F8" s="205">
        <f t="shared" si="2"/>
        <v>468.00000000006548</v>
      </c>
      <c r="G8" s="199"/>
      <c r="H8" s="244">
        <f t="shared" si="10"/>
        <v>43804</v>
      </c>
      <c r="I8" s="197"/>
      <c r="J8" s="197">
        <f t="shared" si="3"/>
        <v>36485</v>
      </c>
      <c r="K8" s="243">
        <f>'[1]Water-Meter'!G10</f>
        <v>36500</v>
      </c>
      <c r="L8" s="213">
        <f t="shared" si="4"/>
        <v>15</v>
      </c>
      <c r="M8" s="244">
        <f t="shared" si="11"/>
        <v>43804</v>
      </c>
      <c r="N8" s="197"/>
      <c r="O8" s="197">
        <f t="shared" si="5"/>
        <v>7364</v>
      </c>
      <c r="P8" s="216">
        <f>'[1]Water-Meter'!J10</f>
        <v>7367</v>
      </c>
      <c r="Q8" s="213">
        <f t="shared" si="6"/>
        <v>3</v>
      </c>
      <c r="R8" s="215">
        <f t="shared" si="7"/>
        <v>1.8575851393188853E-3</v>
      </c>
      <c r="S8" s="217">
        <f>SUM(F8/[1]Gen!T14)</f>
        <v>7.5204885103658276E-2</v>
      </c>
      <c r="T8" s="244">
        <f t="shared" si="12"/>
        <v>43804</v>
      </c>
      <c r="U8" s="197"/>
      <c r="V8" s="197">
        <f t="shared" si="8"/>
        <v>7361.9</v>
      </c>
      <c r="W8" s="198">
        <v>7364.2</v>
      </c>
      <c r="X8" s="205">
        <f t="shared" si="0"/>
        <v>460.00000000003638</v>
      </c>
      <c r="Y8" s="244">
        <f t="shared" si="13"/>
        <v>43804</v>
      </c>
      <c r="Z8" s="197"/>
      <c r="AA8" s="197">
        <f t="shared" si="14"/>
        <v>18575</v>
      </c>
      <c r="AB8" s="216">
        <f>'[1]Water-Meter'!P10</f>
        <v>18586</v>
      </c>
      <c r="AC8" s="205">
        <f t="shared" si="9"/>
        <v>11</v>
      </c>
    </row>
    <row r="9" spans="1:34" ht="19.5" thickBot="1">
      <c r="A9" s="211">
        <f>Gen!B16</f>
        <v>9.8000000000000004E-2</v>
      </c>
      <c r="B9" s="95">
        <f>Gen!A16</f>
        <v>43805</v>
      </c>
      <c r="C9" s="197"/>
      <c r="D9" s="197">
        <f t="shared" si="1"/>
        <v>8185.1</v>
      </c>
      <c r="E9" s="569">
        <v>8188.9</v>
      </c>
      <c r="F9" s="205">
        <f t="shared" si="2"/>
        <v>455.99999999991269</v>
      </c>
      <c r="G9" s="199"/>
      <c r="H9" s="244">
        <f t="shared" si="10"/>
        <v>43805</v>
      </c>
      <c r="I9" s="197"/>
      <c r="J9" s="197">
        <f t="shared" si="3"/>
        <v>36500</v>
      </c>
      <c r="K9" s="243">
        <f>'[1]Water-Meter'!G11</f>
        <v>36516</v>
      </c>
      <c r="L9" s="213">
        <f t="shared" si="4"/>
        <v>16</v>
      </c>
      <c r="M9" s="244">
        <f t="shared" si="11"/>
        <v>43805</v>
      </c>
      <c r="N9" s="197"/>
      <c r="O9" s="197">
        <f t="shared" si="5"/>
        <v>7367</v>
      </c>
      <c r="P9" s="216">
        <f>'[1]Water-Meter'!J11</f>
        <v>7369</v>
      </c>
      <c r="Q9" s="213">
        <f t="shared" si="6"/>
        <v>2</v>
      </c>
      <c r="R9" s="215">
        <f t="shared" si="7"/>
        <v>1.238390092879257E-3</v>
      </c>
      <c r="S9" s="217">
        <f>SUM(F9/[1]Gen!T15)</f>
        <v>7.6203208556135146E-2</v>
      </c>
      <c r="T9" s="244">
        <f t="shared" si="12"/>
        <v>43805</v>
      </c>
      <c r="U9" s="197"/>
      <c r="V9" s="197">
        <f t="shared" si="8"/>
        <v>7364.2</v>
      </c>
      <c r="W9" s="198">
        <v>7366.6</v>
      </c>
      <c r="X9" s="205">
        <f t="shared" si="0"/>
        <v>480.00000000010914</v>
      </c>
      <c r="Y9" s="244">
        <f t="shared" si="13"/>
        <v>43805</v>
      </c>
      <c r="Z9" s="197"/>
      <c r="AA9" s="197">
        <f t="shared" si="14"/>
        <v>18586</v>
      </c>
      <c r="AB9" s="216">
        <f>'[1]Water-Meter'!P11</f>
        <v>18593</v>
      </c>
      <c r="AC9" s="205">
        <f t="shared" si="9"/>
        <v>7</v>
      </c>
    </row>
    <row r="10" spans="1:34" ht="19.5" thickBot="1">
      <c r="A10" s="211">
        <f>Gen!B17</f>
        <v>0.1555</v>
      </c>
      <c r="B10" s="95">
        <f>Gen!A17</f>
        <v>43806</v>
      </c>
      <c r="C10" s="197"/>
      <c r="D10" s="197">
        <f t="shared" si="1"/>
        <v>8188.9</v>
      </c>
      <c r="E10" s="569">
        <v>8192.2000000000007</v>
      </c>
      <c r="F10" s="205">
        <f t="shared" si="2"/>
        <v>396.00000000013097</v>
      </c>
      <c r="G10" s="199"/>
      <c r="H10" s="244">
        <f t="shared" si="10"/>
        <v>43806</v>
      </c>
      <c r="I10" s="197"/>
      <c r="J10" s="197">
        <f t="shared" si="3"/>
        <v>36516</v>
      </c>
      <c r="K10" s="243">
        <f>'[1]Water-Meter'!G12</f>
        <v>36529</v>
      </c>
      <c r="L10" s="213">
        <f t="shared" si="4"/>
        <v>13</v>
      </c>
      <c r="M10" s="244">
        <f t="shared" si="11"/>
        <v>43806</v>
      </c>
      <c r="N10" s="197"/>
      <c r="O10" s="197">
        <f t="shared" si="5"/>
        <v>7369</v>
      </c>
      <c r="P10" s="216">
        <f>'[1]Water-Meter'!J12</f>
        <v>7372</v>
      </c>
      <c r="Q10" s="213">
        <f t="shared" si="6"/>
        <v>3</v>
      </c>
      <c r="R10" s="215">
        <f t="shared" si="7"/>
        <v>1.8575851393188853E-3</v>
      </c>
      <c r="S10" s="217">
        <f>SUM(F10/[1]Gen!T16)</f>
        <v>6.4886121579572506E-2</v>
      </c>
      <c r="T10" s="244">
        <f t="shared" si="12"/>
        <v>43806</v>
      </c>
      <c r="U10" s="197"/>
      <c r="V10" s="197">
        <f t="shared" si="8"/>
        <v>7366.6</v>
      </c>
      <c r="W10" s="198">
        <v>7369.5</v>
      </c>
      <c r="X10" s="205">
        <f t="shared" si="0"/>
        <v>579.99999999992724</v>
      </c>
      <c r="Y10" s="244">
        <f t="shared" si="13"/>
        <v>43806</v>
      </c>
      <c r="Z10" s="197"/>
      <c r="AA10" s="197">
        <f t="shared" si="14"/>
        <v>18593</v>
      </c>
      <c r="AB10" s="216">
        <f>'[1]Water-Meter'!P12</f>
        <v>18606</v>
      </c>
      <c r="AC10" s="205">
        <f t="shared" si="9"/>
        <v>13</v>
      </c>
      <c r="AH10">
        <v>5850</v>
      </c>
    </row>
    <row r="11" spans="1:34" ht="19.5" thickBot="1">
      <c r="A11" s="211">
        <f>Gen!B18</f>
        <v>0.1038</v>
      </c>
      <c r="B11" s="95">
        <f>Gen!A18</f>
        <v>43807</v>
      </c>
      <c r="C11" s="197"/>
      <c r="D11" s="197">
        <f t="shared" si="1"/>
        <v>8192.2000000000007</v>
      </c>
      <c r="E11" s="569">
        <v>8194.9</v>
      </c>
      <c r="F11" s="205">
        <f t="shared" si="2"/>
        <v>323.99999999986903</v>
      </c>
      <c r="G11" s="199"/>
      <c r="H11" s="244">
        <f t="shared" si="10"/>
        <v>43807</v>
      </c>
      <c r="I11" s="197"/>
      <c r="J11" s="197">
        <f t="shared" si="3"/>
        <v>36529</v>
      </c>
      <c r="K11" s="243">
        <f>'[1]Water-Meter'!G13</f>
        <v>36543</v>
      </c>
      <c r="L11" s="213">
        <f t="shared" si="4"/>
        <v>14</v>
      </c>
      <c r="M11" s="244">
        <f t="shared" si="11"/>
        <v>43807</v>
      </c>
      <c r="N11" s="197"/>
      <c r="O11" s="197">
        <f t="shared" si="5"/>
        <v>7372</v>
      </c>
      <c r="P11" s="216">
        <f>'[1]Water-Meter'!J13</f>
        <v>7374</v>
      </c>
      <c r="Q11" s="213">
        <f t="shared" si="6"/>
        <v>2</v>
      </c>
      <c r="R11" s="215">
        <f t="shared" si="7"/>
        <v>1.238390092879257E-3</v>
      </c>
      <c r="S11" s="217">
        <f>SUM(F11/[1]Gen!T17)</f>
        <v>5.8106169296963599E-2</v>
      </c>
      <c r="T11" s="244">
        <f t="shared" si="12"/>
        <v>43807</v>
      </c>
      <c r="U11" s="197"/>
      <c r="V11" s="197">
        <f t="shared" si="8"/>
        <v>7369.5</v>
      </c>
      <c r="W11" s="198">
        <v>7371.8</v>
      </c>
      <c r="X11" s="205">
        <f t="shared" si="0"/>
        <v>460.00000000003638</v>
      </c>
      <c r="Y11" s="244">
        <f t="shared" si="13"/>
        <v>43807</v>
      </c>
      <c r="Z11" s="197"/>
      <c r="AA11" s="197">
        <f t="shared" si="14"/>
        <v>18606</v>
      </c>
      <c r="AB11" s="216">
        <f>'[1]Water-Meter'!P13</f>
        <v>18616</v>
      </c>
      <c r="AC11" s="205">
        <f t="shared" si="9"/>
        <v>10</v>
      </c>
    </row>
    <row r="12" spans="1:34" ht="19.5" thickBot="1">
      <c r="A12" s="211">
        <f>Gen!B19</f>
        <v>0.16880000000000001</v>
      </c>
      <c r="B12" s="95">
        <f>Gen!A19</f>
        <v>43808</v>
      </c>
      <c r="C12" s="197"/>
      <c r="D12" s="197">
        <f t="shared" si="1"/>
        <v>8194.9</v>
      </c>
      <c r="E12" s="569">
        <v>8198.7999999999993</v>
      </c>
      <c r="F12" s="205">
        <f t="shared" si="2"/>
        <v>467.99999999995634</v>
      </c>
      <c r="G12" s="199"/>
      <c r="H12" s="244">
        <f t="shared" si="10"/>
        <v>43808</v>
      </c>
      <c r="I12" s="197"/>
      <c r="J12" s="197">
        <f t="shared" si="3"/>
        <v>36543</v>
      </c>
      <c r="K12" s="243">
        <f>'[1]Water-Meter'!G14</f>
        <v>36560</v>
      </c>
      <c r="L12" s="213">
        <f t="shared" si="4"/>
        <v>17</v>
      </c>
      <c r="M12" s="244">
        <f t="shared" si="11"/>
        <v>43808</v>
      </c>
      <c r="N12" s="197"/>
      <c r="O12" s="197">
        <f t="shared" si="5"/>
        <v>7374</v>
      </c>
      <c r="P12" s="216">
        <f>'[1]Water-Meter'!J14</f>
        <v>7377</v>
      </c>
      <c r="Q12" s="213">
        <f t="shared" si="6"/>
        <v>3</v>
      </c>
      <c r="R12" s="215">
        <f t="shared" si="7"/>
        <v>1.8575851393188853E-3</v>
      </c>
      <c r="S12" s="217">
        <f>SUM(F12/[1]Gen!T18)</f>
        <v>8.4598698481553936E-2</v>
      </c>
      <c r="T12" s="244">
        <f t="shared" si="12"/>
        <v>43808</v>
      </c>
      <c r="U12" s="197"/>
      <c r="V12" s="197">
        <f t="shared" si="8"/>
        <v>7371.8</v>
      </c>
      <c r="W12" s="198">
        <v>7374.1</v>
      </c>
      <c r="X12" s="205">
        <f t="shared" si="0"/>
        <v>460.00000000003638</v>
      </c>
      <c r="Y12" s="244">
        <f t="shared" si="13"/>
        <v>43808</v>
      </c>
      <c r="Z12" s="197"/>
      <c r="AA12" s="197">
        <f t="shared" si="14"/>
        <v>18616</v>
      </c>
      <c r="AB12" s="216">
        <f>'[1]Water-Meter'!P14</f>
        <v>18623</v>
      </c>
      <c r="AC12" s="205"/>
    </row>
    <row r="13" spans="1:34" ht="19.5" thickBot="1">
      <c r="A13" s="211">
        <f>Gen!B20</f>
        <v>0.12989999999999999</v>
      </c>
      <c r="B13" s="95">
        <f>Gen!A20</f>
        <v>43809</v>
      </c>
      <c r="C13" s="197"/>
      <c r="D13" s="197">
        <f t="shared" si="1"/>
        <v>8198.7999999999993</v>
      </c>
      <c r="E13" s="569">
        <v>8202.7000000000007</v>
      </c>
      <c r="F13" s="205">
        <f t="shared" si="2"/>
        <v>468.00000000017462</v>
      </c>
      <c r="G13" s="199"/>
      <c r="H13" s="244">
        <f t="shared" si="10"/>
        <v>43809</v>
      </c>
      <c r="I13" s="197"/>
      <c r="J13" s="197">
        <f t="shared" si="3"/>
        <v>36560</v>
      </c>
      <c r="K13" s="243">
        <f>'[1]Water-Meter'!G15</f>
        <v>36574</v>
      </c>
      <c r="L13" s="213">
        <f t="shared" si="4"/>
        <v>14</v>
      </c>
      <c r="M13" s="244">
        <f t="shared" si="11"/>
        <v>43809</v>
      </c>
      <c r="N13" s="197"/>
      <c r="O13" s="197">
        <f t="shared" si="5"/>
        <v>7377</v>
      </c>
      <c r="P13" s="216">
        <f>'[1]Water-Meter'!J15</f>
        <v>7381</v>
      </c>
      <c r="Q13" s="213">
        <f t="shared" si="6"/>
        <v>4</v>
      </c>
      <c r="R13" s="215">
        <f t="shared" si="7"/>
        <v>2.4767801857585141E-3</v>
      </c>
      <c r="S13" s="217">
        <f>SUM(F13/[1]Gen!T19)</f>
        <v>7.5084229103188613E-2</v>
      </c>
      <c r="T13" s="244">
        <f t="shared" si="12"/>
        <v>43809</v>
      </c>
      <c r="U13" s="197"/>
      <c r="V13" s="197">
        <f t="shared" si="8"/>
        <v>7374.1</v>
      </c>
      <c r="W13" s="198">
        <v>7376.2</v>
      </c>
      <c r="X13" s="205">
        <f t="shared" si="0"/>
        <v>419.99999999989086</v>
      </c>
      <c r="Y13" s="244">
        <f t="shared" si="13"/>
        <v>43809</v>
      </c>
      <c r="Z13" s="197"/>
      <c r="AA13" s="197">
        <f t="shared" si="14"/>
        <v>18623</v>
      </c>
      <c r="AB13" s="216">
        <f>'[1]Water-Meter'!P15</f>
        <v>18634</v>
      </c>
      <c r="AC13" s="205">
        <f>SUM(AB13-AA13)</f>
        <v>11</v>
      </c>
    </row>
    <row r="14" spans="1:34" ht="19.5" thickBot="1">
      <c r="A14" s="211">
        <f>Gen!B21</f>
        <v>0.10390000000000001</v>
      </c>
      <c r="B14" s="95">
        <f>Gen!A21</f>
        <v>43810</v>
      </c>
      <c r="C14" s="197"/>
      <c r="D14" s="197">
        <f t="shared" si="1"/>
        <v>8202.7000000000007</v>
      </c>
      <c r="E14" s="569">
        <v>8206.7000000000007</v>
      </c>
      <c r="F14" s="205">
        <f t="shared" si="2"/>
        <v>480</v>
      </c>
      <c r="G14" s="199"/>
      <c r="H14" s="244">
        <f t="shared" si="10"/>
        <v>43810</v>
      </c>
      <c r="I14" s="197"/>
      <c r="J14" s="197">
        <f t="shared" si="3"/>
        <v>36574</v>
      </c>
      <c r="K14" s="243">
        <f>'[1]Water-Meter'!G16</f>
        <v>36591</v>
      </c>
      <c r="L14" s="213">
        <f t="shared" si="4"/>
        <v>17</v>
      </c>
      <c r="M14" s="244">
        <f t="shared" si="11"/>
        <v>43810</v>
      </c>
      <c r="N14" s="197"/>
      <c r="O14" s="197">
        <f t="shared" si="5"/>
        <v>7381</v>
      </c>
      <c r="P14" s="216">
        <f>'[1]Water-Meter'!J16</f>
        <v>7385</v>
      </c>
      <c r="Q14" s="213">
        <f t="shared" si="6"/>
        <v>4</v>
      </c>
      <c r="R14" s="215">
        <f t="shared" si="7"/>
        <v>2.4767801857585141E-3</v>
      </c>
      <c r="S14" s="217">
        <f>SUM(F14/[1]Gen!T20)</f>
        <v>7.9168728352300835E-2</v>
      </c>
      <c r="T14" s="244">
        <f t="shared" si="12"/>
        <v>43810</v>
      </c>
      <c r="U14" s="197"/>
      <c r="V14" s="197">
        <f t="shared" si="8"/>
        <v>7376.2</v>
      </c>
      <c r="W14" s="198">
        <v>7378.5</v>
      </c>
      <c r="X14" s="205">
        <f t="shared" si="0"/>
        <v>460.00000000003638</v>
      </c>
      <c r="Y14" s="244">
        <f t="shared" si="13"/>
        <v>43810</v>
      </c>
      <c r="Z14" s="197"/>
      <c r="AA14" s="197">
        <f t="shared" si="14"/>
        <v>18634</v>
      </c>
      <c r="AB14" s="216">
        <f>'[1]Water-Meter'!P16</f>
        <v>18643</v>
      </c>
      <c r="AC14" s="205">
        <f t="shared" si="9"/>
        <v>9</v>
      </c>
    </row>
    <row r="15" spans="1:34" ht="19.5" thickBot="1">
      <c r="A15" s="211">
        <f>Gen!B22</f>
        <v>0.1429</v>
      </c>
      <c r="B15" s="95">
        <f>Gen!A22</f>
        <v>43811</v>
      </c>
      <c r="C15" s="197"/>
      <c r="D15" s="197">
        <f t="shared" si="1"/>
        <v>8206.7000000000007</v>
      </c>
      <c r="E15" s="569">
        <v>8210.4</v>
      </c>
      <c r="F15" s="205">
        <f t="shared" si="2"/>
        <v>443.99999999986903</v>
      </c>
      <c r="G15" s="199"/>
      <c r="H15" s="244">
        <f t="shared" si="10"/>
        <v>43811</v>
      </c>
      <c r="I15" s="197"/>
      <c r="J15" s="197">
        <f t="shared" si="3"/>
        <v>36591</v>
      </c>
      <c r="K15" s="243">
        <f>'[1]Water-Meter'!G17</f>
        <v>36605</v>
      </c>
      <c r="L15" s="213">
        <f t="shared" si="4"/>
        <v>14</v>
      </c>
      <c r="M15" s="244">
        <f t="shared" si="11"/>
        <v>43811</v>
      </c>
      <c r="N15" s="197"/>
      <c r="O15" s="197">
        <f t="shared" si="5"/>
        <v>7385</v>
      </c>
      <c r="P15" s="216">
        <f>'[1]Water-Meter'!J17</f>
        <v>7388</v>
      </c>
      <c r="Q15" s="213">
        <f t="shared" si="6"/>
        <v>3</v>
      </c>
      <c r="R15" s="215">
        <f t="shared" si="7"/>
        <v>1.8575851393188853E-3</v>
      </c>
      <c r="S15" s="217">
        <f>SUM(F15/[1]Gen!T21)</f>
        <v>7.440925087981716E-2</v>
      </c>
      <c r="T15" s="244">
        <f t="shared" si="12"/>
        <v>43811</v>
      </c>
      <c r="U15" s="197"/>
      <c r="V15" s="197">
        <f t="shared" si="8"/>
        <v>7378.5</v>
      </c>
      <c r="W15" s="198">
        <v>7381.3</v>
      </c>
      <c r="X15" s="205">
        <f t="shared" si="0"/>
        <v>560.00000000003638</v>
      </c>
      <c r="Y15" s="244">
        <f t="shared" si="13"/>
        <v>43811</v>
      </c>
      <c r="Z15" s="197"/>
      <c r="AA15" s="197">
        <f t="shared" si="14"/>
        <v>18643</v>
      </c>
      <c r="AB15" s="216">
        <f>'[1]Water-Meter'!P17</f>
        <v>18652</v>
      </c>
      <c r="AC15" s="205">
        <f t="shared" si="9"/>
        <v>9</v>
      </c>
    </row>
    <row r="16" spans="1:34" ht="19.5" thickBot="1">
      <c r="A16" s="211">
        <f>Gen!B23</f>
        <v>0.12989999999999999</v>
      </c>
      <c r="B16" s="95">
        <f>Gen!A23</f>
        <v>43812</v>
      </c>
      <c r="C16" s="197"/>
      <c r="D16" s="197">
        <f t="shared" si="1"/>
        <v>8210.4</v>
      </c>
      <c r="E16" s="569">
        <v>8214.4</v>
      </c>
      <c r="F16" s="205">
        <f>SUM(E16-D16)*120</f>
        <v>480</v>
      </c>
      <c r="G16" s="199"/>
      <c r="H16" s="244">
        <f t="shared" si="10"/>
        <v>43812</v>
      </c>
      <c r="I16" s="197"/>
      <c r="J16" s="197">
        <f t="shared" si="3"/>
        <v>36605</v>
      </c>
      <c r="K16" s="243">
        <f>'[1]Water-Meter'!G18</f>
        <v>36619</v>
      </c>
      <c r="L16" s="213">
        <f t="shared" si="4"/>
        <v>14</v>
      </c>
      <c r="M16" s="244">
        <f t="shared" si="11"/>
        <v>43812</v>
      </c>
      <c r="N16" s="197"/>
      <c r="O16" s="197">
        <f t="shared" si="5"/>
        <v>7388</v>
      </c>
      <c r="P16" s="216">
        <f>'[1]Water-Meter'!J18</f>
        <v>7390</v>
      </c>
      <c r="Q16" s="213">
        <f t="shared" si="6"/>
        <v>2</v>
      </c>
      <c r="R16" s="215">
        <f t="shared" si="7"/>
        <v>1.238390092879257E-3</v>
      </c>
      <c r="S16" s="217">
        <f>SUM(F16/[1]Gen!T22)</f>
        <v>8.1869350162033089E-2</v>
      </c>
      <c r="T16" s="244">
        <f t="shared" si="12"/>
        <v>43812</v>
      </c>
      <c r="U16" s="197"/>
      <c r="V16" s="197">
        <f t="shared" si="8"/>
        <v>7381.3</v>
      </c>
      <c r="W16" s="198">
        <v>7384.4</v>
      </c>
      <c r="X16" s="205">
        <f t="shared" si="0"/>
        <v>619.99999999989086</v>
      </c>
      <c r="Y16" s="244">
        <f t="shared" si="13"/>
        <v>43812</v>
      </c>
      <c r="Z16" s="197"/>
      <c r="AA16" s="197">
        <f t="shared" si="14"/>
        <v>18652</v>
      </c>
      <c r="AB16" s="216">
        <f>'[1]Water-Meter'!P18</f>
        <v>18661</v>
      </c>
      <c r="AC16" s="205">
        <f t="shared" si="9"/>
        <v>9</v>
      </c>
    </row>
    <row r="17" spans="1:29" ht="19.5" thickBot="1">
      <c r="A17" s="211">
        <f>Gen!B24</f>
        <v>0.1429</v>
      </c>
      <c r="B17" s="95">
        <f>Gen!A24</f>
        <v>43813</v>
      </c>
      <c r="C17" s="197"/>
      <c r="D17" s="197">
        <f t="shared" si="1"/>
        <v>8214.4</v>
      </c>
      <c r="E17" s="569">
        <v>8218.2000000000007</v>
      </c>
      <c r="F17" s="205">
        <f>SUM(E17-D17)*120</f>
        <v>456.00000000013097</v>
      </c>
      <c r="G17" s="199"/>
      <c r="H17" s="244">
        <f t="shared" si="10"/>
        <v>43813</v>
      </c>
      <c r="I17" s="197"/>
      <c r="J17" s="197">
        <f t="shared" si="3"/>
        <v>36619</v>
      </c>
      <c r="K17" s="243">
        <f>'[1]Water-Meter'!G19</f>
        <v>36632</v>
      </c>
      <c r="L17" s="213">
        <f t="shared" si="4"/>
        <v>13</v>
      </c>
      <c r="M17" s="244">
        <f t="shared" si="11"/>
        <v>43813</v>
      </c>
      <c r="N17" s="197"/>
      <c r="O17" s="197">
        <f t="shared" si="5"/>
        <v>7390</v>
      </c>
      <c r="P17" s="216">
        <f>'[1]Water-Meter'!J19</f>
        <v>7393</v>
      </c>
      <c r="Q17" s="213">
        <f t="shared" si="6"/>
        <v>3</v>
      </c>
      <c r="R17" s="215">
        <f t="shared" si="7"/>
        <v>1.8575851393188853E-3</v>
      </c>
      <c r="S17" s="217">
        <f>SUM(F17/[1]Gen!T23)</f>
        <v>7.9720279720302614E-2</v>
      </c>
      <c r="T17" s="244">
        <f t="shared" si="12"/>
        <v>43813</v>
      </c>
      <c r="U17" s="197"/>
      <c r="V17" s="197">
        <f t="shared" si="8"/>
        <v>7384.4</v>
      </c>
      <c r="W17" s="198">
        <v>7386.9</v>
      </c>
      <c r="X17" s="205">
        <f t="shared" si="0"/>
        <v>500</v>
      </c>
      <c r="Y17" s="244">
        <f t="shared" si="13"/>
        <v>43813</v>
      </c>
      <c r="Z17" s="197"/>
      <c r="AA17" s="197">
        <f t="shared" si="14"/>
        <v>18661</v>
      </c>
      <c r="AB17" s="216">
        <f>'[1]Water-Meter'!P19</f>
        <v>18672</v>
      </c>
      <c r="AC17" s="205">
        <f t="shared" si="9"/>
        <v>11</v>
      </c>
    </row>
    <row r="18" spans="1:29" ht="19.5" thickBot="1">
      <c r="A18" s="211">
        <f>Gen!B25</f>
        <v>0.15579999999999999</v>
      </c>
      <c r="B18" s="95">
        <f>Gen!A25</f>
        <v>43814</v>
      </c>
      <c r="C18" s="197"/>
      <c r="D18" s="197">
        <f t="shared" si="1"/>
        <v>8218.2000000000007</v>
      </c>
      <c r="E18" s="569">
        <v>8222.2000000000007</v>
      </c>
      <c r="F18" s="205">
        <f t="shared" ref="F18:F22" si="15">SUM(E18-D18)*120</f>
        <v>480</v>
      </c>
      <c r="G18" s="199"/>
      <c r="H18" s="244">
        <f t="shared" si="10"/>
        <v>43814</v>
      </c>
      <c r="I18" s="197"/>
      <c r="J18" s="197">
        <f t="shared" si="3"/>
        <v>36632</v>
      </c>
      <c r="K18" s="243">
        <f>'[1]Water-Meter'!G20</f>
        <v>36651</v>
      </c>
      <c r="L18" s="213">
        <f t="shared" si="4"/>
        <v>19</v>
      </c>
      <c r="M18" s="244">
        <f t="shared" si="11"/>
        <v>43814</v>
      </c>
      <c r="N18" s="197"/>
      <c r="O18" s="197">
        <f t="shared" si="5"/>
        <v>7393</v>
      </c>
      <c r="P18" s="216">
        <f>'[1]Water-Meter'!J20</f>
        <v>7396</v>
      </c>
      <c r="Q18" s="213">
        <f t="shared" si="6"/>
        <v>3</v>
      </c>
      <c r="R18" s="215">
        <f t="shared" si="7"/>
        <v>1.8575851393188853E-3</v>
      </c>
      <c r="S18" s="217">
        <f>SUM(F18/[1]Gen!T24)</f>
        <v>7.7481840193704604E-2</v>
      </c>
      <c r="T18" s="244">
        <f t="shared" si="12"/>
        <v>43814</v>
      </c>
      <c r="U18" s="197"/>
      <c r="V18" s="197">
        <f t="shared" si="8"/>
        <v>7386.9</v>
      </c>
      <c r="W18" s="198">
        <v>7389.3</v>
      </c>
      <c r="X18" s="205">
        <f t="shared" si="0"/>
        <v>480.00000000010914</v>
      </c>
      <c r="Y18" s="244">
        <f t="shared" si="13"/>
        <v>43814</v>
      </c>
      <c r="Z18" s="197"/>
      <c r="AA18" s="197">
        <f t="shared" si="14"/>
        <v>18672</v>
      </c>
      <c r="AB18" s="216">
        <f>'[1]Water-Meter'!P20</f>
        <v>18680</v>
      </c>
      <c r="AC18" s="205">
        <f>SUM(AB18-AA18)</f>
        <v>8</v>
      </c>
    </row>
    <row r="19" spans="1:29" ht="19.5" thickBot="1">
      <c r="A19" s="211">
        <f>Gen!B26</f>
        <v>0.15579999999999999</v>
      </c>
      <c r="B19" s="95">
        <f>Gen!A26</f>
        <v>43815</v>
      </c>
      <c r="C19" s="200"/>
      <c r="D19" s="197">
        <f t="shared" si="1"/>
        <v>8222.2000000000007</v>
      </c>
      <c r="E19" s="569">
        <v>8226.2999999999993</v>
      </c>
      <c r="F19" s="205">
        <f t="shared" si="15"/>
        <v>491.99999999982538</v>
      </c>
      <c r="G19" s="199"/>
      <c r="H19" s="244">
        <f t="shared" si="10"/>
        <v>43815</v>
      </c>
      <c r="I19" s="200"/>
      <c r="J19" s="197">
        <f t="shared" si="3"/>
        <v>36651</v>
      </c>
      <c r="K19" s="243">
        <f>'[1]Water-Meter'!G21</f>
        <v>36668</v>
      </c>
      <c r="L19" s="213">
        <f t="shared" si="4"/>
        <v>17</v>
      </c>
      <c r="M19" s="244">
        <f t="shared" si="11"/>
        <v>43815</v>
      </c>
      <c r="N19" s="200"/>
      <c r="O19" s="197">
        <f t="shared" si="5"/>
        <v>7396</v>
      </c>
      <c r="P19" s="216">
        <f>'[1]Water-Meter'!J21</f>
        <v>7398</v>
      </c>
      <c r="Q19" s="213">
        <f t="shared" si="6"/>
        <v>2</v>
      </c>
      <c r="R19" s="215">
        <f t="shared" si="7"/>
        <v>1.238390092879257E-3</v>
      </c>
      <c r="S19" s="217">
        <f>SUM(F19/[1]Gen!T25)</f>
        <v>7.6279069767414789E-2</v>
      </c>
      <c r="T19" s="244">
        <f t="shared" si="12"/>
        <v>43815</v>
      </c>
      <c r="U19" s="200"/>
      <c r="V19" s="197">
        <f t="shared" si="8"/>
        <v>7389.3</v>
      </c>
      <c r="W19" s="198">
        <v>7391.5</v>
      </c>
      <c r="X19" s="205">
        <f t="shared" si="0"/>
        <v>439.99999999996362</v>
      </c>
      <c r="Y19" s="244">
        <f t="shared" si="13"/>
        <v>43815</v>
      </c>
      <c r="Z19" s="200"/>
      <c r="AA19" s="197">
        <f t="shared" si="14"/>
        <v>18680</v>
      </c>
      <c r="AB19" s="216">
        <f>'[1]Water-Meter'!P21</f>
        <v>18689</v>
      </c>
      <c r="AC19" s="205">
        <f t="shared" si="9"/>
        <v>9</v>
      </c>
    </row>
    <row r="20" spans="1:29" ht="19.5" thickBot="1">
      <c r="A20" s="211">
        <f>Gen!B27</f>
        <v>0.36359999999999998</v>
      </c>
      <c r="B20" s="95">
        <f>Gen!A27</f>
        <v>43816</v>
      </c>
      <c r="C20" s="200"/>
      <c r="D20" s="197">
        <f t="shared" si="1"/>
        <v>8226.2999999999993</v>
      </c>
      <c r="E20" s="569">
        <v>8230.5</v>
      </c>
      <c r="F20" s="205">
        <f t="shared" si="15"/>
        <v>504.00000000008731</v>
      </c>
      <c r="G20" s="199"/>
      <c r="H20" s="244">
        <f t="shared" si="10"/>
        <v>43816</v>
      </c>
      <c r="I20" s="200"/>
      <c r="J20" s="197">
        <f t="shared" si="3"/>
        <v>36668</v>
      </c>
      <c r="K20" s="243">
        <f>'[1]Water-Meter'!G22</f>
        <v>36681</v>
      </c>
      <c r="L20" s="213">
        <f t="shared" si="4"/>
        <v>13</v>
      </c>
      <c r="M20" s="244">
        <f t="shared" si="11"/>
        <v>43816</v>
      </c>
      <c r="N20" s="200"/>
      <c r="O20" s="197">
        <f t="shared" si="5"/>
        <v>7398</v>
      </c>
      <c r="P20" s="216">
        <f>'[1]Water-Meter'!J22</f>
        <v>7402</v>
      </c>
      <c r="Q20" s="213">
        <f t="shared" si="6"/>
        <v>4</v>
      </c>
      <c r="R20" s="215">
        <f t="shared" si="7"/>
        <v>2.4767801857585141E-3</v>
      </c>
      <c r="S20" s="217">
        <f>SUM(F20/[1]Gen!T26)</f>
        <v>7.2885032537973585E-2</v>
      </c>
      <c r="T20" s="244">
        <f t="shared" si="12"/>
        <v>43816</v>
      </c>
      <c r="U20" s="200"/>
      <c r="V20" s="197">
        <f t="shared" si="8"/>
        <v>7391.5</v>
      </c>
      <c r="W20" s="198">
        <v>7395.4</v>
      </c>
      <c r="X20" s="205">
        <f t="shared" si="0"/>
        <v>779.99999999992724</v>
      </c>
      <c r="Y20" s="244">
        <f t="shared" si="13"/>
        <v>43816</v>
      </c>
      <c r="Z20" s="200"/>
      <c r="AA20" s="197">
        <f t="shared" si="14"/>
        <v>18689</v>
      </c>
      <c r="AB20" s="216">
        <f>'[1]Water-Meter'!P22</f>
        <v>18701</v>
      </c>
      <c r="AC20" s="205">
        <f t="shared" si="9"/>
        <v>12</v>
      </c>
    </row>
    <row r="21" spans="1:29" ht="19.5" thickBot="1">
      <c r="A21" s="211">
        <f>Gen!B28</f>
        <v>0.35049999999999998</v>
      </c>
      <c r="B21" s="95">
        <f>Gen!A28</f>
        <v>43817</v>
      </c>
      <c r="C21" s="200"/>
      <c r="D21" s="197">
        <f t="shared" si="1"/>
        <v>8230.5</v>
      </c>
      <c r="E21" s="569"/>
      <c r="F21" s="205">
        <f t="shared" si="15"/>
        <v>-987660</v>
      </c>
      <c r="G21" s="199"/>
      <c r="H21" s="244">
        <f t="shared" si="10"/>
        <v>43817</v>
      </c>
      <c r="I21" s="200"/>
      <c r="J21" s="197">
        <f t="shared" si="3"/>
        <v>36681</v>
      </c>
      <c r="K21" s="243">
        <f>'[1]Water-Meter'!G23</f>
        <v>36696</v>
      </c>
      <c r="L21" s="213">
        <f t="shared" si="4"/>
        <v>15</v>
      </c>
      <c r="M21" s="244">
        <f t="shared" si="11"/>
        <v>43817</v>
      </c>
      <c r="N21" s="200"/>
      <c r="O21" s="197">
        <f t="shared" si="5"/>
        <v>7402</v>
      </c>
      <c r="P21" s="216">
        <f>'[1]Water-Meter'!J23</f>
        <v>7404</v>
      </c>
      <c r="Q21" s="213">
        <f t="shared" si="6"/>
        <v>2</v>
      </c>
      <c r="R21" s="215">
        <f t="shared" ref="R21:R35" si="16">SUM(Q21/1615)</f>
        <v>1.238390092879257E-3</v>
      </c>
      <c r="S21" s="217">
        <f>SUM(F21/[1]Gen!T28)</f>
        <v>-187.87521400038045</v>
      </c>
      <c r="T21" s="244">
        <f t="shared" si="12"/>
        <v>43817</v>
      </c>
      <c r="U21" s="200"/>
      <c r="V21" s="197">
        <f t="shared" si="8"/>
        <v>7395.4</v>
      </c>
      <c r="W21" s="198"/>
      <c r="X21" s="205">
        <f t="shared" si="0"/>
        <v>-1479080</v>
      </c>
      <c r="Y21" s="244">
        <f t="shared" si="13"/>
        <v>43817</v>
      </c>
      <c r="Z21" s="200"/>
      <c r="AA21" s="197">
        <f t="shared" si="14"/>
        <v>18701</v>
      </c>
      <c r="AB21" s="216">
        <f>'[1]Water-Meter'!P23</f>
        <v>18712</v>
      </c>
      <c r="AC21" s="205">
        <f t="shared" si="9"/>
        <v>11</v>
      </c>
    </row>
    <row r="22" spans="1:29" ht="19.5" thickBot="1">
      <c r="A22" s="211">
        <f>Gen!B29</f>
        <v>0</v>
      </c>
      <c r="B22" s="95">
        <f>Gen!A29</f>
        <v>43818</v>
      </c>
      <c r="C22" s="197"/>
      <c r="D22" s="197">
        <f t="shared" si="1"/>
        <v>0</v>
      </c>
      <c r="E22" s="569"/>
      <c r="F22" s="205">
        <f t="shared" si="15"/>
        <v>0</v>
      </c>
      <c r="G22" s="199"/>
      <c r="H22" s="244">
        <f t="shared" si="10"/>
        <v>43818</v>
      </c>
      <c r="I22" s="197"/>
      <c r="J22" s="197">
        <f t="shared" si="3"/>
        <v>36696</v>
      </c>
      <c r="K22" s="243">
        <f>'[1]Water-Meter'!G24</f>
        <v>36708</v>
      </c>
      <c r="L22" s="213">
        <f t="shared" si="4"/>
        <v>12</v>
      </c>
      <c r="M22" s="244">
        <f t="shared" si="11"/>
        <v>43818</v>
      </c>
      <c r="N22" s="197"/>
      <c r="O22" s="197">
        <f t="shared" si="5"/>
        <v>7404</v>
      </c>
      <c r="P22" s="216">
        <f>'[1]Water-Meter'!J24</f>
        <v>7408</v>
      </c>
      <c r="Q22" s="213">
        <f t="shared" si="6"/>
        <v>4</v>
      </c>
      <c r="R22" s="215">
        <f t="shared" si="16"/>
        <v>2.4767801857585141E-3</v>
      </c>
      <c r="S22" s="217">
        <f>SUM(F22/[1]Gen!T29)</f>
        <v>0</v>
      </c>
      <c r="T22" s="244">
        <f t="shared" si="12"/>
        <v>43818</v>
      </c>
      <c r="U22" s="197"/>
      <c r="V22" s="197">
        <f t="shared" si="8"/>
        <v>0</v>
      </c>
      <c r="W22" s="198"/>
      <c r="X22" s="205">
        <f t="shared" si="0"/>
        <v>0</v>
      </c>
      <c r="Y22" s="244">
        <f t="shared" si="13"/>
        <v>43818</v>
      </c>
      <c r="Z22" s="197"/>
      <c r="AA22" s="197">
        <f t="shared" si="14"/>
        <v>18712</v>
      </c>
      <c r="AB22" s="216">
        <f>'[1]Water-Meter'!P24</f>
        <v>18719</v>
      </c>
      <c r="AC22" s="205">
        <f t="shared" si="9"/>
        <v>7</v>
      </c>
    </row>
    <row r="23" spans="1:29" ht="19.5" thickBot="1">
      <c r="A23" s="211">
        <f>Gen!B30</f>
        <v>0</v>
      </c>
      <c r="B23" s="95">
        <f>Gen!A30</f>
        <v>43819</v>
      </c>
      <c r="C23" s="200"/>
      <c r="D23" s="197">
        <f t="shared" si="1"/>
        <v>0</v>
      </c>
      <c r="E23" s="569"/>
      <c r="F23" s="205">
        <f t="shared" ref="F23:F34" si="17">SUM(E23-D23)*120</f>
        <v>0</v>
      </c>
      <c r="G23" s="199"/>
      <c r="H23" s="244">
        <f t="shared" si="10"/>
        <v>43819</v>
      </c>
      <c r="I23" s="200"/>
      <c r="J23" s="197">
        <f t="shared" si="3"/>
        <v>36708</v>
      </c>
      <c r="K23" s="243">
        <f>'[1]Water-Meter'!G25</f>
        <v>36724</v>
      </c>
      <c r="L23" s="213">
        <f t="shared" si="4"/>
        <v>16</v>
      </c>
      <c r="M23" s="244">
        <f t="shared" si="11"/>
        <v>43819</v>
      </c>
      <c r="N23" s="200"/>
      <c r="O23" s="197">
        <f t="shared" si="5"/>
        <v>7408</v>
      </c>
      <c r="P23" s="216">
        <f>'[1]Water-Meter'!J25</f>
        <v>7412</v>
      </c>
      <c r="Q23" s="213">
        <f t="shared" si="6"/>
        <v>4</v>
      </c>
      <c r="R23" s="215">
        <f t="shared" si="16"/>
        <v>2.4767801857585141E-3</v>
      </c>
      <c r="S23" s="217">
        <f>SUM(F23/[1]Gen!T30)</f>
        <v>0</v>
      </c>
      <c r="T23" s="244">
        <f t="shared" si="12"/>
        <v>43819</v>
      </c>
      <c r="U23" s="200"/>
      <c r="V23" s="197">
        <f t="shared" si="8"/>
        <v>0</v>
      </c>
      <c r="W23" s="198"/>
      <c r="X23" s="205">
        <f t="shared" si="0"/>
        <v>0</v>
      </c>
      <c r="Y23" s="244">
        <f t="shared" si="13"/>
        <v>43819</v>
      </c>
      <c r="Z23" s="200"/>
      <c r="AA23" s="197">
        <f t="shared" si="14"/>
        <v>18719</v>
      </c>
      <c r="AB23" s="216">
        <f>'[1]Water-Meter'!P25</f>
        <v>18728</v>
      </c>
      <c r="AC23" s="205">
        <f t="shared" si="9"/>
        <v>9</v>
      </c>
    </row>
    <row r="24" spans="1:29" ht="19.5" thickBot="1">
      <c r="A24" s="211">
        <f>Gen!B31</f>
        <v>0</v>
      </c>
      <c r="B24" s="95">
        <f>Gen!A31</f>
        <v>43820</v>
      </c>
      <c r="C24" s="200"/>
      <c r="D24" s="197">
        <f t="shared" ref="D24:D35" si="18">SUM(E23)</f>
        <v>0</v>
      </c>
      <c r="E24" s="569"/>
      <c r="F24" s="205">
        <f t="shared" si="17"/>
        <v>0</v>
      </c>
      <c r="G24" s="199"/>
      <c r="H24" s="244">
        <f t="shared" si="10"/>
        <v>43820</v>
      </c>
      <c r="I24" s="200"/>
      <c r="J24" s="197">
        <f t="shared" si="3"/>
        <v>36724</v>
      </c>
      <c r="K24" s="243">
        <f>'[1]Water-Meter'!G26</f>
        <v>36740</v>
      </c>
      <c r="L24" s="213">
        <f t="shared" si="4"/>
        <v>16</v>
      </c>
      <c r="M24" s="244">
        <f t="shared" si="11"/>
        <v>43820</v>
      </c>
      <c r="N24" s="200"/>
      <c r="O24" s="197">
        <f t="shared" si="5"/>
        <v>7412</v>
      </c>
      <c r="P24" s="216">
        <f>'[1]Water-Meter'!J26</f>
        <v>7415</v>
      </c>
      <c r="Q24" s="213">
        <f t="shared" si="6"/>
        <v>3</v>
      </c>
      <c r="R24" s="215">
        <f t="shared" si="16"/>
        <v>1.8575851393188853E-3</v>
      </c>
      <c r="S24" s="217">
        <f>SUM(F24/[1]Gen!T31)</f>
        <v>0</v>
      </c>
      <c r="T24" s="244">
        <v>5835.7</v>
      </c>
      <c r="U24" s="200"/>
      <c r="V24" s="197">
        <f t="shared" si="8"/>
        <v>0</v>
      </c>
      <c r="W24" s="198"/>
      <c r="X24" s="205">
        <f t="shared" si="0"/>
        <v>0</v>
      </c>
      <c r="Y24" s="244">
        <f t="shared" si="13"/>
        <v>5835.7</v>
      </c>
      <c r="Z24" s="200"/>
      <c r="AA24" s="197">
        <f t="shared" si="14"/>
        <v>18728</v>
      </c>
      <c r="AB24" s="216">
        <f>'[1]Water-Meter'!P26</f>
        <v>18737</v>
      </c>
      <c r="AC24" s="205">
        <f t="shared" si="9"/>
        <v>9</v>
      </c>
    </row>
    <row r="25" spans="1:29" ht="19.5" thickBot="1">
      <c r="A25" s="211">
        <f>Gen!B32</f>
        <v>0</v>
      </c>
      <c r="B25" s="95">
        <f>Gen!A32</f>
        <v>43821</v>
      </c>
      <c r="C25" s="200"/>
      <c r="D25" s="197">
        <f t="shared" si="18"/>
        <v>0</v>
      </c>
      <c r="E25" s="569"/>
      <c r="F25" s="205">
        <f t="shared" si="17"/>
        <v>0</v>
      </c>
      <c r="G25" s="199"/>
      <c r="H25" s="244">
        <f t="shared" si="10"/>
        <v>43821</v>
      </c>
      <c r="I25" s="200"/>
      <c r="J25" s="197">
        <f t="shared" si="3"/>
        <v>36740</v>
      </c>
      <c r="K25" s="243">
        <f>'[1]Water-Meter'!G27</f>
        <v>36754</v>
      </c>
      <c r="L25" s="213">
        <f t="shared" si="4"/>
        <v>14</v>
      </c>
      <c r="M25" s="244">
        <f t="shared" si="11"/>
        <v>43821</v>
      </c>
      <c r="N25" s="200"/>
      <c r="O25" s="197">
        <f t="shared" si="5"/>
        <v>7415</v>
      </c>
      <c r="P25" s="216">
        <f>'[1]Water-Meter'!J27</f>
        <v>7418</v>
      </c>
      <c r="Q25" s="213">
        <f t="shared" si="6"/>
        <v>3</v>
      </c>
      <c r="R25" s="215">
        <f t="shared" si="16"/>
        <v>1.8575851393188853E-3</v>
      </c>
      <c r="S25" s="217">
        <f>SUM(F25/[1]Gen!T32)</f>
        <v>0</v>
      </c>
      <c r="T25" s="244">
        <f t="shared" si="12"/>
        <v>43821</v>
      </c>
      <c r="U25" s="200"/>
      <c r="V25" s="197">
        <f t="shared" si="8"/>
        <v>0</v>
      </c>
      <c r="W25" s="198"/>
      <c r="X25" s="205">
        <f t="shared" si="0"/>
        <v>0</v>
      </c>
      <c r="Y25" s="244">
        <f t="shared" si="13"/>
        <v>43821</v>
      </c>
      <c r="Z25" s="200"/>
      <c r="AA25" s="197">
        <f t="shared" si="14"/>
        <v>18737</v>
      </c>
      <c r="AB25" s="216">
        <f>'[1]Water-Meter'!P27</f>
        <v>18746</v>
      </c>
      <c r="AC25" s="205">
        <f t="shared" si="9"/>
        <v>9</v>
      </c>
    </row>
    <row r="26" spans="1:29" ht="19.5" thickBot="1">
      <c r="A26" s="211">
        <f>Gen!B33</f>
        <v>0</v>
      </c>
      <c r="B26" s="95">
        <f>Gen!A33</f>
        <v>43822</v>
      </c>
      <c r="C26" s="200"/>
      <c r="D26" s="197">
        <f t="shared" si="18"/>
        <v>0</v>
      </c>
      <c r="E26" s="569"/>
      <c r="F26" s="205">
        <f t="shared" si="17"/>
        <v>0</v>
      </c>
      <c r="G26" s="199"/>
      <c r="H26" s="244">
        <f t="shared" si="10"/>
        <v>43822</v>
      </c>
      <c r="I26" s="200"/>
      <c r="J26" s="197">
        <f t="shared" si="3"/>
        <v>36754</v>
      </c>
      <c r="K26" s="243">
        <f>'[1]Water-Meter'!G28</f>
        <v>36767</v>
      </c>
      <c r="L26" s="213">
        <f t="shared" si="4"/>
        <v>13</v>
      </c>
      <c r="M26" s="244">
        <f t="shared" si="11"/>
        <v>43822</v>
      </c>
      <c r="N26" s="200"/>
      <c r="O26" s="197">
        <f t="shared" si="5"/>
        <v>7418</v>
      </c>
      <c r="P26" s="216">
        <f>'[1]Water-Meter'!J28</f>
        <v>7421</v>
      </c>
      <c r="Q26" s="213">
        <f t="shared" si="6"/>
        <v>3</v>
      </c>
      <c r="R26" s="215">
        <f t="shared" si="16"/>
        <v>1.8575851393188853E-3</v>
      </c>
      <c r="S26" s="217">
        <f>SUM(F26/[1]Gen!T33)</f>
        <v>0</v>
      </c>
      <c r="T26" s="244">
        <f t="shared" si="12"/>
        <v>43822</v>
      </c>
      <c r="U26" s="200"/>
      <c r="V26" s="197">
        <f t="shared" si="8"/>
        <v>0</v>
      </c>
      <c r="W26" s="198"/>
      <c r="X26" s="205">
        <f t="shared" si="0"/>
        <v>0</v>
      </c>
      <c r="Y26" s="244">
        <f t="shared" si="13"/>
        <v>43822</v>
      </c>
      <c r="Z26" s="200"/>
      <c r="AA26" s="197">
        <f t="shared" si="14"/>
        <v>18746</v>
      </c>
      <c r="AB26" s="216">
        <f>'[1]Water-Meter'!P28</f>
        <v>18754</v>
      </c>
      <c r="AC26" s="205">
        <f t="shared" si="9"/>
        <v>8</v>
      </c>
    </row>
    <row r="27" spans="1:29" ht="19.5" thickBot="1">
      <c r="A27" s="211">
        <f>Gen!B34</f>
        <v>0</v>
      </c>
      <c r="B27" s="95">
        <f>Gen!A34</f>
        <v>43823</v>
      </c>
      <c r="C27" s="200"/>
      <c r="D27" s="197">
        <f t="shared" si="18"/>
        <v>0</v>
      </c>
      <c r="E27" s="569"/>
      <c r="F27" s="205">
        <f t="shared" si="17"/>
        <v>0</v>
      </c>
      <c r="G27" s="199"/>
      <c r="H27" s="244">
        <f t="shared" si="10"/>
        <v>43823</v>
      </c>
      <c r="I27" s="200"/>
      <c r="J27" s="197">
        <f t="shared" si="3"/>
        <v>36767</v>
      </c>
      <c r="K27" s="243">
        <f>'[1]Water-Meter'!G29</f>
        <v>36779</v>
      </c>
      <c r="L27" s="213">
        <f t="shared" si="4"/>
        <v>12</v>
      </c>
      <c r="M27" s="244">
        <f t="shared" si="11"/>
        <v>43823</v>
      </c>
      <c r="N27" s="200"/>
      <c r="O27" s="197">
        <f t="shared" si="5"/>
        <v>7421</v>
      </c>
      <c r="P27" s="216">
        <f>'[1]Water-Meter'!J29</f>
        <v>7423</v>
      </c>
      <c r="Q27" s="213">
        <f t="shared" si="6"/>
        <v>2</v>
      </c>
      <c r="R27" s="215">
        <f t="shared" si="16"/>
        <v>1.238390092879257E-3</v>
      </c>
      <c r="S27" s="217">
        <f>SUM(F27/[1]Gen!T34)</f>
        <v>0</v>
      </c>
      <c r="T27" s="244">
        <f t="shared" si="12"/>
        <v>43823</v>
      </c>
      <c r="U27" s="200"/>
      <c r="V27" s="197">
        <f t="shared" si="8"/>
        <v>0</v>
      </c>
      <c r="W27" s="198"/>
      <c r="X27" s="205">
        <f t="shared" si="0"/>
        <v>0</v>
      </c>
      <c r="Y27" s="244">
        <f t="shared" si="13"/>
        <v>43823</v>
      </c>
      <c r="Z27" s="200"/>
      <c r="AA27" s="197">
        <f t="shared" si="14"/>
        <v>18754</v>
      </c>
      <c r="AB27" s="216">
        <f>'[1]Water-Meter'!P29</f>
        <v>18763</v>
      </c>
      <c r="AC27" s="205">
        <f t="shared" si="9"/>
        <v>9</v>
      </c>
    </row>
    <row r="28" spans="1:29" ht="19.5" thickBot="1">
      <c r="A28" s="211">
        <f>Gen!B35</f>
        <v>0</v>
      </c>
      <c r="B28" s="95">
        <f>Gen!A35</f>
        <v>43824</v>
      </c>
      <c r="C28" s="200"/>
      <c r="D28" s="197">
        <f t="shared" si="18"/>
        <v>0</v>
      </c>
      <c r="E28" s="569"/>
      <c r="F28" s="205">
        <f t="shared" si="17"/>
        <v>0</v>
      </c>
      <c r="G28" s="199"/>
      <c r="H28" s="244">
        <f t="shared" si="10"/>
        <v>43824</v>
      </c>
      <c r="I28" s="200"/>
      <c r="J28" s="197">
        <f t="shared" si="3"/>
        <v>36779</v>
      </c>
      <c r="K28" s="243">
        <f>'[1]Water-Meter'!G30</f>
        <v>36792</v>
      </c>
      <c r="L28" s="213">
        <f t="shared" si="4"/>
        <v>13</v>
      </c>
      <c r="M28" s="244">
        <f t="shared" si="11"/>
        <v>43824</v>
      </c>
      <c r="N28" s="200"/>
      <c r="O28" s="197">
        <f t="shared" si="5"/>
        <v>7423</v>
      </c>
      <c r="P28" s="216">
        <f>'[1]Water-Meter'!J30</f>
        <v>7426</v>
      </c>
      <c r="Q28" s="213">
        <f t="shared" si="6"/>
        <v>3</v>
      </c>
      <c r="R28" s="215">
        <f t="shared" si="16"/>
        <v>1.8575851393188853E-3</v>
      </c>
      <c r="S28" s="217">
        <f>SUM(F28/[1]Gen!T35)</f>
        <v>0</v>
      </c>
      <c r="T28" s="244">
        <f t="shared" si="12"/>
        <v>43824</v>
      </c>
      <c r="U28" s="200"/>
      <c r="V28" s="197">
        <f t="shared" si="8"/>
        <v>0</v>
      </c>
      <c r="W28" s="198"/>
      <c r="X28" s="205">
        <f t="shared" si="0"/>
        <v>0</v>
      </c>
      <c r="Y28" s="244">
        <f t="shared" si="13"/>
        <v>43824</v>
      </c>
      <c r="Z28" s="200"/>
      <c r="AA28" s="197">
        <f t="shared" si="14"/>
        <v>18763</v>
      </c>
      <c r="AB28" s="216">
        <f>'[1]Water-Meter'!P30</f>
        <v>18773</v>
      </c>
      <c r="AC28" s="205">
        <f t="shared" si="9"/>
        <v>10</v>
      </c>
    </row>
    <row r="29" spans="1:29" ht="19.5" thickBot="1">
      <c r="A29" s="211">
        <f>Gen!B36</f>
        <v>0</v>
      </c>
      <c r="B29" s="95">
        <f>Gen!A36</f>
        <v>43825</v>
      </c>
      <c r="C29" s="200"/>
      <c r="D29" s="197">
        <f t="shared" si="18"/>
        <v>0</v>
      </c>
      <c r="E29" s="569"/>
      <c r="F29" s="205">
        <f t="shared" si="17"/>
        <v>0</v>
      </c>
      <c r="G29" s="199"/>
      <c r="H29" s="244">
        <f t="shared" si="10"/>
        <v>43825</v>
      </c>
      <c r="I29" s="200"/>
      <c r="J29" s="197">
        <f t="shared" si="3"/>
        <v>36792</v>
      </c>
      <c r="K29" s="243">
        <f>'[1]Water-Meter'!G31</f>
        <v>36809</v>
      </c>
      <c r="L29" s="213">
        <f t="shared" si="4"/>
        <v>17</v>
      </c>
      <c r="M29" s="244">
        <f t="shared" si="11"/>
        <v>43825</v>
      </c>
      <c r="N29" s="200"/>
      <c r="O29" s="197">
        <f t="shared" si="5"/>
        <v>7426</v>
      </c>
      <c r="P29" s="216">
        <f>'[1]Water-Meter'!J31</f>
        <v>7428</v>
      </c>
      <c r="Q29" s="213">
        <f t="shared" si="6"/>
        <v>2</v>
      </c>
      <c r="R29" s="215">
        <f t="shared" si="16"/>
        <v>1.238390092879257E-3</v>
      </c>
      <c r="S29" s="217">
        <f>SUM(F29/[1]Gen!T36)</f>
        <v>0</v>
      </c>
      <c r="T29" s="244">
        <f t="shared" si="12"/>
        <v>43825</v>
      </c>
      <c r="U29" s="200"/>
      <c r="V29" s="197">
        <f t="shared" si="8"/>
        <v>0</v>
      </c>
      <c r="W29" s="198"/>
      <c r="X29" s="205">
        <f t="shared" si="0"/>
        <v>0</v>
      </c>
      <c r="Y29" s="244">
        <f t="shared" si="13"/>
        <v>43825</v>
      </c>
      <c r="Z29" s="200"/>
      <c r="AA29" s="197">
        <f t="shared" si="14"/>
        <v>18773</v>
      </c>
      <c r="AB29" s="216">
        <f>'[1]Water-Meter'!P31</f>
        <v>18782</v>
      </c>
      <c r="AC29" s="205">
        <f t="shared" si="9"/>
        <v>9</v>
      </c>
    </row>
    <row r="30" spans="1:29" ht="19.5" thickBot="1">
      <c r="A30" s="211">
        <f>Gen!B37</f>
        <v>0</v>
      </c>
      <c r="B30" s="95">
        <f>Gen!A37</f>
        <v>43826</v>
      </c>
      <c r="C30" s="200"/>
      <c r="D30" s="197">
        <f t="shared" si="18"/>
        <v>0</v>
      </c>
      <c r="E30" s="569"/>
      <c r="F30" s="205">
        <f t="shared" si="17"/>
        <v>0</v>
      </c>
      <c r="G30" s="199"/>
      <c r="H30" s="244">
        <f t="shared" si="10"/>
        <v>43826</v>
      </c>
      <c r="I30" s="200"/>
      <c r="J30" s="197">
        <f t="shared" si="3"/>
        <v>36809</v>
      </c>
      <c r="K30" s="243">
        <f>'[1]Water-Meter'!G32</f>
        <v>36825</v>
      </c>
      <c r="L30" s="213">
        <f t="shared" si="4"/>
        <v>16</v>
      </c>
      <c r="M30" s="244">
        <f t="shared" si="11"/>
        <v>43826</v>
      </c>
      <c r="N30" s="200"/>
      <c r="O30" s="197">
        <f t="shared" si="5"/>
        <v>7428</v>
      </c>
      <c r="P30" s="216">
        <f>'[1]Water-Meter'!J32</f>
        <v>7432</v>
      </c>
      <c r="Q30" s="213">
        <f t="shared" si="6"/>
        <v>4</v>
      </c>
      <c r="R30" s="215">
        <f t="shared" si="16"/>
        <v>2.4767801857585141E-3</v>
      </c>
      <c r="S30" s="217">
        <f>SUM(F30/[1]Gen!T37)</f>
        <v>0</v>
      </c>
      <c r="T30" s="244">
        <f t="shared" si="12"/>
        <v>43826</v>
      </c>
      <c r="U30" s="200"/>
      <c r="V30" s="197">
        <f t="shared" si="8"/>
        <v>0</v>
      </c>
      <c r="W30" s="198"/>
      <c r="X30" s="205">
        <f t="shared" si="0"/>
        <v>0</v>
      </c>
      <c r="Y30" s="244">
        <f t="shared" si="13"/>
        <v>43826</v>
      </c>
      <c r="Z30" s="200"/>
      <c r="AA30" s="197">
        <f t="shared" si="14"/>
        <v>18782</v>
      </c>
      <c r="AB30" s="216">
        <f>'[1]Water-Meter'!P32</f>
        <v>18790</v>
      </c>
      <c r="AC30" s="205">
        <f t="shared" si="9"/>
        <v>8</v>
      </c>
    </row>
    <row r="31" spans="1:29" ht="19.5" thickBot="1">
      <c r="A31" s="211">
        <f>Gen!B38</f>
        <v>0</v>
      </c>
      <c r="B31" s="95">
        <f>Gen!A38</f>
        <v>43827</v>
      </c>
      <c r="C31" s="200"/>
      <c r="D31" s="197">
        <f t="shared" si="18"/>
        <v>0</v>
      </c>
      <c r="E31" s="569"/>
      <c r="F31" s="205">
        <f t="shared" si="17"/>
        <v>0</v>
      </c>
      <c r="G31" s="199"/>
      <c r="H31" s="244">
        <f t="shared" si="10"/>
        <v>43827</v>
      </c>
      <c r="I31" s="200"/>
      <c r="J31" s="197">
        <f t="shared" ref="J31:J35" si="19">SUM(K30)</f>
        <v>36825</v>
      </c>
      <c r="K31" s="243" t="e">
        <f>'[1]Water-Meter'!G33</f>
        <v>#REF!</v>
      </c>
      <c r="L31" s="213" t="e">
        <f t="shared" si="4"/>
        <v>#REF!</v>
      </c>
      <c r="M31" s="244">
        <f t="shared" si="11"/>
        <v>43827</v>
      </c>
      <c r="N31" s="200"/>
      <c r="O31" s="197">
        <f t="shared" si="5"/>
        <v>7432</v>
      </c>
      <c r="P31" s="216" t="e">
        <f>'[1]Water-Meter'!J33</f>
        <v>#REF!</v>
      </c>
      <c r="Q31" s="213" t="e">
        <f t="shared" si="6"/>
        <v>#REF!</v>
      </c>
      <c r="R31" s="215" t="e">
        <f t="shared" si="16"/>
        <v>#REF!</v>
      </c>
      <c r="S31" s="217" t="e">
        <f>SUM(F31/[1]Gen!T38)</f>
        <v>#DIV/0!</v>
      </c>
      <c r="T31" s="244">
        <f>M31</f>
        <v>43827</v>
      </c>
      <c r="U31" s="200"/>
      <c r="V31" s="197">
        <f t="shared" si="8"/>
        <v>0</v>
      </c>
      <c r="W31" s="198"/>
      <c r="X31" s="205">
        <f t="shared" si="0"/>
        <v>0</v>
      </c>
      <c r="Y31" s="244">
        <f>T31</f>
        <v>43827</v>
      </c>
      <c r="Z31" s="200"/>
      <c r="AA31" s="197">
        <f t="shared" si="14"/>
        <v>18790</v>
      </c>
      <c r="AB31" s="216" t="e">
        <f>'[1]Water-Meter'!P33</f>
        <v>#REF!</v>
      </c>
      <c r="AC31" s="205" t="e">
        <f t="shared" si="9"/>
        <v>#REF!</v>
      </c>
    </row>
    <row r="32" spans="1:29" ht="19.5" thickBot="1">
      <c r="A32" s="211">
        <f>Gen!B39</f>
        <v>0</v>
      </c>
      <c r="B32" s="95">
        <f>Gen!A39</f>
        <v>43828</v>
      </c>
      <c r="C32" s="200"/>
      <c r="D32" s="197">
        <f t="shared" si="18"/>
        <v>0</v>
      </c>
      <c r="E32" s="569"/>
      <c r="F32" s="205">
        <f t="shared" si="17"/>
        <v>0</v>
      </c>
      <c r="G32" s="199"/>
      <c r="H32" s="244">
        <f t="shared" si="10"/>
        <v>43828</v>
      </c>
      <c r="I32" s="200"/>
      <c r="J32" s="197" t="e">
        <f t="shared" si="19"/>
        <v>#REF!</v>
      </c>
      <c r="K32" s="243" t="e">
        <f>'[1]Water-Meter'!G34</f>
        <v>#REF!</v>
      </c>
      <c r="L32" s="213" t="e">
        <f t="shared" si="4"/>
        <v>#REF!</v>
      </c>
      <c r="M32" s="244">
        <f t="shared" si="11"/>
        <v>43828</v>
      </c>
      <c r="N32" s="200"/>
      <c r="O32" s="197" t="e">
        <f t="shared" si="5"/>
        <v>#REF!</v>
      </c>
      <c r="P32" s="216" t="e">
        <f>'[1]Water-Meter'!J34</f>
        <v>#REF!</v>
      </c>
      <c r="Q32" s="213" t="e">
        <f t="shared" si="6"/>
        <v>#REF!</v>
      </c>
      <c r="R32" s="215" t="e">
        <f t="shared" si="16"/>
        <v>#REF!</v>
      </c>
      <c r="S32" s="217" t="e">
        <f>SUM(F32/[1]Gen!T39)</f>
        <v>#DIV/0!</v>
      </c>
      <c r="T32" s="244">
        <f t="shared" ref="T32:T35" si="20">M32</f>
        <v>43828</v>
      </c>
      <c r="U32" s="200"/>
      <c r="V32" s="197">
        <f t="shared" si="8"/>
        <v>0</v>
      </c>
      <c r="W32" s="198"/>
      <c r="X32" s="205">
        <f t="shared" si="0"/>
        <v>0</v>
      </c>
      <c r="Y32" s="244">
        <f t="shared" ref="Y32:Y35" si="21">T32</f>
        <v>43828</v>
      </c>
      <c r="Z32" s="200"/>
      <c r="AA32" s="197" t="e">
        <f t="shared" si="14"/>
        <v>#REF!</v>
      </c>
      <c r="AB32" s="216" t="e">
        <f>'[1]Water-Meter'!P34</f>
        <v>#REF!</v>
      </c>
      <c r="AC32" s="205" t="e">
        <f t="shared" si="9"/>
        <v>#REF!</v>
      </c>
    </row>
    <row r="33" spans="1:29" ht="19.5" thickBot="1">
      <c r="A33" s="211">
        <f>Gen!B40</f>
        <v>0</v>
      </c>
      <c r="B33" s="95">
        <f>Gen!A40</f>
        <v>43829</v>
      </c>
      <c r="C33" s="200"/>
      <c r="D33" s="197">
        <f t="shared" si="18"/>
        <v>0</v>
      </c>
      <c r="E33" s="569"/>
      <c r="F33" s="205">
        <f t="shared" si="17"/>
        <v>0</v>
      </c>
      <c r="G33" s="199"/>
      <c r="H33" s="244">
        <f t="shared" si="10"/>
        <v>43829</v>
      </c>
      <c r="I33" s="200"/>
      <c r="J33" s="197" t="e">
        <f t="shared" si="19"/>
        <v>#REF!</v>
      </c>
      <c r="K33" s="243" t="e">
        <f>'[1]Water-Meter'!G35</f>
        <v>#REF!</v>
      </c>
      <c r="L33" s="213" t="e">
        <f t="shared" si="4"/>
        <v>#REF!</v>
      </c>
      <c r="M33" s="244">
        <f t="shared" si="11"/>
        <v>43829</v>
      </c>
      <c r="N33" s="200"/>
      <c r="O33" s="197" t="e">
        <f t="shared" si="5"/>
        <v>#REF!</v>
      </c>
      <c r="P33" s="216" t="e">
        <f>'[1]Water-Meter'!J35</f>
        <v>#REF!</v>
      </c>
      <c r="Q33" s="213" t="e">
        <f t="shared" si="6"/>
        <v>#REF!</v>
      </c>
      <c r="R33" s="215" t="e">
        <f t="shared" si="16"/>
        <v>#REF!</v>
      </c>
      <c r="S33" s="217" t="e">
        <f>SUM(F33/[1]Gen!T40)</f>
        <v>#DIV/0!</v>
      </c>
      <c r="T33" s="244">
        <f t="shared" si="20"/>
        <v>43829</v>
      </c>
      <c r="U33" s="200"/>
      <c r="V33" s="197">
        <f t="shared" si="8"/>
        <v>0</v>
      </c>
      <c r="W33" s="198"/>
      <c r="X33" s="205">
        <f t="shared" si="0"/>
        <v>0</v>
      </c>
      <c r="Y33" s="244">
        <f t="shared" si="21"/>
        <v>43829</v>
      </c>
      <c r="Z33" s="200"/>
      <c r="AA33" s="197" t="e">
        <f t="shared" si="14"/>
        <v>#REF!</v>
      </c>
      <c r="AB33" s="216" t="e">
        <f>'[1]Water-Meter'!P35</f>
        <v>#REF!</v>
      </c>
      <c r="AC33" s="205" t="e">
        <f t="shared" si="9"/>
        <v>#REF!</v>
      </c>
    </row>
    <row r="34" spans="1:29" ht="19.5" thickBot="1">
      <c r="A34" s="211">
        <f>Gen!B41</f>
        <v>0</v>
      </c>
      <c r="B34" s="95">
        <f>Gen!A41</f>
        <v>43830</v>
      </c>
      <c r="C34" s="201"/>
      <c r="D34" s="197">
        <f t="shared" si="18"/>
        <v>0</v>
      </c>
      <c r="E34" s="569"/>
      <c r="F34" s="205">
        <f t="shared" si="17"/>
        <v>0</v>
      </c>
      <c r="G34" s="20"/>
      <c r="H34" s="244">
        <f t="shared" si="10"/>
        <v>43830</v>
      </c>
      <c r="I34" s="201"/>
      <c r="J34" s="197" t="e">
        <f t="shared" si="19"/>
        <v>#REF!</v>
      </c>
      <c r="K34" s="243" t="e">
        <f>'[1]Water-Meter'!G36</f>
        <v>#REF!</v>
      </c>
      <c r="L34" s="213" t="e">
        <f t="shared" si="4"/>
        <v>#REF!</v>
      </c>
      <c r="M34" s="244">
        <f t="shared" si="11"/>
        <v>43830</v>
      </c>
      <c r="N34" s="201"/>
      <c r="O34" s="197" t="e">
        <f t="shared" ref="O34:O35" si="22">SUM(P33)</f>
        <v>#REF!</v>
      </c>
      <c r="P34" s="216" t="e">
        <f>'[1]Water-Meter'!J36</f>
        <v>#REF!</v>
      </c>
      <c r="Q34" s="213" t="e">
        <f t="shared" si="6"/>
        <v>#REF!</v>
      </c>
      <c r="R34" s="215" t="e">
        <f t="shared" si="16"/>
        <v>#REF!</v>
      </c>
      <c r="S34" s="217" t="e">
        <f>SUM(F34/[1]Gen!T41)</f>
        <v>#DIV/0!</v>
      </c>
      <c r="T34" s="244">
        <f t="shared" si="20"/>
        <v>43830</v>
      </c>
      <c r="U34" s="201"/>
      <c r="V34" s="197">
        <f t="shared" ref="V34:V35" si="23">SUM(W33)</f>
        <v>0</v>
      </c>
      <c r="W34" s="198"/>
      <c r="X34" s="205">
        <f t="shared" si="0"/>
        <v>0</v>
      </c>
      <c r="Y34" s="244">
        <f t="shared" si="21"/>
        <v>43830</v>
      </c>
      <c r="Z34" s="201"/>
      <c r="AA34" s="197" t="e">
        <f t="shared" si="14"/>
        <v>#REF!</v>
      </c>
      <c r="AB34" s="216" t="e">
        <f>'[1]Water-Meter'!P36</f>
        <v>#REF!</v>
      </c>
      <c r="AC34" s="222" t="e">
        <f t="shared" si="9"/>
        <v>#REF!</v>
      </c>
    </row>
    <row r="35" spans="1:29" ht="20.25" customHeight="1" thickBot="1">
      <c r="A35" s="211" t="e">
        <f>[1]Gen!B42</f>
        <v>#REF!</v>
      </c>
      <c r="B35" s="95" t="e">
        <f>[1]Gen!A42</f>
        <v>#REF!</v>
      </c>
      <c r="D35" s="666">
        <f t="shared" si="18"/>
        <v>0</v>
      </c>
      <c r="E35" s="667"/>
      <c r="F35" s="207">
        <f>SUM(F4:F6)</f>
        <v>1416.0000000000218</v>
      </c>
      <c r="G35" s="20"/>
      <c r="H35" s="244" t="e">
        <f t="shared" si="10"/>
        <v>#REF!</v>
      </c>
      <c r="J35" s="197" t="e">
        <f t="shared" si="19"/>
        <v>#REF!</v>
      </c>
      <c r="K35" s="243" t="e">
        <f>'[1]Water-Meter'!G37</f>
        <v>#REF!</v>
      </c>
      <c r="L35" s="207" t="e">
        <f>SUM(L5:L34)</f>
        <v>#REF!</v>
      </c>
      <c r="M35" s="244" t="e">
        <f t="shared" si="11"/>
        <v>#REF!</v>
      </c>
      <c r="N35" s="201"/>
      <c r="O35" s="197" t="e">
        <f t="shared" si="22"/>
        <v>#REF!</v>
      </c>
      <c r="P35" s="216" t="e">
        <f>'[1]Water-Meter'!J37</f>
        <v>#REF!</v>
      </c>
      <c r="Q35" s="207" t="e">
        <f>SUM(Q5:Q34)</f>
        <v>#REF!</v>
      </c>
      <c r="R35" s="215" t="e">
        <f t="shared" si="16"/>
        <v>#REF!</v>
      </c>
      <c r="S35" s="217" t="e">
        <f>SUM(F35/[1]Gen!T42)</f>
        <v>#DIV/0!</v>
      </c>
      <c r="T35" s="244" t="e">
        <f t="shared" si="20"/>
        <v>#REF!</v>
      </c>
      <c r="V35" s="197">
        <f t="shared" si="23"/>
        <v>0</v>
      </c>
      <c r="W35" s="198"/>
      <c r="X35" s="205">
        <f t="shared" si="0"/>
        <v>0</v>
      </c>
      <c r="Y35" s="244" t="e">
        <f t="shared" si="21"/>
        <v>#REF!</v>
      </c>
      <c r="AA35" s="197" t="e">
        <f t="shared" si="14"/>
        <v>#REF!</v>
      </c>
      <c r="AB35" s="216" t="e">
        <f>'[1]Water-Meter'!P37</f>
        <v>#REF!</v>
      </c>
      <c r="AC35" s="220" t="e">
        <f>SUM(AC5:AC34)</f>
        <v>#REF!</v>
      </c>
    </row>
    <row r="36" spans="1:29" ht="24.75" customHeight="1">
      <c r="D36" s="20"/>
      <c r="E36" s="577"/>
      <c r="L36" s="154"/>
      <c r="Q36" s="154"/>
      <c r="R36" s="214"/>
      <c r="X36" s="571">
        <f>SUM(X4:X6)</f>
        <v>1480.0000000001091</v>
      </c>
      <c r="AC36" s="154"/>
    </row>
    <row r="37" spans="1:29" ht="12.75" customHeight="1">
      <c r="D37" s="20"/>
      <c r="E37" s="577"/>
      <c r="G37" s="20"/>
    </row>
    <row r="38" spans="1:29" ht="12.75" customHeight="1">
      <c r="E38" s="202"/>
      <c r="G38" s="20"/>
      <c r="K38" s="202"/>
      <c r="W38" s="202"/>
      <c r="AB38" s="202"/>
    </row>
    <row r="39" spans="1:29" ht="12.75" customHeight="1">
      <c r="E39" s="577"/>
      <c r="G39" s="20"/>
    </row>
    <row r="40" spans="1:29" ht="12.75" customHeight="1">
      <c r="D40" s="154"/>
      <c r="E40" s="202"/>
      <c r="G40" s="20"/>
      <c r="V40" s="154"/>
      <c r="W40" s="202"/>
    </row>
    <row r="41" spans="1:29" ht="12.75" customHeight="1">
      <c r="E41" s="577"/>
      <c r="G41" s="20"/>
    </row>
    <row r="42" spans="1:29" ht="12.75" customHeight="1">
      <c r="C42" s="203"/>
      <c r="E42" s="578"/>
      <c r="G42" s="20"/>
      <c r="U42" s="203"/>
    </row>
    <row r="43" spans="1:29" ht="18.75">
      <c r="E43" s="577"/>
    </row>
    <row r="44" spans="1:29">
      <c r="E44" s="578"/>
    </row>
    <row r="45" spans="1:29" ht="18.75">
      <c r="E45" s="577"/>
    </row>
    <row r="46" spans="1:29">
      <c r="E46" s="578"/>
    </row>
    <row r="47" spans="1:29" ht="18.75">
      <c r="E47" s="577"/>
    </row>
    <row r="48" spans="1:29">
      <c r="E48" s="578"/>
    </row>
    <row r="49" spans="5:5" ht="18.75">
      <c r="E49" s="577"/>
    </row>
    <row r="50" spans="5:5">
      <c r="E50" s="578"/>
    </row>
    <row r="51" spans="5:5" ht="18.75">
      <c r="E51" s="577"/>
    </row>
    <row r="52" spans="5:5">
      <c r="E52" s="578"/>
    </row>
    <row r="53" spans="5:5" ht="18.75">
      <c r="E53" s="577"/>
    </row>
  </sheetData>
  <mergeCells count="10">
    <mergeCell ref="Y1:AC1"/>
    <mergeCell ref="Y3:Z3"/>
    <mergeCell ref="M1:Q1"/>
    <mergeCell ref="M3:N3"/>
    <mergeCell ref="B1:F1"/>
    <mergeCell ref="H1:L1"/>
    <mergeCell ref="B3:C3"/>
    <mergeCell ref="H3:I3"/>
    <mergeCell ref="T1:X1"/>
    <mergeCell ref="T3:U3"/>
  </mergeCells>
  <pageMargins left="0.7" right="0.7" top="0.75" bottom="0.75" header="0.3" footer="0.3"/>
  <pageSetup paperSize="9" scale="3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9"/>
  <sheetViews>
    <sheetView workbookViewId="0">
      <selection activeCell="E23" sqref="E23"/>
    </sheetView>
  </sheetViews>
  <sheetFormatPr defaultRowHeight="12.75"/>
  <cols>
    <col min="1" max="1" width="10" bestFit="1" customWidth="1"/>
    <col min="2" max="2" width="10.85546875" customWidth="1"/>
    <col min="3" max="3" width="8.85546875" customWidth="1"/>
    <col min="4" max="4" width="8.28515625" customWidth="1"/>
    <col min="5" max="5" width="7.42578125" customWidth="1"/>
    <col min="6" max="6" width="8.28515625" customWidth="1"/>
    <col min="7" max="7" width="12.5703125" customWidth="1"/>
    <col min="8" max="8" width="12.28515625" customWidth="1"/>
    <col min="9" max="9" width="12" customWidth="1"/>
    <col min="10" max="10" width="9.5703125" customWidth="1"/>
    <col min="11" max="11" width="11.85546875" bestFit="1" customWidth="1"/>
    <col min="12" max="12" width="12.5703125" customWidth="1"/>
    <col min="13" max="13" width="9.140625" hidden="1" customWidth="1"/>
  </cols>
  <sheetData>
    <row r="1" spans="1:13" ht="13.5" thickBot="1"/>
    <row r="2" spans="1:13">
      <c r="A2" s="750" t="s">
        <v>260</v>
      </c>
      <c r="B2" s="751"/>
      <c r="C2" s="751"/>
      <c r="D2" s="751"/>
      <c r="E2" s="752"/>
      <c r="F2" s="122"/>
      <c r="G2" s="122"/>
      <c r="H2" s="122"/>
      <c r="I2" s="122"/>
      <c r="J2" s="122"/>
      <c r="K2" s="122"/>
      <c r="L2" s="122"/>
    </row>
    <row r="3" spans="1:13" ht="50.25" customHeight="1">
      <c r="A3" s="63"/>
      <c r="B3" s="17"/>
      <c r="C3" s="6"/>
      <c r="D3" s="6"/>
      <c r="E3" s="6"/>
      <c r="F3" s="6"/>
      <c r="G3" s="6"/>
      <c r="H3" s="6"/>
      <c r="I3" s="6"/>
      <c r="J3" s="6"/>
      <c r="K3" s="6"/>
      <c r="L3" s="6"/>
    </row>
    <row r="4" spans="1:13" s="51" customFormat="1" ht="50.25" customHeight="1">
      <c r="A4" s="64" t="s">
        <v>0</v>
      </c>
      <c r="B4" s="82" t="s">
        <v>67</v>
      </c>
      <c r="C4" s="412" t="s">
        <v>51</v>
      </c>
      <c r="D4" s="53" t="s">
        <v>65</v>
      </c>
      <c r="E4" s="53" t="s">
        <v>66</v>
      </c>
      <c r="F4" s="74" t="s">
        <v>42</v>
      </c>
      <c r="G4" s="53" t="s">
        <v>205</v>
      </c>
      <c r="H4" s="53" t="s">
        <v>208</v>
      </c>
      <c r="I4" s="53" t="s">
        <v>206</v>
      </c>
      <c r="J4" s="53" t="s">
        <v>207</v>
      </c>
      <c r="K4" s="74" t="s">
        <v>52</v>
      </c>
      <c r="L4" s="74" t="s">
        <v>77</v>
      </c>
    </row>
    <row r="5" spans="1:13">
      <c r="A5" s="54">
        <f>Gen!A11</f>
        <v>43800</v>
      </c>
      <c r="B5" s="448">
        <f>'Daily report Gen'!Z6</f>
        <v>29</v>
      </c>
      <c r="C5" s="89">
        <f>Gen!B11</f>
        <v>0.11700000000000001</v>
      </c>
      <c r="D5" s="647">
        <f t="shared" ref="D5:D36" si="0">E5</f>
        <v>9</v>
      </c>
      <c r="E5" s="76">
        <v>9</v>
      </c>
      <c r="F5" s="72">
        <f>Gen!T9</f>
        <v>0</v>
      </c>
      <c r="G5" s="87">
        <f>Gen!S9</f>
        <v>0</v>
      </c>
      <c r="H5" s="87">
        <f>Gen!AJ11</f>
        <v>404.63</v>
      </c>
      <c r="I5" s="87">
        <f t="shared" ref="I5:I36" si="1">SUM(G5:H5)</f>
        <v>404.63</v>
      </c>
      <c r="J5" s="664">
        <f>Gen!C11</f>
        <v>52821.972000000016</v>
      </c>
      <c r="K5" s="404">
        <f>'Water-Meter'!E6</f>
        <v>109</v>
      </c>
      <c r="L5" s="665">
        <f>'Lpg (2)'!G10</f>
        <v>114.53199999999488</v>
      </c>
      <c r="M5" s="81" t="e">
        <f>SUM(#REF!-#REF!)</f>
        <v>#REF!</v>
      </c>
    </row>
    <row r="6" spans="1:13">
      <c r="A6" s="54">
        <f>Gen!A12</f>
        <v>43801</v>
      </c>
      <c r="B6" s="448">
        <f>'Daily report Gen'!Z7</f>
        <v>35</v>
      </c>
      <c r="C6" s="89">
        <f>Gen!B12</f>
        <v>0.11700000000000001</v>
      </c>
      <c r="D6" s="647">
        <f t="shared" si="0"/>
        <v>9</v>
      </c>
      <c r="E6" s="76">
        <v>9</v>
      </c>
      <c r="F6" s="72">
        <f>Gen!T10</f>
        <v>0</v>
      </c>
      <c r="G6" s="87">
        <f>Gen!S10</f>
        <v>0</v>
      </c>
      <c r="H6" s="87">
        <f>Gen!AJ12</f>
        <v>1310.5899999999999</v>
      </c>
      <c r="I6" s="87">
        <f t="shared" si="1"/>
        <v>1310.5899999999999</v>
      </c>
      <c r="J6" s="664">
        <f>Gen!C12</f>
        <v>50762.702000000019</v>
      </c>
      <c r="K6" s="404">
        <f>'Water-Meter'!E7</f>
        <v>93</v>
      </c>
      <c r="L6" s="665">
        <f>'Lpg (2)'!G11</f>
        <v>119.37200000002049</v>
      </c>
      <c r="M6" s="81" t="e">
        <f>SUM(#REF!-#REF!)</f>
        <v>#REF!</v>
      </c>
    </row>
    <row r="7" spans="1:13">
      <c r="A7" s="54">
        <f>Gen!A13</f>
        <v>43802</v>
      </c>
      <c r="B7" s="448">
        <f>'Daily report Gen'!Z8</f>
        <v>24</v>
      </c>
      <c r="C7" s="89">
        <f>Gen!B13</f>
        <v>0.182</v>
      </c>
      <c r="D7" s="647">
        <f t="shared" si="0"/>
        <v>6</v>
      </c>
      <c r="E7" s="76">
        <v>6</v>
      </c>
      <c r="F7" s="72">
        <f>Gen!T11</f>
        <v>4302</v>
      </c>
      <c r="G7" s="87">
        <f>Gen!S11</f>
        <v>1654.6399999999999</v>
      </c>
      <c r="H7" s="87">
        <f>Gen!AJ13</f>
        <v>70.16</v>
      </c>
      <c r="I7" s="87">
        <f t="shared" si="1"/>
        <v>1724.8</v>
      </c>
      <c r="J7" s="664">
        <f>Gen!C13</f>
        <v>47763.402000000016</v>
      </c>
      <c r="K7" s="404">
        <f>'Water-Meter'!E8</f>
        <v>95</v>
      </c>
      <c r="L7" s="665">
        <f>'Lpg (2)'!G12</f>
        <v>123.20000000000002</v>
      </c>
      <c r="M7" s="81" t="e">
        <f>SUM(#REF!-#REF!)</f>
        <v>#REF!</v>
      </c>
    </row>
    <row r="8" spans="1:13">
      <c r="A8" s="54">
        <f>Gen!A14</f>
        <v>43803</v>
      </c>
      <c r="B8" s="448">
        <f>'Daily report Gen'!Z9</f>
        <v>27</v>
      </c>
      <c r="C8" s="89">
        <f>Gen!B14</f>
        <v>9.0999999999999998E-2</v>
      </c>
      <c r="D8" s="647">
        <f>E8</f>
        <v>8</v>
      </c>
      <c r="E8" s="76">
        <v>8</v>
      </c>
      <c r="F8" s="72">
        <f>Gen!T12</f>
        <v>4286</v>
      </c>
      <c r="G8" s="87">
        <f>Gen!S12</f>
        <v>1688.71</v>
      </c>
      <c r="H8" s="87">
        <f>Gen!AJ14</f>
        <v>57.18</v>
      </c>
      <c r="I8" s="87">
        <f t="shared" si="1"/>
        <v>1745.89</v>
      </c>
      <c r="J8" s="664">
        <f>Gen!C14</f>
        <v>46061.692000000017</v>
      </c>
      <c r="K8" s="404">
        <f>'Water-Meter'!E9</f>
        <v>97</v>
      </c>
      <c r="L8" s="665">
        <f>'Lpg (2)'!G13</f>
        <v>105.51199999998208</v>
      </c>
      <c r="M8" s="81" t="e">
        <f>SUM(#REF!-#REF!)</f>
        <v>#REF!</v>
      </c>
    </row>
    <row r="9" spans="1:13">
      <c r="A9" s="54">
        <f>Gen!A15</f>
        <v>43804</v>
      </c>
      <c r="B9" s="448">
        <f>'Daily report Gen'!Z10</f>
        <v>25</v>
      </c>
      <c r="C9" s="89">
        <f>Gen!B15</f>
        <v>0.104</v>
      </c>
      <c r="D9" s="647">
        <f t="shared" si="0"/>
        <v>9</v>
      </c>
      <c r="E9" s="76">
        <v>9</v>
      </c>
      <c r="F9" s="72">
        <f>Gen!T13</f>
        <v>4122</v>
      </c>
      <c r="G9" s="87">
        <f>Gen!S13</f>
        <v>1631.55</v>
      </c>
      <c r="H9" s="87">
        <f>Gen!AJ15</f>
        <v>213.22000000000003</v>
      </c>
      <c r="I9" s="87">
        <f t="shared" si="1"/>
        <v>1844.77</v>
      </c>
      <c r="J9" s="664">
        <f>Gen!C15</f>
        <v>44237.442000000017</v>
      </c>
      <c r="K9" s="404">
        <f>'Water-Meter'!E10</f>
        <v>86</v>
      </c>
      <c r="L9" s="665">
        <f>'Lpg (2)'!G14</f>
        <v>106.74399999997696</v>
      </c>
      <c r="M9" s="81" t="e">
        <f>SUM(#REF!-#REF!)</f>
        <v>#REF!</v>
      </c>
    </row>
    <row r="10" spans="1:13">
      <c r="A10" s="54">
        <f>Gen!A16</f>
        <v>43805</v>
      </c>
      <c r="B10" s="448">
        <f>'Daily report Gen'!Z11</f>
        <v>26</v>
      </c>
      <c r="C10" s="89">
        <f>Gen!B16</f>
        <v>9.8000000000000004E-2</v>
      </c>
      <c r="D10" s="647">
        <f t="shared" si="0"/>
        <v>11</v>
      </c>
      <c r="E10" s="76">
        <v>11</v>
      </c>
      <c r="F10" s="72">
        <f>Gen!T14</f>
        <v>4432</v>
      </c>
      <c r="G10" s="87">
        <f>Gen!S14</f>
        <v>1767.07</v>
      </c>
      <c r="H10" s="87">
        <f>Gen!AJ16</f>
        <v>2054.66</v>
      </c>
      <c r="I10" s="87">
        <f t="shared" si="1"/>
        <v>3821.7299999999996</v>
      </c>
      <c r="J10" s="664">
        <f>Gen!C16</f>
        <v>42445.63200000002</v>
      </c>
      <c r="K10" s="404">
        <f>'Water-Meter'!E11</f>
        <v>105</v>
      </c>
      <c r="L10" s="665">
        <f>'Lpg (2)'!G15</f>
        <v>96.140000000025623</v>
      </c>
      <c r="M10" s="81" t="e">
        <f>SUM(#REF!-#REF!)</f>
        <v>#REF!</v>
      </c>
    </row>
    <row r="11" spans="1:13">
      <c r="A11" s="54">
        <f>Gen!A17</f>
        <v>43806</v>
      </c>
      <c r="B11" s="448">
        <f>'Daily report Gen'!Z12</f>
        <v>26</v>
      </c>
      <c r="C11" s="89">
        <f>Gen!B17</f>
        <v>0.1555</v>
      </c>
      <c r="D11" s="647">
        <f t="shared" si="0"/>
        <v>6</v>
      </c>
      <c r="E11" s="76">
        <v>6</v>
      </c>
      <c r="F11" s="72">
        <f>Gen!T15</f>
        <v>4152</v>
      </c>
      <c r="G11" s="87">
        <f>Gen!S15</f>
        <v>1578.5899999999997</v>
      </c>
      <c r="H11" s="87">
        <f>Gen!AJ17</f>
        <v>62</v>
      </c>
      <c r="I11" s="87">
        <f t="shared" si="1"/>
        <v>1640.5899999999997</v>
      </c>
      <c r="J11" s="664">
        <f>Gen!C17</f>
        <v>53557.942000000017</v>
      </c>
      <c r="K11" s="404">
        <f>'Water-Meter'!E12</f>
        <v>131</v>
      </c>
      <c r="L11" s="665">
        <f>'Lpg (2)'!G16</f>
        <v>102.03600000001025</v>
      </c>
      <c r="M11" s="81" t="e">
        <f>SUM(#REF!-#REF!)</f>
        <v>#REF!</v>
      </c>
    </row>
    <row r="12" spans="1:13">
      <c r="A12" s="54">
        <f>Gen!A18</f>
        <v>43807</v>
      </c>
      <c r="B12" s="448">
        <f>'Daily report Gen'!Z13</f>
        <v>25</v>
      </c>
      <c r="C12" s="89">
        <f>Gen!B18</f>
        <v>0.1038</v>
      </c>
      <c r="D12" s="647">
        <f t="shared" si="0"/>
        <v>9</v>
      </c>
      <c r="E12" s="76">
        <v>9</v>
      </c>
      <c r="F12" s="72">
        <f>Gen!T16</f>
        <v>4564</v>
      </c>
      <c r="G12" s="87">
        <f>Gen!S16</f>
        <v>1833.0300000000002</v>
      </c>
      <c r="H12" s="87">
        <f>Gen!AJ18</f>
        <v>0</v>
      </c>
      <c r="I12" s="87">
        <f t="shared" si="1"/>
        <v>1833.0300000000002</v>
      </c>
      <c r="J12" s="664">
        <f>Gen!C18</f>
        <v>51883.682000000015</v>
      </c>
      <c r="K12" s="404">
        <f>'Water-Meter'!E13</f>
        <v>129</v>
      </c>
      <c r="L12" s="665">
        <f>'Lpg (2)'!G17</f>
        <v>99.747999999992331</v>
      </c>
      <c r="M12" s="81" t="e">
        <f>SUM(#REF!-#REF!)</f>
        <v>#REF!</v>
      </c>
    </row>
    <row r="13" spans="1:13">
      <c r="A13" s="54">
        <f>Gen!A19</f>
        <v>43808</v>
      </c>
      <c r="B13" s="448">
        <f>'Daily report Gen'!Z14</f>
        <v>25</v>
      </c>
      <c r="C13" s="89">
        <f>Gen!B19</f>
        <v>0.16880000000000001</v>
      </c>
      <c r="D13" s="647">
        <f t="shared" si="0"/>
        <v>7</v>
      </c>
      <c r="E13" s="76">
        <v>7</v>
      </c>
      <c r="F13" s="72">
        <f>Gen!T17</f>
        <v>4168</v>
      </c>
      <c r="G13" s="87">
        <f>Gen!S17</f>
        <v>1612.2599999999998</v>
      </c>
      <c r="H13" s="87">
        <f>Gen!AJ19</f>
        <v>177.46</v>
      </c>
      <c r="I13" s="87">
        <f t="shared" si="1"/>
        <v>1789.7199999999998</v>
      </c>
      <c r="J13" s="664">
        <f>Gen!C19</f>
        <v>50288.962000000014</v>
      </c>
      <c r="K13" s="404">
        <f>'Water-Meter'!E14</f>
        <v>139</v>
      </c>
      <c r="L13" s="665">
        <f>'Lpg (2)'!G18</f>
        <v>100.93600000001025</v>
      </c>
      <c r="M13" s="81" t="e">
        <f>SUM(#REF!-#REF!)</f>
        <v>#REF!</v>
      </c>
    </row>
    <row r="14" spans="1:13">
      <c r="A14" s="54">
        <f>Gen!A20</f>
        <v>43809</v>
      </c>
      <c r="B14" s="448">
        <f>'Daily report Gen'!Z15</f>
        <v>28</v>
      </c>
      <c r="C14" s="89">
        <f>Gen!B20</f>
        <v>0.12989999999999999</v>
      </c>
      <c r="D14" s="647">
        <f t="shared" si="0"/>
        <v>8</v>
      </c>
      <c r="E14" s="76">
        <v>8</v>
      </c>
      <c r="F14" s="72">
        <f>Gen!T18</f>
        <v>3985</v>
      </c>
      <c r="G14" s="87">
        <f>Gen!S18</f>
        <v>1594.7199999999998</v>
      </c>
      <c r="H14" s="87">
        <f>Gen!AJ20</f>
        <v>13.2</v>
      </c>
      <c r="I14" s="87">
        <f t="shared" si="1"/>
        <v>1607.9199999999998</v>
      </c>
      <c r="J14" s="664">
        <f>Gen!C20</f>
        <v>48565.252000000015</v>
      </c>
      <c r="K14" s="404">
        <f>'Water-Meter'!E15</f>
        <v>101</v>
      </c>
      <c r="L14" s="665">
        <f>'Lpg (2)'!G19</f>
        <v>104.93999999996159</v>
      </c>
      <c r="M14" s="81" t="e">
        <f>SUM(#REF!-#REF!)</f>
        <v>#REF!</v>
      </c>
    </row>
    <row r="15" spans="1:13">
      <c r="A15" s="54">
        <f>Gen!A21</f>
        <v>43810</v>
      </c>
      <c r="B15" s="448">
        <f>'Daily report Gen'!Z16</f>
        <v>22</v>
      </c>
      <c r="C15" s="89">
        <f>Gen!B21</f>
        <v>0.10390000000000001</v>
      </c>
      <c r="D15" s="647">
        <f t="shared" si="0"/>
        <v>9</v>
      </c>
      <c r="E15" s="76">
        <v>9</v>
      </c>
      <c r="F15" s="72">
        <f>Gen!T19</f>
        <v>4085</v>
      </c>
      <c r="G15" s="87">
        <f>Gen!S19</f>
        <v>1546.25</v>
      </c>
      <c r="H15" s="87">
        <f>Gen!AJ21</f>
        <v>260.22000000000003</v>
      </c>
      <c r="I15" s="87">
        <f t="shared" si="1"/>
        <v>1806.47</v>
      </c>
      <c r="J15" s="664">
        <f>Gen!C21</f>
        <v>46858.092000000011</v>
      </c>
      <c r="K15" s="404">
        <f>'Water-Meter'!E16</f>
        <v>101</v>
      </c>
      <c r="L15" s="665">
        <f>'Lpg (2)'!G20</f>
        <v>102.47600000003587</v>
      </c>
      <c r="M15" s="81" t="e">
        <f>SUM(#REF!-#REF!)</f>
        <v>#REF!</v>
      </c>
    </row>
    <row r="16" spans="1:13">
      <c r="A16" s="54">
        <f>Gen!A22</f>
        <v>43811</v>
      </c>
      <c r="B16" s="448">
        <f>'Daily report Gen'!Z17</f>
        <v>27</v>
      </c>
      <c r="C16" s="89">
        <f>Gen!B22</f>
        <v>0.1429</v>
      </c>
      <c r="D16" s="647">
        <f t="shared" si="0"/>
        <v>6</v>
      </c>
      <c r="E16" s="76">
        <v>6</v>
      </c>
      <c r="F16" s="72">
        <f>Gen!T20</f>
        <v>4227</v>
      </c>
      <c r="G16" s="87">
        <f>Gen!S20</f>
        <v>1693.96</v>
      </c>
      <c r="H16" s="87">
        <f>Gen!AJ22</f>
        <v>389.31</v>
      </c>
      <c r="I16" s="87">
        <f t="shared" si="1"/>
        <v>2083.27</v>
      </c>
      <c r="J16" s="664">
        <f>Gen!C22</f>
        <v>45008.842000000011</v>
      </c>
      <c r="K16" s="404">
        <f>'Water-Meter'!E17</f>
        <v>108</v>
      </c>
      <c r="L16" s="665">
        <f>'Lpg (2)'!G21</f>
        <v>105.64399999997696</v>
      </c>
      <c r="M16" s="81" t="e">
        <f>SUM(#REF!-#REF!)</f>
        <v>#REF!</v>
      </c>
    </row>
    <row r="17" spans="1:13">
      <c r="A17" s="54">
        <f>Gen!A23</f>
        <v>43812</v>
      </c>
      <c r="B17" s="448">
        <f>'Daily report Gen'!Z18</f>
        <v>26</v>
      </c>
      <c r="C17" s="89">
        <f>Gen!B23</f>
        <v>0.12989999999999999</v>
      </c>
      <c r="D17" s="647">
        <f t="shared" si="0"/>
        <v>8</v>
      </c>
      <c r="E17" s="76">
        <v>8</v>
      </c>
      <c r="F17" s="72">
        <f>Gen!T21</f>
        <v>4272</v>
      </c>
      <c r="G17" s="87">
        <f>Gen!S21</f>
        <v>1589.0299999999997</v>
      </c>
      <c r="H17" s="87">
        <f>Gen!AJ23</f>
        <v>252.28</v>
      </c>
      <c r="I17" s="87">
        <f t="shared" si="1"/>
        <v>1841.3099999999997</v>
      </c>
      <c r="J17" s="664">
        <f>Gen!C23</f>
        <v>42958.502000000008</v>
      </c>
      <c r="K17" s="404">
        <f>'Water-Meter'!E18</f>
        <v>105</v>
      </c>
      <c r="L17" s="665">
        <f>'Lpg (2)'!G22</f>
        <v>101.28800000001793</v>
      </c>
      <c r="M17" s="81" t="e">
        <f>SUM(#REF!-#REF!)</f>
        <v>#REF!</v>
      </c>
    </row>
    <row r="18" spans="1:13">
      <c r="A18" s="54">
        <f>Gen!A24</f>
        <v>43813</v>
      </c>
      <c r="B18" s="448">
        <f>'Daily report Gen'!Z19</f>
        <v>25</v>
      </c>
      <c r="C18" s="89">
        <f>Gen!B24</f>
        <v>0.1429</v>
      </c>
      <c r="D18" s="647">
        <f t="shared" si="0"/>
        <v>10</v>
      </c>
      <c r="E18" s="76">
        <v>10</v>
      </c>
      <c r="F18" s="72">
        <f>Gen!T22</f>
        <v>4226</v>
      </c>
      <c r="G18" s="87">
        <f>Gen!S22</f>
        <v>1661.0300000000002</v>
      </c>
      <c r="H18" s="87">
        <f>Gen!AJ24</f>
        <v>224.4</v>
      </c>
      <c r="I18" s="87">
        <f t="shared" si="1"/>
        <v>1885.4300000000003</v>
      </c>
      <c r="J18" s="664">
        <f>Gen!C24</f>
        <v>40962.112000000008</v>
      </c>
      <c r="K18" s="404">
        <f>'Water-Meter'!E19</f>
        <v>111</v>
      </c>
      <c r="L18" s="665">
        <f>'Lpg (2)'!G23</f>
        <v>101.11199999998207</v>
      </c>
      <c r="M18" s="81" t="e">
        <f>SUM(#REF!-#REF!)</f>
        <v>#REF!</v>
      </c>
    </row>
    <row r="19" spans="1:13">
      <c r="A19" s="54">
        <f>Gen!A25</f>
        <v>43814</v>
      </c>
      <c r="B19" s="448">
        <f>'Daily report Gen'!Z20</f>
        <v>28</v>
      </c>
      <c r="C19" s="89">
        <f>Gen!B25</f>
        <v>0.15579999999999999</v>
      </c>
      <c r="D19" s="647">
        <f t="shared" si="0"/>
        <v>15</v>
      </c>
      <c r="E19" s="76">
        <v>15</v>
      </c>
      <c r="F19" s="72">
        <f>Gen!T23</f>
        <v>4489</v>
      </c>
      <c r="G19" s="87">
        <f>Gen!S23</f>
        <v>1744.1100000000001</v>
      </c>
      <c r="H19" s="87">
        <f>Gen!AJ25</f>
        <v>261.61</v>
      </c>
      <c r="I19" s="87">
        <f t="shared" si="1"/>
        <v>2005.7200000000003</v>
      </c>
      <c r="J19" s="664">
        <f>Gen!C25</f>
        <v>39019.342000000011</v>
      </c>
      <c r="K19" s="404">
        <f>'Water-Meter'!E20</f>
        <v>97</v>
      </c>
      <c r="L19" s="665">
        <f>'Lpg (2)'!G24</f>
        <v>105.60000000000001</v>
      </c>
      <c r="M19" s="81" t="e">
        <f>SUM(#REF!-#REF!)</f>
        <v>#REF!</v>
      </c>
    </row>
    <row r="20" spans="1:13">
      <c r="A20" s="54">
        <f>Gen!A26</f>
        <v>43815</v>
      </c>
      <c r="B20" s="448">
        <f>'Daily report Gen'!Z21</f>
        <v>35</v>
      </c>
      <c r="C20" s="89">
        <f>Gen!B26</f>
        <v>0.15579999999999999</v>
      </c>
      <c r="D20" s="647">
        <f t="shared" si="0"/>
        <v>15</v>
      </c>
      <c r="E20" s="76">
        <v>15</v>
      </c>
      <c r="F20" s="72">
        <f>Gen!T24</f>
        <v>4460</v>
      </c>
      <c r="G20" s="87">
        <f>Gen!S24</f>
        <v>1718.37</v>
      </c>
      <c r="H20" s="87">
        <f>Gen!AJ26</f>
        <v>104.11</v>
      </c>
      <c r="I20" s="87">
        <f t="shared" si="1"/>
        <v>1822.4799999999998</v>
      </c>
      <c r="J20" s="664">
        <f>Gen!C26</f>
        <v>36959.01200000001</v>
      </c>
      <c r="K20" s="404">
        <f>'Water-Meter'!E21</f>
        <v>87</v>
      </c>
      <c r="L20" s="665">
        <f>'Lpg (2)'!G25</f>
        <v>52.184000000002563</v>
      </c>
      <c r="M20" s="81" t="e">
        <f>SUM(#REF!-#REF!)</f>
        <v>#REF!</v>
      </c>
    </row>
    <row r="21" spans="1:13">
      <c r="A21" s="54">
        <f>Gen!A27</f>
        <v>43816</v>
      </c>
      <c r="B21" s="448">
        <f>'Daily report Gen'!Z22</f>
        <v>37</v>
      </c>
      <c r="C21" s="89">
        <f>Gen!B27</f>
        <v>0.36359999999999998</v>
      </c>
      <c r="D21" s="647">
        <f t="shared" si="0"/>
        <v>36</v>
      </c>
      <c r="E21" s="76">
        <v>36</v>
      </c>
      <c r="F21" s="72">
        <f>Gen!T25</f>
        <v>4526</v>
      </c>
      <c r="G21" s="87">
        <f>Gen!S25</f>
        <v>1798.7200000000003</v>
      </c>
      <c r="H21" s="87">
        <f>Gen!AJ27</f>
        <v>210.14</v>
      </c>
      <c r="I21" s="87">
        <f t="shared" si="1"/>
        <v>2008.8600000000001</v>
      </c>
      <c r="J21" s="664">
        <f>Gen!C27</f>
        <v>35043.272000000012</v>
      </c>
      <c r="K21" s="404">
        <f>'Water-Meter'!E22</f>
        <v>108</v>
      </c>
      <c r="L21" s="665">
        <f>'Lpg (2)'!G26</f>
        <v>104.23600000001025</v>
      </c>
      <c r="M21" s="81" t="e">
        <f>SUM(#REF!-#REF!)</f>
        <v>#REF!</v>
      </c>
    </row>
    <row r="22" spans="1:13">
      <c r="A22" s="54">
        <f>Gen!A28</f>
        <v>43817</v>
      </c>
      <c r="B22" s="448">
        <f>'Daily report Gen'!Z23</f>
        <v>-145777</v>
      </c>
      <c r="C22" s="89">
        <f>Gen!B28</f>
        <v>0.35049999999999998</v>
      </c>
      <c r="D22" s="647">
        <f t="shared" si="0"/>
        <v>0</v>
      </c>
      <c r="E22" s="76"/>
      <c r="F22" s="72">
        <f>Gen!T26</f>
        <v>4416</v>
      </c>
      <c r="G22" s="87">
        <f>Gen!S26</f>
        <v>1811.63</v>
      </c>
      <c r="H22" s="87">
        <f>Gen!AJ28</f>
        <v>0</v>
      </c>
      <c r="I22" s="87">
        <f t="shared" si="1"/>
        <v>1811.63</v>
      </c>
      <c r="J22" s="664">
        <f>Gen!C28</f>
        <v>32848.672000000013</v>
      </c>
      <c r="K22" s="404" t="str">
        <f>'Water-Meter'!E23</f>
        <v>0</v>
      </c>
      <c r="L22" s="665">
        <f>'Lpg (2)'!G27</f>
        <v>-301408.40400000004</v>
      </c>
      <c r="M22" s="81" t="e">
        <f>SUM(#REF!-#REF!)</f>
        <v>#REF!</v>
      </c>
    </row>
    <row r="23" spans="1:13">
      <c r="A23" s="54">
        <f>Gen!A29</f>
        <v>43818</v>
      </c>
      <c r="B23" s="448">
        <f>'Daily report Gen'!Z24</f>
        <v>0</v>
      </c>
      <c r="C23" s="89">
        <f>Gen!B29</f>
        <v>0</v>
      </c>
      <c r="D23" s="647">
        <f t="shared" si="0"/>
        <v>0</v>
      </c>
      <c r="E23" s="76"/>
      <c r="F23" s="72">
        <f>Gen!T27</f>
        <v>5002</v>
      </c>
      <c r="G23" s="87">
        <f>Gen!S27</f>
        <v>1984.46</v>
      </c>
      <c r="H23" s="87">
        <f>Gen!AJ29</f>
        <v>0</v>
      </c>
      <c r="I23" s="87">
        <f t="shared" si="1"/>
        <v>1984.46</v>
      </c>
      <c r="J23" s="664">
        <f>Gen!C29</f>
        <v>32848.672000000013</v>
      </c>
      <c r="K23" s="404">
        <f>'Water-Meter'!E24</f>
        <v>0</v>
      </c>
      <c r="L23" s="665">
        <f>'Lpg (2)'!G28</f>
        <v>0</v>
      </c>
      <c r="M23" s="81" t="e">
        <f>SUM(#REF!-#REF!)</f>
        <v>#REF!</v>
      </c>
    </row>
    <row r="24" spans="1:13">
      <c r="A24" s="54">
        <f>Gen!A30</f>
        <v>43819</v>
      </c>
      <c r="B24" s="448">
        <f>'Daily report Gen'!Z25</f>
        <v>0</v>
      </c>
      <c r="C24" s="89">
        <f>Gen!B30</f>
        <v>0</v>
      </c>
      <c r="D24" s="647">
        <f t="shared" si="0"/>
        <v>0</v>
      </c>
      <c r="E24" s="76"/>
      <c r="F24" s="72">
        <f>Gen!T28</f>
        <v>0</v>
      </c>
      <c r="G24" s="87">
        <f>Gen!S28</f>
        <v>0</v>
      </c>
      <c r="H24" s="87">
        <f>Gen!AJ30</f>
        <v>0</v>
      </c>
      <c r="I24" s="87">
        <f t="shared" si="1"/>
        <v>0</v>
      </c>
      <c r="J24" s="664">
        <f>Gen!C30</f>
        <v>32848.672000000013</v>
      </c>
      <c r="K24" s="404">
        <f>'Water-Meter'!E25</f>
        <v>0</v>
      </c>
      <c r="L24" s="665">
        <f>'Lpg (2)'!G29</f>
        <v>0</v>
      </c>
      <c r="M24" s="81" t="e">
        <f>SUM(#REF!-#REF!)</f>
        <v>#REF!</v>
      </c>
    </row>
    <row r="25" spans="1:13">
      <c r="A25" s="54">
        <f>Gen!A31</f>
        <v>43820</v>
      </c>
      <c r="B25" s="448">
        <f>'Daily report Gen'!Z26</f>
        <v>0</v>
      </c>
      <c r="C25" s="89">
        <f>Gen!B31</f>
        <v>0</v>
      </c>
      <c r="D25" s="647">
        <f t="shared" si="0"/>
        <v>0</v>
      </c>
      <c r="E25" s="76"/>
      <c r="F25" s="72">
        <f>Gen!T29</f>
        <v>0</v>
      </c>
      <c r="G25" s="87">
        <f>Gen!S29</f>
        <v>0</v>
      </c>
      <c r="H25" s="87">
        <f>Gen!AJ31</f>
        <v>0</v>
      </c>
      <c r="I25" s="87">
        <f t="shared" si="1"/>
        <v>0</v>
      </c>
      <c r="J25" s="664">
        <f>Gen!C31</f>
        <v>32848.672000000013</v>
      </c>
      <c r="K25" s="404">
        <f>'Water-Meter'!E26</f>
        <v>0</v>
      </c>
      <c r="L25" s="665">
        <f>'Lpg (2)'!G30</f>
        <v>0</v>
      </c>
      <c r="M25" s="81" t="e">
        <f>SUM(#REF!-#REF!)</f>
        <v>#REF!</v>
      </c>
    </row>
    <row r="26" spans="1:13">
      <c r="A26" s="54">
        <f>Gen!A32</f>
        <v>43821</v>
      </c>
      <c r="B26" s="448">
        <f>'Daily report Gen'!Z27</f>
        <v>0</v>
      </c>
      <c r="C26" s="89">
        <f>Gen!B32</f>
        <v>0</v>
      </c>
      <c r="D26" s="647">
        <f t="shared" si="0"/>
        <v>0</v>
      </c>
      <c r="E26" s="76"/>
      <c r="F26" s="72">
        <f>Gen!T30</f>
        <v>0</v>
      </c>
      <c r="G26" s="87">
        <f>Gen!S30</f>
        <v>0</v>
      </c>
      <c r="H26" s="87">
        <f>Gen!AJ32</f>
        <v>0</v>
      </c>
      <c r="I26" s="87">
        <f t="shared" si="1"/>
        <v>0</v>
      </c>
      <c r="J26" s="664">
        <f>Gen!C32</f>
        <v>32848.672000000013</v>
      </c>
      <c r="K26" s="404">
        <f>'Water-Meter'!E27</f>
        <v>0</v>
      </c>
      <c r="L26" s="665">
        <f>'Lpg (2)'!G31</f>
        <v>0</v>
      </c>
      <c r="M26" s="81" t="e">
        <f>SUM(#REF!-#REF!)</f>
        <v>#REF!</v>
      </c>
    </row>
    <row r="27" spans="1:13">
      <c r="A27" s="54">
        <f>Gen!A33</f>
        <v>43822</v>
      </c>
      <c r="B27" s="448">
        <f>'Daily report Gen'!Z28</f>
        <v>0</v>
      </c>
      <c r="C27" s="89">
        <f>Gen!B33</f>
        <v>0</v>
      </c>
      <c r="D27" s="647">
        <f t="shared" si="0"/>
        <v>0</v>
      </c>
      <c r="E27" s="76"/>
      <c r="F27" s="72">
        <f>Gen!T31</f>
        <v>0</v>
      </c>
      <c r="G27" s="87">
        <f>Gen!S31</f>
        <v>0</v>
      </c>
      <c r="H27" s="87">
        <f>Gen!AJ33</f>
        <v>0</v>
      </c>
      <c r="I27" s="87">
        <f t="shared" si="1"/>
        <v>0</v>
      </c>
      <c r="J27" s="664">
        <f>Gen!C33</f>
        <v>32848.672000000013</v>
      </c>
      <c r="K27" s="404">
        <f>'Water-Meter'!E28</f>
        <v>0</v>
      </c>
      <c r="L27" s="665">
        <f>'Lpg (2)'!G32</f>
        <v>0</v>
      </c>
      <c r="M27" s="81" t="e">
        <f>SUM(#REF!-#REF!)</f>
        <v>#REF!</v>
      </c>
    </row>
    <row r="28" spans="1:13">
      <c r="A28" s="54">
        <f>Gen!A34</f>
        <v>43823</v>
      </c>
      <c r="B28" s="448">
        <f>'Daily report Gen'!Z29</f>
        <v>0</v>
      </c>
      <c r="C28" s="89">
        <f>Gen!B34</f>
        <v>0</v>
      </c>
      <c r="D28" s="647">
        <f t="shared" si="0"/>
        <v>0</v>
      </c>
      <c r="E28" s="76"/>
      <c r="F28" s="72">
        <f>Gen!T32</f>
        <v>0</v>
      </c>
      <c r="G28" s="87">
        <f>Gen!S32</f>
        <v>0</v>
      </c>
      <c r="H28" s="87">
        <f>Gen!AJ34</f>
        <v>0</v>
      </c>
      <c r="I28" s="87">
        <f t="shared" si="1"/>
        <v>0</v>
      </c>
      <c r="J28" s="664">
        <f>Gen!C34</f>
        <v>32848.672000000013</v>
      </c>
      <c r="K28" s="404">
        <f>'Water-Meter'!E29</f>
        <v>0</v>
      </c>
      <c r="L28" s="665">
        <f>'Lpg (2)'!G33</f>
        <v>0</v>
      </c>
      <c r="M28" s="81" t="e">
        <f>SUM(#REF!-#REF!)</f>
        <v>#REF!</v>
      </c>
    </row>
    <row r="29" spans="1:13">
      <c r="A29" s="54">
        <f>Gen!A35</f>
        <v>43824</v>
      </c>
      <c r="B29" s="448">
        <f>'Daily report Gen'!Z30</f>
        <v>0</v>
      </c>
      <c r="C29" s="89">
        <f>Gen!B35</f>
        <v>0</v>
      </c>
      <c r="D29" s="647">
        <f t="shared" si="0"/>
        <v>0</v>
      </c>
      <c r="E29" s="76"/>
      <c r="F29" s="72">
        <f>Gen!T33</f>
        <v>0</v>
      </c>
      <c r="G29" s="87">
        <f>Gen!S33</f>
        <v>0</v>
      </c>
      <c r="H29" s="87">
        <f>Gen!AJ35</f>
        <v>0</v>
      </c>
      <c r="I29" s="87">
        <f t="shared" si="1"/>
        <v>0</v>
      </c>
      <c r="J29" s="664">
        <f>Gen!C35</f>
        <v>32848.672000000013</v>
      </c>
      <c r="K29" s="404">
        <f>'Water-Meter'!E30</f>
        <v>0</v>
      </c>
      <c r="L29" s="665">
        <f>'Lpg (2)'!G34</f>
        <v>0</v>
      </c>
      <c r="M29" s="81" t="e">
        <f>SUM(#REF!-#REF!)</f>
        <v>#REF!</v>
      </c>
    </row>
    <row r="30" spans="1:13">
      <c r="A30" s="54">
        <f>Gen!A36</f>
        <v>43825</v>
      </c>
      <c r="B30" s="448">
        <f>'Daily report Gen'!Z31</f>
        <v>0</v>
      </c>
      <c r="C30" s="89">
        <f>Gen!B36</f>
        <v>0</v>
      </c>
      <c r="D30" s="647">
        <f t="shared" si="0"/>
        <v>0</v>
      </c>
      <c r="E30" s="76"/>
      <c r="F30" s="72">
        <f>Gen!T34</f>
        <v>0</v>
      </c>
      <c r="G30" s="87">
        <f>Gen!S34</f>
        <v>0</v>
      </c>
      <c r="H30" s="87">
        <f>Gen!AJ36</f>
        <v>0</v>
      </c>
      <c r="I30" s="87">
        <f t="shared" si="1"/>
        <v>0</v>
      </c>
      <c r="J30" s="664">
        <f>Gen!C36</f>
        <v>32848.672000000013</v>
      </c>
      <c r="K30" s="404">
        <f>'Water-Meter'!E31</f>
        <v>0</v>
      </c>
      <c r="L30" s="665">
        <f>'Lpg (2)'!G35</f>
        <v>0</v>
      </c>
      <c r="M30" s="81" t="e">
        <f>SUM(#REF!-#REF!)</f>
        <v>#REF!</v>
      </c>
    </row>
    <row r="31" spans="1:13">
      <c r="A31" s="54">
        <f>Gen!A37</f>
        <v>43826</v>
      </c>
      <c r="B31" s="448">
        <f>'Daily report Gen'!Z32</f>
        <v>0</v>
      </c>
      <c r="C31" s="89">
        <f>Gen!B37</f>
        <v>0</v>
      </c>
      <c r="D31" s="647">
        <f t="shared" si="0"/>
        <v>0</v>
      </c>
      <c r="E31" s="76"/>
      <c r="F31" s="72">
        <f>Gen!T35</f>
        <v>0</v>
      </c>
      <c r="G31" s="87">
        <f>Gen!S35</f>
        <v>0</v>
      </c>
      <c r="H31" s="87">
        <f>Gen!AJ37</f>
        <v>0</v>
      </c>
      <c r="I31" s="87">
        <f t="shared" si="1"/>
        <v>0</v>
      </c>
      <c r="J31" s="664">
        <f>Gen!C37</f>
        <v>32848.672000000013</v>
      </c>
      <c r="K31" s="404">
        <f>'Water-Meter'!E32</f>
        <v>0</v>
      </c>
      <c r="L31" s="665">
        <f>'Lpg (2)'!G36</f>
        <v>0</v>
      </c>
      <c r="M31" s="81" t="e">
        <f>SUM(#REF!-#REF!)</f>
        <v>#REF!</v>
      </c>
    </row>
    <row r="32" spans="1:13">
      <c r="A32" s="54">
        <f>Gen!A38</f>
        <v>43827</v>
      </c>
      <c r="B32" s="448">
        <f>'Daily report Gen'!Z33</f>
        <v>0</v>
      </c>
      <c r="C32" s="89">
        <f>Gen!B38</f>
        <v>0</v>
      </c>
      <c r="D32" s="647">
        <f t="shared" si="0"/>
        <v>0</v>
      </c>
      <c r="E32" s="76"/>
      <c r="F32" s="72">
        <f>Gen!T36</f>
        <v>0</v>
      </c>
      <c r="G32" s="87">
        <f>Gen!S36</f>
        <v>0</v>
      </c>
      <c r="H32" s="87">
        <f>Gen!AJ38</f>
        <v>0</v>
      </c>
      <c r="I32" s="87">
        <f t="shared" si="1"/>
        <v>0</v>
      </c>
      <c r="J32" s="664">
        <f>Gen!C38</f>
        <v>32848.672000000013</v>
      </c>
      <c r="K32" s="404">
        <f>'Water-Meter'!E33</f>
        <v>0</v>
      </c>
      <c r="L32" s="665">
        <f>'Lpg (2)'!G37</f>
        <v>0</v>
      </c>
      <c r="M32" s="81" t="e">
        <f>SUM(#REF!-#REF!)</f>
        <v>#REF!</v>
      </c>
    </row>
    <row r="33" spans="1:13">
      <c r="A33" s="54">
        <f>Gen!A39</f>
        <v>43828</v>
      </c>
      <c r="B33" s="448">
        <f>'Daily report Gen'!Z34</f>
        <v>0</v>
      </c>
      <c r="C33" s="89">
        <f>Gen!B39</f>
        <v>0</v>
      </c>
      <c r="D33" s="647">
        <f t="shared" si="0"/>
        <v>0</v>
      </c>
      <c r="E33" s="76"/>
      <c r="F33" s="72">
        <f>Gen!T37</f>
        <v>0</v>
      </c>
      <c r="G33" s="87">
        <f>Gen!S37</f>
        <v>0</v>
      </c>
      <c r="H33" s="87">
        <f>Gen!AJ39</f>
        <v>0</v>
      </c>
      <c r="I33" s="87">
        <f t="shared" si="1"/>
        <v>0</v>
      </c>
      <c r="J33" s="664">
        <f>Gen!C39</f>
        <v>32848.672000000013</v>
      </c>
      <c r="K33" s="404">
        <f>'Water-Meter'!E34</f>
        <v>0</v>
      </c>
      <c r="L33" s="665">
        <f>'Lpg (2)'!G38</f>
        <v>0</v>
      </c>
      <c r="M33" s="81" t="e">
        <f>SUM(#REF!-#REF!)</f>
        <v>#REF!</v>
      </c>
    </row>
    <row r="34" spans="1:13">
      <c r="A34" s="54">
        <f>Gen!A40</f>
        <v>43829</v>
      </c>
      <c r="B34" s="448">
        <f>'Daily report Gen'!Z35</f>
        <v>0</v>
      </c>
      <c r="C34" s="89">
        <f>Gen!B40</f>
        <v>0</v>
      </c>
      <c r="D34" s="647">
        <f t="shared" si="0"/>
        <v>0</v>
      </c>
      <c r="E34" s="76"/>
      <c r="F34" s="72">
        <f>Gen!T38</f>
        <v>0</v>
      </c>
      <c r="G34" s="87">
        <f>Gen!S38</f>
        <v>0</v>
      </c>
      <c r="H34" s="87">
        <f>Gen!AJ40</f>
        <v>0</v>
      </c>
      <c r="I34" s="87">
        <f t="shared" si="1"/>
        <v>0</v>
      </c>
      <c r="J34" s="664">
        <f>Gen!C40</f>
        <v>32848.672000000013</v>
      </c>
      <c r="K34" s="404">
        <f>'Water-Meter'!E35</f>
        <v>0</v>
      </c>
      <c r="L34" s="665">
        <f>'Lpg (2)'!G39</f>
        <v>0</v>
      </c>
      <c r="M34" s="81" t="e">
        <f>SUM(#REF!-#REF!)</f>
        <v>#REF!</v>
      </c>
    </row>
    <row r="35" spans="1:13">
      <c r="A35" s="54">
        <f>Gen!A41</f>
        <v>43830</v>
      </c>
      <c r="B35" s="448">
        <f>'Daily report Gen'!Z36</f>
        <v>0</v>
      </c>
      <c r="C35" s="89">
        <f>Gen!B41</f>
        <v>0</v>
      </c>
      <c r="D35" s="647">
        <f t="shared" si="0"/>
        <v>0</v>
      </c>
      <c r="E35" s="76"/>
      <c r="F35" s="72">
        <f>Gen!T39</f>
        <v>0</v>
      </c>
      <c r="G35" s="87">
        <f>Gen!S39</f>
        <v>0</v>
      </c>
      <c r="H35" s="87">
        <f>Gen!AJ41</f>
        <v>0</v>
      </c>
      <c r="I35" s="87">
        <f t="shared" si="1"/>
        <v>0</v>
      </c>
      <c r="J35" s="664">
        <f>Gen!C41</f>
        <v>32848.672000000013</v>
      </c>
      <c r="K35" s="404">
        <f>'Water-Meter'!E36</f>
        <v>0</v>
      </c>
      <c r="L35" s="665">
        <f>'Lpg (2)'!G40</f>
        <v>0</v>
      </c>
      <c r="M35" s="81" t="e">
        <f>SUM(#REF!-#REF!)</f>
        <v>#REF!</v>
      </c>
    </row>
    <row r="36" spans="1:13">
      <c r="A36" s="54">
        <f>Gen!A42</f>
        <v>43831</v>
      </c>
      <c r="B36" s="448">
        <f>'Daily report Gen'!Z37</f>
        <v>0</v>
      </c>
      <c r="C36" s="89">
        <f>Gen!B42</f>
        <v>0</v>
      </c>
      <c r="D36" s="647">
        <f t="shared" si="0"/>
        <v>0</v>
      </c>
      <c r="E36" s="76"/>
      <c r="F36" s="72">
        <f>Gen!T40</f>
        <v>0</v>
      </c>
      <c r="G36" s="87">
        <f>Gen!S40</f>
        <v>0</v>
      </c>
      <c r="H36" s="87">
        <f>Gen!AJ42</f>
        <v>0</v>
      </c>
      <c r="I36" s="87">
        <f t="shared" si="1"/>
        <v>0</v>
      </c>
      <c r="J36" s="664">
        <f>Gen!C42</f>
        <v>32848.672000000013</v>
      </c>
      <c r="K36" s="404">
        <f>'Water-Meter'!E37</f>
        <v>0</v>
      </c>
      <c r="L36" s="665">
        <f>'Lpg (2)'!G41</f>
        <v>0</v>
      </c>
    </row>
    <row r="38" spans="1:13">
      <c r="B38" s="85" t="e">
        <f>SUM(B5:B37)/[1]Gen!A47</f>
        <v>#REF!</v>
      </c>
      <c r="D38" s="89"/>
    </row>
    <row r="39" spans="1:13">
      <c r="B39" s="85" t="e">
        <f>SUM(B38*[1]Gen!A47)</f>
        <v>#REF!</v>
      </c>
      <c r="C39" s="85" t="e">
        <f>SUM(B39/250)</f>
        <v>#REF!</v>
      </c>
    </row>
  </sheetData>
  <mergeCells count="1">
    <mergeCell ref="A2:E2"/>
  </mergeCells>
  <pageMargins left="0.7" right="0.7" top="0.75" bottom="0.75" header="0.3" footer="0.3"/>
  <pageSetup paperSize="9" scale="61" fitToHeight="2" orientation="landscape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AC38"/>
  <sheetViews>
    <sheetView workbookViewId="0">
      <selection activeCell="G23" sqref="G23"/>
    </sheetView>
  </sheetViews>
  <sheetFormatPr defaultRowHeight="12.75"/>
  <cols>
    <col min="1" max="1" width="14.140625" customWidth="1"/>
    <col min="2" max="2" width="8.85546875" customWidth="1"/>
    <col min="3" max="3" width="13.5703125" customWidth="1"/>
    <col min="4" max="5" width="13" customWidth="1"/>
    <col min="6" max="6" width="12.42578125" customWidth="1"/>
    <col min="7" max="7" width="9.5703125" customWidth="1"/>
    <col min="8" max="8" width="10" customWidth="1"/>
    <col min="9" max="9" width="12.42578125" customWidth="1"/>
    <col min="10" max="10" width="13.42578125" customWidth="1"/>
    <col min="11" max="11" width="10.85546875" customWidth="1"/>
    <col min="12" max="12" width="12.5703125" customWidth="1"/>
    <col min="13" max="13" width="9" customWidth="1"/>
    <col min="14" max="14" width="10.28515625" customWidth="1"/>
    <col min="15" max="15" width="11.7109375" customWidth="1"/>
    <col min="16" max="16" width="8.28515625" customWidth="1"/>
    <col min="17" max="17" width="10.140625" customWidth="1"/>
    <col min="18" max="18" width="12.28515625" customWidth="1"/>
    <col min="19" max="19" width="9.140625" customWidth="1"/>
    <col min="20" max="20" width="10.42578125" customWidth="1"/>
    <col min="21" max="21" width="12.140625" customWidth="1"/>
    <col min="22" max="22" width="8.42578125" customWidth="1"/>
    <col min="23" max="23" width="10.42578125" customWidth="1"/>
    <col min="24" max="24" width="12.140625" customWidth="1"/>
    <col min="25" max="25" width="7.85546875" customWidth="1"/>
    <col min="26" max="26" width="9.140625" customWidth="1"/>
    <col min="27" max="27" width="10.85546875" customWidth="1"/>
    <col min="28" max="28" width="10.42578125" customWidth="1"/>
    <col min="29" max="29" width="11.7109375" customWidth="1"/>
  </cols>
  <sheetData>
    <row r="1" spans="1:29" ht="12.75" customHeight="1">
      <c r="A1" s="753">
        <v>43770</v>
      </c>
      <c r="B1" s="754"/>
      <c r="C1" s="754"/>
      <c r="D1" s="754"/>
      <c r="E1" s="754"/>
      <c r="F1" s="754"/>
      <c r="G1" s="754"/>
      <c r="H1" s="754"/>
      <c r="I1" s="754"/>
      <c r="J1" s="754"/>
      <c r="K1" s="754"/>
      <c r="L1" s="754"/>
      <c r="M1" s="754"/>
      <c r="N1" s="754"/>
      <c r="O1" s="754"/>
      <c r="P1" s="754"/>
      <c r="Q1" s="754"/>
      <c r="R1" s="754"/>
      <c r="S1" s="754"/>
      <c r="T1" s="754"/>
      <c r="U1" s="754"/>
      <c r="V1" s="754"/>
      <c r="W1" s="754"/>
      <c r="X1" s="754"/>
      <c r="Y1" s="754"/>
      <c r="Z1" s="754"/>
      <c r="AA1" s="754"/>
      <c r="AB1" s="754"/>
      <c r="AC1" s="20"/>
    </row>
    <row r="2" spans="1:29" ht="12" customHeight="1" thickBot="1">
      <c r="A2" s="754"/>
      <c r="B2" s="754"/>
      <c r="C2" s="754"/>
      <c r="D2" s="754"/>
      <c r="E2" s="754"/>
      <c r="F2" s="754"/>
      <c r="G2" s="754"/>
      <c r="H2" s="754"/>
      <c r="I2" s="754"/>
      <c r="J2" s="754"/>
      <c r="K2" s="754"/>
      <c r="L2" s="754"/>
      <c r="M2" s="754"/>
      <c r="N2" s="754"/>
      <c r="O2" s="754"/>
      <c r="P2" s="754"/>
      <c r="Q2" s="754"/>
      <c r="R2" s="754"/>
      <c r="S2" s="754"/>
      <c r="T2" s="754"/>
      <c r="U2" s="754"/>
      <c r="V2" s="754"/>
      <c r="W2" s="754"/>
      <c r="X2" s="754"/>
      <c r="Y2" s="754"/>
      <c r="Z2" s="754"/>
      <c r="AA2" s="754"/>
      <c r="AB2" s="754"/>
      <c r="AC2" s="20"/>
    </row>
    <row r="3" spans="1:29" ht="27.75" customHeight="1" thickBot="1">
      <c r="A3" s="20"/>
      <c r="B3" s="20"/>
      <c r="C3" s="20"/>
      <c r="D3" s="20"/>
      <c r="E3" s="20"/>
      <c r="F3" s="20"/>
      <c r="G3" s="20"/>
      <c r="H3" s="20"/>
      <c r="I3" s="40"/>
      <c r="J3" s="20"/>
      <c r="K3" s="755" t="s">
        <v>306</v>
      </c>
      <c r="L3" s="756"/>
      <c r="M3" s="757"/>
      <c r="N3" s="755" t="s">
        <v>307</v>
      </c>
      <c r="O3" s="756"/>
      <c r="P3" s="757"/>
      <c r="Q3" s="755" t="s">
        <v>308</v>
      </c>
      <c r="R3" s="756"/>
      <c r="S3" s="757"/>
      <c r="T3" s="755" t="s">
        <v>309</v>
      </c>
      <c r="U3" s="756"/>
      <c r="V3" s="757"/>
      <c r="W3" s="755" t="s">
        <v>310</v>
      </c>
      <c r="X3" s="756"/>
      <c r="Y3" s="757"/>
      <c r="Z3" s="418"/>
      <c r="AA3" s="20"/>
      <c r="AB3" s="20"/>
      <c r="AC3" s="20"/>
    </row>
    <row r="4" spans="1:29" ht="35.25" customHeight="1" thickBot="1">
      <c r="A4" s="353" t="s">
        <v>87</v>
      </c>
      <c r="B4" s="468" t="s">
        <v>88</v>
      </c>
      <c r="C4" s="468" t="s">
        <v>89</v>
      </c>
      <c r="D4" s="468" t="s">
        <v>90</v>
      </c>
      <c r="E4" s="468" t="s">
        <v>91</v>
      </c>
      <c r="F4" s="468" t="s">
        <v>244</v>
      </c>
      <c r="G4" s="469" t="s">
        <v>92</v>
      </c>
      <c r="H4" s="468" t="s">
        <v>93</v>
      </c>
      <c r="I4" s="469" t="s">
        <v>94</v>
      </c>
      <c r="J4" s="470" t="s">
        <v>95</v>
      </c>
      <c r="K4" s="471" t="s">
        <v>193</v>
      </c>
      <c r="L4" s="469" t="s">
        <v>194</v>
      </c>
      <c r="M4" s="469" t="s">
        <v>204</v>
      </c>
      <c r="N4" s="471" t="s">
        <v>193</v>
      </c>
      <c r="O4" s="469" t="s">
        <v>194</v>
      </c>
      <c r="P4" s="469" t="s">
        <v>204</v>
      </c>
      <c r="Q4" s="471" t="s">
        <v>193</v>
      </c>
      <c r="R4" s="469" t="s">
        <v>194</v>
      </c>
      <c r="S4" s="469" t="s">
        <v>204</v>
      </c>
      <c r="T4" s="471" t="s">
        <v>193</v>
      </c>
      <c r="U4" s="469" t="s">
        <v>194</v>
      </c>
      <c r="V4" s="469" t="s">
        <v>204</v>
      </c>
      <c r="W4" s="471" t="s">
        <v>193</v>
      </c>
      <c r="X4" s="469"/>
      <c r="Y4" s="470" t="s">
        <v>204</v>
      </c>
      <c r="Z4" s="472" t="s">
        <v>195</v>
      </c>
      <c r="AA4" s="468" t="s">
        <v>175</v>
      </c>
      <c r="AB4" s="473" t="s">
        <v>96</v>
      </c>
      <c r="AC4" s="474" t="s">
        <v>197</v>
      </c>
    </row>
    <row r="5" spans="1:29" ht="18.75" customHeight="1">
      <c r="A5" s="465"/>
      <c r="B5" s="467"/>
      <c r="C5" s="467">
        <v>132.54769999999999</v>
      </c>
      <c r="D5" s="467">
        <v>212.00210000000001</v>
      </c>
      <c r="E5" s="467"/>
      <c r="F5" s="467"/>
      <c r="G5" s="467"/>
      <c r="H5" s="467"/>
      <c r="I5" s="467">
        <v>295.541</v>
      </c>
      <c r="J5" s="467">
        <v>194.72300000000001</v>
      </c>
      <c r="K5" s="703"/>
      <c r="L5" s="420">
        <f>'[4]Daily report Gen'!$L$35</f>
        <v>33424</v>
      </c>
      <c r="M5" s="703"/>
      <c r="N5" s="420"/>
      <c r="O5" s="420">
        <f>'[4]Daily report Gen'!$O$35</f>
        <v>28328</v>
      </c>
      <c r="P5" s="466"/>
      <c r="Q5" s="420"/>
      <c r="R5" s="420">
        <f>'[4]Daily report Gen'!$R$35</f>
        <v>33652</v>
      </c>
      <c r="S5" s="466"/>
      <c r="T5" s="420"/>
      <c r="U5" s="420">
        <f>'[4]Daily report Gen'!$U$35</f>
        <v>31164</v>
      </c>
      <c r="V5" s="466"/>
      <c r="W5" s="420"/>
      <c r="X5" s="420">
        <f>'[4]Daily report Gen'!$X$35</f>
        <v>18739</v>
      </c>
      <c r="Y5" s="466"/>
      <c r="Z5" s="466"/>
      <c r="AA5" s="129">
        <v>332</v>
      </c>
      <c r="AB5" s="129">
        <v>171</v>
      </c>
      <c r="AC5" s="466"/>
    </row>
    <row r="6" spans="1:29" ht="20.100000000000001" customHeight="1">
      <c r="A6" s="352">
        <f>Gen!A11</f>
        <v>43800</v>
      </c>
      <c r="B6" s="467">
        <f>Gen!B11</f>
        <v>0.11700000000000001</v>
      </c>
      <c r="C6" s="420">
        <v>26362.49</v>
      </c>
      <c r="D6" s="420">
        <v>24800.21</v>
      </c>
      <c r="E6" s="420">
        <v>18000</v>
      </c>
      <c r="F6" s="420"/>
      <c r="G6" s="420">
        <v>404.63</v>
      </c>
      <c r="H6" s="420"/>
      <c r="I6" s="420">
        <v>29561.4</v>
      </c>
      <c r="J6" s="420">
        <v>19477.8</v>
      </c>
      <c r="K6" s="419">
        <f>L5</f>
        <v>33424</v>
      </c>
      <c r="L6" s="420">
        <v>33435</v>
      </c>
      <c r="M6" s="419">
        <f>L6-K6</f>
        <v>11</v>
      </c>
      <c r="N6" s="421">
        <f>O5</f>
        <v>28328</v>
      </c>
      <c r="O6" s="420">
        <v>28334</v>
      </c>
      <c r="P6" s="419">
        <f>O6-N6</f>
        <v>6</v>
      </c>
      <c r="Q6" s="419">
        <f>R5</f>
        <v>33652</v>
      </c>
      <c r="R6" s="420">
        <v>33660</v>
      </c>
      <c r="S6" s="419">
        <f>R6-Q6</f>
        <v>8</v>
      </c>
      <c r="T6" s="419">
        <f>U5</f>
        <v>31164</v>
      </c>
      <c r="U6" s="420">
        <v>31168</v>
      </c>
      <c r="V6" s="419">
        <f>U6-T6</f>
        <v>4</v>
      </c>
      <c r="W6" s="421">
        <f>X5</f>
        <v>18739</v>
      </c>
      <c r="X6" s="420">
        <v>18739</v>
      </c>
      <c r="Y6" s="419">
        <f>X6-W6</f>
        <v>0</v>
      </c>
      <c r="Z6" s="422">
        <f>Y6+V6+S6+P6+M6</f>
        <v>29</v>
      </c>
      <c r="AA6" s="129">
        <v>341</v>
      </c>
      <c r="AB6" s="129">
        <v>186</v>
      </c>
      <c r="AC6" s="361">
        <f>Gen!S11</f>
        <v>1654.6399999999999</v>
      </c>
    </row>
    <row r="7" spans="1:29" ht="20.100000000000001" customHeight="1">
      <c r="A7" s="352">
        <f>Gen!A12</f>
        <v>43801</v>
      </c>
      <c r="B7" s="467">
        <f>Gen!B12</f>
        <v>0.11700000000000001</v>
      </c>
      <c r="C7" s="420">
        <v>23363.19</v>
      </c>
      <c r="D7" s="420">
        <v>24800.21</v>
      </c>
      <c r="E7" s="420"/>
      <c r="F7" s="420"/>
      <c r="G7" s="420">
        <v>1310.5899999999999</v>
      </c>
      <c r="H7" s="420"/>
      <c r="I7" s="420">
        <v>29569.1</v>
      </c>
      <c r="J7" s="420">
        <v>19482.5</v>
      </c>
      <c r="K7" s="419">
        <f t="shared" ref="K7:K37" si="0">L6</f>
        <v>33435</v>
      </c>
      <c r="L7" s="420">
        <v>33443</v>
      </c>
      <c r="M7" s="419">
        <f t="shared" ref="M7:M37" si="1">L7-K7</f>
        <v>8</v>
      </c>
      <c r="N7" s="421">
        <f t="shared" ref="N7:N37" si="2">O6</f>
        <v>28334</v>
      </c>
      <c r="O7" s="420">
        <v>28342</v>
      </c>
      <c r="P7" s="419">
        <f t="shared" ref="P7:P37" si="3">O7-N7</f>
        <v>8</v>
      </c>
      <c r="Q7" s="419">
        <f t="shared" ref="Q7:Q37" si="4">R6</f>
        <v>33660</v>
      </c>
      <c r="R7" s="420">
        <v>33665</v>
      </c>
      <c r="S7" s="419">
        <f t="shared" ref="S7:S37" si="5">R7-Q7</f>
        <v>5</v>
      </c>
      <c r="T7" s="419">
        <f t="shared" ref="T7:T37" si="6">U6</f>
        <v>31168</v>
      </c>
      <c r="U7" s="420">
        <v>31174</v>
      </c>
      <c r="V7" s="419">
        <f t="shared" ref="V7:V37" si="7">U7-T7</f>
        <v>6</v>
      </c>
      <c r="W7" s="421">
        <f t="shared" ref="W7:W37" si="8">X6</f>
        <v>18739</v>
      </c>
      <c r="X7" s="420">
        <v>18747</v>
      </c>
      <c r="Y7" s="419">
        <f t="shared" ref="Y7:Y37" si="9">X7-W7</f>
        <v>8</v>
      </c>
      <c r="Z7" s="422">
        <f t="shared" ref="Z7:Z37" si="10">Y7+V7+S7+P7+M7</f>
        <v>35</v>
      </c>
      <c r="AA7" s="129">
        <v>361</v>
      </c>
      <c r="AB7" s="129">
        <v>179</v>
      </c>
      <c r="AC7" s="361">
        <f>Gen!S12</f>
        <v>1688.71</v>
      </c>
    </row>
    <row r="8" spans="1:29" ht="20.100000000000001" customHeight="1">
      <c r="A8" s="352">
        <f>Gen!A13</f>
        <v>43802</v>
      </c>
      <c r="B8" s="467">
        <f>Gen!B13</f>
        <v>0.182</v>
      </c>
      <c r="C8" s="420">
        <v>21661.48</v>
      </c>
      <c r="D8" s="420">
        <v>24800.21</v>
      </c>
      <c r="E8" s="420"/>
      <c r="F8" s="420"/>
      <c r="G8" s="420">
        <v>70.16</v>
      </c>
      <c r="H8" s="420"/>
      <c r="I8" s="420">
        <v>29576.1</v>
      </c>
      <c r="J8" s="420">
        <v>19487.2</v>
      </c>
      <c r="K8" s="419">
        <f t="shared" si="0"/>
        <v>33443</v>
      </c>
      <c r="L8" s="420">
        <v>33448</v>
      </c>
      <c r="M8" s="419">
        <f t="shared" si="1"/>
        <v>5</v>
      </c>
      <c r="N8" s="421">
        <f t="shared" si="2"/>
        <v>28342</v>
      </c>
      <c r="O8" s="420">
        <v>28353</v>
      </c>
      <c r="P8" s="419">
        <f t="shared" si="3"/>
        <v>11</v>
      </c>
      <c r="Q8" s="419">
        <f t="shared" si="4"/>
        <v>33665</v>
      </c>
      <c r="R8" s="420">
        <v>33665</v>
      </c>
      <c r="S8" s="419">
        <f t="shared" si="5"/>
        <v>0</v>
      </c>
      <c r="T8" s="419">
        <f t="shared" si="6"/>
        <v>31174</v>
      </c>
      <c r="U8" s="420">
        <v>31175</v>
      </c>
      <c r="V8" s="419">
        <f t="shared" si="7"/>
        <v>1</v>
      </c>
      <c r="W8" s="421">
        <f t="shared" si="8"/>
        <v>18747</v>
      </c>
      <c r="X8" s="420">
        <v>18754</v>
      </c>
      <c r="Y8" s="419">
        <f t="shared" si="9"/>
        <v>7</v>
      </c>
      <c r="Z8" s="422">
        <f t="shared" si="10"/>
        <v>24</v>
      </c>
      <c r="AA8" s="129">
        <v>321</v>
      </c>
      <c r="AB8" s="129">
        <v>169</v>
      </c>
      <c r="AC8" s="361">
        <f>Gen!S13</f>
        <v>1631.55</v>
      </c>
    </row>
    <row r="9" spans="1:29" ht="20.100000000000001" customHeight="1">
      <c r="A9" s="352">
        <f>Gen!A14</f>
        <v>43803</v>
      </c>
      <c r="B9" s="467">
        <f>Gen!B14</f>
        <v>9.0999999999999998E-2</v>
      </c>
      <c r="C9" s="420">
        <v>19437.23</v>
      </c>
      <c r="D9" s="420">
        <v>24800.21</v>
      </c>
      <c r="E9" s="420"/>
      <c r="F9" s="420"/>
      <c r="G9" s="420">
        <v>57.18</v>
      </c>
      <c r="H9" s="420"/>
      <c r="I9" s="420">
        <v>29583.4</v>
      </c>
      <c r="J9" s="420">
        <v>19491.8</v>
      </c>
      <c r="K9" s="419">
        <f t="shared" si="0"/>
        <v>33448</v>
      </c>
      <c r="L9" s="420">
        <v>33452</v>
      </c>
      <c r="M9" s="419">
        <f t="shared" si="1"/>
        <v>4</v>
      </c>
      <c r="N9" s="421">
        <f t="shared" si="2"/>
        <v>28353</v>
      </c>
      <c r="O9" s="420">
        <v>28359</v>
      </c>
      <c r="P9" s="419">
        <f t="shared" si="3"/>
        <v>6</v>
      </c>
      <c r="Q9" s="419">
        <f t="shared" si="4"/>
        <v>33665</v>
      </c>
      <c r="R9" s="420">
        <v>33668</v>
      </c>
      <c r="S9" s="419">
        <f t="shared" si="5"/>
        <v>3</v>
      </c>
      <c r="T9" s="419">
        <f t="shared" si="6"/>
        <v>31175</v>
      </c>
      <c r="U9" s="420">
        <v>31181</v>
      </c>
      <c r="V9" s="419">
        <f t="shared" si="7"/>
        <v>6</v>
      </c>
      <c r="W9" s="421">
        <f t="shared" si="8"/>
        <v>18754</v>
      </c>
      <c r="X9" s="420">
        <v>18762</v>
      </c>
      <c r="Y9" s="419">
        <f t="shared" si="9"/>
        <v>8</v>
      </c>
      <c r="Z9" s="422">
        <f t="shared" si="10"/>
        <v>27</v>
      </c>
      <c r="AA9" s="129">
        <v>318</v>
      </c>
      <c r="AB9" s="129">
        <v>170</v>
      </c>
      <c r="AC9" s="361">
        <f>Gen!S14</f>
        <v>1767.07</v>
      </c>
    </row>
    <row r="10" spans="1:29" ht="20.100000000000001" customHeight="1">
      <c r="A10" s="352">
        <f>Gen!A15</f>
        <v>43804</v>
      </c>
      <c r="B10" s="467">
        <f>Gen!B15</f>
        <v>0.104</v>
      </c>
      <c r="C10" s="420">
        <v>17645.419999999998</v>
      </c>
      <c r="D10" s="420">
        <v>24800.21</v>
      </c>
      <c r="E10" s="420"/>
      <c r="F10" s="420"/>
      <c r="G10" s="420">
        <v>213.22</v>
      </c>
      <c r="H10" s="420"/>
      <c r="I10" s="420">
        <v>29590.1</v>
      </c>
      <c r="J10" s="420">
        <v>19496.7</v>
      </c>
      <c r="K10" s="419">
        <f t="shared" si="0"/>
        <v>33452</v>
      </c>
      <c r="L10" s="420">
        <v>33452</v>
      </c>
      <c r="M10" s="419">
        <f t="shared" si="1"/>
        <v>0</v>
      </c>
      <c r="N10" s="421">
        <f t="shared" si="2"/>
        <v>28359</v>
      </c>
      <c r="O10" s="420">
        <v>28365</v>
      </c>
      <c r="P10" s="419">
        <f t="shared" si="3"/>
        <v>6</v>
      </c>
      <c r="Q10" s="419">
        <f t="shared" si="4"/>
        <v>33668</v>
      </c>
      <c r="R10" s="420">
        <v>33674</v>
      </c>
      <c r="S10" s="419">
        <f t="shared" si="5"/>
        <v>6</v>
      </c>
      <c r="T10" s="419">
        <f t="shared" si="6"/>
        <v>31181</v>
      </c>
      <c r="U10" s="420">
        <v>31188</v>
      </c>
      <c r="V10" s="419">
        <f t="shared" si="7"/>
        <v>7</v>
      </c>
      <c r="W10" s="421">
        <f t="shared" si="8"/>
        <v>18762</v>
      </c>
      <c r="X10" s="420">
        <v>18768</v>
      </c>
      <c r="Y10" s="419">
        <f t="shared" si="9"/>
        <v>6</v>
      </c>
      <c r="Z10" s="422">
        <f t="shared" si="10"/>
        <v>25</v>
      </c>
      <c r="AA10" s="129">
        <v>334</v>
      </c>
      <c r="AB10" s="129">
        <v>175</v>
      </c>
      <c r="AC10" s="361">
        <f>Gen!S15</f>
        <v>1578.5899999999997</v>
      </c>
    </row>
    <row r="11" spans="1:29" ht="20.100000000000001" customHeight="1">
      <c r="A11" s="352">
        <f>Gen!A16</f>
        <v>43805</v>
      </c>
      <c r="B11" s="467">
        <f>Gen!B16</f>
        <v>9.8000000000000004E-2</v>
      </c>
      <c r="C11" s="420">
        <v>13757.73</v>
      </c>
      <c r="D11" s="420">
        <v>24800.21</v>
      </c>
      <c r="E11" s="420"/>
      <c r="F11" s="420"/>
      <c r="G11" s="420">
        <v>2054.66</v>
      </c>
      <c r="H11" s="420"/>
      <c r="I11" s="420">
        <v>29597.1</v>
      </c>
      <c r="J11" s="420">
        <v>19501.400000000001</v>
      </c>
      <c r="K11" s="419">
        <f t="shared" si="0"/>
        <v>33452</v>
      </c>
      <c r="L11" s="420">
        <v>33459</v>
      </c>
      <c r="M11" s="419">
        <f t="shared" si="1"/>
        <v>7</v>
      </c>
      <c r="N11" s="421">
        <f t="shared" si="2"/>
        <v>28365</v>
      </c>
      <c r="O11" s="420">
        <v>28370</v>
      </c>
      <c r="P11" s="419">
        <f t="shared" si="3"/>
        <v>5</v>
      </c>
      <c r="Q11" s="419">
        <f t="shared" si="4"/>
        <v>33674</v>
      </c>
      <c r="R11" s="420">
        <v>33680</v>
      </c>
      <c r="S11" s="419">
        <f t="shared" si="5"/>
        <v>6</v>
      </c>
      <c r="T11" s="419">
        <f t="shared" si="6"/>
        <v>31188</v>
      </c>
      <c r="U11" s="420">
        <v>31189</v>
      </c>
      <c r="V11" s="419">
        <f t="shared" si="7"/>
        <v>1</v>
      </c>
      <c r="W11" s="421">
        <f t="shared" si="8"/>
        <v>18768</v>
      </c>
      <c r="X11" s="420">
        <v>18775</v>
      </c>
      <c r="Y11" s="419">
        <f t="shared" si="9"/>
        <v>7</v>
      </c>
      <c r="Z11" s="422">
        <f t="shared" si="10"/>
        <v>26</v>
      </c>
      <c r="AA11" s="129">
        <v>309</v>
      </c>
      <c r="AB11" s="129">
        <v>180</v>
      </c>
      <c r="AC11" s="361">
        <f>Gen!S16</f>
        <v>1833.0300000000002</v>
      </c>
    </row>
    <row r="12" spans="1:29" ht="20.100000000000001" customHeight="1">
      <c r="A12" s="352">
        <f>Gen!A17</f>
        <v>43806</v>
      </c>
      <c r="B12" s="467">
        <f>Gen!B17</f>
        <v>0.1555</v>
      </c>
      <c r="C12" s="420">
        <v>28083.47</v>
      </c>
      <c r="D12" s="420">
        <v>24800.21</v>
      </c>
      <c r="E12" s="420">
        <v>15000</v>
      </c>
      <c r="F12" s="420"/>
      <c r="G12" s="420">
        <v>62</v>
      </c>
      <c r="H12" s="420"/>
      <c r="I12" s="420">
        <v>29604.1</v>
      </c>
      <c r="J12" s="420">
        <v>19506.3</v>
      </c>
      <c r="K12" s="419">
        <f t="shared" si="0"/>
        <v>33459</v>
      </c>
      <c r="L12" s="420">
        <v>33467</v>
      </c>
      <c r="M12" s="419">
        <f t="shared" si="1"/>
        <v>8</v>
      </c>
      <c r="N12" s="421">
        <f t="shared" si="2"/>
        <v>28370</v>
      </c>
      <c r="O12" s="420">
        <v>28374</v>
      </c>
      <c r="P12" s="419">
        <f t="shared" si="3"/>
        <v>4</v>
      </c>
      <c r="Q12" s="419">
        <f t="shared" si="4"/>
        <v>33680</v>
      </c>
      <c r="R12" s="420">
        <v>33687</v>
      </c>
      <c r="S12" s="419">
        <f t="shared" si="5"/>
        <v>7</v>
      </c>
      <c r="T12" s="419">
        <f t="shared" si="6"/>
        <v>31189</v>
      </c>
      <c r="U12" s="420">
        <v>31196</v>
      </c>
      <c r="V12" s="419">
        <f t="shared" si="7"/>
        <v>7</v>
      </c>
      <c r="W12" s="421">
        <f t="shared" si="8"/>
        <v>18775</v>
      </c>
      <c r="X12" s="420">
        <v>18775</v>
      </c>
      <c r="Y12" s="419">
        <f t="shared" si="9"/>
        <v>0</v>
      </c>
      <c r="Z12" s="422">
        <f t="shared" si="10"/>
        <v>26</v>
      </c>
      <c r="AA12" s="129">
        <v>320</v>
      </c>
      <c r="AB12" s="129">
        <v>174</v>
      </c>
      <c r="AC12" s="361">
        <f>Gen!S17</f>
        <v>1612.2599999999998</v>
      </c>
    </row>
    <row r="13" spans="1:29" ht="20.100000000000001" customHeight="1">
      <c r="A13" s="352">
        <f>Gen!A18</f>
        <v>43807</v>
      </c>
      <c r="B13" s="467">
        <f>Gen!B18</f>
        <v>0.1038</v>
      </c>
      <c r="C13" s="420">
        <v>26488.75</v>
      </c>
      <c r="D13" s="420">
        <v>24800.21</v>
      </c>
      <c r="E13" s="420"/>
      <c r="F13" s="420"/>
      <c r="G13" s="420">
        <v>0</v>
      </c>
      <c r="H13" s="420"/>
      <c r="I13" s="420">
        <v>29610.3</v>
      </c>
      <c r="J13" s="420">
        <v>19511.2</v>
      </c>
      <c r="K13" s="419">
        <f t="shared" si="0"/>
        <v>33467</v>
      </c>
      <c r="L13" s="420">
        <v>33472</v>
      </c>
      <c r="M13" s="419">
        <f t="shared" si="1"/>
        <v>5</v>
      </c>
      <c r="N13" s="421">
        <f t="shared" si="2"/>
        <v>28374</v>
      </c>
      <c r="O13" s="420">
        <v>28374</v>
      </c>
      <c r="P13" s="419">
        <f t="shared" si="3"/>
        <v>0</v>
      </c>
      <c r="Q13" s="419">
        <f t="shared" si="4"/>
        <v>33687</v>
      </c>
      <c r="R13" s="420">
        <v>33695</v>
      </c>
      <c r="S13" s="419">
        <f t="shared" si="5"/>
        <v>8</v>
      </c>
      <c r="T13" s="419">
        <f t="shared" si="6"/>
        <v>31196</v>
      </c>
      <c r="U13" s="420">
        <v>31201</v>
      </c>
      <c r="V13" s="419">
        <f t="shared" si="7"/>
        <v>5</v>
      </c>
      <c r="W13" s="421">
        <f t="shared" si="8"/>
        <v>18775</v>
      </c>
      <c r="X13" s="420">
        <v>18782</v>
      </c>
      <c r="Y13" s="419">
        <f t="shared" si="9"/>
        <v>7</v>
      </c>
      <c r="Z13" s="422">
        <f t="shared" si="10"/>
        <v>25</v>
      </c>
      <c r="AA13" s="129">
        <v>324</v>
      </c>
      <c r="AB13" s="129">
        <v>165</v>
      </c>
      <c r="AC13" s="361">
        <f>Gen!S18</f>
        <v>1594.7199999999998</v>
      </c>
    </row>
    <row r="14" spans="1:29" ht="20.100000000000001" customHeight="1">
      <c r="A14" s="352">
        <f>Gen!A19</f>
        <v>43808</v>
      </c>
      <c r="B14" s="467">
        <f>Gen!B19</f>
        <v>0.16880000000000001</v>
      </c>
      <c r="C14" s="420">
        <v>24894.05</v>
      </c>
      <c r="D14" s="420">
        <v>24800.21</v>
      </c>
      <c r="E14" s="420"/>
      <c r="F14" s="420"/>
      <c r="G14" s="420">
        <v>177.46</v>
      </c>
      <c r="H14" s="420"/>
      <c r="I14" s="420">
        <v>29617.200000000001</v>
      </c>
      <c r="J14" s="420">
        <v>19515.3</v>
      </c>
      <c r="K14" s="419">
        <f t="shared" si="0"/>
        <v>33472</v>
      </c>
      <c r="L14" s="420">
        <v>33478</v>
      </c>
      <c r="M14" s="419">
        <f t="shared" si="1"/>
        <v>6</v>
      </c>
      <c r="N14" s="421">
        <f t="shared" si="2"/>
        <v>28374</v>
      </c>
      <c r="O14" s="420">
        <v>28379</v>
      </c>
      <c r="P14" s="419">
        <f t="shared" si="3"/>
        <v>5</v>
      </c>
      <c r="Q14" s="419">
        <f t="shared" si="4"/>
        <v>33695</v>
      </c>
      <c r="R14" s="420">
        <v>33700</v>
      </c>
      <c r="S14" s="419">
        <f t="shared" si="5"/>
        <v>5</v>
      </c>
      <c r="T14" s="419">
        <f t="shared" si="6"/>
        <v>31201</v>
      </c>
      <c r="U14" s="420">
        <v>31203</v>
      </c>
      <c r="V14" s="419">
        <f t="shared" si="7"/>
        <v>2</v>
      </c>
      <c r="W14" s="421">
        <f t="shared" si="8"/>
        <v>18782</v>
      </c>
      <c r="X14" s="420">
        <v>18789</v>
      </c>
      <c r="Y14" s="419">
        <f t="shared" si="9"/>
        <v>7</v>
      </c>
      <c r="Z14" s="422">
        <f t="shared" si="10"/>
        <v>25</v>
      </c>
      <c r="AA14" s="129">
        <v>319</v>
      </c>
      <c r="AB14" s="129">
        <v>172</v>
      </c>
      <c r="AC14" s="361">
        <f>Gen!S19</f>
        <v>1546.25</v>
      </c>
    </row>
    <row r="15" spans="1:29" ht="20.100000000000001" customHeight="1">
      <c r="A15" s="352">
        <f>Gen!A20</f>
        <v>43809</v>
      </c>
      <c r="B15" s="467">
        <f>Gen!B20</f>
        <v>0.12989999999999999</v>
      </c>
      <c r="C15" s="420">
        <v>23170.32</v>
      </c>
      <c r="D15" s="420">
        <v>24800.21</v>
      </c>
      <c r="E15" s="420"/>
      <c r="F15" s="420"/>
      <c r="G15" s="420">
        <v>13.2</v>
      </c>
      <c r="H15" s="420"/>
      <c r="I15" s="420">
        <v>29624.3</v>
      </c>
      <c r="J15" s="420">
        <v>19520.5</v>
      </c>
      <c r="K15" s="419">
        <f t="shared" si="0"/>
        <v>33478</v>
      </c>
      <c r="L15" s="420">
        <v>33486</v>
      </c>
      <c r="M15" s="419">
        <f t="shared" si="1"/>
        <v>8</v>
      </c>
      <c r="N15" s="421">
        <f t="shared" si="2"/>
        <v>28379</v>
      </c>
      <c r="O15" s="420">
        <v>28379</v>
      </c>
      <c r="P15" s="419">
        <f t="shared" si="3"/>
        <v>0</v>
      </c>
      <c r="Q15" s="419">
        <f t="shared" si="4"/>
        <v>33700</v>
      </c>
      <c r="R15" s="420">
        <v>33709</v>
      </c>
      <c r="S15" s="419">
        <f t="shared" si="5"/>
        <v>9</v>
      </c>
      <c r="T15" s="419">
        <f t="shared" si="6"/>
        <v>31203</v>
      </c>
      <c r="U15" s="420">
        <v>31209</v>
      </c>
      <c r="V15" s="419">
        <f t="shared" si="7"/>
        <v>6</v>
      </c>
      <c r="W15" s="421">
        <f t="shared" si="8"/>
        <v>18789</v>
      </c>
      <c r="X15" s="420">
        <v>18794</v>
      </c>
      <c r="Y15" s="419">
        <f t="shared" si="9"/>
        <v>5</v>
      </c>
      <c r="Z15" s="422">
        <f t="shared" si="10"/>
        <v>28</v>
      </c>
      <c r="AA15" s="129">
        <v>361</v>
      </c>
      <c r="AB15" s="129">
        <v>192</v>
      </c>
      <c r="AC15" s="361">
        <f>Gen!S20</f>
        <v>1693.96</v>
      </c>
    </row>
    <row r="16" spans="1:29" ht="20.100000000000001" customHeight="1">
      <c r="A16" s="352">
        <f>Gen!A21</f>
        <v>43810</v>
      </c>
      <c r="B16" s="467">
        <f>Gen!B21</f>
        <v>0.10390000000000001</v>
      </c>
      <c r="C16" s="420">
        <v>21208.63</v>
      </c>
      <c r="D16" s="420">
        <v>24800.21</v>
      </c>
      <c r="E16" s="420"/>
      <c r="F16" s="420"/>
      <c r="G16" s="420">
        <v>260.22000000000003</v>
      </c>
      <c r="H16" s="420"/>
      <c r="I16" s="420">
        <v>29631.599999999999</v>
      </c>
      <c r="J16" s="420">
        <v>19525.400000000001</v>
      </c>
      <c r="K16" s="419">
        <f t="shared" si="0"/>
        <v>33486</v>
      </c>
      <c r="L16" s="420">
        <v>33491</v>
      </c>
      <c r="M16" s="419">
        <f t="shared" si="1"/>
        <v>5</v>
      </c>
      <c r="N16" s="421">
        <f t="shared" si="2"/>
        <v>28379</v>
      </c>
      <c r="O16" s="420">
        <v>28386</v>
      </c>
      <c r="P16" s="419">
        <f t="shared" si="3"/>
        <v>7</v>
      </c>
      <c r="Q16" s="419">
        <f t="shared" si="4"/>
        <v>33709</v>
      </c>
      <c r="R16" s="420">
        <v>33711</v>
      </c>
      <c r="S16" s="419">
        <f t="shared" si="5"/>
        <v>2</v>
      </c>
      <c r="T16" s="419">
        <f t="shared" si="6"/>
        <v>31209</v>
      </c>
      <c r="U16" s="420">
        <v>31209</v>
      </c>
      <c r="V16" s="419">
        <f t="shared" si="7"/>
        <v>0</v>
      </c>
      <c r="W16" s="421">
        <f t="shared" si="8"/>
        <v>18794</v>
      </c>
      <c r="X16" s="420">
        <v>18802</v>
      </c>
      <c r="Y16" s="419">
        <f t="shared" si="9"/>
        <v>8</v>
      </c>
      <c r="Z16" s="422">
        <f t="shared" si="10"/>
        <v>22</v>
      </c>
      <c r="AA16" s="129">
        <v>340</v>
      </c>
      <c r="AB16" s="129">
        <v>189</v>
      </c>
      <c r="AC16" s="361">
        <f>Gen!S21</f>
        <v>1589.0299999999997</v>
      </c>
    </row>
    <row r="17" spans="1:29" ht="20.100000000000001" customHeight="1">
      <c r="A17" s="352">
        <f>Gen!A22</f>
        <v>43811</v>
      </c>
      <c r="B17" s="467">
        <f>Gen!B22</f>
        <v>0.1429</v>
      </c>
      <c r="C17" s="420">
        <v>17158.29</v>
      </c>
      <c r="D17" s="420">
        <v>24800.21</v>
      </c>
      <c r="E17" s="420"/>
      <c r="F17" s="420"/>
      <c r="G17" s="420">
        <v>389.31</v>
      </c>
      <c r="H17" s="420"/>
      <c r="I17" s="420">
        <v>29639.1</v>
      </c>
      <c r="J17" s="420">
        <v>19530.3</v>
      </c>
      <c r="K17" s="419">
        <f t="shared" si="0"/>
        <v>33491</v>
      </c>
      <c r="L17" s="420">
        <v>33492</v>
      </c>
      <c r="M17" s="419">
        <f t="shared" si="1"/>
        <v>1</v>
      </c>
      <c r="N17" s="421">
        <f t="shared" si="2"/>
        <v>28386</v>
      </c>
      <c r="O17" s="420">
        <v>28393</v>
      </c>
      <c r="P17" s="419">
        <f t="shared" si="3"/>
        <v>7</v>
      </c>
      <c r="Q17" s="419">
        <f t="shared" si="4"/>
        <v>33711</v>
      </c>
      <c r="R17" s="420">
        <v>33718</v>
      </c>
      <c r="S17" s="419">
        <f t="shared" si="5"/>
        <v>7</v>
      </c>
      <c r="T17" s="419">
        <f t="shared" si="6"/>
        <v>31209</v>
      </c>
      <c r="U17" s="420">
        <v>31215</v>
      </c>
      <c r="V17" s="419">
        <f t="shared" si="7"/>
        <v>6</v>
      </c>
      <c r="W17" s="421">
        <f t="shared" si="8"/>
        <v>18802</v>
      </c>
      <c r="X17" s="420">
        <v>18808</v>
      </c>
      <c r="Y17" s="419">
        <f t="shared" si="9"/>
        <v>6</v>
      </c>
      <c r="Z17" s="422">
        <f t="shared" si="10"/>
        <v>27</v>
      </c>
      <c r="AA17" s="129">
        <v>361</v>
      </c>
      <c r="AB17" s="129">
        <v>178</v>
      </c>
      <c r="AC17" s="361">
        <f>Gen!S22</f>
        <v>1661.0300000000002</v>
      </c>
    </row>
    <row r="18" spans="1:29" ht="20.100000000000001" customHeight="1">
      <c r="A18" s="352">
        <f>Gen!A23</f>
        <v>43812</v>
      </c>
      <c r="B18" s="467">
        <f>Gen!B23</f>
        <v>0.12989999999999999</v>
      </c>
      <c r="C18" s="420">
        <v>16161.09</v>
      </c>
      <c r="D18" s="420">
        <v>24800.21</v>
      </c>
      <c r="E18" s="420"/>
      <c r="F18" s="420"/>
      <c r="G18" s="420">
        <v>252.28</v>
      </c>
      <c r="H18" s="420"/>
      <c r="I18" s="420">
        <v>29646.7</v>
      </c>
      <c r="J18" s="420">
        <v>19535.3</v>
      </c>
      <c r="K18" s="419">
        <f t="shared" si="0"/>
        <v>33492</v>
      </c>
      <c r="L18" s="420">
        <v>33499</v>
      </c>
      <c r="M18" s="419">
        <f t="shared" si="1"/>
        <v>7</v>
      </c>
      <c r="N18" s="421">
        <f t="shared" si="2"/>
        <v>28393</v>
      </c>
      <c r="O18" s="420">
        <v>28393</v>
      </c>
      <c r="P18" s="419">
        <f t="shared" si="3"/>
        <v>0</v>
      </c>
      <c r="Q18" s="419">
        <f t="shared" si="4"/>
        <v>33718</v>
      </c>
      <c r="R18" s="420">
        <v>33725</v>
      </c>
      <c r="S18" s="419">
        <f t="shared" si="5"/>
        <v>7</v>
      </c>
      <c r="T18" s="419">
        <f t="shared" si="6"/>
        <v>31215</v>
      </c>
      <c r="U18" s="420">
        <v>31220</v>
      </c>
      <c r="V18" s="419">
        <f t="shared" si="7"/>
        <v>5</v>
      </c>
      <c r="W18" s="421">
        <f t="shared" si="8"/>
        <v>18808</v>
      </c>
      <c r="X18" s="420">
        <v>18815</v>
      </c>
      <c r="Y18" s="419">
        <f t="shared" si="9"/>
        <v>7</v>
      </c>
      <c r="Z18" s="422">
        <f t="shared" si="10"/>
        <v>26</v>
      </c>
      <c r="AA18" s="129">
        <v>370</v>
      </c>
      <c r="AB18" s="129">
        <v>185</v>
      </c>
      <c r="AC18" s="361">
        <f>Gen!S23</f>
        <v>1744.1100000000001</v>
      </c>
    </row>
    <row r="19" spans="1:29" ht="20.100000000000001" customHeight="1">
      <c r="A19" s="352">
        <f>Gen!A24</f>
        <v>43813</v>
      </c>
      <c r="B19" s="467">
        <f>Gen!B24</f>
        <v>0.1429</v>
      </c>
      <c r="C19" s="420">
        <v>14219.13</v>
      </c>
      <c r="D19" s="420">
        <v>24800.21</v>
      </c>
      <c r="E19" s="420"/>
      <c r="F19" s="420"/>
      <c r="G19" s="420">
        <v>224.4</v>
      </c>
      <c r="H19" s="420"/>
      <c r="I19" s="420">
        <v>29654.3</v>
      </c>
      <c r="J19" s="420">
        <v>19540.3</v>
      </c>
      <c r="K19" s="419">
        <f t="shared" si="0"/>
        <v>33499</v>
      </c>
      <c r="L19" s="420">
        <v>33505</v>
      </c>
      <c r="M19" s="419">
        <f t="shared" si="1"/>
        <v>6</v>
      </c>
      <c r="N19" s="421">
        <f t="shared" si="2"/>
        <v>28393</v>
      </c>
      <c r="O19" s="420">
        <v>28400</v>
      </c>
      <c r="P19" s="419">
        <f t="shared" si="3"/>
        <v>7</v>
      </c>
      <c r="Q19" s="419">
        <f t="shared" si="4"/>
        <v>33725</v>
      </c>
      <c r="R19" s="420">
        <v>33732</v>
      </c>
      <c r="S19" s="419">
        <f t="shared" si="5"/>
        <v>7</v>
      </c>
      <c r="T19" s="419">
        <f t="shared" si="6"/>
        <v>31220</v>
      </c>
      <c r="U19" s="420">
        <v>31220</v>
      </c>
      <c r="V19" s="419">
        <f t="shared" si="7"/>
        <v>0</v>
      </c>
      <c r="W19" s="421">
        <f t="shared" si="8"/>
        <v>18815</v>
      </c>
      <c r="X19" s="420">
        <v>18820</v>
      </c>
      <c r="Y19" s="419">
        <f t="shared" si="9"/>
        <v>5</v>
      </c>
      <c r="Z19" s="422">
        <f t="shared" si="10"/>
        <v>25</v>
      </c>
      <c r="AA19" s="129">
        <v>369</v>
      </c>
      <c r="AB19" s="129">
        <v>183</v>
      </c>
      <c r="AC19" s="361">
        <f>Gen!S24</f>
        <v>1718.37</v>
      </c>
    </row>
    <row r="20" spans="1:29" ht="20.100000000000001" customHeight="1">
      <c r="A20" s="352">
        <f>Gen!A25</f>
        <v>43814</v>
      </c>
      <c r="B20" s="467">
        <f>Gen!B25</f>
        <v>0.15579999999999999</v>
      </c>
      <c r="C20" s="420">
        <v>12158.8</v>
      </c>
      <c r="D20" s="420">
        <v>24800.21</v>
      </c>
      <c r="E20" s="420"/>
      <c r="F20" s="420"/>
      <c r="G20" s="420">
        <v>261.61</v>
      </c>
      <c r="H20" s="420"/>
      <c r="I20" s="420">
        <v>29662.1</v>
      </c>
      <c r="J20" s="420">
        <v>19545.3</v>
      </c>
      <c r="K20" s="419">
        <f t="shared" si="0"/>
        <v>33505</v>
      </c>
      <c r="L20" s="420">
        <v>33511</v>
      </c>
      <c r="M20" s="419">
        <f t="shared" si="1"/>
        <v>6</v>
      </c>
      <c r="N20" s="421">
        <f t="shared" si="2"/>
        <v>28400</v>
      </c>
      <c r="O20" s="420">
        <v>28407</v>
      </c>
      <c r="P20" s="419">
        <f t="shared" si="3"/>
        <v>7</v>
      </c>
      <c r="Q20" s="419">
        <f t="shared" si="4"/>
        <v>33732</v>
      </c>
      <c r="R20" s="420">
        <v>33738</v>
      </c>
      <c r="S20" s="419">
        <f t="shared" si="5"/>
        <v>6</v>
      </c>
      <c r="T20" s="419">
        <f t="shared" si="6"/>
        <v>31220</v>
      </c>
      <c r="U20" s="420">
        <v>31228</v>
      </c>
      <c r="V20" s="419">
        <f t="shared" si="7"/>
        <v>8</v>
      </c>
      <c r="W20" s="421">
        <f t="shared" si="8"/>
        <v>18820</v>
      </c>
      <c r="X20" s="420">
        <v>18821</v>
      </c>
      <c r="Y20" s="419">
        <f t="shared" si="9"/>
        <v>1</v>
      </c>
      <c r="Z20" s="422">
        <f t="shared" si="10"/>
        <v>28</v>
      </c>
      <c r="AA20" s="129">
        <v>358</v>
      </c>
      <c r="AB20" s="129">
        <v>181</v>
      </c>
      <c r="AC20" s="361">
        <f>Gen!S25</f>
        <v>1798.7200000000003</v>
      </c>
    </row>
    <row r="21" spans="1:29" ht="20.100000000000001" customHeight="1">
      <c r="A21" s="352">
        <f>Gen!A26</f>
        <v>43815</v>
      </c>
      <c r="B21" s="467">
        <f>Gen!B26</f>
        <v>0.15579999999999999</v>
      </c>
      <c r="C21" s="420">
        <v>10098.469999999999</v>
      </c>
      <c r="D21" s="420">
        <v>24800.21</v>
      </c>
      <c r="E21" s="420"/>
      <c r="F21" s="420"/>
      <c r="G21" s="420">
        <v>104.11</v>
      </c>
      <c r="H21" s="420"/>
      <c r="I21" s="420">
        <v>29669.5</v>
      </c>
      <c r="J21" s="420">
        <v>19550.400000000001</v>
      </c>
      <c r="K21" s="419">
        <f t="shared" si="0"/>
        <v>33511</v>
      </c>
      <c r="L21" s="420">
        <v>33515</v>
      </c>
      <c r="M21" s="419">
        <f t="shared" si="1"/>
        <v>4</v>
      </c>
      <c r="N21" s="421">
        <f t="shared" si="2"/>
        <v>28407</v>
      </c>
      <c r="O21" s="420">
        <v>28414</v>
      </c>
      <c r="P21" s="419">
        <f t="shared" si="3"/>
        <v>7</v>
      </c>
      <c r="Q21" s="419">
        <f t="shared" si="4"/>
        <v>33738</v>
      </c>
      <c r="R21" s="420">
        <v>33746</v>
      </c>
      <c r="S21" s="419">
        <f t="shared" si="5"/>
        <v>8</v>
      </c>
      <c r="T21" s="419">
        <f t="shared" si="6"/>
        <v>31228</v>
      </c>
      <c r="U21" s="420">
        <v>31237</v>
      </c>
      <c r="V21" s="419">
        <f t="shared" si="7"/>
        <v>9</v>
      </c>
      <c r="W21" s="421">
        <f t="shared" si="8"/>
        <v>18821</v>
      </c>
      <c r="X21" s="420">
        <v>18828</v>
      </c>
      <c r="Y21" s="419">
        <f t="shared" si="9"/>
        <v>7</v>
      </c>
      <c r="Z21" s="422">
        <f t="shared" si="10"/>
        <v>35</v>
      </c>
      <c r="AA21" s="129">
        <v>362</v>
      </c>
      <c r="AB21" s="129">
        <v>179</v>
      </c>
      <c r="AC21" s="361">
        <f>Gen!S26</f>
        <v>1811.63</v>
      </c>
    </row>
    <row r="22" spans="1:29" ht="18.75" customHeight="1">
      <c r="A22" s="352">
        <f>Gen!A27</f>
        <v>43816</v>
      </c>
      <c r="B22" s="467">
        <f>Gen!B27</f>
        <v>0.36359999999999998</v>
      </c>
      <c r="C22" s="420">
        <v>8182.73</v>
      </c>
      <c r="D22" s="420">
        <v>24800.21</v>
      </c>
      <c r="E22" s="420"/>
      <c r="F22" s="420"/>
      <c r="G22" s="420">
        <v>210.14</v>
      </c>
      <c r="H22" s="420"/>
      <c r="I22" s="420">
        <v>29678.1</v>
      </c>
      <c r="J22" s="420">
        <v>19556.099999999999</v>
      </c>
      <c r="K22" s="419">
        <f t="shared" si="0"/>
        <v>33515</v>
      </c>
      <c r="L22" s="420">
        <v>33521</v>
      </c>
      <c r="M22" s="419">
        <f t="shared" si="1"/>
        <v>6</v>
      </c>
      <c r="N22" s="421">
        <f t="shared" si="2"/>
        <v>28414</v>
      </c>
      <c r="O22" s="420">
        <v>28423</v>
      </c>
      <c r="P22" s="419">
        <f t="shared" si="3"/>
        <v>9</v>
      </c>
      <c r="Q22" s="419">
        <f t="shared" si="4"/>
        <v>33746</v>
      </c>
      <c r="R22" s="420">
        <v>33757</v>
      </c>
      <c r="S22" s="419">
        <f t="shared" si="5"/>
        <v>11</v>
      </c>
      <c r="T22" s="419">
        <f t="shared" si="6"/>
        <v>31237</v>
      </c>
      <c r="U22" s="420">
        <v>31238</v>
      </c>
      <c r="V22" s="419">
        <f t="shared" si="7"/>
        <v>1</v>
      </c>
      <c r="W22" s="421">
        <f t="shared" si="8"/>
        <v>18828</v>
      </c>
      <c r="X22" s="420">
        <v>18838</v>
      </c>
      <c r="Y22" s="419">
        <f t="shared" si="9"/>
        <v>10</v>
      </c>
      <c r="Z22" s="422">
        <f t="shared" si="10"/>
        <v>37</v>
      </c>
      <c r="AA22" s="129">
        <v>359</v>
      </c>
      <c r="AB22" s="129">
        <v>166</v>
      </c>
      <c r="AC22" s="361">
        <f>Gen!S27</f>
        <v>1984.46</v>
      </c>
    </row>
    <row r="23" spans="1:29" ht="20.100000000000001" customHeight="1">
      <c r="A23" s="352">
        <f>Gen!A28</f>
        <v>43817</v>
      </c>
      <c r="B23" s="467">
        <f>Gen!B28</f>
        <v>0.35049999999999998</v>
      </c>
      <c r="C23" s="420"/>
      <c r="D23" s="420">
        <v>21800.21</v>
      </c>
      <c r="E23" s="420"/>
      <c r="F23" s="420"/>
      <c r="G23" s="420"/>
      <c r="H23" s="420"/>
      <c r="I23" s="420"/>
      <c r="J23" s="420"/>
      <c r="K23" s="419">
        <f t="shared" si="0"/>
        <v>33521</v>
      </c>
      <c r="L23" s="420"/>
      <c r="M23" s="419">
        <f t="shared" si="1"/>
        <v>-33521</v>
      </c>
      <c r="N23" s="421">
        <f t="shared" si="2"/>
        <v>28423</v>
      </c>
      <c r="O23" s="420"/>
      <c r="P23" s="419">
        <f t="shared" si="3"/>
        <v>-28423</v>
      </c>
      <c r="Q23" s="419">
        <f t="shared" si="4"/>
        <v>33757</v>
      </c>
      <c r="R23" s="420"/>
      <c r="S23" s="419">
        <f t="shared" si="5"/>
        <v>-33757</v>
      </c>
      <c r="T23" s="419">
        <f t="shared" si="6"/>
        <v>31238</v>
      </c>
      <c r="U23" s="420"/>
      <c r="V23" s="419">
        <f t="shared" si="7"/>
        <v>-31238</v>
      </c>
      <c r="W23" s="421">
        <f t="shared" si="8"/>
        <v>18838</v>
      </c>
      <c r="X23" s="420"/>
      <c r="Y23" s="419">
        <f t="shared" si="9"/>
        <v>-18838</v>
      </c>
      <c r="Z23" s="422">
        <f t="shared" si="10"/>
        <v>-145777</v>
      </c>
      <c r="AA23" s="129"/>
      <c r="AB23" s="129"/>
      <c r="AC23" s="361">
        <f>Gen!S28</f>
        <v>0</v>
      </c>
    </row>
    <row r="24" spans="1:29" ht="20.100000000000001" customHeight="1">
      <c r="A24" s="352">
        <f>Gen!A29</f>
        <v>43818</v>
      </c>
      <c r="B24" s="467">
        <f>Gen!B29</f>
        <v>0</v>
      </c>
      <c r="C24" s="420"/>
      <c r="D24" s="420"/>
      <c r="E24" s="420"/>
      <c r="F24" s="420"/>
      <c r="G24" s="420"/>
      <c r="H24" s="420"/>
      <c r="I24" s="420"/>
      <c r="J24" s="420"/>
      <c r="K24" s="419">
        <f t="shared" si="0"/>
        <v>0</v>
      </c>
      <c r="L24" s="420"/>
      <c r="M24" s="419">
        <f t="shared" si="1"/>
        <v>0</v>
      </c>
      <c r="N24" s="421">
        <f t="shared" si="2"/>
        <v>0</v>
      </c>
      <c r="O24" s="420"/>
      <c r="P24" s="419">
        <f t="shared" si="3"/>
        <v>0</v>
      </c>
      <c r="Q24" s="419">
        <f t="shared" si="4"/>
        <v>0</v>
      </c>
      <c r="R24" s="420"/>
      <c r="S24" s="419">
        <f t="shared" si="5"/>
        <v>0</v>
      </c>
      <c r="T24" s="419">
        <f t="shared" si="6"/>
        <v>0</v>
      </c>
      <c r="U24" s="420"/>
      <c r="V24" s="419">
        <f t="shared" si="7"/>
        <v>0</v>
      </c>
      <c r="W24" s="421">
        <f t="shared" si="8"/>
        <v>0</v>
      </c>
      <c r="X24" s="420"/>
      <c r="Y24" s="419">
        <f t="shared" si="9"/>
        <v>0</v>
      </c>
      <c r="Z24" s="422">
        <f t="shared" si="10"/>
        <v>0</v>
      </c>
      <c r="AA24" s="129"/>
      <c r="AB24" s="129"/>
      <c r="AC24" s="361">
        <f>Gen!S29</f>
        <v>0</v>
      </c>
    </row>
    <row r="25" spans="1:29" ht="18.75" customHeight="1">
      <c r="A25" s="352">
        <f>Gen!A30</f>
        <v>43819</v>
      </c>
      <c r="B25" s="467">
        <f>Gen!B30</f>
        <v>0</v>
      </c>
      <c r="C25" s="420"/>
      <c r="D25" s="420"/>
      <c r="E25" s="420"/>
      <c r="F25" s="420"/>
      <c r="G25" s="420"/>
      <c r="H25" s="420"/>
      <c r="I25" s="420"/>
      <c r="J25" s="420"/>
      <c r="K25" s="419">
        <f t="shared" si="0"/>
        <v>0</v>
      </c>
      <c r="L25" s="420"/>
      <c r="M25" s="419">
        <f t="shared" si="1"/>
        <v>0</v>
      </c>
      <c r="N25" s="421">
        <f t="shared" si="2"/>
        <v>0</v>
      </c>
      <c r="O25" s="420"/>
      <c r="P25" s="419">
        <f t="shared" si="3"/>
        <v>0</v>
      </c>
      <c r="Q25" s="419">
        <f t="shared" si="4"/>
        <v>0</v>
      </c>
      <c r="R25" s="420"/>
      <c r="S25" s="419">
        <f t="shared" si="5"/>
        <v>0</v>
      </c>
      <c r="T25" s="419">
        <f t="shared" si="6"/>
        <v>0</v>
      </c>
      <c r="U25" s="420"/>
      <c r="V25" s="419">
        <f t="shared" si="7"/>
        <v>0</v>
      </c>
      <c r="W25" s="421">
        <f t="shared" si="8"/>
        <v>0</v>
      </c>
      <c r="X25" s="420"/>
      <c r="Y25" s="419">
        <f t="shared" si="9"/>
        <v>0</v>
      </c>
      <c r="Z25" s="422">
        <f t="shared" si="10"/>
        <v>0</v>
      </c>
      <c r="AA25" s="129"/>
      <c r="AB25" s="129"/>
      <c r="AC25" s="361">
        <f>Gen!S30</f>
        <v>0</v>
      </c>
    </row>
    <row r="26" spans="1:29" ht="20.100000000000001" customHeight="1">
      <c r="A26" s="352">
        <f>Gen!A31</f>
        <v>43820</v>
      </c>
      <c r="B26" s="467">
        <f>Gen!B31</f>
        <v>0</v>
      </c>
      <c r="C26" s="420"/>
      <c r="D26" s="420"/>
      <c r="E26" s="420"/>
      <c r="F26" s="420"/>
      <c r="G26" s="420"/>
      <c r="H26" s="420"/>
      <c r="I26" s="420"/>
      <c r="J26" s="420"/>
      <c r="K26" s="419">
        <f t="shared" si="0"/>
        <v>0</v>
      </c>
      <c r="L26" s="420"/>
      <c r="M26" s="419">
        <f t="shared" si="1"/>
        <v>0</v>
      </c>
      <c r="N26" s="421">
        <f t="shared" si="2"/>
        <v>0</v>
      </c>
      <c r="O26" s="420"/>
      <c r="P26" s="419">
        <f t="shared" si="3"/>
        <v>0</v>
      </c>
      <c r="Q26" s="419">
        <f t="shared" si="4"/>
        <v>0</v>
      </c>
      <c r="R26" s="420"/>
      <c r="S26" s="419">
        <f t="shared" si="5"/>
        <v>0</v>
      </c>
      <c r="T26" s="419">
        <f t="shared" si="6"/>
        <v>0</v>
      </c>
      <c r="U26" s="420"/>
      <c r="V26" s="419">
        <f t="shared" si="7"/>
        <v>0</v>
      </c>
      <c r="W26" s="421">
        <f t="shared" si="8"/>
        <v>0</v>
      </c>
      <c r="X26" s="420"/>
      <c r="Y26" s="419">
        <f t="shared" si="9"/>
        <v>0</v>
      </c>
      <c r="Z26" s="422">
        <f t="shared" si="10"/>
        <v>0</v>
      </c>
      <c r="AA26" s="129"/>
      <c r="AB26" s="129"/>
      <c r="AC26" s="361">
        <f>Gen!S31</f>
        <v>0</v>
      </c>
    </row>
    <row r="27" spans="1:29" ht="20.100000000000001" customHeight="1">
      <c r="A27" s="352">
        <f>Gen!A32</f>
        <v>43821</v>
      </c>
      <c r="B27" s="467">
        <f>Gen!B32</f>
        <v>0</v>
      </c>
      <c r="C27" s="420"/>
      <c r="D27" s="420"/>
      <c r="E27" s="420"/>
      <c r="F27" s="420"/>
      <c r="G27" s="420"/>
      <c r="H27" s="420"/>
      <c r="I27" s="420"/>
      <c r="J27" s="420"/>
      <c r="K27" s="419">
        <f t="shared" si="0"/>
        <v>0</v>
      </c>
      <c r="L27" s="420"/>
      <c r="M27" s="419">
        <f t="shared" si="1"/>
        <v>0</v>
      </c>
      <c r="N27" s="421">
        <f t="shared" si="2"/>
        <v>0</v>
      </c>
      <c r="O27" s="420"/>
      <c r="P27" s="419">
        <f t="shared" si="3"/>
        <v>0</v>
      </c>
      <c r="Q27" s="419">
        <f t="shared" si="4"/>
        <v>0</v>
      </c>
      <c r="R27" s="420"/>
      <c r="S27" s="419">
        <f t="shared" si="5"/>
        <v>0</v>
      </c>
      <c r="T27" s="419">
        <f t="shared" si="6"/>
        <v>0</v>
      </c>
      <c r="U27" s="420"/>
      <c r="V27" s="419">
        <f t="shared" si="7"/>
        <v>0</v>
      </c>
      <c r="W27" s="421">
        <f t="shared" si="8"/>
        <v>0</v>
      </c>
      <c r="X27" s="420"/>
      <c r="Y27" s="419">
        <f t="shared" si="9"/>
        <v>0</v>
      </c>
      <c r="Z27" s="422">
        <f t="shared" si="10"/>
        <v>0</v>
      </c>
      <c r="AA27" s="129"/>
      <c r="AB27" s="129"/>
      <c r="AC27" s="361">
        <f>Gen!S32</f>
        <v>0</v>
      </c>
    </row>
    <row r="28" spans="1:29" ht="20.100000000000001" customHeight="1">
      <c r="A28" s="352">
        <f>Gen!A33</f>
        <v>43822</v>
      </c>
      <c r="B28" s="467">
        <f>Gen!B33</f>
        <v>0</v>
      </c>
      <c r="C28" s="420"/>
      <c r="D28" s="420"/>
      <c r="E28" s="420"/>
      <c r="F28" s="420"/>
      <c r="G28" s="420"/>
      <c r="H28" s="420"/>
      <c r="I28" s="420"/>
      <c r="J28" s="420"/>
      <c r="K28" s="419">
        <f t="shared" si="0"/>
        <v>0</v>
      </c>
      <c r="L28" s="420"/>
      <c r="M28" s="419">
        <f t="shared" si="1"/>
        <v>0</v>
      </c>
      <c r="N28" s="421">
        <f t="shared" si="2"/>
        <v>0</v>
      </c>
      <c r="O28" s="420"/>
      <c r="P28" s="419">
        <f t="shared" si="3"/>
        <v>0</v>
      </c>
      <c r="Q28" s="419">
        <f t="shared" si="4"/>
        <v>0</v>
      </c>
      <c r="R28" s="420"/>
      <c r="S28" s="419">
        <f t="shared" si="5"/>
        <v>0</v>
      </c>
      <c r="T28" s="419">
        <f t="shared" si="6"/>
        <v>0</v>
      </c>
      <c r="U28" s="420"/>
      <c r="V28" s="419">
        <f t="shared" si="7"/>
        <v>0</v>
      </c>
      <c r="W28" s="421">
        <f t="shared" si="8"/>
        <v>0</v>
      </c>
      <c r="X28" s="420"/>
      <c r="Y28" s="419">
        <f t="shared" si="9"/>
        <v>0</v>
      </c>
      <c r="Z28" s="422">
        <f t="shared" si="10"/>
        <v>0</v>
      </c>
      <c r="AA28" s="129"/>
      <c r="AB28" s="129"/>
      <c r="AC28" s="361">
        <f>Gen!S33</f>
        <v>0</v>
      </c>
    </row>
    <row r="29" spans="1:29" ht="20.100000000000001" customHeight="1">
      <c r="A29" s="352">
        <f>Gen!A34</f>
        <v>43823</v>
      </c>
      <c r="B29" s="467">
        <f>Gen!B34</f>
        <v>0</v>
      </c>
      <c r="C29" s="420"/>
      <c r="D29" s="420"/>
      <c r="E29" s="420"/>
      <c r="F29" s="420"/>
      <c r="G29" s="420"/>
      <c r="H29" s="420"/>
      <c r="I29" s="420"/>
      <c r="J29" s="420"/>
      <c r="K29" s="419">
        <f t="shared" si="0"/>
        <v>0</v>
      </c>
      <c r="L29" s="420"/>
      <c r="M29" s="419">
        <f t="shared" si="1"/>
        <v>0</v>
      </c>
      <c r="N29" s="421">
        <f t="shared" si="2"/>
        <v>0</v>
      </c>
      <c r="O29" s="420"/>
      <c r="P29" s="419">
        <f t="shared" si="3"/>
        <v>0</v>
      </c>
      <c r="Q29" s="419">
        <f t="shared" si="4"/>
        <v>0</v>
      </c>
      <c r="R29" s="420"/>
      <c r="S29" s="419">
        <f t="shared" si="5"/>
        <v>0</v>
      </c>
      <c r="T29" s="419">
        <f t="shared" si="6"/>
        <v>0</v>
      </c>
      <c r="U29" s="420"/>
      <c r="V29" s="419">
        <f t="shared" si="7"/>
        <v>0</v>
      </c>
      <c r="W29" s="421">
        <f t="shared" si="8"/>
        <v>0</v>
      </c>
      <c r="X29" s="420"/>
      <c r="Y29" s="419">
        <f t="shared" si="9"/>
        <v>0</v>
      </c>
      <c r="Z29" s="422">
        <f t="shared" si="10"/>
        <v>0</v>
      </c>
      <c r="AA29" s="129"/>
      <c r="AB29" s="129"/>
      <c r="AC29" s="361">
        <f>Gen!S34</f>
        <v>0</v>
      </c>
    </row>
    <row r="30" spans="1:29" ht="20.100000000000001" customHeight="1">
      <c r="A30" s="352">
        <f>Gen!A35</f>
        <v>43824</v>
      </c>
      <c r="B30" s="467">
        <f>Gen!B35</f>
        <v>0</v>
      </c>
      <c r="C30" s="420"/>
      <c r="D30" s="420"/>
      <c r="E30" s="420"/>
      <c r="F30" s="420"/>
      <c r="G30" s="420"/>
      <c r="H30" s="420"/>
      <c r="I30" s="420"/>
      <c r="J30" s="420"/>
      <c r="K30" s="419">
        <f t="shared" si="0"/>
        <v>0</v>
      </c>
      <c r="L30" s="420"/>
      <c r="M30" s="419">
        <f t="shared" si="1"/>
        <v>0</v>
      </c>
      <c r="N30" s="421">
        <f t="shared" si="2"/>
        <v>0</v>
      </c>
      <c r="O30" s="420"/>
      <c r="P30" s="419">
        <f t="shared" si="3"/>
        <v>0</v>
      </c>
      <c r="Q30" s="419">
        <f t="shared" si="4"/>
        <v>0</v>
      </c>
      <c r="R30" s="420"/>
      <c r="S30" s="419">
        <f t="shared" si="5"/>
        <v>0</v>
      </c>
      <c r="T30" s="419">
        <f t="shared" si="6"/>
        <v>0</v>
      </c>
      <c r="U30" s="420"/>
      <c r="V30" s="419">
        <f t="shared" si="7"/>
        <v>0</v>
      </c>
      <c r="W30" s="421">
        <f t="shared" si="8"/>
        <v>0</v>
      </c>
      <c r="X30" s="420"/>
      <c r="Y30" s="419">
        <f t="shared" si="9"/>
        <v>0</v>
      </c>
      <c r="Z30" s="422">
        <f t="shared" si="10"/>
        <v>0</v>
      </c>
      <c r="AA30" s="129"/>
      <c r="AB30" s="129"/>
      <c r="AC30" s="361">
        <f>Gen!S35</f>
        <v>0</v>
      </c>
    </row>
    <row r="31" spans="1:29" ht="20.100000000000001" customHeight="1">
      <c r="A31" s="352">
        <f>Gen!A36</f>
        <v>43825</v>
      </c>
      <c r="B31" s="467">
        <f>Gen!B36</f>
        <v>0</v>
      </c>
      <c r="C31" s="420"/>
      <c r="D31" s="420"/>
      <c r="E31" s="420"/>
      <c r="F31" s="420"/>
      <c r="G31" s="420"/>
      <c r="H31" s="420"/>
      <c r="I31" s="420"/>
      <c r="J31" s="420"/>
      <c r="K31" s="419">
        <f t="shared" si="0"/>
        <v>0</v>
      </c>
      <c r="L31" s="420"/>
      <c r="M31" s="419">
        <f t="shared" si="1"/>
        <v>0</v>
      </c>
      <c r="N31" s="421">
        <f t="shared" si="2"/>
        <v>0</v>
      </c>
      <c r="O31" s="420"/>
      <c r="P31" s="419">
        <f t="shared" si="3"/>
        <v>0</v>
      </c>
      <c r="Q31" s="419">
        <f t="shared" si="4"/>
        <v>0</v>
      </c>
      <c r="R31" s="420"/>
      <c r="S31" s="419">
        <f t="shared" si="5"/>
        <v>0</v>
      </c>
      <c r="T31" s="419">
        <f t="shared" si="6"/>
        <v>0</v>
      </c>
      <c r="U31" s="420"/>
      <c r="V31" s="419">
        <f t="shared" si="7"/>
        <v>0</v>
      </c>
      <c r="W31" s="421">
        <f t="shared" si="8"/>
        <v>0</v>
      </c>
      <c r="X31" s="420"/>
      <c r="Y31" s="419">
        <f t="shared" si="9"/>
        <v>0</v>
      </c>
      <c r="Z31" s="422">
        <f t="shared" si="10"/>
        <v>0</v>
      </c>
      <c r="AA31" s="129"/>
      <c r="AB31" s="129"/>
      <c r="AC31" s="361">
        <f>Gen!S36</f>
        <v>0</v>
      </c>
    </row>
    <row r="32" spans="1:29" ht="20.100000000000001" customHeight="1">
      <c r="A32" s="352">
        <f>Gen!A37</f>
        <v>43826</v>
      </c>
      <c r="B32" s="467">
        <f>Gen!B37</f>
        <v>0</v>
      </c>
      <c r="C32" s="420"/>
      <c r="D32" s="420"/>
      <c r="E32" s="420"/>
      <c r="F32" s="420"/>
      <c r="G32" s="420"/>
      <c r="H32" s="420"/>
      <c r="I32" s="420"/>
      <c r="J32" s="420"/>
      <c r="K32" s="419">
        <f t="shared" si="0"/>
        <v>0</v>
      </c>
      <c r="L32" s="420"/>
      <c r="M32" s="419">
        <f t="shared" si="1"/>
        <v>0</v>
      </c>
      <c r="N32" s="421">
        <f t="shared" si="2"/>
        <v>0</v>
      </c>
      <c r="O32" s="420"/>
      <c r="P32" s="419">
        <f t="shared" si="3"/>
        <v>0</v>
      </c>
      <c r="Q32" s="419">
        <f t="shared" si="4"/>
        <v>0</v>
      </c>
      <c r="R32" s="420"/>
      <c r="S32" s="419">
        <f t="shared" si="5"/>
        <v>0</v>
      </c>
      <c r="T32" s="419">
        <f t="shared" si="6"/>
        <v>0</v>
      </c>
      <c r="U32" s="420"/>
      <c r="V32" s="419">
        <f t="shared" si="7"/>
        <v>0</v>
      </c>
      <c r="W32" s="421">
        <f t="shared" si="8"/>
        <v>0</v>
      </c>
      <c r="X32" s="420"/>
      <c r="Y32" s="419">
        <f t="shared" si="9"/>
        <v>0</v>
      </c>
      <c r="Z32" s="422">
        <f t="shared" si="10"/>
        <v>0</v>
      </c>
      <c r="AA32" s="129"/>
      <c r="AB32" s="129"/>
      <c r="AC32" s="361">
        <f>Gen!S37</f>
        <v>0</v>
      </c>
    </row>
    <row r="33" spans="1:29" ht="20.100000000000001" customHeight="1">
      <c r="A33" s="352">
        <f>Gen!A38</f>
        <v>43827</v>
      </c>
      <c r="B33" s="467">
        <f>Gen!B38</f>
        <v>0</v>
      </c>
      <c r="C33" s="420"/>
      <c r="D33" s="420"/>
      <c r="E33" s="420"/>
      <c r="F33" s="420"/>
      <c r="G33" s="420"/>
      <c r="H33" s="420"/>
      <c r="I33" s="420"/>
      <c r="J33" s="420"/>
      <c r="K33" s="419">
        <f t="shared" si="0"/>
        <v>0</v>
      </c>
      <c r="L33" s="420"/>
      <c r="M33" s="419">
        <f t="shared" si="1"/>
        <v>0</v>
      </c>
      <c r="N33" s="421">
        <f t="shared" si="2"/>
        <v>0</v>
      </c>
      <c r="O33" s="420"/>
      <c r="P33" s="419">
        <f t="shared" si="3"/>
        <v>0</v>
      </c>
      <c r="Q33" s="419">
        <f t="shared" si="4"/>
        <v>0</v>
      </c>
      <c r="R33" s="420"/>
      <c r="S33" s="419">
        <f t="shared" si="5"/>
        <v>0</v>
      </c>
      <c r="T33" s="419">
        <f t="shared" si="6"/>
        <v>0</v>
      </c>
      <c r="U33" s="420"/>
      <c r="V33" s="419">
        <f t="shared" si="7"/>
        <v>0</v>
      </c>
      <c r="W33" s="421">
        <f t="shared" si="8"/>
        <v>0</v>
      </c>
      <c r="X33" s="420"/>
      <c r="Y33" s="419">
        <f t="shared" si="9"/>
        <v>0</v>
      </c>
      <c r="Z33" s="422">
        <f t="shared" si="10"/>
        <v>0</v>
      </c>
      <c r="AA33" s="129"/>
      <c r="AB33" s="129"/>
      <c r="AC33" s="361">
        <f>Gen!S38</f>
        <v>0</v>
      </c>
    </row>
    <row r="34" spans="1:29" ht="20.100000000000001" customHeight="1">
      <c r="A34" s="352">
        <f>Gen!A39</f>
        <v>43828</v>
      </c>
      <c r="B34" s="467">
        <f>Gen!B39</f>
        <v>0</v>
      </c>
      <c r="C34" s="420"/>
      <c r="D34" s="420"/>
      <c r="E34" s="420"/>
      <c r="F34" s="420"/>
      <c r="G34" s="420"/>
      <c r="H34" s="420"/>
      <c r="I34" s="420"/>
      <c r="J34" s="420"/>
      <c r="K34" s="419">
        <f t="shared" si="0"/>
        <v>0</v>
      </c>
      <c r="L34" s="420"/>
      <c r="M34" s="419">
        <f t="shared" si="1"/>
        <v>0</v>
      </c>
      <c r="N34" s="421">
        <f t="shared" si="2"/>
        <v>0</v>
      </c>
      <c r="O34" s="420"/>
      <c r="P34" s="419">
        <f t="shared" si="3"/>
        <v>0</v>
      </c>
      <c r="Q34" s="419">
        <f t="shared" si="4"/>
        <v>0</v>
      </c>
      <c r="R34" s="420"/>
      <c r="S34" s="419">
        <f t="shared" si="5"/>
        <v>0</v>
      </c>
      <c r="T34" s="419">
        <f t="shared" si="6"/>
        <v>0</v>
      </c>
      <c r="U34" s="420"/>
      <c r="V34" s="419">
        <f t="shared" si="7"/>
        <v>0</v>
      </c>
      <c r="W34" s="421">
        <f t="shared" si="8"/>
        <v>0</v>
      </c>
      <c r="X34" s="420"/>
      <c r="Y34" s="419">
        <f t="shared" si="9"/>
        <v>0</v>
      </c>
      <c r="Z34" s="422">
        <f t="shared" si="10"/>
        <v>0</v>
      </c>
      <c r="AA34" s="129"/>
      <c r="AB34" s="129"/>
      <c r="AC34" s="361">
        <f>Gen!S39</f>
        <v>0</v>
      </c>
    </row>
    <row r="35" spans="1:29" ht="20.100000000000001" customHeight="1">
      <c r="A35" s="352">
        <f>Gen!A40</f>
        <v>43829</v>
      </c>
      <c r="B35" s="467">
        <f>Gen!B40</f>
        <v>0</v>
      </c>
      <c r="C35" s="420"/>
      <c r="D35" s="420"/>
      <c r="E35" s="420"/>
      <c r="F35" s="420"/>
      <c r="G35" s="420"/>
      <c r="H35" s="420"/>
      <c r="I35" s="420"/>
      <c r="J35" s="420"/>
      <c r="K35" s="419">
        <f t="shared" si="0"/>
        <v>0</v>
      </c>
      <c r="L35" s="420"/>
      <c r="M35" s="419">
        <f t="shared" si="1"/>
        <v>0</v>
      </c>
      <c r="N35" s="421">
        <f t="shared" si="2"/>
        <v>0</v>
      </c>
      <c r="O35" s="420"/>
      <c r="P35" s="419">
        <f t="shared" si="3"/>
        <v>0</v>
      </c>
      <c r="Q35" s="419">
        <f t="shared" si="4"/>
        <v>0</v>
      </c>
      <c r="R35" s="420"/>
      <c r="S35" s="419">
        <f t="shared" si="5"/>
        <v>0</v>
      </c>
      <c r="T35" s="419">
        <f t="shared" si="6"/>
        <v>0</v>
      </c>
      <c r="U35" s="420"/>
      <c r="V35" s="419">
        <f t="shared" si="7"/>
        <v>0</v>
      </c>
      <c r="W35" s="421">
        <f t="shared" si="8"/>
        <v>0</v>
      </c>
      <c r="X35" s="420"/>
      <c r="Y35" s="419">
        <f t="shared" si="9"/>
        <v>0</v>
      </c>
      <c r="Z35" s="422">
        <f t="shared" si="10"/>
        <v>0</v>
      </c>
      <c r="AA35" s="129"/>
      <c r="AB35" s="129"/>
      <c r="AC35" s="361">
        <f>Gen!S40</f>
        <v>0</v>
      </c>
    </row>
    <row r="36" spans="1:29" ht="20.100000000000001" customHeight="1">
      <c r="A36" s="352">
        <f>Gen!A41</f>
        <v>43830</v>
      </c>
      <c r="B36" s="467"/>
      <c r="C36" s="420"/>
      <c r="D36" s="420"/>
      <c r="E36" s="420"/>
      <c r="F36" s="420"/>
      <c r="G36" s="420"/>
      <c r="H36" s="420"/>
      <c r="I36" s="420"/>
      <c r="J36" s="420"/>
      <c r="K36" s="419">
        <f t="shared" si="0"/>
        <v>0</v>
      </c>
      <c r="L36" s="420"/>
      <c r="M36" s="419">
        <f t="shared" si="1"/>
        <v>0</v>
      </c>
      <c r="N36" s="421">
        <f t="shared" si="2"/>
        <v>0</v>
      </c>
      <c r="O36" s="420"/>
      <c r="P36" s="419">
        <f t="shared" si="3"/>
        <v>0</v>
      </c>
      <c r="Q36" s="419">
        <f t="shared" si="4"/>
        <v>0</v>
      </c>
      <c r="R36" s="420"/>
      <c r="S36" s="419">
        <f t="shared" si="5"/>
        <v>0</v>
      </c>
      <c r="T36" s="419">
        <f t="shared" si="6"/>
        <v>0</v>
      </c>
      <c r="U36" s="420"/>
      <c r="V36" s="419">
        <f t="shared" si="7"/>
        <v>0</v>
      </c>
      <c r="W36" s="421">
        <f t="shared" si="8"/>
        <v>0</v>
      </c>
      <c r="X36" s="420"/>
      <c r="Y36" s="419">
        <f t="shared" si="9"/>
        <v>0</v>
      </c>
      <c r="Z36" s="422">
        <f t="shared" si="10"/>
        <v>0</v>
      </c>
      <c r="AA36" s="129"/>
      <c r="AB36" s="129"/>
      <c r="AC36" s="361">
        <f>Gen!S41</f>
        <v>0</v>
      </c>
    </row>
    <row r="37" spans="1:29" ht="21" customHeight="1">
      <c r="A37" s="352" t="e">
        <f>[1]Gen!A42</f>
        <v>#REF!</v>
      </c>
      <c r="B37" s="467"/>
      <c r="C37" s="420"/>
      <c r="D37" s="420"/>
      <c r="E37" s="420"/>
      <c r="F37" s="420"/>
      <c r="G37" s="420"/>
      <c r="H37" s="420"/>
      <c r="I37" s="420"/>
      <c r="J37" s="420"/>
      <c r="K37" s="419">
        <f t="shared" si="0"/>
        <v>0</v>
      </c>
      <c r="L37" s="420"/>
      <c r="M37" s="419">
        <f t="shared" si="1"/>
        <v>0</v>
      </c>
      <c r="N37" s="421">
        <f t="shared" si="2"/>
        <v>0</v>
      </c>
      <c r="O37" s="420"/>
      <c r="P37" s="419">
        <f t="shared" si="3"/>
        <v>0</v>
      </c>
      <c r="Q37" s="419">
        <f t="shared" si="4"/>
        <v>0</v>
      </c>
      <c r="R37" s="420"/>
      <c r="S37" s="419">
        <f t="shared" si="5"/>
        <v>0</v>
      </c>
      <c r="T37" s="419">
        <f t="shared" si="6"/>
        <v>0</v>
      </c>
      <c r="U37" s="420"/>
      <c r="V37" s="419">
        <f t="shared" si="7"/>
        <v>0</v>
      </c>
      <c r="W37" s="421">
        <f t="shared" si="8"/>
        <v>0</v>
      </c>
      <c r="X37" s="420"/>
      <c r="Y37" s="419">
        <f t="shared" si="9"/>
        <v>0</v>
      </c>
      <c r="Z37" s="422">
        <f t="shared" si="10"/>
        <v>0</v>
      </c>
      <c r="AA37" s="129"/>
      <c r="AB37" s="129"/>
      <c r="AC37" s="361">
        <f>Gen!S42</f>
        <v>0</v>
      </c>
    </row>
    <row r="38" spans="1:29">
      <c r="A38" s="352"/>
      <c r="B38" s="352"/>
      <c r="C38" s="352"/>
      <c r="D38" s="352"/>
    </row>
  </sheetData>
  <mergeCells count="6">
    <mergeCell ref="A1:AB2"/>
    <mergeCell ref="K3:M3"/>
    <mergeCell ref="N3:P3"/>
    <mergeCell ref="Q3:S3"/>
    <mergeCell ref="T3:V3"/>
    <mergeCell ref="W3:Y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0000"/>
    <pageSetUpPr fitToPage="1"/>
  </sheetPr>
  <dimension ref="A1:AU97"/>
  <sheetViews>
    <sheetView topLeftCell="A7" zoomScale="120" zoomScaleNormal="120" workbookViewId="0">
      <pane xSplit="1" topLeftCell="B1" activePane="topRight" state="frozen"/>
      <selection pane="topRight" activeCell="H17" sqref="H17"/>
    </sheetView>
  </sheetViews>
  <sheetFormatPr defaultRowHeight="11.25"/>
  <cols>
    <col min="1" max="1" width="9.85546875" style="621" customWidth="1"/>
    <col min="2" max="2" width="8.85546875" style="621" customWidth="1"/>
    <col min="3" max="4" width="9" style="621" customWidth="1"/>
    <col min="5" max="5" width="9.28515625" style="621" bestFit="1" customWidth="1"/>
    <col min="6" max="6" width="10.7109375" style="621" customWidth="1"/>
    <col min="7" max="7" width="11.28515625" style="621" customWidth="1"/>
    <col min="8" max="8" width="9.7109375" style="621" customWidth="1"/>
    <col min="9" max="9" width="8" style="621" customWidth="1"/>
    <col min="10" max="10" width="8.7109375" style="621" customWidth="1"/>
    <col min="11" max="11" width="8.28515625" style="621" customWidth="1"/>
    <col min="12" max="12" width="10.140625" style="621" customWidth="1"/>
    <col min="13" max="13" width="9.28515625" style="621" customWidth="1"/>
    <col min="14" max="14" width="14.42578125" style="621" customWidth="1"/>
    <col min="15" max="15" width="10.140625" style="621" customWidth="1"/>
    <col min="16" max="16" width="14.42578125" style="621" customWidth="1"/>
    <col min="17" max="17" width="10.7109375" style="621" customWidth="1"/>
    <col min="18" max="18" width="13.140625" style="621" customWidth="1"/>
    <col min="19" max="19" width="11.7109375" style="249" customWidth="1"/>
    <col min="20" max="20" width="13" style="249" customWidth="1"/>
    <col min="21" max="21" width="13.140625" style="249" customWidth="1"/>
    <col min="22" max="22" width="13.5703125" style="249" bestFit="1" customWidth="1"/>
    <col min="23" max="23" width="13" style="249" customWidth="1"/>
    <col min="24" max="24" width="15.7109375" style="249" customWidth="1"/>
    <col min="25" max="25" width="9.5703125" style="249" bestFit="1" customWidth="1"/>
    <col min="26" max="26" width="12" style="249" bestFit="1" customWidth="1"/>
    <col min="27" max="27" width="9.5703125" style="249" bestFit="1" customWidth="1"/>
    <col min="28" max="28" width="8.28515625" style="249" bestFit="1" customWidth="1"/>
    <col min="29" max="29" width="9.42578125" style="249" bestFit="1" customWidth="1"/>
    <col min="30" max="30" width="8.140625" style="249" bestFit="1" customWidth="1"/>
    <col min="31" max="31" width="8" style="249" bestFit="1" customWidth="1"/>
    <col min="32" max="32" width="9.28515625" style="249" bestFit="1" customWidth="1"/>
    <col min="33" max="33" width="11.42578125" style="249" customWidth="1"/>
    <col min="34" max="34" width="9.85546875" style="249" bestFit="1" customWidth="1"/>
    <col min="35" max="35" width="9.5703125" style="249" bestFit="1" customWidth="1"/>
    <col min="36" max="36" width="12" style="249" bestFit="1" customWidth="1"/>
    <col min="37" max="42" width="9.140625" style="249" hidden="1" customWidth="1"/>
    <col min="43" max="43" width="5.42578125" style="249" customWidth="1"/>
    <col min="44" max="44" width="15" style="249" bestFit="1" customWidth="1"/>
    <col min="45" max="45" width="10.7109375" style="249" bestFit="1" customWidth="1"/>
    <col min="46" max="46" width="9.7109375" style="249" bestFit="1" customWidth="1"/>
    <col min="47" max="47" width="8" style="247" bestFit="1" customWidth="1"/>
    <col min="48" max="16384" width="9.140625" style="247"/>
  </cols>
  <sheetData>
    <row r="1" spans="1:46">
      <c r="A1" s="791"/>
      <c r="B1" s="791"/>
    </row>
    <row r="2" spans="1:46" ht="26.25">
      <c r="A2" s="791"/>
      <c r="B2" s="791"/>
      <c r="D2" s="792" t="s">
        <v>319</v>
      </c>
      <c r="E2" s="792"/>
      <c r="F2" s="793"/>
      <c r="G2" s="793"/>
      <c r="H2" s="793"/>
      <c r="I2" s="793"/>
      <c r="J2" s="793"/>
      <c r="K2" s="793"/>
      <c r="L2" s="793"/>
      <c r="M2" s="793"/>
      <c r="N2" s="793"/>
      <c r="O2" s="793"/>
      <c r="P2" s="793"/>
      <c r="Q2" s="793"/>
      <c r="R2" s="793"/>
      <c r="S2" s="793"/>
      <c r="T2" s="793"/>
      <c r="U2" s="793"/>
      <c r="V2" s="793"/>
      <c r="W2" s="793"/>
      <c r="X2" s="793"/>
      <c r="Y2" s="793"/>
      <c r="Z2" s="793"/>
      <c r="AA2" s="793"/>
      <c r="AB2" s="793"/>
      <c r="AC2" s="793"/>
      <c r="AD2" s="793"/>
      <c r="AE2" s="793"/>
      <c r="AF2" s="793"/>
      <c r="AG2" s="793"/>
      <c r="AH2" s="793"/>
      <c r="AI2" s="793"/>
      <c r="AJ2" s="793"/>
      <c r="AK2" s="793"/>
      <c r="AL2" s="793"/>
      <c r="AM2" s="793"/>
      <c r="AN2" s="793"/>
      <c r="AO2" s="793"/>
      <c r="AP2" s="793"/>
      <c r="AQ2" s="793"/>
      <c r="AR2" s="793"/>
      <c r="AS2" s="793"/>
      <c r="AT2" s="793"/>
    </row>
    <row r="3" spans="1:46">
      <c r="A3" s="791"/>
      <c r="B3" s="791"/>
      <c r="K3" s="248"/>
      <c r="Q3" s="248"/>
    </row>
    <row r="4" spans="1:46">
      <c r="A4" s="791"/>
      <c r="B4" s="791"/>
      <c r="K4" s="248"/>
      <c r="Q4" s="248"/>
    </row>
    <row r="5" spans="1:46" ht="12" thickBot="1">
      <c r="A5" s="791"/>
      <c r="B5" s="791"/>
      <c r="L5" s="250"/>
      <c r="R5" s="250"/>
      <c r="S5" s="251"/>
      <c r="T5" s="251"/>
      <c r="U5" s="251"/>
      <c r="V5" s="252"/>
      <c r="W5" s="252"/>
      <c r="X5" s="252"/>
      <c r="Y5" s="252"/>
      <c r="Z5" s="252"/>
      <c r="AA5" s="252"/>
      <c r="AB5" s="252"/>
      <c r="AC5" s="252"/>
      <c r="AD5" s="252"/>
      <c r="AE5" s="252"/>
      <c r="AF5" s="252"/>
      <c r="AG5" s="252"/>
      <c r="AH5" s="252"/>
      <c r="AI5" s="252"/>
      <c r="AJ5" s="252"/>
      <c r="AK5" s="252"/>
      <c r="AL5" s="252"/>
      <c r="AM5" s="252"/>
      <c r="AN5" s="252"/>
      <c r="AO5" s="252"/>
      <c r="AP5" s="252"/>
      <c r="AQ5" s="252"/>
      <c r="AR5" s="252"/>
      <c r="AS5" s="252"/>
      <c r="AT5" s="252"/>
    </row>
    <row r="6" spans="1:46" ht="21" thickBot="1">
      <c r="A6" s="791"/>
      <c r="B6" s="791"/>
      <c r="C6" s="253"/>
      <c r="F6" s="784" t="s">
        <v>58</v>
      </c>
      <c r="G6" s="785"/>
      <c r="H6" s="785"/>
      <c r="I6" s="785"/>
      <c r="J6" s="785"/>
      <c r="K6" s="785"/>
      <c r="L6" s="786"/>
      <c r="M6" s="250"/>
      <c r="N6" s="250"/>
      <c r="O6" s="250"/>
      <c r="P6" s="250"/>
      <c r="Q6" s="250"/>
      <c r="R6" s="250"/>
      <c r="S6" s="251"/>
      <c r="T6" s="251"/>
      <c r="U6" s="251"/>
      <c r="V6" s="254">
        <v>1</v>
      </c>
      <c r="W6" s="254">
        <v>2</v>
      </c>
      <c r="X6" s="254">
        <v>3</v>
      </c>
      <c r="Y6" s="254">
        <v>4</v>
      </c>
      <c r="Z6" s="254">
        <v>5</v>
      </c>
      <c r="AA6" s="254">
        <v>6</v>
      </c>
      <c r="AB6" s="254">
        <v>7</v>
      </c>
      <c r="AC6" s="254">
        <v>8</v>
      </c>
      <c r="AD6" s="254">
        <v>9</v>
      </c>
      <c r="AE6" s="254">
        <v>10</v>
      </c>
      <c r="AF6" s="254">
        <v>11</v>
      </c>
      <c r="AG6" s="254"/>
      <c r="AH6" s="254"/>
      <c r="AI6" s="254"/>
      <c r="AR6" s="254"/>
      <c r="AS6" s="251"/>
    </row>
    <row r="7" spans="1:46" ht="21" thickBot="1">
      <c r="C7" s="255"/>
      <c r="D7" s="255"/>
      <c r="E7" s="255"/>
      <c r="F7" s="794" t="s">
        <v>203</v>
      </c>
      <c r="G7" s="795"/>
      <c r="H7" s="795"/>
      <c r="I7" s="795"/>
      <c r="J7" s="795"/>
      <c r="K7" s="795"/>
      <c r="L7" s="796"/>
      <c r="M7" s="797" t="s">
        <v>40</v>
      </c>
      <c r="N7" s="798"/>
      <c r="O7" s="798"/>
      <c r="P7" s="798"/>
      <c r="Q7" s="798"/>
      <c r="R7" s="799"/>
      <c r="S7" s="507"/>
      <c r="T7" s="508"/>
      <c r="U7" s="509"/>
      <c r="V7" s="510" t="s">
        <v>81</v>
      </c>
      <c r="W7" s="511" t="s">
        <v>81</v>
      </c>
      <c r="X7" s="511" t="s">
        <v>5</v>
      </c>
      <c r="Y7" s="511" t="s">
        <v>82</v>
      </c>
      <c r="Z7" s="511" t="s">
        <v>84</v>
      </c>
      <c r="AA7" s="511" t="s">
        <v>83</v>
      </c>
      <c r="AB7" s="511" t="s">
        <v>83</v>
      </c>
      <c r="AC7" s="512" t="s">
        <v>201</v>
      </c>
      <c r="AD7" s="511" t="s">
        <v>30</v>
      </c>
      <c r="AE7" s="511" t="s">
        <v>98</v>
      </c>
      <c r="AF7" s="513" t="s">
        <v>22</v>
      </c>
      <c r="AG7" s="514" t="s">
        <v>29</v>
      </c>
      <c r="AH7" s="511" t="s">
        <v>85</v>
      </c>
      <c r="AI7" s="515" t="s">
        <v>192</v>
      </c>
      <c r="AJ7" s="527" t="s">
        <v>26</v>
      </c>
      <c r="AK7" s="256"/>
      <c r="AL7" s="256"/>
      <c r="AM7" s="256"/>
      <c r="AN7" s="256"/>
      <c r="AO7" s="256"/>
      <c r="AP7" s="256"/>
      <c r="AQ7" s="256"/>
      <c r="AR7" s="257"/>
      <c r="AS7" s="258"/>
      <c r="AT7" s="256"/>
    </row>
    <row r="8" spans="1:46" s="260" customFormat="1" ht="30" customHeight="1" thickBot="1">
      <c r="A8" s="548" t="s">
        <v>0</v>
      </c>
      <c r="B8" s="549" t="s">
        <v>50</v>
      </c>
      <c r="C8" s="550" t="s">
        <v>2</v>
      </c>
      <c r="D8" s="551" t="s">
        <v>38</v>
      </c>
      <c r="E8" s="551" t="s">
        <v>97</v>
      </c>
      <c r="F8" s="552" t="s">
        <v>316</v>
      </c>
      <c r="G8" s="539">
        <v>1</v>
      </c>
      <c r="H8" s="540">
        <v>2</v>
      </c>
      <c r="I8" s="540">
        <v>3</v>
      </c>
      <c r="J8" s="540">
        <v>4</v>
      </c>
      <c r="K8" s="540">
        <v>5</v>
      </c>
      <c r="L8" s="541">
        <v>6</v>
      </c>
      <c r="M8" s="542">
        <v>1</v>
      </c>
      <c r="N8" s="543">
        <v>2</v>
      </c>
      <c r="O8" s="543">
        <v>3</v>
      </c>
      <c r="P8" s="543">
        <v>4</v>
      </c>
      <c r="Q8" s="543">
        <v>5</v>
      </c>
      <c r="R8" s="543">
        <v>6</v>
      </c>
      <c r="S8" s="544" t="s">
        <v>39</v>
      </c>
      <c r="T8" s="544" t="s">
        <v>41</v>
      </c>
      <c r="U8" s="545" t="s">
        <v>200</v>
      </c>
      <c r="V8" s="518" t="s">
        <v>33</v>
      </c>
      <c r="W8" s="519" t="s">
        <v>32</v>
      </c>
      <c r="X8" s="519" t="s">
        <v>35</v>
      </c>
      <c r="Y8" s="520" t="s">
        <v>210</v>
      </c>
      <c r="Z8" s="520" t="s">
        <v>209</v>
      </c>
      <c r="AA8" s="520" t="s">
        <v>211</v>
      </c>
      <c r="AB8" s="519" t="s">
        <v>252</v>
      </c>
      <c r="AC8" s="521" t="s">
        <v>34</v>
      </c>
      <c r="AD8" s="519" t="s">
        <v>31</v>
      </c>
      <c r="AE8" s="519" t="s">
        <v>212</v>
      </c>
      <c r="AF8" s="519" t="s">
        <v>213</v>
      </c>
      <c r="AG8" s="522" t="s">
        <v>86</v>
      </c>
      <c r="AH8" s="523" t="s">
        <v>28</v>
      </c>
      <c r="AI8" s="524" t="s">
        <v>28</v>
      </c>
      <c r="AJ8" s="526"/>
      <c r="AK8" s="375"/>
      <c r="AL8" s="52"/>
      <c r="AM8" s="52"/>
      <c r="AN8" s="52"/>
      <c r="AO8" s="52"/>
      <c r="AP8" s="259"/>
      <c r="AQ8" s="529"/>
      <c r="AR8" s="530" t="s">
        <v>202</v>
      </c>
      <c r="AS8" s="530" t="s">
        <v>43</v>
      </c>
      <c r="AT8" s="529" t="s">
        <v>3</v>
      </c>
    </row>
    <row r="9" spans="1:46" ht="14.25">
      <c r="A9" s="261"/>
      <c r="B9" s="261"/>
      <c r="C9" s="281">
        <f>[4]Gen!$C$43</f>
        <v>34821.972000000016</v>
      </c>
      <c r="D9" s="546"/>
      <c r="E9" s="263"/>
      <c r="F9" s="547"/>
      <c r="G9" s="531"/>
      <c r="H9" s="264"/>
      <c r="I9" s="531"/>
      <c r="J9" s="532"/>
      <c r="K9" s="533"/>
      <c r="L9" s="534"/>
      <c r="M9" s="535"/>
      <c r="N9" s="536"/>
      <c r="O9" s="536"/>
      <c r="P9" s="536"/>
      <c r="Q9" s="536"/>
      <c r="R9" s="536"/>
      <c r="S9" s="537">
        <f t="shared" ref="S9:S45" si="0">SUM(F9:L9)</f>
        <v>0</v>
      </c>
      <c r="T9" s="538">
        <f t="shared" ref="T9:T10" si="1">SUM(M9:R9)</f>
        <v>0</v>
      </c>
      <c r="U9" s="267"/>
      <c r="V9" s="516"/>
      <c r="W9" s="270"/>
      <c r="X9" s="517"/>
      <c r="Y9" s="517"/>
      <c r="Z9" s="517"/>
      <c r="AA9" s="270"/>
      <c r="AB9" s="268"/>
      <c r="AC9" s="270"/>
      <c r="AD9" s="271"/>
      <c r="AE9" s="271"/>
      <c r="AF9" s="272"/>
      <c r="AG9" s="268"/>
      <c r="AH9" s="270"/>
      <c r="AI9" s="298"/>
      <c r="AJ9" s="525"/>
      <c r="AK9" s="273"/>
      <c r="AL9" s="273"/>
      <c r="AM9" s="273"/>
      <c r="AN9" s="273"/>
      <c r="AO9" s="273"/>
      <c r="AP9" s="273"/>
      <c r="AQ9" s="273"/>
      <c r="AR9" s="528">
        <f t="shared" ref="AR9:AR43" si="2">SUM(AJ9+S9)</f>
        <v>0</v>
      </c>
      <c r="AS9" s="274"/>
      <c r="AT9" s="275">
        <v>38784.699999999997</v>
      </c>
    </row>
    <row r="10" spans="1:46" ht="13.5" customHeight="1">
      <c r="A10" s="276"/>
      <c r="B10" s="277"/>
      <c r="C10" s="314"/>
      <c r="D10" s="262"/>
      <c r="E10" s="279"/>
      <c r="F10" s="280"/>
      <c r="G10" s="281"/>
      <c r="H10" s="281"/>
      <c r="I10" s="282"/>
      <c r="J10" s="281"/>
      <c r="K10" s="281"/>
      <c r="L10" s="408"/>
      <c r="M10" s="407"/>
      <c r="N10" s="284"/>
      <c r="O10" s="283"/>
      <c r="P10" s="283"/>
      <c r="Q10" s="283"/>
      <c r="R10" s="283"/>
      <c r="S10" s="296">
        <f t="shared" si="0"/>
        <v>0</v>
      </c>
      <c r="T10" s="297">
        <f t="shared" si="1"/>
        <v>0</v>
      </c>
      <c r="U10" s="297">
        <f t="shared" ref="U10" si="3">SUM(N10:S10)</f>
        <v>0</v>
      </c>
      <c r="V10" s="286"/>
      <c r="W10" s="298"/>
      <c r="X10" s="269"/>
      <c r="Y10" s="286"/>
      <c r="Z10" s="281"/>
      <c r="AA10" s="286"/>
      <c r="AB10" s="287"/>
      <c r="AC10" s="286"/>
      <c r="AD10" s="288"/>
      <c r="AE10" s="288"/>
      <c r="AF10" s="286"/>
      <c r="AG10" s="289"/>
      <c r="AH10" s="298"/>
      <c r="AI10" s="298"/>
      <c r="AJ10" s="374">
        <f t="shared" ref="AJ10:AJ44" si="4">SUM(V10:AI10)</f>
        <v>0</v>
      </c>
      <c r="AK10" s="290"/>
      <c r="AL10" s="290"/>
      <c r="AM10" s="290"/>
      <c r="AN10" s="290"/>
      <c r="AO10" s="290"/>
      <c r="AP10" s="290"/>
      <c r="AQ10" s="291"/>
      <c r="AR10" s="292">
        <f t="shared" si="2"/>
        <v>0</v>
      </c>
      <c r="AS10" s="293"/>
      <c r="AT10" s="389"/>
    </row>
    <row r="11" spans="1:46" s="301" customFormat="1" ht="13.5" customHeight="1">
      <c r="A11" s="294">
        <v>43800</v>
      </c>
      <c r="B11" s="308">
        <v>0.11700000000000001</v>
      </c>
      <c r="C11" s="295">
        <f>SUM(C9+D11)</f>
        <v>52821.972000000016</v>
      </c>
      <c r="D11" s="302">
        <v>18000</v>
      </c>
      <c r="E11" s="279">
        <v>18000</v>
      </c>
      <c r="F11" s="718" t="s">
        <v>318</v>
      </c>
      <c r="G11" s="281">
        <v>590.1</v>
      </c>
      <c r="H11" s="281">
        <v>245.89</v>
      </c>
      <c r="I11" s="282"/>
      <c r="J11" s="281">
        <v>482.04</v>
      </c>
      <c r="K11" s="281">
        <v>336.61</v>
      </c>
      <c r="L11" s="408"/>
      <c r="M11" s="283">
        <v>1626</v>
      </c>
      <c r="N11" s="283">
        <v>657</v>
      </c>
      <c r="O11" s="283"/>
      <c r="P11" s="283">
        <v>1315</v>
      </c>
      <c r="Q11" s="283">
        <v>704</v>
      </c>
      <c r="R11" s="283"/>
      <c r="S11" s="296">
        <f t="shared" si="0"/>
        <v>1654.6399999999999</v>
      </c>
      <c r="T11" s="297">
        <f t="shared" ref="T11:T43" si="5">SUM(M11:R11)</f>
        <v>4302</v>
      </c>
      <c r="U11" s="297">
        <f t="shared" ref="U11:U41" si="6">S11/T11</f>
        <v>0.38462110646211062</v>
      </c>
      <c r="V11" s="286"/>
      <c r="W11" s="286">
        <v>51.27</v>
      </c>
      <c r="X11" s="286">
        <v>16.46</v>
      </c>
      <c r="Y11" s="286"/>
      <c r="Z11" s="286"/>
      <c r="AA11" s="286"/>
      <c r="AB11" s="286"/>
      <c r="AC11" s="286">
        <v>8.7200000000000006</v>
      </c>
      <c r="AD11" s="286">
        <v>328.18</v>
      </c>
      <c r="AE11" s="286"/>
      <c r="AF11" s="286"/>
      <c r="AG11" s="286"/>
      <c r="AH11" s="286"/>
      <c r="AI11" s="286"/>
      <c r="AJ11" s="374">
        <f t="shared" si="4"/>
        <v>404.63</v>
      </c>
      <c r="AK11" s="299"/>
      <c r="AL11" s="299"/>
      <c r="AM11" s="299"/>
      <c r="AN11" s="299"/>
      <c r="AO11" s="299"/>
      <c r="AP11" s="299"/>
      <c r="AQ11" s="299"/>
      <c r="AR11" s="292">
        <f t="shared" si="2"/>
        <v>2059.27</v>
      </c>
      <c r="AS11" s="300">
        <f>AR11*AU11</f>
        <v>0</v>
      </c>
      <c r="AT11" s="389">
        <f t="shared" ref="AT11:AT43" si="7">C11</f>
        <v>52821.972000000016</v>
      </c>
    </row>
    <row r="12" spans="1:46" ht="13.5" customHeight="1">
      <c r="A12" s="294">
        <v>43801</v>
      </c>
      <c r="B12" s="308">
        <v>0.11700000000000001</v>
      </c>
      <c r="C12" s="295">
        <f t="shared" ref="C12:C43" si="8">SUM(C11-AR11+D12)</f>
        <v>50762.702000000019</v>
      </c>
      <c r="D12" s="302"/>
      <c r="E12" s="279"/>
      <c r="F12" s="303"/>
      <c r="G12" s="281">
        <v>506.57</v>
      </c>
      <c r="H12" s="281">
        <v>505.57</v>
      </c>
      <c r="I12" s="304"/>
      <c r="J12" s="281">
        <v>382.15</v>
      </c>
      <c r="K12" s="281">
        <v>294.42</v>
      </c>
      <c r="L12" s="408"/>
      <c r="M12" s="407">
        <v>1307</v>
      </c>
      <c r="N12" s="283">
        <v>1438</v>
      </c>
      <c r="O12" s="283"/>
      <c r="P12" s="283">
        <v>807</v>
      </c>
      <c r="Q12" s="283">
        <v>722</v>
      </c>
      <c r="R12" s="283">
        <v>12</v>
      </c>
      <c r="S12" s="296">
        <f t="shared" si="0"/>
        <v>1688.71</v>
      </c>
      <c r="T12" s="297">
        <f t="shared" si="5"/>
        <v>4286</v>
      </c>
      <c r="U12" s="297">
        <f t="shared" si="6"/>
        <v>0.39400606626224921</v>
      </c>
      <c r="V12" s="286"/>
      <c r="W12" s="286">
        <v>22.37</v>
      </c>
      <c r="X12" s="286"/>
      <c r="Y12" s="286"/>
      <c r="Z12" s="286"/>
      <c r="AA12" s="286"/>
      <c r="AB12" s="286"/>
      <c r="AC12" s="286"/>
      <c r="AD12" s="286"/>
      <c r="AE12" s="286"/>
      <c r="AF12" s="286"/>
      <c r="AG12" s="286">
        <v>1201.22</v>
      </c>
      <c r="AH12" s="286"/>
      <c r="AI12" s="286">
        <v>87</v>
      </c>
      <c r="AJ12" s="374">
        <f t="shared" si="4"/>
        <v>1310.5899999999999</v>
      </c>
      <c r="AK12" s="290"/>
      <c r="AL12" s="290"/>
      <c r="AM12" s="290"/>
      <c r="AN12" s="290"/>
      <c r="AO12" s="290"/>
      <c r="AP12" s="290"/>
      <c r="AQ12" s="290"/>
      <c r="AR12" s="292">
        <f t="shared" si="2"/>
        <v>2999.3</v>
      </c>
      <c r="AS12" s="300">
        <f t="shared" ref="AS12:AS44" si="9">AR12*AU12</f>
        <v>0</v>
      </c>
      <c r="AT12" s="389">
        <f t="shared" si="7"/>
        <v>50762.702000000019</v>
      </c>
    </row>
    <row r="13" spans="1:46" ht="13.5" customHeight="1">
      <c r="A13" s="294">
        <v>43802</v>
      </c>
      <c r="B13" s="308">
        <v>0.182</v>
      </c>
      <c r="C13" s="295">
        <f t="shared" si="8"/>
        <v>47763.402000000016</v>
      </c>
      <c r="D13" s="302"/>
      <c r="E13" s="279"/>
      <c r="F13" s="303"/>
      <c r="G13" s="281">
        <v>438.01</v>
      </c>
      <c r="H13" s="281">
        <v>695.49</v>
      </c>
      <c r="I13" s="304"/>
      <c r="J13" s="281"/>
      <c r="K13" s="281"/>
      <c r="L13" s="408">
        <v>498.05</v>
      </c>
      <c r="M13" s="407">
        <v>907</v>
      </c>
      <c r="N13" s="283">
        <v>1829</v>
      </c>
      <c r="O13" s="283"/>
      <c r="P13" s="283"/>
      <c r="Q13" s="283">
        <v>214</v>
      </c>
      <c r="R13" s="283">
        <v>1172</v>
      </c>
      <c r="S13" s="296">
        <f t="shared" si="0"/>
        <v>1631.55</v>
      </c>
      <c r="T13" s="297">
        <f t="shared" si="5"/>
        <v>4122</v>
      </c>
      <c r="U13" s="297">
        <f t="shared" si="6"/>
        <v>0.39581513828238718</v>
      </c>
      <c r="V13" s="286"/>
      <c r="W13" s="298">
        <v>38.520000000000003</v>
      </c>
      <c r="X13" s="269">
        <v>20.64</v>
      </c>
      <c r="Y13" s="298"/>
      <c r="Z13" s="281"/>
      <c r="AA13" s="376"/>
      <c r="AB13" s="298"/>
      <c r="AC13" s="298"/>
      <c r="AD13" s="298"/>
      <c r="AE13" s="298"/>
      <c r="AF13" s="298"/>
      <c r="AG13" s="298"/>
      <c r="AH13" s="298">
        <v>11</v>
      </c>
      <c r="AI13" s="298"/>
      <c r="AJ13" s="374">
        <f>SUM(V13:AH13)</f>
        <v>70.16</v>
      </c>
      <c r="AK13" s="305"/>
      <c r="AL13" s="305"/>
      <c r="AM13" s="305"/>
      <c r="AN13" s="305"/>
      <c r="AO13" s="305"/>
      <c r="AP13" s="305"/>
      <c r="AQ13" s="305"/>
      <c r="AR13" s="292">
        <f t="shared" si="2"/>
        <v>1701.71</v>
      </c>
      <c r="AS13" s="300">
        <f t="shared" si="9"/>
        <v>0</v>
      </c>
      <c r="AT13" s="389">
        <f t="shared" si="7"/>
        <v>47763.402000000016</v>
      </c>
    </row>
    <row r="14" spans="1:46" ht="13.5" customHeight="1">
      <c r="A14" s="294">
        <v>43803</v>
      </c>
      <c r="B14" s="308">
        <v>9.0999999999999998E-2</v>
      </c>
      <c r="C14" s="295">
        <f t="shared" si="8"/>
        <v>46061.692000000017</v>
      </c>
      <c r="D14" s="302"/>
      <c r="E14" s="279"/>
      <c r="F14" s="303"/>
      <c r="G14" s="281">
        <v>356.02</v>
      </c>
      <c r="H14" s="281">
        <v>305.77999999999997</v>
      </c>
      <c r="I14" s="304"/>
      <c r="J14" s="281">
        <v>347.51</v>
      </c>
      <c r="K14" s="281">
        <v>295.52999999999997</v>
      </c>
      <c r="L14" s="408">
        <v>462.23</v>
      </c>
      <c r="M14" s="407">
        <v>787</v>
      </c>
      <c r="N14" s="283">
        <v>871</v>
      </c>
      <c r="O14" s="283"/>
      <c r="P14" s="283">
        <v>687</v>
      </c>
      <c r="Q14" s="283">
        <v>697</v>
      </c>
      <c r="R14" s="283">
        <v>1390</v>
      </c>
      <c r="S14" s="296">
        <f t="shared" si="0"/>
        <v>1767.07</v>
      </c>
      <c r="T14" s="297">
        <f t="shared" si="5"/>
        <v>4432</v>
      </c>
      <c r="U14" s="297">
        <f t="shared" si="6"/>
        <v>0.3987071299638989</v>
      </c>
      <c r="V14" s="286"/>
      <c r="W14" s="298"/>
      <c r="X14" s="269">
        <v>10</v>
      </c>
      <c r="Y14" s="298">
        <v>47.18</v>
      </c>
      <c r="Z14" s="281"/>
      <c r="AA14" s="376"/>
      <c r="AB14" s="298"/>
      <c r="AC14" s="298"/>
      <c r="AD14" s="298"/>
      <c r="AE14" s="298"/>
      <c r="AF14" s="298"/>
      <c r="AG14" s="298"/>
      <c r="AH14" s="298"/>
      <c r="AI14" s="298"/>
      <c r="AJ14" s="374">
        <f>SUM(V14:AH14)</f>
        <v>57.18</v>
      </c>
      <c r="AK14" s="299"/>
      <c r="AL14" s="299"/>
      <c r="AM14" s="299"/>
      <c r="AN14" s="299"/>
      <c r="AO14" s="299"/>
      <c r="AP14" s="299"/>
      <c r="AQ14" s="299"/>
      <c r="AR14" s="292">
        <f t="shared" si="2"/>
        <v>1824.25</v>
      </c>
      <c r="AS14" s="300">
        <f t="shared" si="9"/>
        <v>0</v>
      </c>
      <c r="AT14" s="389">
        <f t="shared" si="7"/>
        <v>46061.692000000017</v>
      </c>
    </row>
    <row r="15" spans="1:46" ht="13.5" customHeight="1">
      <c r="A15" s="294">
        <v>43804</v>
      </c>
      <c r="B15" s="308">
        <v>0.104</v>
      </c>
      <c r="C15" s="295">
        <f t="shared" si="8"/>
        <v>44237.442000000017</v>
      </c>
      <c r="D15" s="302"/>
      <c r="E15" s="279"/>
      <c r="F15" s="303"/>
      <c r="G15" s="281"/>
      <c r="H15" s="281">
        <v>333.53</v>
      </c>
      <c r="I15" s="304"/>
      <c r="J15" s="281">
        <v>457.03</v>
      </c>
      <c r="K15" s="281">
        <v>287.14</v>
      </c>
      <c r="L15" s="408">
        <v>500.89</v>
      </c>
      <c r="M15" s="407"/>
      <c r="N15" s="283">
        <v>941</v>
      </c>
      <c r="O15" s="283"/>
      <c r="P15" s="283">
        <v>1195</v>
      </c>
      <c r="Q15" s="283">
        <v>902</v>
      </c>
      <c r="R15" s="283">
        <v>1114</v>
      </c>
      <c r="S15" s="296">
        <f t="shared" si="0"/>
        <v>1578.5899999999997</v>
      </c>
      <c r="T15" s="297">
        <f t="shared" si="5"/>
        <v>4152</v>
      </c>
      <c r="U15" s="297">
        <f t="shared" si="6"/>
        <v>0.38019990366088624</v>
      </c>
      <c r="V15" s="286"/>
      <c r="W15" s="298">
        <v>55.06</v>
      </c>
      <c r="X15" s="269">
        <v>14</v>
      </c>
      <c r="Y15" s="298">
        <v>24.03</v>
      </c>
      <c r="Z15" s="281"/>
      <c r="AA15" s="376"/>
      <c r="AB15" s="298"/>
      <c r="AC15" s="298">
        <v>12.76</v>
      </c>
      <c r="AD15" s="298"/>
      <c r="AE15" s="298"/>
      <c r="AF15" s="298">
        <v>107.37</v>
      </c>
      <c r="AG15" s="298"/>
      <c r="AH15" s="298"/>
      <c r="AI15" s="298"/>
      <c r="AJ15" s="374">
        <f>SUM(V15:AH15)</f>
        <v>213.22000000000003</v>
      </c>
      <c r="AK15" s="299"/>
      <c r="AL15" s="299"/>
      <c r="AM15" s="299"/>
      <c r="AN15" s="299"/>
      <c r="AO15" s="299"/>
      <c r="AP15" s="299"/>
      <c r="AQ15" s="299"/>
      <c r="AR15" s="292">
        <f t="shared" si="2"/>
        <v>1791.8099999999997</v>
      </c>
      <c r="AS15" s="300">
        <f t="shared" si="9"/>
        <v>0</v>
      </c>
      <c r="AT15" s="389">
        <f t="shared" si="7"/>
        <v>44237.442000000017</v>
      </c>
    </row>
    <row r="16" spans="1:46" ht="13.5" customHeight="1">
      <c r="A16" s="294">
        <v>43805</v>
      </c>
      <c r="B16" s="308">
        <v>9.8000000000000004E-2</v>
      </c>
      <c r="C16" s="295">
        <f t="shared" si="8"/>
        <v>42445.63200000002</v>
      </c>
      <c r="D16" s="302"/>
      <c r="E16" s="279"/>
      <c r="F16" s="303"/>
      <c r="G16" s="281">
        <v>594.42999999999995</v>
      </c>
      <c r="H16" s="281">
        <v>335.32</v>
      </c>
      <c r="I16" s="304"/>
      <c r="J16" s="281">
        <v>310.43</v>
      </c>
      <c r="K16" s="281"/>
      <c r="L16" s="408">
        <v>592.85</v>
      </c>
      <c r="M16" s="407">
        <v>1332</v>
      </c>
      <c r="N16" s="283">
        <v>986</v>
      </c>
      <c r="O16" s="283"/>
      <c r="P16" s="283">
        <v>982</v>
      </c>
      <c r="Q16" s="283"/>
      <c r="R16" s="283">
        <v>1264</v>
      </c>
      <c r="S16" s="296">
        <f t="shared" si="0"/>
        <v>1833.0300000000002</v>
      </c>
      <c r="T16" s="297">
        <f t="shared" si="5"/>
        <v>4564</v>
      </c>
      <c r="U16" s="297">
        <f t="shared" si="6"/>
        <v>0.40162795793163897</v>
      </c>
      <c r="V16" s="286"/>
      <c r="W16" s="298"/>
      <c r="X16" s="269">
        <v>46.45</v>
      </c>
      <c r="Y16" s="298"/>
      <c r="Z16" s="281"/>
      <c r="AA16" s="376"/>
      <c r="AB16" s="298"/>
      <c r="AC16" s="298">
        <v>8.2100000000000009</v>
      </c>
      <c r="AD16" s="298"/>
      <c r="AE16" s="298"/>
      <c r="AF16" s="298"/>
      <c r="AG16" s="298">
        <v>2000</v>
      </c>
      <c r="AH16" s="298"/>
      <c r="AI16" s="298"/>
      <c r="AJ16" s="374">
        <f>SUM(V16:AH16)</f>
        <v>2054.66</v>
      </c>
      <c r="AK16" s="299"/>
      <c r="AL16" s="299"/>
      <c r="AM16" s="299"/>
      <c r="AN16" s="299"/>
      <c r="AO16" s="299"/>
      <c r="AP16" s="299"/>
      <c r="AQ16" s="299"/>
      <c r="AR16" s="292">
        <f t="shared" si="2"/>
        <v>3887.69</v>
      </c>
      <c r="AS16" s="300">
        <f t="shared" si="9"/>
        <v>0</v>
      </c>
      <c r="AT16" s="389">
        <f t="shared" si="7"/>
        <v>42445.63200000002</v>
      </c>
    </row>
    <row r="17" spans="1:46" ht="13.5" customHeight="1">
      <c r="A17" s="294">
        <v>43806</v>
      </c>
      <c r="B17" s="308">
        <v>0.1555</v>
      </c>
      <c r="C17" s="295">
        <f t="shared" si="8"/>
        <v>53557.942000000017</v>
      </c>
      <c r="D17" s="302">
        <v>15000</v>
      </c>
      <c r="E17" s="279">
        <v>15000</v>
      </c>
      <c r="F17" s="303" t="s">
        <v>317</v>
      </c>
      <c r="G17" s="281">
        <v>337.39</v>
      </c>
      <c r="H17" s="281">
        <v>229.15</v>
      </c>
      <c r="I17" s="304"/>
      <c r="J17" s="281">
        <v>251.8</v>
      </c>
      <c r="K17" s="281">
        <v>793.92</v>
      </c>
      <c r="L17" s="408"/>
      <c r="M17" s="407">
        <v>1467</v>
      </c>
      <c r="N17" s="283">
        <v>591</v>
      </c>
      <c r="O17" s="283"/>
      <c r="P17" s="283">
        <v>774</v>
      </c>
      <c r="Q17" s="283">
        <v>1336</v>
      </c>
      <c r="R17" s="283"/>
      <c r="S17" s="296">
        <f t="shared" si="0"/>
        <v>1612.2599999999998</v>
      </c>
      <c r="T17" s="297">
        <f t="shared" si="5"/>
        <v>4168</v>
      </c>
      <c r="U17" s="297">
        <f t="shared" si="6"/>
        <v>0.38681861804222645</v>
      </c>
      <c r="V17" s="286"/>
      <c r="W17" s="298"/>
      <c r="X17" s="269">
        <v>9</v>
      </c>
      <c r="Y17" s="298"/>
      <c r="Z17" s="281"/>
      <c r="AA17" s="376"/>
      <c r="AB17" s="298"/>
      <c r="AC17" s="298"/>
      <c r="AD17" s="298"/>
      <c r="AE17" s="298"/>
      <c r="AF17" s="298"/>
      <c r="AG17" s="298"/>
      <c r="AH17" s="298">
        <v>53</v>
      </c>
      <c r="AI17" s="298"/>
      <c r="AJ17" s="374">
        <f t="shared" si="4"/>
        <v>62</v>
      </c>
      <c r="AK17" s="299"/>
      <c r="AL17" s="299"/>
      <c r="AM17" s="299"/>
      <c r="AN17" s="299"/>
      <c r="AO17" s="299"/>
      <c r="AP17" s="299"/>
      <c r="AQ17" s="299"/>
      <c r="AR17" s="292">
        <f t="shared" si="2"/>
        <v>1674.2599999999998</v>
      </c>
      <c r="AS17" s="300">
        <f t="shared" si="9"/>
        <v>0</v>
      </c>
      <c r="AT17" s="389">
        <f t="shared" si="7"/>
        <v>53557.942000000017</v>
      </c>
    </row>
    <row r="18" spans="1:46" ht="13.5" customHeight="1">
      <c r="A18" s="294">
        <v>43807</v>
      </c>
      <c r="B18" s="308">
        <v>0.1038</v>
      </c>
      <c r="C18" s="295">
        <f t="shared" si="8"/>
        <v>51883.682000000015</v>
      </c>
      <c r="D18" s="302"/>
      <c r="E18" s="279"/>
      <c r="F18" s="303"/>
      <c r="G18" s="281">
        <v>286.25</v>
      </c>
      <c r="H18" s="281"/>
      <c r="I18" s="304"/>
      <c r="J18" s="281">
        <v>495.97</v>
      </c>
      <c r="K18" s="281">
        <v>273.58</v>
      </c>
      <c r="L18" s="408">
        <v>538.91999999999996</v>
      </c>
      <c r="M18" s="407"/>
      <c r="N18" s="283">
        <v>706</v>
      </c>
      <c r="O18" s="283"/>
      <c r="P18" s="283">
        <v>1325</v>
      </c>
      <c r="Q18" s="283">
        <v>638</v>
      </c>
      <c r="R18" s="283">
        <v>1316</v>
      </c>
      <c r="S18" s="296">
        <f t="shared" si="0"/>
        <v>1594.7199999999998</v>
      </c>
      <c r="T18" s="297">
        <f t="shared" si="5"/>
        <v>3985</v>
      </c>
      <c r="U18" s="297">
        <f t="shared" si="6"/>
        <v>0.40018067754077785</v>
      </c>
      <c r="V18" s="286"/>
      <c r="W18" s="298"/>
      <c r="X18" s="269"/>
      <c r="Y18" s="281"/>
      <c r="Z18" s="281"/>
      <c r="AA18" s="376"/>
      <c r="AB18" s="298"/>
      <c r="AC18" s="298"/>
      <c r="AD18" s="298"/>
      <c r="AE18" s="298"/>
      <c r="AF18" s="298"/>
      <c r="AG18" s="298"/>
      <c r="AH18" s="298"/>
      <c r="AI18" s="298"/>
      <c r="AJ18" s="374">
        <f t="shared" si="4"/>
        <v>0</v>
      </c>
      <c r="AK18" s="299"/>
      <c r="AL18" s="299"/>
      <c r="AM18" s="299"/>
      <c r="AN18" s="299"/>
      <c r="AO18" s="299"/>
      <c r="AP18" s="299"/>
      <c r="AQ18" s="299"/>
      <c r="AR18" s="292">
        <f t="shared" si="2"/>
        <v>1594.7199999999998</v>
      </c>
      <c r="AS18" s="300">
        <f t="shared" si="9"/>
        <v>0</v>
      </c>
      <c r="AT18" s="389">
        <f t="shared" si="7"/>
        <v>51883.682000000015</v>
      </c>
    </row>
    <row r="19" spans="1:46" ht="13.5" customHeight="1">
      <c r="A19" s="294">
        <v>43808</v>
      </c>
      <c r="B19" s="308">
        <v>0.16880000000000001</v>
      </c>
      <c r="C19" s="295">
        <f t="shared" si="8"/>
        <v>50288.962000000014</v>
      </c>
      <c r="D19" s="302"/>
      <c r="E19" s="279"/>
      <c r="F19" s="332"/>
      <c r="G19" s="281">
        <v>304.89999999999998</v>
      </c>
      <c r="H19" s="281">
        <v>377.06</v>
      </c>
      <c r="I19" s="304"/>
      <c r="J19" s="281">
        <v>377.51</v>
      </c>
      <c r="K19" s="281"/>
      <c r="L19" s="408">
        <v>486.78</v>
      </c>
      <c r="M19" s="407">
        <v>749</v>
      </c>
      <c r="N19" s="283">
        <v>1031</v>
      </c>
      <c r="O19" s="283"/>
      <c r="P19" s="283">
        <v>788</v>
      </c>
      <c r="Q19" s="283">
        <v>237</v>
      </c>
      <c r="R19" s="283">
        <v>1280</v>
      </c>
      <c r="S19" s="296">
        <f t="shared" si="0"/>
        <v>1546.25</v>
      </c>
      <c r="T19" s="297">
        <f t="shared" si="5"/>
        <v>4085</v>
      </c>
      <c r="U19" s="297">
        <f t="shared" si="6"/>
        <v>0.37851897184822519</v>
      </c>
      <c r="V19" s="286"/>
      <c r="W19" s="298">
        <v>25.03</v>
      </c>
      <c r="X19" s="269">
        <v>47.68</v>
      </c>
      <c r="Y19" s="298">
        <v>104.75</v>
      </c>
      <c r="Z19" s="281"/>
      <c r="AA19" s="376"/>
      <c r="AB19" s="298"/>
      <c r="AC19" s="298"/>
      <c r="AD19" s="298"/>
      <c r="AE19" s="298"/>
      <c r="AF19" s="298"/>
      <c r="AG19" s="298"/>
      <c r="AH19" s="298"/>
      <c r="AI19" s="298"/>
      <c r="AJ19" s="374">
        <f t="shared" si="4"/>
        <v>177.46</v>
      </c>
      <c r="AK19" s="299"/>
      <c r="AL19" s="291"/>
      <c r="AM19" s="299"/>
      <c r="AN19" s="306"/>
      <c r="AO19" s="306"/>
      <c r="AP19" s="306"/>
      <c r="AQ19" s="307"/>
      <c r="AR19" s="292">
        <f t="shared" si="2"/>
        <v>1723.71</v>
      </c>
      <c r="AS19" s="300">
        <f t="shared" si="9"/>
        <v>0</v>
      </c>
      <c r="AT19" s="389">
        <f t="shared" si="7"/>
        <v>50288.962000000014</v>
      </c>
    </row>
    <row r="20" spans="1:46" ht="14.25">
      <c r="A20" s="294">
        <v>43809</v>
      </c>
      <c r="B20" s="308">
        <v>0.12989999999999999</v>
      </c>
      <c r="C20" s="295">
        <f t="shared" si="8"/>
        <v>48565.252000000015</v>
      </c>
      <c r="D20" s="302"/>
      <c r="E20" s="279"/>
      <c r="F20" s="303"/>
      <c r="G20" s="281">
        <v>498.02</v>
      </c>
      <c r="H20" s="298"/>
      <c r="I20" s="304"/>
      <c r="J20" s="281">
        <v>464.96</v>
      </c>
      <c r="K20" s="281">
        <v>457.33</v>
      </c>
      <c r="L20" s="281">
        <v>273.64999999999998</v>
      </c>
      <c r="M20" s="407">
        <v>1346</v>
      </c>
      <c r="N20" s="283"/>
      <c r="O20" s="283"/>
      <c r="P20" s="283">
        <v>1029</v>
      </c>
      <c r="Q20" s="283">
        <v>1178</v>
      </c>
      <c r="R20" s="410">
        <v>674</v>
      </c>
      <c r="S20" s="296">
        <f t="shared" si="0"/>
        <v>1693.96</v>
      </c>
      <c r="T20" s="297">
        <f t="shared" si="5"/>
        <v>4227</v>
      </c>
      <c r="U20" s="297">
        <f t="shared" si="6"/>
        <v>0.40074757511237286</v>
      </c>
      <c r="V20" s="286"/>
      <c r="W20" s="298">
        <v>13.2</v>
      </c>
      <c r="X20" s="269"/>
      <c r="Y20" s="298"/>
      <c r="Z20" s="281"/>
      <c r="AA20" s="376"/>
      <c r="AB20" s="298"/>
      <c r="AC20" s="298"/>
      <c r="AD20" s="298"/>
      <c r="AE20" s="298"/>
      <c r="AF20" s="298"/>
      <c r="AG20" s="298"/>
      <c r="AH20" s="298"/>
      <c r="AI20" s="298"/>
      <c r="AJ20" s="374">
        <f t="shared" si="4"/>
        <v>13.2</v>
      </c>
      <c r="AK20" s="299"/>
      <c r="AL20" s="291"/>
      <c r="AM20" s="299"/>
      <c r="AN20" s="306"/>
      <c r="AO20" s="306"/>
      <c r="AP20" s="306"/>
      <c r="AQ20" s="307"/>
      <c r="AR20" s="292">
        <f t="shared" si="2"/>
        <v>1707.16</v>
      </c>
      <c r="AS20" s="300">
        <f t="shared" si="9"/>
        <v>0</v>
      </c>
      <c r="AT20" s="389">
        <f t="shared" si="7"/>
        <v>48565.252000000015</v>
      </c>
    </row>
    <row r="21" spans="1:46" ht="14.25">
      <c r="A21" s="294">
        <v>43810</v>
      </c>
      <c r="B21" s="308">
        <v>0.10390000000000001</v>
      </c>
      <c r="C21" s="295">
        <f>SUM(C20-AR20+D21)</f>
        <v>46858.092000000011</v>
      </c>
      <c r="D21" s="302"/>
      <c r="E21" s="279"/>
      <c r="F21" s="303"/>
      <c r="G21" s="281">
        <v>220.79</v>
      </c>
      <c r="H21" s="298">
        <v>461.2</v>
      </c>
      <c r="I21" s="304"/>
      <c r="J21" s="281">
        <v>445.65</v>
      </c>
      <c r="K21" s="281"/>
      <c r="L21" s="408">
        <v>461.39</v>
      </c>
      <c r="M21" s="407">
        <v>657</v>
      </c>
      <c r="N21" s="407">
        <v>1214</v>
      </c>
      <c r="O21" s="283"/>
      <c r="P21" s="283">
        <v>979</v>
      </c>
      <c r="Q21" s="283"/>
      <c r="R21" s="283">
        <v>1422</v>
      </c>
      <c r="S21" s="296">
        <f t="shared" si="0"/>
        <v>1589.0299999999997</v>
      </c>
      <c r="T21" s="297">
        <f t="shared" si="5"/>
        <v>4272</v>
      </c>
      <c r="U21" s="297">
        <f t="shared" si="6"/>
        <v>0.37196395131086135</v>
      </c>
      <c r="V21" s="286"/>
      <c r="W21" s="298"/>
      <c r="X21" s="269">
        <v>21.22</v>
      </c>
      <c r="Y21" s="298"/>
      <c r="Z21" s="281"/>
      <c r="AA21" s="376"/>
      <c r="AB21" s="298"/>
      <c r="AC21" s="298"/>
      <c r="AD21" s="298"/>
      <c r="AE21" s="298"/>
      <c r="AF21" s="298"/>
      <c r="AG21" s="298"/>
      <c r="AH21" s="298">
        <v>239</v>
      </c>
      <c r="AI21" s="298"/>
      <c r="AJ21" s="374">
        <f t="shared" si="4"/>
        <v>260.22000000000003</v>
      </c>
      <c r="AK21" s="290"/>
      <c r="AL21" s="291"/>
      <c r="AM21" s="299"/>
      <c r="AN21" s="306"/>
      <c r="AO21" s="306"/>
      <c r="AP21" s="306"/>
      <c r="AQ21" s="307"/>
      <c r="AR21" s="292">
        <f>SUM(AJ21+S21)</f>
        <v>1849.2499999999998</v>
      </c>
      <c r="AS21" s="300">
        <f t="shared" si="9"/>
        <v>0</v>
      </c>
      <c r="AT21" s="389">
        <f t="shared" si="7"/>
        <v>46858.092000000011</v>
      </c>
    </row>
    <row r="22" spans="1:46" ht="14.25">
      <c r="A22" s="294">
        <v>43811</v>
      </c>
      <c r="B22" s="308">
        <v>0.1429</v>
      </c>
      <c r="C22" s="295">
        <f>SUM(C21-AR21+D22)</f>
        <v>45008.842000000011</v>
      </c>
      <c r="D22" s="302"/>
      <c r="E22" s="279"/>
      <c r="F22" s="303"/>
      <c r="G22" s="281"/>
      <c r="H22" s="281">
        <v>452.83</v>
      </c>
      <c r="I22" s="304"/>
      <c r="J22" s="281">
        <v>429.83</v>
      </c>
      <c r="K22" s="281">
        <v>491.76</v>
      </c>
      <c r="L22" s="408">
        <v>286.61</v>
      </c>
      <c r="M22" s="407"/>
      <c r="N22" s="407">
        <v>1125</v>
      </c>
      <c r="O22" s="283"/>
      <c r="P22" s="283">
        <v>1170</v>
      </c>
      <c r="Q22" s="283">
        <v>1257</v>
      </c>
      <c r="R22" s="283">
        <v>674</v>
      </c>
      <c r="S22" s="296">
        <f t="shared" si="0"/>
        <v>1661.0300000000002</v>
      </c>
      <c r="T22" s="297">
        <f t="shared" si="5"/>
        <v>4226</v>
      </c>
      <c r="U22" s="297">
        <f t="shared" si="6"/>
        <v>0.39305016564126838</v>
      </c>
      <c r="V22" s="286"/>
      <c r="W22" s="298">
        <v>95.96</v>
      </c>
      <c r="X22" s="269">
        <v>20.23</v>
      </c>
      <c r="Y22" s="298">
        <v>32.119999999999997</v>
      </c>
      <c r="Z22" s="281"/>
      <c r="AA22" s="376"/>
      <c r="AB22" s="298"/>
      <c r="AC22" s="298"/>
      <c r="AD22" s="298"/>
      <c r="AE22" s="298"/>
      <c r="AF22" s="298"/>
      <c r="AG22" s="298"/>
      <c r="AH22" s="298">
        <v>241</v>
      </c>
      <c r="AI22" s="298"/>
      <c r="AJ22" s="374">
        <f t="shared" si="4"/>
        <v>389.31</v>
      </c>
      <c r="AK22" s="290"/>
      <c r="AL22" s="291"/>
      <c r="AM22" s="299"/>
      <c r="AN22" s="306"/>
      <c r="AO22" s="306"/>
      <c r="AP22" s="306"/>
      <c r="AQ22" s="307"/>
      <c r="AR22" s="292">
        <f t="shared" si="2"/>
        <v>2050.34</v>
      </c>
      <c r="AS22" s="300">
        <f t="shared" si="9"/>
        <v>0</v>
      </c>
      <c r="AT22" s="389">
        <f t="shared" si="7"/>
        <v>45008.842000000011</v>
      </c>
    </row>
    <row r="23" spans="1:46" ht="14.25">
      <c r="A23" s="294">
        <v>43812</v>
      </c>
      <c r="B23" s="308">
        <v>0.12989999999999999</v>
      </c>
      <c r="C23" s="295">
        <f t="shared" si="8"/>
        <v>42958.502000000008</v>
      </c>
      <c r="D23" s="302"/>
      <c r="E23" s="279"/>
      <c r="F23" s="303"/>
      <c r="G23" s="281">
        <v>581.46</v>
      </c>
      <c r="H23" s="298"/>
      <c r="I23" s="304"/>
      <c r="J23" s="281">
        <v>493.07</v>
      </c>
      <c r="K23" s="281">
        <v>237.7</v>
      </c>
      <c r="L23" s="408">
        <v>431.88</v>
      </c>
      <c r="M23" s="407">
        <v>1365</v>
      </c>
      <c r="N23" s="283"/>
      <c r="O23" s="283"/>
      <c r="P23" s="283">
        <v>1247</v>
      </c>
      <c r="Q23" s="283">
        <v>594</v>
      </c>
      <c r="R23" s="283">
        <v>1283</v>
      </c>
      <c r="S23" s="296">
        <f t="shared" si="0"/>
        <v>1744.1100000000001</v>
      </c>
      <c r="T23" s="297">
        <f t="shared" si="5"/>
        <v>4489</v>
      </c>
      <c r="U23" s="297">
        <f t="shared" si="6"/>
        <v>0.38852973936288709</v>
      </c>
      <c r="V23" s="286"/>
      <c r="W23" s="298"/>
      <c r="X23" s="269">
        <v>39</v>
      </c>
      <c r="Y23" s="298"/>
      <c r="Z23" s="281">
        <v>30.21</v>
      </c>
      <c r="AA23" s="376"/>
      <c r="AB23" s="298"/>
      <c r="AC23" s="298">
        <v>40.07</v>
      </c>
      <c r="AD23" s="298"/>
      <c r="AE23" s="298"/>
      <c r="AF23" s="298"/>
      <c r="AG23" s="298"/>
      <c r="AH23" s="298">
        <v>143</v>
      </c>
      <c r="AI23" s="298"/>
      <c r="AJ23" s="374">
        <f t="shared" si="4"/>
        <v>252.28</v>
      </c>
      <c r="AK23" s="290"/>
      <c r="AL23" s="290"/>
      <c r="AM23" s="290"/>
      <c r="AN23" s="290"/>
      <c r="AO23" s="290"/>
      <c r="AP23" s="290"/>
      <c r="AQ23" s="290"/>
      <c r="AR23" s="292">
        <f t="shared" si="2"/>
        <v>1996.39</v>
      </c>
      <c r="AS23" s="300">
        <f t="shared" si="9"/>
        <v>0</v>
      </c>
      <c r="AT23" s="389">
        <f t="shared" si="7"/>
        <v>42958.502000000008</v>
      </c>
    </row>
    <row r="24" spans="1:46" ht="14.25">
      <c r="A24" s="294">
        <v>43813</v>
      </c>
      <c r="B24" s="308">
        <v>0.1429</v>
      </c>
      <c r="C24" s="295">
        <f t="shared" si="8"/>
        <v>40962.112000000008</v>
      </c>
      <c r="D24" s="302"/>
      <c r="E24" s="279"/>
      <c r="F24" s="303"/>
      <c r="G24" s="281">
        <v>428.98</v>
      </c>
      <c r="H24" s="298">
        <v>488.94</v>
      </c>
      <c r="I24" s="304"/>
      <c r="J24" s="281">
        <v>485.06</v>
      </c>
      <c r="K24" s="281"/>
      <c r="L24" s="408">
        <v>315.39</v>
      </c>
      <c r="M24" s="407">
        <v>981</v>
      </c>
      <c r="N24" s="407">
        <v>1167</v>
      </c>
      <c r="O24" s="283"/>
      <c r="P24" s="283">
        <v>1315</v>
      </c>
      <c r="Q24" s="283"/>
      <c r="R24" s="283">
        <v>997</v>
      </c>
      <c r="S24" s="296">
        <f t="shared" si="0"/>
        <v>1718.37</v>
      </c>
      <c r="T24" s="297">
        <f t="shared" si="5"/>
        <v>4460</v>
      </c>
      <c r="U24" s="297">
        <f t="shared" si="6"/>
        <v>0.38528475336322865</v>
      </c>
      <c r="V24" s="286"/>
      <c r="W24" s="298"/>
      <c r="X24" s="269">
        <v>22.68</v>
      </c>
      <c r="Y24" s="298"/>
      <c r="Z24" s="281">
        <v>33.72</v>
      </c>
      <c r="AA24" s="376"/>
      <c r="AB24" s="298"/>
      <c r="AC24" s="298"/>
      <c r="AD24" s="298"/>
      <c r="AE24" s="298"/>
      <c r="AF24" s="298"/>
      <c r="AG24" s="298"/>
      <c r="AH24" s="298">
        <v>168</v>
      </c>
      <c r="AI24" s="298"/>
      <c r="AJ24" s="374">
        <f t="shared" si="4"/>
        <v>224.4</v>
      </c>
      <c r="AK24" s="290"/>
      <c r="AL24" s="290"/>
      <c r="AM24" s="290"/>
      <c r="AN24" s="290"/>
      <c r="AO24" s="290"/>
      <c r="AP24" s="290"/>
      <c r="AQ24" s="290"/>
      <c r="AR24" s="292">
        <f t="shared" si="2"/>
        <v>1942.77</v>
      </c>
      <c r="AS24" s="300">
        <f t="shared" si="9"/>
        <v>0</v>
      </c>
      <c r="AT24" s="389">
        <f t="shared" si="7"/>
        <v>40962.112000000008</v>
      </c>
    </row>
    <row r="25" spans="1:46" ht="14.25">
      <c r="A25" s="294">
        <v>43814</v>
      </c>
      <c r="B25" s="308">
        <v>0.15579999999999999</v>
      </c>
      <c r="C25" s="295">
        <f t="shared" si="8"/>
        <v>39019.342000000011</v>
      </c>
      <c r="D25" s="302"/>
      <c r="E25" s="279"/>
      <c r="F25" s="303"/>
      <c r="G25" s="281">
        <v>499.1</v>
      </c>
      <c r="H25" s="298">
        <v>359.02</v>
      </c>
      <c r="I25" s="304"/>
      <c r="J25" s="281">
        <v>301.74</v>
      </c>
      <c r="K25" s="281">
        <v>638.86</v>
      </c>
      <c r="L25" s="408"/>
      <c r="M25" s="407">
        <v>1141</v>
      </c>
      <c r="N25" s="283">
        <v>846</v>
      </c>
      <c r="O25" s="283"/>
      <c r="P25" s="283">
        <v>1138</v>
      </c>
      <c r="Q25" s="283">
        <v>1401</v>
      </c>
      <c r="R25" s="283"/>
      <c r="S25" s="296">
        <f t="shared" si="0"/>
        <v>1798.7200000000003</v>
      </c>
      <c r="T25" s="297">
        <f t="shared" si="5"/>
        <v>4526</v>
      </c>
      <c r="U25" s="297">
        <f t="shared" si="6"/>
        <v>0.39741935483870972</v>
      </c>
      <c r="V25" s="286"/>
      <c r="W25" s="298">
        <v>47</v>
      </c>
      <c r="X25" s="269">
        <v>15.59</v>
      </c>
      <c r="Y25" s="298"/>
      <c r="Z25" s="281"/>
      <c r="AA25" s="376"/>
      <c r="AB25" s="298"/>
      <c r="AC25" s="298"/>
      <c r="AD25" s="298">
        <v>199.02</v>
      </c>
      <c r="AE25" s="298"/>
      <c r="AF25" s="298"/>
      <c r="AG25" s="298"/>
      <c r="AH25" s="298"/>
      <c r="AI25" s="298"/>
      <c r="AJ25" s="374">
        <f t="shared" si="4"/>
        <v>261.61</v>
      </c>
      <c r="AK25" s="290"/>
      <c r="AL25" s="290"/>
      <c r="AM25" s="290"/>
      <c r="AN25" s="290"/>
      <c r="AO25" s="290"/>
      <c r="AP25" s="290"/>
      <c r="AQ25" s="290"/>
      <c r="AR25" s="292">
        <f t="shared" si="2"/>
        <v>2060.3300000000004</v>
      </c>
      <c r="AS25" s="300">
        <f t="shared" si="9"/>
        <v>0</v>
      </c>
      <c r="AT25" s="389">
        <f t="shared" si="7"/>
        <v>39019.342000000011</v>
      </c>
    </row>
    <row r="26" spans="1:46" ht="14.25">
      <c r="A26" s="294">
        <v>43815</v>
      </c>
      <c r="B26" s="308">
        <v>0.15579999999999999</v>
      </c>
      <c r="C26" s="295">
        <f t="shared" si="8"/>
        <v>36959.01200000001</v>
      </c>
      <c r="D26" s="302"/>
      <c r="E26" s="279"/>
      <c r="F26" s="303"/>
      <c r="G26" s="281">
        <v>177</v>
      </c>
      <c r="H26" s="298">
        <v>277.18</v>
      </c>
      <c r="I26" s="304"/>
      <c r="J26" s="281">
        <v>536.69000000000005</v>
      </c>
      <c r="K26" s="281">
        <v>427.16</v>
      </c>
      <c r="L26" s="408">
        <v>393.6</v>
      </c>
      <c r="M26" s="407">
        <v>404</v>
      </c>
      <c r="N26" s="283">
        <v>755</v>
      </c>
      <c r="O26" s="283"/>
      <c r="P26" s="283">
        <v>1278</v>
      </c>
      <c r="Q26" s="283">
        <v>964</v>
      </c>
      <c r="R26" s="283">
        <v>1015</v>
      </c>
      <c r="S26" s="296">
        <f t="shared" si="0"/>
        <v>1811.63</v>
      </c>
      <c r="T26" s="297">
        <f t="shared" si="5"/>
        <v>4416</v>
      </c>
      <c r="U26" s="297">
        <f t="shared" si="6"/>
        <v>0.41024230072463769</v>
      </c>
      <c r="V26" s="286"/>
      <c r="W26" s="298"/>
      <c r="X26" s="269">
        <v>21.11</v>
      </c>
      <c r="Y26" s="298"/>
      <c r="Z26" s="298"/>
      <c r="AA26" s="376"/>
      <c r="AB26" s="298"/>
      <c r="AC26" s="298"/>
      <c r="AD26" s="298"/>
      <c r="AE26" s="298"/>
      <c r="AF26" s="298"/>
      <c r="AG26" s="298"/>
      <c r="AH26" s="298">
        <v>83</v>
      </c>
      <c r="AI26" s="298"/>
      <c r="AJ26" s="374">
        <f t="shared" si="4"/>
        <v>104.11</v>
      </c>
      <c r="AK26" s="290"/>
      <c r="AL26" s="290"/>
      <c r="AM26" s="290"/>
      <c r="AN26" s="290"/>
      <c r="AO26" s="290"/>
      <c r="AP26" s="290"/>
      <c r="AQ26" s="290"/>
      <c r="AR26" s="292">
        <f t="shared" si="2"/>
        <v>1915.74</v>
      </c>
      <c r="AS26" s="300">
        <f t="shared" si="9"/>
        <v>0</v>
      </c>
      <c r="AT26" s="389">
        <f t="shared" si="7"/>
        <v>36959.01200000001</v>
      </c>
    </row>
    <row r="27" spans="1:46" ht="14.25">
      <c r="A27" s="294">
        <v>43816</v>
      </c>
      <c r="B27" s="308">
        <v>0.36359999999999998</v>
      </c>
      <c r="C27" s="295">
        <f t="shared" si="8"/>
        <v>35043.272000000012</v>
      </c>
      <c r="D27" s="302"/>
      <c r="E27" s="279"/>
      <c r="F27" s="303"/>
      <c r="G27" s="281">
        <v>369.83</v>
      </c>
      <c r="H27" s="298">
        <v>456.37</v>
      </c>
      <c r="I27" s="304"/>
      <c r="J27" s="281">
        <v>605.05999999999995</v>
      </c>
      <c r="K27" s="281"/>
      <c r="L27" s="408">
        <v>553.20000000000005</v>
      </c>
      <c r="M27" s="407">
        <v>929</v>
      </c>
      <c r="N27" s="283">
        <v>1081</v>
      </c>
      <c r="O27" s="283"/>
      <c r="P27" s="283">
        <v>1499</v>
      </c>
      <c r="Q27" s="283">
        <v>197</v>
      </c>
      <c r="R27" s="283">
        <v>1296</v>
      </c>
      <c r="S27" s="296">
        <f t="shared" si="0"/>
        <v>1984.46</v>
      </c>
      <c r="T27" s="297">
        <f t="shared" si="5"/>
        <v>5002</v>
      </c>
      <c r="U27" s="297">
        <f t="shared" si="6"/>
        <v>0.39673330667732909</v>
      </c>
      <c r="V27" s="286"/>
      <c r="W27" s="298"/>
      <c r="X27" s="269">
        <v>22.4</v>
      </c>
      <c r="Y27" s="298">
        <v>30.45</v>
      </c>
      <c r="Z27" s="281">
        <v>32.29</v>
      </c>
      <c r="AA27" s="376"/>
      <c r="AB27" s="298"/>
      <c r="AC27" s="298"/>
      <c r="AD27" s="298"/>
      <c r="AE27" s="298"/>
      <c r="AF27" s="298"/>
      <c r="AG27" s="298"/>
      <c r="AH27" s="298">
        <v>125</v>
      </c>
      <c r="AI27" s="298"/>
      <c r="AJ27" s="374">
        <f t="shared" si="4"/>
        <v>210.14</v>
      </c>
      <c r="AK27" s="290"/>
      <c r="AL27" s="290"/>
      <c r="AM27" s="290"/>
      <c r="AN27" s="290"/>
      <c r="AO27" s="290"/>
      <c r="AP27" s="290"/>
      <c r="AQ27" s="290"/>
      <c r="AR27" s="292">
        <f t="shared" si="2"/>
        <v>2194.6</v>
      </c>
      <c r="AS27" s="300">
        <f t="shared" si="9"/>
        <v>0</v>
      </c>
      <c r="AT27" s="389">
        <f t="shared" si="7"/>
        <v>35043.272000000012</v>
      </c>
    </row>
    <row r="28" spans="1:46" ht="14.25">
      <c r="A28" s="294">
        <v>43817</v>
      </c>
      <c r="B28" s="308">
        <v>0.35049999999999998</v>
      </c>
      <c r="C28" s="295">
        <f>SUM(C27-AR27+D28)</f>
        <v>32848.672000000013</v>
      </c>
      <c r="D28" s="302"/>
      <c r="E28" s="279"/>
      <c r="F28" s="303"/>
      <c r="G28" s="281"/>
      <c r="H28" s="298"/>
      <c r="I28" s="282"/>
      <c r="J28" s="281"/>
      <c r="K28" s="281"/>
      <c r="L28" s="408"/>
      <c r="M28" s="407"/>
      <c r="N28" s="283"/>
      <c r="O28" s="283"/>
      <c r="P28" s="283"/>
      <c r="Q28" s="283"/>
      <c r="R28" s="283"/>
      <c r="S28" s="296">
        <f t="shared" si="0"/>
        <v>0</v>
      </c>
      <c r="T28" s="297">
        <f t="shared" si="5"/>
        <v>0</v>
      </c>
      <c r="U28" s="297" t="e">
        <f t="shared" si="6"/>
        <v>#DIV/0!</v>
      </c>
      <c r="V28" s="286"/>
      <c r="W28" s="298"/>
      <c r="X28" s="269"/>
      <c r="Y28" s="298"/>
      <c r="Z28" s="281"/>
      <c r="AA28" s="376"/>
      <c r="AB28" s="298"/>
      <c r="AC28" s="298"/>
      <c r="AD28" s="298"/>
      <c r="AE28" s="298"/>
      <c r="AF28" s="298"/>
      <c r="AG28" s="298"/>
      <c r="AH28" s="298"/>
      <c r="AI28" s="298"/>
      <c r="AJ28" s="374">
        <f>SUM(V28:AI28)</f>
        <v>0</v>
      </c>
      <c r="AK28" s="290"/>
      <c r="AL28" s="290"/>
      <c r="AM28" s="290"/>
      <c r="AN28" s="290"/>
      <c r="AO28" s="290"/>
      <c r="AP28" s="290"/>
      <c r="AQ28" s="290"/>
      <c r="AR28" s="292">
        <f t="shared" si="2"/>
        <v>0</v>
      </c>
      <c r="AS28" s="300">
        <f t="shared" si="9"/>
        <v>0</v>
      </c>
      <c r="AT28" s="389">
        <f t="shared" si="7"/>
        <v>32848.672000000013</v>
      </c>
    </row>
    <row r="29" spans="1:46" ht="14.25">
      <c r="A29" s="294">
        <v>43818</v>
      </c>
      <c r="B29" s="308"/>
      <c r="C29" s="295">
        <f t="shared" si="8"/>
        <v>32848.672000000013</v>
      </c>
      <c r="D29" s="302"/>
      <c r="E29" s="279">
        <v>18000</v>
      </c>
      <c r="F29" s="303" t="s">
        <v>318</v>
      </c>
      <c r="G29" s="281"/>
      <c r="H29" s="298"/>
      <c r="I29" s="282"/>
      <c r="J29" s="281"/>
      <c r="K29" s="281"/>
      <c r="L29" s="408"/>
      <c r="M29" s="407"/>
      <c r="N29" s="283"/>
      <c r="O29" s="283"/>
      <c r="P29" s="283"/>
      <c r="Q29" s="283"/>
      <c r="R29" s="283"/>
      <c r="S29" s="296">
        <f t="shared" si="0"/>
        <v>0</v>
      </c>
      <c r="T29" s="297">
        <f>SUM(M29:R29)</f>
        <v>0</v>
      </c>
      <c r="U29" s="297" t="e">
        <f t="shared" si="6"/>
        <v>#DIV/0!</v>
      </c>
      <c r="V29" s="286"/>
      <c r="W29" s="298"/>
      <c r="X29" s="269"/>
      <c r="Y29" s="298"/>
      <c r="Z29" s="281"/>
      <c r="AA29" s="376"/>
      <c r="AB29" s="298"/>
      <c r="AC29" s="298"/>
      <c r="AD29" s="298"/>
      <c r="AE29" s="298"/>
      <c r="AF29" s="298"/>
      <c r="AG29" s="298"/>
      <c r="AH29" s="298"/>
      <c r="AI29" s="298"/>
      <c r="AJ29" s="374">
        <f t="shared" si="4"/>
        <v>0</v>
      </c>
      <c r="AK29" s="290"/>
      <c r="AL29" s="290"/>
      <c r="AM29" s="290"/>
      <c r="AN29" s="290"/>
      <c r="AO29" s="290"/>
      <c r="AP29" s="290"/>
      <c r="AQ29" s="290"/>
      <c r="AR29" s="292">
        <f t="shared" si="2"/>
        <v>0</v>
      </c>
      <c r="AS29" s="300">
        <f t="shared" si="9"/>
        <v>0</v>
      </c>
      <c r="AT29" s="389">
        <f t="shared" si="7"/>
        <v>32848.672000000013</v>
      </c>
    </row>
    <row r="30" spans="1:46" ht="14.25">
      <c r="A30" s="294">
        <v>43819</v>
      </c>
      <c r="B30" s="308"/>
      <c r="C30" s="295">
        <f t="shared" si="8"/>
        <v>32848.672000000013</v>
      </c>
      <c r="D30" s="302"/>
      <c r="E30" s="279"/>
      <c r="F30" s="280"/>
      <c r="G30" s="281"/>
      <c r="H30" s="298"/>
      <c r="I30" s="282"/>
      <c r="J30" s="281"/>
      <c r="K30" s="281"/>
      <c r="L30" s="408"/>
      <c r="M30" s="407"/>
      <c r="N30" s="283"/>
      <c r="O30" s="283"/>
      <c r="P30" s="283"/>
      <c r="Q30" s="283"/>
      <c r="R30" s="283"/>
      <c r="S30" s="296">
        <f t="shared" si="0"/>
        <v>0</v>
      </c>
      <c r="T30" s="297">
        <f t="shared" si="5"/>
        <v>0</v>
      </c>
      <c r="U30" s="297" t="e">
        <f t="shared" si="6"/>
        <v>#DIV/0!</v>
      </c>
      <c r="V30" s="286"/>
      <c r="W30" s="298"/>
      <c r="X30" s="269"/>
      <c r="Y30" s="298"/>
      <c r="Z30" s="281"/>
      <c r="AA30" s="376"/>
      <c r="AB30" s="298"/>
      <c r="AC30" s="298"/>
      <c r="AD30" s="298"/>
      <c r="AE30" s="298"/>
      <c r="AF30" s="298"/>
      <c r="AG30" s="298"/>
      <c r="AH30" s="298"/>
      <c r="AI30" s="298"/>
      <c r="AJ30" s="374">
        <f t="shared" si="4"/>
        <v>0</v>
      </c>
      <c r="AK30" s="290"/>
      <c r="AL30" s="290"/>
      <c r="AM30" s="290"/>
      <c r="AN30" s="290"/>
      <c r="AO30" s="290"/>
      <c r="AP30" s="290"/>
      <c r="AQ30" s="290"/>
      <c r="AR30" s="292">
        <f t="shared" si="2"/>
        <v>0</v>
      </c>
      <c r="AS30" s="300">
        <f t="shared" si="9"/>
        <v>0</v>
      </c>
      <c r="AT30" s="389">
        <f t="shared" si="7"/>
        <v>32848.672000000013</v>
      </c>
    </row>
    <row r="31" spans="1:46" ht="14.25">
      <c r="A31" s="294">
        <v>43820</v>
      </c>
      <c r="B31" s="308"/>
      <c r="C31" s="295">
        <f t="shared" si="8"/>
        <v>32848.672000000013</v>
      </c>
      <c r="D31" s="302"/>
      <c r="E31" s="279"/>
      <c r="F31" s="280"/>
      <c r="G31" s="281"/>
      <c r="H31" s="298"/>
      <c r="I31" s="282"/>
      <c r="J31" s="281"/>
      <c r="K31" s="281"/>
      <c r="L31" s="408"/>
      <c r="M31" s="407"/>
      <c r="N31" s="283"/>
      <c r="O31" s="283"/>
      <c r="P31" s="283"/>
      <c r="Q31" s="283"/>
      <c r="R31" s="283"/>
      <c r="S31" s="296">
        <f t="shared" si="0"/>
        <v>0</v>
      </c>
      <c r="T31" s="297">
        <f t="shared" si="5"/>
        <v>0</v>
      </c>
      <c r="U31" s="297" t="e">
        <f t="shared" si="6"/>
        <v>#DIV/0!</v>
      </c>
      <c r="V31" s="286"/>
      <c r="W31" s="298"/>
      <c r="X31" s="269"/>
      <c r="Y31" s="298"/>
      <c r="Z31" s="281"/>
      <c r="AA31" s="376"/>
      <c r="AB31" s="298"/>
      <c r="AC31" s="298"/>
      <c r="AD31" s="298"/>
      <c r="AE31" s="298"/>
      <c r="AF31" s="298"/>
      <c r="AG31" s="298"/>
      <c r="AH31" s="298"/>
      <c r="AI31" s="298"/>
      <c r="AJ31" s="374">
        <f t="shared" si="4"/>
        <v>0</v>
      </c>
      <c r="AK31" s="290"/>
      <c r="AL31" s="290"/>
      <c r="AM31" s="290"/>
      <c r="AN31" s="290"/>
      <c r="AO31" s="290"/>
      <c r="AP31" s="290"/>
      <c r="AQ31" s="290"/>
      <c r="AR31" s="292">
        <f t="shared" si="2"/>
        <v>0</v>
      </c>
      <c r="AS31" s="300">
        <f t="shared" si="9"/>
        <v>0</v>
      </c>
      <c r="AT31" s="389">
        <f t="shared" si="7"/>
        <v>32848.672000000013</v>
      </c>
    </row>
    <row r="32" spans="1:46" ht="14.25">
      <c r="A32" s="294">
        <v>43821</v>
      </c>
      <c r="B32" s="308"/>
      <c r="C32" s="295">
        <f t="shared" si="8"/>
        <v>32848.672000000013</v>
      </c>
      <c r="D32" s="302"/>
      <c r="E32" s="279"/>
      <c r="F32" s="303"/>
      <c r="G32" s="281"/>
      <c r="H32" s="298"/>
      <c r="I32" s="282"/>
      <c r="J32" s="281"/>
      <c r="K32" s="281"/>
      <c r="L32" s="408"/>
      <c r="M32" s="407"/>
      <c r="N32" s="283"/>
      <c r="O32" s="283"/>
      <c r="P32" s="283"/>
      <c r="Q32" s="283"/>
      <c r="R32" s="283"/>
      <c r="S32" s="296">
        <f t="shared" si="0"/>
        <v>0</v>
      </c>
      <c r="T32" s="297">
        <f t="shared" si="5"/>
        <v>0</v>
      </c>
      <c r="U32" s="297" t="e">
        <f t="shared" si="6"/>
        <v>#DIV/0!</v>
      </c>
      <c r="V32" s="286"/>
      <c r="W32" s="298"/>
      <c r="X32" s="269"/>
      <c r="Y32" s="298"/>
      <c r="Z32" s="281"/>
      <c r="AA32" s="376"/>
      <c r="AB32" s="298"/>
      <c r="AC32" s="298"/>
      <c r="AD32" s="298"/>
      <c r="AE32" s="298"/>
      <c r="AF32" s="298"/>
      <c r="AG32" s="298"/>
      <c r="AH32" s="298"/>
      <c r="AI32" s="298"/>
      <c r="AJ32" s="374">
        <f t="shared" si="4"/>
        <v>0</v>
      </c>
      <c r="AK32" s="290"/>
      <c r="AL32" s="290"/>
      <c r="AM32" s="290"/>
      <c r="AN32" s="290"/>
      <c r="AO32" s="290"/>
      <c r="AP32" s="290"/>
      <c r="AQ32" s="290"/>
      <c r="AR32" s="292">
        <f t="shared" si="2"/>
        <v>0</v>
      </c>
      <c r="AS32" s="300">
        <f t="shared" si="9"/>
        <v>0</v>
      </c>
      <c r="AT32" s="389">
        <f t="shared" si="7"/>
        <v>32848.672000000013</v>
      </c>
    </row>
    <row r="33" spans="1:47" ht="14.25">
      <c r="A33" s="294">
        <v>43822</v>
      </c>
      <c r="B33" s="308"/>
      <c r="C33" s="295">
        <f t="shared" si="8"/>
        <v>32848.672000000013</v>
      </c>
      <c r="D33" s="302"/>
      <c r="E33" s="279"/>
      <c r="F33" s="280"/>
      <c r="G33" s="281"/>
      <c r="H33" s="298"/>
      <c r="I33" s="282"/>
      <c r="J33" s="281"/>
      <c r="K33" s="281"/>
      <c r="L33" s="408"/>
      <c r="M33" s="407"/>
      <c r="N33" s="283"/>
      <c r="O33" s="283"/>
      <c r="P33" s="283"/>
      <c r="Q33" s="283"/>
      <c r="R33" s="283"/>
      <c r="S33" s="296">
        <f t="shared" si="0"/>
        <v>0</v>
      </c>
      <c r="T33" s="297">
        <f>SUM(M33:R33)</f>
        <v>0</v>
      </c>
      <c r="U33" s="297" t="e">
        <f t="shared" si="6"/>
        <v>#DIV/0!</v>
      </c>
      <c r="V33" s="286"/>
      <c r="W33" s="298"/>
      <c r="X33" s="269"/>
      <c r="Y33" s="298"/>
      <c r="Z33" s="281"/>
      <c r="AA33" s="376"/>
      <c r="AB33" s="298"/>
      <c r="AC33" s="298"/>
      <c r="AD33" s="298"/>
      <c r="AE33" s="298"/>
      <c r="AF33" s="298"/>
      <c r="AG33" s="298"/>
      <c r="AH33" s="298"/>
      <c r="AI33" s="298"/>
      <c r="AJ33" s="374">
        <f t="shared" si="4"/>
        <v>0</v>
      </c>
      <c r="AK33" s="290"/>
      <c r="AL33" s="290"/>
      <c r="AM33" s="290"/>
      <c r="AN33" s="290"/>
      <c r="AO33" s="290"/>
      <c r="AP33" s="290"/>
      <c r="AQ33" s="290"/>
      <c r="AR33" s="292">
        <f t="shared" si="2"/>
        <v>0</v>
      </c>
      <c r="AS33" s="300">
        <f t="shared" si="9"/>
        <v>0</v>
      </c>
      <c r="AT33" s="389">
        <f t="shared" si="7"/>
        <v>32848.672000000013</v>
      </c>
      <c r="AU33" s="247">
        <f t="shared" ref="AU33:AU41" si="10">SUM(AU32)</f>
        <v>0</v>
      </c>
    </row>
    <row r="34" spans="1:47" ht="14.25">
      <c r="A34" s="294">
        <v>43823</v>
      </c>
      <c r="B34" s="308"/>
      <c r="C34" s="295">
        <f t="shared" si="8"/>
        <v>32848.672000000013</v>
      </c>
      <c r="D34" s="302"/>
      <c r="E34" s="279"/>
      <c r="F34" s="280"/>
      <c r="G34" s="281"/>
      <c r="H34" s="298"/>
      <c r="I34" s="282"/>
      <c r="J34" s="281"/>
      <c r="K34" s="281"/>
      <c r="L34" s="408"/>
      <c r="M34" s="407"/>
      <c r="N34" s="283"/>
      <c r="O34" s="283"/>
      <c r="P34" s="283"/>
      <c r="Q34" s="283"/>
      <c r="R34" s="283"/>
      <c r="S34" s="296">
        <f t="shared" si="0"/>
        <v>0</v>
      </c>
      <c r="T34" s="297">
        <f t="shared" si="5"/>
        <v>0</v>
      </c>
      <c r="U34" s="297" t="e">
        <f t="shared" si="6"/>
        <v>#DIV/0!</v>
      </c>
      <c r="V34" s="286"/>
      <c r="W34" s="298"/>
      <c r="X34" s="269"/>
      <c r="Y34" s="298"/>
      <c r="Z34" s="281"/>
      <c r="AA34" s="376"/>
      <c r="AB34" s="298"/>
      <c r="AC34" s="298"/>
      <c r="AD34" s="298"/>
      <c r="AE34" s="298"/>
      <c r="AF34" s="298"/>
      <c r="AG34" s="298"/>
      <c r="AH34" s="298"/>
      <c r="AI34" s="298"/>
      <c r="AJ34" s="374">
        <f t="shared" si="4"/>
        <v>0</v>
      </c>
      <c r="AK34" s="290"/>
      <c r="AL34" s="290"/>
      <c r="AM34" s="290"/>
      <c r="AN34" s="290"/>
      <c r="AO34" s="290"/>
      <c r="AP34" s="290"/>
      <c r="AQ34" s="290"/>
      <c r="AR34" s="292">
        <f t="shared" si="2"/>
        <v>0</v>
      </c>
      <c r="AS34" s="300">
        <f t="shared" si="9"/>
        <v>0</v>
      </c>
      <c r="AT34" s="389">
        <f t="shared" si="7"/>
        <v>32848.672000000013</v>
      </c>
      <c r="AU34" s="247">
        <f t="shared" si="10"/>
        <v>0</v>
      </c>
    </row>
    <row r="35" spans="1:47" ht="14.25">
      <c r="A35" s="294">
        <v>43824</v>
      </c>
      <c r="B35" s="308"/>
      <c r="C35" s="295">
        <f t="shared" si="8"/>
        <v>32848.672000000013</v>
      </c>
      <c r="D35" s="302"/>
      <c r="E35" s="279"/>
      <c r="F35" s="280"/>
      <c r="G35" s="281"/>
      <c r="H35" s="298"/>
      <c r="I35" s="282"/>
      <c r="J35" s="281"/>
      <c r="K35" s="281"/>
      <c r="L35" s="408"/>
      <c r="M35" s="407"/>
      <c r="N35" s="283"/>
      <c r="O35" s="283"/>
      <c r="P35" s="283"/>
      <c r="Q35" s="283"/>
      <c r="R35" s="283"/>
      <c r="S35" s="296">
        <f t="shared" si="0"/>
        <v>0</v>
      </c>
      <c r="T35" s="297">
        <f t="shared" si="5"/>
        <v>0</v>
      </c>
      <c r="U35" s="297" t="e">
        <f t="shared" si="6"/>
        <v>#DIV/0!</v>
      </c>
      <c r="V35" s="286"/>
      <c r="W35" s="298"/>
      <c r="X35" s="269"/>
      <c r="Y35" s="298"/>
      <c r="Z35" s="281"/>
      <c r="AA35" s="376"/>
      <c r="AB35" s="298"/>
      <c r="AC35" s="298"/>
      <c r="AD35" s="298"/>
      <c r="AE35" s="298"/>
      <c r="AF35" s="298"/>
      <c r="AG35" s="298"/>
      <c r="AH35" s="298"/>
      <c r="AI35" s="298"/>
      <c r="AJ35" s="374">
        <f t="shared" si="4"/>
        <v>0</v>
      </c>
      <c r="AK35" s="290"/>
      <c r="AL35" s="290"/>
      <c r="AM35" s="290"/>
      <c r="AN35" s="290"/>
      <c r="AO35" s="290"/>
      <c r="AP35" s="290"/>
      <c r="AQ35" s="290"/>
      <c r="AR35" s="292">
        <f t="shared" si="2"/>
        <v>0</v>
      </c>
      <c r="AS35" s="300">
        <f t="shared" si="9"/>
        <v>0</v>
      </c>
      <c r="AT35" s="389">
        <f t="shared" si="7"/>
        <v>32848.672000000013</v>
      </c>
      <c r="AU35" s="247">
        <f t="shared" si="10"/>
        <v>0</v>
      </c>
    </row>
    <row r="36" spans="1:47" ht="14.25">
      <c r="A36" s="294">
        <v>43825</v>
      </c>
      <c r="B36" s="308"/>
      <c r="C36" s="295">
        <f t="shared" si="8"/>
        <v>32848.672000000013</v>
      </c>
      <c r="D36" s="302"/>
      <c r="E36" s="279"/>
      <c r="F36" s="280"/>
      <c r="G36" s="281"/>
      <c r="H36" s="298"/>
      <c r="I36" s="282"/>
      <c r="J36" s="281"/>
      <c r="K36" s="281"/>
      <c r="L36" s="408"/>
      <c r="M36" s="407"/>
      <c r="N36" s="283"/>
      <c r="O36" s="283"/>
      <c r="P36" s="283"/>
      <c r="Q36" s="283"/>
      <c r="R36" s="283"/>
      <c r="S36" s="296">
        <f t="shared" si="0"/>
        <v>0</v>
      </c>
      <c r="T36" s="297">
        <f t="shared" si="5"/>
        <v>0</v>
      </c>
      <c r="U36" s="297" t="e">
        <f t="shared" si="6"/>
        <v>#DIV/0!</v>
      </c>
      <c r="V36" s="286"/>
      <c r="W36" s="298"/>
      <c r="X36" s="269"/>
      <c r="Y36" s="298"/>
      <c r="Z36" s="281"/>
      <c r="AA36" s="376"/>
      <c r="AB36" s="298"/>
      <c r="AC36" s="298"/>
      <c r="AD36" s="298"/>
      <c r="AE36" s="298"/>
      <c r="AF36" s="298"/>
      <c r="AG36" s="298"/>
      <c r="AH36" s="298"/>
      <c r="AI36" s="298"/>
      <c r="AJ36" s="374">
        <f t="shared" si="4"/>
        <v>0</v>
      </c>
      <c r="AK36" s="290"/>
      <c r="AL36" s="290"/>
      <c r="AM36" s="290"/>
      <c r="AN36" s="290"/>
      <c r="AO36" s="290"/>
      <c r="AP36" s="290"/>
      <c r="AQ36" s="290"/>
      <c r="AR36" s="292">
        <f t="shared" si="2"/>
        <v>0</v>
      </c>
      <c r="AS36" s="300">
        <f t="shared" si="9"/>
        <v>0</v>
      </c>
      <c r="AT36" s="389">
        <f t="shared" si="7"/>
        <v>32848.672000000013</v>
      </c>
      <c r="AU36" s="247">
        <f t="shared" si="10"/>
        <v>0</v>
      </c>
    </row>
    <row r="37" spans="1:47" ht="14.25">
      <c r="A37" s="294">
        <v>43826</v>
      </c>
      <c r="B37" s="308"/>
      <c r="C37" s="295">
        <f t="shared" si="8"/>
        <v>32848.672000000013</v>
      </c>
      <c r="D37" s="302"/>
      <c r="E37" s="279"/>
      <c r="F37" s="280"/>
      <c r="G37" s="281"/>
      <c r="H37" s="298"/>
      <c r="I37" s="282"/>
      <c r="J37" s="281"/>
      <c r="K37" s="281"/>
      <c r="L37" s="408"/>
      <c r="M37" s="407"/>
      <c r="N37" s="283"/>
      <c r="O37" s="283"/>
      <c r="P37" s="283"/>
      <c r="Q37" s="283"/>
      <c r="R37" s="283"/>
      <c r="S37" s="296">
        <f t="shared" si="0"/>
        <v>0</v>
      </c>
      <c r="T37" s="297">
        <f t="shared" si="5"/>
        <v>0</v>
      </c>
      <c r="U37" s="297" t="e">
        <f t="shared" si="6"/>
        <v>#DIV/0!</v>
      </c>
      <c r="V37" s="286"/>
      <c r="W37" s="298"/>
      <c r="X37" s="269"/>
      <c r="Y37" s="298"/>
      <c r="Z37" s="281"/>
      <c r="AA37" s="376"/>
      <c r="AB37" s="298"/>
      <c r="AC37" s="298"/>
      <c r="AD37" s="298"/>
      <c r="AE37" s="298"/>
      <c r="AF37" s="298"/>
      <c r="AG37" s="656"/>
      <c r="AH37" s="298"/>
      <c r="AI37" s="567"/>
      <c r="AJ37" s="374">
        <f t="shared" si="4"/>
        <v>0</v>
      </c>
      <c r="AK37" s="290"/>
      <c r="AL37" s="290"/>
      <c r="AM37" s="290"/>
      <c r="AN37" s="290"/>
      <c r="AO37" s="290"/>
      <c r="AP37" s="290"/>
      <c r="AQ37" s="290"/>
      <c r="AR37" s="292">
        <f t="shared" si="2"/>
        <v>0</v>
      </c>
      <c r="AS37" s="300">
        <f t="shared" si="9"/>
        <v>0</v>
      </c>
      <c r="AT37" s="389">
        <f t="shared" si="7"/>
        <v>32848.672000000013</v>
      </c>
      <c r="AU37" s="247">
        <f t="shared" si="10"/>
        <v>0</v>
      </c>
    </row>
    <row r="38" spans="1:47" ht="14.25">
      <c r="A38" s="294">
        <v>43827</v>
      </c>
      <c r="B38" s="308"/>
      <c r="C38" s="295">
        <f t="shared" si="8"/>
        <v>32848.672000000013</v>
      </c>
      <c r="D38" s="302"/>
      <c r="E38" s="279"/>
      <c r="F38" s="280"/>
      <c r="G38" s="281"/>
      <c r="H38" s="298"/>
      <c r="I38" s="282"/>
      <c r="J38" s="281"/>
      <c r="K38" s="281"/>
      <c r="L38" s="408"/>
      <c r="M38" s="407"/>
      <c r="N38" s="283"/>
      <c r="O38" s="283"/>
      <c r="P38" s="283"/>
      <c r="Q38" s="283"/>
      <c r="R38" s="283"/>
      <c r="S38" s="296">
        <f t="shared" si="0"/>
        <v>0</v>
      </c>
      <c r="T38" s="297">
        <f t="shared" si="5"/>
        <v>0</v>
      </c>
      <c r="U38" s="297" t="e">
        <f t="shared" si="6"/>
        <v>#DIV/0!</v>
      </c>
      <c r="V38" s="286"/>
      <c r="W38" s="298"/>
      <c r="X38" s="269"/>
      <c r="Y38" s="298"/>
      <c r="Z38" s="281"/>
      <c r="AA38" s="376"/>
      <c r="AB38" s="298"/>
      <c r="AC38" s="298"/>
      <c r="AD38" s="298"/>
      <c r="AE38" s="298"/>
      <c r="AF38" s="298"/>
      <c r="AG38" s="656"/>
      <c r="AH38" s="298"/>
      <c r="AI38" s="567"/>
      <c r="AJ38" s="374">
        <f t="shared" si="4"/>
        <v>0</v>
      </c>
      <c r="AK38" s="290"/>
      <c r="AL38" s="290"/>
      <c r="AM38" s="290"/>
      <c r="AN38" s="290"/>
      <c r="AO38" s="290"/>
      <c r="AP38" s="290"/>
      <c r="AQ38" s="290"/>
      <c r="AR38" s="292">
        <f t="shared" si="2"/>
        <v>0</v>
      </c>
      <c r="AS38" s="300">
        <f t="shared" si="9"/>
        <v>0</v>
      </c>
      <c r="AT38" s="389">
        <f t="shared" si="7"/>
        <v>32848.672000000013</v>
      </c>
      <c r="AU38" s="247">
        <f t="shared" si="10"/>
        <v>0</v>
      </c>
    </row>
    <row r="39" spans="1:47" ht="14.25">
      <c r="A39" s="294">
        <v>43828</v>
      </c>
      <c r="B39" s="308"/>
      <c r="C39" s="295">
        <f t="shared" si="8"/>
        <v>32848.672000000013</v>
      </c>
      <c r="D39" s="302"/>
      <c r="E39" s="279">
        <v>15000</v>
      </c>
      <c r="F39" s="303" t="s">
        <v>317</v>
      </c>
      <c r="G39" s="281"/>
      <c r="H39" s="298"/>
      <c r="I39" s="309"/>
      <c r="J39" s="281"/>
      <c r="K39" s="281"/>
      <c r="L39" s="408"/>
      <c r="M39" s="407"/>
      <c r="N39" s="283"/>
      <c r="O39" s="310"/>
      <c r="P39" s="283"/>
      <c r="Q39" s="283"/>
      <c r="R39" s="283"/>
      <c r="S39" s="296">
        <f t="shared" si="0"/>
        <v>0</v>
      </c>
      <c r="T39" s="297">
        <f t="shared" si="5"/>
        <v>0</v>
      </c>
      <c r="U39" s="297" t="e">
        <f t="shared" si="6"/>
        <v>#DIV/0!</v>
      </c>
      <c r="V39" s="286"/>
      <c r="W39" s="298"/>
      <c r="X39" s="269"/>
      <c r="Y39" s="298"/>
      <c r="Z39" s="281"/>
      <c r="AA39" s="376"/>
      <c r="AB39" s="298"/>
      <c r="AC39" s="298"/>
      <c r="AD39" s="298"/>
      <c r="AE39" s="298"/>
      <c r="AF39" s="298"/>
      <c r="AG39" s="656"/>
      <c r="AH39" s="298"/>
      <c r="AI39" s="567"/>
      <c r="AJ39" s="374">
        <f t="shared" si="4"/>
        <v>0</v>
      </c>
      <c r="AK39" s="290"/>
      <c r="AL39" s="290"/>
      <c r="AM39" s="290"/>
      <c r="AN39" s="290"/>
      <c r="AO39" s="290"/>
      <c r="AP39" s="290"/>
      <c r="AQ39" s="290"/>
      <c r="AR39" s="292">
        <f t="shared" si="2"/>
        <v>0</v>
      </c>
      <c r="AS39" s="300">
        <f t="shared" si="9"/>
        <v>0</v>
      </c>
      <c r="AT39" s="389">
        <f t="shared" si="7"/>
        <v>32848.672000000013</v>
      </c>
      <c r="AU39" s="247">
        <f t="shared" si="10"/>
        <v>0</v>
      </c>
    </row>
    <row r="40" spans="1:47" ht="14.25">
      <c r="A40" s="294">
        <v>43829</v>
      </c>
      <c r="B40" s="308"/>
      <c r="C40" s="295">
        <f t="shared" si="8"/>
        <v>32848.672000000013</v>
      </c>
      <c r="D40" s="302"/>
      <c r="E40" s="279"/>
      <c r="F40" s="280"/>
      <c r="G40" s="281"/>
      <c r="H40" s="298"/>
      <c r="I40" s="282"/>
      <c r="J40" s="281"/>
      <c r="K40" s="281"/>
      <c r="L40" s="408"/>
      <c r="M40" s="407"/>
      <c r="N40" s="283"/>
      <c r="O40" s="283"/>
      <c r="P40" s="283"/>
      <c r="Q40" s="283"/>
      <c r="R40" s="283"/>
      <c r="S40" s="296">
        <f t="shared" si="0"/>
        <v>0</v>
      </c>
      <c r="T40" s="297">
        <f t="shared" si="5"/>
        <v>0</v>
      </c>
      <c r="U40" s="297" t="e">
        <f t="shared" si="6"/>
        <v>#DIV/0!</v>
      </c>
      <c r="V40" s="286"/>
      <c r="W40" s="298"/>
      <c r="X40" s="269"/>
      <c r="Y40" s="298"/>
      <c r="Z40" s="281"/>
      <c r="AA40" s="376"/>
      <c r="AB40" s="298"/>
      <c r="AC40" s="298"/>
      <c r="AD40" s="298"/>
      <c r="AE40" s="298"/>
      <c r="AF40" s="298"/>
      <c r="AG40" s="656"/>
      <c r="AH40" s="298"/>
      <c r="AI40" s="567"/>
      <c r="AJ40" s="374">
        <f t="shared" si="4"/>
        <v>0</v>
      </c>
      <c r="AK40" s="290"/>
      <c r="AL40" s="290"/>
      <c r="AM40" s="290"/>
      <c r="AN40" s="290"/>
      <c r="AO40" s="290"/>
      <c r="AP40" s="290"/>
      <c r="AQ40" s="290"/>
      <c r="AR40" s="292">
        <f t="shared" si="2"/>
        <v>0</v>
      </c>
      <c r="AS40" s="300">
        <f t="shared" si="9"/>
        <v>0</v>
      </c>
      <c r="AT40" s="389">
        <f t="shared" si="7"/>
        <v>32848.672000000013</v>
      </c>
      <c r="AU40" s="247">
        <f t="shared" si="10"/>
        <v>0</v>
      </c>
    </row>
    <row r="41" spans="1:47" ht="14.25">
      <c r="A41" s="294">
        <v>43830</v>
      </c>
      <c r="B41" s="308"/>
      <c r="C41" s="295">
        <f t="shared" si="8"/>
        <v>32848.672000000013</v>
      </c>
      <c r="D41" s="302"/>
      <c r="E41" s="279"/>
      <c r="F41" s="280"/>
      <c r="G41" s="281"/>
      <c r="H41" s="281"/>
      <c r="I41" s="281"/>
      <c r="J41" s="281"/>
      <c r="K41" s="281"/>
      <c r="L41" s="408"/>
      <c r="M41" s="407"/>
      <c r="N41" s="283"/>
      <c r="O41" s="283"/>
      <c r="P41" s="283"/>
      <c r="Q41" s="283"/>
      <c r="R41" s="283"/>
      <c r="S41" s="296">
        <f t="shared" si="0"/>
        <v>0</v>
      </c>
      <c r="T41" s="297">
        <f t="shared" si="5"/>
        <v>0</v>
      </c>
      <c r="U41" s="297" t="e">
        <f t="shared" si="6"/>
        <v>#DIV/0!</v>
      </c>
      <c r="V41" s="286"/>
      <c r="W41" s="298"/>
      <c r="X41" s="269"/>
      <c r="Y41" s="298"/>
      <c r="Z41" s="281"/>
      <c r="AA41" s="376"/>
      <c r="AB41" s="298"/>
      <c r="AC41" s="298"/>
      <c r="AD41" s="298"/>
      <c r="AE41" s="298"/>
      <c r="AF41" s="298"/>
      <c r="AG41" s="656"/>
      <c r="AH41" s="298"/>
      <c r="AI41" s="567"/>
      <c r="AJ41" s="374">
        <f t="shared" si="4"/>
        <v>0</v>
      </c>
      <c r="AK41" s="290"/>
      <c r="AL41" s="290"/>
      <c r="AM41" s="290"/>
      <c r="AN41" s="290"/>
      <c r="AO41" s="290"/>
      <c r="AP41" s="290"/>
      <c r="AQ41" s="290"/>
      <c r="AR41" s="292">
        <f t="shared" si="2"/>
        <v>0</v>
      </c>
      <c r="AS41" s="300">
        <f t="shared" si="9"/>
        <v>0</v>
      </c>
      <c r="AT41" s="389">
        <f t="shared" si="7"/>
        <v>32848.672000000013</v>
      </c>
      <c r="AU41" s="247">
        <f t="shared" si="10"/>
        <v>0</v>
      </c>
    </row>
    <row r="42" spans="1:47" ht="14.25">
      <c r="A42" s="294">
        <v>43831</v>
      </c>
      <c r="B42" s="618"/>
      <c r="C42" s="295">
        <f t="shared" si="8"/>
        <v>32848.672000000013</v>
      </c>
      <c r="D42" s="278"/>
      <c r="E42" s="279"/>
      <c r="F42" s="280"/>
      <c r="G42" s="281"/>
      <c r="H42" s="281"/>
      <c r="I42" s="281"/>
      <c r="J42" s="281"/>
      <c r="K42" s="281"/>
      <c r="L42" s="408"/>
      <c r="M42" s="407"/>
      <c r="N42" s="283"/>
      <c r="O42" s="283"/>
      <c r="P42" s="283"/>
      <c r="Q42" s="283"/>
      <c r="R42" s="283"/>
      <c r="S42" s="296">
        <f t="shared" si="0"/>
        <v>0</v>
      </c>
      <c r="T42" s="297">
        <f t="shared" si="5"/>
        <v>0</v>
      </c>
      <c r="U42" s="311"/>
      <c r="V42" s="286"/>
      <c r="W42" s="298"/>
      <c r="X42" s="269"/>
      <c r="Y42" s="298"/>
      <c r="Z42" s="281"/>
      <c r="AA42" s="376"/>
      <c r="AB42" s="298"/>
      <c r="AC42" s="285"/>
      <c r="AD42" s="298"/>
      <c r="AE42" s="298"/>
      <c r="AF42" s="298"/>
      <c r="AG42" s="656"/>
      <c r="AH42" s="298"/>
      <c r="AI42" s="567"/>
      <c r="AJ42" s="374">
        <f t="shared" si="4"/>
        <v>0</v>
      </c>
      <c r="AK42" s="312"/>
      <c r="AL42" s="312"/>
      <c r="AM42" s="312"/>
      <c r="AN42" s="312"/>
      <c r="AO42" s="312"/>
      <c r="AP42" s="312"/>
      <c r="AQ42" s="312"/>
      <c r="AR42" s="292">
        <f t="shared" si="2"/>
        <v>0</v>
      </c>
      <c r="AS42" s="300">
        <f t="shared" si="9"/>
        <v>0</v>
      </c>
      <c r="AT42" s="389">
        <f t="shared" si="7"/>
        <v>32848.672000000013</v>
      </c>
    </row>
    <row r="43" spans="1:47" ht="14.25">
      <c r="A43" s="313" t="s">
        <v>25</v>
      </c>
      <c r="B43" s="702">
        <f>AVERAGE(B11:B42)</f>
        <v>0.15623888888888887</v>
      </c>
      <c r="C43" s="314">
        <f t="shared" si="8"/>
        <v>32848.672000000013</v>
      </c>
      <c r="D43" s="278"/>
      <c r="E43" s="278"/>
      <c r="F43" s="280"/>
      <c r="G43" s="617"/>
      <c r="H43" s="281"/>
      <c r="I43" s="281"/>
      <c r="J43" s="281"/>
      <c r="K43" s="281"/>
      <c r="L43" s="408"/>
      <c r="M43" s="407"/>
      <c r="N43" s="283"/>
      <c r="O43" s="283"/>
      <c r="P43" s="283"/>
      <c r="Q43" s="283"/>
      <c r="R43" s="283"/>
      <c r="S43" s="296">
        <f t="shared" si="0"/>
        <v>0</v>
      </c>
      <c r="T43" s="297">
        <f t="shared" si="5"/>
        <v>0</v>
      </c>
      <c r="U43" s="311"/>
      <c r="V43" s="286"/>
      <c r="W43" s="298"/>
      <c r="X43" s="281"/>
      <c r="Y43" s="285"/>
      <c r="Z43" s="285"/>
      <c r="AA43" s="376"/>
      <c r="AB43" s="285"/>
      <c r="AC43" s="319"/>
      <c r="AD43" s="319"/>
      <c r="AE43" s="298"/>
      <c r="AF43" s="298"/>
      <c r="AG43" s="656"/>
      <c r="AH43" s="285"/>
      <c r="AI43" s="567"/>
      <c r="AJ43" s="374">
        <f t="shared" si="4"/>
        <v>0</v>
      </c>
      <c r="AK43" s="315"/>
      <c r="AL43" s="315"/>
      <c r="AM43" s="315"/>
      <c r="AN43" s="315"/>
      <c r="AO43" s="315"/>
      <c r="AP43" s="315"/>
      <c r="AQ43" s="315"/>
      <c r="AR43" s="292">
        <f t="shared" si="2"/>
        <v>0</v>
      </c>
      <c r="AS43" s="300">
        <f t="shared" si="9"/>
        <v>0</v>
      </c>
      <c r="AT43" s="389">
        <f t="shared" si="7"/>
        <v>32848.672000000013</v>
      </c>
    </row>
    <row r="44" spans="1:47" ht="15" thickBot="1">
      <c r="A44" s="316"/>
      <c r="B44" s="316"/>
      <c r="C44" s="424"/>
      <c r="D44" s="425"/>
      <c r="E44" s="425"/>
      <c r="F44" s="265"/>
      <c r="G44" s="623"/>
      <c r="H44" s="265"/>
      <c r="I44" s="265"/>
      <c r="J44" s="265"/>
      <c r="K44" s="265"/>
      <c r="L44" s="409"/>
      <c r="M44" s="406"/>
      <c r="N44" s="266"/>
      <c r="O44" s="283"/>
      <c r="P44" s="283"/>
      <c r="Q44" s="266"/>
      <c r="R44" s="266"/>
      <c r="S44" s="296">
        <f t="shared" si="0"/>
        <v>0</v>
      </c>
      <c r="T44" s="317"/>
      <c r="U44" s="317"/>
      <c r="V44" s="318"/>
      <c r="W44" s="254"/>
      <c r="X44" s="319"/>
      <c r="Y44" s="319"/>
      <c r="Z44" s="319"/>
      <c r="AA44" s="320"/>
      <c r="AB44" s="319"/>
      <c r="AC44" s="319"/>
      <c r="AD44" s="319"/>
      <c r="AE44" s="319"/>
      <c r="AF44" s="319"/>
      <c r="AG44" s="321"/>
      <c r="AH44" s="567"/>
      <c r="AI44" s="567"/>
      <c r="AJ44" s="374">
        <f t="shared" si="4"/>
        <v>0</v>
      </c>
      <c r="AK44" s="426"/>
      <c r="AL44" s="426"/>
      <c r="AM44" s="426"/>
      <c r="AN44" s="426"/>
      <c r="AO44" s="426"/>
      <c r="AP44" s="426"/>
      <c r="AQ44" s="426"/>
      <c r="AR44" s="427">
        <f>S44+AJ44</f>
        <v>0</v>
      </c>
      <c r="AS44" s="428">
        <f t="shared" si="9"/>
        <v>0</v>
      </c>
      <c r="AT44" s="429"/>
    </row>
    <row r="45" spans="1:47" s="324" customFormat="1" ht="13.5" thickBot="1">
      <c r="A45" s="430"/>
      <c r="B45" s="431"/>
      <c r="C45" s="432"/>
      <c r="D45" s="433">
        <f>SUM(D11:D44)</f>
        <v>33000</v>
      </c>
      <c r="E45" s="433">
        <f>SUM(E11:E42)</f>
        <v>66000</v>
      </c>
      <c r="F45" s="434">
        <f t="shared" ref="F45" si="11">SUM(F11:F44)</f>
        <v>0</v>
      </c>
      <c r="G45" s="590">
        <f>SUM(G11:G44)</f>
        <v>6188.85</v>
      </c>
      <c r="H45" s="590">
        <f t="shared" ref="H45:O45" si="12">SUM(H11:H44)</f>
        <v>5523.3300000000008</v>
      </c>
      <c r="I45" s="590">
        <f t="shared" si="12"/>
        <v>0</v>
      </c>
      <c r="J45" s="590">
        <f t="shared" si="12"/>
        <v>6866.5</v>
      </c>
      <c r="K45" s="590">
        <f>SUM(K11:K44)</f>
        <v>4534.0099999999993</v>
      </c>
      <c r="L45" s="590">
        <f t="shared" si="12"/>
        <v>5795.4400000000005</v>
      </c>
      <c r="M45" s="590">
        <f t="shared" si="12"/>
        <v>14998</v>
      </c>
      <c r="N45" s="591">
        <f t="shared" si="12"/>
        <v>15238</v>
      </c>
      <c r="O45" s="433">
        <f t="shared" si="12"/>
        <v>0</v>
      </c>
      <c r="P45" s="434">
        <f>SUM(P11:P43)</f>
        <v>17528</v>
      </c>
      <c r="Q45" s="433">
        <f>SUM(Q11:Q44)</f>
        <v>11041</v>
      </c>
      <c r="R45" s="435">
        <f>SUM(R11:R44)</f>
        <v>14909</v>
      </c>
      <c r="S45" s="720">
        <f t="shared" si="0"/>
        <v>28908.129999999997</v>
      </c>
      <c r="T45" s="423">
        <f>SUM(M45:R45)</f>
        <v>73714</v>
      </c>
      <c r="U45" s="323" t="e">
        <f>SUM(U11:U42)</f>
        <v>#DIV/0!</v>
      </c>
      <c r="V45" s="322">
        <f>SUM(V9:V44)</f>
        <v>0</v>
      </c>
      <c r="W45" s="322">
        <f t="shared" ref="W45:AJ45" si="13">SUM(W9:W44)</f>
        <v>348.40999999999997</v>
      </c>
      <c r="X45" s="322">
        <f t="shared" si="13"/>
        <v>326.45999999999998</v>
      </c>
      <c r="Y45" s="322">
        <f t="shared" si="13"/>
        <v>238.53</v>
      </c>
      <c r="Z45" s="322">
        <f t="shared" si="13"/>
        <v>96.22</v>
      </c>
      <c r="AA45" s="322">
        <f t="shared" si="13"/>
        <v>0</v>
      </c>
      <c r="AB45" s="322">
        <f t="shared" si="13"/>
        <v>0</v>
      </c>
      <c r="AC45" s="322">
        <f>SUM(AC10:AC44)</f>
        <v>69.760000000000005</v>
      </c>
      <c r="AD45" s="322">
        <f>SUM(AD10:AD44)</f>
        <v>527.20000000000005</v>
      </c>
      <c r="AE45" s="322">
        <f t="shared" si="13"/>
        <v>0</v>
      </c>
      <c r="AF45" s="322">
        <f t="shared" si="13"/>
        <v>107.37</v>
      </c>
      <c r="AG45" s="322">
        <f t="shared" si="13"/>
        <v>3201.2200000000003</v>
      </c>
      <c r="AH45" s="657">
        <f>SUM(AH9:AH43)</f>
        <v>1063</v>
      </c>
      <c r="AI45" s="657">
        <f>SUM(AI9:AI39)</f>
        <v>87</v>
      </c>
      <c r="AJ45" s="322">
        <f t="shared" si="13"/>
        <v>6065.1699999999992</v>
      </c>
      <c r="AK45" s="322"/>
      <c r="AL45" s="322"/>
      <c r="AM45" s="322"/>
      <c r="AN45" s="322"/>
      <c r="AO45" s="322"/>
      <c r="AP45" s="322"/>
      <c r="AQ45" s="436"/>
      <c r="AR45" s="437">
        <f>SUM(AR11:AR43)</f>
        <v>34973.299999999996</v>
      </c>
      <c r="AS45" s="438">
        <f>SUM(AS11:AS44)</f>
        <v>0</v>
      </c>
      <c r="AT45" s="439"/>
    </row>
    <row r="46" spans="1:47" ht="14.25" thickBot="1">
      <c r="A46" s="621" t="s">
        <v>68</v>
      </c>
      <c r="W46" s="258"/>
      <c r="X46" s="258"/>
      <c r="Y46" s="258"/>
      <c r="Z46" s="258"/>
      <c r="AA46" s="258"/>
      <c r="AC46" s="249" t="e">
        <f>SUM(AC44/A47)</f>
        <v>#DIV/0!</v>
      </c>
      <c r="AD46" s="249" t="e">
        <f>SUM(AD44/A47)</f>
        <v>#DIV/0!</v>
      </c>
      <c r="AJ46" s="249">
        <v>0</v>
      </c>
      <c r="AQ46" s="249">
        <f>SUM(AQ45/12)</f>
        <v>0</v>
      </c>
      <c r="AR46" s="248"/>
      <c r="AS46" s="325"/>
      <c r="AT46" s="247"/>
    </row>
    <row r="47" spans="1:47" ht="14.25" thickBot="1">
      <c r="A47" s="455"/>
      <c r="F47" s="326"/>
      <c r="R47" s="248" t="e">
        <f>SUM(S47+#REF!)</f>
        <v>#REF!</v>
      </c>
      <c r="S47" s="248"/>
      <c r="T47" s="446">
        <f>S45*2143</f>
        <v>61950122.589999996</v>
      </c>
      <c r="U47" s="447" t="s">
        <v>247</v>
      </c>
      <c r="W47" s="249" t="e">
        <f>SUM(W45/A47)</f>
        <v>#DIV/0!</v>
      </c>
      <c r="X47" s="249" t="e">
        <f>SUM(X45/A47)</f>
        <v>#DIV/0!</v>
      </c>
      <c r="Y47" s="249" t="e">
        <f>SUM(Y45/A47)</f>
        <v>#DIV/0!</v>
      </c>
      <c r="Z47" s="249" t="e">
        <f>SUM(Z45/A47)</f>
        <v>#DIV/0!</v>
      </c>
      <c r="AA47" s="249" t="e">
        <f>SUM(AA45/A47)</f>
        <v>#DIV/0!</v>
      </c>
      <c r="AB47" s="249" t="e">
        <f>SUM(AB45/A47)</f>
        <v>#DIV/0!</v>
      </c>
      <c r="AF47" s="249" t="e">
        <f>SUM(AF45/A47)</f>
        <v>#DIV/0!</v>
      </c>
      <c r="AG47" s="249" t="e">
        <f>SUM(AG45/A47)</f>
        <v>#DIV/0!</v>
      </c>
      <c r="AQ47" s="249" t="e">
        <f>SUM(AQ45/A47)</f>
        <v>#DIV/0!</v>
      </c>
      <c r="AS47" s="325"/>
      <c r="AT47" s="247"/>
    </row>
    <row r="48" spans="1:47" ht="14.25" thickBot="1">
      <c r="A48" s="456" t="s">
        <v>250</v>
      </c>
      <c r="B48" s="327" t="e">
        <f>SUM(B11:B41)/A47</f>
        <v>#DIV/0!</v>
      </c>
      <c r="T48" s="446">
        <f>T47/2245</f>
        <v>27594.709394209352</v>
      </c>
      <c r="U48" s="447" t="s">
        <v>248</v>
      </c>
      <c r="W48" s="258"/>
      <c r="X48" s="258"/>
      <c r="Y48" s="258"/>
      <c r="Z48" s="258"/>
      <c r="AA48" s="258"/>
      <c r="AR48" s="248">
        <f>AVERAGE(AR11:AR24)</f>
        <v>2057.3307142857143</v>
      </c>
      <c r="AT48" s="325"/>
    </row>
    <row r="49" spans="2:46" ht="14.25" thickBot="1">
      <c r="U49" s="328"/>
      <c r="W49" s="258"/>
      <c r="X49" s="258"/>
      <c r="Y49" s="258"/>
      <c r="Z49" s="258"/>
      <c r="AA49" s="258"/>
      <c r="AB49" s="251"/>
      <c r="AJ49" s="249" t="e">
        <f>SUM(AJ10:AJ25)/A47</f>
        <v>#DIV/0!</v>
      </c>
      <c r="AR49" s="328" t="e">
        <f>SUM(AQ45*'[1]Summery Report'!#REF!)</f>
        <v>#REF!</v>
      </c>
      <c r="AT49" s="325"/>
    </row>
    <row r="50" spans="2:46" ht="13.5" customHeight="1" thickBot="1">
      <c r="B50" s="787" t="s">
        <v>243</v>
      </c>
      <c r="C50" s="788"/>
      <c r="D50" s="788"/>
      <c r="E50" s="789"/>
      <c r="F50" s="803" t="s">
        <v>215</v>
      </c>
      <c r="G50" s="804"/>
      <c r="H50" s="804"/>
      <c r="I50" s="804"/>
      <c r="J50" s="804"/>
      <c r="K50" s="804"/>
      <c r="L50" s="775" t="s">
        <v>246</v>
      </c>
      <c r="M50" s="776"/>
      <c r="N50" s="776"/>
      <c r="O50" s="776"/>
      <c r="P50" s="776"/>
      <c r="Q50" s="776"/>
      <c r="R50" s="777"/>
      <c r="S50" s="772" t="s">
        <v>228</v>
      </c>
      <c r="T50" s="773"/>
      <c r="U50" s="773"/>
      <c r="V50" s="773"/>
      <c r="W50" s="773"/>
      <c r="X50" s="774"/>
      <c r="AJ50" s="249" t="e">
        <f>SUM(#REF!-AI34)/14</f>
        <v>#REF!</v>
      </c>
    </row>
    <row r="51" spans="2:46" ht="25.5" customHeight="1" thickBot="1">
      <c r="B51" s="554" t="s">
        <v>99</v>
      </c>
      <c r="C51" s="555" t="s">
        <v>198</v>
      </c>
      <c r="D51" s="556" t="s">
        <v>199</v>
      </c>
      <c r="E51" s="557" t="s">
        <v>214</v>
      </c>
      <c r="F51" s="778" t="s">
        <v>99</v>
      </c>
      <c r="G51" s="779"/>
      <c r="H51" s="620" t="s">
        <v>198</v>
      </c>
      <c r="I51" s="790" t="s">
        <v>199</v>
      </c>
      <c r="J51" s="790"/>
      <c r="K51" s="501" t="s">
        <v>214</v>
      </c>
      <c r="L51" s="778" t="s">
        <v>99</v>
      </c>
      <c r="M51" s="779"/>
      <c r="N51" s="620" t="s">
        <v>198</v>
      </c>
      <c r="O51" s="790" t="s">
        <v>199</v>
      </c>
      <c r="P51" s="790"/>
      <c r="Q51" s="498" t="s">
        <v>214</v>
      </c>
      <c r="R51" s="499" t="s">
        <v>217</v>
      </c>
      <c r="S51" s="503" t="s">
        <v>0</v>
      </c>
      <c r="T51" s="504" t="s">
        <v>198</v>
      </c>
      <c r="U51" s="504" t="s">
        <v>229</v>
      </c>
      <c r="V51" s="504" t="s">
        <v>214</v>
      </c>
      <c r="W51" s="504" t="s">
        <v>230</v>
      </c>
      <c r="X51" s="505" t="s">
        <v>231</v>
      </c>
    </row>
    <row r="52" spans="2:46" ht="11.25" customHeight="1" thickBot="1">
      <c r="B52" s="506">
        <v>43802</v>
      </c>
      <c r="C52" s="559" t="s">
        <v>321</v>
      </c>
      <c r="D52" s="560">
        <v>11</v>
      </c>
      <c r="E52" s="561" t="s">
        <v>322</v>
      </c>
      <c r="F52" s="801"/>
      <c r="G52" s="802"/>
      <c r="H52" s="619"/>
      <c r="I52" s="800"/>
      <c r="J52" s="800"/>
      <c r="K52" s="500"/>
      <c r="L52" s="766"/>
      <c r="M52" s="767"/>
      <c r="N52" s="622"/>
      <c r="O52" s="758"/>
      <c r="P52" s="758"/>
      <c r="Q52" s="622"/>
      <c r="R52" s="622"/>
      <c r="S52" s="506">
        <v>43801</v>
      </c>
      <c r="T52" s="506" t="s">
        <v>331</v>
      </c>
      <c r="U52" s="567">
        <v>87</v>
      </c>
      <c r="V52" s="566" t="s">
        <v>330</v>
      </c>
      <c r="W52" s="506" t="s">
        <v>329</v>
      </c>
      <c r="X52" s="506" t="s">
        <v>320</v>
      </c>
    </row>
    <row r="53" spans="2:46" ht="11.25" customHeight="1" thickBot="1">
      <c r="B53" s="506">
        <v>43806</v>
      </c>
      <c r="C53" s="417" t="s">
        <v>323</v>
      </c>
      <c r="D53" s="558">
        <v>53</v>
      </c>
      <c r="E53" s="492" t="s">
        <v>324</v>
      </c>
      <c r="F53" s="761"/>
      <c r="G53" s="762"/>
      <c r="H53" s="362"/>
      <c r="I53" s="763"/>
      <c r="J53" s="763"/>
      <c r="K53" s="368"/>
      <c r="L53" s="766"/>
      <c r="M53" s="767"/>
      <c r="N53" s="622"/>
      <c r="O53" s="758"/>
      <c r="P53" s="758"/>
      <c r="Q53" s="622"/>
      <c r="R53" s="622"/>
      <c r="S53" s="506"/>
      <c r="T53" s="506"/>
      <c r="U53" s="567"/>
      <c r="V53" s="566"/>
      <c r="W53" s="506"/>
      <c r="X53" s="506"/>
    </row>
    <row r="54" spans="2:46" ht="11.25" customHeight="1" thickBot="1">
      <c r="B54" s="491">
        <v>43810</v>
      </c>
      <c r="C54" s="417" t="s">
        <v>325</v>
      </c>
      <c r="D54" s="558">
        <v>103</v>
      </c>
      <c r="E54" s="492" t="s">
        <v>326</v>
      </c>
      <c r="F54" s="761"/>
      <c r="G54" s="762"/>
      <c r="H54" s="362"/>
      <c r="I54" s="763"/>
      <c r="J54" s="763"/>
      <c r="K54" s="368"/>
      <c r="L54" s="766"/>
      <c r="M54" s="767"/>
      <c r="N54" s="622"/>
      <c r="O54" s="758"/>
      <c r="P54" s="758"/>
      <c r="Q54" s="622"/>
      <c r="R54" s="622"/>
      <c r="S54" s="491"/>
      <c r="T54" s="417"/>
      <c r="U54" s="567"/>
      <c r="V54" s="566"/>
      <c r="W54" s="417"/>
      <c r="X54" s="506"/>
    </row>
    <row r="55" spans="2:46" ht="11.25" customHeight="1" thickBot="1">
      <c r="B55" s="491">
        <v>43810</v>
      </c>
      <c r="C55" s="417" t="s">
        <v>327</v>
      </c>
      <c r="D55" s="558">
        <v>136</v>
      </c>
      <c r="E55" s="492" t="s">
        <v>328</v>
      </c>
      <c r="F55" s="761"/>
      <c r="G55" s="762"/>
      <c r="H55" s="362"/>
      <c r="I55" s="763"/>
      <c r="J55" s="763"/>
      <c r="K55" s="368"/>
      <c r="L55" s="766"/>
      <c r="M55" s="767"/>
      <c r="N55" s="654"/>
      <c r="O55" s="758"/>
      <c r="P55" s="758"/>
      <c r="Q55" s="654"/>
      <c r="R55" s="622"/>
      <c r="S55" s="491"/>
      <c r="T55" s="417"/>
      <c r="U55" s="567"/>
      <c r="V55" s="618"/>
      <c r="W55" s="417"/>
      <c r="X55" s="506"/>
    </row>
    <row r="56" spans="2:46" ht="11.25" customHeight="1">
      <c r="B56" s="491">
        <v>43812</v>
      </c>
      <c r="C56" s="417" t="s">
        <v>323</v>
      </c>
      <c r="D56" s="558">
        <v>143</v>
      </c>
      <c r="E56" s="492" t="s">
        <v>324</v>
      </c>
      <c r="F56" s="761"/>
      <c r="G56" s="762"/>
      <c r="H56" s="362"/>
      <c r="I56" s="764"/>
      <c r="J56" s="765"/>
      <c r="K56" s="368"/>
      <c r="L56" s="766"/>
      <c r="M56" s="767"/>
      <c r="N56" s="622"/>
      <c r="O56" s="758"/>
      <c r="P56" s="758"/>
      <c r="Q56" s="622"/>
      <c r="R56" s="622"/>
      <c r="S56" s="491"/>
      <c r="T56" s="417"/>
      <c r="U56" s="567"/>
      <c r="V56" s="618"/>
      <c r="W56" s="417"/>
      <c r="X56" s="506"/>
    </row>
    <row r="57" spans="2:46" ht="11.25" customHeight="1">
      <c r="B57" s="491">
        <v>43813</v>
      </c>
      <c r="C57" s="417" t="s">
        <v>327</v>
      </c>
      <c r="D57" s="558">
        <v>26</v>
      </c>
      <c r="E57" s="492" t="s">
        <v>328</v>
      </c>
      <c r="F57" s="761"/>
      <c r="G57" s="762"/>
      <c r="H57" s="362"/>
      <c r="I57" s="764"/>
      <c r="J57" s="765"/>
      <c r="K57" s="368"/>
      <c r="L57" s="766"/>
      <c r="M57" s="767"/>
      <c r="N57" s="622"/>
      <c r="O57" s="758"/>
      <c r="P57" s="758"/>
      <c r="Q57" s="568"/>
      <c r="R57" s="622"/>
      <c r="S57" s="491"/>
      <c r="T57" s="417"/>
      <c r="U57" s="567"/>
      <c r="V57" s="618"/>
      <c r="W57" s="417"/>
      <c r="X57" s="492"/>
    </row>
    <row r="58" spans="2:46" ht="11.25" customHeight="1">
      <c r="B58" s="491">
        <v>43813</v>
      </c>
      <c r="C58" s="417" t="s">
        <v>332</v>
      </c>
      <c r="D58" s="558">
        <v>142</v>
      </c>
      <c r="E58" s="492" t="s">
        <v>333</v>
      </c>
      <c r="F58" s="761"/>
      <c r="G58" s="762"/>
      <c r="H58" s="362"/>
      <c r="I58" s="764"/>
      <c r="J58" s="765"/>
      <c r="K58" s="368"/>
      <c r="L58" s="766"/>
      <c r="M58" s="767"/>
      <c r="N58" s="622"/>
      <c r="O58" s="758"/>
      <c r="P58" s="758"/>
      <c r="Q58" s="568"/>
      <c r="R58" s="622"/>
      <c r="S58" s="491"/>
      <c r="T58" s="417"/>
      <c r="U58" s="567"/>
      <c r="V58" s="618"/>
      <c r="W58" s="417"/>
      <c r="X58" s="492"/>
    </row>
    <row r="59" spans="2:46" ht="11.25" customHeight="1">
      <c r="B59" s="491">
        <v>43815</v>
      </c>
      <c r="C59" s="417" t="s">
        <v>321</v>
      </c>
      <c r="D59" s="558">
        <v>83</v>
      </c>
      <c r="E59" s="492" t="s">
        <v>322</v>
      </c>
      <c r="F59" s="761"/>
      <c r="G59" s="762"/>
      <c r="H59" s="362"/>
      <c r="I59" s="764"/>
      <c r="J59" s="765"/>
      <c r="K59" s="368"/>
      <c r="L59" s="770"/>
      <c r="M59" s="771"/>
      <c r="N59" s="617"/>
      <c r="O59" s="759"/>
      <c r="P59" s="760"/>
      <c r="Q59" s="614"/>
      <c r="R59" s="622"/>
      <c r="S59" s="491"/>
      <c r="T59" s="417"/>
      <c r="U59" s="567"/>
      <c r="V59" s="618"/>
      <c r="W59" s="417"/>
      <c r="X59" s="492"/>
    </row>
    <row r="60" spans="2:46" ht="11.25" customHeight="1">
      <c r="B60" s="491">
        <v>43816</v>
      </c>
      <c r="C60" s="417" t="s">
        <v>325</v>
      </c>
      <c r="D60" s="558">
        <v>125</v>
      </c>
      <c r="E60" s="492" t="s">
        <v>326</v>
      </c>
      <c r="F60" s="761"/>
      <c r="G60" s="762"/>
      <c r="H60" s="362"/>
      <c r="I60" s="764"/>
      <c r="J60" s="765"/>
      <c r="K60" s="368"/>
      <c r="L60" s="768"/>
      <c r="M60" s="769"/>
      <c r="N60" s="617"/>
      <c r="O60" s="759"/>
      <c r="P60" s="760"/>
      <c r="Q60" s="614"/>
      <c r="R60" s="622"/>
      <c r="S60" s="491"/>
      <c r="T60" s="417"/>
      <c r="U60" s="567"/>
      <c r="V60" s="628"/>
      <c r="W60" s="417"/>
      <c r="X60" s="492"/>
    </row>
    <row r="61" spans="2:46" ht="11.25" customHeight="1">
      <c r="B61" s="491"/>
      <c r="C61" s="417"/>
      <c r="D61" s="558"/>
      <c r="E61" s="492"/>
      <c r="F61" s="761"/>
      <c r="G61" s="762"/>
      <c r="H61" s="362"/>
      <c r="I61" s="764"/>
      <c r="J61" s="765"/>
      <c r="K61" s="368"/>
      <c r="L61" s="768"/>
      <c r="M61" s="769"/>
      <c r="N61" s="617"/>
      <c r="O61" s="759"/>
      <c r="P61" s="760"/>
      <c r="Q61" s="614"/>
      <c r="R61" s="614"/>
      <c r="S61" s="491"/>
      <c r="T61" s="417"/>
      <c r="U61" s="567"/>
      <c r="V61" s="618"/>
      <c r="W61" s="417"/>
      <c r="X61" s="492"/>
    </row>
    <row r="62" spans="2:46" ht="11.25" customHeight="1">
      <c r="B62" s="491"/>
      <c r="C62" s="417"/>
      <c r="D62" s="558"/>
      <c r="E62" s="492"/>
      <c r="F62" s="761"/>
      <c r="G62" s="762"/>
      <c r="H62" s="362"/>
      <c r="I62" s="764"/>
      <c r="J62" s="765"/>
      <c r="K62" s="368"/>
      <c r="L62" s="768"/>
      <c r="M62" s="769"/>
      <c r="N62" s="617"/>
      <c r="O62" s="759"/>
      <c r="P62" s="760"/>
      <c r="Q62" s="614"/>
      <c r="R62" s="614"/>
      <c r="S62" s="491"/>
      <c r="T62" s="417"/>
      <c r="U62" s="567"/>
      <c r="V62" s="618"/>
      <c r="W62" s="417"/>
      <c r="X62" s="492"/>
    </row>
    <row r="63" spans="2:46" ht="11.25" customHeight="1">
      <c r="B63" s="491"/>
      <c r="C63" s="417"/>
      <c r="D63" s="558"/>
      <c r="E63" s="492"/>
      <c r="F63" s="761"/>
      <c r="G63" s="762"/>
      <c r="H63" s="362"/>
      <c r="I63" s="764"/>
      <c r="J63" s="765"/>
      <c r="K63" s="368"/>
      <c r="L63" s="768"/>
      <c r="M63" s="769"/>
      <c r="N63" s="617"/>
      <c r="O63" s="759"/>
      <c r="P63" s="760"/>
      <c r="Q63" s="614"/>
      <c r="R63" s="614"/>
      <c r="S63" s="491"/>
      <c r="T63" s="417"/>
      <c r="U63" s="567"/>
      <c r="V63" s="618"/>
      <c r="W63" s="417"/>
      <c r="X63" s="492"/>
    </row>
    <row r="64" spans="2:46" ht="11.25" customHeight="1">
      <c r="B64" s="491"/>
      <c r="C64" s="417"/>
      <c r="D64" s="558"/>
      <c r="E64" s="492"/>
      <c r="F64" s="761"/>
      <c r="G64" s="762"/>
      <c r="H64" s="362"/>
      <c r="I64" s="764"/>
      <c r="J64" s="765"/>
      <c r="K64" s="368"/>
      <c r="L64" s="768"/>
      <c r="M64" s="769"/>
      <c r="N64" s="617"/>
      <c r="O64" s="759"/>
      <c r="P64" s="760"/>
      <c r="Q64" s="614"/>
      <c r="R64" s="614"/>
      <c r="S64" s="491"/>
      <c r="T64" s="417"/>
      <c r="U64" s="567"/>
      <c r="V64" s="618"/>
      <c r="W64" s="417"/>
      <c r="X64" s="492"/>
    </row>
    <row r="65" spans="2:24" ht="11.25" customHeight="1">
      <c r="B65" s="491"/>
      <c r="C65" s="417"/>
      <c r="D65" s="558"/>
      <c r="E65" s="492"/>
      <c r="F65" s="761"/>
      <c r="G65" s="762"/>
      <c r="H65" s="362"/>
      <c r="I65" s="764"/>
      <c r="J65" s="765"/>
      <c r="K65" s="368"/>
      <c r="L65" s="768"/>
      <c r="M65" s="769"/>
      <c r="N65" s="617"/>
      <c r="O65" s="759"/>
      <c r="P65" s="760"/>
      <c r="Q65" s="614"/>
      <c r="R65" s="614"/>
      <c r="S65" s="491"/>
      <c r="T65" s="417"/>
      <c r="U65" s="567"/>
      <c r="V65" s="618"/>
      <c r="W65" s="417"/>
      <c r="X65" s="492"/>
    </row>
    <row r="66" spans="2:24" ht="11.25" customHeight="1">
      <c r="B66" s="491"/>
      <c r="C66" s="417"/>
      <c r="D66" s="558"/>
      <c r="E66" s="492"/>
      <c r="F66" s="761"/>
      <c r="G66" s="762"/>
      <c r="H66" s="362"/>
      <c r="I66" s="764"/>
      <c r="J66" s="765"/>
      <c r="K66" s="368"/>
      <c r="L66" s="768"/>
      <c r="M66" s="769"/>
      <c r="N66" s="617"/>
      <c r="O66" s="759"/>
      <c r="P66" s="760"/>
      <c r="Q66" s="562"/>
      <c r="R66" s="614"/>
      <c r="S66" s="491"/>
      <c r="T66" s="417"/>
      <c r="U66" s="567"/>
      <c r="V66" s="618"/>
      <c r="W66" s="417"/>
      <c r="X66" s="492"/>
    </row>
    <row r="67" spans="2:24" ht="11.25" customHeight="1">
      <c r="B67" s="491"/>
      <c r="C67" s="417"/>
      <c r="D67" s="558"/>
      <c r="E67" s="492"/>
      <c r="F67" s="761"/>
      <c r="G67" s="762"/>
      <c r="H67" s="362"/>
      <c r="I67" s="764"/>
      <c r="J67" s="765"/>
      <c r="K67" s="368"/>
      <c r="L67" s="768"/>
      <c r="M67" s="769"/>
      <c r="N67" s="617"/>
      <c r="O67" s="759"/>
      <c r="P67" s="760"/>
      <c r="Q67" s="562"/>
      <c r="R67" s="614"/>
      <c r="S67" s="491"/>
      <c r="T67" s="417"/>
      <c r="U67" s="567"/>
      <c r="V67" s="618"/>
      <c r="W67" s="417"/>
      <c r="X67" s="492"/>
    </row>
    <row r="68" spans="2:24" ht="11.25" customHeight="1">
      <c r="B68" s="491"/>
      <c r="C68" s="417"/>
      <c r="D68" s="558"/>
      <c r="E68" s="492"/>
      <c r="F68" s="761"/>
      <c r="G68" s="762"/>
      <c r="H68" s="362"/>
      <c r="I68" s="764"/>
      <c r="J68" s="765"/>
      <c r="K68" s="368"/>
      <c r="L68" s="768"/>
      <c r="M68" s="769"/>
      <c r="N68" s="617"/>
      <c r="O68" s="759"/>
      <c r="P68" s="760"/>
      <c r="Q68" s="614"/>
      <c r="R68" s="614"/>
      <c r="S68" s="491"/>
      <c r="T68" s="417"/>
      <c r="U68" s="567"/>
      <c r="V68" s="618"/>
      <c r="W68" s="417"/>
      <c r="X68" s="492"/>
    </row>
    <row r="69" spans="2:24" ht="11.25" customHeight="1">
      <c r="B69" s="491"/>
      <c r="C69" s="417"/>
      <c r="D69" s="558"/>
      <c r="E69" s="492"/>
      <c r="F69" s="761"/>
      <c r="G69" s="762"/>
      <c r="H69" s="362"/>
      <c r="I69" s="764"/>
      <c r="J69" s="765"/>
      <c r="K69" s="368"/>
      <c r="L69" s="768"/>
      <c r="M69" s="769"/>
      <c r="N69" s="617"/>
      <c r="O69" s="759"/>
      <c r="P69" s="760"/>
      <c r="Q69" s="614"/>
      <c r="R69" s="614"/>
      <c r="S69" s="491"/>
      <c r="T69" s="417"/>
      <c r="U69" s="567"/>
      <c r="V69" s="618"/>
      <c r="W69" s="417"/>
      <c r="X69" s="492"/>
    </row>
    <row r="70" spans="2:24" ht="11.25" customHeight="1">
      <c r="B70" s="491"/>
      <c r="C70" s="417"/>
      <c r="D70" s="558"/>
      <c r="E70" s="492"/>
      <c r="F70" s="761"/>
      <c r="G70" s="762"/>
      <c r="H70" s="362"/>
      <c r="I70" s="764"/>
      <c r="J70" s="765"/>
      <c r="K70" s="368"/>
      <c r="L70" s="768"/>
      <c r="M70" s="769"/>
      <c r="N70" s="617"/>
      <c r="O70" s="759"/>
      <c r="P70" s="760"/>
      <c r="Q70" s="614"/>
      <c r="R70" s="614"/>
      <c r="S70" s="491"/>
      <c r="T70" s="417"/>
      <c r="U70" s="567"/>
      <c r="V70" s="618"/>
      <c r="W70" s="417"/>
      <c r="X70" s="492"/>
    </row>
    <row r="71" spans="2:24" ht="11.25" customHeight="1">
      <c r="B71" s="491"/>
      <c r="C71" s="417"/>
      <c r="D71" s="558"/>
      <c r="E71" s="492"/>
      <c r="F71" s="761"/>
      <c r="G71" s="762"/>
      <c r="H71" s="362"/>
      <c r="I71" s="764"/>
      <c r="J71" s="765"/>
      <c r="K71" s="368"/>
      <c r="L71" s="768"/>
      <c r="M71" s="769"/>
      <c r="N71" s="617"/>
      <c r="O71" s="759"/>
      <c r="P71" s="760"/>
      <c r="Q71" s="614"/>
      <c r="R71" s="614"/>
      <c r="S71" s="491"/>
      <c r="T71" s="417"/>
      <c r="U71" s="567"/>
      <c r="V71" s="618"/>
      <c r="W71" s="417"/>
      <c r="X71" s="492"/>
    </row>
    <row r="72" spans="2:24" ht="11.25" customHeight="1">
      <c r="B72" s="491"/>
      <c r="C72" s="417"/>
      <c r="D72" s="558"/>
      <c r="E72" s="492"/>
      <c r="F72" s="761"/>
      <c r="G72" s="762"/>
      <c r="H72" s="366"/>
      <c r="I72" s="780"/>
      <c r="J72" s="781"/>
      <c r="K72" s="369"/>
      <c r="L72" s="768"/>
      <c r="M72" s="769"/>
      <c r="N72" s="617"/>
      <c r="O72" s="759"/>
      <c r="P72" s="760"/>
      <c r="Q72" s="624"/>
      <c r="R72" s="614"/>
      <c r="S72" s="491"/>
      <c r="T72" s="417"/>
      <c r="U72" s="567"/>
      <c r="V72" s="618"/>
      <c r="W72" s="417"/>
      <c r="X72" s="492"/>
    </row>
    <row r="73" spans="2:24" ht="11.25" customHeight="1">
      <c r="B73" s="491"/>
      <c r="C73" s="417"/>
      <c r="D73" s="558"/>
      <c r="E73" s="492"/>
      <c r="F73" s="761"/>
      <c r="G73" s="762"/>
      <c r="H73" s="362"/>
      <c r="I73" s="764"/>
      <c r="J73" s="765"/>
      <c r="K73" s="368"/>
      <c r="L73" s="768"/>
      <c r="M73" s="769"/>
      <c r="N73" s="617"/>
      <c r="O73" s="759"/>
      <c r="P73" s="760"/>
      <c r="Q73" s="614"/>
      <c r="R73" s="614"/>
      <c r="S73" s="491"/>
      <c r="T73" s="417"/>
      <c r="U73" s="567"/>
      <c r="V73" s="618"/>
      <c r="W73" s="417"/>
      <c r="X73" s="492"/>
    </row>
    <row r="74" spans="2:24" ht="11.25" customHeight="1">
      <c r="B74" s="491"/>
      <c r="C74" s="417"/>
      <c r="D74" s="558"/>
      <c r="E74" s="492"/>
      <c r="F74" s="761"/>
      <c r="G74" s="762"/>
      <c r="H74" s="362"/>
      <c r="I74" s="764"/>
      <c r="J74" s="765"/>
      <c r="K74" s="368"/>
      <c r="L74" s="768"/>
      <c r="M74" s="769"/>
      <c r="N74" s="617"/>
      <c r="O74" s="759"/>
      <c r="P74" s="760"/>
      <c r="Q74" s="614"/>
      <c r="R74" s="614"/>
      <c r="S74" s="491"/>
      <c r="T74" s="417"/>
      <c r="U74" s="567"/>
      <c r="V74" s="618"/>
      <c r="W74" s="417"/>
      <c r="X74" s="492"/>
    </row>
    <row r="75" spans="2:24" ht="11.25" customHeight="1">
      <c r="B75" s="491"/>
      <c r="C75" s="417"/>
      <c r="D75" s="558"/>
      <c r="E75" s="492"/>
      <c r="F75" s="761"/>
      <c r="G75" s="762"/>
      <c r="H75" s="362"/>
      <c r="I75" s="764"/>
      <c r="J75" s="765"/>
      <c r="K75" s="368"/>
      <c r="L75" s="768"/>
      <c r="M75" s="769"/>
      <c r="N75" s="617"/>
      <c r="O75" s="759"/>
      <c r="P75" s="760"/>
      <c r="Q75" s="614"/>
      <c r="R75" s="614"/>
      <c r="S75" s="491"/>
      <c r="T75" s="417"/>
      <c r="U75" s="567"/>
      <c r="V75" s="618"/>
      <c r="W75" s="417"/>
      <c r="X75" s="492"/>
    </row>
    <row r="76" spans="2:24" ht="9.75" customHeight="1">
      <c r="B76" s="491"/>
      <c r="C76" s="417"/>
      <c r="D76" s="558"/>
      <c r="E76" s="492"/>
      <c r="F76" s="761"/>
      <c r="G76" s="762"/>
      <c r="H76" s="362"/>
      <c r="I76" s="764"/>
      <c r="J76" s="765"/>
      <c r="K76" s="368"/>
      <c r="L76" s="768"/>
      <c r="M76" s="769"/>
      <c r="N76" s="617"/>
      <c r="O76" s="759"/>
      <c r="P76" s="760"/>
      <c r="Q76" s="614"/>
      <c r="R76" s="614"/>
      <c r="S76" s="491"/>
      <c r="T76" s="417"/>
      <c r="U76" s="567"/>
      <c r="V76" s="618"/>
      <c r="W76" s="417"/>
      <c r="X76" s="492"/>
    </row>
    <row r="77" spans="2:24" ht="11.25" hidden="1" customHeight="1">
      <c r="B77" s="491"/>
      <c r="C77" s="417"/>
      <c r="D77" s="558"/>
      <c r="E77" s="492"/>
      <c r="F77" s="761"/>
      <c r="G77" s="762"/>
      <c r="H77" s="362"/>
      <c r="I77" s="614"/>
      <c r="J77" s="615"/>
      <c r="K77" s="368"/>
      <c r="L77" s="768"/>
      <c r="M77" s="769"/>
      <c r="N77" s="617"/>
      <c r="O77" s="759"/>
      <c r="P77" s="760"/>
      <c r="Q77" s="614"/>
      <c r="R77" s="614"/>
      <c r="S77" s="491"/>
      <c r="T77" s="417"/>
      <c r="U77" s="567"/>
      <c r="V77" s="618"/>
      <c r="W77" s="417"/>
      <c r="X77" s="492"/>
    </row>
    <row r="78" spans="2:24" ht="11.25" customHeight="1">
      <c r="B78" s="491"/>
      <c r="C78" s="417"/>
      <c r="D78" s="558"/>
      <c r="E78" s="492"/>
      <c r="F78" s="761"/>
      <c r="G78" s="762"/>
      <c r="H78" s="362"/>
      <c r="I78" s="764"/>
      <c r="J78" s="765"/>
      <c r="K78" s="368"/>
      <c r="L78" s="768"/>
      <c r="M78" s="769"/>
      <c r="N78" s="617"/>
      <c r="O78" s="764"/>
      <c r="P78" s="765"/>
      <c r="Q78" s="614"/>
      <c r="R78" s="614"/>
      <c r="S78" s="491"/>
      <c r="T78" s="417"/>
      <c r="U78" s="567"/>
      <c r="V78" s="618"/>
      <c r="W78" s="417"/>
      <c r="X78" s="492"/>
    </row>
    <row r="79" spans="2:24" ht="11.25" customHeight="1">
      <c r="B79" s="491"/>
      <c r="C79" s="417"/>
      <c r="D79" s="558"/>
      <c r="E79" s="492"/>
      <c r="F79" s="761"/>
      <c r="G79" s="762"/>
      <c r="H79" s="362"/>
      <c r="I79" s="764"/>
      <c r="J79" s="765"/>
      <c r="K79" s="368"/>
      <c r="L79" s="768"/>
      <c r="M79" s="769"/>
      <c r="N79" s="617"/>
      <c r="O79" s="764"/>
      <c r="P79" s="765"/>
      <c r="Q79" s="614"/>
      <c r="R79" s="614"/>
      <c r="S79" s="491"/>
      <c r="T79" s="417"/>
      <c r="U79" s="567"/>
      <c r="V79" s="618"/>
      <c r="W79" s="417"/>
      <c r="X79" s="492"/>
    </row>
    <row r="80" spans="2:24" ht="11.25" customHeight="1">
      <c r="B80" s="491"/>
      <c r="C80" s="417"/>
      <c r="D80" s="558"/>
      <c r="E80" s="492"/>
      <c r="F80" s="761"/>
      <c r="G80" s="762"/>
      <c r="H80" s="362"/>
      <c r="I80" s="764"/>
      <c r="J80" s="765"/>
      <c r="K80" s="368"/>
      <c r="L80" s="768"/>
      <c r="M80" s="769"/>
      <c r="N80" s="617"/>
      <c r="O80" s="764"/>
      <c r="P80" s="765"/>
      <c r="Q80" s="614"/>
      <c r="R80" s="614"/>
      <c r="S80" s="491"/>
      <c r="T80" s="417"/>
      <c r="U80" s="567"/>
      <c r="V80" s="618"/>
      <c r="W80" s="417"/>
      <c r="X80" s="492"/>
    </row>
    <row r="81" spans="2:24" ht="11.25" customHeight="1">
      <c r="B81" s="491"/>
      <c r="C81" s="417"/>
      <c r="D81" s="558"/>
      <c r="E81" s="492"/>
      <c r="F81" s="761"/>
      <c r="G81" s="762"/>
      <c r="H81" s="362"/>
      <c r="I81" s="764"/>
      <c r="J81" s="765"/>
      <c r="K81" s="368"/>
      <c r="L81" s="768"/>
      <c r="M81" s="769"/>
      <c r="N81" s="617"/>
      <c r="O81" s="764"/>
      <c r="P81" s="765"/>
      <c r="Q81" s="614"/>
      <c r="R81" s="614"/>
      <c r="S81" s="491"/>
      <c r="T81" s="417"/>
      <c r="U81" s="567"/>
      <c r="V81" s="618"/>
      <c r="W81" s="417"/>
      <c r="X81" s="492"/>
    </row>
    <row r="82" spans="2:24" ht="11.25" customHeight="1">
      <c r="B82" s="491"/>
      <c r="C82" s="417"/>
      <c r="D82" s="558"/>
      <c r="E82" s="492"/>
      <c r="F82" s="761"/>
      <c r="G82" s="762"/>
      <c r="H82" s="362"/>
      <c r="I82" s="764"/>
      <c r="J82" s="765"/>
      <c r="K82" s="368"/>
      <c r="L82" s="768"/>
      <c r="M82" s="769"/>
      <c r="N82" s="617"/>
      <c r="O82" s="764"/>
      <c r="P82" s="765"/>
      <c r="Q82" s="614"/>
      <c r="R82" s="614"/>
      <c r="S82" s="491"/>
      <c r="T82" s="417"/>
      <c r="U82" s="567"/>
      <c r="V82" s="618"/>
      <c r="W82" s="417"/>
      <c r="X82" s="492"/>
    </row>
    <row r="83" spans="2:24" ht="11.25" customHeight="1">
      <c r="B83" s="491"/>
      <c r="C83" s="417"/>
      <c r="D83" s="558"/>
      <c r="E83" s="492"/>
      <c r="F83" s="761"/>
      <c r="G83" s="762"/>
      <c r="H83" s="362"/>
      <c r="I83" s="764"/>
      <c r="J83" s="765"/>
      <c r="K83" s="368"/>
      <c r="L83" s="768"/>
      <c r="M83" s="769"/>
      <c r="N83" s="617"/>
      <c r="O83" s="764"/>
      <c r="P83" s="765"/>
      <c r="Q83" s="614"/>
      <c r="R83" s="614"/>
      <c r="S83" s="491"/>
      <c r="T83" s="417"/>
      <c r="U83" s="567"/>
      <c r="V83" s="618"/>
      <c r="W83" s="417"/>
      <c r="X83" s="492"/>
    </row>
    <row r="84" spans="2:24" ht="11.25" customHeight="1">
      <c r="B84" s="491"/>
      <c r="C84" s="417"/>
      <c r="D84" s="558"/>
      <c r="E84" s="492"/>
      <c r="F84" s="761"/>
      <c r="G84" s="762"/>
      <c r="H84" s="362"/>
      <c r="I84" s="764"/>
      <c r="J84" s="765"/>
      <c r="K84" s="368"/>
      <c r="L84" s="768"/>
      <c r="M84" s="769"/>
      <c r="N84" s="617"/>
      <c r="O84" s="764"/>
      <c r="P84" s="765"/>
      <c r="Q84" s="614"/>
      <c r="R84" s="614"/>
      <c r="S84" s="491"/>
      <c r="T84" s="417"/>
      <c r="U84" s="417"/>
      <c r="V84" s="417"/>
      <c r="W84" s="417"/>
      <c r="X84" s="492"/>
    </row>
    <row r="85" spans="2:24" ht="11.25" customHeight="1">
      <c r="B85" s="491"/>
      <c r="C85" s="417"/>
      <c r="D85" s="558"/>
      <c r="E85" s="492"/>
      <c r="F85" s="761"/>
      <c r="G85" s="762"/>
      <c r="H85" s="362"/>
      <c r="I85" s="764"/>
      <c r="J85" s="765"/>
      <c r="K85" s="368"/>
      <c r="L85" s="768"/>
      <c r="M85" s="769"/>
      <c r="N85" s="617"/>
      <c r="O85" s="764"/>
      <c r="P85" s="765"/>
      <c r="Q85" s="614"/>
      <c r="R85" s="614"/>
      <c r="S85" s="491"/>
      <c r="T85" s="417"/>
      <c r="U85" s="417"/>
      <c r="V85" s="417"/>
      <c r="W85" s="417"/>
      <c r="X85" s="492"/>
    </row>
    <row r="86" spans="2:24" ht="11.25" customHeight="1">
      <c r="B86" s="491"/>
      <c r="C86" s="417"/>
      <c r="D86" s="558"/>
      <c r="E86" s="492"/>
      <c r="F86" s="761"/>
      <c r="G86" s="762"/>
      <c r="H86" s="362"/>
      <c r="I86" s="764"/>
      <c r="J86" s="765"/>
      <c r="K86" s="368"/>
      <c r="L86" s="768"/>
      <c r="M86" s="769"/>
      <c r="N86" s="617"/>
      <c r="O86" s="764"/>
      <c r="P86" s="765"/>
      <c r="Q86" s="614"/>
      <c r="R86" s="614"/>
      <c r="S86" s="491"/>
      <c r="T86" s="417"/>
      <c r="U86" s="417"/>
      <c r="V86" s="417"/>
      <c r="W86" s="417"/>
      <c r="X86" s="492"/>
    </row>
    <row r="87" spans="2:24" ht="11.25" customHeight="1">
      <c r="B87" s="491"/>
      <c r="C87" s="417"/>
      <c r="D87" s="558"/>
      <c r="E87" s="492"/>
      <c r="F87" s="761"/>
      <c r="G87" s="762"/>
      <c r="H87" s="362"/>
      <c r="I87" s="764"/>
      <c r="J87" s="765"/>
      <c r="K87" s="368"/>
      <c r="L87" s="768"/>
      <c r="M87" s="769"/>
      <c r="N87" s="617"/>
      <c r="O87" s="764"/>
      <c r="P87" s="765"/>
      <c r="Q87" s="614"/>
      <c r="R87" s="614"/>
      <c r="S87" s="491"/>
      <c r="T87" s="417"/>
      <c r="U87" s="417"/>
      <c r="V87" s="417"/>
      <c r="W87" s="417"/>
      <c r="X87" s="492"/>
    </row>
    <row r="88" spans="2:24" ht="11.25" customHeight="1">
      <c r="B88" s="491"/>
      <c r="C88" s="417"/>
      <c r="D88" s="558"/>
      <c r="E88" s="492"/>
      <c r="F88" s="761"/>
      <c r="G88" s="762"/>
      <c r="H88" s="362"/>
      <c r="I88" s="764"/>
      <c r="J88" s="765"/>
      <c r="K88" s="368"/>
      <c r="L88" s="768"/>
      <c r="M88" s="769"/>
      <c r="N88" s="617"/>
      <c r="O88" s="764"/>
      <c r="P88" s="765"/>
      <c r="Q88" s="614"/>
      <c r="R88" s="614"/>
      <c r="S88" s="491"/>
      <c r="T88" s="417"/>
      <c r="U88" s="417"/>
      <c r="V88" s="417"/>
      <c r="W88" s="417"/>
      <c r="X88" s="492"/>
    </row>
    <row r="89" spans="2:24" ht="11.25" customHeight="1">
      <c r="B89" s="491"/>
      <c r="C89" s="417"/>
      <c r="D89" s="558"/>
      <c r="E89" s="492"/>
      <c r="F89" s="761"/>
      <c r="G89" s="762"/>
      <c r="H89" s="362"/>
      <c r="I89" s="764"/>
      <c r="J89" s="765"/>
      <c r="K89" s="368"/>
      <c r="L89" s="768"/>
      <c r="M89" s="769"/>
      <c r="N89" s="617"/>
      <c r="O89" s="764"/>
      <c r="P89" s="765"/>
      <c r="Q89" s="614"/>
      <c r="R89" s="614"/>
      <c r="S89" s="491"/>
      <c r="T89" s="417"/>
      <c r="U89" s="417"/>
      <c r="V89" s="417"/>
      <c r="W89" s="417"/>
      <c r="X89" s="492"/>
    </row>
    <row r="90" spans="2:24" ht="11.25" customHeight="1">
      <c r="B90" s="491"/>
      <c r="C90" s="417"/>
      <c r="D90" s="558"/>
      <c r="E90" s="492"/>
      <c r="F90" s="761"/>
      <c r="G90" s="762"/>
      <c r="H90" s="362"/>
      <c r="I90" s="763"/>
      <c r="J90" s="763"/>
      <c r="K90" s="368"/>
      <c r="L90" s="768"/>
      <c r="M90" s="769"/>
      <c r="N90" s="617"/>
      <c r="O90" s="782"/>
      <c r="P90" s="783"/>
      <c r="Q90" s="623"/>
      <c r="R90" s="614"/>
      <c r="S90" s="491"/>
      <c r="T90" s="417"/>
      <c r="U90" s="417"/>
      <c r="V90" s="417"/>
      <c r="W90" s="417"/>
      <c r="X90" s="492"/>
    </row>
    <row r="91" spans="2:24">
      <c r="B91" s="491"/>
      <c r="C91" s="417"/>
      <c r="D91" s="558"/>
      <c r="E91" s="492"/>
      <c r="F91" s="761"/>
      <c r="G91" s="762"/>
      <c r="H91" s="362"/>
      <c r="I91" s="763"/>
      <c r="J91" s="763"/>
      <c r="K91" s="368"/>
      <c r="L91" s="768"/>
      <c r="M91" s="769"/>
      <c r="N91" s="617"/>
      <c r="O91" s="763"/>
      <c r="P91" s="763"/>
      <c r="Q91" s="617"/>
      <c r="R91" s="614"/>
      <c r="S91" s="491"/>
      <c r="T91" s="417"/>
      <c r="U91" s="417"/>
      <c r="V91" s="417"/>
      <c r="W91" s="417"/>
      <c r="X91" s="492"/>
    </row>
    <row r="92" spans="2:24">
      <c r="B92" s="491"/>
      <c r="C92" s="417"/>
      <c r="D92" s="558"/>
      <c r="E92" s="492"/>
      <c r="F92" s="761"/>
      <c r="G92" s="762"/>
      <c r="H92" s="362"/>
      <c r="I92" s="763"/>
      <c r="J92" s="763"/>
      <c r="K92" s="368"/>
      <c r="L92" s="768"/>
      <c r="M92" s="769"/>
      <c r="N92" s="617"/>
      <c r="O92" s="763"/>
      <c r="P92" s="763"/>
      <c r="Q92" s="617"/>
      <c r="R92" s="614"/>
      <c r="S92" s="491"/>
      <c r="T92" s="417"/>
      <c r="U92" s="417"/>
      <c r="V92" s="417"/>
      <c r="W92" s="417"/>
      <c r="X92" s="492"/>
    </row>
    <row r="93" spans="2:24">
      <c r="B93" s="491"/>
      <c r="C93" s="417"/>
      <c r="D93" s="558"/>
      <c r="E93" s="492"/>
      <c r="F93" s="761"/>
      <c r="G93" s="762"/>
      <c r="H93" s="362"/>
      <c r="I93" s="763"/>
      <c r="J93" s="763"/>
      <c r="K93" s="368"/>
      <c r="L93" s="768"/>
      <c r="M93" s="769"/>
      <c r="N93" s="617"/>
      <c r="O93" s="763"/>
      <c r="P93" s="763"/>
      <c r="Q93" s="617"/>
      <c r="R93" s="614"/>
      <c r="S93" s="491"/>
      <c r="T93" s="417"/>
      <c r="U93" s="417"/>
      <c r="V93" s="417"/>
      <c r="W93" s="417"/>
      <c r="X93" s="492"/>
    </row>
    <row r="94" spans="2:24">
      <c r="B94" s="491"/>
      <c r="C94" s="417"/>
      <c r="D94" s="558"/>
      <c r="E94" s="492"/>
      <c r="F94" s="761"/>
      <c r="G94" s="762"/>
      <c r="H94" s="362"/>
      <c r="I94" s="763"/>
      <c r="J94" s="763"/>
      <c r="K94" s="368"/>
      <c r="L94" s="768"/>
      <c r="M94" s="769"/>
      <c r="N94" s="617"/>
      <c r="O94" s="763"/>
      <c r="P94" s="763"/>
      <c r="Q94" s="617"/>
      <c r="R94" s="614"/>
      <c r="S94" s="491"/>
      <c r="T94" s="417"/>
      <c r="U94" s="417"/>
      <c r="V94" s="417"/>
      <c r="W94" s="417"/>
      <c r="X94" s="492"/>
    </row>
    <row r="95" spans="2:24">
      <c r="B95" s="491"/>
      <c r="C95" s="417"/>
      <c r="D95" s="558"/>
      <c r="E95" s="492"/>
      <c r="F95" s="761"/>
      <c r="G95" s="762"/>
      <c r="H95" s="362"/>
      <c r="I95" s="763"/>
      <c r="J95" s="763"/>
      <c r="K95" s="368"/>
      <c r="L95" s="768"/>
      <c r="M95" s="769"/>
      <c r="N95" s="617"/>
      <c r="O95" s="763"/>
      <c r="P95" s="763"/>
      <c r="Q95" s="617"/>
      <c r="R95" s="614"/>
      <c r="S95" s="491"/>
      <c r="T95" s="417"/>
      <c r="U95" s="417"/>
      <c r="V95" s="417"/>
      <c r="W95" s="417"/>
      <c r="X95" s="492"/>
    </row>
    <row r="96" spans="2:24">
      <c r="B96" s="491"/>
      <c r="C96" s="417"/>
      <c r="D96" s="558"/>
      <c r="E96" s="492"/>
      <c r="F96" s="761"/>
      <c r="G96" s="762"/>
      <c r="H96" s="362"/>
      <c r="I96" s="763"/>
      <c r="J96" s="763"/>
      <c r="K96" s="368"/>
      <c r="L96" s="768"/>
      <c r="M96" s="769"/>
      <c r="N96" s="617"/>
      <c r="O96" s="763"/>
      <c r="P96" s="763"/>
      <c r="Q96" s="617"/>
      <c r="R96" s="614"/>
      <c r="S96" s="491"/>
      <c r="T96" s="417"/>
      <c r="U96" s="417"/>
      <c r="V96" s="417"/>
      <c r="W96" s="417"/>
      <c r="X96" s="492"/>
    </row>
    <row r="97" spans="2:24" ht="12" thickBot="1">
      <c r="B97" s="493"/>
      <c r="C97" s="494"/>
      <c r="D97" s="495"/>
      <c r="E97" s="496"/>
      <c r="F97" s="805"/>
      <c r="G97" s="806"/>
      <c r="H97" s="411"/>
      <c r="I97" s="807"/>
      <c r="J97" s="808"/>
      <c r="K97" s="497"/>
      <c r="L97" s="768"/>
      <c r="M97" s="769"/>
      <c r="N97" s="617"/>
      <c r="O97" s="807"/>
      <c r="P97" s="808"/>
      <c r="Q97" s="616"/>
      <c r="R97" s="502"/>
      <c r="S97" s="493"/>
      <c r="T97" s="494"/>
      <c r="U97" s="494"/>
      <c r="V97" s="494"/>
      <c r="W97" s="494"/>
      <c r="X97" s="496"/>
    </row>
  </sheetData>
  <mergeCells count="196">
    <mergeCell ref="F97:G97"/>
    <mergeCell ref="L97:M97"/>
    <mergeCell ref="O88:P88"/>
    <mergeCell ref="O89:P89"/>
    <mergeCell ref="O79:P79"/>
    <mergeCell ref="O80:P80"/>
    <mergeCell ref="O81:P81"/>
    <mergeCell ref="O82:P82"/>
    <mergeCell ref="O83:P83"/>
    <mergeCell ref="O84:P84"/>
    <mergeCell ref="O85:P85"/>
    <mergeCell ref="O86:P86"/>
    <mergeCell ref="O87:P87"/>
    <mergeCell ref="I97:J97"/>
    <mergeCell ref="O96:P96"/>
    <mergeCell ref="O97:P97"/>
    <mergeCell ref="F82:G82"/>
    <mergeCell ref="F83:G83"/>
    <mergeCell ref="I95:J95"/>
    <mergeCell ref="I96:J96"/>
    <mergeCell ref="F80:G80"/>
    <mergeCell ref="F81:G81"/>
    <mergeCell ref="L96:M96"/>
    <mergeCell ref="F93:G93"/>
    <mergeCell ref="B50:E50"/>
    <mergeCell ref="O63:P63"/>
    <mergeCell ref="O64:P64"/>
    <mergeCell ref="O52:P52"/>
    <mergeCell ref="O56:P56"/>
    <mergeCell ref="I51:J51"/>
    <mergeCell ref="A1:B6"/>
    <mergeCell ref="O51:P51"/>
    <mergeCell ref="D2:AT2"/>
    <mergeCell ref="F7:L7"/>
    <mergeCell ref="M7:R7"/>
    <mergeCell ref="I52:J52"/>
    <mergeCell ref="I56:J56"/>
    <mergeCell ref="I59:J59"/>
    <mergeCell ref="L52:M52"/>
    <mergeCell ref="L55:M55"/>
    <mergeCell ref="F52:G52"/>
    <mergeCell ref="F55:G55"/>
    <mergeCell ref="F56:G56"/>
    <mergeCell ref="O55:P55"/>
    <mergeCell ref="I55:J55"/>
    <mergeCell ref="I60:J60"/>
    <mergeCell ref="O62:P62"/>
    <mergeCell ref="F50:K50"/>
    <mergeCell ref="L78:M78"/>
    <mergeCell ref="L79:M79"/>
    <mergeCell ref="L80:M80"/>
    <mergeCell ref="L81:M81"/>
    <mergeCell ref="L82:M82"/>
    <mergeCell ref="L73:M73"/>
    <mergeCell ref="L74:M74"/>
    <mergeCell ref="I75:J75"/>
    <mergeCell ref="F6:L6"/>
    <mergeCell ref="I68:J68"/>
    <mergeCell ref="I62:J62"/>
    <mergeCell ref="I63:J63"/>
    <mergeCell ref="F73:G73"/>
    <mergeCell ref="F74:G74"/>
    <mergeCell ref="F65:G65"/>
    <mergeCell ref="F66:G66"/>
    <mergeCell ref="F67:G67"/>
    <mergeCell ref="F68:G68"/>
    <mergeCell ref="F69:G69"/>
    <mergeCell ref="I64:J64"/>
    <mergeCell ref="I65:J65"/>
    <mergeCell ref="F62:G62"/>
    <mergeCell ref="F63:G63"/>
    <mergeCell ref="F64:G64"/>
    <mergeCell ref="O94:P94"/>
    <mergeCell ref="O68:P68"/>
    <mergeCell ref="O95:P95"/>
    <mergeCell ref="O90:P90"/>
    <mergeCell ref="O91:P91"/>
    <mergeCell ref="O92:P92"/>
    <mergeCell ref="O93:P93"/>
    <mergeCell ref="O77:P77"/>
    <mergeCell ref="O78:P78"/>
    <mergeCell ref="O76:P76"/>
    <mergeCell ref="O72:P72"/>
    <mergeCell ref="O73:P73"/>
    <mergeCell ref="O75:P75"/>
    <mergeCell ref="O69:P69"/>
    <mergeCell ref="O70:P70"/>
    <mergeCell ref="O71:P71"/>
    <mergeCell ref="O66:P66"/>
    <mergeCell ref="O67:P67"/>
    <mergeCell ref="O74:P74"/>
    <mergeCell ref="L71:M71"/>
    <mergeCell ref="L72:M72"/>
    <mergeCell ref="O65:P65"/>
    <mergeCell ref="L68:M68"/>
    <mergeCell ref="L69:M69"/>
    <mergeCell ref="L70:M70"/>
    <mergeCell ref="L95:M95"/>
    <mergeCell ref="F84:G84"/>
    <mergeCell ref="F85:G85"/>
    <mergeCell ref="F86:G86"/>
    <mergeCell ref="F87:G87"/>
    <mergeCell ref="F88:G88"/>
    <mergeCell ref="F89:G89"/>
    <mergeCell ref="F90:G90"/>
    <mergeCell ref="F91:G91"/>
    <mergeCell ref="F92:G92"/>
    <mergeCell ref="L88:M88"/>
    <mergeCell ref="L89:M89"/>
    <mergeCell ref="L90:M90"/>
    <mergeCell ref="L91:M91"/>
    <mergeCell ref="L92:M92"/>
    <mergeCell ref="L84:M84"/>
    <mergeCell ref="L85:M85"/>
    <mergeCell ref="I94:J94"/>
    <mergeCell ref="I91:J91"/>
    <mergeCell ref="I92:J92"/>
    <mergeCell ref="I93:J93"/>
    <mergeCell ref="F95:G95"/>
    <mergeCell ref="L86:M86"/>
    <mergeCell ref="L87:M87"/>
    <mergeCell ref="F96:G96"/>
    <mergeCell ref="I86:J86"/>
    <mergeCell ref="I87:J87"/>
    <mergeCell ref="I88:J88"/>
    <mergeCell ref="I89:J89"/>
    <mergeCell ref="I80:J80"/>
    <mergeCell ref="I81:J81"/>
    <mergeCell ref="I82:J82"/>
    <mergeCell ref="I83:J83"/>
    <mergeCell ref="I84:J84"/>
    <mergeCell ref="I85:J85"/>
    <mergeCell ref="I90:J90"/>
    <mergeCell ref="F78:G78"/>
    <mergeCell ref="F79:G79"/>
    <mergeCell ref="F75:G75"/>
    <mergeCell ref="F76:G76"/>
    <mergeCell ref="F77:G77"/>
    <mergeCell ref="I76:J76"/>
    <mergeCell ref="I57:J57"/>
    <mergeCell ref="I58:J58"/>
    <mergeCell ref="F57:G57"/>
    <mergeCell ref="I74:J74"/>
    <mergeCell ref="I78:J78"/>
    <mergeCell ref="I79:J79"/>
    <mergeCell ref="I71:J71"/>
    <mergeCell ref="I72:J72"/>
    <mergeCell ref="I73:J73"/>
    <mergeCell ref="I69:J69"/>
    <mergeCell ref="I70:J70"/>
    <mergeCell ref="I66:J66"/>
    <mergeCell ref="I67:J67"/>
    <mergeCell ref="S50:X50"/>
    <mergeCell ref="L50:R50"/>
    <mergeCell ref="F51:G51"/>
    <mergeCell ref="L51:M51"/>
    <mergeCell ref="F94:G94"/>
    <mergeCell ref="L93:M93"/>
    <mergeCell ref="L94:M94"/>
    <mergeCell ref="L83:M83"/>
    <mergeCell ref="F70:G70"/>
    <mergeCell ref="F71:G71"/>
    <mergeCell ref="F72:G72"/>
    <mergeCell ref="L75:M75"/>
    <mergeCell ref="L76:M76"/>
    <mergeCell ref="L77:M77"/>
    <mergeCell ref="L62:M62"/>
    <mergeCell ref="L63:M63"/>
    <mergeCell ref="L64:M64"/>
    <mergeCell ref="L65:M65"/>
    <mergeCell ref="L66:M66"/>
    <mergeCell ref="L67:M67"/>
    <mergeCell ref="F58:G58"/>
    <mergeCell ref="O57:P57"/>
    <mergeCell ref="O58:P58"/>
    <mergeCell ref="O53:P53"/>
    <mergeCell ref="O54:P54"/>
    <mergeCell ref="O61:P61"/>
    <mergeCell ref="F53:G53"/>
    <mergeCell ref="F54:G54"/>
    <mergeCell ref="F61:G61"/>
    <mergeCell ref="I53:J53"/>
    <mergeCell ref="I54:J54"/>
    <mergeCell ref="I61:J61"/>
    <mergeCell ref="L53:M53"/>
    <mergeCell ref="L54:M54"/>
    <mergeCell ref="L61:M61"/>
    <mergeCell ref="L56:M56"/>
    <mergeCell ref="L59:M59"/>
    <mergeCell ref="L60:M60"/>
    <mergeCell ref="F59:G59"/>
    <mergeCell ref="F60:G60"/>
    <mergeCell ref="O59:P59"/>
    <mergeCell ref="O60:P60"/>
    <mergeCell ref="L57:M57"/>
    <mergeCell ref="L58:M58"/>
  </mergeCells>
  <phoneticPr fontId="4" type="noConversion"/>
  <pageMargins left="0.75" right="0.75" top="1" bottom="1" header="0.5" footer="0.5"/>
  <pageSetup paperSize="9" scale="30" orientation="landscape" r:id="rId1"/>
  <headerFooter alignWithMargins="0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5"/>
  <sheetViews>
    <sheetView workbookViewId="0">
      <selection sqref="A1:XFD1048576"/>
    </sheetView>
  </sheetViews>
  <sheetFormatPr defaultRowHeight="12.75"/>
  <cols>
    <col min="2" max="2" width="10.28515625" style="12" bestFit="1" customWidth="1"/>
  </cols>
  <sheetData>
    <row r="1" spans="1:6" s="15" customFormat="1" ht="51">
      <c r="A1" s="11" t="s">
        <v>0</v>
      </c>
      <c r="B1" s="14" t="s">
        <v>271</v>
      </c>
      <c r="C1" s="11" t="s">
        <v>24</v>
      </c>
      <c r="D1" s="79" t="s">
        <v>61</v>
      </c>
      <c r="E1" s="79" t="s">
        <v>62</v>
      </c>
    </row>
    <row r="2" spans="1:6">
      <c r="A2" s="96">
        <f>SUM([1]Gen!A11)</f>
        <v>43739</v>
      </c>
      <c r="B2" s="13">
        <f>SUM('[1]Summery Report'!F5)</f>
        <v>5669</v>
      </c>
      <c r="C2" s="121">
        <f>SUM('[1]Summery Report'!C5)</f>
        <v>0.623</v>
      </c>
      <c r="D2" s="80" t="e">
        <f>SUM('[1]Summery Report'!#REF!)</f>
        <v>#REF!</v>
      </c>
      <c r="E2" s="80" t="e">
        <f>SUM('[1]Summery Report'!#REF!)</f>
        <v>#REF!</v>
      </c>
      <c r="F2" s="19">
        <v>0.1</v>
      </c>
    </row>
    <row r="3" spans="1:6">
      <c r="A3" s="96">
        <f>SUM([1]Gen!A12)</f>
        <v>43740</v>
      </c>
      <c r="B3" s="13">
        <f>SUM('[1]Summery Report'!F6)</f>
        <v>6159</v>
      </c>
      <c r="C3" s="121">
        <f>SUM('[1]Summery Report'!C6)</f>
        <v>0.77900000000000003</v>
      </c>
      <c r="D3" s="80" t="e">
        <f>SUM('[1]Summery Report'!#REF!)</f>
        <v>#REF!</v>
      </c>
      <c r="E3" s="80" t="e">
        <f>SUM('[1]Summery Report'!#REF!)</f>
        <v>#REF!</v>
      </c>
      <c r="F3" s="19">
        <v>0.13750000000000001</v>
      </c>
    </row>
    <row r="4" spans="1:6">
      <c r="A4" s="96">
        <f>SUM([1]Gen!A13)</f>
        <v>43741</v>
      </c>
      <c r="B4" s="13">
        <f>SUM('[1]Summery Report'!F7)</f>
        <v>6580</v>
      </c>
      <c r="C4" s="121">
        <f>SUM('[1]Summery Report'!C7)</f>
        <v>0.53200000000000003</v>
      </c>
      <c r="D4" s="80" t="e">
        <f>SUM('[1]Summery Report'!#REF!)</f>
        <v>#REF!</v>
      </c>
      <c r="E4" s="80" t="e">
        <f>SUM('[1]Summery Report'!#REF!)</f>
        <v>#REF!</v>
      </c>
      <c r="F4" s="19">
        <v>8.7499999999999994E-2</v>
      </c>
    </row>
    <row r="5" spans="1:6">
      <c r="A5" s="96">
        <f>SUM([1]Gen!A14)</f>
        <v>43742</v>
      </c>
      <c r="B5" s="13">
        <f>SUM('[1]Summery Report'!F8)</f>
        <v>6223</v>
      </c>
      <c r="C5" s="121">
        <f>SUM('[1]Summery Report'!C8)</f>
        <v>0.61</v>
      </c>
      <c r="D5" s="80" t="e">
        <f>SUM('[1]Summery Report'!#REF!)</f>
        <v>#REF!</v>
      </c>
      <c r="E5" s="80" t="e">
        <f>SUM('[1]Summery Report'!#REF!)</f>
        <v>#REF!</v>
      </c>
      <c r="F5" s="19">
        <v>0.22500000000000001</v>
      </c>
    </row>
    <row r="6" spans="1:6">
      <c r="A6" s="96">
        <f>SUM([1]Gen!A15)</f>
        <v>43743</v>
      </c>
      <c r="B6" s="13">
        <f>SUM('[1]Summery Report'!F9)</f>
        <v>5984</v>
      </c>
      <c r="C6" s="121">
        <f>SUM('[1]Summery Report'!C9)</f>
        <v>0.68799999999999994</v>
      </c>
      <c r="D6" s="80" t="e">
        <f>SUM('[1]Summery Report'!#REF!)</f>
        <v>#REF!</v>
      </c>
      <c r="E6" s="80" t="e">
        <f>SUM('[1]Summery Report'!#REF!)</f>
        <v>#REF!</v>
      </c>
      <c r="F6" s="19">
        <v>0.2</v>
      </c>
    </row>
    <row r="7" spans="1:6">
      <c r="A7" s="96">
        <f>SUM([1]Gen!A16)</f>
        <v>43744</v>
      </c>
      <c r="B7" s="13">
        <f>SUM('[1]Summery Report'!F10)</f>
        <v>6103</v>
      </c>
      <c r="C7" s="121">
        <f>SUM('[1]Summery Report'!C10)</f>
        <v>0.53200000000000003</v>
      </c>
      <c r="D7" s="80" t="e">
        <f>SUM('[1]Summery Report'!#REF!)</f>
        <v>#REF!</v>
      </c>
      <c r="E7" s="80" t="e">
        <f>SUM('[1]Summery Report'!#REF!)</f>
        <v>#REF!</v>
      </c>
      <c r="F7" s="19">
        <v>0.35</v>
      </c>
    </row>
    <row r="8" spans="1:6">
      <c r="A8" s="96">
        <f>SUM([1]Gen!A17)</f>
        <v>43745</v>
      </c>
      <c r="B8" s="13">
        <f>SUM('[1]Summery Report'!F11)</f>
        <v>5576</v>
      </c>
      <c r="C8" s="121">
        <f>SUM('[1]Summery Report'!C11)</f>
        <v>0.753</v>
      </c>
      <c r="D8" s="80" t="e">
        <f>SUM('[1]Summery Report'!#REF!)</f>
        <v>#REF!</v>
      </c>
      <c r="E8" s="80" t="e">
        <f>SUM('[1]Summery Report'!#REF!)</f>
        <v>#REF!</v>
      </c>
      <c r="F8" s="19">
        <v>0.375</v>
      </c>
    </row>
    <row r="9" spans="1:6">
      <c r="A9" s="96">
        <f>SUM([1]Gen!A18)</f>
        <v>43746</v>
      </c>
      <c r="B9" s="13">
        <f>SUM('[1]Summery Report'!F12)</f>
        <v>5532</v>
      </c>
      <c r="C9" s="121">
        <f>SUM('[1]Summery Report'!C12)</f>
        <v>0.156</v>
      </c>
      <c r="D9" s="80" t="e">
        <f>SUM('[1]Summery Report'!#REF!)</f>
        <v>#REF!</v>
      </c>
      <c r="E9" s="80" t="e">
        <f>SUM('[1]Summery Report'!#REF!)</f>
        <v>#REF!</v>
      </c>
      <c r="F9" s="19">
        <v>0.32500000000000001</v>
      </c>
    </row>
    <row r="10" spans="1:6">
      <c r="A10" s="96">
        <f>SUM([1]Gen!A19)</f>
        <v>43747</v>
      </c>
      <c r="B10" s="13">
        <f>SUM('[1]Summery Report'!F13)</f>
        <v>6233</v>
      </c>
      <c r="C10" s="121">
        <f>SUM('[1]Summery Report'!C13)</f>
        <v>0.442</v>
      </c>
      <c r="D10" s="80" t="e">
        <f>SUM('[1]Summery Report'!#REF!)</f>
        <v>#REF!</v>
      </c>
      <c r="E10" s="80" t="e">
        <f>SUM('[1]Summery Report'!#REF!)</f>
        <v>#REF!</v>
      </c>
      <c r="F10" s="19">
        <v>0.75</v>
      </c>
    </row>
    <row r="11" spans="1:6">
      <c r="A11" s="96">
        <f>SUM([1]Gen!A20)</f>
        <v>43748</v>
      </c>
      <c r="B11" s="13">
        <f>SUM('[1]Summery Report'!F14)</f>
        <v>6063</v>
      </c>
      <c r="C11" s="121">
        <f>SUM('[1]Summery Report'!C14)</f>
        <v>0.32500000000000001</v>
      </c>
      <c r="D11" s="80" t="e">
        <f>SUM('[1]Summery Report'!#REF!)</f>
        <v>#REF!</v>
      </c>
      <c r="E11" s="80" t="e">
        <f>SUM('[1]Summery Report'!#REF!)</f>
        <v>#REF!</v>
      </c>
      <c r="F11" s="19">
        <v>0.76249999999999996</v>
      </c>
    </row>
    <row r="12" spans="1:6">
      <c r="A12" s="96">
        <f>SUM([1]Gen!A21)</f>
        <v>43749</v>
      </c>
      <c r="B12" s="13">
        <f>SUM('[1]Summery Report'!F15)</f>
        <v>5967</v>
      </c>
      <c r="C12" s="121">
        <f>SUM('[1]Summery Report'!C15)</f>
        <v>0.45500000000000002</v>
      </c>
      <c r="D12" s="80" t="e">
        <f>SUM('[1]Summery Report'!#REF!)</f>
        <v>#REF!</v>
      </c>
      <c r="E12" s="80" t="e">
        <f>SUM('[1]Summery Report'!#REF!)</f>
        <v>#REF!</v>
      </c>
      <c r="F12" s="19">
        <v>0.16250000000000001</v>
      </c>
    </row>
    <row r="13" spans="1:6">
      <c r="A13" s="96">
        <f>SUM([1]Gen!A22)</f>
        <v>43750</v>
      </c>
      <c r="B13" s="13">
        <f>SUM('[1]Summery Report'!F16)</f>
        <v>5863</v>
      </c>
      <c r="C13" s="121">
        <f>SUM('[1]Summery Report'!C16)</f>
        <v>0.41599999999999998</v>
      </c>
      <c r="D13" s="80" t="e">
        <f>SUM('[1]Summery Report'!#REF!)</f>
        <v>#REF!</v>
      </c>
      <c r="E13" s="80" t="e">
        <f>SUM('[1]Summery Report'!#REF!)</f>
        <v>#REF!</v>
      </c>
      <c r="F13" s="19">
        <v>0.1125</v>
      </c>
    </row>
    <row r="14" spans="1:6">
      <c r="A14" s="96">
        <f>SUM([1]Gen!A23)</f>
        <v>43751</v>
      </c>
      <c r="B14" s="13">
        <f>SUM('[1]Summery Report'!F17)</f>
        <v>5720</v>
      </c>
      <c r="C14" s="121">
        <f>SUM('[1]Summery Report'!C17)</f>
        <v>0.39</v>
      </c>
      <c r="D14" s="80" t="e">
        <f>SUM('[1]Summery Report'!#REF!)</f>
        <v>#REF!</v>
      </c>
      <c r="E14" s="80" t="e">
        <f>SUM('[1]Summery Report'!#REF!)</f>
        <v>#REF!</v>
      </c>
      <c r="F14" s="19">
        <v>3.7499999999999999E-2</v>
      </c>
    </row>
    <row r="15" spans="1:6">
      <c r="A15" s="96">
        <f>SUM([1]Gen!A24)</f>
        <v>43752</v>
      </c>
      <c r="B15" s="13">
        <f>SUM('[1]Summery Report'!F18)</f>
        <v>6195</v>
      </c>
      <c r="C15" s="121">
        <f>SUM('[1]Summery Report'!C18)</f>
        <v>0.63600000000000001</v>
      </c>
      <c r="D15" s="80" t="e">
        <f>SUM('[1]Summery Report'!#REF!)</f>
        <v>#REF!</v>
      </c>
      <c r="E15" s="80" t="e">
        <f>SUM('[1]Summery Report'!#REF!)</f>
        <v>#REF!</v>
      </c>
      <c r="F15" s="19">
        <v>0.125</v>
      </c>
    </row>
    <row r="16" spans="1:6">
      <c r="A16" s="96">
        <f>SUM([1]Gen!A25)</f>
        <v>43753</v>
      </c>
      <c r="B16" s="13">
        <f>SUM('[1]Summery Report'!F19)</f>
        <v>6450</v>
      </c>
      <c r="C16" s="121">
        <f>SUM('[1]Summery Report'!C19)</f>
        <v>0.84399999999999997</v>
      </c>
      <c r="D16" s="80" t="e">
        <f>SUM('[1]Summery Report'!#REF!)</f>
        <v>#REF!</v>
      </c>
      <c r="E16" s="80" t="e">
        <f>SUM('[1]Summery Report'!#REF!)</f>
        <v>#REF!</v>
      </c>
      <c r="F16" s="19">
        <v>0.125</v>
      </c>
    </row>
    <row r="17" spans="1:6">
      <c r="A17" s="96">
        <f>SUM([1]Gen!A26)</f>
        <v>43754</v>
      </c>
      <c r="B17" s="13">
        <f>SUM('[1]Summery Report'!F20)</f>
        <v>6915</v>
      </c>
      <c r="C17" s="121">
        <f>SUM('[1]Summery Report'!C20)</f>
        <v>0.81799999999999995</v>
      </c>
      <c r="D17" s="80" t="e">
        <f>SUM('[1]Summery Report'!#REF!)</f>
        <v>#REF!</v>
      </c>
      <c r="E17" s="80" t="e">
        <f>SUM('[1]Summery Report'!#REF!)</f>
        <v>#REF!</v>
      </c>
      <c r="F17" s="19">
        <v>0.05</v>
      </c>
    </row>
    <row r="18" spans="1:6">
      <c r="A18" s="96">
        <f>SUM([1]Gen!A27)</f>
        <v>43755</v>
      </c>
      <c r="B18" s="13">
        <f>SUM('[1]Summery Report'!F21)</f>
        <v>5962</v>
      </c>
      <c r="C18" s="121">
        <f>SUM('[1]Summery Report'!C21)</f>
        <v>0.20799999999999999</v>
      </c>
      <c r="D18" s="80" t="e">
        <f>SUM('[1]Summery Report'!#REF!)</f>
        <v>#REF!</v>
      </c>
      <c r="E18" s="80" t="e">
        <f>SUM('[1]Summery Report'!#REF!)</f>
        <v>#REF!</v>
      </c>
      <c r="F18" s="19">
        <v>0.21249999999999999</v>
      </c>
    </row>
    <row r="19" spans="1:6">
      <c r="A19" s="96">
        <f>SUM([1]Gen!A28)</f>
        <v>43756</v>
      </c>
      <c r="B19" s="13">
        <f>SUM('[1]Summery Report'!F22)</f>
        <v>5257</v>
      </c>
      <c r="C19" s="121">
        <f>SUM('[1]Summery Report'!C22)</f>
        <v>0.221</v>
      </c>
      <c r="D19" s="80" t="e">
        <f>SUM('[1]Summery Report'!#REF!)</f>
        <v>#REF!</v>
      </c>
      <c r="E19" s="80" t="e">
        <f>SUM('[1]Summery Report'!#REF!)</f>
        <v>#REF!</v>
      </c>
      <c r="F19" s="19">
        <v>0.1125</v>
      </c>
    </row>
    <row r="20" spans="1:6">
      <c r="A20" s="96">
        <f>SUM([1]Gen!A29)</f>
        <v>43757</v>
      </c>
      <c r="B20" s="13">
        <f>SUM('[1]Summery Report'!F23)</f>
        <v>4691</v>
      </c>
      <c r="C20" s="121">
        <f>SUM('[1]Summery Report'!C23)</f>
        <v>0.11700000000000001</v>
      </c>
      <c r="D20" s="80" t="e">
        <f>SUM('[1]Summery Report'!#REF!)</f>
        <v>#REF!</v>
      </c>
      <c r="E20" s="80" t="e">
        <f>SUM('[1]Summery Report'!#REF!)</f>
        <v>#REF!</v>
      </c>
      <c r="F20" s="19">
        <v>0.13750000000000001</v>
      </c>
    </row>
    <row r="21" spans="1:6">
      <c r="A21" s="96">
        <f>SUM([1]Gen!A30)</f>
        <v>43758</v>
      </c>
      <c r="B21" s="13">
        <f>SUM('[1]Summery Report'!F24)</f>
        <v>5712</v>
      </c>
      <c r="C21" s="121">
        <f>SUM('[1]Summery Report'!C24)</f>
        <v>0.57099999999999995</v>
      </c>
      <c r="D21" s="80" t="e">
        <f>SUM('[1]Summery Report'!#REF!)</f>
        <v>#REF!</v>
      </c>
      <c r="E21" s="80" t="e">
        <f>SUM('[1]Summery Report'!#REF!)</f>
        <v>#REF!</v>
      </c>
      <c r="F21" s="19">
        <v>0.15</v>
      </c>
    </row>
    <row r="22" spans="1:6">
      <c r="A22" s="96">
        <f>SUM([1]Gen!A31)</f>
        <v>43759</v>
      </c>
      <c r="B22" s="13">
        <f>SUM('[1]Summery Report'!F25)</f>
        <v>5941</v>
      </c>
      <c r="C22" s="121">
        <f>SUM('[1]Summery Report'!C25)</f>
        <v>0.55800000000000005</v>
      </c>
      <c r="D22" s="80" t="e">
        <f>SUM('[1]Summery Report'!#REF!)</f>
        <v>#REF!</v>
      </c>
      <c r="E22" s="80" t="e">
        <f>SUM('[1]Summery Report'!#REF!)</f>
        <v>#REF!</v>
      </c>
      <c r="F22" s="19">
        <v>0.13750000000000001</v>
      </c>
    </row>
    <row r="23" spans="1:6">
      <c r="A23" s="96">
        <f>SUM([1]Gen!A32)</f>
        <v>43760</v>
      </c>
      <c r="B23" s="13">
        <f>SUM('[1]Summery Report'!F26)</f>
        <v>5400</v>
      </c>
      <c r="C23" s="121">
        <f>SUM('[1]Summery Report'!C26)</f>
        <v>0.40300000000000002</v>
      </c>
      <c r="D23" s="80" t="e">
        <f>SUM('[1]Summery Report'!#REF!)</f>
        <v>#REF!</v>
      </c>
      <c r="E23" s="80" t="e">
        <f>SUM('[1]Summery Report'!#REF!)</f>
        <v>#REF!</v>
      </c>
      <c r="F23" s="19">
        <v>0</v>
      </c>
    </row>
    <row r="24" spans="1:6">
      <c r="A24" s="96">
        <f>SUM([1]Gen!A33)</f>
        <v>43761</v>
      </c>
      <c r="B24" s="13">
        <f>SUM('[1]Summery Report'!F27)</f>
        <v>5371</v>
      </c>
      <c r="C24" s="121">
        <f>SUM('[1]Summery Report'!C27)</f>
        <v>0.24</v>
      </c>
      <c r="D24" s="80" t="e">
        <f>SUM('[1]Summery Report'!#REF!)</f>
        <v>#REF!</v>
      </c>
      <c r="E24" s="80" t="e">
        <f>SUM('[1]Summery Report'!#REF!)</f>
        <v>#REF!</v>
      </c>
      <c r="F24" s="19">
        <v>0.05</v>
      </c>
    </row>
    <row r="25" spans="1:6">
      <c r="A25" s="96">
        <f>SUM([1]Gen!A34)</f>
        <v>43762</v>
      </c>
      <c r="B25" s="13">
        <f>SUM('[1]Summery Report'!F28)</f>
        <v>5296</v>
      </c>
      <c r="C25" s="121">
        <f>SUM('[1]Summery Report'!C28)</f>
        <v>0.09</v>
      </c>
      <c r="D25" s="80" t="e">
        <f>SUM('[1]Summery Report'!#REF!)</f>
        <v>#REF!</v>
      </c>
      <c r="E25" s="80" t="e">
        <f>SUM('[1]Summery Report'!#REF!)</f>
        <v>#REF!</v>
      </c>
      <c r="F25" s="19">
        <v>0.1125</v>
      </c>
    </row>
    <row r="26" spans="1:6">
      <c r="A26" s="96">
        <f>SUM([1]Gen!A35)</f>
        <v>43763</v>
      </c>
      <c r="B26" s="13">
        <f>SUM('[1]Summery Report'!F29)</f>
        <v>5221</v>
      </c>
      <c r="C26" s="121">
        <f>SUM('[1]Summery Report'!C29)</f>
        <v>0.28599999999999998</v>
      </c>
      <c r="D26" s="80" t="e">
        <f>SUM('[1]Summery Report'!#REF!)</f>
        <v>#REF!</v>
      </c>
      <c r="E26" s="80" t="e">
        <f>SUM('[1]Summery Report'!#REF!)</f>
        <v>#REF!</v>
      </c>
      <c r="F26" s="19">
        <v>0.125</v>
      </c>
    </row>
    <row r="27" spans="1:6">
      <c r="A27" s="96">
        <f>SUM([1]Gen!A36)</f>
        <v>43764</v>
      </c>
      <c r="B27" s="13">
        <f>SUM('[1]Summery Report'!F30)</f>
        <v>5665</v>
      </c>
      <c r="C27" s="121">
        <f>SUM('[1]Summery Report'!C30)</f>
        <v>0.54500000000000004</v>
      </c>
      <c r="D27" s="80" t="e">
        <f>SUM('[1]Summery Report'!#REF!)</f>
        <v>#REF!</v>
      </c>
      <c r="E27" s="80" t="e">
        <f>SUM('[1]Summery Report'!#REF!)</f>
        <v>#REF!</v>
      </c>
      <c r="F27" s="19">
        <v>0.17499999999999999</v>
      </c>
    </row>
    <row r="28" spans="1:6">
      <c r="A28" s="96">
        <f>SUM([1]Gen!A37)</f>
        <v>43765</v>
      </c>
      <c r="B28" s="13">
        <f>SUM('[1]Summery Report'!F31)</f>
        <v>6109</v>
      </c>
      <c r="C28" s="121">
        <f>SUM('[1]Summery Report'!C31)</f>
        <v>0.67500000000000004</v>
      </c>
      <c r="D28" s="80" t="e">
        <f>SUM('[1]Summery Report'!#REF!)</f>
        <v>#REF!</v>
      </c>
      <c r="E28" s="80" t="e">
        <f>SUM('[1]Summery Report'!#REF!)</f>
        <v>#REF!</v>
      </c>
      <c r="F28" s="19">
        <v>0.125</v>
      </c>
    </row>
    <row r="29" spans="1:6">
      <c r="A29" s="96">
        <f>SUM([1]Gen!A38)</f>
        <v>43766</v>
      </c>
      <c r="B29" s="13">
        <f>SUM('[1]Summery Report'!F32)</f>
        <v>0</v>
      </c>
      <c r="C29" s="121">
        <f>SUM('[1]Summery Report'!C32)</f>
        <v>0.27300000000000002</v>
      </c>
      <c r="D29" s="80" t="e">
        <f>SUM('[1]Summery Report'!#REF!)</f>
        <v>#REF!</v>
      </c>
      <c r="E29" s="80" t="e">
        <f>SUM('[1]Summery Report'!#REF!)</f>
        <v>#REF!</v>
      </c>
      <c r="F29" s="19">
        <v>7.4999999999999997E-2</v>
      </c>
    </row>
    <row r="30" spans="1:6">
      <c r="A30" s="96">
        <f>SUM([1]Gen!A39)</f>
        <v>43767</v>
      </c>
      <c r="B30" s="13">
        <f>SUM('[1]Summery Report'!F33)</f>
        <v>0</v>
      </c>
      <c r="C30" s="121">
        <f>SUM('[1]Summery Report'!C33)</f>
        <v>0</v>
      </c>
      <c r="D30" s="80" t="e">
        <f>SUM('[1]Summery Report'!#REF!)</f>
        <v>#REF!</v>
      </c>
      <c r="E30" s="80" t="e">
        <f>SUM('[1]Summery Report'!#REF!)</f>
        <v>#REF!</v>
      </c>
      <c r="F30" s="19">
        <v>0.1125</v>
      </c>
    </row>
    <row r="31" spans="1:6">
      <c r="A31" s="96">
        <f>SUM([1]Gen!A40)</f>
        <v>43768</v>
      </c>
      <c r="B31" s="13">
        <f>SUM('[1]Summery Report'!F34)</f>
        <v>0</v>
      </c>
      <c r="C31" s="121">
        <f>SUM('[1]Summery Report'!C34)</f>
        <v>0</v>
      </c>
      <c r="D31" s="80" t="e">
        <f>SUM('[1]Summery Report'!#REF!)</f>
        <v>#REF!</v>
      </c>
      <c r="E31" s="80" t="e">
        <f>SUM('[1]Summery Report'!#REF!)</f>
        <v>#REF!</v>
      </c>
      <c r="F31" s="19">
        <v>0.15</v>
      </c>
    </row>
    <row r="32" spans="1:6">
      <c r="A32" s="96">
        <f>SUM([1]Gen!A41)</f>
        <v>43769</v>
      </c>
      <c r="B32" s="13">
        <f>SUM('[1]Summery Report'!F35)</f>
        <v>0</v>
      </c>
      <c r="C32" s="121">
        <f>SUM('[1]Summery Report'!C35)</f>
        <v>0</v>
      </c>
      <c r="D32" s="80" t="e">
        <f>SUM('[1]Summery Report'!#REF!)</f>
        <v>#REF!</v>
      </c>
      <c r="E32" s="80" t="e">
        <f>SUM('[1]Summery Report'!#REF!)</f>
        <v>#REF!</v>
      </c>
      <c r="F32" s="19">
        <v>0.17499999999999999</v>
      </c>
    </row>
    <row r="33" spans="1:2">
      <c r="A33" s="10"/>
      <c r="B33" s="13">
        <f>[1]Gen!S41</f>
        <v>0</v>
      </c>
    </row>
    <row r="34" spans="1:2">
      <c r="A34" s="10"/>
      <c r="B34" s="13"/>
    </row>
    <row r="35" spans="1:2">
      <c r="A35" s="10"/>
    </row>
  </sheetData>
  <pageMargins left="0.7" right="0.7" top="0.75" bottom="0.75" header="0.3" footer="0.3"/>
  <pageSetup scale="4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O45"/>
  <sheetViews>
    <sheetView zoomScale="70" zoomScaleNormal="70" workbookViewId="0">
      <selection activeCell="F27" sqref="F27"/>
    </sheetView>
  </sheetViews>
  <sheetFormatPr defaultRowHeight="12.75"/>
  <cols>
    <col min="1" max="1" width="14" customWidth="1"/>
    <col min="2" max="2" width="19" customWidth="1"/>
    <col min="3" max="4" width="16.42578125" customWidth="1"/>
    <col min="5" max="5" width="9.140625" hidden="1" customWidth="1"/>
    <col min="6" max="6" width="17" customWidth="1"/>
    <col min="7" max="7" width="21.140625" style="15" customWidth="1"/>
    <col min="8" max="8" width="23.5703125" customWidth="1"/>
    <col min="9" max="9" width="17.5703125" customWidth="1"/>
    <col min="10" max="10" width="18.5703125" style="93" customWidth="1"/>
  </cols>
  <sheetData>
    <row r="1" spans="1:15" ht="15">
      <c r="A1" s="32"/>
      <c r="B1" s="35"/>
      <c r="C1" s="36"/>
      <c r="D1" s="35"/>
      <c r="E1" s="35"/>
      <c r="F1" s="37"/>
      <c r="G1" s="99"/>
      <c r="H1" s="35"/>
      <c r="I1" s="35"/>
      <c r="J1" s="116"/>
    </row>
    <row r="2" spans="1:15" ht="15">
      <c r="A2" s="33"/>
      <c r="B2" s="38"/>
      <c r="C2" s="39"/>
      <c r="D2" s="40"/>
      <c r="E2" s="40"/>
      <c r="F2" s="41"/>
      <c r="G2" s="103"/>
      <c r="H2" s="38"/>
      <c r="I2" s="38"/>
      <c r="J2" s="117"/>
    </row>
    <row r="3" spans="1:15" ht="15.75">
      <c r="A3" s="33"/>
      <c r="B3" s="38"/>
      <c r="C3" s="810" t="s">
        <v>71</v>
      </c>
      <c r="D3" s="811"/>
      <c r="E3" s="811"/>
      <c r="F3" s="812"/>
      <c r="G3" s="104"/>
      <c r="H3" s="42" t="e">
        <f>4579-#REF!</f>
        <v>#REF!</v>
      </c>
      <c r="I3" s="42"/>
      <c r="J3" s="118"/>
    </row>
    <row r="4" spans="1:15" ht="15">
      <c r="A4" s="33"/>
      <c r="B4" s="38"/>
      <c r="C4" s="39"/>
      <c r="D4" s="40"/>
      <c r="E4" s="40"/>
      <c r="F4" s="50"/>
      <c r="G4" s="103"/>
      <c r="H4" s="38"/>
      <c r="I4" s="38"/>
      <c r="J4" s="117"/>
    </row>
    <row r="5" spans="1:15" ht="15">
      <c r="A5" s="31"/>
      <c r="B5" s="43"/>
      <c r="C5" s="44"/>
      <c r="D5" s="43"/>
      <c r="E5" s="43"/>
      <c r="F5" s="45"/>
      <c r="G5" s="103"/>
      <c r="H5" s="38"/>
      <c r="I5" s="38"/>
      <c r="J5" s="119"/>
    </row>
    <row r="6" spans="1:15" ht="13.5" customHeight="1">
      <c r="A6" s="5"/>
      <c r="B6" s="46"/>
      <c r="C6" s="813"/>
      <c r="D6" s="814"/>
      <c r="E6" s="815"/>
      <c r="F6" s="815"/>
      <c r="G6" s="49" t="s">
        <v>4</v>
      </c>
      <c r="H6" s="47" t="s">
        <v>14</v>
      </c>
      <c r="I6" s="42"/>
      <c r="J6" s="117"/>
    </row>
    <row r="7" spans="1:15" ht="18" customHeight="1">
      <c r="A7" s="816" t="s">
        <v>7</v>
      </c>
      <c r="B7" s="101" t="s">
        <v>73</v>
      </c>
      <c r="C7" s="100" t="s">
        <v>74</v>
      </c>
      <c r="D7" s="101" t="s">
        <v>75</v>
      </c>
      <c r="E7" s="106"/>
      <c r="F7" s="107" t="s">
        <v>37</v>
      </c>
      <c r="G7" s="108" t="s">
        <v>13</v>
      </c>
      <c r="H7" s="189" t="s">
        <v>12</v>
      </c>
      <c r="I7" s="109" t="s">
        <v>11</v>
      </c>
      <c r="J7" s="48" t="s">
        <v>10</v>
      </c>
    </row>
    <row r="8" spans="1:15" ht="18" customHeight="1">
      <c r="A8" s="817"/>
      <c r="B8" s="403" t="s">
        <v>60</v>
      </c>
      <c r="C8" s="101" t="s">
        <v>36</v>
      </c>
      <c r="D8" s="102" t="s">
        <v>59</v>
      </c>
      <c r="E8" s="111"/>
      <c r="F8" s="114" t="s">
        <v>16</v>
      </c>
      <c r="G8" s="112" t="s">
        <v>72</v>
      </c>
      <c r="H8" s="110" t="s">
        <v>1</v>
      </c>
      <c r="I8" s="113" t="s">
        <v>9</v>
      </c>
      <c r="J8" s="48" t="s">
        <v>8</v>
      </c>
    </row>
    <row r="9" spans="1:15" ht="18.75">
      <c r="A9" s="334"/>
      <c r="B9" s="367">
        <v>80</v>
      </c>
      <c r="C9" s="367">
        <v>85</v>
      </c>
      <c r="D9" s="367">
        <v>85</v>
      </c>
      <c r="E9" s="367"/>
      <c r="F9" s="367">
        <v>68105.16</v>
      </c>
      <c r="G9" s="367"/>
      <c r="H9" s="34"/>
      <c r="I9" s="21"/>
      <c r="J9" s="120"/>
      <c r="N9" s="190"/>
      <c r="O9" s="190"/>
    </row>
    <row r="10" spans="1:15" ht="18.75">
      <c r="A10" s="97">
        <f>Gen!A11</f>
        <v>43800</v>
      </c>
      <c r="B10" s="367">
        <v>77</v>
      </c>
      <c r="C10" s="367">
        <v>85</v>
      </c>
      <c r="D10" s="367">
        <v>85</v>
      </c>
      <c r="E10" s="367"/>
      <c r="F10" s="367">
        <v>68131.19</v>
      </c>
      <c r="G10" s="367">
        <f>(F10-F9)*4.4</f>
        <v>114.53199999999488</v>
      </c>
      <c r="H10" s="115">
        <f>Gen!B11</f>
        <v>0.11700000000000001</v>
      </c>
      <c r="I10" s="6">
        <f>SUM(F10/H10)</f>
        <v>582317.86324786325</v>
      </c>
      <c r="J10" s="120">
        <f t="shared" ref="J10:J40" si="0">SUM(G10/I10)</f>
        <v>1.966829582750485E-4</v>
      </c>
      <c r="N10" s="190"/>
      <c r="O10" s="190"/>
    </row>
    <row r="11" spans="1:15" ht="18.75">
      <c r="A11" s="97">
        <f>Gen!A12</f>
        <v>43801</v>
      </c>
      <c r="B11" s="367">
        <v>75</v>
      </c>
      <c r="C11" s="367">
        <v>85</v>
      </c>
      <c r="D11" s="367">
        <v>85</v>
      </c>
      <c r="E11" s="367"/>
      <c r="F11" s="367">
        <v>68158.320000000007</v>
      </c>
      <c r="G11" s="367">
        <f t="shared" ref="G11:G40" si="1">(F11-F10)*4.4</f>
        <v>119.37200000002049</v>
      </c>
      <c r="H11" s="115">
        <f>Gen!B12</f>
        <v>0.11700000000000001</v>
      </c>
      <c r="I11" s="6">
        <f t="shared" ref="I11:I41" si="2">SUM(F11/H11)</f>
        <v>582549.74358974362</v>
      </c>
      <c r="J11" s="120">
        <f t="shared" si="0"/>
        <v>2.0491297320712125E-4</v>
      </c>
      <c r="M11" s="190"/>
      <c r="N11" s="190"/>
    </row>
    <row r="12" spans="1:15" ht="18.75">
      <c r="A12" s="97">
        <f>Gen!A13</f>
        <v>43802</v>
      </c>
      <c r="B12" s="367">
        <v>73</v>
      </c>
      <c r="C12" s="367">
        <v>85</v>
      </c>
      <c r="D12" s="367">
        <v>85</v>
      </c>
      <c r="E12" s="367"/>
      <c r="F12" s="367">
        <v>68186.320000000007</v>
      </c>
      <c r="G12" s="367">
        <f t="shared" si="1"/>
        <v>123.20000000000002</v>
      </c>
      <c r="H12" s="115">
        <f>Gen!B13</f>
        <v>0.182</v>
      </c>
      <c r="I12" s="6">
        <f t="shared" si="2"/>
        <v>374650.10989010992</v>
      </c>
      <c r="J12" s="120">
        <f t="shared" si="0"/>
        <v>3.2884015444740235E-4</v>
      </c>
      <c r="M12" s="190"/>
      <c r="N12" s="190"/>
    </row>
    <row r="13" spans="1:15" ht="18.75">
      <c r="A13" s="97">
        <f>Gen!A14</f>
        <v>43803</v>
      </c>
      <c r="B13" s="367">
        <v>70</v>
      </c>
      <c r="C13" s="367">
        <v>85</v>
      </c>
      <c r="D13" s="367">
        <v>85</v>
      </c>
      <c r="E13" s="367"/>
      <c r="F13" s="367">
        <v>68210.3</v>
      </c>
      <c r="G13" s="367">
        <f t="shared" si="1"/>
        <v>105.51199999998208</v>
      </c>
      <c r="H13" s="115">
        <f>Gen!B14</f>
        <v>9.0999999999999998E-2</v>
      </c>
      <c r="I13" s="6">
        <f t="shared" si="2"/>
        <v>749563.73626373627</v>
      </c>
      <c r="J13" s="120">
        <f t="shared" si="0"/>
        <v>1.4076454728975492E-4</v>
      </c>
      <c r="M13" s="190"/>
      <c r="N13" s="190"/>
    </row>
    <row r="14" spans="1:15" ht="18.75">
      <c r="A14" s="97">
        <f>Gen!A15</f>
        <v>43804</v>
      </c>
      <c r="B14" s="367">
        <v>68</v>
      </c>
      <c r="C14" s="367">
        <v>85</v>
      </c>
      <c r="D14" s="367">
        <v>85</v>
      </c>
      <c r="E14" s="367"/>
      <c r="F14" s="367">
        <v>68234.559999999998</v>
      </c>
      <c r="G14" s="367">
        <f t="shared" si="1"/>
        <v>106.74399999997696</v>
      </c>
      <c r="H14" s="115">
        <f>Gen!B15</f>
        <v>0.104</v>
      </c>
      <c r="I14" s="6">
        <f t="shared" si="2"/>
        <v>656101.5384615385</v>
      </c>
      <c r="J14" s="120">
        <f t="shared" si="0"/>
        <v>1.6269432967689105E-4</v>
      </c>
      <c r="M14" s="190"/>
      <c r="N14" s="190"/>
    </row>
    <row r="15" spans="1:15" ht="18.75">
      <c r="A15" s="97">
        <f>Gen!A16</f>
        <v>43805</v>
      </c>
      <c r="B15" s="367">
        <v>66</v>
      </c>
      <c r="C15" s="367">
        <v>85</v>
      </c>
      <c r="D15" s="367">
        <v>85</v>
      </c>
      <c r="E15" s="367"/>
      <c r="F15" s="367">
        <v>68256.41</v>
      </c>
      <c r="G15" s="367">
        <f t="shared" si="1"/>
        <v>96.140000000025623</v>
      </c>
      <c r="H15" s="115">
        <f>Gen!B16</f>
        <v>9.8000000000000004E-2</v>
      </c>
      <c r="I15" s="6">
        <f t="shared" si="2"/>
        <v>696493.97959183669</v>
      </c>
      <c r="J15" s="120">
        <f t="shared" si="0"/>
        <v>1.3803421539460559E-4</v>
      </c>
      <c r="M15" s="190"/>
      <c r="N15" s="190"/>
    </row>
    <row r="16" spans="1:15" ht="18.75">
      <c r="A16" s="97">
        <f>Gen!A17</f>
        <v>43806</v>
      </c>
      <c r="B16" s="367">
        <v>64</v>
      </c>
      <c r="C16" s="367">
        <v>85</v>
      </c>
      <c r="D16" s="367">
        <v>85</v>
      </c>
      <c r="E16" s="367"/>
      <c r="F16" s="367">
        <v>68279.600000000006</v>
      </c>
      <c r="G16" s="367">
        <f t="shared" si="1"/>
        <v>102.03600000001025</v>
      </c>
      <c r="H16" s="115">
        <f>Gen!B17</f>
        <v>0.1555</v>
      </c>
      <c r="I16" s="6">
        <f t="shared" si="2"/>
        <v>439097.10610932478</v>
      </c>
      <c r="J16" s="120">
        <f t="shared" si="0"/>
        <v>2.323768446212572E-4</v>
      </c>
      <c r="M16" s="190"/>
      <c r="N16" s="190"/>
    </row>
    <row r="17" spans="1:14" ht="18.75">
      <c r="A17" s="97">
        <f>Gen!A18</f>
        <v>43807</v>
      </c>
      <c r="B17" s="367">
        <v>61</v>
      </c>
      <c r="C17" s="367">
        <v>85</v>
      </c>
      <c r="D17" s="367">
        <v>85</v>
      </c>
      <c r="E17" s="367"/>
      <c r="F17" s="367">
        <v>68302.27</v>
      </c>
      <c r="G17" s="367">
        <f t="shared" si="1"/>
        <v>99.747999999992331</v>
      </c>
      <c r="H17" s="115">
        <f>Gen!B18</f>
        <v>0.1038</v>
      </c>
      <c r="I17" s="6">
        <f t="shared" si="2"/>
        <v>658018.01541425823</v>
      </c>
      <c r="J17" s="120">
        <f t="shared" si="0"/>
        <v>1.5158855481668768E-4</v>
      </c>
      <c r="M17" s="190"/>
      <c r="N17" s="190"/>
    </row>
    <row r="18" spans="1:14" ht="18.75">
      <c r="A18" s="97">
        <f>Gen!A19</f>
        <v>43808</v>
      </c>
      <c r="B18" s="367">
        <v>58</v>
      </c>
      <c r="C18" s="367">
        <v>85</v>
      </c>
      <c r="D18" s="367">
        <v>85</v>
      </c>
      <c r="E18" s="367"/>
      <c r="F18" s="367">
        <v>68325.210000000006</v>
      </c>
      <c r="G18" s="367">
        <f t="shared" si="1"/>
        <v>100.93600000001025</v>
      </c>
      <c r="H18" s="115">
        <f>Gen!B19</f>
        <v>0.16880000000000001</v>
      </c>
      <c r="I18" s="6">
        <f t="shared" si="2"/>
        <v>404770.201421801</v>
      </c>
      <c r="J18" s="120">
        <f t="shared" si="0"/>
        <v>2.493661827018421E-4</v>
      </c>
      <c r="M18" s="190"/>
      <c r="N18" s="190"/>
    </row>
    <row r="19" spans="1:14" ht="18.75">
      <c r="A19" s="97">
        <f>Gen!A20</f>
        <v>43809</v>
      </c>
      <c r="B19" s="367">
        <v>55</v>
      </c>
      <c r="C19" s="367">
        <v>85</v>
      </c>
      <c r="D19" s="367">
        <v>85</v>
      </c>
      <c r="E19" s="367"/>
      <c r="F19" s="367">
        <v>68349.06</v>
      </c>
      <c r="G19" s="367">
        <f t="shared" si="1"/>
        <v>104.93999999996159</v>
      </c>
      <c r="H19" s="115">
        <f>Gen!B20</f>
        <v>0.12989999999999999</v>
      </c>
      <c r="I19" s="6">
        <f t="shared" si="2"/>
        <v>526166.74364896072</v>
      </c>
      <c r="J19" s="120">
        <f t="shared" si="0"/>
        <v>1.9944247953073547E-4</v>
      </c>
      <c r="M19" s="190"/>
      <c r="N19" s="190"/>
    </row>
    <row r="20" spans="1:14" ht="18.75">
      <c r="A20" s="97">
        <f>Gen!A21</f>
        <v>43810</v>
      </c>
      <c r="B20" s="367">
        <v>53</v>
      </c>
      <c r="C20" s="367">
        <v>85</v>
      </c>
      <c r="D20" s="367">
        <v>85</v>
      </c>
      <c r="E20" s="367"/>
      <c r="F20" s="367">
        <v>68372.350000000006</v>
      </c>
      <c r="G20" s="367">
        <f t="shared" si="1"/>
        <v>102.47600000003587</v>
      </c>
      <c r="H20" s="115">
        <f>Gen!B21</f>
        <v>0.10390000000000001</v>
      </c>
      <c r="I20" s="6">
        <f t="shared" si="2"/>
        <v>658059.19153031765</v>
      </c>
      <c r="J20" s="120">
        <f t="shared" si="0"/>
        <v>1.557245933480965E-4</v>
      </c>
    </row>
    <row r="21" spans="1:14" ht="18.75">
      <c r="A21" s="97">
        <f>Gen!A22</f>
        <v>43811</v>
      </c>
      <c r="B21" s="367">
        <v>51</v>
      </c>
      <c r="C21" s="367">
        <v>85</v>
      </c>
      <c r="D21" s="367">
        <v>85</v>
      </c>
      <c r="E21" s="367"/>
      <c r="F21" s="367">
        <v>68396.36</v>
      </c>
      <c r="G21" s="367">
        <f t="shared" si="1"/>
        <v>105.64399999997696</v>
      </c>
      <c r="H21" s="115">
        <f>Gen!B22</f>
        <v>0.1429</v>
      </c>
      <c r="I21" s="6">
        <f t="shared" si="2"/>
        <v>478630.93072078377</v>
      </c>
      <c r="J21" s="120">
        <f t="shared" si="0"/>
        <v>2.2072121381893286E-4</v>
      </c>
    </row>
    <row r="22" spans="1:14" ht="18.75">
      <c r="A22" s="97">
        <f>Gen!A23</f>
        <v>43812</v>
      </c>
      <c r="B22" s="367">
        <v>48</v>
      </c>
      <c r="C22" s="367">
        <v>85</v>
      </c>
      <c r="D22" s="367">
        <v>85</v>
      </c>
      <c r="E22" s="367"/>
      <c r="F22" s="367">
        <v>68419.38</v>
      </c>
      <c r="G22" s="367">
        <f t="shared" si="1"/>
        <v>101.28800000001793</v>
      </c>
      <c r="H22" s="115">
        <f>Gen!B23</f>
        <v>0.12989999999999999</v>
      </c>
      <c r="I22" s="6">
        <f t="shared" si="2"/>
        <v>526708.08314087766</v>
      </c>
      <c r="J22" s="120">
        <f t="shared" si="0"/>
        <v>1.9230386478220538E-4</v>
      </c>
    </row>
    <row r="23" spans="1:14" ht="18.75">
      <c r="A23" s="97">
        <f>Gen!A24</f>
        <v>43813</v>
      </c>
      <c r="B23" s="367">
        <v>46</v>
      </c>
      <c r="C23" s="367">
        <v>85</v>
      </c>
      <c r="D23" s="367">
        <v>85</v>
      </c>
      <c r="E23" s="367"/>
      <c r="F23" s="367">
        <v>68442.36</v>
      </c>
      <c r="G23" s="367">
        <f t="shared" si="1"/>
        <v>101.11199999998207</v>
      </c>
      <c r="H23" s="115">
        <f>Gen!B24</f>
        <v>0.1429</v>
      </c>
      <c r="I23" s="6">
        <f t="shared" si="2"/>
        <v>478952.83414975507</v>
      </c>
      <c r="J23" s="120">
        <f t="shared" si="0"/>
        <v>2.1111055784747105E-4</v>
      </c>
    </row>
    <row r="24" spans="1:14" ht="18.75">
      <c r="A24" s="97">
        <f>Gen!A25</f>
        <v>43814</v>
      </c>
      <c r="B24" s="367">
        <v>44</v>
      </c>
      <c r="C24" s="367">
        <v>85</v>
      </c>
      <c r="D24" s="367">
        <v>85</v>
      </c>
      <c r="E24" s="367"/>
      <c r="F24" s="367">
        <v>68466.36</v>
      </c>
      <c r="G24" s="367">
        <f t="shared" si="1"/>
        <v>105.60000000000001</v>
      </c>
      <c r="H24" s="115">
        <f>Gen!B25</f>
        <v>0.15579999999999999</v>
      </c>
      <c r="I24" s="6">
        <f t="shared" si="2"/>
        <v>439450.32092426188</v>
      </c>
      <c r="J24" s="120">
        <f t="shared" si="0"/>
        <v>2.4030019998142155E-4</v>
      </c>
    </row>
    <row r="25" spans="1:14" ht="18.75">
      <c r="A25" s="97">
        <f>Gen!A26</f>
        <v>43815</v>
      </c>
      <c r="B25" s="367">
        <v>41</v>
      </c>
      <c r="C25" s="367">
        <v>85</v>
      </c>
      <c r="D25" s="367">
        <v>85</v>
      </c>
      <c r="E25" s="367"/>
      <c r="F25" s="367">
        <v>68478.22</v>
      </c>
      <c r="G25" s="367">
        <f t="shared" si="1"/>
        <v>52.184000000002563</v>
      </c>
      <c r="H25" s="115">
        <f>Gen!B26</f>
        <v>0.15579999999999999</v>
      </c>
      <c r="I25" s="6">
        <f t="shared" si="2"/>
        <v>439526.44415917847</v>
      </c>
      <c r="J25" s="120">
        <f t="shared" si="0"/>
        <v>1.1872778235182513E-4</v>
      </c>
    </row>
    <row r="26" spans="1:14" ht="18.75">
      <c r="A26" s="97">
        <f>Gen!A27</f>
        <v>43816</v>
      </c>
      <c r="B26" s="367">
        <v>38</v>
      </c>
      <c r="C26" s="367">
        <v>85</v>
      </c>
      <c r="D26" s="367">
        <v>85</v>
      </c>
      <c r="E26" s="367"/>
      <c r="F26" s="367">
        <v>68501.91</v>
      </c>
      <c r="G26" s="367">
        <f t="shared" si="1"/>
        <v>104.23600000001025</v>
      </c>
      <c r="H26" s="115">
        <f>Gen!B27</f>
        <v>0.36359999999999998</v>
      </c>
      <c r="I26" s="6">
        <f t="shared" si="2"/>
        <v>188399.09240924096</v>
      </c>
      <c r="J26" s="120">
        <f t="shared" si="0"/>
        <v>5.5327230437813657E-4</v>
      </c>
    </row>
    <row r="27" spans="1:14" ht="18.75">
      <c r="A27" s="97">
        <f>Gen!A28</f>
        <v>43817</v>
      </c>
      <c r="B27" s="367"/>
      <c r="C27" s="367"/>
      <c r="D27" s="367"/>
      <c r="E27" s="367"/>
      <c r="F27" s="367"/>
      <c r="G27" s="367">
        <f t="shared" si="1"/>
        <v>-301408.40400000004</v>
      </c>
      <c r="H27" s="115">
        <f>Gen!B28</f>
        <v>0.35049999999999998</v>
      </c>
      <c r="I27" s="6">
        <f t="shared" si="2"/>
        <v>0</v>
      </c>
      <c r="J27" s="120" t="e">
        <f t="shared" si="0"/>
        <v>#DIV/0!</v>
      </c>
    </row>
    <row r="28" spans="1:14" ht="18.75">
      <c r="A28" s="97">
        <f>Gen!A29</f>
        <v>43818</v>
      </c>
      <c r="B28" s="367"/>
      <c r="C28" s="367"/>
      <c r="D28" s="367"/>
      <c r="E28" s="367"/>
      <c r="F28" s="367"/>
      <c r="G28" s="367">
        <f t="shared" si="1"/>
        <v>0</v>
      </c>
      <c r="H28" s="115">
        <f>Gen!B29</f>
        <v>0</v>
      </c>
      <c r="I28" s="6" t="e">
        <f t="shared" si="2"/>
        <v>#DIV/0!</v>
      </c>
      <c r="J28" s="120" t="e">
        <f t="shared" si="0"/>
        <v>#DIV/0!</v>
      </c>
    </row>
    <row r="29" spans="1:14" ht="18.75">
      <c r="A29" s="97">
        <f>Gen!A30</f>
        <v>43819</v>
      </c>
      <c r="B29" s="367"/>
      <c r="C29" s="367"/>
      <c r="D29" s="367"/>
      <c r="E29" s="367"/>
      <c r="F29" s="367"/>
      <c r="G29" s="367">
        <f t="shared" si="1"/>
        <v>0</v>
      </c>
      <c r="H29" s="115">
        <f>Gen!B30</f>
        <v>0</v>
      </c>
      <c r="I29" s="6" t="e">
        <f t="shared" si="2"/>
        <v>#DIV/0!</v>
      </c>
      <c r="J29" s="120" t="e">
        <f t="shared" si="0"/>
        <v>#DIV/0!</v>
      </c>
    </row>
    <row r="30" spans="1:14" ht="18.75">
      <c r="A30" s="97">
        <f>Gen!A31</f>
        <v>43820</v>
      </c>
      <c r="B30" s="367"/>
      <c r="C30" s="367"/>
      <c r="D30" s="367"/>
      <c r="E30" s="367"/>
      <c r="F30" s="367"/>
      <c r="G30" s="367">
        <f t="shared" si="1"/>
        <v>0</v>
      </c>
      <c r="H30" s="115">
        <f>Gen!B31</f>
        <v>0</v>
      </c>
      <c r="I30" s="6" t="e">
        <f t="shared" si="2"/>
        <v>#DIV/0!</v>
      </c>
      <c r="J30" s="120" t="e">
        <f t="shared" si="0"/>
        <v>#DIV/0!</v>
      </c>
    </row>
    <row r="31" spans="1:14" ht="18.75">
      <c r="A31" s="97">
        <f>Gen!A32</f>
        <v>43821</v>
      </c>
      <c r="B31" s="367"/>
      <c r="C31" s="367"/>
      <c r="D31" s="367"/>
      <c r="E31" s="367"/>
      <c r="F31" s="367"/>
      <c r="G31" s="367">
        <f t="shared" si="1"/>
        <v>0</v>
      </c>
      <c r="H31" s="115">
        <f>Gen!B32</f>
        <v>0</v>
      </c>
      <c r="I31" s="6" t="e">
        <f t="shared" si="2"/>
        <v>#DIV/0!</v>
      </c>
      <c r="J31" s="120" t="e">
        <f t="shared" si="0"/>
        <v>#DIV/0!</v>
      </c>
    </row>
    <row r="32" spans="1:14" ht="18.75">
      <c r="A32" s="97">
        <f>Gen!A33</f>
        <v>43822</v>
      </c>
      <c r="B32" s="367"/>
      <c r="C32" s="367"/>
      <c r="D32" s="367"/>
      <c r="E32" s="367"/>
      <c r="F32" s="367"/>
      <c r="G32" s="367">
        <f t="shared" si="1"/>
        <v>0</v>
      </c>
      <c r="H32" s="115">
        <f>Gen!B33</f>
        <v>0</v>
      </c>
      <c r="I32" s="6" t="e">
        <f t="shared" si="2"/>
        <v>#DIV/0!</v>
      </c>
      <c r="J32" s="120" t="e">
        <f t="shared" si="0"/>
        <v>#DIV/0!</v>
      </c>
    </row>
    <row r="33" spans="1:10" ht="18.75">
      <c r="A33" s="97">
        <f>Gen!A34</f>
        <v>43823</v>
      </c>
      <c r="B33" s="367"/>
      <c r="C33" s="367"/>
      <c r="D33" s="367"/>
      <c r="E33" s="367"/>
      <c r="F33" s="367"/>
      <c r="G33" s="367">
        <f t="shared" si="1"/>
        <v>0</v>
      </c>
      <c r="H33" s="115">
        <f>Gen!B34</f>
        <v>0</v>
      </c>
      <c r="I33" s="6" t="e">
        <f t="shared" si="2"/>
        <v>#DIV/0!</v>
      </c>
      <c r="J33" s="120" t="e">
        <f t="shared" si="0"/>
        <v>#DIV/0!</v>
      </c>
    </row>
    <row r="34" spans="1:10" ht="18.75">
      <c r="A34" s="97">
        <f>Gen!A35</f>
        <v>43824</v>
      </c>
      <c r="B34" s="367"/>
      <c r="C34" s="367"/>
      <c r="D34" s="367"/>
      <c r="E34" s="367"/>
      <c r="F34" s="367"/>
      <c r="G34" s="367">
        <f t="shared" si="1"/>
        <v>0</v>
      </c>
      <c r="H34" s="115">
        <f>Gen!B35</f>
        <v>0</v>
      </c>
      <c r="I34" s="6" t="e">
        <f t="shared" si="2"/>
        <v>#DIV/0!</v>
      </c>
      <c r="J34" s="120" t="e">
        <f t="shared" si="0"/>
        <v>#DIV/0!</v>
      </c>
    </row>
    <row r="35" spans="1:10" ht="18.75">
      <c r="A35" s="97">
        <f>Gen!A36</f>
        <v>43825</v>
      </c>
      <c r="B35" s="367"/>
      <c r="C35" s="367"/>
      <c r="D35" s="367"/>
      <c r="E35" s="367"/>
      <c r="F35" s="367"/>
      <c r="G35" s="367">
        <f t="shared" si="1"/>
        <v>0</v>
      </c>
      <c r="H35" s="115">
        <f>Gen!B36</f>
        <v>0</v>
      </c>
      <c r="I35" s="6" t="e">
        <f t="shared" si="2"/>
        <v>#DIV/0!</v>
      </c>
      <c r="J35" s="120" t="e">
        <f t="shared" si="0"/>
        <v>#DIV/0!</v>
      </c>
    </row>
    <row r="36" spans="1:10" ht="18.75">
      <c r="A36" s="97">
        <f>Gen!A37</f>
        <v>43826</v>
      </c>
      <c r="B36" s="367"/>
      <c r="C36" s="367"/>
      <c r="D36" s="367"/>
      <c r="E36" s="367"/>
      <c r="F36" s="367"/>
      <c r="G36" s="367">
        <f t="shared" si="1"/>
        <v>0</v>
      </c>
      <c r="H36" s="115">
        <f>Gen!B37</f>
        <v>0</v>
      </c>
      <c r="I36" s="6" t="e">
        <f t="shared" si="2"/>
        <v>#DIV/0!</v>
      </c>
      <c r="J36" s="120" t="e">
        <f t="shared" si="0"/>
        <v>#DIV/0!</v>
      </c>
    </row>
    <row r="37" spans="1:10" ht="18.75">
      <c r="A37" s="97">
        <f>Gen!A38</f>
        <v>43827</v>
      </c>
      <c r="B37" s="367"/>
      <c r="C37" s="367"/>
      <c r="D37" s="367"/>
      <c r="E37" s="367"/>
      <c r="F37" s="367"/>
      <c r="G37" s="367">
        <f t="shared" si="1"/>
        <v>0</v>
      </c>
      <c r="H37" s="115">
        <f>Gen!B38</f>
        <v>0</v>
      </c>
      <c r="I37" s="6" t="e">
        <f t="shared" si="2"/>
        <v>#DIV/0!</v>
      </c>
      <c r="J37" s="120" t="e">
        <f t="shared" si="0"/>
        <v>#DIV/0!</v>
      </c>
    </row>
    <row r="38" spans="1:10" ht="18.75">
      <c r="A38" s="97">
        <f>Gen!A39</f>
        <v>43828</v>
      </c>
      <c r="B38" s="367"/>
      <c r="C38" s="367"/>
      <c r="D38" s="367"/>
      <c r="E38" s="367"/>
      <c r="F38" s="367"/>
      <c r="G38" s="367">
        <f t="shared" si="1"/>
        <v>0</v>
      </c>
      <c r="H38" s="115">
        <f>Gen!B39</f>
        <v>0</v>
      </c>
      <c r="I38" s="6" t="e">
        <f t="shared" si="2"/>
        <v>#DIV/0!</v>
      </c>
      <c r="J38" s="120" t="e">
        <f t="shared" si="0"/>
        <v>#DIV/0!</v>
      </c>
    </row>
    <row r="39" spans="1:10" ht="18.75">
      <c r="A39" s="97">
        <f>Gen!A40</f>
        <v>43829</v>
      </c>
      <c r="B39" s="367"/>
      <c r="C39" s="367"/>
      <c r="D39" s="367"/>
      <c r="E39" s="367"/>
      <c r="F39" s="367"/>
      <c r="G39" s="367">
        <f t="shared" si="1"/>
        <v>0</v>
      </c>
      <c r="H39" s="115">
        <f>Gen!B40</f>
        <v>0</v>
      </c>
      <c r="I39" s="6" t="e">
        <f t="shared" si="2"/>
        <v>#DIV/0!</v>
      </c>
      <c r="J39" s="120" t="e">
        <f t="shared" si="0"/>
        <v>#DIV/0!</v>
      </c>
    </row>
    <row r="40" spans="1:10" ht="18.75">
      <c r="A40" s="97">
        <f>Gen!A41</f>
        <v>43830</v>
      </c>
      <c r="B40" s="367"/>
      <c r="C40" s="367"/>
      <c r="D40" s="367"/>
      <c r="E40" s="367"/>
      <c r="F40" s="367"/>
      <c r="G40" s="367">
        <f t="shared" si="1"/>
        <v>0</v>
      </c>
      <c r="H40" s="115">
        <f>Gen!B41</f>
        <v>0</v>
      </c>
      <c r="I40" s="6" t="e">
        <f t="shared" si="2"/>
        <v>#DIV/0!</v>
      </c>
      <c r="J40" s="120" t="e">
        <f t="shared" si="0"/>
        <v>#DIV/0!</v>
      </c>
    </row>
    <row r="41" spans="1:10" ht="18.75">
      <c r="A41" s="97" t="e">
        <f>[1]Gen!A42</f>
        <v>#REF!</v>
      </c>
      <c r="B41" s="367"/>
      <c r="C41" s="367"/>
      <c r="D41" s="367"/>
      <c r="E41" s="367"/>
      <c r="F41" s="367"/>
      <c r="G41" s="367"/>
      <c r="H41" s="115">
        <f>Gen!B42</f>
        <v>0</v>
      </c>
      <c r="I41" s="6" t="e">
        <f t="shared" si="2"/>
        <v>#DIV/0!</v>
      </c>
      <c r="J41" s="6"/>
    </row>
    <row r="42" spans="1:10" ht="17.25">
      <c r="A42" s="97"/>
      <c r="B42" s="5"/>
      <c r="C42" s="809" t="s">
        <v>6</v>
      </c>
      <c r="D42" s="809"/>
      <c r="E42" s="2">
        <f t="shared" ref="E42:F42" si="3">SUM(E10:E40)</f>
        <v>0</v>
      </c>
      <c r="F42" s="2">
        <f t="shared" si="3"/>
        <v>1161510.18</v>
      </c>
      <c r="G42" s="105">
        <f>SUM(G10:G40)</f>
        <v>-299662.70400000003</v>
      </c>
      <c r="H42" s="7"/>
      <c r="I42" s="6"/>
      <c r="J42" s="120"/>
    </row>
    <row r="45" spans="1:10">
      <c r="F45">
        <f>E12-E11</f>
        <v>0</v>
      </c>
      <c r="G45" s="15">
        <f>F45*4.4</f>
        <v>0</v>
      </c>
    </row>
  </sheetData>
  <mergeCells count="5">
    <mergeCell ref="C42:D42"/>
    <mergeCell ref="C3:F3"/>
    <mergeCell ref="C6:D6"/>
    <mergeCell ref="E6:F6"/>
    <mergeCell ref="A7:A8"/>
  </mergeCells>
  <pageMargins left="0.75" right="0.75" top="1" bottom="1" header="0.5" footer="0.5"/>
  <pageSetup scale="60" orientation="landscape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35"/>
  <sheetViews>
    <sheetView workbookViewId="0">
      <selection sqref="A1:XFD1048576"/>
    </sheetView>
  </sheetViews>
  <sheetFormatPr defaultRowHeight="12.75"/>
  <cols>
    <col min="1" max="1" width="9.7109375" bestFit="1" customWidth="1"/>
    <col min="2" max="2" width="10.28515625" style="12" bestFit="1" customWidth="1"/>
  </cols>
  <sheetData>
    <row r="1" spans="1:3" s="16" customFormat="1">
      <c r="A1" s="14" t="s">
        <v>0</v>
      </c>
      <c r="B1" s="14" t="s">
        <v>76</v>
      </c>
      <c r="C1" s="14" t="s">
        <v>24</v>
      </c>
    </row>
    <row r="2" spans="1:3">
      <c r="A2" s="96">
        <f>SUM([1]Gen!A11)</f>
        <v>43739</v>
      </c>
      <c r="B2" s="13">
        <f>'[1]Lpg (2)'!G10</f>
        <v>197.55999999997439</v>
      </c>
      <c r="C2" s="94">
        <f>SUM([1]Gen!B11)</f>
        <v>0.623</v>
      </c>
    </row>
    <row r="3" spans="1:3">
      <c r="A3" s="96">
        <f>SUM([1]Gen!A12)</f>
        <v>43740</v>
      </c>
      <c r="B3" s="13">
        <f>'[1]Lpg (2)'!G11</f>
        <v>131.95600000002307</v>
      </c>
      <c r="C3" s="94">
        <f>SUM([1]Gen!B12)</f>
        <v>0.77900000000000003</v>
      </c>
    </row>
    <row r="4" spans="1:3">
      <c r="A4" s="96">
        <f>SUM([1]Gen!A13)</f>
        <v>43741</v>
      </c>
      <c r="B4" s="13">
        <f>'[1]Lpg (2)'!G12</f>
        <v>117.4799999999872</v>
      </c>
      <c r="C4" s="94">
        <f>SUM([1]Gen!B13)</f>
        <v>0.53200000000000003</v>
      </c>
    </row>
    <row r="5" spans="1:3">
      <c r="A5" s="96">
        <f>SUM([1]Gen!A14)</f>
        <v>43742</v>
      </c>
      <c r="B5" s="13">
        <f>'[1]Lpg (2)'!G13</f>
        <v>102.9599999999744</v>
      </c>
      <c r="C5" s="94">
        <f>SUM([1]Gen!B14)</f>
        <v>0.61</v>
      </c>
    </row>
    <row r="6" spans="1:3">
      <c r="A6" s="96">
        <f>SUM([1]Gen!A15)</f>
        <v>43743</v>
      </c>
      <c r="B6" s="13">
        <f>'[1]Lpg (2)'!G14</f>
        <v>101.81599999999744</v>
      </c>
      <c r="C6" s="94">
        <f>SUM([1]Gen!B15)</f>
        <v>0.68799999999999994</v>
      </c>
    </row>
    <row r="7" spans="1:3">
      <c r="A7" s="96">
        <f>SUM([1]Gen!A16)</f>
        <v>43744</v>
      </c>
      <c r="B7" s="13">
        <f>'[1]Lpg (2)'!G15</f>
        <v>106.92000000001282</v>
      </c>
      <c r="C7" s="94">
        <f>SUM([1]Gen!B16)</f>
        <v>0.53200000000000003</v>
      </c>
    </row>
    <row r="8" spans="1:3">
      <c r="A8" s="96">
        <f>SUM([1]Gen!A17)</f>
        <v>43745</v>
      </c>
      <c r="B8" s="13">
        <f>'[1]Lpg (2)'!G16</f>
        <v>116.73199999999488</v>
      </c>
      <c r="C8" s="94">
        <f>SUM([1]Gen!B17)</f>
        <v>0.753</v>
      </c>
    </row>
    <row r="9" spans="1:3">
      <c r="A9" s="96">
        <f>SUM([1]Gen!A18)</f>
        <v>43746</v>
      </c>
      <c r="B9" s="13">
        <f>'[1]Lpg (2)'!G17</f>
        <v>105.73199999999488</v>
      </c>
      <c r="C9" s="94">
        <f>SUM([1]Gen!B18)</f>
        <v>0.156</v>
      </c>
    </row>
    <row r="10" spans="1:3">
      <c r="A10" s="96">
        <f>SUM([1]Gen!A19)</f>
        <v>43747</v>
      </c>
      <c r="B10" s="13">
        <f>'[1]Lpg (2)'!G18</f>
        <v>114.4</v>
      </c>
      <c r="C10" s="94">
        <f>SUM([1]Gen!B19)</f>
        <v>0.442</v>
      </c>
    </row>
    <row r="11" spans="1:3">
      <c r="A11" s="96">
        <f>SUM([1]Gen!A20)</f>
        <v>43748</v>
      </c>
      <c r="B11" s="13">
        <f>'[1]Lpg (2)'!G19</f>
        <v>102.08000000005123</v>
      </c>
      <c r="C11" s="94">
        <f>SUM([1]Gen!B20)</f>
        <v>0.32500000000000001</v>
      </c>
    </row>
    <row r="12" spans="1:3">
      <c r="A12" s="96">
        <f>SUM([1]Gen!A21)</f>
        <v>43749</v>
      </c>
      <c r="B12" s="13">
        <f>'[1]Lpg (2)'!G20</f>
        <v>105.29199999996928</v>
      </c>
      <c r="C12" s="94">
        <f>SUM([1]Gen!B21)</f>
        <v>0.45500000000000002</v>
      </c>
    </row>
    <row r="13" spans="1:3">
      <c r="A13" s="96">
        <f>SUM([1]Gen!A22)</f>
        <v>43750</v>
      </c>
      <c r="B13" s="13">
        <f>'[1]Lpg (2)'!G21</f>
        <v>114.66399999998977</v>
      </c>
      <c r="C13" s="94">
        <f>SUM([1]Gen!B22)</f>
        <v>0.41599999999999998</v>
      </c>
    </row>
    <row r="14" spans="1:3">
      <c r="A14" s="96">
        <f>SUM([1]Gen!A23)</f>
        <v>43751</v>
      </c>
      <c r="B14" s="13">
        <f>'[1]Lpg (2)'!G22</f>
        <v>113.78400000000256</v>
      </c>
      <c r="C14" s="94">
        <f>SUM([1]Gen!B23)</f>
        <v>0.39</v>
      </c>
    </row>
    <row r="15" spans="1:3">
      <c r="A15" s="96">
        <f>SUM([1]Gen!A24)</f>
        <v>43752</v>
      </c>
      <c r="B15" s="13">
        <f>'[1]Lpg (2)'!G23</f>
        <v>114.62000000001281</v>
      </c>
      <c r="C15" s="94">
        <f>SUM([1]Gen!B24)</f>
        <v>0.63600000000000001</v>
      </c>
    </row>
    <row r="16" spans="1:3">
      <c r="A16" s="96">
        <f>SUM([1]Gen!A25)</f>
        <v>43753</v>
      </c>
      <c r="B16" s="13">
        <f>'[1]Lpg (2)'!G24</f>
        <v>107.49199999996928</v>
      </c>
      <c r="C16" s="94">
        <f>SUM([1]Gen!B25)</f>
        <v>0.84399999999999997</v>
      </c>
    </row>
    <row r="17" spans="1:3">
      <c r="A17" s="96">
        <f>SUM([1]Gen!A26)</f>
        <v>43754</v>
      </c>
      <c r="B17" s="13">
        <f>'[1]Lpg (2)'!G25</f>
        <v>106.78800000001793</v>
      </c>
      <c r="C17" s="94">
        <f>SUM([1]Gen!B26)</f>
        <v>0.81799999999999995</v>
      </c>
    </row>
    <row r="18" spans="1:3">
      <c r="A18" s="96">
        <f>SUM([1]Gen!A27)</f>
        <v>43755</v>
      </c>
      <c r="B18" s="13">
        <f>'[1]Lpg (2)'!G26</f>
        <v>100.76000000003843</v>
      </c>
      <c r="C18" s="94">
        <f>SUM([1]Gen!B27)</f>
        <v>0.20799999999999999</v>
      </c>
    </row>
    <row r="19" spans="1:3">
      <c r="A19" s="96">
        <f>SUM([1]Gen!A28)</f>
        <v>43756</v>
      </c>
      <c r="B19" s="13">
        <f>'[1]Lpg (2)'!G27</f>
        <v>108.6799999999872</v>
      </c>
      <c r="C19" s="94">
        <f>SUM([1]Gen!B28)</f>
        <v>0.221</v>
      </c>
    </row>
    <row r="20" spans="1:3">
      <c r="A20" s="96">
        <f>SUM([1]Gen!A29)</f>
        <v>43757</v>
      </c>
      <c r="B20" s="13">
        <f>'[1]Lpg (2)'!G28</f>
        <v>92.795999999984645</v>
      </c>
      <c r="C20" s="94">
        <f>SUM([1]Gen!B29)</f>
        <v>0.11700000000000001</v>
      </c>
    </row>
    <row r="21" spans="1:3">
      <c r="A21" s="96">
        <f>SUM([1]Gen!A30)</f>
        <v>43758</v>
      </c>
      <c r="B21" s="13">
        <f>'[1]Lpg (2)'!G29</f>
        <v>137.80800000003075</v>
      </c>
      <c r="C21" s="94">
        <f>SUM([1]Gen!B30)</f>
        <v>0.57099999999999995</v>
      </c>
    </row>
    <row r="22" spans="1:3">
      <c r="A22" s="96">
        <f>SUM([1]Gen!A31)</f>
        <v>43759</v>
      </c>
      <c r="B22" s="13">
        <f>'[1]Lpg (2)'!G30</f>
        <v>103.79599999998464</v>
      </c>
      <c r="C22" s="94">
        <f>SUM([1]Gen!B31)</f>
        <v>0.55800000000000005</v>
      </c>
    </row>
    <row r="23" spans="1:3">
      <c r="A23" s="96">
        <f>SUM([1]Gen!A32)</f>
        <v>43760</v>
      </c>
      <c r="B23" s="13">
        <f>'[1]Lpg (2)'!G31</f>
        <v>20.415999999997439</v>
      </c>
      <c r="C23" s="94">
        <f>SUM([1]Gen!B32)</f>
        <v>0.40300000000000002</v>
      </c>
    </row>
    <row r="24" spans="1:3">
      <c r="A24" s="96">
        <f>SUM([1]Gen!A33)</f>
        <v>43761</v>
      </c>
      <c r="B24" s="13">
        <f>'[1]Lpg (2)'!G32</f>
        <v>197.69199999996928</v>
      </c>
      <c r="C24" s="94">
        <f>SUM([1]Gen!B33)</f>
        <v>0.24</v>
      </c>
    </row>
    <row r="25" spans="1:3">
      <c r="A25" s="96">
        <f>SUM([1]Gen!A34)</f>
        <v>43762</v>
      </c>
      <c r="B25" s="13">
        <f>'[1]Lpg (2)'!G33</f>
        <v>101.11200000004611</v>
      </c>
      <c r="C25" s="94">
        <f>SUM([1]Gen!B34)</f>
        <v>0.09</v>
      </c>
    </row>
    <row r="26" spans="1:3">
      <c r="A26" s="96">
        <f>SUM([1]Gen!A35)</f>
        <v>43763</v>
      </c>
      <c r="B26" s="13">
        <f>'[1]Lpg (2)'!G34</f>
        <v>95.303999999951344</v>
      </c>
      <c r="C26" s="94">
        <f>SUM([1]Gen!B35)</f>
        <v>0.28599999999999998</v>
      </c>
    </row>
    <row r="27" spans="1:3">
      <c r="A27" s="96">
        <f>SUM([1]Gen!A36)</f>
        <v>43764</v>
      </c>
      <c r="B27" s="13">
        <f>'[1]Lpg (2)'!G35</f>
        <v>104.80800000003075</v>
      </c>
      <c r="C27" s="94">
        <f>SUM([1]Gen!B36)</f>
        <v>0.54500000000000004</v>
      </c>
    </row>
    <row r="28" spans="1:3">
      <c r="A28" s="96">
        <f>SUM([1]Gen!A37)</f>
        <v>43765</v>
      </c>
      <c r="B28" s="13">
        <f>'[1]Lpg (2)'!G36</f>
        <v>102.43199999999489</v>
      </c>
      <c r="C28" s="94">
        <f>SUM([1]Gen!B37)</f>
        <v>0.67500000000000004</v>
      </c>
    </row>
    <row r="29" spans="1:3">
      <c r="A29" s="96">
        <f>SUM([1]Gen!A38)</f>
        <v>43766</v>
      </c>
      <c r="B29" s="13">
        <f>'[1]Lpg (2)'!G37</f>
        <v>-295728.88400000002</v>
      </c>
      <c r="C29" s="94">
        <f>SUM([1]Gen!B38)</f>
        <v>0.27300000000000002</v>
      </c>
    </row>
    <row r="30" spans="1:3">
      <c r="A30" s="96">
        <f>SUM([1]Gen!A39)</f>
        <v>43767</v>
      </c>
      <c r="B30" s="13">
        <f>'[1]Lpg (2)'!G38</f>
        <v>0</v>
      </c>
      <c r="C30" s="94" t="e">
        <f>SUM([1]Gen!B39)</f>
        <v>#REF!</v>
      </c>
    </row>
    <row r="31" spans="1:3">
      <c r="A31" s="96">
        <f>SUM([1]Gen!A40)</f>
        <v>43768</v>
      </c>
      <c r="B31" s="13">
        <f>'[1]Lpg (2)'!G39</f>
        <v>0</v>
      </c>
      <c r="C31" s="94" t="e">
        <f>SUM([1]Gen!B40)</f>
        <v>#REF!</v>
      </c>
    </row>
    <row r="32" spans="1:3">
      <c r="A32" s="96">
        <f>SUM([1]Gen!A41)</f>
        <v>43769</v>
      </c>
      <c r="B32" s="13">
        <f>'[1]Lpg (2)'!G40</f>
        <v>0</v>
      </c>
      <c r="C32" s="94" t="e">
        <f>SUM([1]Gen!B41)</f>
        <v>#REF!</v>
      </c>
    </row>
    <row r="33" spans="1:2">
      <c r="A33" s="10"/>
      <c r="B33" s="13"/>
    </row>
    <row r="34" spans="1:2">
      <c r="A34" s="10"/>
      <c r="B34" s="13"/>
    </row>
    <row r="35" spans="1:2">
      <c r="A35" s="10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70C0"/>
    <pageSetUpPr fitToPage="1"/>
  </sheetPr>
  <dimension ref="A1:AO77"/>
  <sheetViews>
    <sheetView zoomScale="94" zoomScaleNormal="94" workbookViewId="0">
      <pane xSplit="1" topLeftCell="B1" activePane="topRight" state="frozen"/>
      <selection pane="topRight" activeCell="A29" sqref="A29"/>
    </sheetView>
  </sheetViews>
  <sheetFormatPr defaultRowHeight="12.75"/>
  <cols>
    <col min="1" max="1" width="10.7109375" bestFit="1" customWidth="1"/>
    <col min="2" max="2" width="0.140625" customWidth="1"/>
    <col min="3" max="3" width="10.140625" customWidth="1"/>
    <col min="4" max="4" width="12.7109375" customWidth="1"/>
    <col min="5" max="5" width="14.140625" customWidth="1"/>
    <col min="6" max="6" width="8" customWidth="1"/>
    <col min="7" max="7" width="11.85546875" customWidth="1"/>
    <col min="8" max="8" width="14.140625" customWidth="1"/>
    <col min="9" max="9" width="10.28515625" customWidth="1"/>
    <col min="10" max="10" width="9.42578125" customWidth="1"/>
    <col min="11" max="11" width="14" customWidth="1"/>
    <col min="12" max="13" width="10.28515625" customWidth="1"/>
    <col min="14" max="14" width="14.28515625" customWidth="1"/>
    <col min="15" max="15" width="9.28515625" customWidth="1"/>
    <col min="16" max="16" width="10.140625" bestFit="1" customWidth="1"/>
    <col min="17" max="17" width="15.140625" customWidth="1"/>
    <col min="18" max="18" width="14.140625" customWidth="1"/>
    <col min="19" max="19" width="11.7109375" customWidth="1"/>
    <col min="20" max="20" width="12.28515625" customWidth="1"/>
    <col min="21" max="21" width="11.28515625" customWidth="1"/>
    <col min="22" max="22" width="9.28515625" bestFit="1" customWidth="1"/>
    <col min="23" max="23" width="13.28515625" bestFit="1" customWidth="1"/>
    <col min="24" max="24" width="11.7109375" bestFit="1" customWidth="1"/>
    <col min="25" max="25" width="9.28515625" bestFit="1" customWidth="1"/>
    <col min="26" max="26" width="13.28515625" bestFit="1" customWidth="1"/>
    <col min="27" max="27" width="11.7109375" bestFit="1" customWidth="1"/>
    <col min="28" max="28" width="9.28515625" bestFit="1" customWidth="1"/>
    <col min="29" max="29" width="13.140625" bestFit="1" customWidth="1"/>
    <col min="30" max="30" width="11" bestFit="1" customWidth="1"/>
    <col min="31" max="37" width="10.85546875" customWidth="1"/>
    <col min="38" max="38" width="11.42578125" customWidth="1"/>
    <col min="39" max="39" width="11.7109375" bestFit="1" customWidth="1"/>
    <col min="40" max="40" width="12.28515625" customWidth="1"/>
  </cols>
  <sheetData>
    <row r="1" spans="1:40" ht="23.25" thickBot="1">
      <c r="A1" s="837" t="s">
        <v>261</v>
      </c>
      <c r="B1" s="838"/>
      <c r="C1" s="838"/>
      <c r="D1" s="838"/>
      <c r="E1" s="838"/>
      <c r="F1" s="838"/>
      <c r="G1" s="838"/>
      <c r="H1" s="838"/>
      <c r="I1" s="838"/>
      <c r="J1" s="838"/>
      <c r="K1" s="838"/>
      <c r="L1" s="838"/>
      <c r="M1" s="838"/>
      <c r="N1" s="838"/>
      <c r="O1" s="838"/>
      <c r="P1" s="838"/>
      <c r="Q1" s="838"/>
      <c r="R1" s="838"/>
      <c r="S1" s="838"/>
      <c r="T1" s="838"/>
      <c r="U1" s="838"/>
      <c r="V1" s="838"/>
      <c r="W1" s="838"/>
      <c r="X1" s="838"/>
      <c r="Y1" s="838"/>
      <c r="Z1" s="838"/>
      <c r="AA1" s="838"/>
      <c r="AB1" s="838"/>
      <c r="AC1" s="838"/>
      <c r="AD1" s="838"/>
      <c r="AE1" s="838"/>
      <c r="AF1" s="838"/>
      <c r="AG1" s="838"/>
      <c r="AH1" s="838"/>
      <c r="AI1" s="838"/>
      <c r="AJ1" s="838"/>
      <c r="AK1" s="838"/>
      <c r="AL1" s="838"/>
      <c r="AM1" s="838"/>
      <c r="AN1" s="838"/>
    </row>
    <row r="2" spans="1:40" ht="13.5" customHeight="1" thickTop="1">
      <c r="A2" s="30"/>
      <c r="B2" s="30"/>
      <c r="C2" s="836" t="s">
        <v>53</v>
      </c>
      <c r="D2" s="836"/>
      <c r="E2" s="836"/>
      <c r="F2" s="836" t="s">
        <v>17</v>
      </c>
      <c r="G2" s="836"/>
      <c r="H2" s="836"/>
      <c r="I2" s="836" t="s">
        <v>132</v>
      </c>
      <c r="J2" s="836"/>
      <c r="K2" s="836"/>
      <c r="L2" s="836" t="s">
        <v>135</v>
      </c>
      <c r="M2" s="836"/>
      <c r="N2" s="836"/>
      <c r="O2" s="836" t="s">
        <v>133</v>
      </c>
      <c r="P2" s="836"/>
      <c r="Q2" s="836"/>
      <c r="R2" s="343"/>
      <c r="S2" s="845" t="s">
        <v>183</v>
      </c>
      <c r="T2" s="846"/>
      <c r="U2" s="847"/>
      <c r="V2" s="845" t="s">
        <v>184</v>
      </c>
      <c r="W2" s="846"/>
      <c r="X2" s="847"/>
      <c r="Y2" s="845" t="s">
        <v>185</v>
      </c>
      <c r="Z2" s="846"/>
      <c r="AA2" s="847"/>
      <c r="AB2" s="845" t="s">
        <v>186</v>
      </c>
      <c r="AC2" s="846"/>
      <c r="AD2" s="847"/>
      <c r="AE2" s="839" t="s">
        <v>241</v>
      </c>
      <c r="AF2" s="840"/>
      <c r="AG2" s="851"/>
      <c r="AH2" s="839" t="s">
        <v>245</v>
      </c>
      <c r="AI2" s="840"/>
      <c r="AJ2" s="851"/>
      <c r="AK2" s="839" t="s">
        <v>242</v>
      </c>
      <c r="AL2" s="840"/>
      <c r="AM2" s="840"/>
      <c r="AN2" s="843" t="s">
        <v>191</v>
      </c>
    </row>
    <row r="3" spans="1:40" ht="21.75" customHeight="1" thickBot="1">
      <c r="A3" s="834" t="s">
        <v>7</v>
      </c>
      <c r="B3" s="30"/>
      <c r="C3" s="836" t="s">
        <v>134</v>
      </c>
      <c r="D3" s="836" t="s">
        <v>15</v>
      </c>
      <c r="E3" s="836" t="s">
        <v>16</v>
      </c>
      <c r="F3" s="836" t="s">
        <v>134</v>
      </c>
      <c r="G3" s="836" t="s">
        <v>15</v>
      </c>
      <c r="H3" s="836" t="s">
        <v>16</v>
      </c>
      <c r="I3" s="836" t="s">
        <v>134</v>
      </c>
      <c r="J3" s="836" t="s">
        <v>15</v>
      </c>
      <c r="K3" s="836" t="s">
        <v>16</v>
      </c>
      <c r="L3" s="836" t="s">
        <v>134</v>
      </c>
      <c r="M3" s="836" t="s">
        <v>15</v>
      </c>
      <c r="N3" s="836" t="s">
        <v>16</v>
      </c>
      <c r="O3" s="836" t="s">
        <v>134</v>
      </c>
      <c r="P3" s="836" t="s">
        <v>15</v>
      </c>
      <c r="Q3" s="836" t="s">
        <v>16</v>
      </c>
      <c r="R3" s="853" t="s">
        <v>187</v>
      </c>
      <c r="S3" s="848"/>
      <c r="T3" s="849"/>
      <c r="U3" s="850"/>
      <c r="V3" s="848"/>
      <c r="W3" s="849"/>
      <c r="X3" s="850"/>
      <c r="Y3" s="848"/>
      <c r="Z3" s="849"/>
      <c r="AA3" s="850"/>
      <c r="AB3" s="848"/>
      <c r="AC3" s="849"/>
      <c r="AD3" s="850"/>
      <c r="AE3" s="841"/>
      <c r="AF3" s="842"/>
      <c r="AG3" s="852"/>
      <c r="AH3" s="841"/>
      <c r="AI3" s="842"/>
      <c r="AJ3" s="852"/>
      <c r="AK3" s="841"/>
      <c r="AL3" s="842"/>
      <c r="AM3" s="842"/>
      <c r="AN3" s="844"/>
    </row>
    <row r="4" spans="1:40" ht="15.75" thickTop="1">
      <c r="A4" s="835"/>
      <c r="B4" s="335"/>
      <c r="C4" s="836"/>
      <c r="D4" s="836"/>
      <c r="E4" s="836"/>
      <c r="F4" s="836"/>
      <c r="G4" s="836"/>
      <c r="H4" s="836"/>
      <c r="I4" s="836"/>
      <c r="J4" s="836"/>
      <c r="K4" s="836"/>
      <c r="L4" s="836"/>
      <c r="M4" s="836"/>
      <c r="N4" s="836"/>
      <c r="O4" s="836"/>
      <c r="P4" s="836"/>
      <c r="Q4" s="836"/>
      <c r="R4" s="853"/>
      <c r="S4" s="349" t="s">
        <v>188</v>
      </c>
      <c r="T4" s="350" t="s">
        <v>189</v>
      </c>
      <c r="U4" s="347" t="s">
        <v>190</v>
      </c>
      <c r="V4" s="345" t="s">
        <v>188</v>
      </c>
      <c r="W4" s="346" t="s">
        <v>189</v>
      </c>
      <c r="X4" s="347" t="s">
        <v>190</v>
      </c>
      <c r="Y4" s="345" t="s">
        <v>188</v>
      </c>
      <c r="Z4" s="346" t="s">
        <v>189</v>
      </c>
      <c r="AA4" s="347" t="s">
        <v>190</v>
      </c>
      <c r="AB4" s="345" t="s">
        <v>188</v>
      </c>
      <c r="AC4" s="346" t="s">
        <v>189</v>
      </c>
      <c r="AD4" s="398" t="s">
        <v>120</v>
      </c>
      <c r="AE4" s="345" t="s">
        <v>188</v>
      </c>
      <c r="AF4" s="346" t="s">
        <v>189</v>
      </c>
      <c r="AG4" s="399" t="s">
        <v>120</v>
      </c>
      <c r="AH4" s="345" t="s">
        <v>188</v>
      </c>
      <c r="AI4" s="346" t="s">
        <v>189</v>
      </c>
      <c r="AJ4" s="399" t="s">
        <v>120</v>
      </c>
      <c r="AK4" s="345" t="s">
        <v>188</v>
      </c>
      <c r="AL4" s="346" t="s">
        <v>189</v>
      </c>
      <c r="AM4" s="399" t="s">
        <v>120</v>
      </c>
      <c r="AN4" s="400"/>
    </row>
    <row r="5" spans="1:40" ht="21">
      <c r="A5" s="4"/>
      <c r="B5" s="4"/>
      <c r="C5" s="98">
        <f t="shared" ref="C5:C24" si="0">D4</f>
        <v>0</v>
      </c>
      <c r="D5" s="1">
        <v>219122</v>
      </c>
      <c r="E5" s="59">
        <f t="shared" ref="E5:E16" si="1">IF((D5-D4)&lt;0,"0",(D5-D4))</f>
        <v>219122</v>
      </c>
      <c r="F5" s="98">
        <f t="shared" ref="F5:F37" si="2">G4</f>
        <v>0</v>
      </c>
      <c r="G5" s="570">
        <v>37337</v>
      </c>
      <c r="H5" s="708">
        <f t="shared" ref="H5:H25" si="3">IF((G5-G4)&lt;0,"0",(G5-G4))</f>
        <v>37337</v>
      </c>
      <c r="I5" s="98">
        <f t="shared" ref="I5:I24" si="4">J4</f>
        <v>0</v>
      </c>
      <c r="J5" s="1">
        <f>'[4]Water-Meter'!$J$35</f>
        <v>7536</v>
      </c>
      <c r="K5" s="708">
        <f t="shared" ref="K5:K24" si="5">IF((J5-J4)&lt;0,"0",(J5-J4))</f>
        <v>7536</v>
      </c>
      <c r="L5" s="98">
        <f t="shared" ref="L5:L24" si="6">M4</f>
        <v>0</v>
      </c>
      <c r="M5" s="1">
        <f>'[4]Water-Meter'!$M$35</f>
        <v>10984</v>
      </c>
      <c r="N5" s="708">
        <f t="shared" ref="N5:N24" si="7">IF((M5-M4)&lt;0,"0",(M5-M4))</f>
        <v>10984</v>
      </c>
      <c r="O5" s="98">
        <f t="shared" ref="O5:O24" si="8">P4</f>
        <v>0</v>
      </c>
      <c r="P5" s="563">
        <f>'[4]Water-Meter'!$P$35</f>
        <v>19119</v>
      </c>
      <c r="Q5" s="708">
        <f t="shared" ref="Q5:Q24" si="9">IF((P5-P4)&lt;0,"0",(P5-P4))</f>
        <v>19119</v>
      </c>
      <c r="R5" s="337"/>
      <c r="S5" s="336"/>
      <c r="T5" s="564">
        <f>'[4]Water-Meter'!$T$35</f>
        <v>46850</v>
      </c>
      <c r="U5" s="336" t="str">
        <f t="shared" ref="U5:V20" si="10">V4</f>
        <v xml:space="preserve">OPEN </v>
      </c>
      <c r="V5" s="336" t="str">
        <f t="shared" si="10"/>
        <v>FINAL</v>
      </c>
      <c r="W5" s="564">
        <f>'[4]Water-Meter'!$W$35</f>
        <v>65746</v>
      </c>
      <c r="X5" s="337"/>
      <c r="Y5" s="336" t="str">
        <f t="shared" ref="Y5:Y37" si="11">Z4</f>
        <v>FINAL</v>
      </c>
      <c r="Z5" s="564">
        <f>'[4]Water-Meter'!$Z$35</f>
        <v>75179</v>
      </c>
      <c r="AA5" s="337"/>
      <c r="AB5" s="336" t="str">
        <f t="shared" ref="AB5:AB37" si="12">AC4</f>
        <v>FINAL</v>
      </c>
      <c r="AC5" s="661">
        <f>'[4]Water-Meter'!$AC$35</f>
        <v>11741</v>
      </c>
      <c r="AD5" s="351"/>
      <c r="AE5" s="336" t="str">
        <f t="shared" ref="AE5:AE37" si="13">AF4</f>
        <v>FINAL</v>
      </c>
      <c r="AF5" s="565">
        <f>'[4]Water-Meter'!$AF$35</f>
        <v>14515</v>
      </c>
      <c r="AG5" s="351"/>
      <c r="AH5" s="336" t="str">
        <f t="shared" ref="AH5:AH37" si="14">AI4</f>
        <v>FINAL</v>
      </c>
      <c r="AI5" s="565">
        <f>'[4]Water-Meter'!$AI$35</f>
        <v>23324</v>
      </c>
      <c r="AJ5" s="351"/>
      <c r="AK5" s="445" t="str">
        <f t="shared" ref="AK5:AK37" si="15">AL4</f>
        <v>FINAL</v>
      </c>
      <c r="AL5" s="564">
        <v>15154</v>
      </c>
      <c r="AM5" s="351"/>
      <c r="AN5" s="576"/>
    </row>
    <row r="6" spans="1:40" ht="23.1" customHeight="1">
      <c r="A6" s="58">
        <f>Gen!A11</f>
        <v>43800</v>
      </c>
      <c r="B6" s="4"/>
      <c r="C6" s="98">
        <f t="shared" si="0"/>
        <v>219122</v>
      </c>
      <c r="D6" s="1">
        <v>219231</v>
      </c>
      <c r="E6" s="59">
        <f t="shared" si="1"/>
        <v>109</v>
      </c>
      <c r="F6" s="98">
        <f t="shared" si="2"/>
        <v>37337</v>
      </c>
      <c r="G6" s="570">
        <v>37345</v>
      </c>
      <c r="H6" s="708">
        <f t="shared" si="3"/>
        <v>8</v>
      </c>
      <c r="I6" s="98">
        <f t="shared" si="4"/>
        <v>7536</v>
      </c>
      <c r="J6" s="1">
        <v>7438</v>
      </c>
      <c r="K6" s="708" t="str">
        <f t="shared" si="5"/>
        <v>0</v>
      </c>
      <c r="L6" s="98">
        <f t="shared" si="6"/>
        <v>10984</v>
      </c>
      <c r="M6" s="1">
        <v>10996</v>
      </c>
      <c r="N6" s="708">
        <f t="shared" si="7"/>
        <v>12</v>
      </c>
      <c r="O6" s="98">
        <f t="shared" si="8"/>
        <v>19119</v>
      </c>
      <c r="P6" s="563">
        <v>19130</v>
      </c>
      <c r="Q6" s="708">
        <f t="shared" si="9"/>
        <v>11</v>
      </c>
      <c r="R6" s="341"/>
      <c r="S6" s="336">
        <f t="shared" ref="S6:S24" si="16">T5</f>
        <v>46850</v>
      </c>
      <c r="T6" s="564">
        <v>46880</v>
      </c>
      <c r="U6" s="709">
        <f t="shared" ref="U6:U37" si="17">IF((T6-T5)&lt;0,"0",(T6-T5))</f>
        <v>30</v>
      </c>
      <c r="V6" s="336">
        <f t="shared" si="10"/>
        <v>65746</v>
      </c>
      <c r="W6" s="564">
        <v>65798</v>
      </c>
      <c r="X6" s="709">
        <f t="shared" ref="X6:X37" si="18">IF((W6-W5)&lt;0,"0",(W6-W5))</f>
        <v>52</v>
      </c>
      <c r="Y6" s="336">
        <f t="shared" si="11"/>
        <v>75179</v>
      </c>
      <c r="Z6" s="564">
        <v>75233</v>
      </c>
      <c r="AA6" s="709">
        <f t="shared" ref="AA6:AA37" si="19">IF((Z6-Z5)&lt;0,"0",(Z6-Z5))</f>
        <v>54</v>
      </c>
      <c r="AB6" s="336">
        <f t="shared" si="12"/>
        <v>11741</v>
      </c>
      <c r="AC6" s="712">
        <v>11750</v>
      </c>
      <c r="AD6" s="709">
        <f t="shared" ref="AD6:AD37" si="20">IF((AC6-AC5)&lt;0,"0",(AC6-AC5))</f>
        <v>9</v>
      </c>
      <c r="AE6" s="336">
        <f t="shared" si="13"/>
        <v>14515</v>
      </c>
      <c r="AF6" s="565">
        <v>14534</v>
      </c>
      <c r="AG6" s="709">
        <f t="shared" ref="AG6:AG37" si="21">IF((AF6-AF5)&lt;0,"0",(AF6-AF5))</f>
        <v>19</v>
      </c>
      <c r="AH6" s="336">
        <f t="shared" si="14"/>
        <v>23324</v>
      </c>
      <c r="AI6" s="565">
        <v>23344</v>
      </c>
      <c r="AJ6" s="709">
        <f t="shared" ref="AJ6:AJ37" si="22">IF((AI6-AI5)&lt;0,"0",(AI6-AI5))</f>
        <v>20</v>
      </c>
      <c r="AK6" s="445">
        <f t="shared" si="15"/>
        <v>15154</v>
      </c>
      <c r="AL6" s="564">
        <v>15154</v>
      </c>
      <c r="AM6" s="709">
        <f t="shared" ref="AM6:AM37" si="23">IF((AL6-AL5)&lt;0,"0",(AL6-AL5))</f>
        <v>0</v>
      </c>
      <c r="AN6" s="576">
        <f>U6+X6+AA6+AD6+AG6+AJ6+AM6</f>
        <v>184</v>
      </c>
    </row>
    <row r="7" spans="1:40" ht="23.1" customHeight="1">
      <c r="A7" s="58">
        <f>Gen!A12</f>
        <v>43801</v>
      </c>
      <c r="B7" s="4"/>
      <c r="C7" s="98">
        <f t="shared" si="0"/>
        <v>219231</v>
      </c>
      <c r="D7" s="1">
        <v>219324</v>
      </c>
      <c r="E7" s="59">
        <f t="shared" si="1"/>
        <v>93</v>
      </c>
      <c r="F7" s="98">
        <f t="shared" si="2"/>
        <v>37345</v>
      </c>
      <c r="G7" s="570">
        <v>37354</v>
      </c>
      <c r="H7" s="708">
        <f t="shared" si="3"/>
        <v>9</v>
      </c>
      <c r="I7" s="98">
        <f t="shared" si="4"/>
        <v>7438</v>
      </c>
      <c r="J7" s="1">
        <v>7440</v>
      </c>
      <c r="K7" s="708">
        <f t="shared" si="5"/>
        <v>2</v>
      </c>
      <c r="L7" s="98">
        <f t="shared" si="6"/>
        <v>10996</v>
      </c>
      <c r="M7" s="1">
        <v>11014</v>
      </c>
      <c r="N7" s="708">
        <f t="shared" si="7"/>
        <v>18</v>
      </c>
      <c r="O7" s="98">
        <f t="shared" si="8"/>
        <v>19130</v>
      </c>
      <c r="P7" s="563">
        <v>19139</v>
      </c>
      <c r="Q7" s="708">
        <f t="shared" si="9"/>
        <v>9</v>
      </c>
      <c r="R7" s="341"/>
      <c r="S7" s="336">
        <f t="shared" si="16"/>
        <v>46880</v>
      </c>
      <c r="T7" s="564">
        <v>46910</v>
      </c>
      <c r="U7" s="709">
        <f t="shared" si="17"/>
        <v>30</v>
      </c>
      <c r="V7" s="336">
        <f t="shared" si="10"/>
        <v>65798</v>
      </c>
      <c r="W7" s="564">
        <v>65850</v>
      </c>
      <c r="X7" s="709">
        <f t="shared" si="18"/>
        <v>52</v>
      </c>
      <c r="Y7" s="336">
        <f t="shared" si="11"/>
        <v>75233</v>
      </c>
      <c r="Z7" s="564">
        <v>75285</v>
      </c>
      <c r="AA7" s="709">
        <f t="shared" si="19"/>
        <v>52</v>
      </c>
      <c r="AB7" s="336">
        <f t="shared" si="12"/>
        <v>11750</v>
      </c>
      <c r="AC7" s="712">
        <v>11759</v>
      </c>
      <c r="AD7" s="709">
        <f t="shared" si="20"/>
        <v>9</v>
      </c>
      <c r="AE7" s="336">
        <f t="shared" si="13"/>
        <v>14534</v>
      </c>
      <c r="AF7" s="565">
        <v>14553</v>
      </c>
      <c r="AG7" s="709">
        <f t="shared" si="21"/>
        <v>19</v>
      </c>
      <c r="AH7" s="336">
        <f t="shared" si="14"/>
        <v>23344</v>
      </c>
      <c r="AI7" s="565">
        <v>23364</v>
      </c>
      <c r="AJ7" s="709">
        <f t="shared" si="22"/>
        <v>20</v>
      </c>
      <c r="AK7" s="445">
        <f t="shared" si="15"/>
        <v>15154</v>
      </c>
      <c r="AL7" s="564">
        <v>15154</v>
      </c>
      <c r="AM7" s="709">
        <f t="shared" si="23"/>
        <v>0</v>
      </c>
      <c r="AN7" s="576">
        <f t="shared" ref="AN7:AN36" si="24">U7+X7+AA7+AD7+AG7+AJ7+AM7</f>
        <v>182</v>
      </c>
    </row>
    <row r="8" spans="1:40" ht="23.1" customHeight="1">
      <c r="A8" s="58">
        <f>Gen!A13</f>
        <v>43802</v>
      </c>
      <c r="B8" s="4"/>
      <c r="C8" s="98">
        <f t="shared" si="0"/>
        <v>219324</v>
      </c>
      <c r="D8" s="1">
        <v>219419</v>
      </c>
      <c r="E8" s="59">
        <f t="shared" si="1"/>
        <v>95</v>
      </c>
      <c r="F8" s="98">
        <f t="shared" si="2"/>
        <v>37354</v>
      </c>
      <c r="G8" s="570">
        <v>37362</v>
      </c>
      <c r="H8" s="708">
        <f t="shared" si="3"/>
        <v>8</v>
      </c>
      <c r="I8" s="98">
        <f t="shared" si="4"/>
        <v>7440</v>
      </c>
      <c r="J8" s="1">
        <v>7443</v>
      </c>
      <c r="K8" s="708">
        <f t="shared" si="5"/>
        <v>3</v>
      </c>
      <c r="L8" s="98">
        <f t="shared" si="6"/>
        <v>11014</v>
      </c>
      <c r="M8" s="1">
        <v>11029</v>
      </c>
      <c r="N8" s="708">
        <f t="shared" si="7"/>
        <v>15</v>
      </c>
      <c r="O8" s="98">
        <f t="shared" si="8"/>
        <v>19139</v>
      </c>
      <c r="P8" s="563">
        <v>19150</v>
      </c>
      <c r="Q8" s="708">
        <f t="shared" si="9"/>
        <v>11</v>
      </c>
      <c r="R8" s="341"/>
      <c r="S8" s="336">
        <f t="shared" si="16"/>
        <v>46910</v>
      </c>
      <c r="T8" s="564">
        <v>46940</v>
      </c>
      <c r="U8" s="709">
        <f t="shared" si="17"/>
        <v>30</v>
      </c>
      <c r="V8" s="336">
        <f t="shared" si="10"/>
        <v>65850</v>
      </c>
      <c r="W8" s="564">
        <v>65902</v>
      </c>
      <c r="X8" s="709">
        <f t="shared" si="18"/>
        <v>52</v>
      </c>
      <c r="Y8" s="336">
        <f t="shared" si="11"/>
        <v>75285</v>
      </c>
      <c r="Z8" s="564">
        <v>75339</v>
      </c>
      <c r="AA8" s="709">
        <f t="shared" si="19"/>
        <v>54</v>
      </c>
      <c r="AB8" s="336">
        <f t="shared" si="12"/>
        <v>11759</v>
      </c>
      <c r="AC8" s="712">
        <v>11768</v>
      </c>
      <c r="AD8" s="709">
        <f t="shared" si="20"/>
        <v>9</v>
      </c>
      <c r="AE8" s="336">
        <f t="shared" si="13"/>
        <v>14553</v>
      </c>
      <c r="AF8" s="565">
        <v>14571</v>
      </c>
      <c r="AG8" s="709">
        <f t="shared" si="21"/>
        <v>18</v>
      </c>
      <c r="AH8" s="336">
        <f t="shared" si="14"/>
        <v>23364</v>
      </c>
      <c r="AI8" s="565">
        <v>23384</v>
      </c>
      <c r="AJ8" s="709">
        <f t="shared" si="22"/>
        <v>20</v>
      </c>
      <c r="AK8" s="445">
        <f t="shared" si="15"/>
        <v>15154</v>
      </c>
      <c r="AL8" s="564">
        <v>15154</v>
      </c>
      <c r="AM8" s="709">
        <f t="shared" si="23"/>
        <v>0</v>
      </c>
      <c r="AN8" s="576">
        <f t="shared" si="24"/>
        <v>183</v>
      </c>
    </row>
    <row r="9" spans="1:40" ht="23.1" customHeight="1">
      <c r="A9" s="58">
        <f>Gen!A14</f>
        <v>43803</v>
      </c>
      <c r="B9" s="4"/>
      <c r="C9" s="98">
        <f t="shared" si="0"/>
        <v>219419</v>
      </c>
      <c r="D9" s="1">
        <v>219516</v>
      </c>
      <c r="E9" s="59">
        <f t="shared" si="1"/>
        <v>97</v>
      </c>
      <c r="F9" s="98">
        <f t="shared" si="2"/>
        <v>37362</v>
      </c>
      <c r="G9" s="570">
        <v>37369</v>
      </c>
      <c r="H9" s="708">
        <f t="shared" si="3"/>
        <v>7</v>
      </c>
      <c r="I9" s="98">
        <f t="shared" si="4"/>
        <v>7443</v>
      </c>
      <c r="J9" s="1">
        <v>7446</v>
      </c>
      <c r="K9" s="708">
        <f t="shared" si="5"/>
        <v>3</v>
      </c>
      <c r="L9" s="98">
        <f t="shared" si="6"/>
        <v>11029</v>
      </c>
      <c r="M9" s="1">
        <v>11029</v>
      </c>
      <c r="N9" s="708">
        <f t="shared" si="7"/>
        <v>0</v>
      </c>
      <c r="O9" s="98">
        <f t="shared" si="8"/>
        <v>19150</v>
      </c>
      <c r="P9" s="563">
        <v>19159</v>
      </c>
      <c r="Q9" s="708">
        <f t="shared" si="9"/>
        <v>9</v>
      </c>
      <c r="R9" s="341"/>
      <c r="S9" s="336">
        <f t="shared" si="16"/>
        <v>46940</v>
      </c>
      <c r="T9" s="564">
        <v>46971</v>
      </c>
      <c r="U9" s="709">
        <f t="shared" si="17"/>
        <v>31</v>
      </c>
      <c r="V9" s="336">
        <f t="shared" si="10"/>
        <v>65902</v>
      </c>
      <c r="W9" s="564">
        <v>65956</v>
      </c>
      <c r="X9" s="709">
        <f t="shared" si="18"/>
        <v>54</v>
      </c>
      <c r="Y9" s="336">
        <f t="shared" si="11"/>
        <v>75339</v>
      </c>
      <c r="Z9" s="564">
        <v>75400</v>
      </c>
      <c r="AA9" s="709">
        <f t="shared" si="19"/>
        <v>61</v>
      </c>
      <c r="AB9" s="336">
        <f t="shared" si="12"/>
        <v>11768</v>
      </c>
      <c r="AC9" s="712">
        <v>11778</v>
      </c>
      <c r="AD9" s="709">
        <f t="shared" si="20"/>
        <v>10</v>
      </c>
      <c r="AE9" s="336">
        <f t="shared" si="13"/>
        <v>14571</v>
      </c>
      <c r="AF9" s="565">
        <v>14593</v>
      </c>
      <c r="AG9" s="709">
        <f t="shared" si="21"/>
        <v>22</v>
      </c>
      <c r="AH9" s="336">
        <f t="shared" si="14"/>
        <v>23384</v>
      </c>
      <c r="AI9" s="565">
        <v>23401</v>
      </c>
      <c r="AJ9" s="709">
        <f t="shared" si="22"/>
        <v>17</v>
      </c>
      <c r="AK9" s="445">
        <f t="shared" si="15"/>
        <v>15154</v>
      </c>
      <c r="AL9" s="564">
        <v>15154</v>
      </c>
      <c r="AM9" s="709">
        <f t="shared" si="23"/>
        <v>0</v>
      </c>
      <c r="AN9" s="576">
        <f t="shared" si="24"/>
        <v>195</v>
      </c>
    </row>
    <row r="10" spans="1:40" ht="23.1" customHeight="1">
      <c r="A10" s="58">
        <f>Gen!A15</f>
        <v>43804</v>
      </c>
      <c r="B10" s="4"/>
      <c r="C10" s="98">
        <f t="shared" si="0"/>
        <v>219516</v>
      </c>
      <c r="D10" s="1">
        <v>219602</v>
      </c>
      <c r="E10" s="59">
        <f t="shared" si="1"/>
        <v>86</v>
      </c>
      <c r="F10" s="98">
        <f t="shared" si="2"/>
        <v>37369</v>
      </c>
      <c r="G10" s="570">
        <v>37378</v>
      </c>
      <c r="H10" s="708">
        <f t="shared" si="3"/>
        <v>9</v>
      </c>
      <c r="I10" s="98">
        <f t="shared" si="4"/>
        <v>7446</v>
      </c>
      <c r="J10" s="1">
        <v>7448</v>
      </c>
      <c r="K10" s="708">
        <f t="shared" si="5"/>
        <v>2</v>
      </c>
      <c r="L10" s="98">
        <f t="shared" si="6"/>
        <v>11029</v>
      </c>
      <c r="M10" s="1">
        <v>11029</v>
      </c>
      <c r="N10" s="708">
        <f t="shared" si="7"/>
        <v>0</v>
      </c>
      <c r="O10" s="98">
        <f t="shared" si="8"/>
        <v>19159</v>
      </c>
      <c r="P10" s="563">
        <v>19169</v>
      </c>
      <c r="Q10" s="708">
        <f t="shared" si="9"/>
        <v>10</v>
      </c>
      <c r="R10" s="341"/>
      <c r="S10" s="336">
        <f t="shared" si="16"/>
        <v>46971</v>
      </c>
      <c r="T10" s="564">
        <v>46971</v>
      </c>
      <c r="U10" s="709">
        <f t="shared" si="17"/>
        <v>0</v>
      </c>
      <c r="V10" s="336">
        <f t="shared" si="10"/>
        <v>65956</v>
      </c>
      <c r="W10" s="564">
        <v>66010</v>
      </c>
      <c r="X10" s="709">
        <f t="shared" si="18"/>
        <v>54</v>
      </c>
      <c r="Y10" s="336">
        <f t="shared" si="11"/>
        <v>75400</v>
      </c>
      <c r="Z10" s="564">
        <v>75454</v>
      </c>
      <c r="AA10" s="709">
        <f t="shared" si="19"/>
        <v>54</v>
      </c>
      <c r="AB10" s="336">
        <f t="shared" si="12"/>
        <v>11778</v>
      </c>
      <c r="AC10" s="713">
        <v>11779</v>
      </c>
      <c r="AD10" s="709">
        <f t="shared" si="20"/>
        <v>1</v>
      </c>
      <c r="AE10" s="336">
        <f t="shared" si="13"/>
        <v>14593</v>
      </c>
      <c r="AF10" s="565">
        <v>14612</v>
      </c>
      <c r="AG10" s="709">
        <f t="shared" si="21"/>
        <v>19</v>
      </c>
      <c r="AH10" s="336">
        <f t="shared" si="14"/>
        <v>23401</v>
      </c>
      <c r="AI10" s="565">
        <v>23419</v>
      </c>
      <c r="AJ10" s="709">
        <f t="shared" si="22"/>
        <v>18</v>
      </c>
      <c r="AK10" s="445">
        <f t="shared" si="15"/>
        <v>15154</v>
      </c>
      <c r="AL10" s="564">
        <v>15154</v>
      </c>
      <c r="AM10" s="709">
        <f t="shared" si="23"/>
        <v>0</v>
      </c>
      <c r="AN10" s="576">
        <f t="shared" si="24"/>
        <v>146</v>
      </c>
    </row>
    <row r="11" spans="1:40" ht="23.1" customHeight="1">
      <c r="A11" s="58">
        <f>Gen!A16</f>
        <v>43805</v>
      </c>
      <c r="B11" s="4"/>
      <c r="C11" s="98">
        <f t="shared" si="0"/>
        <v>219602</v>
      </c>
      <c r="D11" s="1">
        <v>219707</v>
      </c>
      <c r="E11" s="59">
        <f t="shared" si="1"/>
        <v>105</v>
      </c>
      <c r="F11" s="98">
        <f t="shared" si="2"/>
        <v>37378</v>
      </c>
      <c r="G11" s="570">
        <v>37386</v>
      </c>
      <c r="H11" s="708">
        <f t="shared" si="3"/>
        <v>8</v>
      </c>
      <c r="I11" s="98">
        <f t="shared" si="4"/>
        <v>7448</v>
      </c>
      <c r="J11" s="1">
        <v>7452</v>
      </c>
      <c r="K11" s="708">
        <f t="shared" si="5"/>
        <v>4</v>
      </c>
      <c r="L11" s="98">
        <f t="shared" si="6"/>
        <v>11029</v>
      </c>
      <c r="M11" s="1">
        <v>11040</v>
      </c>
      <c r="N11" s="708">
        <f t="shared" si="7"/>
        <v>11</v>
      </c>
      <c r="O11" s="98">
        <f t="shared" si="8"/>
        <v>19169</v>
      </c>
      <c r="P11" s="563">
        <v>19178</v>
      </c>
      <c r="Q11" s="708">
        <f t="shared" si="9"/>
        <v>9</v>
      </c>
      <c r="R11" s="341"/>
      <c r="S11" s="336">
        <f t="shared" si="16"/>
        <v>46971</v>
      </c>
      <c r="T11" s="564">
        <v>47001</v>
      </c>
      <c r="U11" s="709">
        <f t="shared" si="17"/>
        <v>30</v>
      </c>
      <c r="V11" s="336">
        <f t="shared" si="10"/>
        <v>66010</v>
      </c>
      <c r="W11" s="564">
        <v>66065</v>
      </c>
      <c r="X11" s="709">
        <f t="shared" si="18"/>
        <v>55</v>
      </c>
      <c r="Y11" s="336">
        <f t="shared" si="11"/>
        <v>75454</v>
      </c>
      <c r="Z11" s="564">
        <v>75510</v>
      </c>
      <c r="AA11" s="709">
        <f t="shared" si="19"/>
        <v>56</v>
      </c>
      <c r="AB11" s="336">
        <f t="shared" si="12"/>
        <v>11779</v>
      </c>
      <c r="AC11" s="713">
        <v>11779</v>
      </c>
      <c r="AD11" s="709"/>
      <c r="AE11" s="336">
        <f t="shared" si="13"/>
        <v>14612</v>
      </c>
      <c r="AF11" s="565">
        <v>14632</v>
      </c>
      <c r="AG11" s="709">
        <f t="shared" si="21"/>
        <v>20</v>
      </c>
      <c r="AH11" s="336">
        <f t="shared" si="14"/>
        <v>23419</v>
      </c>
      <c r="AI11" s="565">
        <v>23438</v>
      </c>
      <c r="AJ11" s="709">
        <f t="shared" si="22"/>
        <v>19</v>
      </c>
      <c r="AK11" s="445">
        <f t="shared" si="15"/>
        <v>15154</v>
      </c>
      <c r="AL11" s="564">
        <v>15154</v>
      </c>
      <c r="AM11" s="709">
        <f t="shared" si="23"/>
        <v>0</v>
      </c>
      <c r="AN11" s="576">
        <f t="shared" si="24"/>
        <v>180</v>
      </c>
    </row>
    <row r="12" spans="1:40" ht="23.1" customHeight="1">
      <c r="A12" s="58">
        <f>Gen!A17</f>
        <v>43806</v>
      </c>
      <c r="B12" s="4"/>
      <c r="C12" s="98">
        <f t="shared" si="0"/>
        <v>219707</v>
      </c>
      <c r="D12" s="1">
        <v>219838</v>
      </c>
      <c r="E12" s="59">
        <f t="shared" si="1"/>
        <v>131</v>
      </c>
      <c r="F12" s="98">
        <f t="shared" si="2"/>
        <v>37386</v>
      </c>
      <c r="G12" s="570">
        <v>37395</v>
      </c>
      <c r="H12" s="708">
        <f t="shared" si="3"/>
        <v>9</v>
      </c>
      <c r="I12" s="98">
        <f t="shared" si="4"/>
        <v>7452</v>
      </c>
      <c r="J12" s="1">
        <v>7456</v>
      </c>
      <c r="K12" s="708">
        <f t="shared" si="5"/>
        <v>4</v>
      </c>
      <c r="L12" s="98">
        <f t="shared" si="6"/>
        <v>11040</v>
      </c>
      <c r="M12" s="1">
        <v>11052</v>
      </c>
      <c r="N12" s="708">
        <f t="shared" si="7"/>
        <v>12</v>
      </c>
      <c r="O12" s="98">
        <f t="shared" si="8"/>
        <v>19178</v>
      </c>
      <c r="P12" s="563">
        <v>19187</v>
      </c>
      <c r="Q12" s="708">
        <f t="shared" si="9"/>
        <v>9</v>
      </c>
      <c r="R12" s="341"/>
      <c r="S12" s="336">
        <f t="shared" si="16"/>
        <v>47001</v>
      </c>
      <c r="T12" s="564">
        <v>47031</v>
      </c>
      <c r="U12" s="709">
        <f t="shared" si="17"/>
        <v>30</v>
      </c>
      <c r="V12" s="336">
        <f t="shared" si="10"/>
        <v>66065</v>
      </c>
      <c r="W12" s="564">
        <v>66118</v>
      </c>
      <c r="X12" s="709">
        <f t="shared" si="18"/>
        <v>53</v>
      </c>
      <c r="Y12" s="336">
        <f t="shared" si="11"/>
        <v>75510</v>
      </c>
      <c r="Z12" s="564">
        <v>75565</v>
      </c>
      <c r="AA12" s="709">
        <f t="shared" si="19"/>
        <v>55</v>
      </c>
      <c r="AB12" s="336">
        <f t="shared" si="12"/>
        <v>11779</v>
      </c>
      <c r="AC12" s="713">
        <v>11789</v>
      </c>
      <c r="AD12" s="709">
        <f t="shared" si="20"/>
        <v>10</v>
      </c>
      <c r="AE12" s="336">
        <f t="shared" si="13"/>
        <v>14632</v>
      </c>
      <c r="AF12" s="565">
        <v>14650</v>
      </c>
      <c r="AG12" s="709">
        <f t="shared" si="21"/>
        <v>18</v>
      </c>
      <c r="AH12" s="336">
        <f t="shared" si="14"/>
        <v>23438</v>
      </c>
      <c r="AI12" s="565">
        <v>23458</v>
      </c>
      <c r="AJ12" s="709">
        <f t="shared" si="22"/>
        <v>20</v>
      </c>
      <c r="AK12" s="445">
        <f t="shared" si="15"/>
        <v>15154</v>
      </c>
      <c r="AL12" s="564">
        <v>15154</v>
      </c>
      <c r="AM12" s="709">
        <f t="shared" si="23"/>
        <v>0</v>
      </c>
      <c r="AN12" s="576">
        <f t="shared" si="24"/>
        <v>186</v>
      </c>
    </row>
    <row r="13" spans="1:40" ht="23.1" customHeight="1">
      <c r="A13" s="58">
        <f>Gen!A18</f>
        <v>43807</v>
      </c>
      <c r="B13" s="4"/>
      <c r="C13" s="98">
        <f t="shared" si="0"/>
        <v>219838</v>
      </c>
      <c r="D13" s="1">
        <v>219967</v>
      </c>
      <c r="E13" s="59">
        <f t="shared" si="1"/>
        <v>129</v>
      </c>
      <c r="F13" s="98">
        <f t="shared" si="2"/>
        <v>37395</v>
      </c>
      <c r="G13" s="570">
        <v>37405</v>
      </c>
      <c r="H13" s="708">
        <f t="shared" si="3"/>
        <v>10</v>
      </c>
      <c r="I13" s="98">
        <f t="shared" si="4"/>
        <v>7456</v>
      </c>
      <c r="J13" s="1">
        <v>7458</v>
      </c>
      <c r="K13" s="708">
        <f t="shared" si="5"/>
        <v>2</v>
      </c>
      <c r="L13" s="98">
        <f t="shared" si="6"/>
        <v>11052</v>
      </c>
      <c r="M13" s="1">
        <v>11052</v>
      </c>
      <c r="N13" s="708">
        <f t="shared" si="7"/>
        <v>0</v>
      </c>
      <c r="O13" s="98">
        <f t="shared" si="8"/>
        <v>19187</v>
      </c>
      <c r="P13" s="563">
        <v>19198</v>
      </c>
      <c r="Q13" s="708">
        <f t="shared" si="9"/>
        <v>11</v>
      </c>
      <c r="R13" s="341"/>
      <c r="S13" s="336">
        <f t="shared" si="16"/>
        <v>47031</v>
      </c>
      <c r="T13" s="564">
        <v>47061</v>
      </c>
      <c r="U13" s="709">
        <f t="shared" si="17"/>
        <v>30</v>
      </c>
      <c r="V13" s="336">
        <f t="shared" si="10"/>
        <v>66118</v>
      </c>
      <c r="W13" s="564">
        <v>66174</v>
      </c>
      <c r="X13" s="709">
        <f t="shared" si="18"/>
        <v>56</v>
      </c>
      <c r="Y13" s="336">
        <f t="shared" si="11"/>
        <v>75565</v>
      </c>
      <c r="Z13" s="564">
        <v>75592</v>
      </c>
      <c r="AA13" s="709">
        <f t="shared" si="19"/>
        <v>27</v>
      </c>
      <c r="AB13" s="336">
        <f t="shared" si="12"/>
        <v>11789</v>
      </c>
      <c r="AC13" s="713">
        <v>11803</v>
      </c>
      <c r="AD13" s="709">
        <f t="shared" si="20"/>
        <v>14</v>
      </c>
      <c r="AE13" s="336">
        <f>AF12</f>
        <v>14650</v>
      </c>
      <c r="AF13" s="565">
        <v>14668</v>
      </c>
      <c r="AG13" s="709">
        <f t="shared" si="21"/>
        <v>18</v>
      </c>
      <c r="AH13" s="336">
        <f t="shared" si="14"/>
        <v>23458</v>
      </c>
      <c r="AI13" s="565">
        <v>23477</v>
      </c>
      <c r="AJ13" s="709">
        <f t="shared" si="22"/>
        <v>19</v>
      </c>
      <c r="AK13" s="445">
        <f t="shared" si="15"/>
        <v>15154</v>
      </c>
      <c r="AL13" s="564">
        <v>15154</v>
      </c>
      <c r="AM13" s="709">
        <f t="shared" si="23"/>
        <v>0</v>
      </c>
      <c r="AN13" s="576">
        <f t="shared" si="24"/>
        <v>164</v>
      </c>
    </row>
    <row r="14" spans="1:40" ht="23.1" customHeight="1">
      <c r="A14" s="58">
        <f>Gen!A19</f>
        <v>43808</v>
      </c>
      <c r="B14" s="4"/>
      <c r="C14" s="98">
        <f t="shared" si="0"/>
        <v>219967</v>
      </c>
      <c r="D14" s="1">
        <v>220106</v>
      </c>
      <c r="E14" s="59">
        <f t="shared" si="1"/>
        <v>139</v>
      </c>
      <c r="F14" s="98">
        <f t="shared" si="2"/>
        <v>37405</v>
      </c>
      <c r="G14" s="570">
        <v>37420</v>
      </c>
      <c r="H14" s="708">
        <f t="shared" si="3"/>
        <v>15</v>
      </c>
      <c r="I14" s="98">
        <f t="shared" si="4"/>
        <v>7458</v>
      </c>
      <c r="J14" s="1">
        <v>7461</v>
      </c>
      <c r="K14" s="708">
        <f t="shared" si="5"/>
        <v>3</v>
      </c>
      <c r="L14" s="98">
        <f t="shared" si="6"/>
        <v>11052</v>
      </c>
      <c r="M14" s="1">
        <v>11060</v>
      </c>
      <c r="N14" s="708">
        <f t="shared" si="7"/>
        <v>8</v>
      </c>
      <c r="O14" s="98">
        <f t="shared" si="8"/>
        <v>19198</v>
      </c>
      <c r="P14" s="563">
        <v>19208</v>
      </c>
      <c r="Q14" s="708">
        <f t="shared" si="9"/>
        <v>10</v>
      </c>
      <c r="R14" s="341"/>
      <c r="S14" s="336">
        <f t="shared" si="16"/>
        <v>47061</v>
      </c>
      <c r="T14" s="564">
        <v>47094</v>
      </c>
      <c r="U14" s="709">
        <f t="shared" si="17"/>
        <v>33</v>
      </c>
      <c r="V14" s="336">
        <f t="shared" si="10"/>
        <v>66174</v>
      </c>
      <c r="W14" s="564">
        <v>66229</v>
      </c>
      <c r="X14" s="709">
        <f t="shared" si="18"/>
        <v>55</v>
      </c>
      <c r="Y14" s="336">
        <f t="shared" si="11"/>
        <v>75592</v>
      </c>
      <c r="Z14" s="564">
        <v>75646</v>
      </c>
      <c r="AA14" s="709">
        <f t="shared" si="19"/>
        <v>54</v>
      </c>
      <c r="AB14" s="336">
        <f t="shared" si="12"/>
        <v>11803</v>
      </c>
      <c r="AC14" s="713">
        <v>11813</v>
      </c>
      <c r="AD14" s="709">
        <f t="shared" si="20"/>
        <v>10</v>
      </c>
      <c r="AE14" s="336">
        <f t="shared" si="13"/>
        <v>14668</v>
      </c>
      <c r="AF14" s="565">
        <v>14686</v>
      </c>
      <c r="AG14" s="709">
        <f t="shared" si="21"/>
        <v>18</v>
      </c>
      <c r="AH14" s="336">
        <f t="shared" si="14"/>
        <v>23477</v>
      </c>
      <c r="AI14" s="565">
        <v>23497</v>
      </c>
      <c r="AJ14" s="709">
        <f t="shared" si="22"/>
        <v>20</v>
      </c>
      <c r="AK14" s="445">
        <f t="shared" si="15"/>
        <v>15154</v>
      </c>
      <c r="AL14" s="564">
        <v>15154</v>
      </c>
      <c r="AM14" s="709">
        <f t="shared" si="23"/>
        <v>0</v>
      </c>
      <c r="AN14" s="576">
        <f t="shared" si="24"/>
        <v>190</v>
      </c>
    </row>
    <row r="15" spans="1:40" ht="23.1" customHeight="1">
      <c r="A15" s="58">
        <f>Gen!A20</f>
        <v>43809</v>
      </c>
      <c r="B15" s="4"/>
      <c r="C15" s="98">
        <f t="shared" si="0"/>
        <v>220106</v>
      </c>
      <c r="D15" s="1">
        <v>220207</v>
      </c>
      <c r="E15" s="59">
        <f t="shared" si="1"/>
        <v>101</v>
      </c>
      <c r="F15" s="98">
        <f t="shared" si="2"/>
        <v>37420</v>
      </c>
      <c r="G15" s="570">
        <v>37431</v>
      </c>
      <c r="H15" s="708">
        <f t="shared" si="3"/>
        <v>11</v>
      </c>
      <c r="I15" s="98">
        <f t="shared" si="4"/>
        <v>7461</v>
      </c>
      <c r="J15" s="1">
        <v>7463</v>
      </c>
      <c r="K15" s="708">
        <f t="shared" si="5"/>
        <v>2</v>
      </c>
      <c r="L15" s="98">
        <f t="shared" si="6"/>
        <v>11060</v>
      </c>
      <c r="M15" s="1">
        <v>11064</v>
      </c>
      <c r="N15" s="708">
        <f t="shared" si="7"/>
        <v>4</v>
      </c>
      <c r="O15" s="98">
        <f t="shared" si="8"/>
        <v>19208</v>
      </c>
      <c r="P15" s="563">
        <v>19217</v>
      </c>
      <c r="Q15" s="708">
        <f t="shared" si="9"/>
        <v>9</v>
      </c>
      <c r="R15" s="341"/>
      <c r="S15" s="336">
        <f t="shared" si="16"/>
        <v>47094</v>
      </c>
      <c r="T15" s="564">
        <v>47125</v>
      </c>
      <c r="U15" s="709">
        <f t="shared" si="17"/>
        <v>31</v>
      </c>
      <c r="V15" s="336">
        <f t="shared" si="10"/>
        <v>66229</v>
      </c>
      <c r="W15" s="564">
        <v>66285</v>
      </c>
      <c r="X15" s="709">
        <f t="shared" si="18"/>
        <v>56</v>
      </c>
      <c r="Y15" s="336">
        <f t="shared" si="11"/>
        <v>75646</v>
      </c>
      <c r="Z15" s="564">
        <v>75667</v>
      </c>
      <c r="AA15" s="709">
        <f t="shared" si="19"/>
        <v>21</v>
      </c>
      <c r="AB15" s="336">
        <f t="shared" si="12"/>
        <v>11813</v>
      </c>
      <c r="AC15" s="713">
        <v>11826</v>
      </c>
      <c r="AD15" s="709">
        <f t="shared" si="20"/>
        <v>13</v>
      </c>
      <c r="AE15" s="336">
        <f t="shared" si="13"/>
        <v>14686</v>
      </c>
      <c r="AF15" s="565">
        <v>14718</v>
      </c>
      <c r="AG15" s="709">
        <f t="shared" si="21"/>
        <v>32</v>
      </c>
      <c r="AH15" s="336">
        <f t="shared" si="14"/>
        <v>23497</v>
      </c>
      <c r="AI15" s="565">
        <v>23515</v>
      </c>
      <c r="AJ15" s="709">
        <f t="shared" si="22"/>
        <v>18</v>
      </c>
      <c r="AK15" s="445">
        <f t="shared" si="15"/>
        <v>15154</v>
      </c>
      <c r="AL15" s="564">
        <v>15154</v>
      </c>
      <c r="AM15" s="709">
        <f t="shared" si="23"/>
        <v>0</v>
      </c>
      <c r="AN15" s="576">
        <f t="shared" si="24"/>
        <v>171</v>
      </c>
    </row>
    <row r="16" spans="1:40" ht="23.1" customHeight="1">
      <c r="A16" s="58">
        <f>Gen!A21</f>
        <v>43810</v>
      </c>
      <c r="B16" s="4"/>
      <c r="C16" s="98">
        <f t="shared" si="0"/>
        <v>220207</v>
      </c>
      <c r="D16" s="1">
        <v>220308</v>
      </c>
      <c r="E16" s="59">
        <f t="shared" si="1"/>
        <v>101</v>
      </c>
      <c r="F16" s="98">
        <f t="shared" si="2"/>
        <v>37431</v>
      </c>
      <c r="G16" s="570">
        <v>37443</v>
      </c>
      <c r="H16" s="708">
        <f t="shared" si="3"/>
        <v>12</v>
      </c>
      <c r="I16" s="98">
        <f t="shared" si="4"/>
        <v>7463</v>
      </c>
      <c r="J16" s="1">
        <v>7465</v>
      </c>
      <c r="K16" s="708">
        <f t="shared" si="5"/>
        <v>2</v>
      </c>
      <c r="L16" s="98"/>
      <c r="M16" s="1">
        <v>11073</v>
      </c>
      <c r="N16" s="708">
        <f t="shared" si="7"/>
        <v>9</v>
      </c>
      <c r="O16" s="98">
        <f t="shared" si="8"/>
        <v>19217</v>
      </c>
      <c r="P16" s="563">
        <v>19227</v>
      </c>
      <c r="Q16" s="708">
        <f t="shared" si="9"/>
        <v>10</v>
      </c>
      <c r="R16" s="341"/>
      <c r="S16" s="336">
        <f t="shared" si="16"/>
        <v>47125</v>
      </c>
      <c r="T16" s="564">
        <v>47157</v>
      </c>
      <c r="U16" s="709">
        <f t="shared" si="17"/>
        <v>32</v>
      </c>
      <c r="V16" s="336">
        <f t="shared" si="10"/>
        <v>66285</v>
      </c>
      <c r="W16" s="564">
        <v>66341</v>
      </c>
      <c r="X16" s="709">
        <f t="shared" si="18"/>
        <v>56</v>
      </c>
      <c r="Y16" s="336">
        <f t="shared" si="11"/>
        <v>75667</v>
      </c>
      <c r="Z16" s="564">
        <v>75689</v>
      </c>
      <c r="AA16" s="709">
        <f t="shared" si="19"/>
        <v>22</v>
      </c>
      <c r="AB16" s="336">
        <f t="shared" si="12"/>
        <v>11826</v>
      </c>
      <c r="AC16" s="713">
        <v>11839</v>
      </c>
      <c r="AD16" s="709">
        <f t="shared" si="20"/>
        <v>13</v>
      </c>
      <c r="AE16" s="336">
        <f t="shared" si="13"/>
        <v>14718</v>
      </c>
      <c r="AF16" s="565">
        <v>14748</v>
      </c>
      <c r="AG16" s="709">
        <f t="shared" si="21"/>
        <v>30</v>
      </c>
      <c r="AH16" s="336">
        <f t="shared" si="14"/>
        <v>23515</v>
      </c>
      <c r="AI16" s="565">
        <v>23534</v>
      </c>
      <c r="AJ16" s="709">
        <f t="shared" si="22"/>
        <v>19</v>
      </c>
      <c r="AK16" s="445">
        <f t="shared" si="15"/>
        <v>15154</v>
      </c>
      <c r="AL16" s="564">
        <v>15154</v>
      </c>
      <c r="AM16" s="709">
        <f t="shared" si="23"/>
        <v>0</v>
      </c>
      <c r="AN16" s="576">
        <f t="shared" si="24"/>
        <v>172</v>
      </c>
    </row>
    <row r="17" spans="1:40" ht="23.1" customHeight="1">
      <c r="A17" s="58">
        <f>Gen!A22</f>
        <v>43811</v>
      </c>
      <c r="B17" s="4"/>
      <c r="C17" s="98">
        <f t="shared" si="0"/>
        <v>220308</v>
      </c>
      <c r="D17" s="1">
        <v>220416</v>
      </c>
      <c r="E17" s="708">
        <f>IF((D17-D16)&lt;0,"0",(D17-D16))</f>
        <v>108</v>
      </c>
      <c r="F17" s="98">
        <f t="shared" si="2"/>
        <v>37443</v>
      </c>
      <c r="G17" s="570">
        <v>37459</v>
      </c>
      <c r="H17" s="708">
        <f t="shared" si="3"/>
        <v>16</v>
      </c>
      <c r="I17" s="98">
        <f t="shared" si="4"/>
        <v>7465</v>
      </c>
      <c r="J17" s="1">
        <v>7467</v>
      </c>
      <c r="K17" s="708">
        <f t="shared" si="5"/>
        <v>2</v>
      </c>
      <c r="L17" s="98"/>
      <c r="M17" s="1">
        <v>11087</v>
      </c>
      <c r="N17" s="708">
        <f t="shared" si="7"/>
        <v>14</v>
      </c>
      <c r="O17" s="98">
        <f t="shared" si="8"/>
        <v>19227</v>
      </c>
      <c r="P17" s="563">
        <v>19236</v>
      </c>
      <c r="Q17" s="708">
        <f t="shared" si="9"/>
        <v>9</v>
      </c>
      <c r="R17" s="341"/>
      <c r="S17" s="336">
        <f t="shared" si="16"/>
        <v>47157</v>
      </c>
      <c r="T17" s="564">
        <v>47188</v>
      </c>
      <c r="U17" s="709">
        <f>IF((T17-T16)&lt;0,"0",(T17-T16))</f>
        <v>31</v>
      </c>
      <c r="V17" s="336">
        <f t="shared" si="10"/>
        <v>66341</v>
      </c>
      <c r="W17" s="564">
        <v>66398</v>
      </c>
      <c r="X17" s="709">
        <f>IF((W17-W16)&lt;0,"0",(W17-W16))</f>
        <v>57</v>
      </c>
      <c r="Y17" s="336">
        <f t="shared" si="11"/>
        <v>75689</v>
      </c>
      <c r="Z17" s="564">
        <v>75744</v>
      </c>
      <c r="AA17" s="709">
        <f>IF((Z17-Z16)&lt;0,"0",(Z17-Z16))</f>
        <v>55</v>
      </c>
      <c r="AB17" s="336">
        <f t="shared" si="12"/>
        <v>11839</v>
      </c>
      <c r="AC17" s="713">
        <v>11849</v>
      </c>
      <c r="AD17" s="709">
        <f>IF((AC17-AC16)&lt;0,"0",(AC17-AC16))</f>
        <v>10</v>
      </c>
      <c r="AE17" s="336">
        <f t="shared" si="13"/>
        <v>14748</v>
      </c>
      <c r="AF17" s="565">
        <v>14765</v>
      </c>
      <c r="AG17" s="709">
        <f>IF((AF17-AF16)&lt;0,"0",(AF17-AF16))</f>
        <v>17</v>
      </c>
      <c r="AH17" s="336">
        <f t="shared" si="14"/>
        <v>23534</v>
      </c>
      <c r="AI17" s="565">
        <v>23554</v>
      </c>
      <c r="AJ17" s="709">
        <f t="shared" si="22"/>
        <v>20</v>
      </c>
      <c r="AK17" s="445">
        <f t="shared" si="15"/>
        <v>15154</v>
      </c>
      <c r="AL17" s="564">
        <v>15154</v>
      </c>
      <c r="AM17" s="709">
        <f>IF((AL17-AL16)&lt;0,"0",(AL17-AL16))</f>
        <v>0</v>
      </c>
      <c r="AN17" s="576">
        <f t="shared" si="24"/>
        <v>190</v>
      </c>
    </row>
    <row r="18" spans="1:40" ht="23.1" customHeight="1">
      <c r="A18" s="58">
        <f>Gen!A23</f>
        <v>43812</v>
      </c>
      <c r="B18" s="4"/>
      <c r="C18" s="98">
        <f t="shared" si="0"/>
        <v>220416</v>
      </c>
      <c r="D18" s="1">
        <v>220521</v>
      </c>
      <c r="E18" s="708">
        <f t="shared" ref="E18:E37" si="25">IF((D18-D17)&lt;0,"0",(D18-D17))</f>
        <v>105</v>
      </c>
      <c r="F18" s="98">
        <f t="shared" si="2"/>
        <v>37459</v>
      </c>
      <c r="G18" s="570">
        <v>37474</v>
      </c>
      <c r="H18" s="708">
        <f t="shared" si="3"/>
        <v>15</v>
      </c>
      <c r="I18" s="98"/>
      <c r="J18" s="1">
        <v>7470</v>
      </c>
      <c r="K18" s="708">
        <f t="shared" si="5"/>
        <v>3</v>
      </c>
      <c r="L18" s="98">
        <f t="shared" si="6"/>
        <v>11087</v>
      </c>
      <c r="M18" s="1">
        <v>11096</v>
      </c>
      <c r="N18" s="708">
        <f t="shared" si="7"/>
        <v>9</v>
      </c>
      <c r="O18" s="98">
        <f t="shared" si="8"/>
        <v>19236</v>
      </c>
      <c r="P18" s="563">
        <v>19244</v>
      </c>
      <c r="Q18" s="708">
        <f t="shared" si="9"/>
        <v>8</v>
      </c>
      <c r="R18" s="341"/>
      <c r="S18" s="336">
        <f t="shared" si="16"/>
        <v>47188</v>
      </c>
      <c r="T18" s="564">
        <v>47220</v>
      </c>
      <c r="U18" s="709">
        <f t="shared" si="17"/>
        <v>32</v>
      </c>
      <c r="V18" s="336">
        <f t="shared" si="10"/>
        <v>66398</v>
      </c>
      <c r="W18" s="564">
        <v>66453</v>
      </c>
      <c r="X18" s="709">
        <f t="shared" si="18"/>
        <v>55</v>
      </c>
      <c r="Y18" s="336">
        <f t="shared" si="11"/>
        <v>75744</v>
      </c>
      <c r="Z18" s="564">
        <v>75798</v>
      </c>
      <c r="AA18" s="709">
        <f t="shared" si="19"/>
        <v>54</v>
      </c>
      <c r="AB18" s="336">
        <f t="shared" si="12"/>
        <v>11849</v>
      </c>
      <c r="AC18" s="713">
        <v>11859</v>
      </c>
      <c r="AD18" s="709">
        <f t="shared" si="20"/>
        <v>10</v>
      </c>
      <c r="AE18" s="336">
        <f t="shared" si="13"/>
        <v>14765</v>
      </c>
      <c r="AF18" s="565">
        <v>14783</v>
      </c>
      <c r="AG18" s="709">
        <f t="shared" si="21"/>
        <v>18</v>
      </c>
      <c r="AH18" s="336">
        <f t="shared" si="14"/>
        <v>23554</v>
      </c>
      <c r="AI18" s="565">
        <v>23574</v>
      </c>
      <c r="AJ18" s="709">
        <f t="shared" si="22"/>
        <v>20</v>
      </c>
      <c r="AK18" s="445">
        <f t="shared" si="15"/>
        <v>15154</v>
      </c>
      <c r="AL18" s="564">
        <v>15154</v>
      </c>
      <c r="AM18" s="709">
        <f t="shared" ref="AM18:AM26" si="26">IF((AL18-AL17)&lt;0,"0",(AL18-AL17))</f>
        <v>0</v>
      </c>
      <c r="AN18" s="576">
        <f t="shared" si="24"/>
        <v>189</v>
      </c>
    </row>
    <row r="19" spans="1:40" ht="23.1" customHeight="1">
      <c r="A19" s="58">
        <f>Gen!A24</f>
        <v>43813</v>
      </c>
      <c r="B19" s="4"/>
      <c r="C19" s="98">
        <f t="shared" si="0"/>
        <v>220521</v>
      </c>
      <c r="D19" s="1">
        <v>220632</v>
      </c>
      <c r="E19" s="708">
        <f t="shared" si="25"/>
        <v>111</v>
      </c>
      <c r="F19" s="98">
        <f t="shared" si="2"/>
        <v>37474</v>
      </c>
      <c r="G19" s="570">
        <v>37487</v>
      </c>
      <c r="H19" s="708">
        <f t="shared" si="3"/>
        <v>13</v>
      </c>
      <c r="I19" s="98">
        <f t="shared" si="4"/>
        <v>7470</v>
      </c>
      <c r="J19" s="1">
        <v>7473</v>
      </c>
      <c r="K19" s="708">
        <f t="shared" si="5"/>
        <v>3</v>
      </c>
      <c r="L19" s="98">
        <f t="shared" si="6"/>
        <v>11096</v>
      </c>
      <c r="M19" s="1">
        <v>11106</v>
      </c>
      <c r="N19" s="708">
        <f t="shared" si="7"/>
        <v>10</v>
      </c>
      <c r="O19" s="98">
        <f t="shared" si="8"/>
        <v>19244</v>
      </c>
      <c r="P19" s="563">
        <v>19252</v>
      </c>
      <c r="Q19" s="708">
        <f t="shared" si="9"/>
        <v>8</v>
      </c>
      <c r="R19" s="341"/>
      <c r="S19" s="336">
        <f t="shared" si="16"/>
        <v>47220</v>
      </c>
      <c r="T19" s="564">
        <v>47251</v>
      </c>
      <c r="U19" s="709">
        <f t="shared" si="17"/>
        <v>31</v>
      </c>
      <c r="V19" s="336">
        <f t="shared" si="10"/>
        <v>66453</v>
      </c>
      <c r="W19" s="564">
        <v>66508</v>
      </c>
      <c r="X19" s="709">
        <f t="shared" si="18"/>
        <v>55</v>
      </c>
      <c r="Y19" s="336">
        <f t="shared" si="11"/>
        <v>75798</v>
      </c>
      <c r="Z19" s="564">
        <v>75853</v>
      </c>
      <c r="AA19" s="709">
        <f t="shared" si="19"/>
        <v>55</v>
      </c>
      <c r="AB19" s="336">
        <f t="shared" si="12"/>
        <v>11859</v>
      </c>
      <c r="AC19" s="713">
        <v>11869</v>
      </c>
      <c r="AD19" s="709">
        <f t="shared" si="20"/>
        <v>10</v>
      </c>
      <c r="AE19" s="336">
        <f t="shared" si="13"/>
        <v>14783</v>
      </c>
      <c r="AF19" s="565">
        <v>14800</v>
      </c>
      <c r="AG19" s="709">
        <f t="shared" si="21"/>
        <v>17</v>
      </c>
      <c r="AH19" s="336">
        <f t="shared" si="14"/>
        <v>23574</v>
      </c>
      <c r="AI19" s="565">
        <v>23594</v>
      </c>
      <c r="AJ19" s="709">
        <f t="shared" si="22"/>
        <v>20</v>
      </c>
      <c r="AK19" s="445">
        <f t="shared" si="15"/>
        <v>15154</v>
      </c>
      <c r="AL19" s="564">
        <v>15154</v>
      </c>
      <c r="AM19" s="709">
        <f t="shared" si="26"/>
        <v>0</v>
      </c>
      <c r="AN19" s="576">
        <f t="shared" si="24"/>
        <v>188</v>
      </c>
    </row>
    <row r="20" spans="1:40" ht="23.1" customHeight="1">
      <c r="A20" s="58">
        <f>Gen!A25</f>
        <v>43814</v>
      </c>
      <c r="B20" s="4"/>
      <c r="C20" s="98">
        <f t="shared" si="0"/>
        <v>220632</v>
      </c>
      <c r="D20" s="1">
        <v>220729</v>
      </c>
      <c r="E20" s="708">
        <f t="shared" si="25"/>
        <v>97</v>
      </c>
      <c r="F20" s="98">
        <f t="shared" si="2"/>
        <v>37487</v>
      </c>
      <c r="G20" s="570">
        <v>37499</v>
      </c>
      <c r="H20" s="708">
        <f t="shared" si="3"/>
        <v>12</v>
      </c>
      <c r="I20" s="98">
        <f t="shared" si="4"/>
        <v>7473</v>
      </c>
      <c r="J20" s="1">
        <v>7475</v>
      </c>
      <c r="K20" s="708">
        <f t="shared" si="5"/>
        <v>2</v>
      </c>
      <c r="L20" s="98">
        <f t="shared" si="6"/>
        <v>11106</v>
      </c>
      <c r="M20" s="1">
        <v>11106</v>
      </c>
      <c r="N20" s="708">
        <f t="shared" si="7"/>
        <v>0</v>
      </c>
      <c r="O20" s="98">
        <f t="shared" si="8"/>
        <v>19252</v>
      </c>
      <c r="P20" s="563">
        <v>19261</v>
      </c>
      <c r="Q20" s="708">
        <f t="shared" si="9"/>
        <v>9</v>
      </c>
      <c r="R20" s="341"/>
      <c r="S20" s="336">
        <f t="shared" si="16"/>
        <v>47251</v>
      </c>
      <c r="T20" s="564">
        <v>47281</v>
      </c>
      <c r="U20" s="709">
        <f t="shared" si="17"/>
        <v>30</v>
      </c>
      <c r="V20" s="336">
        <f t="shared" si="10"/>
        <v>66508</v>
      </c>
      <c r="W20" s="564">
        <v>66564</v>
      </c>
      <c r="X20" s="709">
        <f t="shared" si="18"/>
        <v>56</v>
      </c>
      <c r="Y20" s="336">
        <f t="shared" si="11"/>
        <v>75853</v>
      </c>
      <c r="Z20" s="564">
        <v>75886</v>
      </c>
      <c r="AA20" s="709">
        <f t="shared" si="19"/>
        <v>33</v>
      </c>
      <c r="AB20" s="336">
        <f t="shared" si="12"/>
        <v>11869</v>
      </c>
      <c r="AC20" s="713">
        <v>11880</v>
      </c>
      <c r="AD20" s="709">
        <f t="shared" si="20"/>
        <v>11</v>
      </c>
      <c r="AE20" s="336">
        <f t="shared" si="13"/>
        <v>14800</v>
      </c>
      <c r="AF20" s="565">
        <v>14820</v>
      </c>
      <c r="AG20" s="709">
        <f t="shared" si="21"/>
        <v>20</v>
      </c>
      <c r="AH20" s="336">
        <f t="shared" si="14"/>
        <v>23594</v>
      </c>
      <c r="AI20" s="565">
        <v>23614</v>
      </c>
      <c r="AJ20" s="709">
        <f t="shared" si="22"/>
        <v>20</v>
      </c>
      <c r="AK20" s="445">
        <f t="shared" si="15"/>
        <v>15154</v>
      </c>
      <c r="AL20" s="564">
        <v>15154</v>
      </c>
      <c r="AM20" s="709">
        <f t="shared" si="26"/>
        <v>0</v>
      </c>
      <c r="AN20" s="576">
        <f t="shared" si="24"/>
        <v>170</v>
      </c>
    </row>
    <row r="21" spans="1:40" ht="23.1" customHeight="1">
      <c r="A21" s="58">
        <f>Gen!A26</f>
        <v>43815</v>
      </c>
      <c r="B21" s="4"/>
      <c r="C21" s="98">
        <f t="shared" si="0"/>
        <v>220729</v>
      </c>
      <c r="D21" s="1">
        <v>220816</v>
      </c>
      <c r="E21" s="708">
        <f t="shared" si="25"/>
        <v>87</v>
      </c>
      <c r="F21" s="98">
        <f t="shared" si="2"/>
        <v>37499</v>
      </c>
      <c r="G21" s="570">
        <v>37516</v>
      </c>
      <c r="H21" s="708">
        <f t="shared" si="3"/>
        <v>17</v>
      </c>
      <c r="I21" s="98">
        <f t="shared" si="4"/>
        <v>7475</v>
      </c>
      <c r="J21" s="1">
        <v>7478</v>
      </c>
      <c r="K21" s="708">
        <f t="shared" si="5"/>
        <v>3</v>
      </c>
      <c r="L21" s="98">
        <f t="shared" si="6"/>
        <v>11106</v>
      </c>
      <c r="M21" s="1">
        <v>11106</v>
      </c>
      <c r="N21" s="708">
        <f t="shared" si="7"/>
        <v>0</v>
      </c>
      <c r="O21" s="98">
        <f t="shared" si="8"/>
        <v>19261</v>
      </c>
      <c r="P21" s="563">
        <v>19272</v>
      </c>
      <c r="Q21" s="708">
        <f t="shared" si="9"/>
        <v>11</v>
      </c>
      <c r="R21" s="341"/>
      <c r="S21" s="336">
        <f t="shared" si="16"/>
        <v>47281</v>
      </c>
      <c r="T21" s="564">
        <v>47311</v>
      </c>
      <c r="U21" s="709">
        <f t="shared" si="17"/>
        <v>30</v>
      </c>
      <c r="V21" s="336">
        <f t="shared" ref="V21:V37" si="27">W20</f>
        <v>66564</v>
      </c>
      <c r="W21" s="564">
        <v>66622</v>
      </c>
      <c r="X21" s="709">
        <f t="shared" si="18"/>
        <v>58</v>
      </c>
      <c r="Y21" s="336">
        <f t="shared" si="11"/>
        <v>75886</v>
      </c>
      <c r="Z21" s="564">
        <v>75890</v>
      </c>
      <c r="AA21" s="709">
        <f t="shared" si="19"/>
        <v>4</v>
      </c>
      <c r="AB21" s="336">
        <f t="shared" si="12"/>
        <v>11880</v>
      </c>
      <c r="AC21" s="713">
        <v>11897</v>
      </c>
      <c r="AD21" s="709">
        <f t="shared" si="20"/>
        <v>17</v>
      </c>
      <c r="AE21" s="336">
        <f t="shared" si="13"/>
        <v>14820</v>
      </c>
      <c r="AF21" s="565">
        <v>14859</v>
      </c>
      <c r="AG21" s="709">
        <f t="shared" si="21"/>
        <v>39</v>
      </c>
      <c r="AH21" s="336">
        <f t="shared" si="14"/>
        <v>23614</v>
      </c>
      <c r="AI21" s="565">
        <v>23630</v>
      </c>
      <c r="AJ21" s="709">
        <f t="shared" si="22"/>
        <v>16</v>
      </c>
      <c r="AK21" s="445">
        <f t="shared" si="15"/>
        <v>15154</v>
      </c>
      <c r="AL21" s="564">
        <v>15154</v>
      </c>
      <c r="AM21" s="709">
        <f t="shared" si="26"/>
        <v>0</v>
      </c>
      <c r="AN21" s="576">
        <f t="shared" si="24"/>
        <v>164</v>
      </c>
    </row>
    <row r="22" spans="1:40" ht="23.1" customHeight="1">
      <c r="A22" s="58">
        <f>Gen!A27</f>
        <v>43816</v>
      </c>
      <c r="B22" s="4"/>
      <c r="C22" s="98">
        <f t="shared" si="0"/>
        <v>220816</v>
      </c>
      <c r="D22" s="1">
        <v>220924</v>
      </c>
      <c r="E22" s="708">
        <f t="shared" si="25"/>
        <v>108</v>
      </c>
      <c r="F22" s="98">
        <f t="shared" si="2"/>
        <v>37516</v>
      </c>
      <c r="G22" s="570">
        <v>37531</v>
      </c>
      <c r="H22" s="708">
        <f t="shared" si="3"/>
        <v>15</v>
      </c>
      <c r="I22" s="98">
        <f t="shared" si="4"/>
        <v>7478</v>
      </c>
      <c r="J22" s="1">
        <v>7481</v>
      </c>
      <c r="K22" s="708">
        <f t="shared" si="5"/>
        <v>3</v>
      </c>
      <c r="L22" s="98">
        <f t="shared" si="6"/>
        <v>11106</v>
      </c>
      <c r="M22" s="1">
        <v>11106</v>
      </c>
      <c r="N22" s="708">
        <f t="shared" si="7"/>
        <v>0</v>
      </c>
      <c r="O22" s="98">
        <f t="shared" si="8"/>
        <v>19272</v>
      </c>
      <c r="P22" s="563">
        <v>19282</v>
      </c>
      <c r="Q22" s="708">
        <f t="shared" si="9"/>
        <v>10</v>
      </c>
      <c r="R22" s="341"/>
      <c r="S22" s="336">
        <f t="shared" si="16"/>
        <v>47311</v>
      </c>
      <c r="T22" s="564">
        <v>47349</v>
      </c>
      <c r="U22" s="709">
        <f t="shared" si="17"/>
        <v>38</v>
      </c>
      <c r="V22" s="336">
        <f t="shared" si="27"/>
        <v>66622</v>
      </c>
      <c r="W22" s="564">
        <v>66628</v>
      </c>
      <c r="X22" s="709">
        <f t="shared" si="18"/>
        <v>6</v>
      </c>
      <c r="Y22" s="336">
        <f t="shared" si="11"/>
        <v>75890</v>
      </c>
      <c r="Z22" s="564">
        <v>75893</v>
      </c>
      <c r="AA22" s="709">
        <f t="shared" si="19"/>
        <v>3</v>
      </c>
      <c r="AB22" s="336">
        <f t="shared" si="12"/>
        <v>11897</v>
      </c>
      <c r="AC22" s="713">
        <v>11908</v>
      </c>
      <c r="AD22" s="709">
        <f t="shared" si="20"/>
        <v>11</v>
      </c>
      <c r="AE22" s="336">
        <f t="shared" si="13"/>
        <v>14859</v>
      </c>
      <c r="AF22" s="565">
        <v>14884</v>
      </c>
      <c r="AG22" s="709">
        <f t="shared" si="21"/>
        <v>25</v>
      </c>
      <c r="AH22" s="336">
        <f t="shared" si="14"/>
        <v>23630</v>
      </c>
      <c r="AI22" s="565">
        <v>23632</v>
      </c>
      <c r="AJ22" s="709">
        <f t="shared" si="22"/>
        <v>2</v>
      </c>
      <c r="AK22" s="445">
        <f t="shared" si="15"/>
        <v>15154</v>
      </c>
      <c r="AL22" s="564">
        <v>15154</v>
      </c>
      <c r="AM22" s="709">
        <f t="shared" si="26"/>
        <v>0</v>
      </c>
      <c r="AN22" s="576">
        <f t="shared" si="24"/>
        <v>85</v>
      </c>
    </row>
    <row r="23" spans="1:40" ht="23.1" customHeight="1">
      <c r="A23" s="58">
        <f>Gen!A28</f>
        <v>43817</v>
      </c>
      <c r="B23" s="4"/>
      <c r="C23" s="98">
        <f t="shared" si="0"/>
        <v>220924</v>
      </c>
      <c r="D23" s="1"/>
      <c r="E23" s="708" t="str">
        <f t="shared" si="25"/>
        <v>0</v>
      </c>
      <c r="F23" s="98">
        <f t="shared" si="2"/>
        <v>37531</v>
      </c>
      <c r="G23" s="570"/>
      <c r="H23" s="708" t="str">
        <f t="shared" si="3"/>
        <v>0</v>
      </c>
      <c r="I23" s="98">
        <f t="shared" si="4"/>
        <v>7481</v>
      </c>
      <c r="J23" s="1"/>
      <c r="K23" s="708" t="str">
        <f t="shared" si="5"/>
        <v>0</v>
      </c>
      <c r="L23" s="98">
        <f t="shared" si="6"/>
        <v>11106</v>
      </c>
      <c r="M23" s="1"/>
      <c r="N23" s="708" t="str">
        <f t="shared" si="7"/>
        <v>0</v>
      </c>
      <c r="O23" s="98">
        <f t="shared" si="8"/>
        <v>19282</v>
      </c>
      <c r="P23" s="563"/>
      <c r="Q23" s="708" t="str">
        <f t="shared" si="9"/>
        <v>0</v>
      </c>
      <c r="R23" s="341"/>
      <c r="S23" s="336">
        <f t="shared" si="16"/>
        <v>47349</v>
      </c>
      <c r="T23" s="564"/>
      <c r="U23" s="709" t="str">
        <f t="shared" si="17"/>
        <v>0</v>
      </c>
      <c r="V23" s="336">
        <f t="shared" si="27"/>
        <v>66628</v>
      </c>
      <c r="W23" s="564"/>
      <c r="X23" s="709" t="str">
        <f t="shared" si="18"/>
        <v>0</v>
      </c>
      <c r="Y23" s="336">
        <f t="shared" si="11"/>
        <v>75893</v>
      </c>
      <c r="Z23" s="564"/>
      <c r="AA23" s="709" t="str">
        <f t="shared" si="19"/>
        <v>0</v>
      </c>
      <c r="AB23" s="336">
        <f t="shared" si="12"/>
        <v>11908</v>
      </c>
      <c r="AC23" s="337"/>
      <c r="AD23" s="709" t="str">
        <f t="shared" si="20"/>
        <v>0</v>
      </c>
      <c r="AE23" s="336">
        <f t="shared" si="13"/>
        <v>14884</v>
      </c>
      <c r="AF23" s="565"/>
      <c r="AG23" s="709" t="str">
        <f t="shared" si="21"/>
        <v>0</v>
      </c>
      <c r="AH23" s="336">
        <f t="shared" si="14"/>
        <v>23632</v>
      </c>
      <c r="AI23" s="565"/>
      <c r="AJ23" s="709" t="str">
        <f t="shared" si="22"/>
        <v>0</v>
      </c>
      <c r="AK23" s="445">
        <f t="shared" si="15"/>
        <v>15154</v>
      </c>
      <c r="AL23" s="564"/>
      <c r="AM23" s="709" t="str">
        <f t="shared" si="26"/>
        <v>0</v>
      </c>
      <c r="AN23" s="576">
        <f t="shared" si="24"/>
        <v>0</v>
      </c>
    </row>
    <row r="24" spans="1:40" ht="23.1" customHeight="1">
      <c r="A24" s="58">
        <f>Gen!A29</f>
        <v>43818</v>
      </c>
      <c r="B24" s="4"/>
      <c r="C24" s="98">
        <f t="shared" si="0"/>
        <v>0</v>
      </c>
      <c r="D24" s="1"/>
      <c r="E24" s="708">
        <f t="shared" si="25"/>
        <v>0</v>
      </c>
      <c r="F24" s="98">
        <f t="shared" si="2"/>
        <v>0</v>
      </c>
      <c r="G24" s="570"/>
      <c r="H24" s="708">
        <f t="shared" si="3"/>
        <v>0</v>
      </c>
      <c r="I24" s="98">
        <f t="shared" si="4"/>
        <v>0</v>
      </c>
      <c r="J24" s="1"/>
      <c r="K24" s="708">
        <f t="shared" si="5"/>
        <v>0</v>
      </c>
      <c r="L24" s="98">
        <f t="shared" si="6"/>
        <v>0</v>
      </c>
      <c r="M24" s="1"/>
      <c r="N24" s="708">
        <f t="shared" si="7"/>
        <v>0</v>
      </c>
      <c r="O24" s="98">
        <f t="shared" si="8"/>
        <v>0</v>
      </c>
      <c r="P24" s="563"/>
      <c r="Q24" s="708">
        <f t="shared" si="9"/>
        <v>0</v>
      </c>
      <c r="R24" s="341"/>
      <c r="S24" s="336">
        <f t="shared" si="16"/>
        <v>0</v>
      </c>
      <c r="T24" s="564"/>
      <c r="U24" s="709">
        <f t="shared" si="17"/>
        <v>0</v>
      </c>
      <c r="V24" s="336">
        <f t="shared" si="27"/>
        <v>0</v>
      </c>
      <c r="W24" s="564"/>
      <c r="X24" s="709">
        <f t="shared" si="18"/>
        <v>0</v>
      </c>
      <c r="Y24" s="336">
        <f t="shared" si="11"/>
        <v>0</v>
      </c>
      <c r="Z24" s="564"/>
      <c r="AA24" s="709">
        <f t="shared" si="19"/>
        <v>0</v>
      </c>
      <c r="AB24" s="336">
        <f t="shared" si="12"/>
        <v>0</v>
      </c>
      <c r="AC24" s="337"/>
      <c r="AD24" s="709">
        <f t="shared" si="20"/>
        <v>0</v>
      </c>
      <c r="AE24" s="336">
        <f t="shared" si="13"/>
        <v>0</v>
      </c>
      <c r="AF24" s="565"/>
      <c r="AG24" s="709">
        <f t="shared" si="21"/>
        <v>0</v>
      </c>
      <c r="AH24" s="336">
        <f t="shared" si="14"/>
        <v>0</v>
      </c>
      <c r="AI24" s="565"/>
      <c r="AJ24" s="709">
        <f t="shared" si="22"/>
        <v>0</v>
      </c>
      <c r="AK24" s="445">
        <f t="shared" si="15"/>
        <v>0</v>
      </c>
      <c r="AL24" s="564"/>
      <c r="AM24" s="709">
        <f t="shared" si="26"/>
        <v>0</v>
      </c>
      <c r="AN24" s="576">
        <f t="shared" si="24"/>
        <v>0</v>
      </c>
    </row>
    <row r="25" spans="1:40" ht="23.1" customHeight="1">
      <c r="A25" s="58">
        <f>Gen!A30</f>
        <v>43819</v>
      </c>
      <c r="B25" s="4"/>
      <c r="C25" s="98">
        <f>D24</f>
        <v>0</v>
      </c>
      <c r="D25" s="1"/>
      <c r="E25" s="708">
        <f t="shared" si="25"/>
        <v>0</v>
      </c>
      <c r="F25" s="98">
        <f t="shared" si="2"/>
        <v>0</v>
      </c>
      <c r="G25" s="570"/>
      <c r="H25" s="708">
        <f t="shared" si="3"/>
        <v>0</v>
      </c>
      <c r="I25" s="98">
        <f t="shared" ref="I25:I37" si="28">J24</f>
        <v>0</v>
      </c>
      <c r="J25" s="1"/>
      <c r="K25" s="708">
        <f t="shared" ref="K25:K37" si="29">IF((J25-J24)&lt;0,"0",(J25-J24))</f>
        <v>0</v>
      </c>
      <c r="L25" s="98">
        <f t="shared" ref="L25:L37" si="30">M24</f>
        <v>0</v>
      </c>
      <c r="M25" s="1"/>
      <c r="N25" s="708">
        <f t="shared" ref="N25:N37" si="31">IF((M25-M24)&lt;0,"0",(M25-M24))</f>
        <v>0</v>
      </c>
      <c r="O25" s="98">
        <f t="shared" ref="O25:O37" si="32">P24</f>
        <v>0</v>
      </c>
      <c r="P25" s="563"/>
      <c r="Q25" s="708">
        <f t="shared" ref="Q25:Q37" si="33">IF((P25-P24)&lt;0,"0",(P25-P24))</f>
        <v>0</v>
      </c>
      <c r="R25" s="341"/>
      <c r="S25" s="336">
        <f t="shared" ref="S25:S37" si="34">T24</f>
        <v>0</v>
      </c>
      <c r="T25" s="564"/>
      <c r="U25" s="709">
        <f t="shared" si="17"/>
        <v>0</v>
      </c>
      <c r="V25" s="336">
        <f t="shared" si="27"/>
        <v>0</v>
      </c>
      <c r="W25" s="564"/>
      <c r="X25" s="709">
        <f t="shared" si="18"/>
        <v>0</v>
      </c>
      <c r="Y25" s="336">
        <f t="shared" si="11"/>
        <v>0</v>
      </c>
      <c r="Z25" s="564"/>
      <c r="AA25" s="709">
        <f t="shared" si="19"/>
        <v>0</v>
      </c>
      <c r="AB25" s="336">
        <f t="shared" si="12"/>
        <v>0</v>
      </c>
      <c r="AC25" s="337"/>
      <c r="AD25" s="709">
        <f t="shared" si="20"/>
        <v>0</v>
      </c>
      <c r="AE25" s="336">
        <f t="shared" si="13"/>
        <v>0</v>
      </c>
      <c r="AF25" s="565"/>
      <c r="AG25" s="709">
        <f t="shared" si="21"/>
        <v>0</v>
      </c>
      <c r="AH25" s="336">
        <f t="shared" si="14"/>
        <v>0</v>
      </c>
      <c r="AI25" s="565"/>
      <c r="AJ25" s="709">
        <f t="shared" si="22"/>
        <v>0</v>
      </c>
      <c r="AK25" s="445">
        <f t="shared" si="15"/>
        <v>0</v>
      </c>
      <c r="AL25" s="564"/>
      <c r="AM25" s="709">
        <f t="shared" si="26"/>
        <v>0</v>
      </c>
      <c r="AN25" s="576">
        <f t="shared" si="24"/>
        <v>0</v>
      </c>
    </row>
    <row r="26" spans="1:40" ht="23.1" customHeight="1">
      <c r="A26" s="58">
        <f>Gen!A31</f>
        <v>43820</v>
      </c>
      <c r="B26" s="4"/>
      <c r="C26" s="98">
        <f>D25</f>
        <v>0</v>
      </c>
      <c r="D26" s="1"/>
      <c r="E26" s="708">
        <f t="shared" si="25"/>
        <v>0</v>
      </c>
      <c r="F26" s="98">
        <f t="shared" si="2"/>
        <v>0</v>
      </c>
      <c r="G26" s="570"/>
      <c r="H26" s="708">
        <f t="shared" ref="H26:H37" si="35">IF((G26-G25)&lt;0,"0",(G26-G25))</f>
        <v>0</v>
      </c>
      <c r="I26" s="98">
        <f t="shared" si="28"/>
        <v>0</v>
      </c>
      <c r="J26" s="1"/>
      <c r="K26" s="708">
        <f t="shared" si="29"/>
        <v>0</v>
      </c>
      <c r="L26" s="98">
        <f t="shared" si="30"/>
        <v>0</v>
      </c>
      <c r="M26" s="1"/>
      <c r="N26" s="708">
        <f t="shared" si="31"/>
        <v>0</v>
      </c>
      <c r="O26" s="98">
        <f t="shared" si="32"/>
        <v>0</v>
      </c>
      <c r="P26" s="563"/>
      <c r="Q26" s="708">
        <f t="shared" si="33"/>
        <v>0</v>
      </c>
      <c r="R26" s="341"/>
      <c r="S26" s="336">
        <f t="shared" si="34"/>
        <v>0</v>
      </c>
      <c r="T26" s="564"/>
      <c r="U26" s="709">
        <f t="shared" si="17"/>
        <v>0</v>
      </c>
      <c r="V26" s="336">
        <f t="shared" si="27"/>
        <v>0</v>
      </c>
      <c r="W26" s="564"/>
      <c r="X26" s="709">
        <f t="shared" si="18"/>
        <v>0</v>
      </c>
      <c r="Y26" s="336">
        <f t="shared" si="11"/>
        <v>0</v>
      </c>
      <c r="Z26" s="564"/>
      <c r="AA26" s="709">
        <f t="shared" si="19"/>
        <v>0</v>
      </c>
      <c r="AB26" s="336">
        <f t="shared" si="12"/>
        <v>0</v>
      </c>
      <c r="AC26" s="337"/>
      <c r="AD26" s="709">
        <f t="shared" si="20"/>
        <v>0</v>
      </c>
      <c r="AE26" s="336">
        <f t="shared" si="13"/>
        <v>0</v>
      </c>
      <c r="AF26" s="565"/>
      <c r="AG26" s="709">
        <f t="shared" si="21"/>
        <v>0</v>
      </c>
      <c r="AH26" s="336">
        <f t="shared" si="14"/>
        <v>0</v>
      </c>
      <c r="AI26" s="565"/>
      <c r="AJ26" s="709">
        <f t="shared" si="22"/>
        <v>0</v>
      </c>
      <c r="AK26" s="445">
        <f t="shared" si="15"/>
        <v>0</v>
      </c>
      <c r="AL26" s="564"/>
      <c r="AM26" s="709">
        <f t="shared" si="26"/>
        <v>0</v>
      </c>
      <c r="AN26" s="576">
        <f t="shared" si="24"/>
        <v>0</v>
      </c>
    </row>
    <row r="27" spans="1:40" ht="23.1" customHeight="1">
      <c r="A27" s="58">
        <f>Gen!A32</f>
        <v>43821</v>
      </c>
      <c r="B27" s="4"/>
      <c r="C27" s="98">
        <f>D26</f>
        <v>0</v>
      </c>
      <c r="D27" s="1"/>
      <c r="E27" s="708">
        <f t="shared" si="25"/>
        <v>0</v>
      </c>
      <c r="F27" s="98">
        <f t="shared" si="2"/>
        <v>0</v>
      </c>
      <c r="G27" s="570"/>
      <c r="H27" s="708">
        <f t="shared" si="35"/>
        <v>0</v>
      </c>
      <c r="I27" s="98">
        <f t="shared" si="28"/>
        <v>0</v>
      </c>
      <c r="J27" s="1"/>
      <c r="K27" s="708">
        <f t="shared" si="29"/>
        <v>0</v>
      </c>
      <c r="L27" s="98">
        <f t="shared" si="30"/>
        <v>0</v>
      </c>
      <c r="M27" s="1"/>
      <c r="N27" s="708">
        <f t="shared" si="31"/>
        <v>0</v>
      </c>
      <c r="O27" s="98">
        <f t="shared" si="32"/>
        <v>0</v>
      </c>
      <c r="P27" s="563"/>
      <c r="Q27" s="708">
        <f t="shared" si="33"/>
        <v>0</v>
      </c>
      <c r="R27" s="341"/>
      <c r="S27" s="336">
        <f t="shared" si="34"/>
        <v>0</v>
      </c>
      <c r="T27" s="564"/>
      <c r="U27" s="709">
        <f t="shared" si="17"/>
        <v>0</v>
      </c>
      <c r="V27" s="336">
        <f t="shared" si="27"/>
        <v>0</v>
      </c>
      <c r="W27" s="564"/>
      <c r="X27" s="709">
        <f t="shared" si="18"/>
        <v>0</v>
      </c>
      <c r="Y27" s="336">
        <f t="shared" si="11"/>
        <v>0</v>
      </c>
      <c r="Z27" s="564"/>
      <c r="AA27" s="709">
        <f t="shared" si="19"/>
        <v>0</v>
      </c>
      <c r="AB27" s="336">
        <f t="shared" si="12"/>
        <v>0</v>
      </c>
      <c r="AC27" s="337"/>
      <c r="AD27" s="709">
        <f t="shared" si="20"/>
        <v>0</v>
      </c>
      <c r="AE27" s="336">
        <f t="shared" si="13"/>
        <v>0</v>
      </c>
      <c r="AF27" s="565"/>
      <c r="AG27" s="709">
        <f t="shared" si="21"/>
        <v>0</v>
      </c>
      <c r="AH27" s="336">
        <f t="shared" si="14"/>
        <v>0</v>
      </c>
      <c r="AI27" s="565"/>
      <c r="AJ27" s="709">
        <f t="shared" si="22"/>
        <v>0</v>
      </c>
      <c r="AK27" s="445">
        <f t="shared" si="15"/>
        <v>0</v>
      </c>
      <c r="AL27" s="564"/>
      <c r="AM27" s="709">
        <f t="shared" si="23"/>
        <v>0</v>
      </c>
      <c r="AN27" s="576">
        <f t="shared" si="24"/>
        <v>0</v>
      </c>
    </row>
    <row r="28" spans="1:40" ht="23.1" customHeight="1">
      <c r="A28" s="58">
        <f>Gen!A33</f>
        <v>43822</v>
      </c>
      <c r="B28" s="4"/>
      <c r="C28" s="98">
        <f t="shared" ref="C28:C37" si="36">D27</f>
        <v>0</v>
      </c>
      <c r="D28" s="1"/>
      <c r="E28" s="708">
        <f t="shared" si="25"/>
        <v>0</v>
      </c>
      <c r="F28" s="98">
        <f t="shared" si="2"/>
        <v>0</v>
      </c>
      <c r="G28" s="570"/>
      <c r="H28" s="708">
        <f t="shared" si="35"/>
        <v>0</v>
      </c>
      <c r="I28" s="98">
        <f t="shared" si="28"/>
        <v>0</v>
      </c>
      <c r="J28" s="1"/>
      <c r="K28" s="708">
        <f t="shared" si="29"/>
        <v>0</v>
      </c>
      <c r="L28" s="98">
        <f t="shared" si="30"/>
        <v>0</v>
      </c>
      <c r="M28" s="1"/>
      <c r="N28" s="708">
        <f t="shared" si="31"/>
        <v>0</v>
      </c>
      <c r="O28" s="98">
        <f t="shared" si="32"/>
        <v>0</v>
      </c>
      <c r="P28" s="563"/>
      <c r="Q28" s="708">
        <f t="shared" si="33"/>
        <v>0</v>
      </c>
      <c r="R28" s="341"/>
      <c r="S28" s="336">
        <f t="shared" si="34"/>
        <v>0</v>
      </c>
      <c r="T28" s="564"/>
      <c r="U28" s="709">
        <f t="shared" si="17"/>
        <v>0</v>
      </c>
      <c r="V28" s="336">
        <f t="shared" si="27"/>
        <v>0</v>
      </c>
      <c r="W28" s="564"/>
      <c r="X28" s="709">
        <f t="shared" si="18"/>
        <v>0</v>
      </c>
      <c r="Y28" s="336">
        <f t="shared" si="11"/>
        <v>0</v>
      </c>
      <c r="Z28" s="564"/>
      <c r="AA28" s="709">
        <f t="shared" si="19"/>
        <v>0</v>
      </c>
      <c r="AB28" s="336">
        <f t="shared" si="12"/>
        <v>0</v>
      </c>
      <c r="AC28" s="337"/>
      <c r="AD28" s="709">
        <f t="shared" si="20"/>
        <v>0</v>
      </c>
      <c r="AE28" s="336">
        <f t="shared" si="13"/>
        <v>0</v>
      </c>
      <c r="AF28" s="565"/>
      <c r="AG28" s="709">
        <f t="shared" si="21"/>
        <v>0</v>
      </c>
      <c r="AH28" s="336">
        <f t="shared" si="14"/>
        <v>0</v>
      </c>
      <c r="AI28" s="565"/>
      <c r="AJ28" s="709">
        <f t="shared" si="22"/>
        <v>0</v>
      </c>
      <c r="AK28" s="445">
        <f t="shared" si="15"/>
        <v>0</v>
      </c>
      <c r="AL28" s="564"/>
      <c r="AM28" s="709">
        <f t="shared" si="23"/>
        <v>0</v>
      </c>
      <c r="AN28" s="576">
        <f t="shared" si="24"/>
        <v>0</v>
      </c>
    </row>
    <row r="29" spans="1:40" ht="23.1" customHeight="1">
      <c r="A29" s="58">
        <f>Gen!A34</f>
        <v>43823</v>
      </c>
      <c r="B29" s="4"/>
      <c r="C29" s="98">
        <f t="shared" si="36"/>
        <v>0</v>
      </c>
      <c r="D29" s="1"/>
      <c r="E29" s="708">
        <f t="shared" si="25"/>
        <v>0</v>
      </c>
      <c r="F29" s="98">
        <f t="shared" si="2"/>
        <v>0</v>
      </c>
      <c r="G29" s="570"/>
      <c r="H29" s="708">
        <f t="shared" si="35"/>
        <v>0</v>
      </c>
      <c r="I29" s="98">
        <f t="shared" si="28"/>
        <v>0</v>
      </c>
      <c r="J29" s="1"/>
      <c r="K29" s="708">
        <f t="shared" si="29"/>
        <v>0</v>
      </c>
      <c r="L29" s="98">
        <f t="shared" si="30"/>
        <v>0</v>
      </c>
      <c r="M29" s="1"/>
      <c r="N29" s="708">
        <f t="shared" si="31"/>
        <v>0</v>
      </c>
      <c r="O29" s="98">
        <f t="shared" si="32"/>
        <v>0</v>
      </c>
      <c r="P29" s="563"/>
      <c r="Q29" s="708">
        <f t="shared" si="33"/>
        <v>0</v>
      </c>
      <c r="R29" s="341"/>
      <c r="S29" s="336">
        <f t="shared" si="34"/>
        <v>0</v>
      </c>
      <c r="T29" s="564"/>
      <c r="U29" s="709">
        <f t="shared" si="17"/>
        <v>0</v>
      </c>
      <c r="V29" s="336">
        <f t="shared" si="27"/>
        <v>0</v>
      </c>
      <c r="W29" s="564"/>
      <c r="X29" s="709">
        <f t="shared" si="18"/>
        <v>0</v>
      </c>
      <c r="Y29" s="336">
        <f t="shared" si="11"/>
        <v>0</v>
      </c>
      <c r="Z29" s="564"/>
      <c r="AA29" s="709">
        <f t="shared" si="19"/>
        <v>0</v>
      </c>
      <c r="AB29" s="336">
        <f t="shared" si="12"/>
        <v>0</v>
      </c>
      <c r="AC29" s="337"/>
      <c r="AD29" s="709">
        <f t="shared" si="20"/>
        <v>0</v>
      </c>
      <c r="AE29" s="336">
        <f t="shared" si="13"/>
        <v>0</v>
      </c>
      <c r="AF29" s="565"/>
      <c r="AG29" s="709">
        <f t="shared" si="21"/>
        <v>0</v>
      </c>
      <c r="AH29" s="336">
        <f t="shared" si="14"/>
        <v>0</v>
      </c>
      <c r="AI29" s="565"/>
      <c r="AJ29" s="709">
        <f t="shared" si="22"/>
        <v>0</v>
      </c>
      <c r="AK29" s="445">
        <f t="shared" si="15"/>
        <v>0</v>
      </c>
      <c r="AL29" s="564"/>
      <c r="AM29" s="709">
        <f t="shared" si="23"/>
        <v>0</v>
      </c>
      <c r="AN29" s="576">
        <f t="shared" si="24"/>
        <v>0</v>
      </c>
    </row>
    <row r="30" spans="1:40" ht="23.1" customHeight="1">
      <c r="A30" s="58">
        <f>Gen!A35</f>
        <v>43824</v>
      </c>
      <c r="B30" s="4"/>
      <c r="C30" s="98">
        <f t="shared" si="36"/>
        <v>0</v>
      </c>
      <c r="D30" s="1"/>
      <c r="E30" s="708">
        <f t="shared" si="25"/>
        <v>0</v>
      </c>
      <c r="F30" s="98">
        <f t="shared" si="2"/>
        <v>0</v>
      </c>
      <c r="G30" s="570"/>
      <c r="H30" s="708">
        <f t="shared" si="35"/>
        <v>0</v>
      </c>
      <c r="I30" s="98">
        <f t="shared" si="28"/>
        <v>0</v>
      </c>
      <c r="J30" s="1"/>
      <c r="K30" s="708">
        <f t="shared" si="29"/>
        <v>0</v>
      </c>
      <c r="L30" s="98">
        <f t="shared" si="30"/>
        <v>0</v>
      </c>
      <c r="M30" s="1"/>
      <c r="N30" s="708">
        <f t="shared" si="31"/>
        <v>0</v>
      </c>
      <c r="O30" s="98">
        <f t="shared" si="32"/>
        <v>0</v>
      </c>
      <c r="P30" s="563"/>
      <c r="Q30" s="708">
        <f t="shared" si="33"/>
        <v>0</v>
      </c>
      <c r="R30" s="341"/>
      <c r="S30" s="336">
        <f t="shared" si="34"/>
        <v>0</v>
      </c>
      <c r="T30" s="564"/>
      <c r="U30" s="709">
        <f t="shared" si="17"/>
        <v>0</v>
      </c>
      <c r="V30" s="336">
        <f t="shared" si="27"/>
        <v>0</v>
      </c>
      <c r="W30" s="564"/>
      <c r="X30" s="709">
        <f t="shared" si="18"/>
        <v>0</v>
      </c>
      <c r="Y30" s="336">
        <f t="shared" si="11"/>
        <v>0</v>
      </c>
      <c r="Z30" s="564"/>
      <c r="AA30" s="709">
        <f t="shared" si="19"/>
        <v>0</v>
      </c>
      <c r="AB30" s="336">
        <f t="shared" si="12"/>
        <v>0</v>
      </c>
      <c r="AC30" s="337"/>
      <c r="AD30" s="709">
        <f t="shared" si="20"/>
        <v>0</v>
      </c>
      <c r="AE30" s="336">
        <f t="shared" si="13"/>
        <v>0</v>
      </c>
      <c r="AF30" s="565"/>
      <c r="AG30" s="709">
        <f t="shared" si="21"/>
        <v>0</v>
      </c>
      <c r="AH30" s="336">
        <f t="shared" si="14"/>
        <v>0</v>
      </c>
      <c r="AI30" s="565"/>
      <c r="AJ30" s="709">
        <f t="shared" si="22"/>
        <v>0</v>
      </c>
      <c r="AK30" s="445">
        <f t="shared" si="15"/>
        <v>0</v>
      </c>
      <c r="AL30" s="564"/>
      <c r="AM30" s="709">
        <f t="shared" si="23"/>
        <v>0</v>
      </c>
      <c r="AN30" s="576">
        <f t="shared" si="24"/>
        <v>0</v>
      </c>
    </row>
    <row r="31" spans="1:40" ht="23.1" customHeight="1">
      <c r="A31" s="58">
        <f>Gen!A36</f>
        <v>43825</v>
      </c>
      <c r="B31" s="4"/>
      <c r="C31" s="98">
        <f t="shared" si="36"/>
        <v>0</v>
      </c>
      <c r="D31" s="1"/>
      <c r="E31" s="708">
        <f t="shared" si="25"/>
        <v>0</v>
      </c>
      <c r="F31" s="98">
        <f t="shared" si="2"/>
        <v>0</v>
      </c>
      <c r="G31" s="570"/>
      <c r="H31" s="708">
        <f t="shared" si="35"/>
        <v>0</v>
      </c>
      <c r="I31" s="98">
        <f t="shared" si="28"/>
        <v>0</v>
      </c>
      <c r="J31" s="1"/>
      <c r="K31" s="708">
        <f t="shared" si="29"/>
        <v>0</v>
      </c>
      <c r="L31" s="98">
        <f t="shared" si="30"/>
        <v>0</v>
      </c>
      <c r="M31" s="1"/>
      <c r="N31" s="708">
        <f t="shared" si="31"/>
        <v>0</v>
      </c>
      <c r="O31" s="98">
        <f t="shared" si="32"/>
        <v>0</v>
      </c>
      <c r="P31" s="563"/>
      <c r="Q31" s="708">
        <f t="shared" si="33"/>
        <v>0</v>
      </c>
      <c r="R31" s="341"/>
      <c r="S31" s="336">
        <f t="shared" si="34"/>
        <v>0</v>
      </c>
      <c r="T31" s="564"/>
      <c r="U31" s="709">
        <f t="shared" si="17"/>
        <v>0</v>
      </c>
      <c r="V31" s="336">
        <f t="shared" si="27"/>
        <v>0</v>
      </c>
      <c r="W31" s="564"/>
      <c r="X31" s="709">
        <f t="shared" si="18"/>
        <v>0</v>
      </c>
      <c r="Y31" s="336">
        <f t="shared" si="11"/>
        <v>0</v>
      </c>
      <c r="Z31" s="564"/>
      <c r="AA31" s="709">
        <f t="shared" si="19"/>
        <v>0</v>
      </c>
      <c r="AB31" s="336">
        <f t="shared" si="12"/>
        <v>0</v>
      </c>
      <c r="AC31" s="337"/>
      <c r="AD31" s="709">
        <f t="shared" si="20"/>
        <v>0</v>
      </c>
      <c r="AE31" s="336">
        <f t="shared" si="13"/>
        <v>0</v>
      </c>
      <c r="AF31" s="565"/>
      <c r="AG31" s="709">
        <f t="shared" si="21"/>
        <v>0</v>
      </c>
      <c r="AH31" s="336">
        <f t="shared" si="14"/>
        <v>0</v>
      </c>
      <c r="AI31" s="565"/>
      <c r="AJ31" s="709">
        <f t="shared" si="22"/>
        <v>0</v>
      </c>
      <c r="AK31" s="445">
        <f t="shared" si="15"/>
        <v>0</v>
      </c>
      <c r="AL31" s="564"/>
      <c r="AM31" s="709">
        <f t="shared" si="23"/>
        <v>0</v>
      </c>
      <c r="AN31" s="576">
        <f t="shared" si="24"/>
        <v>0</v>
      </c>
    </row>
    <row r="32" spans="1:40" ht="23.1" customHeight="1">
      <c r="A32" s="58">
        <f>Gen!A37</f>
        <v>43826</v>
      </c>
      <c r="B32" s="4" t="s">
        <v>27</v>
      </c>
      <c r="C32" s="98">
        <f t="shared" si="36"/>
        <v>0</v>
      </c>
      <c r="D32" s="1"/>
      <c r="E32" s="708">
        <f t="shared" si="25"/>
        <v>0</v>
      </c>
      <c r="F32" s="98">
        <f t="shared" si="2"/>
        <v>0</v>
      </c>
      <c r="G32" s="570"/>
      <c r="H32" s="708">
        <f t="shared" si="35"/>
        <v>0</v>
      </c>
      <c r="I32" s="98">
        <f t="shared" si="28"/>
        <v>0</v>
      </c>
      <c r="J32" s="1"/>
      <c r="K32" s="708">
        <f t="shared" si="29"/>
        <v>0</v>
      </c>
      <c r="L32" s="98">
        <f t="shared" si="30"/>
        <v>0</v>
      </c>
      <c r="M32" s="1"/>
      <c r="N32" s="708">
        <f t="shared" si="31"/>
        <v>0</v>
      </c>
      <c r="O32" s="98">
        <f t="shared" si="32"/>
        <v>0</v>
      </c>
      <c r="P32" s="563"/>
      <c r="Q32" s="708">
        <f t="shared" si="33"/>
        <v>0</v>
      </c>
      <c r="R32" s="341"/>
      <c r="S32" s="336">
        <f t="shared" si="34"/>
        <v>0</v>
      </c>
      <c r="T32" s="564"/>
      <c r="U32" s="709">
        <f t="shared" si="17"/>
        <v>0</v>
      </c>
      <c r="V32" s="336">
        <f t="shared" si="27"/>
        <v>0</v>
      </c>
      <c r="W32" s="564"/>
      <c r="X32" s="709">
        <f t="shared" si="18"/>
        <v>0</v>
      </c>
      <c r="Y32" s="336">
        <f t="shared" si="11"/>
        <v>0</v>
      </c>
      <c r="Z32" s="564"/>
      <c r="AA32" s="709">
        <f t="shared" si="19"/>
        <v>0</v>
      </c>
      <c r="AB32" s="336">
        <f t="shared" si="12"/>
        <v>0</v>
      </c>
      <c r="AC32" s="337"/>
      <c r="AD32" s="709">
        <f t="shared" si="20"/>
        <v>0</v>
      </c>
      <c r="AE32" s="336">
        <f t="shared" si="13"/>
        <v>0</v>
      </c>
      <c r="AF32" s="565"/>
      <c r="AG32" s="709">
        <f t="shared" si="21"/>
        <v>0</v>
      </c>
      <c r="AH32" s="336">
        <f t="shared" si="14"/>
        <v>0</v>
      </c>
      <c r="AI32" s="565"/>
      <c r="AJ32" s="709">
        <f t="shared" si="22"/>
        <v>0</v>
      </c>
      <c r="AK32" s="445">
        <f t="shared" si="15"/>
        <v>0</v>
      </c>
      <c r="AL32" s="564"/>
      <c r="AM32" s="709">
        <f t="shared" si="23"/>
        <v>0</v>
      </c>
      <c r="AN32" s="576">
        <f t="shared" si="24"/>
        <v>0</v>
      </c>
    </row>
    <row r="33" spans="1:41" ht="23.1" customHeight="1">
      <c r="A33" s="58">
        <f>Gen!A38</f>
        <v>43827</v>
      </c>
      <c r="B33" s="4"/>
      <c r="C33" s="98">
        <f t="shared" si="36"/>
        <v>0</v>
      </c>
      <c r="D33" s="1"/>
      <c r="E33" s="708">
        <f t="shared" si="25"/>
        <v>0</v>
      </c>
      <c r="F33" s="98">
        <f t="shared" si="2"/>
        <v>0</v>
      </c>
      <c r="G33" s="570"/>
      <c r="H33" s="708">
        <f t="shared" si="35"/>
        <v>0</v>
      </c>
      <c r="I33" s="98">
        <f t="shared" si="28"/>
        <v>0</v>
      </c>
      <c r="J33" s="1"/>
      <c r="K33" s="708">
        <f t="shared" si="29"/>
        <v>0</v>
      </c>
      <c r="L33" s="98">
        <f t="shared" si="30"/>
        <v>0</v>
      </c>
      <c r="M33" s="1"/>
      <c r="N33" s="708">
        <f t="shared" si="31"/>
        <v>0</v>
      </c>
      <c r="O33" s="98">
        <f t="shared" si="32"/>
        <v>0</v>
      </c>
      <c r="P33" s="563"/>
      <c r="Q33" s="708">
        <f t="shared" si="33"/>
        <v>0</v>
      </c>
      <c r="R33" s="341"/>
      <c r="S33" s="336">
        <f t="shared" si="34"/>
        <v>0</v>
      </c>
      <c r="T33" s="564"/>
      <c r="U33" s="709">
        <f t="shared" si="17"/>
        <v>0</v>
      </c>
      <c r="V33" s="336">
        <f t="shared" si="27"/>
        <v>0</v>
      </c>
      <c r="W33" s="564"/>
      <c r="X33" s="709">
        <f t="shared" si="18"/>
        <v>0</v>
      </c>
      <c r="Y33" s="336">
        <f t="shared" si="11"/>
        <v>0</v>
      </c>
      <c r="Z33" s="564"/>
      <c r="AA33" s="709">
        <f t="shared" si="19"/>
        <v>0</v>
      </c>
      <c r="AB33" s="336">
        <f t="shared" si="12"/>
        <v>0</v>
      </c>
      <c r="AC33" s="337"/>
      <c r="AD33" s="709">
        <f t="shared" si="20"/>
        <v>0</v>
      </c>
      <c r="AE33" s="336">
        <f t="shared" si="13"/>
        <v>0</v>
      </c>
      <c r="AF33" s="565"/>
      <c r="AG33" s="709">
        <f t="shared" si="21"/>
        <v>0</v>
      </c>
      <c r="AH33" s="336">
        <f t="shared" si="14"/>
        <v>0</v>
      </c>
      <c r="AI33" s="565"/>
      <c r="AJ33" s="709">
        <f t="shared" si="22"/>
        <v>0</v>
      </c>
      <c r="AK33" s="445">
        <f t="shared" si="15"/>
        <v>0</v>
      </c>
      <c r="AL33" s="564"/>
      <c r="AM33" s="709">
        <f t="shared" si="23"/>
        <v>0</v>
      </c>
      <c r="AN33" s="576">
        <f t="shared" si="24"/>
        <v>0</v>
      </c>
    </row>
    <row r="34" spans="1:41" ht="23.1" customHeight="1">
      <c r="A34" s="58">
        <f>Gen!A39</f>
        <v>43828</v>
      </c>
      <c r="B34" s="173"/>
      <c r="C34" s="98">
        <f t="shared" si="36"/>
        <v>0</v>
      </c>
      <c r="D34" s="1"/>
      <c r="E34" s="708">
        <f t="shared" si="25"/>
        <v>0</v>
      </c>
      <c r="F34" s="98">
        <f t="shared" si="2"/>
        <v>0</v>
      </c>
      <c r="G34" s="570"/>
      <c r="H34" s="708">
        <f t="shared" si="35"/>
        <v>0</v>
      </c>
      <c r="I34" s="98">
        <f t="shared" si="28"/>
        <v>0</v>
      </c>
      <c r="J34" s="1"/>
      <c r="K34" s="708">
        <f t="shared" si="29"/>
        <v>0</v>
      </c>
      <c r="L34" s="98">
        <f t="shared" si="30"/>
        <v>0</v>
      </c>
      <c r="M34" s="1"/>
      <c r="N34" s="708">
        <f t="shared" si="31"/>
        <v>0</v>
      </c>
      <c r="O34" s="98">
        <f t="shared" si="32"/>
        <v>0</v>
      </c>
      <c r="P34" s="563"/>
      <c r="Q34" s="708">
        <f t="shared" si="33"/>
        <v>0</v>
      </c>
      <c r="R34" s="341"/>
      <c r="S34" s="336">
        <f t="shared" si="34"/>
        <v>0</v>
      </c>
      <c r="T34" s="564"/>
      <c r="U34" s="709">
        <f t="shared" si="17"/>
        <v>0</v>
      </c>
      <c r="V34" s="336">
        <f t="shared" si="27"/>
        <v>0</v>
      </c>
      <c r="W34" s="564"/>
      <c r="X34" s="709">
        <f t="shared" si="18"/>
        <v>0</v>
      </c>
      <c r="Y34" s="336">
        <f t="shared" si="11"/>
        <v>0</v>
      </c>
      <c r="Z34" s="564"/>
      <c r="AA34" s="709">
        <f t="shared" si="19"/>
        <v>0</v>
      </c>
      <c r="AB34" s="336">
        <f t="shared" si="12"/>
        <v>0</v>
      </c>
      <c r="AC34" s="337"/>
      <c r="AD34" s="709">
        <f t="shared" si="20"/>
        <v>0</v>
      </c>
      <c r="AE34" s="336">
        <f t="shared" si="13"/>
        <v>0</v>
      </c>
      <c r="AF34" s="565"/>
      <c r="AG34" s="709">
        <f t="shared" si="21"/>
        <v>0</v>
      </c>
      <c r="AH34" s="336">
        <f t="shared" si="14"/>
        <v>0</v>
      </c>
      <c r="AI34" s="565"/>
      <c r="AJ34" s="709">
        <f t="shared" si="22"/>
        <v>0</v>
      </c>
      <c r="AK34" s="445">
        <f t="shared" si="15"/>
        <v>0</v>
      </c>
      <c r="AL34" s="564"/>
      <c r="AM34" s="709">
        <f t="shared" si="23"/>
        <v>0</v>
      </c>
      <c r="AN34" s="576">
        <f t="shared" si="24"/>
        <v>0</v>
      </c>
    </row>
    <row r="35" spans="1:41" ht="23.1" customHeight="1">
      <c r="A35" s="58">
        <f>Gen!A40</f>
        <v>43829</v>
      </c>
      <c r="B35" s="173"/>
      <c r="C35" s="98">
        <f t="shared" si="36"/>
        <v>0</v>
      </c>
      <c r="D35" s="1"/>
      <c r="E35" s="708">
        <f t="shared" si="25"/>
        <v>0</v>
      </c>
      <c r="F35" s="98">
        <f t="shared" si="2"/>
        <v>0</v>
      </c>
      <c r="G35" s="570"/>
      <c r="H35" s="708">
        <f t="shared" si="35"/>
        <v>0</v>
      </c>
      <c r="I35" s="98">
        <f t="shared" si="28"/>
        <v>0</v>
      </c>
      <c r="J35" s="1"/>
      <c r="K35" s="708">
        <f t="shared" si="29"/>
        <v>0</v>
      </c>
      <c r="L35" s="98">
        <f t="shared" si="30"/>
        <v>0</v>
      </c>
      <c r="M35" s="1"/>
      <c r="N35" s="708">
        <f t="shared" si="31"/>
        <v>0</v>
      </c>
      <c r="O35" s="98">
        <f t="shared" si="32"/>
        <v>0</v>
      </c>
      <c r="P35" s="563"/>
      <c r="Q35" s="708">
        <f t="shared" si="33"/>
        <v>0</v>
      </c>
      <c r="R35" s="341"/>
      <c r="S35" s="336">
        <f t="shared" si="34"/>
        <v>0</v>
      </c>
      <c r="T35" s="564"/>
      <c r="U35" s="709">
        <f t="shared" si="17"/>
        <v>0</v>
      </c>
      <c r="V35" s="336">
        <f t="shared" si="27"/>
        <v>0</v>
      </c>
      <c r="W35" s="564"/>
      <c r="X35" s="709">
        <f t="shared" si="18"/>
        <v>0</v>
      </c>
      <c r="Y35" s="336">
        <f t="shared" si="11"/>
        <v>0</v>
      </c>
      <c r="Z35" s="564"/>
      <c r="AA35" s="709">
        <f t="shared" si="19"/>
        <v>0</v>
      </c>
      <c r="AB35" s="336">
        <f t="shared" si="12"/>
        <v>0</v>
      </c>
      <c r="AC35" s="337"/>
      <c r="AD35" s="709">
        <f t="shared" si="20"/>
        <v>0</v>
      </c>
      <c r="AE35" s="336">
        <f t="shared" si="13"/>
        <v>0</v>
      </c>
      <c r="AF35" s="565"/>
      <c r="AG35" s="709">
        <f t="shared" si="21"/>
        <v>0</v>
      </c>
      <c r="AH35" s="336">
        <f t="shared" si="14"/>
        <v>0</v>
      </c>
      <c r="AI35" s="565"/>
      <c r="AJ35" s="709">
        <f t="shared" si="22"/>
        <v>0</v>
      </c>
      <c r="AK35" s="445">
        <f t="shared" si="15"/>
        <v>0</v>
      </c>
      <c r="AL35" s="564"/>
      <c r="AM35" s="709">
        <f t="shared" si="23"/>
        <v>0</v>
      </c>
      <c r="AN35" s="576">
        <f t="shared" si="24"/>
        <v>0</v>
      </c>
    </row>
    <row r="36" spans="1:41" ht="23.1" customHeight="1">
      <c r="A36" s="58">
        <f>Gen!A41</f>
        <v>43830</v>
      </c>
      <c r="B36" s="174"/>
      <c r="C36" s="98">
        <f t="shared" si="36"/>
        <v>0</v>
      </c>
      <c r="D36" s="1"/>
      <c r="E36" s="708">
        <f t="shared" si="25"/>
        <v>0</v>
      </c>
      <c r="F36" s="98">
        <f t="shared" si="2"/>
        <v>0</v>
      </c>
      <c r="G36" s="570"/>
      <c r="H36" s="708">
        <f t="shared" si="35"/>
        <v>0</v>
      </c>
      <c r="I36" s="98">
        <f t="shared" si="28"/>
        <v>0</v>
      </c>
      <c r="J36" s="1"/>
      <c r="K36" s="708">
        <f t="shared" si="29"/>
        <v>0</v>
      </c>
      <c r="L36" s="98">
        <f t="shared" si="30"/>
        <v>0</v>
      </c>
      <c r="M36" s="1"/>
      <c r="N36" s="708">
        <f t="shared" si="31"/>
        <v>0</v>
      </c>
      <c r="O36" s="98">
        <f t="shared" si="32"/>
        <v>0</v>
      </c>
      <c r="P36" s="563"/>
      <c r="Q36" s="708">
        <f t="shared" si="33"/>
        <v>0</v>
      </c>
      <c r="R36" s="341"/>
      <c r="S36" s="336">
        <f t="shared" si="34"/>
        <v>0</v>
      </c>
      <c r="T36" s="564"/>
      <c r="U36" s="709">
        <f t="shared" si="17"/>
        <v>0</v>
      </c>
      <c r="V36" s="336">
        <f t="shared" si="27"/>
        <v>0</v>
      </c>
      <c r="W36" s="564"/>
      <c r="X36" s="709">
        <f t="shared" si="18"/>
        <v>0</v>
      </c>
      <c r="Y36" s="336">
        <f t="shared" si="11"/>
        <v>0</v>
      </c>
      <c r="Z36" s="564"/>
      <c r="AA36" s="709">
        <f t="shared" si="19"/>
        <v>0</v>
      </c>
      <c r="AB36" s="336">
        <f t="shared" si="12"/>
        <v>0</v>
      </c>
      <c r="AC36" s="337"/>
      <c r="AD36" s="709">
        <f t="shared" si="20"/>
        <v>0</v>
      </c>
      <c r="AE36" s="336">
        <f t="shared" si="13"/>
        <v>0</v>
      </c>
      <c r="AF36" s="565"/>
      <c r="AG36" s="709">
        <f t="shared" si="21"/>
        <v>0</v>
      </c>
      <c r="AH36" s="336">
        <f t="shared" si="14"/>
        <v>0</v>
      </c>
      <c r="AI36" s="565"/>
      <c r="AJ36" s="709">
        <f t="shared" si="22"/>
        <v>0</v>
      </c>
      <c r="AK36" s="445">
        <f t="shared" si="15"/>
        <v>0</v>
      </c>
      <c r="AL36" s="564"/>
      <c r="AM36" s="709">
        <f t="shared" si="23"/>
        <v>0</v>
      </c>
      <c r="AN36" s="576">
        <f t="shared" si="24"/>
        <v>0</v>
      </c>
    </row>
    <row r="37" spans="1:41" ht="24" customHeight="1">
      <c r="A37" s="58">
        <f>Gen!A42</f>
        <v>43831</v>
      </c>
      <c r="B37" s="3"/>
      <c r="C37" s="98">
        <f t="shared" si="36"/>
        <v>0</v>
      </c>
      <c r="D37" s="1"/>
      <c r="E37" s="708">
        <f t="shared" si="25"/>
        <v>0</v>
      </c>
      <c r="F37" s="98">
        <f t="shared" si="2"/>
        <v>0</v>
      </c>
      <c r="G37" s="570"/>
      <c r="H37" s="708">
        <f t="shared" si="35"/>
        <v>0</v>
      </c>
      <c r="I37" s="98">
        <f t="shared" si="28"/>
        <v>0</v>
      </c>
      <c r="J37" s="1"/>
      <c r="K37" s="708">
        <f t="shared" si="29"/>
        <v>0</v>
      </c>
      <c r="L37" s="98">
        <f t="shared" si="30"/>
        <v>0</v>
      </c>
      <c r="M37" s="1"/>
      <c r="N37" s="708">
        <f t="shared" si="31"/>
        <v>0</v>
      </c>
      <c r="O37" s="98">
        <f t="shared" si="32"/>
        <v>0</v>
      </c>
      <c r="P37" s="563"/>
      <c r="Q37" s="708">
        <f t="shared" si="33"/>
        <v>0</v>
      </c>
      <c r="R37" s="341"/>
      <c r="S37" s="336">
        <f t="shared" si="34"/>
        <v>0</v>
      </c>
      <c r="T37" s="564"/>
      <c r="U37" s="709">
        <f t="shared" si="17"/>
        <v>0</v>
      </c>
      <c r="V37" s="336">
        <f t="shared" si="27"/>
        <v>0</v>
      </c>
      <c r="W37" s="564"/>
      <c r="X37" s="709">
        <f t="shared" si="18"/>
        <v>0</v>
      </c>
      <c r="Y37" s="336">
        <f t="shared" si="11"/>
        <v>0</v>
      </c>
      <c r="Z37" s="564"/>
      <c r="AA37" s="709">
        <f t="shared" si="19"/>
        <v>0</v>
      </c>
      <c r="AB37" s="336">
        <f t="shared" si="12"/>
        <v>0</v>
      </c>
      <c r="AC37" s="337"/>
      <c r="AD37" s="709">
        <f t="shared" si="20"/>
        <v>0</v>
      </c>
      <c r="AE37" s="336">
        <f t="shared" si="13"/>
        <v>0</v>
      </c>
      <c r="AF37" s="565"/>
      <c r="AG37" s="709">
        <f t="shared" si="21"/>
        <v>0</v>
      </c>
      <c r="AH37" s="336">
        <f t="shared" si="14"/>
        <v>0</v>
      </c>
      <c r="AI37" s="565"/>
      <c r="AJ37" s="709">
        <f t="shared" si="22"/>
        <v>0</v>
      </c>
      <c r="AK37" s="445">
        <f t="shared" si="15"/>
        <v>0</v>
      </c>
      <c r="AL37" s="564"/>
      <c r="AM37" s="709">
        <f t="shared" si="23"/>
        <v>0</v>
      </c>
      <c r="AN37" s="576">
        <f t="shared" ref="AN37" si="37">U38+X38+AA38+AD38+AG38+AJ38+AM38</f>
        <v>499</v>
      </c>
    </row>
    <row r="38" spans="1:41" ht="17.25">
      <c r="A38" s="58"/>
      <c r="B38" s="22"/>
      <c r="C38" s="854" t="s">
        <v>6</v>
      </c>
      <c r="D38" s="854"/>
      <c r="E38" s="23">
        <f>SUM(E6:E36)</f>
        <v>1802</v>
      </c>
      <c r="F38" s="24" t="s">
        <v>21</v>
      </c>
      <c r="G38" s="25"/>
      <c r="H38" s="26">
        <f>SUM(H6:H37)</f>
        <v>194</v>
      </c>
      <c r="I38" s="27"/>
      <c r="J38" s="24"/>
      <c r="K38" s="28">
        <f>SUM(K6:K37)</f>
        <v>43</v>
      </c>
      <c r="L38" s="172"/>
      <c r="M38" s="172"/>
      <c r="N38" s="29">
        <f t="shared" ref="N38" si="38">M38-M37</f>
        <v>0</v>
      </c>
      <c r="O38" s="27"/>
      <c r="P38" s="338"/>
      <c r="Q38" s="339">
        <f t="shared" ref="Q38" si="39">P38-O38</f>
        <v>0</v>
      </c>
      <c r="R38" s="340">
        <f>E38</f>
        <v>1802</v>
      </c>
      <c r="S38" s="338"/>
      <c r="T38" s="338"/>
      <c r="U38" s="348">
        <f>SUM(U6:U37)</f>
        <v>499</v>
      </c>
      <c r="V38" s="338"/>
      <c r="W38" s="338"/>
      <c r="X38" s="338"/>
      <c r="Y38" s="338"/>
      <c r="Z38" s="338"/>
      <c r="AA38" s="338"/>
      <c r="AB38" s="338"/>
      <c r="AC38" s="338"/>
      <c r="AD38" s="338"/>
      <c r="AE38" s="338"/>
      <c r="AF38" s="338"/>
      <c r="AG38" s="338"/>
      <c r="AH38" s="338"/>
      <c r="AI38" s="338"/>
      <c r="AJ38" s="338"/>
      <c r="AK38" s="338"/>
      <c r="AL38" s="338"/>
      <c r="AM38" s="338"/>
      <c r="AN38" s="344">
        <f t="shared" ref="AN38" si="40">U38+X38+AA38+AD38+AG38+AJ38+AM38</f>
        <v>499</v>
      </c>
    </row>
    <row r="40" spans="1:41">
      <c r="R40" s="20"/>
      <c r="AF40" t="s">
        <v>259</v>
      </c>
    </row>
    <row r="41" spans="1:41" ht="13.5" thickBot="1">
      <c r="R41" s="20"/>
    </row>
    <row r="42" spans="1:41" ht="18.75" thickBot="1">
      <c r="A42" s="823"/>
      <c r="B42" s="383"/>
      <c r="C42" s="820" t="s">
        <v>224</v>
      </c>
      <c r="D42" s="821"/>
      <c r="E42" s="821"/>
      <c r="F42" s="821"/>
      <c r="G42" s="821"/>
      <c r="H42" s="821"/>
      <c r="I42" s="821"/>
      <c r="J42" s="821"/>
      <c r="K42" s="822"/>
      <c r="R42" s="20"/>
    </row>
    <row r="43" spans="1:41" ht="24.75" customHeight="1">
      <c r="A43" s="824"/>
      <c r="B43" s="20"/>
      <c r="C43" s="826" t="s">
        <v>218</v>
      </c>
      <c r="D43" s="827"/>
      <c r="E43" s="828" t="s">
        <v>239</v>
      </c>
      <c r="F43" s="829"/>
      <c r="G43" s="830" t="s">
        <v>219</v>
      </c>
      <c r="H43" s="831"/>
      <c r="I43" s="830" t="s">
        <v>240</v>
      </c>
      <c r="J43" s="831"/>
      <c r="K43" s="818" t="s">
        <v>225</v>
      </c>
      <c r="R43" s="20"/>
      <c r="T43" s="719"/>
      <c r="U43" s="719"/>
      <c r="V43" s="719"/>
      <c r="W43" s="719"/>
      <c r="X43" s="719"/>
      <c r="Y43" s="719"/>
      <c r="Z43" s="719"/>
      <c r="AA43" s="719"/>
      <c r="AB43" s="719"/>
      <c r="AC43" s="719"/>
      <c r="AD43" s="719"/>
      <c r="AE43" s="719"/>
      <c r="AF43" s="719"/>
      <c r="AG43" s="719"/>
      <c r="AH43" s="719"/>
      <c r="AI43" s="719"/>
      <c r="AJ43" s="719"/>
      <c r="AK43" s="719"/>
      <c r="AL43" s="719"/>
      <c r="AM43" s="719"/>
      <c r="AN43" s="719"/>
      <c r="AO43" s="719"/>
    </row>
    <row r="44" spans="1:41" ht="21" customHeight="1" thickBot="1">
      <c r="A44" s="824"/>
      <c r="B44" s="20"/>
      <c r="C44" s="832" t="s">
        <v>220</v>
      </c>
      <c r="D44" s="833"/>
      <c r="E44" s="832" t="s">
        <v>221</v>
      </c>
      <c r="F44" s="833"/>
      <c r="G44" s="832" t="s">
        <v>222</v>
      </c>
      <c r="H44" s="833"/>
      <c r="I44" s="832" t="s">
        <v>223</v>
      </c>
      <c r="J44" s="833"/>
      <c r="K44" s="819"/>
      <c r="R44" s="20"/>
      <c r="T44" s="719"/>
      <c r="U44" s="719"/>
      <c r="V44" s="719"/>
      <c r="W44" s="719"/>
      <c r="X44" s="719"/>
      <c r="Y44" s="719"/>
      <c r="Z44" s="719"/>
      <c r="AA44" s="719"/>
      <c r="AB44" s="719"/>
      <c r="AC44" s="719"/>
      <c r="AD44" s="719"/>
      <c r="AE44" s="719"/>
      <c r="AF44" s="719"/>
      <c r="AG44" s="719"/>
      <c r="AH44" s="719"/>
      <c r="AI44" s="719"/>
      <c r="AJ44" s="719"/>
      <c r="AK44" s="719"/>
      <c r="AL44" s="719"/>
      <c r="AM44" s="719"/>
      <c r="AN44" s="719"/>
      <c r="AO44" s="719"/>
    </row>
    <row r="45" spans="1:41" ht="21" customHeight="1" thickBot="1">
      <c r="A45" s="825"/>
      <c r="B45" s="20"/>
      <c r="C45" s="458" t="s">
        <v>227</v>
      </c>
      <c r="D45" s="459" t="s">
        <v>226</v>
      </c>
      <c r="E45" s="460" t="s">
        <v>227</v>
      </c>
      <c r="F45" s="461" t="s">
        <v>226</v>
      </c>
      <c r="G45" s="710"/>
      <c r="H45" s="461" t="s">
        <v>226</v>
      </c>
      <c r="I45" s="460" t="s">
        <v>227</v>
      </c>
      <c r="J45" s="461" t="s">
        <v>226</v>
      </c>
      <c r="K45" s="462" t="s">
        <v>226</v>
      </c>
      <c r="R45" s="20"/>
      <c r="T45" s="719"/>
      <c r="U45" s="719"/>
      <c r="V45" s="719"/>
      <c r="W45" s="719"/>
      <c r="X45" s="719"/>
      <c r="Y45" s="719"/>
      <c r="Z45" s="719"/>
      <c r="AA45" s="719"/>
      <c r="AB45" s="719"/>
      <c r="AC45" s="719"/>
      <c r="AD45" s="719"/>
      <c r="AE45" s="719"/>
      <c r="AF45" s="719"/>
      <c r="AG45" s="719"/>
      <c r="AH45" s="719"/>
      <c r="AI45" s="719"/>
      <c r="AJ45" s="719"/>
      <c r="AK45" s="719"/>
      <c r="AL45" s="719"/>
      <c r="AM45" s="719"/>
      <c r="AN45" s="719"/>
      <c r="AO45" s="719"/>
    </row>
    <row r="46" spans="1:41" ht="20.25" customHeight="1">
      <c r="A46" s="401">
        <f>Gen!A11</f>
        <v>43800</v>
      </c>
      <c r="B46" s="20"/>
      <c r="C46" s="63">
        <v>220</v>
      </c>
      <c r="D46" s="457">
        <f t="shared" ref="D46:D77" si="41">C46*217/300</f>
        <v>159.13333333333333</v>
      </c>
      <c r="E46" s="6">
        <v>190</v>
      </c>
      <c r="F46" s="457">
        <f t="shared" ref="F46:F77" si="42">E46*92/305</f>
        <v>57.311475409836063</v>
      </c>
      <c r="G46" s="711">
        <v>300</v>
      </c>
      <c r="H46" s="457">
        <f>G46*146/383</f>
        <v>114.36031331592689</v>
      </c>
      <c r="I46" s="6">
        <v>290</v>
      </c>
      <c r="J46" s="457">
        <f>I46*213/308</f>
        <v>200.55194805194805</v>
      </c>
      <c r="K46" s="463">
        <f>D46+F46+H46+J46</f>
        <v>531.35707011104432</v>
      </c>
      <c r="T46" s="719"/>
      <c r="U46" s="719"/>
      <c r="V46" s="719"/>
      <c r="W46" s="719"/>
      <c r="X46" s="719"/>
      <c r="Y46" s="719"/>
      <c r="Z46" s="719"/>
      <c r="AA46" s="719"/>
      <c r="AB46" s="719"/>
      <c r="AC46" s="719"/>
      <c r="AD46" s="719"/>
      <c r="AE46" s="719"/>
      <c r="AF46" s="719"/>
      <c r="AG46" s="719"/>
      <c r="AH46" s="719"/>
      <c r="AI46" s="719"/>
      <c r="AJ46" s="719"/>
      <c r="AK46" s="719"/>
      <c r="AL46" s="719"/>
      <c r="AM46" s="719"/>
      <c r="AN46" s="719"/>
      <c r="AO46" s="719"/>
    </row>
    <row r="47" spans="1:41" ht="13.5">
      <c r="A47" s="401">
        <f>Gen!A12</f>
        <v>43801</v>
      </c>
      <c r="B47" s="20"/>
      <c r="C47" s="63">
        <v>220</v>
      </c>
      <c r="D47" s="457">
        <f t="shared" si="41"/>
        <v>159.13333333333333</v>
      </c>
      <c r="E47" s="6">
        <v>190</v>
      </c>
      <c r="F47" s="457">
        <f t="shared" si="42"/>
        <v>57.311475409836063</v>
      </c>
      <c r="G47" s="711">
        <v>300</v>
      </c>
      <c r="H47" s="457">
        <f t="shared" ref="H47:H77" si="43">G47*146/383</f>
        <v>114.36031331592689</v>
      </c>
      <c r="I47" s="6">
        <v>285</v>
      </c>
      <c r="J47" s="457">
        <f t="shared" ref="J47:J77" si="44">I47*213/308</f>
        <v>197.09415584415584</v>
      </c>
      <c r="K47" s="463">
        <f t="shared" ref="K47:K77" si="45">D47+F47+H47+J47</f>
        <v>527.89927790325214</v>
      </c>
      <c r="T47" s="719"/>
      <c r="U47" s="719"/>
      <c r="V47" s="719"/>
      <c r="W47" s="719"/>
      <c r="X47" s="719"/>
      <c r="Y47" s="719"/>
      <c r="Z47" s="719"/>
      <c r="AA47" s="719"/>
      <c r="AB47" s="719"/>
      <c r="AC47" s="719"/>
      <c r="AD47" s="719"/>
      <c r="AE47" s="719"/>
      <c r="AF47" s="719"/>
      <c r="AG47" s="719"/>
      <c r="AH47" s="719"/>
      <c r="AI47" s="719"/>
      <c r="AJ47" s="719"/>
      <c r="AK47" s="719"/>
      <c r="AL47" s="719"/>
      <c r="AM47" s="719"/>
      <c r="AN47" s="719"/>
      <c r="AO47" s="719"/>
    </row>
    <row r="48" spans="1:41" ht="13.5">
      <c r="A48" s="401">
        <f>Gen!A13</f>
        <v>43802</v>
      </c>
      <c r="B48" s="20"/>
      <c r="C48" s="63">
        <v>295</v>
      </c>
      <c r="D48" s="457">
        <f t="shared" si="41"/>
        <v>213.38333333333333</v>
      </c>
      <c r="E48" s="6">
        <v>280</v>
      </c>
      <c r="F48" s="457">
        <f t="shared" si="42"/>
        <v>84.459016393442624</v>
      </c>
      <c r="G48" s="711">
        <v>250</v>
      </c>
      <c r="H48" s="457">
        <f t="shared" si="43"/>
        <v>95.300261096605738</v>
      </c>
      <c r="I48" s="6">
        <v>290</v>
      </c>
      <c r="J48" s="457">
        <f t="shared" si="44"/>
        <v>200.55194805194805</v>
      </c>
      <c r="K48" s="463">
        <f t="shared" si="45"/>
        <v>593.69455887532968</v>
      </c>
      <c r="T48" s="719"/>
      <c r="U48" s="719"/>
      <c r="V48" s="719"/>
      <c r="W48" s="719"/>
      <c r="X48" s="719"/>
      <c r="Y48" s="719"/>
      <c r="Z48" s="719"/>
      <c r="AA48" s="719"/>
      <c r="AB48" s="719"/>
      <c r="AC48" s="719"/>
      <c r="AD48" s="719"/>
      <c r="AE48" s="719"/>
      <c r="AF48" s="719"/>
      <c r="AG48" s="719"/>
      <c r="AH48" s="719"/>
      <c r="AI48" s="719"/>
      <c r="AJ48" s="719"/>
      <c r="AK48" s="719"/>
      <c r="AL48" s="719"/>
      <c r="AM48" s="719"/>
      <c r="AN48" s="719"/>
      <c r="AO48" s="719"/>
    </row>
    <row r="49" spans="1:15" ht="13.5">
      <c r="A49" s="401">
        <f>Gen!A14</f>
        <v>43803</v>
      </c>
      <c r="B49" s="20"/>
      <c r="C49" s="63">
        <v>230</v>
      </c>
      <c r="D49" s="457">
        <f t="shared" si="41"/>
        <v>166.36666666666667</v>
      </c>
      <c r="E49" s="6">
        <v>265</v>
      </c>
      <c r="F49" s="457">
        <f t="shared" si="42"/>
        <v>79.93442622950819</v>
      </c>
      <c r="G49" s="711">
        <v>300</v>
      </c>
      <c r="H49" s="457">
        <f t="shared" si="43"/>
        <v>114.36031331592689</v>
      </c>
      <c r="I49" s="6">
        <v>292</v>
      </c>
      <c r="J49" s="457">
        <f t="shared" si="44"/>
        <v>201.93506493506493</v>
      </c>
      <c r="K49" s="463">
        <f t="shared" si="45"/>
        <v>562.59647114716665</v>
      </c>
    </row>
    <row r="50" spans="1:15" ht="13.5">
      <c r="A50" s="401">
        <f>Gen!A15</f>
        <v>43804</v>
      </c>
      <c r="B50" s="20"/>
      <c r="C50" s="63">
        <v>243</v>
      </c>
      <c r="D50" s="457">
        <f t="shared" si="41"/>
        <v>175.77</v>
      </c>
      <c r="E50" s="6">
        <v>207</v>
      </c>
      <c r="F50" s="457">
        <f t="shared" si="42"/>
        <v>62.43934426229508</v>
      </c>
      <c r="G50" s="711">
        <v>300</v>
      </c>
      <c r="H50" s="457">
        <f t="shared" si="43"/>
        <v>114.36031331592689</v>
      </c>
      <c r="I50" s="6">
        <v>290</v>
      </c>
      <c r="J50" s="457">
        <f t="shared" si="44"/>
        <v>200.55194805194805</v>
      </c>
      <c r="K50" s="463">
        <f t="shared" si="45"/>
        <v>553.12160563017005</v>
      </c>
    </row>
    <row r="51" spans="1:15" ht="13.5">
      <c r="A51" s="401">
        <f>Gen!A16</f>
        <v>43805</v>
      </c>
      <c r="B51" s="20"/>
      <c r="C51" s="63">
        <v>238</v>
      </c>
      <c r="D51" s="457">
        <f t="shared" si="41"/>
        <v>172.15333333333334</v>
      </c>
      <c r="E51" s="6">
        <v>202</v>
      </c>
      <c r="F51" s="457">
        <f t="shared" si="42"/>
        <v>60.931147540983609</v>
      </c>
      <c r="G51" s="711">
        <v>300</v>
      </c>
      <c r="H51" s="457">
        <f t="shared" si="43"/>
        <v>114.36031331592689</v>
      </c>
      <c r="I51" s="6">
        <v>291</v>
      </c>
      <c r="J51" s="457">
        <f t="shared" si="44"/>
        <v>201.24350649350649</v>
      </c>
      <c r="K51" s="463">
        <f t="shared" si="45"/>
        <v>548.6883006837503</v>
      </c>
    </row>
    <row r="52" spans="1:15" ht="13.5">
      <c r="A52" s="401">
        <f>Gen!A17</f>
        <v>43806</v>
      </c>
      <c r="B52" s="20"/>
      <c r="C52" s="63">
        <v>245</v>
      </c>
      <c r="D52" s="457">
        <f t="shared" si="41"/>
        <v>177.21666666666667</v>
      </c>
      <c r="E52" s="6">
        <v>210</v>
      </c>
      <c r="F52" s="457">
        <f t="shared" si="42"/>
        <v>63.344262295081968</v>
      </c>
      <c r="G52" s="711">
        <v>280</v>
      </c>
      <c r="H52" s="457">
        <f t="shared" si="43"/>
        <v>106.73629242819844</v>
      </c>
      <c r="I52" s="6">
        <v>285</v>
      </c>
      <c r="J52" s="457">
        <f t="shared" si="44"/>
        <v>197.09415584415584</v>
      </c>
      <c r="K52" s="463">
        <f t="shared" si="45"/>
        <v>544.39137723410295</v>
      </c>
    </row>
    <row r="53" spans="1:15" ht="13.5">
      <c r="A53" s="401">
        <f>Gen!A18</f>
        <v>43807</v>
      </c>
      <c r="B53" s="20"/>
      <c r="C53" s="63">
        <v>235</v>
      </c>
      <c r="D53" s="457">
        <f t="shared" si="41"/>
        <v>169.98333333333332</v>
      </c>
      <c r="E53" s="6">
        <v>210</v>
      </c>
      <c r="F53" s="457">
        <f t="shared" si="42"/>
        <v>63.344262295081968</v>
      </c>
      <c r="G53" s="711">
        <v>245</v>
      </c>
      <c r="H53" s="457">
        <f t="shared" si="43"/>
        <v>93.394255874673632</v>
      </c>
      <c r="I53" s="6">
        <v>290</v>
      </c>
      <c r="J53" s="457">
        <f t="shared" si="44"/>
        <v>200.55194805194805</v>
      </c>
      <c r="K53" s="463">
        <f t="shared" si="45"/>
        <v>527.27379955503693</v>
      </c>
    </row>
    <row r="54" spans="1:15" ht="13.5">
      <c r="A54" s="401">
        <f>Gen!A19</f>
        <v>43808</v>
      </c>
      <c r="B54" s="20"/>
      <c r="C54" s="63">
        <v>255</v>
      </c>
      <c r="D54" s="457">
        <f t="shared" si="41"/>
        <v>184.45</v>
      </c>
      <c r="E54" s="6">
        <v>225</v>
      </c>
      <c r="F54" s="457">
        <f t="shared" si="42"/>
        <v>67.868852459016395</v>
      </c>
      <c r="G54" s="711">
        <v>180</v>
      </c>
      <c r="H54" s="457">
        <f t="shared" si="43"/>
        <v>68.616187989556138</v>
      </c>
      <c r="I54" s="6">
        <v>290</v>
      </c>
      <c r="J54" s="457">
        <f t="shared" si="44"/>
        <v>200.55194805194805</v>
      </c>
      <c r="K54" s="463">
        <f t="shared" si="45"/>
        <v>521.48698850052051</v>
      </c>
    </row>
    <row r="55" spans="1:15" ht="13.5">
      <c r="A55" s="401">
        <f>Gen!A20</f>
        <v>43809</v>
      </c>
      <c r="B55" s="20"/>
      <c r="C55" s="63">
        <v>275</v>
      </c>
      <c r="D55" s="457">
        <f t="shared" si="41"/>
        <v>198.91666666666666</v>
      </c>
      <c r="E55" s="6">
        <v>255</v>
      </c>
      <c r="F55" s="457">
        <f t="shared" si="42"/>
        <v>76.918032786885249</v>
      </c>
      <c r="G55" s="711">
        <v>235</v>
      </c>
      <c r="H55" s="457">
        <f t="shared" si="43"/>
        <v>89.582245430809394</v>
      </c>
      <c r="I55" s="6">
        <v>289</v>
      </c>
      <c r="J55" s="457">
        <f t="shared" si="44"/>
        <v>199.8603896103896</v>
      </c>
      <c r="K55" s="463">
        <f t="shared" si="45"/>
        <v>565.2773344947509</v>
      </c>
    </row>
    <row r="56" spans="1:15" ht="13.5">
      <c r="A56" s="401">
        <f>Gen!A21</f>
        <v>43810</v>
      </c>
      <c r="B56" s="20"/>
      <c r="C56" s="63">
        <v>285</v>
      </c>
      <c r="D56" s="457">
        <f t="shared" si="41"/>
        <v>206.15</v>
      </c>
      <c r="E56" s="6">
        <v>260</v>
      </c>
      <c r="F56" s="457">
        <f t="shared" si="42"/>
        <v>78.426229508196727</v>
      </c>
      <c r="G56" s="711">
        <v>285</v>
      </c>
      <c r="H56" s="457">
        <f t="shared" si="43"/>
        <v>108.64229765013054</v>
      </c>
      <c r="I56" s="6">
        <v>290</v>
      </c>
      <c r="J56" s="457">
        <f t="shared" si="44"/>
        <v>200.55194805194805</v>
      </c>
      <c r="K56" s="463">
        <f t="shared" si="45"/>
        <v>593.77047521027532</v>
      </c>
    </row>
    <row r="57" spans="1:15" ht="13.5">
      <c r="A57" s="401">
        <f>Gen!A22</f>
        <v>43811</v>
      </c>
      <c r="B57" s="20"/>
      <c r="C57" s="63">
        <v>295</v>
      </c>
      <c r="D57" s="457">
        <f t="shared" si="41"/>
        <v>213.38333333333333</v>
      </c>
      <c r="E57" s="6">
        <v>260</v>
      </c>
      <c r="F57" s="457">
        <f t="shared" si="42"/>
        <v>78.426229508196727</v>
      </c>
      <c r="G57" s="711">
        <v>300</v>
      </c>
      <c r="H57" s="457">
        <f t="shared" si="43"/>
        <v>114.36031331592689</v>
      </c>
      <c r="I57" s="6">
        <v>290</v>
      </c>
      <c r="J57" s="457">
        <f t="shared" si="44"/>
        <v>200.55194805194805</v>
      </c>
      <c r="K57" s="463">
        <f t="shared" si="45"/>
        <v>606.72182420940499</v>
      </c>
    </row>
    <row r="58" spans="1:15" ht="13.5">
      <c r="A58" s="401">
        <f>Gen!A23</f>
        <v>43812</v>
      </c>
      <c r="B58" s="20"/>
      <c r="C58" s="63">
        <v>300</v>
      </c>
      <c r="D58" s="457">
        <f t="shared" si="41"/>
        <v>217</v>
      </c>
      <c r="E58" s="6">
        <v>265</v>
      </c>
      <c r="F58" s="457">
        <f t="shared" si="42"/>
        <v>79.93442622950819</v>
      </c>
      <c r="G58" s="711">
        <v>300</v>
      </c>
      <c r="H58" s="457">
        <f t="shared" si="43"/>
        <v>114.36031331592689</v>
      </c>
      <c r="I58" s="6">
        <v>290</v>
      </c>
      <c r="J58" s="457">
        <f t="shared" si="44"/>
        <v>200.55194805194805</v>
      </c>
      <c r="K58" s="463">
        <f t="shared" si="45"/>
        <v>611.84668759738315</v>
      </c>
    </row>
    <row r="59" spans="1:15" ht="13.5">
      <c r="A59" s="401">
        <f>Gen!A24</f>
        <v>43813</v>
      </c>
      <c r="B59" s="20"/>
      <c r="C59" s="63">
        <v>305</v>
      </c>
      <c r="D59" s="457">
        <f t="shared" si="41"/>
        <v>220.61666666666667</v>
      </c>
      <c r="E59" s="6">
        <v>270</v>
      </c>
      <c r="F59" s="457">
        <f t="shared" si="42"/>
        <v>81.442622950819668</v>
      </c>
      <c r="G59" s="711">
        <v>300</v>
      </c>
      <c r="H59" s="457">
        <f t="shared" si="43"/>
        <v>114.36031331592689</v>
      </c>
      <c r="I59" s="6">
        <v>292</v>
      </c>
      <c r="J59" s="457">
        <f t="shared" si="44"/>
        <v>201.93506493506493</v>
      </c>
      <c r="K59" s="463">
        <f t="shared" si="45"/>
        <v>618.35466786847815</v>
      </c>
    </row>
    <row r="60" spans="1:15" ht="13.5">
      <c r="A60" s="401">
        <f>Gen!A25</f>
        <v>43814</v>
      </c>
      <c r="B60" s="20"/>
      <c r="C60" s="63">
        <v>301</v>
      </c>
      <c r="D60" s="457">
        <f t="shared" si="41"/>
        <v>217.72333333333333</v>
      </c>
      <c r="E60" s="6">
        <v>265</v>
      </c>
      <c r="F60" s="457">
        <f t="shared" si="42"/>
        <v>79.93442622950819</v>
      </c>
      <c r="G60" s="711">
        <v>300</v>
      </c>
      <c r="H60" s="457">
        <f t="shared" si="43"/>
        <v>114.36031331592689</v>
      </c>
      <c r="I60" s="6">
        <v>290</v>
      </c>
      <c r="J60" s="457">
        <f t="shared" si="44"/>
        <v>200.55194805194805</v>
      </c>
      <c r="K60" s="463">
        <f t="shared" si="45"/>
        <v>612.57002093071651</v>
      </c>
      <c r="L60" t="s">
        <v>255</v>
      </c>
      <c r="O60" t="s">
        <v>256</v>
      </c>
    </row>
    <row r="61" spans="1:15" ht="13.5">
      <c r="A61" s="401">
        <f>Gen!A26</f>
        <v>43815</v>
      </c>
      <c r="B61" s="20"/>
      <c r="C61" s="63">
        <v>295</v>
      </c>
      <c r="D61" s="457">
        <f t="shared" si="41"/>
        <v>213.38333333333333</v>
      </c>
      <c r="E61" s="6">
        <v>280</v>
      </c>
      <c r="F61" s="457">
        <f t="shared" si="42"/>
        <v>84.459016393442624</v>
      </c>
      <c r="G61" s="711">
        <v>300</v>
      </c>
      <c r="H61" s="457">
        <f t="shared" si="43"/>
        <v>114.36031331592689</v>
      </c>
      <c r="I61" s="6">
        <v>292</v>
      </c>
      <c r="J61" s="457">
        <f t="shared" si="44"/>
        <v>201.93506493506493</v>
      </c>
      <c r="K61" s="463">
        <f t="shared" si="45"/>
        <v>614.13772797776778</v>
      </c>
      <c r="L61" t="s">
        <v>258</v>
      </c>
      <c r="N61" t="s">
        <v>257</v>
      </c>
    </row>
    <row r="62" spans="1:15" ht="13.5">
      <c r="A62" s="401">
        <f>Gen!A27</f>
        <v>43816</v>
      </c>
      <c r="B62" s="20"/>
      <c r="C62" s="63">
        <v>235</v>
      </c>
      <c r="D62" s="457">
        <f t="shared" si="41"/>
        <v>169.98333333333332</v>
      </c>
      <c r="E62" s="6">
        <v>205</v>
      </c>
      <c r="F62" s="457">
        <f t="shared" si="42"/>
        <v>61.83606557377049</v>
      </c>
      <c r="G62" s="711">
        <v>285</v>
      </c>
      <c r="H62" s="457">
        <f t="shared" si="43"/>
        <v>108.64229765013054</v>
      </c>
      <c r="I62" s="6">
        <v>290</v>
      </c>
      <c r="J62" s="457">
        <f t="shared" si="44"/>
        <v>200.55194805194805</v>
      </c>
      <c r="K62" s="463">
        <f t="shared" si="45"/>
        <v>541.01364460918239</v>
      </c>
    </row>
    <row r="63" spans="1:15" ht="13.5">
      <c r="A63" s="401">
        <f>Gen!A28</f>
        <v>43817</v>
      </c>
      <c r="B63" s="20"/>
      <c r="C63" s="63"/>
      <c r="D63" s="457">
        <f t="shared" si="41"/>
        <v>0</v>
      </c>
      <c r="E63" s="6"/>
      <c r="F63" s="457">
        <f t="shared" si="42"/>
        <v>0</v>
      </c>
      <c r="G63" s="711"/>
      <c r="H63" s="457">
        <f t="shared" si="43"/>
        <v>0</v>
      </c>
      <c r="I63" s="6"/>
      <c r="J63" s="457">
        <f t="shared" si="44"/>
        <v>0</v>
      </c>
      <c r="K63" s="463">
        <f t="shared" si="45"/>
        <v>0</v>
      </c>
    </row>
    <row r="64" spans="1:15" ht="13.5">
      <c r="A64" s="401">
        <f>Gen!A29</f>
        <v>43818</v>
      </c>
      <c r="B64" s="20"/>
      <c r="C64" s="63"/>
      <c r="D64" s="457">
        <f t="shared" si="41"/>
        <v>0</v>
      </c>
      <c r="E64" s="6"/>
      <c r="F64" s="457">
        <f t="shared" si="42"/>
        <v>0</v>
      </c>
      <c r="G64" s="711"/>
      <c r="H64" s="457">
        <f t="shared" si="43"/>
        <v>0</v>
      </c>
      <c r="I64" s="6"/>
      <c r="J64" s="457">
        <f t="shared" si="44"/>
        <v>0</v>
      </c>
      <c r="K64" s="463">
        <f t="shared" si="45"/>
        <v>0</v>
      </c>
    </row>
    <row r="65" spans="1:11" ht="13.5">
      <c r="A65" s="401">
        <f>Gen!A30</f>
        <v>43819</v>
      </c>
      <c r="B65" s="20"/>
      <c r="C65" s="63"/>
      <c r="D65" s="457">
        <f t="shared" si="41"/>
        <v>0</v>
      </c>
      <c r="E65" s="6"/>
      <c r="F65" s="457">
        <f t="shared" si="42"/>
        <v>0</v>
      </c>
      <c r="G65" s="711"/>
      <c r="H65" s="457">
        <f t="shared" si="43"/>
        <v>0</v>
      </c>
      <c r="I65" s="6"/>
      <c r="J65" s="457">
        <f t="shared" si="44"/>
        <v>0</v>
      </c>
      <c r="K65" s="463">
        <f t="shared" si="45"/>
        <v>0</v>
      </c>
    </row>
    <row r="66" spans="1:11" ht="13.5">
      <c r="A66" s="401">
        <f>Gen!A31</f>
        <v>43820</v>
      </c>
      <c r="B66" s="20"/>
      <c r="C66" s="63"/>
      <c r="D66" s="457">
        <f t="shared" si="41"/>
        <v>0</v>
      </c>
      <c r="E66" s="6"/>
      <c r="F66" s="457">
        <f t="shared" si="42"/>
        <v>0</v>
      </c>
      <c r="G66" s="711"/>
      <c r="H66" s="457">
        <f t="shared" si="43"/>
        <v>0</v>
      </c>
      <c r="I66" s="6"/>
      <c r="J66" s="457">
        <f t="shared" si="44"/>
        <v>0</v>
      </c>
      <c r="K66" s="463">
        <f t="shared" si="45"/>
        <v>0</v>
      </c>
    </row>
    <row r="67" spans="1:11" ht="13.5">
      <c r="A67" s="401">
        <f>Gen!A32</f>
        <v>43821</v>
      </c>
      <c r="B67" s="20"/>
      <c r="C67" s="63"/>
      <c r="D67" s="457">
        <f t="shared" si="41"/>
        <v>0</v>
      </c>
      <c r="E67" s="6"/>
      <c r="F67" s="457">
        <f t="shared" si="42"/>
        <v>0</v>
      </c>
      <c r="G67" s="711"/>
      <c r="H67" s="457">
        <f t="shared" si="43"/>
        <v>0</v>
      </c>
      <c r="I67" s="6"/>
      <c r="J67" s="457">
        <f t="shared" si="44"/>
        <v>0</v>
      </c>
      <c r="K67" s="463">
        <f t="shared" si="45"/>
        <v>0</v>
      </c>
    </row>
    <row r="68" spans="1:11" ht="13.5">
      <c r="A68" s="401">
        <f>Gen!A33</f>
        <v>43822</v>
      </c>
      <c r="B68" s="20"/>
      <c r="C68" s="63"/>
      <c r="D68" s="457">
        <f t="shared" si="41"/>
        <v>0</v>
      </c>
      <c r="E68" s="6"/>
      <c r="F68" s="457">
        <f t="shared" si="42"/>
        <v>0</v>
      </c>
      <c r="G68" s="711"/>
      <c r="H68" s="457">
        <f t="shared" si="43"/>
        <v>0</v>
      </c>
      <c r="I68" s="6"/>
      <c r="J68" s="457">
        <f t="shared" si="44"/>
        <v>0</v>
      </c>
      <c r="K68" s="463">
        <f t="shared" si="45"/>
        <v>0</v>
      </c>
    </row>
    <row r="69" spans="1:11" ht="13.5">
      <c r="A69" s="401">
        <f>Gen!A34</f>
        <v>43823</v>
      </c>
      <c r="B69" s="20"/>
      <c r="C69" s="63"/>
      <c r="D69" s="457">
        <f t="shared" si="41"/>
        <v>0</v>
      </c>
      <c r="E69" s="6"/>
      <c r="F69" s="457">
        <f t="shared" si="42"/>
        <v>0</v>
      </c>
      <c r="G69" s="711"/>
      <c r="H69" s="457">
        <f t="shared" si="43"/>
        <v>0</v>
      </c>
      <c r="I69" s="6"/>
      <c r="J69" s="457">
        <f t="shared" si="44"/>
        <v>0</v>
      </c>
      <c r="K69" s="463">
        <f t="shared" si="45"/>
        <v>0</v>
      </c>
    </row>
    <row r="70" spans="1:11" ht="13.5">
      <c r="A70" s="401">
        <f>Gen!A35</f>
        <v>43824</v>
      </c>
      <c r="B70" s="20"/>
      <c r="C70" s="63"/>
      <c r="D70" s="457">
        <f t="shared" si="41"/>
        <v>0</v>
      </c>
      <c r="E70" s="6"/>
      <c r="F70" s="457">
        <f t="shared" si="42"/>
        <v>0</v>
      </c>
      <c r="G70" s="711"/>
      <c r="H70" s="457">
        <f t="shared" si="43"/>
        <v>0</v>
      </c>
      <c r="I70" s="6"/>
      <c r="J70" s="457">
        <f t="shared" si="44"/>
        <v>0</v>
      </c>
      <c r="K70" s="463">
        <f t="shared" si="45"/>
        <v>0</v>
      </c>
    </row>
    <row r="71" spans="1:11" ht="13.5">
      <c r="A71" s="401">
        <f>Gen!A36</f>
        <v>43825</v>
      </c>
      <c r="B71" s="20"/>
      <c r="C71" s="63"/>
      <c r="D71" s="457">
        <f t="shared" si="41"/>
        <v>0</v>
      </c>
      <c r="E71" s="6"/>
      <c r="F71" s="457">
        <f t="shared" si="42"/>
        <v>0</v>
      </c>
      <c r="G71" s="711"/>
      <c r="H71" s="457">
        <f t="shared" si="43"/>
        <v>0</v>
      </c>
      <c r="I71" s="6"/>
      <c r="J71" s="457">
        <f t="shared" si="44"/>
        <v>0</v>
      </c>
      <c r="K71" s="463">
        <f t="shared" si="45"/>
        <v>0</v>
      </c>
    </row>
    <row r="72" spans="1:11" ht="13.5">
      <c r="A72" s="401">
        <f>Gen!A37</f>
        <v>43826</v>
      </c>
      <c r="B72" s="20"/>
      <c r="C72" s="63"/>
      <c r="D72" s="457">
        <f t="shared" si="41"/>
        <v>0</v>
      </c>
      <c r="E72" s="6"/>
      <c r="F72" s="457">
        <f t="shared" si="42"/>
        <v>0</v>
      </c>
      <c r="G72" s="711"/>
      <c r="H72" s="457">
        <f t="shared" si="43"/>
        <v>0</v>
      </c>
      <c r="I72" s="6"/>
      <c r="J72" s="457">
        <f t="shared" si="44"/>
        <v>0</v>
      </c>
      <c r="K72" s="463">
        <f t="shared" si="45"/>
        <v>0</v>
      </c>
    </row>
    <row r="73" spans="1:11" ht="13.5">
      <c r="A73" s="401">
        <f>Gen!A38</f>
        <v>43827</v>
      </c>
      <c r="B73" s="20"/>
      <c r="C73" s="63"/>
      <c r="D73" s="457">
        <f t="shared" si="41"/>
        <v>0</v>
      </c>
      <c r="E73" s="6"/>
      <c r="F73" s="457">
        <f t="shared" si="42"/>
        <v>0</v>
      </c>
      <c r="G73" s="711"/>
      <c r="H73" s="457">
        <f t="shared" si="43"/>
        <v>0</v>
      </c>
      <c r="I73" s="6"/>
      <c r="J73" s="457">
        <f t="shared" si="44"/>
        <v>0</v>
      </c>
      <c r="K73" s="463">
        <f t="shared" si="45"/>
        <v>0</v>
      </c>
    </row>
    <row r="74" spans="1:11" ht="13.5">
      <c r="A74" s="401">
        <f>Gen!A39</f>
        <v>43828</v>
      </c>
      <c r="B74" s="20"/>
      <c r="C74" s="63"/>
      <c r="D74" s="457">
        <f t="shared" si="41"/>
        <v>0</v>
      </c>
      <c r="E74" s="6"/>
      <c r="F74" s="457">
        <f t="shared" si="42"/>
        <v>0</v>
      </c>
      <c r="G74" s="711"/>
      <c r="H74" s="457">
        <f t="shared" si="43"/>
        <v>0</v>
      </c>
      <c r="I74" s="6"/>
      <c r="J74" s="457">
        <f t="shared" si="44"/>
        <v>0</v>
      </c>
      <c r="K74" s="463">
        <f t="shared" si="45"/>
        <v>0</v>
      </c>
    </row>
    <row r="75" spans="1:11" ht="14.25" thickBot="1">
      <c r="A75" s="401">
        <f>Gen!A40</f>
        <v>43829</v>
      </c>
      <c r="B75" s="342"/>
      <c r="C75" s="63"/>
      <c r="D75" s="457">
        <f t="shared" si="41"/>
        <v>0</v>
      </c>
      <c r="E75" s="6"/>
      <c r="F75" s="457">
        <f t="shared" si="42"/>
        <v>0</v>
      </c>
      <c r="G75" s="711"/>
      <c r="H75" s="457">
        <f t="shared" si="43"/>
        <v>0</v>
      </c>
      <c r="I75" s="6"/>
      <c r="J75" s="457">
        <f t="shared" si="44"/>
        <v>0</v>
      </c>
      <c r="K75" s="463">
        <f t="shared" si="45"/>
        <v>0</v>
      </c>
    </row>
    <row r="76" spans="1:11" ht="13.5">
      <c r="A76" s="401">
        <f>Gen!A41</f>
        <v>43830</v>
      </c>
      <c r="C76" s="63"/>
      <c r="D76" s="457">
        <f t="shared" si="41"/>
        <v>0</v>
      </c>
      <c r="E76" s="6"/>
      <c r="F76" s="457">
        <f t="shared" si="42"/>
        <v>0</v>
      </c>
      <c r="G76" s="711"/>
      <c r="H76" s="457">
        <f t="shared" si="43"/>
        <v>0</v>
      </c>
      <c r="I76" s="6"/>
      <c r="J76" s="457">
        <f t="shared" si="44"/>
        <v>0</v>
      </c>
      <c r="K76" s="463">
        <f t="shared" si="45"/>
        <v>0</v>
      </c>
    </row>
    <row r="77" spans="1:11" ht="14.25" thickBot="1">
      <c r="A77" s="401">
        <f>Gen!A42</f>
        <v>43831</v>
      </c>
      <c r="C77" s="63"/>
      <c r="D77" s="457">
        <f t="shared" si="41"/>
        <v>0</v>
      </c>
      <c r="E77" s="6"/>
      <c r="F77" s="457">
        <f t="shared" si="42"/>
        <v>0</v>
      </c>
      <c r="G77" s="711"/>
      <c r="H77" s="457">
        <f t="shared" si="43"/>
        <v>0</v>
      </c>
      <c r="I77" s="6"/>
      <c r="J77" s="457">
        <f t="shared" si="44"/>
        <v>0</v>
      </c>
      <c r="K77" s="464">
        <f t="shared" si="45"/>
        <v>0</v>
      </c>
    </row>
  </sheetData>
  <mergeCells count="43">
    <mergeCell ref="C38:D38"/>
    <mergeCell ref="C2:E2"/>
    <mergeCell ref="F2:H2"/>
    <mergeCell ref="I2:K2"/>
    <mergeCell ref="L2:N2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A3:A4"/>
    <mergeCell ref="N3:N4"/>
    <mergeCell ref="A1:AN1"/>
    <mergeCell ref="AK2:AM3"/>
    <mergeCell ref="AN2:AN3"/>
    <mergeCell ref="O2:Q2"/>
    <mergeCell ref="S2:U3"/>
    <mergeCell ref="V2:X3"/>
    <mergeCell ref="Y2:AA3"/>
    <mergeCell ref="AB2:AD3"/>
    <mergeCell ref="AE2:AG3"/>
    <mergeCell ref="O3:O4"/>
    <mergeCell ref="P3:P4"/>
    <mergeCell ref="Q3:Q4"/>
    <mergeCell ref="R3:R4"/>
    <mergeCell ref="AH2:AJ3"/>
    <mergeCell ref="K43:K44"/>
    <mergeCell ref="C42:K42"/>
    <mergeCell ref="A42:A45"/>
    <mergeCell ref="C43:D43"/>
    <mergeCell ref="E43:F43"/>
    <mergeCell ref="G43:H43"/>
    <mergeCell ref="I43:J43"/>
    <mergeCell ref="C44:D44"/>
    <mergeCell ref="E44:F44"/>
    <mergeCell ref="G44:H44"/>
    <mergeCell ref="I44:J44"/>
  </mergeCells>
  <phoneticPr fontId="4" type="noConversion"/>
  <pageMargins left="0.75" right="0.75" top="1" bottom="1" header="0.5" footer="0.5"/>
  <pageSetup scale="20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32"/>
  <sheetViews>
    <sheetView workbookViewId="0">
      <selection sqref="A1:XFD1048576"/>
    </sheetView>
  </sheetViews>
  <sheetFormatPr defaultRowHeight="12.75"/>
  <cols>
    <col min="1" max="1" width="9.7109375" bestFit="1" customWidth="1"/>
    <col min="2" max="2" width="10.28515625" style="12" bestFit="1" customWidth="1"/>
  </cols>
  <sheetData>
    <row r="1" spans="1:3" s="16" customFormat="1">
      <c r="A1" s="14" t="s">
        <v>0</v>
      </c>
      <c r="B1" s="14" t="s">
        <v>23</v>
      </c>
      <c r="C1" s="14" t="s">
        <v>24</v>
      </c>
    </row>
    <row r="2" spans="1:3">
      <c r="A2" s="96">
        <f>SUM([1]Gen!A11)</f>
        <v>43739</v>
      </c>
      <c r="B2" s="13" t="e">
        <f>SUM('[1]Water-Meter'!R10)</f>
        <v>#REF!</v>
      </c>
      <c r="C2" s="94">
        <f>SUM([1]Gen!B11)</f>
        <v>0.623</v>
      </c>
    </row>
    <row r="3" spans="1:3">
      <c r="A3" s="96">
        <f>SUM([1]Gen!A12)</f>
        <v>43740</v>
      </c>
      <c r="B3" s="13" t="e">
        <f>SUM('[1]Water-Meter'!R11)</f>
        <v>#REF!</v>
      </c>
      <c r="C3" s="94">
        <f>SUM([1]Gen!B12)</f>
        <v>0.77900000000000003</v>
      </c>
    </row>
    <row r="4" spans="1:3">
      <c r="A4" s="96">
        <f>SUM([1]Gen!A13)</f>
        <v>43741</v>
      </c>
      <c r="B4" s="13" t="e">
        <f>SUM('[1]Water-Meter'!R12)</f>
        <v>#REF!</v>
      </c>
      <c r="C4" s="94">
        <f>SUM([1]Gen!B13)</f>
        <v>0.53200000000000003</v>
      </c>
    </row>
    <row r="5" spans="1:3">
      <c r="A5" s="96">
        <f>SUM([1]Gen!A14)</f>
        <v>43742</v>
      </c>
      <c r="B5" s="13" t="e">
        <f>SUM('[1]Water-Meter'!R13)</f>
        <v>#REF!</v>
      </c>
      <c r="C5" s="94">
        <f>SUM([1]Gen!B14)</f>
        <v>0.61</v>
      </c>
    </row>
    <row r="6" spans="1:3">
      <c r="A6" s="96">
        <f>SUM([1]Gen!A15)</f>
        <v>43743</v>
      </c>
      <c r="B6" s="13" t="e">
        <f>SUM('[1]Water-Meter'!R14)</f>
        <v>#REF!</v>
      </c>
      <c r="C6" s="94">
        <f>SUM([1]Gen!B15)</f>
        <v>0.68799999999999994</v>
      </c>
    </row>
    <row r="7" spans="1:3">
      <c r="A7" s="96">
        <f>SUM([1]Gen!A16)</f>
        <v>43744</v>
      </c>
      <c r="B7" s="13" t="e">
        <f>SUM('[1]Water-Meter'!R15)</f>
        <v>#REF!</v>
      </c>
      <c r="C7" s="94">
        <f>SUM([1]Gen!B16)</f>
        <v>0.53200000000000003</v>
      </c>
    </row>
    <row r="8" spans="1:3">
      <c r="A8" s="96">
        <f>SUM([1]Gen!A17)</f>
        <v>43745</v>
      </c>
      <c r="B8" s="13" t="e">
        <f>SUM('[1]Water-Meter'!R16)</f>
        <v>#REF!</v>
      </c>
      <c r="C8" s="94">
        <f>SUM([1]Gen!B17)</f>
        <v>0.753</v>
      </c>
    </row>
    <row r="9" spans="1:3">
      <c r="A9" s="96">
        <f>SUM([1]Gen!A18)</f>
        <v>43746</v>
      </c>
      <c r="B9" s="13" t="e">
        <f>SUM('[1]Water-Meter'!R17)</f>
        <v>#REF!</v>
      </c>
      <c r="C9" s="94">
        <f>SUM([1]Gen!B18)</f>
        <v>0.156</v>
      </c>
    </row>
    <row r="10" spans="1:3">
      <c r="A10" s="96">
        <f>SUM([1]Gen!A19)</f>
        <v>43747</v>
      </c>
      <c r="B10" s="13" t="e">
        <f>SUM('[1]Water-Meter'!R18)</f>
        <v>#REF!</v>
      </c>
      <c r="C10" s="94">
        <f>SUM([1]Gen!B19)</f>
        <v>0.442</v>
      </c>
    </row>
    <row r="11" spans="1:3">
      <c r="A11" s="96">
        <f>SUM([1]Gen!A20)</f>
        <v>43748</v>
      </c>
      <c r="B11" s="13" t="e">
        <f>SUM('[1]Water-Meter'!R19)</f>
        <v>#REF!</v>
      </c>
      <c r="C11" s="94">
        <f>SUM([1]Gen!B20)</f>
        <v>0.32500000000000001</v>
      </c>
    </row>
    <row r="12" spans="1:3">
      <c r="A12" s="96">
        <f>SUM([1]Gen!A21)</f>
        <v>43749</v>
      </c>
      <c r="B12" s="13" t="e">
        <f>SUM('[1]Water-Meter'!R20)</f>
        <v>#REF!</v>
      </c>
      <c r="C12" s="94">
        <f>SUM([1]Gen!B21)</f>
        <v>0.45500000000000002</v>
      </c>
    </row>
    <row r="13" spans="1:3">
      <c r="A13" s="96">
        <f>SUM([1]Gen!A22)</f>
        <v>43750</v>
      </c>
      <c r="B13" s="13" t="e">
        <f>SUM('[1]Water-Meter'!R21)</f>
        <v>#REF!</v>
      </c>
      <c r="C13" s="94">
        <f>SUM([1]Gen!B22)</f>
        <v>0.41599999999999998</v>
      </c>
    </row>
    <row r="14" spans="1:3">
      <c r="A14" s="96">
        <f>SUM([1]Gen!A23)</f>
        <v>43751</v>
      </c>
      <c r="B14" s="13" t="e">
        <f>SUM('[1]Water-Meter'!R22)</f>
        <v>#REF!</v>
      </c>
      <c r="C14" s="94">
        <f>SUM([1]Gen!B23)</f>
        <v>0.39</v>
      </c>
    </row>
    <row r="15" spans="1:3">
      <c r="A15" s="96">
        <f>SUM([1]Gen!A24)</f>
        <v>43752</v>
      </c>
      <c r="B15" s="13" t="e">
        <f>SUM('[1]Water-Meter'!R23)</f>
        <v>#REF!</v>
      </c>
      <c r="C15" s="94">
        <f>SUM([1]Gen!B24)</f>
        <v>0.63600000000000001</v>
      </c>
    </row>
    <row r="16" spans="1:3">
      <c r="A16" s="96">
        <f>SUM([1]Gen!A25)</f>
        <v>43753</v>
      </c>
      <c r="B16" s="13" t="e">
        <f>SUM('[1]Water-Meter'!R24)</f>
        <v>#REF!</v>
      </c>
      <c r="C16" s="94">
        <f>SUM([1]Gen!B25)</f>
        <v>0.84399999999999997</v>
      </c>
    </row>
    <row r="17" spans="1:3">
      <c r="A17" s="96">
        <f>SUM([1]Gen!A26)</f>
        <v>43754</v>
      </c>
      <c r="B17" s="13" t="e">
        <f>SUM('[1]Water-Meter'!R25)</f>
        <v>#REF!</v>
      </c>
      <c r="C17" s="94">
        <f>SUM([1]Gen!B26)</f>
        <v>0.81799999999999995</v>
      </c>
    </row>
    <row r="18" spans="1:3">
      <c r="A18" s="96">
        <f>SUM([1]Gen!A27)</f>
        <v>43755</v>
      </c>
      <c r="B18" s="13" t="e">
        <f>SUM('[1]Water-Meter'!R26)</f>
        <v>#REF!</v>
      </c>
      <c r="C18" s="94">
        <f>SUM([1]Gen!B27)</f>
        <v>0.20799999999999999</v>
      </c>
    </row>
    <row r="19" spans="1:3">
      <c r="A19" s="96">
        <f>SUM([1]Gen!A28)</f>
        <v>43756</v>
      </c>
      <c r="B19" s="13" t="e">
        <f>SUM('[1]Water-Meter'!R27)</f>
        <v>#REF!</v>
      </c>
      <c r="C19" s="94">
        <f>SUM([1]Gen!B28)</f>
        <v>0.221</v>
      </c>
    </row>
    <row r="20" spans="1:3">
      <c r="A20" s="96">
        <f>SUM([1]Gen!A29)</f>
        <v>43757</v>
      </c>
      <c r="B20" s="13" t="e">
        <f>SUM('[1]Water-Meter'!R28)</f>
        <v>#REF!</v>
      </c>
      <c r="C20" s="94">
        <f>SUM([1]Gen!B29)</f>
        <v>0.11700000000000001</v>
      </c>
    </row>
    <row r="21" spans="1:3">
      <c r="A21" s="96">
        <f>SUM([1]Gen!A30)</f>
        <v>43758</v>
      </c>
      <c r="B21" s="13" t="e">
        <f>SUM('[1]Water-Meter'!R29)</f>
        <v>#REF!</v>
      </c>
      <c r="C21" s="94">
        <f>SUM([1]Gen!B30)</f>
        <v>0.57099999999999995</v>
      </c>
    </row>
    <row r="22" spans="1:3">
      <c r="A22" s="96">
        <f>SUM([1]Gen!A31)</f>
        <v>43759</v>
      </c>
      <c r="B22" s="13" t="e">
        <f>SUM('[1]Water-Meter'!R30)</f>
        <v>#REF!</v>
      </c>
      <c r="C22" s="94">
        <f>SUM([1]Gen!B31)</f>
        <v>0.55800000000000005</v>
      </c>
    </row>
    <row r="23" spans="1:3">
      <c r="A23" s="96">
        <f>SUM([1]Gen!A32)</f>
        <v>43760</v>
      </c>
      <c r="B23" s="13" t="e">
        <f>SUM('[1]Water-Meter'!R31)</f>
        <v>#REF!</v>
      </c>
      <c r="C23" s="94">
        <f>SUM([1]Gen!B32)</f>
        <v>0.40300000000000002</v>
      </c>
    </row>
    <row r="24" spans="1:3">
      <c r="A24" s="96">
        <f>SUM([1]Gen!A33)</f>
        <v>43761</v>
      </c>
      <c r="B24" s="13" t="e">
        <f>SUM('[1]Water-Meter'!R32)</f>
        <v>#REF!</v>
      </c>
      <c r="C24" s="94">
        <f>SUM([1]Gen!B33)</f>
        <v>0.24</v>
      </c>
    </row>
    <row r="25" spans="1:3">
      <c r="A25" s="96">
        <f>SUM([1]Gen!A34)</f>
        <v>43762</v>
      </c>
      <c r="B25" s="13" t="e">
        <f>SUM('[1]Water-Meter'!R33)</f>
        <v>#REF!</v>
      </c>
      <c r="C25" s="94">
        <f>SUM([1]Gen!B34)</f>
        <v>0.09</v>
      </c>
    </row>
    <row r="26" spans="1:3">
      <c r="A26" s="96">
        <f>SUM([1]Gen!A35)</f>
        <v>43763</v>
      </c>
      <c r="B26" s="13" t="e">
        <f>SUM('[1]Water-Meter'!R34)</f>
        <v>#REF!</v>
      </c>
      <c r="C26" s="94">
        <f>SUM([1]Gen!B35)</f>
        <v>0.28599999999999998</v>
      </c>
    </row>
    <row r="27" spans="1:3">
      <c r="A27" s="96">
        <f>SUM([1]Gen!A36)</f>
        <v>43764</v>
      </c>
      <c r="B27" s="13" t="e">
        <f>SUM('[1]Water-Meter'!R35)</f>
        <v>#REF!</v>
      </c>
      <c r="C27" s="94">
        <f>SUM([1]Gen!B36)</f>
        <v>0.54500000000000004</v>
      </c>
    </row>
    <row r="28" spans="1:3">
      <c r="A28" s="96">
        <f>SUM([1]Gen!A37)</f>
        <v>43765</v>
      </c>
      <c r="B28" s="13" t="e">
        <f>SUM('[1]Water-Meter'!R36)</f>
        <v>#REF!</v>
      </c>
      <c r="C28" s="94">
        <f>SUM([1]Gen!B37)</f>
        <v>0.67500000000000004</v>
      </c>
    </row>
    <row r="29" spans="1:3">
      <c r="A29" s="96">
        <f>SUM([1]Gen!A38)</f>
        <v>43766</v>
      </c>
      <c r="B29" s="13" t="e">
        <f>SUM('[1]Water-Meter'!R37)</f>
        <v>#REF!</v>
      </c>
      <c r="C29" s="94">
        <f>SUM([1]Gen!B38)</f>
        <v>0.27300000000000002</v>
      </c>
    </row>
    <row r="30" spans="1:3">
      <c r="A30" s="96">
        <f>SUM([1]Gen!A39)</f>
        <v>43767</v>
      </c>
      <c r="B30" s="13">
        <f>SUM('[1]Water-Meter'!R38)</f>
        <v>-212333</v>
      </c>
      <c r="C30" s="94" t="e">
        <f>SUM([1]Gen!B39)</f>
        <v>#REF!</v>
      </c>
    </row>
    <row r="31" spans="1:3">
      <c r="A31" s="96">
        <f>SUM([1]Gen!A40)</f>
        <v>43768</v>
      </c>
      <c r="B31" s="13" t="e">
        <f>SUM('[1]Water-Meter'!R39)</f>
        <v>#REF!</v>
      </c>
      <c r="C31" s="94" t="e">
        <f>SUM([1]Gen!B40)</f>
        <v>#REF!</v>
      </c>
    </row>
    <row r="32" spans="1:3">
      <c r="A32" s="96">
        <f>SUM([1]Gen!A41)</f>
        <v>43769</v>
      </c>
      <c r="B32" s="13" t="e">
        <f>SUM('[1]Water-Meter'!R40)</f>
        <v>#REF!</v>
      </c>
      <c r="C32" s="94" t="e">
        <f>SUM([1]Gen!B41)</f>
        <v>#REF!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40"/>
  <sheetViews>
    <sheetView workbookViewId="0">
      <selection sqref="A1:XFD1048576"/>
    </sheetView>
  </sheetViews>
  <sheetFormatPr defaultRowHeight="12.75"/>
  <cols>
    <col min="3" max="5" width="7.42578125" customWidth="1"/>
    <col min="6" max="6" width="11.5703125" customWidth="1"/>
    <col min="7" max="7" width="9.7109375" customWidth="1"/>
    <col min="8" max="9" width="0.140625" customWidth="1"/>
    <col min="10" max="10" width="14" hidden="1" customWidth="1"/>
    <col min="11" max="11" width="10.140625" customWidth="1"/>
    <col min="12" max="12" width="10.42578125" customWidth="1"/>
    <col min="13" max="13" width="0.140625" customWidth="1"/>
    <col min="14" max="14" width="4.85546875" hidden="1" customWidth="1"/>
    <col min="15" max="15" width="4.42578125" hidden="1" customWidth="1"/>
    <col min="16" max="16" width="11.7109375" hidden="1" customWidth="1"/>
    <col min="18" max="18" width="11.28515625" bestFit="1" customWidth="1"/>
    <col min="19" max="19" width="11.28515625" customWidth="1"/>
    <col min="20" max="20" width="11.28515625" bestFit="1" customWidth="1"/>
    <col min="21" max="21" width="12.28515625" bestFit="1" customWidth="1"/>
    <col min="23" max="23" width="12.28515625" customWidth="1"/>
    <col min="24" max="24" width="16.7109375" hidden="1" customWidth="1"/>
    <col min="25" max="25" width="8.7109375" hidden="1" customWidth="1"/>
    <col min="26" max="26" width="9.140625" hidden="1" customWidth="1"/>
  </cols>
  <sheetData>
    <row r="1" spans="1:27" ht="13.5" thickBot="1"/>
    <row r="2" spans="1:27">
      <c r="A2" s="130" t="s">
        <v>182</v>
      </c>
      <c r="B2" s="613"/>
      <c r="C2" s="648"/>
      <c r="D2" s="648"/>
      <c r="E2" s="648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92">
        <v>2209.85</v>
      </c>
      <c r="R2" s="649" t="s">
        <v>69</v>
      </c>
      <c r="S2" s="649" t="s">
        <v>70</v>
      </c>
      <c r="T2" s="92">
        <v>1584</v>
      </c>
      <c r="U2" s="62"/>
      <c r="V2" s="66"/>
      <c r="W2" s="61"/>
    </row>
    <row r="3" spans="1:27" ht="38.25" customHeight="1">
      <c r="A3" s="63"/>
      <c r="B3" s="17"/>
      <c r="C3" s="6"/>
      <c r="D3" s="6"/>
      <c r="E3" s="6"/>
      <c r="F3" s="6"/>
      <c r="G3" s="6"/>
      <c r="H3" s="6"/>
      <c r="I3" s="6"/>
      <c r="J3" s="6"/>
      <c r="K3" s="6"/>
      <c r="L3" s="6"/>
      <c r="M3" s="123" t="s">
        <v>49</v>
      </c>
      <c r="N3" s="123"/>
      <c r="O3" s="123"/>
      <c r="P3" s="123" t="s">
        <v>44</v>
      </c>
      <c r="Q3" s="124" t="s">
        <v>56</v>
      </c>
      <c r="R3" s="124"/>
      <c r="S3" s="124"/>
      <c r="T3" s="650"/>
      <c r="U3" s="651"/>
      <c r="V3" s="68" t="s">
        <v>57</v>
      </c>
      <c r="W3" s="123" t="s">
        <v>79</v>
      </c>
      <c r="AA3" s="154" t="s">
        <v>80</v>
      </c>
    </row>
    <row r="4" spans="1:27" s="51" customFormat="1" ht="50.25" customHeight="1">
      <c r="A4" s="64" t="s">
        <v>0</v>
      </c>
      <c r="B4" s="82" t="s">
        <v>67</v>
      </c>
      <c r="C4" s="53" t="s">
        <v>51</v>
      </c>
      <c r="D4" s="53" t="s">
        <v>65</v>
      </c>
      <c r="E4" s="53" t="s">
        <v>66</v>
      </c>
      <c r="F4" s="74" t="s">
        <v>42</v>
      </c>
      <c r="G4" s="53" t="s">
        <v>45</v>
      </c>
      <c r="H4" s="53" t="s">
        <v>46</v>
      </c>
      <c r="I4" s="53" t="s">
        <v>47</v>
      </c>
      <c r="J4" s="53" t="s">
        <v>48</v>
      </c>
      <c r="K4" s="74" t="s">
        <v>52</v>
      </c>
      <c r="L4" s="74" t="s">
        <v>77</v>
      </c>
      <c r="M4" s="53">
        <v>3</v>
      </c>
      <c r="N4" s="53">
        <v>2</v>
      </c>
      <c r="O4" s="53">
        <v>1</v>
      </c>
      <c r="P4" s="57"/>
      <c r="Q4" s="60" t="s">
        <v>54</v>
      </c>
      <c r="R4" s="60" t="s">
        <v>64</v>
      </c>
      <c r="S4" s="60" t="s">
        <v>63</v>
      </c>
      <c r="T4" s="60" t="s">
        <v>20</v>
      </c>
      <c r="U4" s="65" t="s">
        <v>55</v>
      </c>
      <c r="V4" s="67"/>
      <c r="W4" s="56"/>
    </row>
    <row r="5" spans="1:27">
      <c r="A5" s="54">
        <f>SUM([1]Gen!A11)</f>
        <v>43739</v>
      </c>
      <c r="B5" s="84">
        <v>0</v>
      </c>
      <c r="C5" s="89">
        <f>SUM([1]Gen!B11)</f>
        <v>0.623</v>
      </c>
      <c r="D5" s="647">
        <f>SUM(77*C5)</f>
        <v>47.970999999999997</v>
      </c>
      <c r="E5" s="76"/>
      <c r="F5" s="72">
        <f>[1]Gen!T11</f>
        <v>5669</v>
      </c>
      <c r="G5" s="87">
        <f>[1]Gen!S11</f>
        <v>2179.4799999999996</v>
      </c>
      <c r="H5" s="87" t="e">
        <f>[1]Gen!#REF!</f>
        <v>#REF!</v>
      </c>
      <c r="I5" s="87" t="e">
        <f t="shared" ref="I5:I35" si="0">SUM(G5:H5)</f>
        <v>#REF!</v>
      </c>
      <c r="J5" s="87">
        <f>[1]Gen!AT11</f>
        <v>47806.650000000031</v>
      </c>
      <c r="K5" s="71">
        <f>'[1]Water-Meter'!E10</f>
        <v>114</v>
      </c>
      <c r="L5" s="69" t="e">
        <f>#REF!</f>
        <v>#REF!</v>
      </c>
      <c r="M5" s="90" t="e">
        <f>#REF!</f>
        <v>#REF!</v>
      </c>
      <c r="N5" s="90" t="e">
        <f>#REF!</f>
        <v>#REF!</v>
      </c>
      <c r="O5" s="90" t="e">
        <f>#REF!</f>
        <v>#REF!</v>
      </c>
      <c r="P5" s="91">
        <f t="shared" ref="P5:P35" si="1">J5/52000</f>
        <v>0.91935865384615445</v>
      </c>
      <c r="Q5" s="6" t="e">
        <f>I5*Q2</f>
        <v>#REF!</v>
      </c>
      <c r="R5" s="78" t="e">
        <f>SUM(Q5/D5)/X5</f>
        <v>#REF!</v>
      </c>
      <c r="S5" s="652" t="e">
        <f>SUM(Q5/E5)/X5</f>
        <v>#REF!</v>
      </c>
      <c r="T5" s="78">
        <f>(K5*102)/X5</f>
        <v>7.3409090909090908</v>
      </c>
      <c r="U5" s="126" t="e">
        <f>SUM(L5*1963)/X5</f>
        <v>#REF!</v>
      </c>
      <c r="V5" s="18" t="e">
        <f>SUM(Q5+T5+U5)</f>
        <v>#REF!</v>
      </c>
      <c r="W5" s="128" t="e">
        <f>SUM(V5/E5)/T2</f>
        <v>#REF!</v>
      </c>
      <c r="X5">
        <f>SUM(T2)</f>
        <v>1584</v>
      </c>
      <c r="Y5" s="653">
        <v>106</v>
      </c>
      <c r="Z5" s="81" t="e">
        <f>SUM(Y5-S5)</f>
        <v>#REF!</v>
      </c>
      <c r="AA5">
        <v>106</v>
      </c>
    </row>
    <row r="6" spans="1:27">
      <c r="A6" s="54">
        <f>SUM([1]Gen!A12)</f>
        <v>43740</v>
      </c>
      <c r="B6" s="84">
        <v>0</v>
      </c>
      <c r="C6" s="89">
        <f>SUM([1]Gen!B12)</f>
        <v>0.77900000000000003</v>
      </c>
      <c r="D6" s="647">
        <f t="shared" ref="D6:D35" si="2">SUM(77*C6)</f>
        <v>59.983000000000004</v>
      </c>
      <c r="E6" s="76"/>
      <c r="F6" s="72">
        <f>[1]Gen!T12</f>
        <v>6159</v>
      </c>
      <c r="G6" s="87">
        <f>[1]Gen!S12</f>
        <v>2472.85</v>
      </c>
      <c r="H6" s="87" t="e">
        <f>[1]Gen!#REF!</f>
        <v>#REF!</v>
      </c>
      <c r="I6" s="87" t="e">
        <f t="shared" si="0"/>
        <v>#REF!</v>
      </c>
      <c r="J6" s="87">
        <f>[1]Gen!AT12</f>
        <v>45423.890000000029</v>
      </c>
      <c r="K6" s="71">
        <f>'[1]Water-Meter'!E11</f>
        <v>126</v>
      </c>
      <c r="L6" s="69" t="e">
        <f>#REF!</f>
        <v>#REF!</v>
      </c>
      <c r="M6" s="90" t="e">
        <f>#REF!</f>
        <v>#REF!</v>
      </c>
      <c r="N6" s="90" t="e">
        <f>#REF!</f>
        <v>#REF!</v>
      </c>
      <c r="O6" s="90" t="e">
        <f>#REF!</f>
        <v>#REF!</v>
      </c>
      <c r="P6" s="91">
        <f t="shared" si="1"/>
        <v>0.87353634615384668</v>
      </c>
      <c r="Q6" s="6" t="e">
        <f>I6*Q2</f>
        <v>#REF!</v>
      </c>
      <c r="R6" s="78" t="e">
        <f t="shared" ref="R6:R35" si="3">SUM(Q6/D6)/X6</f>
        <v>#REF!</v>
      </c>
      <c r="S6" s="652" t="e">
        <f t="shared" ref="S6:S35" si="4">SUM(Q6/E6)/X6</f>
        <v>#REF!</v>
      </c>
      <c r="T6" s="78">
        <f t="shared" ref="T6:T35" si="5">(K6*102)/X6</f>
        <v>8.1136363636363633</v>
      </c>
      <c r="U6" s="126" t="e">
        <f t="shared" ref="U6:U35" si="6">SUM(L6*1963)/X6</f>
        <v>#REF!</v>
      </c>
      <c r="V6" s="18" t="e">
        <f t="shared" ref="V6:V36" si="7">SUM(Q6+T6+U6)</f>
        <v>#REF!</v>
      </c>
      <c r="W6" s="128" t="e">
        <f>SUM(V6/E6)/T2</f>
        <v>#REF!</v>
      </c>
      <c r="X6">
        <f>SUM(X5)</f>
        <v>1584</v>
      </c>
      <c r="Y6" s="653">
        <v>106</v>
      </c>
      <c r="Z6" s="81" t="e">
        <f t="shared" ref="Z6:Z35" si="8">SUM(Y6-S6)</f>
        <v>#REF!</v>
      </c>
    </row>
    <row r="7" spans="1:27">
      <c r="A7" s="54">
        <f>SUM([1]Gen!A13)</f>
        <v>43741</v>
      </c>
      <c r="B7" s="84">
        <v>0</v>
      </c>
      <c r="C7" s="89">
        <f>SUM([1]Gen!B13)</f>
        <v>0.53200000000000003</v>
      </c>
      <c r="D7" s="647">
        <f t="shared" si="2"/>
        <v>40.963999999999999</v>
      </c>
      <c r="E7" s="76"/>
      <c r="F7" s="72">
        <f>[1]Gen!T13</f>
        <v>6580</v>
      </c>
      <c r="G7" s="87">
        <f>[1]Gen!S13</f>
        <v>2554.3900000000003</v>
      </c>
      <c r="H7" s="87" t="e">
        <f>[1]Gen!#REF!</f>
        <v>#REF!</v>
      </c>
      <c r="I7" s="87" t="e">
        <f t="shared" si="0"/>
        <v>#REF!</v>
      </c>
      <c r="J7" s="87">
        <f>[1]Gen!AT13</f>
        <v>42919.590000000026</v>
      </c>
      <c r="K7" s="71">
        <f>'[1]Water-Meter'!E12</f>
        <v>116</v>
      </c>
      <c r="L7" s="69" t="e">
        <f>#REF!</f>
        <v>#REF!</v>
      </c>
      <c r="M7" s="90" t="e">
        <f>#REF!</f>
        <v>#REF!</v>
      </c>
      <c r="N7" s="90" t="e">
        <f>#REF!</f>
        <v>#REF!</v>
      </c>
      <c r="O7" s="90" t="e">
        <f>#REF!</f>
        <v>#REF!</v>
      </c>
      <c r="P7" s="91">
        <f t="shared" si="1"/>
        <v>0.82537673076923124</v>
      </c>
      <c r="Q7" s="6" t="e">
        <f>I7*Q2</f>
        <v>#REF!</v>
      </c>
      <c r="R7" s="78" t="e">
        <f t="shared" si="3"/>
        <v>#REF!</v>
      </c>
      <c r="S7" s="652" t="e">
        <f t="shared" si="4"/>
        <v>#REF!</v>
      </c>
      <c r="T7" s="78">
        <f t="shared" si="5"/>
        <v>7.4696969696969697</v>
      </c>
      <c r="U7" s="126" t="e">
        <f t="shared" si="6"/>
        <v>#REF!</v>
      </c>
      <c r="V7" s="18" t="e">
        <f t="shared" si="7"/>
        <v>#REF!</v>
      </c>
      <c r="W7" s="128" t="e">
        <f>SUM(V7/E7)/T2</f>
        <v>#REF!</v>
      </c>
      <c r="X7">
        <f t="shared" ref="X7:X35" si="9">SUM(X6)</f>
        <v>1584</v>
      </c>
      <c r="Y7" s="653">
        <v>106</v>
      </c>
      <c r="Z7" s="81" t="e">
        <f t="shared" si="8"/>
        <v>#REF!</v>
      </c>
    </row>
    <row r="8" spans="1:27">
      <c r="A8" s="54">
        <f>SUM([1]Gen!A14)</f>
        <v>43742</v>
      </c>
      <c r="B8" s="84">
        <v>0</v>
      </c>
      <c r="C8" s="89">
        <f>SUM([1]Gen!B14)</f>
        <v>0.61</v>
      </c>
      <c r="D8" s="647">
        <f t="shared" si="2"/>
        <v>46.97</v>
      </c>
      <c r="E8" s="76"/>
      <c r="F8" s="72">
        <f>[1]Gen!T14</f>
        <v>6223</v>
      </c>
      <c r="G8" s="87">
        <f>[1]Gen!S14</f>
        <v>2441.42</v>
      </c>
      <c r="H8" s="87" t="e">
        <f>[1]Gen!AJ9</f>
        <v>#REF!</v>
      </c>
      <c r="I8" s="87" t="e">
        <f t="shared" si="0"/>
        <v>#REF!</v>
      </c>
      <c r="J8" s="87">
        <f>[1]Gen!AT14</f>
        <v>40258.940000000024</v>
      </c>
      <c r="K8" s="71">
        <f>'[1]Water-Meter'!E13</f>
        <v>120</v>
      </c>
      <c r="L8" s="69" t="e">
        <f>#REF!</f>
        <v>#REF!</v>
      </c>
      <c r="M8" s="90" t="e">
        <f>#REF!</f>
        <v>#REF!</v>
      </c>
      <c r="N8" s="90" t="e">
        <f>#REF!</f>
        <v>#REF!</v>
      </c>
      <c r="O8" s="90" t="e">
        <f>#REF!</f>
        <v>#REF!</v>
      </c>
      <c r="P8" s="91">
        <f t="shared" si="1"/>
        <v>0.77421038461538505</v>
      </c>
      <c r="Q8" s="6" t="e">
        <f>I8*Q2</f>
        <v>#REF!</v>
      </c>
      <c r="R8" s="78" t="e">
        <f t="shared" si="3"/>
        <v>#REF!</v>
      </c>
      <c r="S8" s="652" t="e">
        <f t="shared" si="4"/>
        <v>#REF!</v>
      </c>
      <c r="T8" s="78">
        <f t="shared" si="5"/>
        <v>7.7272727272727275</v>
      </c>
      <c r="U8" s="126" t="e">
        <f t="shared" si="6"/>
        <v>#REF!</v>
      </c>
      <c r="V8" s="18" t="e">
        <f t="shared" si="7"/>
        <v>#REF!</v>
      </c>
      <c r="W8" s="128" t="e">
        <f>SUM(V8/E8)/T2</f>
        <v>#REF!</v>
      </c>
      <c r="X8">
        <f t="shared" si="9"/>
        <v>1584</v>
      </c>
      <c r="Y8" s="653">
        <v>106</v>
      </c>
      <c r="Z8" s="81" t="e">
        <f t="shared" si="8"/>
        <v>#REF!</v>
      </c>
    </row>
    <row r="9" spans="1:27">
      <c r="A9" s="54">
        <f>SUM([1]Gen!A15)</f>
        <v>43743</v>
      </c>
      <c r="B9" s="84">
        <v>0</v>
      </c>
      <c r="C9" s="89">
        <f>SUM([1]Gen!B15)</f>
        <v>0.68799999999999994</v>
      </c>
      <c r="D9" s="647">
        <f t="shared" si="2"/>
        <v>52.975999999999999</v>
      </c>
      <c r="E9" s="76"/>
      <c r="F9" s="72">
        <f>[1]Gen!T15</f>
        <v>5984</v>
      </c>
      <c r="G9" s="87">
        <f>[1]Gen!S15</f>
        <v>2338.3599999999997</v>
      </c>
      <c r="H9" s="87">
        <f>[1]Gen!AJ10</f>
        <v>0</v>
      </c>
      <c r="I9" s="87">
        <f t="shared" si="0"/>
        <v>2338.3599999999997</v>
      </c>
      <c r="J9" s="87">
        <f>[1]Gen!AT15</f>
        <v>37525.210000000021</v>
      </c>
      <c r="K9" s="71">
        <f>'[1]Water-Meter'!E14</f>
        <v>107</v>
      </c>
      <c r="L9" s="69" t="e">
        <f>#REF!</f>
        <v>#REF!</v>
      </c>
      <c r="M9" s="90" t="e">
        <f>#REF!</f>
        <v>#REF!</v>
      </c>
      <c r="N9" s="90" t="e">
        <f>#REF!</f>
        <v>#REF!</v>
      </c>
      <c r="O9" s="90" t="e">
        <f>#REF!</f>
        <v>#REF!</v>
      </c>
      <c r="P9" s="91">
        <f t="shared" si="1"/>
        <v>0.72163865384615422</v>
      </c>
      <c r="Q9" s="6">
        <f>I9*Q2</f>
        <v>5167424.845999999</v>
      </c>
      <c r="R9" s="78">
        <f t="shared" si="3"/>
        <v>61.580020393263645</v>
      </c>
      <c r="S9" s="652" t="e">
        <f t="shared" si="4"/>
        <v>#DIV/0!</v>
      </c>
      <c r="T9" s="78">
        <f t="shared" si="5"/>
        <v>6.8901515151515156</v>
      </c>
      <c r="U9" s="126" t="e">
        <f t="shared" si="6"/>
        <v>#REF!</v>
      </c>
      <c r="V9" s="18" t="e">
        <f t="shared" si="7"/>
        <v>#REF!</v>
      </c>
      <c r="W9" s="128" t="e">
        <f>SUM(V9/E9)/T2</f>
        <v>#REF!</v>
      </c>
      <c r="X9">
        <f t="shared" si="9"/>
        <v>1584</v>
      </c>
      <c r="Y9" s="653">
        <v>106</v>
      </c>
      <c r="Z9" s="81" t="e">
        <f t="shared" si="8"/>
        <v>#DIV/0!</v>
      </c>
    </row>
    <row r="10" spans="1:27">
      <c r="A10" s="54">
        <f>SUM([1]Gen!A16)</f>
        <v>43744</v>
      </c>
      <c r="B10" s="84">
        <v>0</v>
      </c>
      <c r="C10" s="89">
        <f>SUM([1]Gen!B16)</f>
        <v>0.53200000000000003</v>
      </c>
      <c r="D10" s="647">
        <f t="shared" si="2"/>
        <v>40.963999999999999</v>
      </c>
      <c r="E10" s="76"/>
      <c r="F10" s="72">
        <f>[1]Gen!T16</f>
        <v>6103</v>
      </c>
      <c r="G10" s="87">
        <f>[1]Gen!S16</f>
        <v>2478.9</v>
      </c>
      <c r="H10" s="87" t="e">
        <f>[1]Gen!#REF!</f>
        <v>#REF!</v>
      </c>
      <c r="I10" s="87" t="e">
        <f t="shared" si="0"/>
        <v>#REF!</v>
      </c>
      <c r="J10" s="87">
        <f>[1]Gen!AT16</f>
        <v>35107.690000000024</v>
      </c>
      <c r="K10" s="71">
        <f>'[1]Water-Meter'!E15</f>
        <v>123</v>
      </c>
      <c r="L10" s="69" t="e">
        <f>#REF!</f>
        <v>#REF!</v>
      </c>
      <c r="M10" s="90" t="e">
        <f>#REF!</f>
        <v>#REF!</v>
      </c>
      <c r="N10" s="90" t="e">
        <f>#REF!</f>
        <v>#REF!</v>
      </c>
      <c r="O10" s="90" t="e">
        <f>#REF!</f>
        <v>#REF!</v>
      </c>
      <c r="P10" s="91">
        <f t="shared" si="1"/>
        <v>0.67514788461538511</v>
      </c>
      <c r="Q10" s="6" t="e">
        <f>I10*Q2</f>
        <v>#REF!</v>
      </c>
      <c r="R10" s="78" t="e">
        <f t="shared" si="3"/>
        <v>#REF!</v>
      </c>
      <c r="S10" s="652" t="e">
        <f t="shared" si="4"/>
        <v>#REF!</v>
      </c>
      <c r="T10" s="78">
        <f t="shared" si="5"/>
        <v>7.9204545454545459</v>
      </c>
      <c r="U10" s="126" t="e">
        <f t="shared" si="6"/>
        <v>#REF!</v>
      </c>
      <c r="V10" s="18" t="e">
        <f t="shared" si="7"/>
        <v>#REF!</v>
      </c>
      <c r="W10" s="128" t="e">
        <f>SUM(V10/E10)/T2</f>
        <v>#REF!</v>
      </c>
      <c r="X10">
        <f t="shared" si="9"/>
        <v>1584</v>
      </c>
      <c r="Y10" s="653">
        <v>106</v>
      </c>
      <c r="Z10" s="81" t="e">
        <f t="shared" si="8"/>
        <v>#REF!</v>
      </c>
    </row>
    <row r="11" spans="1:27">
      <c r="A11" s="54">
        <f>SUM([1]Gen!A17)</f>
        <v>43745</v>
      </c>
      <c r="B11" s="84">
        <v>0</v>
      </c>
      <c r="C11" s="89">
        <f>SUM([1]Gen!B17)</f>
        <v>0.753</v>
      </c>
      <c r="D11" s="647">
        <f t="shared" si="2"/>
        <v>57.981000000000002</v>
      </c>
      <c r="E11" s="76"/>
      <c r="F11" s="72">
        <f>[1]Gen!T17</f>
        <v>5576</v>
      </c>
      <c r="G11" s="87">
        <f>[1]Gen!S17</f>
        <v>2276.44</v>
      </c>
      <c r="H11" s="87">
        <f>[1]Gen!AJ25</f>
        <v>80.56</v>
      </c>
      <c r="I11" s="87">
        <f t="shared" si="0"/>
        <v>2357</v>
      </c>
      <c r="J11" s="87">
        <f>[1]Gen!AT17</f>
        <v>47513.140000000029</v>
      </c>
      <c r="K11" s="71">
        <f>'[1]Water-Meter'!E16</f>
        <v>112</v>
      </c>
      <c r="L11" s="69" t="e">
        <f>#REF!</f>
        <v>#REF!</v>
      </c>
      <c r="M11" s="90" t="e">
        <f>#REF!</f>
        <v>#REF!</v>
      </c>
      <c r="N11" s="90" t="e">
        <f>#REF!</f>
        <v>#REF!</v>
      </c>
      <c r="O11" s="90" t="e">
        <f>#REF!</f>
        <v>#REF!</v>
      </c>
      <c r="P11" s="91">
        <f t="shared" si="1"/>
        <v>0.91371423076923131</v>
      </c>
      <c r="Q11" s="6">
        <f>I11*Q2</f>
        <v>5208616.45</v>
      </c>
      <c r="R11" s="78">
        <f t="shared" si="3"/>
        <v>56.712853535789066</v>
      </c>
      <c r="S11" s="652" t="e">
        <f t="shared" si="4"/>
        <v>#DIV/0!</v>
      </c>
      <c r="T11" s="78">
        <f t="shared" si="5"/>
        <v>7.2121212121212119</v>
      </c>
      <c r="U11" s="126" t="e">
        <f t="shared" si="6"/>
        <v>#REF!</v>
      </c>
      <c r="V11" s="18" t="e">
        <f t="shared" si="7"/>
        <v>#REF!</v>
      </c>
      <c r="W11" s="128" t="e">
        <f>SUM(V11/E11)/T2</f>
        <v>#REF!</v>
      </c>
      <c r="X11">
        <f t="shared" si="9"/>
        <v>1584</v>
      </c>
      <c r="Y11" s="653">
        <v>106</v>
      </c>
      <c r="Z11" s="81" t="e">
        <f t="shared" si="8"/>
        <v>#DIV/0!</v>
      </c>
    </row>
    <row r="12" spans="1:27">
      <c r="A12" s="54">
        <f>SUM([1]Gen!A18)</f>
        <v>43746</v>
      </c>
      <c r="B12" s="84">
        <v>0</v>
      </c>
      <c r="C12" s="89">
        <f>SUM([1]Gen!B18)</f>
        <v>0.156</v>
      </c>
      <c r="D12" s="647">
        <f t="shared" si="2"/>
        <v>12.012</v>
      </c>
      <c r="E12" s="76"/>
      <c r="F12" s="72">
        <f>[1]Gen!T18</f>
        <v>5532</v>
      </c>
      <c r="G12" s="87">
        <f>[1]Gen!S18</f>
        <v>2242.4</v>
      </c>
      <c r="H12" s="87" t="e">
        <f>[1]Gen!#REF!</f>
        <v>#REF!</v>
      </c>
      <c r="I12" s="87" t="e">
        <f t="shared" si="0"/>
        <v>#REF!</v>
      </c>
      <c r="J12" s="87">
        <f>[1]Gen!AT18</f>
        <v>45161.890000000029</v>
      </c>
      <c r="K12" s="71">
        <f>'[1]Water-Meter'!E17</f>
        <v>128</v>
      </c>
      <c r="L12" s="69" t="e">
        <f>#REF!</f>
        <v>#REF!</v>
      </c>
      <c r="M12" s="90" t="e">
        <f>#REF!</f>
        <v>#REF!</v>
      </c>
      <c r="N12" s="90" t="e">
        <f>#REF!</f>
        <v>#REF!</v>
      </c>
      <c r="O12" s="90" t="e">
        <f>#REF!</f>
        <v>#REF!</v>
      </c>
      <c r="P12" s="91">
        <f t="shared" si="1"/>
        <v>0.86849788461538513</v>
      </c>
      <c r="Q12" s="6" t="e">
        <f>I12*Q2</f>
        <v>#REF!</v>
      </c>
      <c r="R12" s="78" t="e">
        <f t="shared" si="3"/>
        <v>#REF!</v>
      </c>
      <c r="S12" s="652" t="e">
        <f t="shared" si="4"/>
        <v>#REF!</v>
      </c>
      <c r="T12" s="78">
        <f t="shared" si="5"/>
        <v>8.2424242424242422</v>
      </c>
      <c r="U12" s="126" t="e">
        <f t="shared" si="6"/>
        <v>#REF!</v>
      </c>
      <c r="V12" s="18" t="e">
        <f t="shared" si="7"/>
        <v>#REF!</v>
      </c>
      <c r="W12" s="128" t="e">
        <f>SUM(V12/E12)/T2</f>
        <v>#REF!</v>
      </c>
      <c r="X12">
        <f t="shared" si="9"/>
        <v>1584</v>
      </c>
      <c r="Y12" s="653">
        <v>106</v>
      </c>
      <c r="Z12" s="81" t="e">
        <f t="shared" si="8"/>
        <v>#REF!</v>
      </c>
    </row>
    <row r="13" spans="1:27">
      <c r="A13" s="54">
        <f>SUM([1]Gen!A19)</f>
        <v>43747</v>
      </c>
      <c r="B13" s="84">
        <v>0</v>
      </c>
      <c r="C13" s="89">
        <f>SUM([1]Gen!B19)</f>
        <v>0.442</v>
      </c>
      <c r="D13" s="647">
        <f t="shared" si="2"/>
        <v>34.033999999999999</v>
      </c>
      <c r="E13" s="76"/>
      <c r="F13" s="72">
        <f>[1]Gen!T19</f>
        <v>6233</v>
      </c>
      <c r="G13" s="87">
        <f>[1]Gen!S19</f>
        <v>2430.2700000000004</v>
      </c>
      <c r="H13" s="87" t="e">
        <f>[1]Gen!#REF!</f>
        <v>#REF!</v>
      </c>
      <c r="I13" s="87" t="e">
        <f t="shared" si="0"/>
        <v>#REF!</v>
      </c>
      <c r="J13" s="87">
        <f>[1]Gen!AT19</f>
        <v>42825.480000000025</v>
      </c>
      <c r="K13" s="71">
        <f>'[1]Water-Meter'!E18</f>
        <v>114</v>
      </c>
      <c r="L13" s="69" t="e">
        <f>#REF!</f>
        <v>#REF!</v>
      </c>
      <c r="M13" s="90" t="e">
        <f>#REF!</f>
        <v>#REF!</v>
      </c>
      <c r="N13" s="90" t="e">
        <f>#REF!</f>
        <v>#REF!</v>
      </c>
      <c r="O13" s="90" t="e">
        <f>#REF!</f>
        <v>#REF!</v>
      </c>
      <c r="P13" s="91">
        <f t="shared" si="1"/>
        <v>0.82356692307692358</v>
      </c>
      <c r="Q13" s="6" t="e">
        <f>I13*Q2</f>
        <v>#REF!</v>
      </c>
      <c r="R13" s="78" t="e">
        <f t="shared" si="3"/>
        <v>#REF!</v>
      </c>
      <c r="S13" s="652" t="e">
        <f t="shared" si="4"/>
        <v>#REF!</v>
      </c>
      <c r="T13" s="78">
        <f t="shared" si="5"/>
        <v>7.3409090909090908</v>
      </c>
      <c r="U13" s="126" t="e">
        <f t="shared" si="6"/>
        <v>#REF!</v>
      </c>
      <c r="V13" s="18" t="e">
        <f t="shared" si="7"/>
        <v>#REF!</v>
      </c>
      <c r="W13" s="128" t="e">
        <f>SUM(V13/E13)/T2</f>
        <v>#REF!</v>
      </c>
      <c r="X13">
        <f t="shared" si="9"/>
        <v>1584</v>
      </c>
      <c r="Y13" s="653">
        <v>106</v>
      </c>
      <c r="Z13" s="81" t="e">
        <f t="shared" si="8"/>
        <v>#REF!</v>
      </c>
    </row>
    <row r="14" spans="1:27">
      <c r="A14" s="54">
        <f>SUM([1]Gen!A20)</f>
        <v>43748</v>
      </c>
      <c r="B14" s="84">
        <v>0</v>
      </c>
      <c r="C14" s="89">
        <f>SUM([1]Gen!B20)</f>
        <v>0.32500000000000001</v>
      </c>
      <c r="D14" s="647">
        <f t="shared" si="2"/>
        <v>25.025000000000002</v>
      </c>
      <c r="E14" s="76"/>
      <c r="F14" s="72">
        <f>[1]Gen!T20</f>
        <v>6063</v>
      </c>
      <c r="G14" s="87">
        <f>[1]Gen!S20</f>
        <v>2463.77</v>
      </c>
      <c r="H14" s="87" t="e">
        <f>[1]Gen!#REF!</f>
        <v>#REF!</v>
      </c>
      <c r="I14" s="87" t="e">
        <f t="shared" si="0"/>
        <v>#REF!</v>
      </c>
      <c r="J14" s="87">
        <f>[1]Gen!AT20</f>
        <v>40110.380000000026</v>
      </c>
      <c r="K14" s="71">
        <f>'[1]Water-Meter'!E19</f>
        <v>119</v>
      </c>
      <c r="L14" s="69" t="e">
        <f>#REF!</f>
        <v>#REF!</v>
      </c>
      <c r="M14" s="90" t="e">
        <f>#REF!</f>
        <v>#REF!</v>
      </c>
      <c r="N14" s="90" t="e">
        <f>#REF!</f>
        <v>#REF!</v>
      </c>
      <c r="O14" s="90" t="e">
        <f>#REF!</f>
        <v>#REF!</v>
      </c>
      <c r="P14" s="91">
        <f t="shared" si="1"/>
        <v>0.77135346153846207</v>
      </c>
      <c r="Q14" s="6" t="e">
        <f>I14*Q2</f>
        <v>#REF!</v>
      </c>
      <c r="R14" s="78" t="e">
        <f t="shared" si="3"/>
        <v>#REF!</v>
      </c>
      <c r="S14" s="652" t="e">
        <f t="shared" si="4"/>
        <v>#REF!</v>
      </c>
      <c r="T14" s="78">
        <f t="shared" si="5"/>
        <v>7.6628787878787881</v>
      </c>
      <c r="U14" s="126" t="e">
        <f t="shared" si="6"/>
        <v>#REF!</v>
      </c>
      <c r="V14" s="18" t="e">
        <f t="shared" si="7"/>
        <v>#REF!</v>
      </c>
      <c r="W14" s="128" t="e">
        <f>SUM(V14/E14)/T2</f>
        <v>#REF!</v>
      </c>
      <c r="X14">
        <f t="shared" si="9"/>
        <v>1584</v>
      </c>
      <c r="Y14" s="653">
        <v>106</v>
      </c>
      <c r="Z14" s="81" t="e">
        <f t="shared" si="8"/>
        <v>#REF!</v>
      </c>
    </row>
    <row r="15" spans="1:27">
      <c r="A15" s="54">
        <f>SUM([1]Gen!A21)</f>
        <v>43749</v>
      </c>
      <c r="B15" s="84">
        <v>0</v>
      </c>
      <c r="C15" s="89">
        <f>SUM([1]Gen!B21)</f>
        <v>0.45500000000000002</v>
      </c>
      <c r="D15" s="647">
        <f t="shared" si="2"/>
        <v>35.035000000000004</v>
      </c>
      <c r="E15" s="76"/>
      <c r="F15" s="72">
        <f>[1]Gen!T21</f>
        <v>5967</v>
      </c>
      <c r="G15" s="87">
        <f>[1]Gen!S21</f>
        <v>2310.19</v>
      </c>
      <c r="H15" s="87" t="e">
        <f>[1]Gen!#REF!</f>
        <v>#REF!</v>
      </c>
      <c r="I15" s="87" t="e">
        <f t="shared" si="0"/>
        <v>#REF!</v>
      </c>
      <c r="J15" s="87">
        <f>[1]Gen!AT21</f>
        <v>37540.570000000029</v>
      </c>
      <c r="K15" s="71">
        <f>'[1]Water-Meter'!E20</f>
        <v>128</v>
      </c>
      <c r="L15" s="69" t="e">
        <f>#REF!</f>
        <v>#REF!</v>
      </c>
      <c r="M15" s="90" t="e">
        <f>#REF!</f>
        <v>#REF!</v>
      </c>
      <c r="N15" s="90" t="e">
        <f>#REF!</f>
        <v>#REF!</v>
      </c>
      <c r="O15" s="90" t="e">
        <f>#REF!</f>
        <v>#REF!</v>
      </c>
      <c r="P15" s="91">
        <f t="shared" si="1"/>
        <v>0.72193403846153903</v>
      </c>
      <c r="Q15" s="6" t="e">
        <f>I15*Q2</f>
        <v>#REF!</v>
      </c>
      <c r="R15" s="78" t="e">
        <f t="shared" si="3"/>
        <v>#REF!</v>
      </c>
      <c r="S15" s="652" t="e">
        <f t="shared" si="4"/>
        <v>#REF!</v>
      </c>
      <c r="T15" s="78">
        <f t="shared" si="5"/>
        <v>8.2424242424242422</v>
      </c>
      <c r="U15" s="126" t="e">
        <f t="shared" si="6"/>
        <v>#REF!</v>
      </c>
      <c r="V15" s="18" t="e">
        <f t="shared" si="7"/>
        <v>#REF!</v>
      </c>
      <c r="W15" s="128" t="e">
        <f>SUM(V15/E15)/T2</f>
        <v>#REF!</v>
      </c>
      <c r="X15">
        <f t="shared" si="9"/>
        <v>1584</v>
      </c>
      <c r="Y15" s="653">
        <v>106</v>
      </c>
      <c r="Z15" s="81" t="e">
        <f t="shared" si="8"/>
        <v>#REF!</v>
      </c>
    </row>
    <row r="16" spans="1:27">
      <c r="A16" s="54">
        <f>SUM([1]Gen!A22)</f>
        <v>43750</v>
      </c>
      <c r="B16" s="84">
        <v>0</v>
      </c>
      <c r="C16" s="89">
        <f>SUM([1]Gen!B22)</f>
        <v>0.41599999999999998</v>
      </c>
      <c r="D16" s="647">
        <f t="shared" si="2"/>
        <v>32.031999999999996</v>
      </c>
      <c r="E16" s="76"/>
      <c r="F16" s="72">
        <f>[1]Gen!T22</f>
        <v>5863</v>
      </c>
      <c r="G16" s="87">
        <f>[1]Gen!S22</f>
        <v>2429.17</v>
      </c>
      <c r="H16" s="87" t="e">
        <f>[1]Gen!#REF!</f>
        <v>#REF!</v>
      </c>
      <c r="I16" s="87" t="e">
        <f t="shared" si="0"/>
        <v>#REF!</v>
      </c>
      <c r="J16" s="87">
        <f>[1]Gen!AT22</f>
        <v>34967.29000000003</v>
      </c>
      <c r="K16" s="71">
        <f>'[1]Water-Meter'!E21</f>
        <v>127</v>
      </c>
      <c r="L16" s="69" t="e">
        <f>#REF!</f>
        <v>#REF!</v>
      </c>
      <c r="M16" s="90" t="e">
        <f>#REF!</f>
        <v>#REF!</v>
      </c>
      <c r="N16" s="90" t="e">
        <f>#REF!</f>
        <v>#REF!</v>
      </c>
      <c r="O16" s="90" t="e">
        <f>#REF!</f>
        <v>#REF!</v>
      </c>
      <c r="P16" s="91">
        <f t="shared" si="1"/>
        <v>0.67244788461538518</v>
      </c>
      <c r="Q16" s="6" t="e">
        <f>I16*Q2</f>
        <v>#REF!</v>
      </c>
      <c r="R16" s="78" t="e">
        <f t="shared" si="3"/>
        <v>#REF!</v>
      </c>
      <c r="S16" s="652" t="e">
        <f t="shared" si="4"/>
        <v>#REF!</v>
      </c>
      <c r="T16" s="78">
        <f t="shared" si="5"/>
        <v>8.1780303030303028</v>
      </c>
      <c r="U16" s="126" t="e">
        <f t="shared" si="6"/>
        <v>#REF!</v>
      </c>
      <c r="V16" s="18" t="e">
        <f t="shared" si="7"/>
        <v>#REF!</v>
      </c>
      <c r="W16" s="128" t="e">
        <f>SUM(V16/E16)/T2</f>
        <v>#REF!</v>
      </c>
      <c r="X16">
        <f t="shared" si="9"/>
        <v>1584</v>
      </c>
      <c r="Y16" s="653">
        <v>106</v>
      </c>
      <c r="Z16" s="81" t="e">
        <f t="shared" si="8"/>
        <v>#REF!</v>
      </c>
    </row>
    <row r="17" spans="1:26">
      <c r="A17" s="54">
        <f>SUM([1]Gen!A23)</f>
        <v>43751</v>
      </c>
      <c r="B17" s="84">
        <v>0</v>
      </c>
      <c r="C17" s="89">
        <f>SUM([1]Gen!B23)</f>
        <v>0.39</v>
      </c>
      <c r="D17" s="647">
        <f t="shared" si="2"/>
        <v>30.03</v>
      </c>
      <c r="E17" s="76"/>
      <c r="F17" s="72">
        <f>[1]Gen!T23</f>
        <v>5720</v>
      </c>
      <c r="G17" s="87">
        <f>[1]Gen!S23</f>
        <v>2249.5299999999997</v>
      </c>
      <c r="H17" s="87" t="e">
        <f>[1]Gen!#REF!</f>
        <v>#REF!</v>
      </c>
      <c r="I17" s="87" t="e">
        <f t="shared" si="0"/>
        <v>#REF!</v>
      </c>
      <c r="J17" s="87">
        <f>[1]Gen!AT23</f>
        <v>32228.760000000031</v>
      </c>
      <c r="K17" s="71">
        <f>'[1]Water-Meter'!E22</f>
        <v>122</v>
      </c>
      <c r="L17" s="69" t="e">
        <f>#REF!</f>
        <v>#REF!</v>
      </c>
      <c r="M17" s="90" t="e">
        <f>#REF!</f>
        <v>#REF!</v>
      </c>
      <c r="N17" s="90" t="e">
        <f>#REF!</f>
        <v>#REF!</v>
      </c>
      <c r="O17" s="90" t="e">
        <f>#REF!</f>
        <v>#REF!</v>
      </c>
      <c r="P17" s="91">
        <f t="shared" si="1"/>
        <v>0.61978384615384674</v>
      </c>
      <c r="Q17" s="6" t="e">
        <f>I17*Q2</f>
        <v>#REF!</v>
      </c>
      <c r="R17" s="78" t="e">
        <f t="shared" si="3"/>
        <v>#REF!</v>
      </c>
      <c r="S17" s="652" t="e">
        <f t="shared" si="4"/>
        <v>#REF!</v>
      </c>
      <c r="T17" s="78">
        <f t="shared" si="5"/>
        <v>7.8560606060606064</v>
      </c>
      <c r="U17" s="126" t="e">
        <f t="shared" si="6"/>
        <v>#REF!</v>
      </c>
      <c r="V17" s="18" t="e">
        <f t="shared" si="7"/>
        <v>#REF!</v>
      </c>
      <c r="W17" s="128" t="e">
        <f>SUM(V17/E17)/T2</f>
        <v>#REF!</v>
      </c>
      <c r="X17">
        <f t="shared" si="9"/>
        <v>1584</v>
      </c>
      <c r="Y17" s="653">
        <v>106</v>
      </c>
      <c r="Z17" s="81" t="e">
        <f t="shared" si="8"/>
        <v>#REF!</v>
      </c>
    </row>
    <row r="18" spans="1:26">
      <c r="A18" s="54">
        <f>SUM([1]Gen!A24)</f>
        <v>43752</v>
      </c>
      <c r="B18" s="84">
        <v>0</v>
      </c>
      <c r="C18" s="89">
        <f>SUM([1]Gen!B24)</f>
        <v>0.63600000000000001</v>
      </c>
      <c r="D18" s="647">
        <f t="shared" si="2"/>
        <v>48.972000000000001</v>
      </c>
      <c r="E18" s="76"/>
      <c r="F18" s="72">
        <f>[1]Gen!T24</f>
        <v>6195</v>
      </c>
      <c r="G18" s="87">
        <f>[1]Gen!S24</f>
        <v>2420.41</v>
      </c>
      <c r="H18" s="87">
        <f>[1]Gen!AJ27</f>
        <v>597.9</v>
      </c>
      <c r="I18" s="87">
        <f t="shared" si="0"/>
        <v>3018.31</v>
      </c>
      <c r="J18" s="87">
        <f>[1]Gen!AT24</f>
        <v>29915.45000000003</v>
      </c>
      <c r="K18" s="71">
        <v>0</v>
      </c>
      <c r="L18" s="69" t="e">
        <f>#REF!</f>
        <v>#REF!</v>
      </c>
      <c r="M18" s="90" t="e">
        <f>#REF!</f>
        <v>#REF!</v>
      </c>
      <c r="N18" s="90" t="e">
        <f>#REF!</f>
        <v>#REF!</v>
      </c>
      <c r="O18" s="90" t="e">
        <f>#REF!</f>
        <v>#REF!</v>
      </c>
      <c r="P18" s="91">
        <f t="shared" si="1"/>
        <v>0.57529711538461592</v>
      </c>
      <c r="Q18" s="6">
        <f>I18*Q2</f>
        <v>6670012.3534999993</v>
      </c>
      <c r="R18" s="78">
        <f t="shared" si="3"/>
        <v>85.985183059408499</v>
      </c>
      <c r="S18" s="652" t="e">
        <f t="shared" si="4"/>
        <v>#DIV/0!</v>
      </c>
      <c r="T18" s="78">
        <f t="shared" si="5"/>
        <v>0</v>
      </c>
      <c r="U18" s="126" t="e">
        <f t="shared" si="6"/>
        <v>#REF!</v>
      </c>
      <c r="V18" s="18" t="e">
        <f t="shared" si="7"/>
        <v>#REF!</v>
      </c>
      <c r="W18" s="128" t="e">
        <f>SUM(V18/E18)/T2</f>
        <v>#REF!</v>
      </c>
      <c r="X18">
        <f t="shared" si="9"/>
        <v>1584</v>
      </c>
      <c r="Y18" s="653">
        <v>106</v>
      </c>
      <c r="Z18" s="81" t="e">
        <f t="shared" si="8"/>
        <v>#DIV/0!</v>
      </c>
    </row>
    <row r="19" spans="1:26">
      <c r="A19" s="54">
        <f>SUM([1]Gen!A25)</f>
        <v>43753</v>
      </c>
      <c r="B19" s="84">
        <v>0</v>
      </c>
      <c r="C19" s="89">
        <f>SUM([1]Gen!B25)</f>
        <v>0.84399999999999997</v>
      </c>
      <c r="D19" s="647">
        <f t="shared" si="2"/>
        <v>64.988</v>
      </c>
      <c r="E19" s="76"/>
      <c r="F19" s="72">
        <f>[1]Gen!T25</f>
        <v>6450</v>
      </c>
      <c r="G19" s="87">
        <f>[1]Gen!S25</f>
        <v>2670.31</v>
      </c>
      <c r="H19" s="87">
        <f>[1]Gen!AJ28</f>
        <v>227.73000000000002</v>
      </c>
      <c r="I19" s="87">
        <f t="shared" si="0"/>
        <v>2898.04</v>
      </c>
      <c r="J19" s="87">
        <f>[1]Gen!AT25</f>
        <v>42248.240000000034</v>
      </c>
      <c r="K19" s="71">
        <f>'[1]Water-Meter'!E24</f>
        <v>104</v>
      </c>
      <c r="L19" s="69" t="e">
        <f>#REF!</f>
        <v>#REF!</v>
      </c>
      <c r="M19" s="90" t="e">
        <f>#REF!</f>
        <v>#REF!</v>
      </c>
      <c r="N19" s="90" t="e">
        <f>#REF!</f>
        <v>#REF!</v>
      </c>
      <c r="O19" s="90" t="e">
        <f>#REF!</f>
        <v>#REF!</v>
      </c>
      <c r="P19" s="91">
        <f t="shared" si="1"/>
        <v>0.8124661538461545</v>
      </c>
      <c r="Q19" s="6">
        <f>I19*Q2</f>
        <v>6404233.6939999992</v>
      </c>
      <c r="R19" s="78">
        <f t="shared" si="3"/>
        <v>62.212667369671344</v>
      </c>
      <c r="S19" s="652" t="e">
        <f t="shared" si="4"/>
        <v>#DIV/0!</v>
      </c>
      <c r="T19" s="78">
        <f t="shared" si="5"/>
        <v>6.6969696969696972</v>
      </c>
      <c r="U19" s="126" t="e">
        <f t="shared" si="6"/>
        <v>#REF!</v>
      </c>
      <c r="V19" s="18" t="e">
        <f t="shared" si="7"/>
        <v>#REF!</v>
      </c>
      <c r="W19" s="78" t="e">
        <f>SUM(V19/E19)/T2</f>
        <v>#REF!</v>
      </c>
      <c r="X19">
        <f t="shared" si="9"/>
        <v>1584</v>
      </c>
      <c r="Y19" s="653">
        <v>106</v>
      </c>
      <c r="Z19" s="81" t="e">
        <f t="shared" si="8"/>
        <v>#DIV/0!</v>
      </c>
    </row>
    <row r="20" spans="1:26">
      <c r="A20" s="54">
        <f>SUM([1]Gen!A26)</f>
        <v>43754</v>
      </c>
      <c r="B20" s="84">
        <v>0</v>
      </c>
      <c r="C20" s="89">
        <f>SUM([1]Gen!B26)</f>
        <v>0.81799999999999995</v>
      </c>
      <c r="D20" s="647">
        <f t="shared" si="2"/>
        <v>62.985999999999997</v>
      </c>
      <c r="E20" s="76"/>
      <c r="F20" s="72">
        <f>[1]Gen!T26</f>
        <v>6915</v>
      </c>
      <c r="G20" s="87">
        <f>[1]Gen!S26</f>
        <v>2741.7</v>
      </c>
      <c r="H20" s="87">
        <f>[1]Gen!AJ29</f>
        <v>88.289999999999992</v>
      </c>
      <c r="I20" s="87">
        <f t="shared" si="0"/>
        <v>2829.99</v>
      </c>
      <c r="J20" s="87">
        <f>[1]Gen!AT26</f>
        <v>39497.370000000032</v>
      </c>
      <c r="K20" s="71">
        <f>'[1]Water-Meter'!E25</f>
        <v>100</v>
      </c>
      <c r="L20" s="69" t="e">
        <f>#REF!</f>
        <v>#REF!</v>
      </c>
      <c r="M20" s="90" t="e">
        <f>#REF!</f>
        <v>#REF!</v>
      </c>
      <c r="N20" s="90" t="e">
        <f>#REF!</f>
        <v>#REF!</v>
      </c>
      <c r="O20" s="90" t="e">
        <f>#REF!</f>
        <v>#REF!</v>
      </c>
      <c r="P20" s="91">
        <f t="shared" si="1"/>
        <v>0.75956480769230827</v>
      </c>
      <c r="Q20" s="6">
        <f>I20*Q2</f>
        <v>6253853.4014999997</v>
      </c>
      <c r="R20" s="78">
        <f t="shared" si="3"/>
        <v>62.682814810818947</v>
      </c>
      <c r="S20" s="652" t="e">
        <f t="shared" si="4"/>
        <v>#DIV/0!</v>
      </c>
      <c r="T20" s="78">
        <f t="shared" si="5"/>
        <v>6.4393939393939394</v>
      </c>
      <c r="U20" s="126" t="e">
        <f t="shared" si="6"/>
        <v>#REF!</v>
      </c>
      <c r="V20" s="18" t="e">
        <f t="shared" si="7"/>
        <v>#REF!</v>
      </c>
      <c r="W20" s="78" t="e">
        <f>SUM(V20/E20)/T2</f>
        <v>#REF!</v>
      </c>
      <c r="X20">
        <f t="shared" si="9"/>
        <v>1584</v>
      </c>
      <c r="Y20" s="653">
        <v>106</v>
      </c>
      <c r="Z20" s="81" t="e">
        <f t="shared" si="8"/>
        <v>#DIV/0!</v>
      </c>
    </row>
    <row r="21" spans="1:26">
      <c r="A21" s="54">
        <f>SUM([1]Gen!A27)</f>
        <v>43755</v>
      </c>
      <c r="B21" s="84">
        <v>0</v>
      </c>
      <c r="C21" s="89">
        <f>SUM([1]Gen!B27)</f>
        <v>0.20799999999999999</v>
      </c>
      <c r="D21" s="647">
        <f t="shared" si="2"/>
        <v>16.015999999999998</v>
      </c>
      <c r="E21" s="76"/>
      <c r="F21" s="72">
        <f>[1]Gen!T27</f>
        <v>5962</v>
      </c>
      <c r="G21" s="87">
        <f>[1]Gen!S27</f>
        <v>2321.11</v>
      </c>
      <c r="H21" s="87">
        <f>[1]Gen!AJ30</f>
        <v>783.92</v>
      </c>
      <c r="I21" s="87">
        <f t="shared" si="0"/>
        <v>3105.03</v>
      </c>
      <c r="J21" s="87">
        <f>[1]Gen!AT27</f>
        <v>36688.350000000035</v>
      </c>
      <c r="K21" s="71">
        <f>'[1]Water-Meter'!E26</f>
        <v>116</v>
      </c>
      <c r="L21" s="69" t="e">
        <f>#REF!</f>
        <v>#REF!</v>
      </c>
      <c r="M21" s="90" t="e">
        <f>#REF!</f>
        <v>#REF!</v>
      </c>
      <c r="N21" s="90" t="e">
        <f>#REF!</f>
        <v>#REF!</v>
      </c>
      <c r="O21" s="90" t="e">
        <f>#REF!</f>
        <v>#REF!</v>
      </c>
      <c r="P21" s="91">
        <f t="shared" si="1"/>
        <v>0.70554519230769297</v>
      </c>
      <c r="Q21" s="6">
        <f>I21*Q2</f>
        <v>6861650.5455</v>
      </c>
      <c r="R21" s="78">
        <f t="shared" si="3"/>
        <v>270.4701605804234</v>
      </c>
      <c r="S21" s="652" t="e">
        <f t="shared" si="4"/>
        <v>#DIV/0!</v>
      </c>
      <c r="T21" s="78">
        <f t="shared" si="5"/>
        <v>7.4696969696969697</v>
      </c>
      <c r="U21" s="126" t="e">
        <f t="shared" si="6"/>
        <v>#REF!</v>
      </c>
      <c r="V21" s="18" t="e">
        <f t="shared" si="7"/>
        <v>#REF!</v>
      </c>
      <c r="W21" s="78" t="e">
        <f>SUM(V21/E21)/T2</f>
        <v>#REF!</v>
      </c>
      <c r="X21">
        <f t="shared" si="9"/>
        <v>1584</v>
      </c>
      <c r="Y21" s="653">
        <v>106</v>
      </c>
      <c r="Z21" s="81" t="e">
        <f t="shared" si="8"/>
        <v>#DIV/0!</v>
      </c>
    </row>
    <row r="22" spans="1:26">
      <c r="A22" s="54">
        <f>SUM([1]Gen!A28)</f>
        <v>43756</v>
      </c>
      <c r="B22" s="84">
        <v>0</v>
      </c>
      <c r="C22" s="89">
        <f>SUM([1]Gen!B28)</f>
        <v>0.221</v>
      </c>
      <c r="D22" s="647">
        <f t="shared" si="2"/>
        <v>17.016999999999999</v>
      </c>
      <c r="E22" s="76"/>
      <c r="F22" s="72">
        <f>[1]Gen!T28</f>
        <v>5257</v>
      </c>
      <c r="G22" s="87">
        <f>[1]Gen!S28</f>
        <v>2204.84</v>
      </c>
      <c r="H22" s="87" t="e">
        <f>[1]Gen!#REF!</f>
        <v>#REF!</v>
      </c>
      <c r="I22" s="87" t="e">
        <f t="shared" si="0"/>
        <v>#REF!</v>
      </c>
      <c r="J22" s="87">
        <f>[1]Gen!AT28</f>
        <v>33769.340000000033</v>
      </c>
      <c r="K22" s="71">
        <f>'[1]Water-Meter'!E27</f>
        <v>114</v>
      </c>
      <c r="L22" s="69" t="e">
        <f>#REF!</f>
        <v>#REF!</v>
      </c>
      <c r="M22" s="90" t="e">
        <f>#REF!</f>
        <v>#REF!</v>
      </c>
      <c r="N22" s="90" t="e">
        <f>#REF!</f>
        <v>#REF!</v>
      </c>
      <c r="O22" s="90" t="e">
        <f>#REF!</f>
        <v>#REF!</v>
      </c>
      <c r="P22" s="91">
        <f t="shared" si="1"/>
        <v>0.64941038461538525</v>
      </c>
      <c r="Q22" s="6" t="e">
        <f>I22*Q2</f>
        <v>#REF!</v>
      </c>
      <c r="R22" s="78" t="e">
        <f t="shared" si="3"/>
        <v>#REF!</v>
      </c>
      <c r="S22" s="652" t="e">
        <f t="shared" si="4"/>
        <v>#REF!</v>
      </c>
      <c r="T22" s="78">
        <f t="shared" si="5"/>
        <v>7.3409090909090908</v>
      </c>
      <c r="U22" s="126" t="e">
        <f t="shared" si="6"/>
        <v>#REF!</v>
      </c>
      <c r="V22" s="18" t="e">
        <f t="shared" si="7"/>
        <v>#REF!</v>
      </c>
      <c r="W22" s="78" t="e">
        <f>SUM(V22/E22)/T2</f>
        <v>#REF!</v>
      </c>
      <c r="X22">
        <f t="shared" si="9"/>
        <v>1584</v>
      </c>
      <c r="Y22" s="653">
        <v>106</v>
      </c>
      <c r="Z22" s="81" t="e">
        <f t="shared" si="8"/>
        <v>#REF!</v>
      </c>
    </row>
    <row r="23" spans="1:26">
      <c r="A23" s="54">
        <f>SUM([1]Gen!A29)</f>
        <v>43757</v>
      </c>
      <c r="B23" s="84">
        <v>0</v>
      </c>
      <c r="C23" s="89">
        <f>SUM([1]Gen!B29)</f>
        <v>0.11700000000000001</v>
      </c>
      <c r="D23" s="647">
        <f t="shared" si="2"/>
        <v>9.0090000000000003</v>
      </c>
      <c r="E23" s="76"/>
      <c r="F23" s="72">
        <f>[1]Gen!T29</f>
        <v>4691</v>
      </c>
      <c r="G23" s="87">
        <f>[1]Gen!S29</f>
        <v>1845.1800000000003</v>
      </c>
      <c r="H23" s="87" t="e">
        <f>[1]Gen!#REF!</f>
        <v>#REF!</v>
      </c>
      <c r="I23" s="87" t="e">
        <f t="shared" si="0"/>
        <v>#REF!</v>
      </c>
      <c r="J23" s="87">
        <f>[1]Gen!AT29</f>
        <v>31336.770000000033</v>
      </c>
      <c r="K23" s="71">
        <f>'[1]Water-Meter'!E28</f>
        <v>113</v>
      </c>
      <c r="L23" s="69" t="e">
        <f>#REF!</f>
        <v>#REF!</v>
      </c>
      <c r="M23" s="90" t="e">
        <f>#REF!</f>
        <v>#REF!</v>
      </c>
      <c r="N23" s="90" t="e">
        <f>#REF!</f>
        <v>#REF!</v>
      </c>
      <c r="O23" s="90" t="e">
        <f>#REF!</f>
        <v>#REF!</v>
      </c>
      <c r="P23" s="91">
        <f t="shared" si="1"/>
        <v>0.60263019230769299</v>
      </c>
      <c r="Q23" s="6" t="e">
        <f>I23*Q2</f>
        <v>#REF!</v>
      </c>
      <c r="R23" s="78" t="e">
        <f t="shared" si="3"/>
        <v>#REF!</v>
      </c>
      <c r="S23" s="652" t="e">
        <f t="shared" si="4"/>
        <v>#REF!</v>
      </c>
      <c r="T23" s="78">
        <f t="shared" si="5"/>
        <v>7.2765151515151514</v>
      </c>
      <c r="U23" s="126" t="e">
        <f t="shared" si="6"/>
        <v>#REF!</v>
      </c>
      <c r="V23" s="18" t="e">
        <f t="shared" si="7"/>
        <v>#REF!</v>
      </c>
      <c r="W23" s="78" t="e">
        <f>SUM(V23/E23)/T2</f>
        <v>#REF!</v>
      </c>
      <c r="X23">
        <f t="shared" si="9"/>
        <v>1584</v>
      </c>
      <c r="Y23" s="653">
        <v>106</v>
      </c>
      <c r="Z23" s="81" t="e">
        <f t="shared" si="8"/>
        <v>#REF!</v>
      </c>
    </row>
    <row r="24" spans="1:26">
      <c r="A24" s="54">
        <f>SUM([1]Gen!A30)</f>
        <v>43758</v>
      </c>
      <c r="B24" s="84">
        <v>0</v>
      </c>
      <c r="C24" s="89">
        <f>SUM([1]Gen!B30)</f>
        <v>0.57099999999999995</v>
      </c>
      <c r="D24" s="647">
        <f t="shared" si="2"/>
        <v>43.966999999999999</v>
      </c>
      <c r="E24" s="76"/>
      <c r="F24" s="72">
        <f>[1]Gen!T30</f>
        <v>5712</v>
      </c>
      <c r="G24" s="87">
        <f>[1]Gen!S30</f>
        <v>2197.0099999999998</v>
      </c>
      <c r="H24" s="87" t="e">
        <f>[1]Gen!#REF!</f>
        <v>#REF!</v>
      </c>
      <c r="I24" s="87" t="e">
        <f t="shared" si="0"/>
        <v>#REF!</v>
      </c>
      <c r="J24" s="87">
        <f>[1]Gen!AT30</f>
        <v>29403.300000000032</v>
      </c>
      <c r="K24" s="71">
        <f>'[1]Water-Meter'!E29</f>
        <v>99</v>
      </c>
      <c r="L24" s="69" t="e">
        <f>#REF!</f>
        <v>#REF!</v>
      </c>
      <c r="M24" s="90" t="e">
        <f>#REF!</f>
        <v>#REF!</v>
      </c>
      <c r="N24" s="90" t="e">
        <f>#REF!</f>
        <v>#REF!</v>
      </c>
      <c r="O24" s="90" t="e">
        <f>#REF!</f>
        <v>#REF!</v>
      </c>
      <c r="P24" s="91">
        <f t="shared" si="1"/>
        <v>0.56544807692307753</v>
      </c>
      <c r="Q24" s="6" t="e">
        <f>I24*Q2</f>
        <v>#REF!</v>
      </c>
      <c r="R24" s="78" t="e">
        <f t="shared" si="3"/>
        <v>#REF!</v>
      </c>
      <c r="S24" s="652" t="e">
        <f t="shared" si="4"/>
        <v>#REF!</v>
      </c>
      <c r="T24" s="78">
        <f t="shared" si="5"/>
        <v>6.375</v>
      </c>
      <c r="U24" s="126" t="e">
        <f t="shared" si="6"/>
        <v>#REF!</v>
      </c>
      <c r="V24" s="18" t="e">
        <f t="shared" si="7"/>
        <v>#REF!</v>
      </c>
      <c r="W24" s="78" t="e">
        <f>SUM(V24/E24)/T2</f>
        <v>#REF!</v>
      </c>
      <c r="X24">
        <f t="shared" si="9"/>
        <v>1584</v>
      </c>
      <c r="Y24" s="653">
        <v>106</v>
      </c>
      <c r="Z24" s="81" t="e">
        <f t="shared" si="8"/>
        <v>#REF!</v>
      </c>
    </row>
    <row r="25" spans="1:26">
      <c r="A25" s="54">
        <f>SUM([1]Gen!A31)</f>
        <v>43759</v>
      </c>
      <c r="B25" s="84">
        <v>0</v>
      </c>
      <c r="C25" s="89">
        <f>SUM([1]Gen!B31)</f>
        <v>0.55800000000000005</v>
      </c>
      <c r="D25" s="647">
        <f t="shared" si="2"/>
        <v>42.966000000000001</v>
      </c>
      <c r="E25" s="76"/>
      <c r="F25" s="72">
        <f>[1]Gen!T31</f>
        <v>5941</v>
      </c>
      <c r="G25" s="87">
        <f>[1]Gen!S31</f>
        <v>2262.16</v>
      </c>
      <c r="H25" s="87">
        <f>[1]Gen!AJ31</f>
        <v>172.05</v>
      </c>
      <c r="I25" s="87">
        <f t="shared" si="0"/>
        <v>2434.21</v>
      </c>
      <c r="J25" s="87">
        <f>[1]Gen!AT31</f>
        <v>41422.370000000032</v>
      </c>
      <c r="K25" s="71">
        <f>'[1]Water-Meter'!E30</f>
        <v>111</v>
      </c>
      <c r="L25" s="69" t="e">
        <f>#REF!</f>
        <v>#REF!</v>
      </c>
      <c r="M25" s="90" t="e">
        <f>#REF!</f>
        <v>#REF!</v>
      </c>
      <c r="N25" s="90" t="e">
        <f>#REF!</f>
        <v>#REF!</v>
      </c>
      <c r="O25" s="90" t="e">
        <f>#REF!</f>
        <v>#REF!</v>
      </c>
      <c r="P25" s="91">
        <f t="shared" si="1"/>
        <v>0.79658403846153902</v>
      </c>
      <c r="Q25" s="6">
        <f>I25*Q2</f>
        <v>5379238.9684999995</v>
      </c>
      <c r="R25" s="78">
        <f t="shared" si="3"/>
        <v>79.038872533755836</v>
      </c>
      <c r="S25" s="652" t="e">
        <f t="shared" si="4"/>
        <v>#DIV/0!</v>
      </c>
      <c r="T25" s="78">
        <f t="shared" si="5"/>
        <v>7.1477272727272725</v>
      </c>
      <c r="U25" s="126" t="e">
        <f t="shared" si="6"/>
        <v>#REF!</v>
      </c>
      <c r="V25" s="18" t="e">
        <f t="shared" si="7"/>
        <v>#REF!</v>
      </c>
      <c r="W25" s="78" t="e">
        <f>SUM(V25/E25)/T2</f>
        <v>#REF!</v>
      </c>
      <c r="X25">
        <f t="shared" si="9"/>
        <v>1584</v>
      </c>
      <c r="Y25" s="653">
        <v>106</v>
      </c>
      <c r="Z25" s="81" t="e">
        <f t="shared" si="8"/>
        <v>#DIV/0!</v>
      </c>
    </row>
    <row r="26" spans="1:26">
      <c r="A26" s="54">
        <f>SUM([1]Gen!A32)</f>
        <v>43760</v>
      </c>
      <c r="B26" s="84">
        <v>0</v>
      </c>
      <c r="C26" s="89">
        <f>SUM([1]Gen!B32)</f>
        <v>0.40300000000000002</v>
      </c>
      <c r="D26" s="647">
        <f t="shared" si="2"/>
        <v>31.031000000000002</v>
      </c>
      <c r="E26" s="76"/>
      <c r="F26" s="72">
        <f>[1]Gen!T32</f>
        <v>5400</v>
      </c>
      <c r="G26" s="87">
        <f>[1]Gen!S32</f>
        <v>2286.86</v>
      </c>
      <c r="H26" s="87">
        <f>[1]Gen!AJ32</f>
        <v>18.63</v>
      </c>
      <c r="I26" s="87">
        <f t="shared" si="0"/>
        <v>2305.4900000000002</v>
      </c>
      <c r="J26" s="87">
        <f>[1]Gen!AT32</f>
        <v>38988.160000000033</v>
      </c>
      <c r="K26" s="71">
        <f>'[1]Water-Meter'!E31</f>
        <v>130</v>
      </c>
      <c r="L26" s="69" t="e">
        <f>#REF!</f>
        <v>#REF!</v>
      </c>
      <c r="M26" s="90" t="e">
        <f>#REF!</f>
        <v>#REF!</v>
      </c>
      <c r="N26" s="90" t="e">
        <f>#REF!</f>
        <v>#REF!</v>
      </c>
      <c r="O26" s="90" t="e">
        <f>#REF!</f>
        <v>#REF!</v>
      </c>
      <c r="P26" s="91">
        <f t="shared" si="1"/>
        <v>0.74977230769230829</v>
      </c>
      <c r="Q26" s="6">
        <f>I26*Q2</f>
        <v>5094787.0765000004</v>
      </c>
      <c r="R26" s="78">
        <f t="shared" si="3"/>
        <v>103.65138031771097</v>
      </c>
      <c r="S26" s="652" t="e">
        <f t="shared" si="4"/>
        <v>#DIV/0!</v>
      </c>
      <c r="T26" s="78">
        <f t="shared" si="5"/>
        <v>8.3712121212121211</v>
      </c>
      <c r="U26" s="126" t="e">
        <f t="shared" si="6"/>
        <v>#REF!</v>
      </c>
      <c r="V26" s="18" t="e">
        <f t="shared" si="7"/>
        <v>#REF!</v>
      </c>
      <c r="W26" s="78" t="e">
        <f>SUM(V26/E26)/T2</f>
        <v>#REF!</v>
      </c>
      <c r="X26">
        <f t="shared" si="9"/>
        <v>1584</v>
      </c>
      <c r="Y26" s="653">
        <v>106</v>
      </c>
      <c r="Z26" s="81" t="e">
        <f t="shared" si="8"/>
        <v>#DIV/0!</v>
      </c>
    </row>
    <row r="27" spans="1:26">
      <c r="A27" s="54">
        <f>SUM([1]Gen!A33)</f>
        <v>43761</v>
      </c>
      <c r="B27" s="84">
        <v>0</v>
      </c>
      <c r="C27" s="89">
        <f>SUM([1]Gen!B33)</f>
        <v>0.24</v>
      </c>
      <c r="D27" s="647">
        <f t="shared" si="2"/>
        <v>18.48</v>
      </c>
      <c r="E27" s="76"/>
      <c r="F27" s="72">
        <f>[1]Gen!T33</f>
        <v>5371</v>
      </c>
      <c r="G27" s="87">
        <f>[1]Gen!S33</f>
        <v>2148.2999999999997</v>
      </c>
      <c r="H27" s="87">
        <f>[1]Gen!AJ33</f>
        <v>311.34000000000003</v>
      </c>
      <c r="I27" s="87">
        <f t="shared" si="0"/>
        <v>2459.64</v>
      </c>
      <c r="J27" s="87">
        <f>[1]Gen!AT33</f>
        <v>36682.670000000035</v>
      </c>
      <c r="K27" s="71">
        <f>'[1]Water-Meter'!E32</f>
        <v>114</v>
      </c>
      <c r="L27" s="69" t="e">
        <f>#REF!</f>
        <v>#REF!</v>
      </c>
      <c r="M27" s="90" t="e">
        <f>#REF!</f>
        <v>#REF!</v>
      </c>
      <c r="N27" s="90" t="e">
        <f>#REF!</f>
        <v>#REF!</v>
      </c>
      <c r="O27" s="90" t="e">
        <f>#REF!</f>
        <v>#REF!</v>
      </c>
      <c r="P27" s="91">
        <f t="shared" si="1"/>
        <v>0.70543596153846222</v>
      </c>
      <c r="Q27" s="6">
        <f>I27*Q2</f>
        <v>5435435.4539999999</v>
      </c>
      <c r="R27" s="78">
        <f t="shared" si="3"/>
        <v>185.6851610668372</v>
      </c>
      <c r="S27" s="652" t="e">
        <f t="shared" si="4"/>
        <v>#DIV/0!</v>
      </c>
      <c r="T27" s="78">
        <f t="shared" si="5"/>
        <v>7.3409090909090908</v>
      </c>
      <c r="U27" s="126" t="e">
        <f t="shared" si="6"/>
        <v>#REF!</v>
      </c>
      <c r="V27" s="18" t="e">
        <f t="shared" si="7"/>
        <v>#REF!</v>
      </c>
      <c r="W27" s="78" t="e">
        <f>SUM(V27/E27)/T2</f>
        <v>#REF!</v>
      </c>
      <c r="X27">
        <f t="shared" si="9"/>
        <v>1584</v>
      </c>
      <c r="Y27" s="653">
        <v>106</v>
      </c>
      <c r="Z27" s="81" t="e">
        <f t="shared" si="8"/>
        <v>#DIV/0!</v>
      </c>
    </row>
    <row r="28" spans="1:26">
      <c r="A28" s="54">
        <f>SUM([1]Gen!A34)</f>
        <v>43762</v>
      </c>
      <c r="B28" s="84">
        <v>0</v>
      </c>
      <c r="C28" s="89">
        <f>SUM([1]Gen!B34)</f>
        <v>0.09</v>
      </c>
      <c r="D28" s="647">
        <f t="shared" si="2"/>
        <v>6.93</v>
      </c>
      <c r="E28" s="76"/>
      <c r="F28" s="72">
        <f>[1]Gen!T34</f>
        <v>5296</v>
      </c>
      <c r="G28" s="87">
        <f>[1]Gen!S34</f>
        <v>2213.27</v>
      </c>
      <c r="H28" s="87">
        <f>[1]Gen!AJ34</f>
        <v>380.7</v>
      </c>
      <c r="I28" s="87">
        <f t="shared" si="0"/>
        <v>2593.9699999999998</v>
      </c>
      <c r="J28" s="87">
        <f>[1]Gen!AT34</f>
        <v>44223.030000000035</v>
      </c>
      <c r="K28" s="71">
        <f>'[1]Water-Meter'!E33</f>
        <v>-215493</v>
      </c>
      <c r="L28" s="69" t="e">
        <f>#REF!</f>
        <v>#REF!</v>
      </c>
      <c r="M28" s="90" t="e">
        <f>#REF!</f>
        <v>#REF!</v>
      </c>
      <c r="N28" s="90" t="e">
        <f>#REF!</f>
        <v>#REF!</v>
      </c>
      <c r="O28" s="90" t="e">
        <f>#REF!</f>
        <v>#REF!</v>
      </c>
      <c r="P28" s="91">
        <f t="shared" si="1"/>
        <v>0.85044288461538531</v>
      </c>
      <c r="Q28" s="6">
        <f>I28*Q2</f>
        <v>5732284.6044999994</v>
      </c>
      <c r="R28" s="78">
        <f t="shared" si="3"/>
        <v>522.20296439321055</v>
      </c>
      <c r="S28" s="652" t="e">
        <f t="shared" si="4"/>
        <v>#DIV/0!</v>
      </c>
      <c r="T28" s="78">
        <f t="shared" si="5"/>
        <v>-13876.443181818182</v>
      </c>
      <c r="U28" s="126" t="e">
        <f t="shared" si="6"/>
        <v>#REF!</v>
      </c>
      <c r="V28" s="18" t="e">
        <f t="shared" si="7"/>
        <v>#REF!</v>
      </c>
      <c r="W28" s="78" t="e">
        <f>SUM(V28/E28)/T2</f>
        <v>#REF!</v>
      </c>
      <c r="X28">
        <f t="shared" si="9"/>
        <v>1584</v>
      </c>
      <c r="Y28" s="653">
        <v>106</v>
      </c>
      <c r="Z28" s="81" t="e">
        <f t="shared" si="8"/>
        <v>#DIV/0!</v>
      </c>
    </row>
    <row r="29" spans="1:26">
      <c r="A29" s="54">
        <f>SUM([1]Gen!A35)</f>
        <v>43763</v>
      </c>
      <c r="B29" s="84">
        <v>0</v>
      </c>
      <c r="C29" s="89">
        <f>SUM([1]Gen!B35)</f>
        <v>0.28599999999999998</v>
      </c>
      <c r="D29" s="647">
        <f t="shared" si="2"/>
        <v>22.021999999999998</v>
      </c>
      <c r="E29" s="76"/>
      <c r="F29" s="72">
        <f>[1]Gen!T35</f>
        <v>5221</v>
      </c>
      <c r="G29" s="87">
        <f>[1]Gen!S35</f>
        <v>2104.5200000000004</v>
      </c>
      <c r="H29" s="87">
        <f>[1]Gen!AJ35</f>
        <v>273.37</v>
      </c>
      <c r="I29" s="87">
        <f t="shared" si="0"/>
        <v>2377.8900000000003</v>
      </c>
      <c r="J29" s="87">
        <f>[1]Gen!AT35</f>
        <v>41629.060000000034</v>
      </c>
      <c r="K29" s="71">
        <f>'[1]Water-Meter'!E34</f>
        <v>0</v>
      </c>
      <c r="L29" s="69" t="e">
        <f>#REF!</f>
        <v>#REF!</v>
      </c>
      <c r="M29" s="90" t="e">
        <f>#REF!</f>
        <v>#REF!</v>
      </c>
      <c r="N29" s="90" t="e">
        <f>#REF!</f>
        <v>#REF!</v>
      </c>
      <c r="O29" s="90" t="e">
        <f>#REF!</f>
        <v>#REF!</v>
      </c>
      <c r="P29" s="91">
        <f t="shared" si="1"/>
        <v>0.80055884615384676</v>
      </c>
      <c r="Q29" s="6">
        <f>I29*Q2</f>
        <v>5254780.2165000001</v>
      </c>
      <c r="R29" s="78">
        <f t="shared" si="3"/>
        <v>150.64080250844199</v>
      </c>
      <c r="S29" s="652" t="e">
        <f t="shared" si="4"/>
        <v>#DIV/0!</v>
      </c>
      <c r="T29" s="78">
        <f t="shared" si="5"/>
        <v>0</v>
      </c>
      <c r="U29" s="126" t="e">
        <f t="shared" si="6"/>
        <v>#REF!</v>
      </c>
      <c r="V29" s="18" t="e">
        <f t="shared" si="7"/>
        <v>#REF!</v>
      </c>
      <c r="W29" s="78" t="e">
        <f>SUM(V29/E29)/T2</f>
        <v>#REF!</v>
      </c>
      <c r="X29">
        <f t="shared" si="9"/>
        <v>1584</v>
      </c>
      <c r="Y29" s="653">
        <v>106</v>
      </c>
      <c r="Z29" s="81" t="e">
        <f t="shared" si="8"/>
        <v>#DIV/0!</v>
      </c>
    </row>
    <row r="30" spans="1:26">
      <c r="A30" s="54">
        <f>SUM([1]Gen!A36)</f>
        <v>43764</v>
      </c>
      <c r="B30" s="84">
        <v>0</v>
      </c>
      <c r="C30" s="89">
        <f>SUM([1]Gen!B36)</f>
        <v>0.54500000000000004</v>
      </c>
      <c r="D30" s="647">
        <f t="shared" si="2"/>
        <v>41.965000000000003</v>
      </c>
      <c r="E30" s="76"/>
      <c r="F30" s="72">
        <f>[1]Gen!T36</f>
        <v>5665</v>
      </c>
      <c r="G30" s="87">
        <f>[1]Gen!S36</f>
        <v>2470.2400000000002</v>
      </c>
      <c r="H30" s="87">
        <f>[1]Gen!AJ36</f>
        <v>396.56</v>
      </c>
      <c r="I30" s="87">
        <f t="shared" si="0"/>
        <v>2866.8</v>
      </c>
      <c r="J30" s="87">
        <f>[1]Gen!AT36</f>
        <v>39251.170000000035</v>
      </c>
      <c r="K30" s="71">
        <f>'[1]Water-Meter'!E35</f>
        <v>0</v>
      </c>
      <c r="L30" s="69" t="e">
        <f>#REF!</f>
        <v>#REF!</v>
      </c>
      <c r="M30" s="90" t="e">
        <f>#REF!</f>
        <v>#REF!</v>
      </c>
      <c r="N30" s="90" t="e">
        <f>#REF!</f>
        <v>#REF!</v>
      </c>
      <c r="O30" s="90" t="e">
        <f>#REF!</f>
        <v>#REF!</v>
      </c>
      <c r="P30" s="91">
        <f t="shared" si="1"/>
        <v>0.75483019230769299</v>
      </c>
      <c r="Q30" s="6">
        <f>I30*Q2</f>
        <v>6335197.9800000004</v>
      </c>
      <c r="R30" s="78">
        <f t="shared" si="3"/>
        <v>95.305461080481933</v>
      </c>
      <c r="S30" s="652" t="e">
        <f t="shared" si="4"/>
        <v>#DIV/0!</v>
      </c>
      <c r="T30" s="78">
        <f t="shared" si="5"/>
        <v>0</v>
      </c>
      <c r="U30" s="126" t="e">
        <f t="shared" si="6"/>
        <v>#REF!</v>
      </c>
      <c r="V30" s="18" t="e">
        <f t="shared" si="7"/>
        <v>#REF!</v>
      </c>
      <c r="W30" s="78" t="e">
        <f>SUM(V30/E30)/T2</f>
        <v>#REF!</v>
      </c>
      <c r="X30">
        <f t="shared" si="9"/>
        <v>1584</v>
      </c>
      <c r="Y30" s="653">
        <v>106</v>
      </c>
      <c r="Z30" s="81" t="e">
        <f t="shared" si="8"/>
        <v>#DIV/0!</v>
      </c>
    </row>
    <row r="31" spans="1:26">
      <c r="A31" s="54">
        <f>SUM([1]Gen!A37)</f>
        <v>43765</v>
      </c>
      <c r="B31" s="84">
        <v>0</v>
      </c>
      <c r="C31" s="89">
        <f>SUM([1]Gen!B37)</f>
        <v>0.67500000000000004</v>
      </c>
      <c r="D31" s="647">
        <f t="shared" si="2"/>
        <v>51.975000000000001</v>
      </c>
      <c r="E31" s="76"/>
      <c r="F31" s="72">
        <f>[1]Gen!T37</f>
        <v>6109</v>
      </c>
      <c r="G31" s="87">
        <f>[1]Gen!S37</f>
        <v>2323.7399999999998</v>
      </c>
      <c r="H31" s="87">
        <f>[1]Gen!AJ37</f>
        <v>280.63</v>
      </c>
      <c r="I31" s="87">
        <f t="shared" si="0"/>
        <v>2604.37</v>
      </c>
      <c r="J31" s="87">
        <f>[1]Gen!AT37</f>
        <v>36384.370000000032</v>
      </c>
      <c r="K31" s="71">
        <f>'[1]Water-Meter'!E36</f>
        <v>0</v>
      </c>
      <c r="L31" s="69" t="e">
        <f>#REF!</f>
        <v>#REF!</v>
      </c>
      <c r="M31" s="90" t="e">
        <f>#REF!</f>
        <v>#REF!</v>
      </c>
      <c r="N31" s="90" t="e">
        <f>#REF!</f>
        <v>#REF!</v>
      </c>
      <c r="O31" s="90" t="e">
        <f>#REF!</f>
        <v>#REF!</v>
      </c>
      <c r="P31" s="91">
        <f t="shared" si="1"/>
        <v>0.69969942307692368</v>
      </c>
      <c r="Q31" s="6">
        <f>I31*Q2</f>
        <v>5755267.0444999998</v>
      </c>
      <c r="R31" s="78">
        <f t="shared" si="3"/>
        <v>69.906217593199912</v>
      </c>
      <c r="S31" s="652" t="e">
        <f t="shared" si="4"/>
        <v>#DIV/0!</v>
      </c>
      <c r="T31" s="78">
        <f t="shared" si="5"/>
        <v>0</v>
      </c>
      <c r="U31" s="126" t="e">
        <f t="shared" si="6"/>
        <v>#REF!</v>
      </c>
      <c r="V31" s="18" t="e">
        <f t="shared" si="7"/>
        <v>#REF!</v>
      </c>
      <c r="W31" s="78" t="e">
        <f>SUM(V31/E31)/T2</f>
        <v>#REF!</v>
      </c>
      <c r="X31">
        <f t="shared" si="9"/>
        <v>1584</v>
      </c>
      <c r="Y31" s="653">
        <v>106</v>
      </c>
      <c r="Z31" s="81" t="e">
        <f t="shared" si="8"/>
        <v>#DIV/0!</v>
      </c>
    </row>
    <row r="32" spans="1:26">
      <c r="A32" s="54">
        <f>SUM([1]Gen!A38)</f>
        <v>43766</v>
      </c>
      <c r="B32" s="84">
        <v>0</v>
      </c>
      <c r="C32" s="89">
        <f>SUM([1]Gen!B38)</f>
        <v>0.27300000000000002</v>
      </c>
      <c r="D32" s="647">
        <f t="shared" si="2"/>
        <v>21.021000000000001</v>
      </c>
      <c r="E32" s="76"/>
      <c r="F32" s="72">
        <f>[1]Gen!T38</f>
        <v>0</v>
      </c>
      <c r="G32" s="87">
        <f>[1]Gen!S38</f>
        <v>0</v>
      </c>
      <c r="H32" s="87">
        <f>[1]Gen!AJ38</f>
        <v>0</v>
      </c>
      <c r="I32" s="87">
        <f t="shared" si="0"/>
        <v>0</v>
      </c>
      <c r="J32" s="87">
        <f>[1]Gen!AT38</f>
        <v>33780.000000000029</v>
      </c>
      <c r="K32" s="71">
        <f>'[1]Water-Meter'!E37</f>
        <v>0</v>
      </c>
      <c r="L32" s="69" t="e">
        <f>#REF!</f>
        <v>#REF!</v>
      </c>
      <c r="M32" s="90" t="e">
        <f>#REF!</f>
        <v>#REF!</v>
      </c>
      <c r="N32" s="90" t="e">
        <f>#REF!</f>
        <v>#REF!</v>
      </c>
      <c r="O32" s="90" t="e">
        <f>#REF!</f>
        <v>#REF!</v>
      </c>
      <c r="P32" s="91">
        <f t="shared" si="1"/>
        <v>0.64961538461538515</v>
      </c>
      <c r="Q32" s="6">
        <f>I32*Q2</f>
        <v>0</v>
      </c>
      <c r="R32" s="78">
        <f t="shared" si="3"/>
        <v>0</v>
      </c>
      <c r="S32" s="652" t="e">
        <f t="shared" si="4"/>
        <v>#DIV/0!</v>
      </c>
      <c r="T32" s="78">
        <f t="shared" si="5"/>
        <v>0</v>
      </c>
      <c r="U32" s="126" t="e">
        <f t="shared" si="6"/>
        <v>#REF!</v>
      </c>
      <c r="V32" s="18" t="e">
        <f t="shared" si="7"/>
        <v>#REF!</v>
      </c>
      <c r="W32" s="78" t="e">
        <f>SUM(V32/E32)/T2</f>
        <v>#REF!</v>
      </c>
      <c r="X32">
        <f t="shared" si="9"/>
        <v>1584</v>
      </c>
      <c r="Y32" s="653">
        <v>106</v>
      </c>
      <c r="Z32" s="81" t="e">
        <f t="shared" si="8"/>
        <v>#DIV/0!</v>
      </c>
    </row>
    <row r="33" spans="1:26">
      <c r="A33" s="54"/>
      <c r="B33" s="84">
        <v>0</v>
      </c>
      <c r="C33" s="89" t="e">
        <f>SUM([1]Gen!B39)</f>
        <v>#REF!</v>
      </c>
      <c r="D33" s="647" t="e">
        <f t="shared" si="2"/>
        <v>#REF!</v>
      </c>
      <c r="E33" s="76"/>
      <c r="F33" s="72">
        <f>[1]Gen!T39</f>
        <v>0</v>
      </c>
      <c r="G33" s="87">
        <f>[1]Gen!S39</f>
        <v>0</v>
      </c>
      <c r="H33" s="87">
        <f>[1]Gen!AJ39</f>
        <v>0</v>
      </c>
      <c r="I33" s="87">
        <f t="shared" si="0"/>
        <v>0</v>
      </c>
      <c r="J33" s="87">
        <f>[1]Gen!AT39</f>
        <v>33780.000000000029</v>
      </c>
      <c r="K33" s="71">
        <f>'[1]Water-Meter'!E38</f>
        <v>-212333</v>
      </c>
      <c r="L33" s="69" t="e">
        <f>#REF!</f>
        <v>#REF!</v>
      </c>
      <c r="M33" s="90" t="e">
        <f>#REF!</f>
        <v>#REF!</v>
      </c>
      <c r="N33" s="90" t="e">
        <f>#REF!</f>
        <v>#REF!</v>
      </c>
      <c r="O33" s="90" t="e">
        <f>#REF!</f>
        <v>#REF!</v>
      </c>
      <c r="P33" s="91">
        <f t="shared" si="1"/>
        <v>0.64961538461538515</v>
      </c>
      <c r="Q33" s="6">
        <f>I33*Q2</f>
        <v>0</v>
      </c>
      <c r="R33" s="78" t="e">
        <f t="shared" si="3"/>
        <v>#REF!</v>
      </c>
      <c r="S33" s="652" t="e">
        <f t="shared" si="4"/>
        <v>#DIV/0!</v>
      </c>
      <c r="T33" s="78">
        <f t="shared" si="5"/>
        <v>-13672.958333333334</v>
      </c>
      <c r="U33" s="126" t="e">
        <f t="shared" si="6"/>
        <v>#REF!</v>
      </c>
      <c r="V33" s="18" t="e">
        <f t="shared" si="7"/>
        <v>#REF!</v>
      </c>
      <c r="W33" s="78" t="e">
        <f>SUM(V33/E33)/T2</f>
        <v>#REF!</v>
      </c>
      <c r="X33">
        <f t="shared" si="9"/>
        <v>1584</v>
      </c>
      <c r="Y33" s="653">
        <v>106</v>
      </c>
      <c r="Z33" s="81" t="e">
        <f t="shared" si="8"/>
        <v>#DIV/0!</v>
      </c>
    </row>
    <row r="34" spans="1:26">
      <c r="A34" s="54"/>
      <c r="B34" s="84">
        <v>0</v>
      </c>
      <c r="C34" s="89" t="e">
        <f>SUM([1]Gen!B40)</f>
        <v>#REF!</v>
      </c>
      <c r="D34" s="647" t="e">
        <f t="shared" si="2"/>
        <v>#REF!</v>
      </c>
      <c r="E34" s="76"/>
      <c r="F34" s="72">
        <f>[1]Gen!T40</f>
        <v>0</v>
      </c>
      <c r="G34" s="87">
        <f>[1]Gen!S40</f>
        <v>0</v>
      </c>
      <c r="H34" s="87">
        <f>[1]Gen!AJ40</f>
        <v>0</v>
      </c>
      <c r="I34" s="87">
        <f t="shared" si="0"/>
        <v>0</v>
      </c>
      <c r="J34" s="87">
        <f>[1]Gen!AT40</f>
        <v>33780.000000000029</v>
      </c>
      <c r="K34" s="71" t="e">
        <f>'[1]Water-Meter'!E39</f>
        <v>#REF!</v>
      </c>
      <c r="L34" s="69" t="e">
        <f>#REF!</f>
        <v>#REF!</v>
      </c>
      <c r="M34" s="90" t="e">
        <f>#REF!</f>
        <v>#REF!</v>
      </c>
      <c r="N34" s="90" t="e">
        <f>#REF!</f>
        <v>#REF!</v>
      </c>
      <c r="O34" s="90" t="e">
        <f>#REF!</f>
        <v>#REF!</v>
      </c>
      <c r="P34" s="91">
        <f t="shared" si="1"/>
        <v>0.64961538461538515</v>
      </c>
      <c r="Q34" s="6">
        <f>I34*Q2</f>
        <v>0</v>
      </c>
      <c r="R34" s="78" t="e">
        <f t="shared" si="3"/>
        <v>#REF!</v>
      </c>
      <c r="S34" s="652" t="e">
        <f t="shared" si="4"/>
        <v>#DIV/0!</v>
      </c>
      <c r="T34" s="78" t="e">
        <f t="shared" si="5"/>
        <v>#REF!</v>
      </c>
      <c r="U34" s="126" t="e">
        <f t="shared" si="6"/>
        <v>#REF!</v>
      </c>
      <c r="V34" s="18" t="e">
        <f t="shared" si="7"/>
        <v>#REF!</v>
      </c>
      <c r="W34" s="78" t="e">
        <f>SUM(V34/E34)/T2</f>
        <v>#REF!</v>
      </c>
      <c r="X34">
        <f t="shared" si="9"/>
        <v>1584</v>
      </c>
      <c r="Y34" s="653">
        <v>106</v>
      </c>
      <c r="Z34" s="81" t="e">
        <f t="shared" si="8"/>
        <v>#DIV/0!</v>
      </c>
    </row>
    <row r="35" spans="1:26">
      <c r="A35" s="54"/>
      <c r="B35" s="84">
        <v>0</v>
      </c>
      <c r="C35" s="89" t="e">
        <f>SUM([1]Gen!B41)</f>
        <v>#REF!</v>
      </c>
      <c r="D35" s="647" t="e">
        <f t="shared" si="2"/>
        <v>#REF!</v>
      </c>
      <c r="E35" s="76"/>
      <c r="F35" s="72">
        <f>[1]Gen!T41</f>
        <v>0</v>
      </c>
      <c r="G35" s="87">
        <f>[1]Gen!S41</f>
        <v>0</v>
      </c>
      <c r="H35" s="87">
        <f>[1]Gen!AJ41</f>
        <v>0</v>
      </c>
      <c r="I35" s="87">
        <f t="shared" si="0"/>
        <v>0</v>
      </c>
      <c r="J35" s="87">
        <f>[1]Gen!AT41</f>
        <v>33780.000000000029</v>
      </c>
      <c r="K35" s="71" t="e">
        <f>'[1]Water-Meter'!E40</f>
        <v>#REF!</v>
      </c>
      <c r="L35" s="69" t="e">
        <f>#REF!</f>
        <v>#REF!</v>
      </c>
      <c r="M35" s="90" t="e">
        <f>#REF!</f>
        <v>#REF!</v>
      </c>
      <c r="N35" s="90" t="e">
        <f>#REF!</f>
        <v>#REF!</v>
      </c>
      <c r="O35" s="90" t="e">
        <f>#REF!</f>
        <v>#REF!</v>
      </c>
      <c r="P35" s="91">
        <f t="shared" si="1"/>
        <v>0.64961538461538515</v>
      </c>
      <c r="Q35" s="6">
        <f>I35*Q2</f>
        <v>0</v>
      </c>
      <c r="R35" s="78" t="e">
        <f t="shared" si="3"/>
        <v>#REF!</v>
      </c>
      <c r="S35" s="652" t="e">
        <f t="shared" si="4"/>
        <v>#DIV/0!</v>
      </c>
      <c r="T35" s="78" t="e">
        <f t="shared" si="5"/>
        <v>#REF!</v>
      </c>
      <c r="U35" s="126" t="e">
        <f t="shared" si="6"/>
        <v>#REF!</v>
      </c>
      <c r="V35" s="18" t="e">
        <f t="shared" si="7"/>
        <v>#REF!</v>
      </c>
      <c r="W35" s="78" t="e">
        <f>SUM(V35/E35)/T2</f>
        <v>#REF!</v>
      </c>
      <c r="X35">
        <f t="shared" si="9"/>
        <v>1584</v>
      </c>
      <c r="Y35" s="653">
        <v>106</v>
      </c>
      <c r="Z35" s="81" t="e">
        <f t="shared" si="8"/>
        <v>#DIV/0!</v>
      </c>
    </row>
    <row r="36" spans="1:26" ht="13.5" thickBot="1">
      <c r="A36" s="55"/>
      <c r="B36" s="83"/>
      <c r="C36" s="73"/>
      <c r="D36" s="86"/>
      <c r="E36" s="8"/>
      <c r="F36" s="73"/>
      <c r="G36" s="88"/>
      <c r="H36" s="88"/>
      <c r="I36" s="88"/>
      <c r="J36" s="88"/>
      <c r="K36" s="8" t="e">
        <f>'[1]Water-Meter'!E41</f>
        <v>#REF!</v>
      </c>
      <c r="L36" s="70"/>
      <c r="M36" s="88"/>
      <c r="N36" s="88"/>
      <c r="O36" s="88"/>
      <c r="P36" s="88"/>
      <c r="Q36" s="6">
        <f>I36*2057.79</f>
        <v>0</v>
      </c>
      <c r="R36" s="77"/>
      <c r="S36" s="77"/>
      <c r="T36" s="125"/>
      <c r="U36" s="127"/>
      <c r="V36" s="18">
        <f t="shared" si="7"/>
        <v>0</v>
      </c>
      <c r="W36" s="125"/>
    </row>
    <row r="37" spans="1:26">
      <c r="S37" s="81" t="e">
        <f>SUM(S5:S16)/[1]Gen!A47</f>
        <v>#REF!</v>
      </c>
    </row>
    <row r="38" spans="1:26">
      <c r="B38" s="85" t="e">
        <f>SUM(B5:B37)/[1]Gen!A47</f>
        <v>#REF!</v>
      </c>
      <c r="M38">
        <f>0.5*2057.79</f>
        <v>1028.895</v>
      </c>
    </row>
    <row r="39" spans="1:26">
      <c r="B39" s="85" t="e">
        <f>SUM(B38*[1]Gen!A47)</f>
        <v>#REF!</v>
      </c>
      <c r="C39" s="85" t="e">
        <f>SUM(B39/250)</f>
        <v>#REF!</v>
      </c>
      <c r="M39">
        <f>M38/1500</f>
        <v>0.68593000000000004</v>
      </c>
      <c r="O39">
        <f>(24*2.2)*2</f>
        <v>105.60000000000001</v>
      </c>
      <c r="P39">
        <f>O39*1029</f>
        <v>108662.40000000001</v>
      </c>
      <c r="R39" t="s">
        <v>78</v>
      </c>
      <c r="S39" s="81" t="e">
        <f>SUM(S37-Y35)</f>
        <v>#REF!</v>
      </c>
    </row>
    <row r="40" spans="1:26">
      <c r="P40">
        <f>P39/K5</f>
        <v>953.17894736842118</v>
      </c>
    </row>
  </sheetData>
  <pageMargins left="0.7" right="0.7" top="0.75" bottom="0.75" header="0.3" footer="0.3"/>
  <pageSetup paperSize="9" orientation="portrait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00B050"/>
  </sheetPr>
  <dimension ref="A1:G77"/>
  <sheetViews>
    <sheetView topLeftCell="A55" workbookViewId="0">
      <selection activeCell="I39" sqref="I39"/>
    </sheetView>
  </sheetViews>
  <sheetFormatPr defaultRowHeight="12.75"/>
  <cols>
    <col min="1" max="1" width="10.140625" bestFit="1" customWidth="1"/>
    <col min="2" max="3" width="12.42578125" customWidth="1"/>
    <col min="4" max="4" width="13.28515625" customWidth="1"/>
    <col min="5" max="5" width="12.28515625" bestFit="1" customWidth="1"/>
    <col min="6" max="6" width="12.7109375" bestFit="1" customWidth="1"/>
    <col min="7" max="7" width="12.42578125" customWidth="1"/>
  </cols>
  <sheetData>
    <row r="1" spans="1:7" ht="15.75" thickBot="1">
      <c r="A1" s="855" t="s">
        <v>181</v>
      </c>
      <c r="B1" s="856"/>
      <c r="C1" s="856"/>
      <c r="D1" s="856"/>
      <c r="E1" s="856"/>
      <c r="F1" s="856"/>
      <c r="G1" s="857"/>
    </row>
    <row r="2" spans="1:7" ht="13.5" thickBot="1">
      <c r="A2" s="413"/>
      <c r="B2" s="858" t="s">
        <v>176</v>
      </c>
      <c r="C2" s="859"/>
      <c r="D2" s="860"/>
      <c r="E2" s="858" t="s">
        <v>177</v>
      </c>
      <c r="F2" s="859"/>
      <c r="G2" s="860"/>
    </row>
    <row r="3" spans="1:7" ht="40.5" customHeight="1">
      <c r="A3" s="449" t="s">
        <v>7</v>
      </c>
      <c r="B3" s="450" t="s">
        <v>178</v>
      </c>
      <c r="C3" s="450" t="s">
        <v>179</v>
      </c>
      <c r="D3" s="450" t="s">
        <v>180</v>
      </c>
      <c r="E3" s="450" t="s">
        <v>178</v>
      </c>
      <c r="F3" s="450" t="s">
        <v>179</v>
      </c>
      <c r="G3" s="451" t="s">
        <v>180</v>
      </c>
    </row>
    <row r="4" spans="1:7">
      <c r="A4" s="415">
        <v>42095</v>
      </c>
      <c r="B4" s="452">
        <v>0</v>
      </c>
      <c r="C4" s="329">
        <v>193</v>
      </c>
      <c r="D4" s="453">
        <f>C4-B4</f>
        <v>193</v>
      </c>
      <c r="E4" s="454">
        <v>0</v>
      </c>
      <c r="F4" s="414">
        <v>0</v>
      </c>
      <c r="G4" s="360">
        <f>F4-E4</f>
        <v>0</v>
      </c>
    </row>
    <row r="5" spans="1:7" ht="12" customHeight="1">
      <c r="A5" s="415">
        <v>42125</v>
      </c>
      <c r="B5" s="452">
        <f>C4</f>
        <v>193</v>
      </c>
      <c r="C5" s="333">
        <v>1158</v>
      </c>
      <c r="D5" s="453">
        <f t="shared" ref="D5:D68" si="0">C5-B5</f>
        <v>965</v>
      </c>
      <c r="E5" s="454">
        <v>145572</v>
      </c>
      <c r="F5" s="414">
        <v>145572</v>
      </c>
      <c r="G5" s="360">
        <f t="shared" ref="G5:G68" si="1">F5-E5</f>
        <v>0</v>
      </c>
    </row>
    <row r="6" spans="1:7">
      <c r="A6" s="415">
        <v>42156</v>
      </c>
      <c r="B6" s="452">
        <f t="shared" ref="B6:B69" si="2">C5</f>
        <v>1158</v>
      </c>
      <c r="C6" s="333">
        <v>2084</v>
      </c>
      <c r="D6" s="453">
        <f t="shared" si="0"/>
        <v>926</v>
      </c>
      <c r="E6" s="454">
        <f>F5</f>
        <v>145572</v>
      </c>
      <c r="F6" s="414">
        <v>147984</v>
      </c>
      <c r="G6" s="360">
        <f t="shared" si="1"/>
        <v>2412</v>
      </c>
    </row>
    <row r="7" spans="1:7">
      <c r="A7" s="415">
        <v>42186</v>
      </c>
      <c r="B7" s="452">
        <f t="shared" si="2"/>
        <v>2084</v>
      </c>
      <c r="C7" s="333">
        <v>3073</v>
      </c>
      <c r="D7" s="453">
        <f t="shared" si="0"/>
        <v>989</v>
      </c>
      <c r="E7" s="454">
        <f>F6</f>
        <v>147984</v>
      </c>
      <c r="F7" s="373">
        <v>150507</v>
      </c>
      <c r="G7" s="360">
        <f t="shared" si="1"/>
        <v>2523</v>
      </c>
    </row>
    <row r="8" spans="1:7">
      <c r="A8" s="415">
        <v>42217</v>
      </c>
      <c r="B8" s="452">
        <f t="shared" si="2"/>
        <v>3073</v>
      </c>
      <c r="C8" s="333">
        <v>4063</v>
      </c>
      <c r="D8" s="453">
        <f t="shared" si="0"/>
        <v>990</v>
      </c>
      <c r="E8" s="454">
        <f t="shared" ref="E8:E71" si="3">F7</f>
        <v>150507</v>
      </c>
      <c r="F8" s="373">
        <v>152986</v>
      </c>
      <c r="G8" s="360">
        <f t="shared" si="1"/>
        <v>2479</v>
      </c>
    </row>
    <row r="9" spans="1:7">
      <c r="A9" s="415">
        <v>42248</v>
      </c>
      <c r="B9" s="452">
        <f t="shared" si="2"/>
        <v>4063</v>
      </c>
      <c r="C9" s="333">
        <v>5058</v>
      </c>
      <c r="D9" s="453">
        <f t="shared" si="0"/>
        <v>995</v>
      </c>
      <c r="E9" s="454">
        <f t="shared" si="3"/>
        <v>152986</v>
      </c>
      <c r="F9" s="373">
        <v>155468</v>
      </c>
      <c r="G9" s="360">
        <f t="shared" si="1"/>
        <v>2482</v>
      </c>
    </row>
    <row r="10" spans="1:7">
      <c r="A10" s="415">
        <v>42278</v>
      </c>
      <c r="B10" s="452">
        <f t="shared" si="2"/>
        <v>5058</v>
      </c>
      <c r="C10" s="333">
        <v>6049</v>
      </c>
      <c r="D10" s="453">
        <f t="shared" si="0"/>
        <v>991</v>
      </c>
      <c r="E10" s="454">
        <f t="shared" si="3"/>
        <v>155468</v>
      </c>
      <c r="F10" s="373">
        <v>157962</v>
      </c>
      <c r="G10" s="360">
        <f t="shared" si="1"/>
        <v>2494</v>
      </c>
    </row>
    <row r="11" spans="1:7">
      <c r="A11" s="415">
        <v>42309</v>
      </c>
      <c r="B11" s="452">
        <f t="shared" si="2"/>
        <v>6049</v>
      </c>
      <c r="C11" s="333">
        <v>7028</v>
      </c>
      <c r="D11" s="453">
        <f t="shared" si="0"/>
        <v>979</v>
      </c>
      <c r="E11" s="454">
        <f t="shared" si="3"/>
        <v>157962</v>
      </c>
      <c r="F11" s="373">
        <v>160323</v>
      </c>
      <c r="G11" s="360">
        <f t="shared" si="1"/>
        <v>2361</v>
      </c>
    </row>
    <row r="12" spans="1:7">
      <c r="A12" s="415">
        <v>42339</v>
      </c>
      <c r="B12" s="452">
        <f t="shared" si="2"/>
        <v>7028</v>
      </c>
      <c r="C12" s="333">
        <v>7985</v>
      </c>
      <c r="D12" s="453">
        <f t="shared" si="0"/>
        <v>957</v>
      </c>
      <c r="E12" s="454">
        <f t="shared" si="3"/>
        <v>160323</v>
      </c>
      <c r="F12" s="373">
        <v>162813</v>
      </c>
      <c r="G12" s="360">
        <f t="shared" si="1"/>
        <v>2490</v>
      </c>
    </row>
    <row r="13" spans="1:7">
      <c r="A13" s="415">
        <v>42370</v>
      </c>
      <c r="B13" s="452">
        <f t="shared" si="2"/>
        <v>7985</v>
      </c>
      <c r="C13" s="333">
        <v>8952</v>
      </c>
      <c r="D13" s="453">
        <f t="shared" si="0"/>
        <v>967</v>
      </c>
      <c r="E13" s="454">
        <f t="shared" si="3"/>
        <v>162813</v>
      </c>
      <c r="F13" s="373">
        <v>165317</v>
      </c>
      <c r="G13" s="360">
        <f t="shared" si="1"/>
        <v>2504</v>
      </c>
    </row>
    <row r="14" spans="1:7">
      <c r="A14" s="415">
        <v>42401</v>
      </c>
      <c r="B14" s="452">
        <f t="shared" si="2"/>
        <v>8952</v>
      </c>
      <c r="C14" s="333">
        <v>9898</v>
      </c>
      <c r="D14" s="453">
        <f t="shared" si="0"/>
        <v>946</v>
      </c>
      <c r="E14" s="454">
        <f t="shared" si="3"/>
        <v>165317</v>
      </c>
      <c r="F14" s="373">
        <v>167679</v>
      </c>
      <c r="G14" s="360">
        <f t="shared" si="1"/>
        <v>2362</v>
      </c>
    </row>
    <row r="15" spans="1:7">
      <c r="A15" s="415">
        <v>42430</v>
      </c>
      <c r="B15" s="452">
        <f t="shared" si="2"/>
        <v>9898</v>
      </c>
      <c r="C15" s="333">
        <v>10637</v>
      </c>
      <c r="D15" s="453">
        <f t="shared" si="0"/>
        <v>739</v>
      </c>
      <c r="E15" s="454">
        <f t="shared" si="3"/>
        <v>167679</v>
      </c>
      <c r="F15" s="373">
        <v>170134</v>
      </c>
      <c r="G15" s="360">
        <f t="shared" si="1"/>
        <v>2455</v>
      </c>
    </row>
    <row r="16" spans="1:7">
      <c r="A16" s="415">
        <v>42461</v>
      </c>
      <c r="B16" s="452">
        <f t="shared" si="2"/>
        <v>10637</v>
      </c>
      <c r="C16" s="333">
        <v>11352</v>
      </c>
      <c r="D16" s="453">
        <f t="shared" si="0"/>
        <v>715</v>
      </c>
      <c r="E16" s="454">
        <f t="shared" si="3"/>
        <v>170134</v>
      </c>
      <c r="F16" s="373">
        <v>172562</v>
      </c>
      <c r="G16" s="360">
        <f t="shared" si="1"/>
        <v>2428</v>
      </c>
    </row>
    <row r="17" spans="1:7">
      <c r="A17" s="415">
        <v>42491</v>
      </c>
      <c r="B17" s="452">
        <f t="shared" si="2"/>
        <v>11352</v>
      </c>
      <c r="C17" s="333">
        <v>12426</v>
      </c>
      <c r="D17" s="453">
        <f t="shared" si="0"/>
        <v>1074</v>
      </c>
      <c r="E17" s="454">
        <f t="shared" si="3"/>
        <v>172562</v>
      </c>
      <c r="F17" s="373">
        <v>175041</v>
      </c>
      <c r="G17" s="360">
        <f t="shared" si="1"/>
        <v>2479</v>
      </c>
    </row>
    <row r="18" spans="1:7">
      <c r="A18" s="415">
        <v>42522</v>
      </c>
      <c r="B18" s="452">
        <f t="shared" si="2"/>
        <v>12426</v>
      </c>
      <c r="C18" s="333">
        <v>14111</v>
      </c>
      <c r="D18" s="453">
        <f t="shared" si="0"/>
        <v>1685</v>
      </c>
      <c r="E18" s="454">
        <f t="shared" si="3"/>
        <v>175041</v>
      </c>
      <c r="F18" s="373">
        <v>177300</v>
      </c>
      <c r="G18" s="360">
        <f t="shared" si="1"/>
        <v>2259</v>
      </c>
    </row>
    <row r="19" spans="1:7">
      <c r="A19" s="415">
        <v>42552</v>
      </c>
      <c r="B19" s="452">
        <f t="shared" si="2"/>
        <v>14111</v>
      </c>
      <c r="C19" s="333">
        <v>15790</v>
      </c>
      <c r="D19" s="453">
        <f t="shared" si="0"/>
        <v>1679</v>
      </c>
      <c r="E19" s="454">
        <f t="shared" si="3"/>
        <v>177300</v>
      </c>
      <c r="F19" s="373">
        <v>179548</v>
      </c>
      <c r="G19" s="360">
        <f t="shared" si="1"/>
        <v>2248</v>
      </c>
    </row>
    <row r="20" spans="1:7">
      <c r="A20" s="415">
        <v>42583</v>
      </c>
      <c r="B20" s="452">
        <f t="shared" si="2"/>
        <v>15790</v>
      </c>
      <c r="C20" s="333">
        <v>17450</v>
      </c>
      <c r="D20" s="453">
        <f t="shared" si="0"/>
        <v>1660</v>
      </c>
      <c r="E20" s="454">
        <f t="shared" si="3"/>
        <v>179548</v>
      </c>
      <c r="F20" s="373">
        <v>181842</v>
      </c>
      <c r="G20" s="360">
        <f t="shared" si="1"/>
        <v>2294</v>
      </c>
    </row>
    <row r="21" spans="1:7">
      <c r="A21" s="415">
        <v>42614</v>
      </c>
      <c r="B21" s="452">
        <f t="shared" si="2"/>
        <v>17450</v>
      </c>
      <c r="C21" s="333">
        <v>19133</v>
      </c>
      <c r="D21" s="453">
        <f t="shared" si="0"/>
        <v>1683</v>
      </c>
      <c r="E21" s="454">
        <f t="shared" si="3"/>
        <v>181842</v>
      </c>
      <c r="F21" s="373">
        <v>184095</v>
      </c>
      <c r="G21" s="360">
        <f t="shared" si="1"/>
        <v>2253</v>
      </c>
    </row>
    <row r="22" spans="1:7">
      <c r="A22" s="415">
        <v>42644</v>
      </c>
      <c r="B22" s="452">
        <f t="shared" si="2"/>
        <v>19133</v>
      </c>
      <c r="C22" s="333">
        <v>20804</v>
      </c>
      <c r="D22" s="453">
        <f t="shared" si="0"/>
        <v>1671</v>
      </c>
      <c r="E22" s="454">
        <f t="shared" si="3"/>
        <v>184095</v>
      </c>
      <c r="F22" s="373">
        <v>186344</v>
      </c>
      <c r="G22" s="360">
        <f t="shared" si="1"/>
        <v>2249</v>
      </c>
    </row>
    <row r="23" spans="1:7">
      <c r="A23" s="415">
        <v>42675</v>
      </c>
      <c r="B23" s="452">
        <f t="shared" si="2"/>
        <v>20804</v>
      </c>
      <c r="C23" s="333">
        <v>22489</v>
      </c>
      <c r="D23" s="453">
        <f t="shared" si="0"/>
        <v>1685</v>
      </c>
      <c r="E23" s="454">
        <f t="shared" si="3"/>
        <v>186344</v>
      </c>
      <c r="F23" s="373">
        <v>188595</v>
      </c>
      <c r="G23" s="360">
        <f t="shared" si="1"/>
        <v>2251</v>
      </c>
    </row>
    <row r="24" spans="1:7">
      <c r="A24" s="415">
        <v>42705</v>
      </c>
      <c r="B24" s="452">
        <f t="shared" si="2"/>
        <v>22489</v>
      </c>
      <c r="C24" s="333">
        <v>24085</v>
      </c>
      <c r="D24" s="453">
        <f t="shared" si="0"/>
        <v>1596</v>
      </c>
      <c r="E24" s="454">
        <f t="shared" si="3"/>
        <v>188595</v>
      </c>
      <c r="F24" s="373">
        <v>190896</v>
      </c>
      <c r="G24" s="360">
        <f t="shared" si="1"/>
        <v>2301</v>
      </c>
    </row>
    <row r="25" spans="1:7">
      <c r="A25" s="415">
        <v>42736</v>
      </c>
      <c r="B25" s="452">
        <f t="shared" si="2"/>
        <v>24085</v>
      </c>
      <c r="C25" s="333">
        <v>25775</v>
      </c>
      <c r="D25" s="453">
        <f t="shared" si="0"/>
        <v>1690</v>
      </c>
      <c r="E25" s="454">
        <f t="shared" si="3"/>
        <v>190896</v>
      </c>
      <c r="F25" s="373">
        <v>193152</v>
      </c>
      <c r="G25" s="360">
        <f t="shared" si="1"/>
        <v>2256</v>
      </c>
    </row>
    <row r="26" spans="1:7">
      <c r="A26" s="415">
        <v>42767</v>
      </c>
      <c r="B26" s="452">
        <f t="shared" si="2"/>
        <v>25775</v>
      </c>
      <c r="C26" s="333">
        <v>27592</v>
      </c>
      <c r="D26" s="453">
        <f t="shared" si="0"/>
        <v>1817</v>
      </c>
      <c r="E26" s="454">
        <f t="shared" si="3"/>
        <v>193152</v>
      </c>
      <c r="F26" s="373">
        <v>195378</v>
      </c>
      <c r="G26" s="360">
        <f t="shared" si="1"/>
        <v>2226</v>
      </c>
    </row>
    <row r="27" spans="1:7">
      <c r="A27" s="415">
        <v>42795</v>
      </c>
      <c r="B27" s="452">
        <f t="shared" si="2"/>
        <v>27592</v>
      </c>
      <c r="C27" s="373">
        <v>29398</v>
      </c>
      <c r="D27" s="453">
        <f t="shared" si="0"/>
        <v>1806</v>
      </c>
      <c r="E27" s="454">
        <f t="shared" si="3"/>
        <v>195378</v>
      </c>
      <c r="F27" s="373">
        <v>197503</v>
      </c>
      <c r="G27" s="360">
        <f t="shared" si="1"/>
        <v>2125</v>
      </c>
    </row>
    <row r="28" spans="1:7">
      <c r="A28" s="415">
        <v>42826</v>
      </c>
      <c r="B28" s="452">
        <f t="shared" si="2"/>
        <v>29398</v>
      </c>
      <c r="C28" s="333">
        <v>31148</v>
      </c>
      <c r="D28" s="453">
        <f t="shared" si="0"/>
        <v>1750</v>
      </c>
      <c r="E28" s="454">
        <f t="shared" si="3"/>
        <v>197503</v>
      </c>
      <c r="F28" s="373">
        <v>199571</v>
      </c>
      <c r="G28" s="360">
        <f t="shared" si="1"/>
        <v>2068</v>
      </c>
    </row>
    <row r="29" spans="1:7">
      <c r="A29" s="415">
        <v>42856</v>
      </c>
      <c r="B29" s="452">
        <f t="shared" si="2"/>
        <v>31148</v>
      </c>
      <c r="C29" s="333">
        <v>32896</v>
      </c>
      <c r="D29" s="453">
        <f t="shared" si="0"/>
        <v>1748</v>
      </c>
      <c r="E29" s="454">
        <f t="shared" si="3"/>
        <v>199571</v>
      </c>
      <c r="F29" s="373">
        <v>201766</v>
      </c>
      <c r="G29" s="360">
        <f t="shared" si="1"/>
        <v>2195</v>
      </c>
    </row>
    <row r="30" spans="1:7">
      <c r="A30" s="415">
        <v>42887</v>
      </c>
      <c r="B30" s="452">
        <f t="shared" si="2"/>
        <v>32896</v>
      </c>
      <c r="C30" s="333">
        <v>34620</v>
      </c>
      <c r="D30" s="453">
        <f t="shared" si="0"/>
        <v>1724</v>
      </c>
      <c r="E30" s="454">
        <f t="shared" si="3"/>
        <v>201766</v>
      </c>
      <c r="F30" s="373">
        <v>203951</v>
      </c>
      <c r="G30" s="360">
        <f t="shared" si="1"/>
        <v>2185</v>
      </c>
    </row>
    <row r="31" spans="1:7">
      <c r="A31" s="415">
        <v>42917</v>
      </c>
      <c r="B31" s="452">
        <f t="shared" si="2"/>
        <v>34620</v>
      </c>
      <c r="C31" s="333">
        <v>36384</v>
      </c>
      <c r="D31" s="453">
        <f t="shared" si="0"/>
        <v>1764</v>
      </c>
      <c r="E31" s="454">
        <f t="shared" si="3"/>
        <v>203951</v>
      </c>
      <c r="F31" s="373">
        <v>206045</v>
      </c>
      <c r="G31" s="360">
        <f t="shared" si="1"/>
        <v>2094</v>
      </c>
    </row>
    <row r="32" spans="1:7">
      <c r="A32" s="415">
        <v>42948</v>
      </c>
      <c r="B32" s="452">
        <f t="shared" si="2"/>
        <v>36384</v>
      </c>
      <c r="C32" s="333">
        <v>38320</v>
      </c>
      <c r="D32" s="453">
        <f t="shared" si="0"/>
        <v>1936</v>
      </c>
      <c r="E32" s="454">
        <f t="shared" si="3"/>
        <v>206045</v>
      </c>
      <c r="F32" s="373">
        <v>208289</v>
      </c>
      <c r="G32" s="360">
        <f t="shared" si="1"/>
        <v>2244</v>
      </c>
    </row>
    <row r="33" spans="1:7">
      <c r="A33" s="415">
        <v>42979</v>
      </c>
      <c r="B33" s="452">
        <f t="shared" si="2"/>
        <v>38320</v>
      </c>
      <c r="C33" s="333">
        <v>40226</v>
      </c>
      <c r="D33" s="453">
        <f t="shared" si="0"/>
        <v>1906</v>
      </c>
      <c r="E33" s="454">
        <f t="shared" si="3"/>
        <v>208289</v>
      </c>
      <c r="F33" s="373">
        <v>210468</v>
      </c>
      <c r="G33" s="360">
        <f t="shared" si="1"/>
        <v>2179</v>
      </c>
    </row>
    <row r="34" spans="1:7">
      <c r="A34" s="415">
        <v>43009</v>
      </c>
      <c r="B34" s="452">
        <f t="shared" si="2"/>
        <v>40226</v>
      </c>
      <c r="C34" s="333">
        <v>41900</v>
      </c>
      <c r="D34" s="453">
        <f t="shared" si="0"/>
        <v>1674</v>
      </c>
      <c r="E34" s="454">
        <f t="shared" si="3"/>
        <v>210468</v>
      </c>
      <c r="F34" s="373">
        <v>212474</v>
      </c>
      <c r="G34" s="360">
        <f t="shared" si="1"/>
        <v>2006</v>
      </c>
    </row>
    <row r="35" spans="1:7">
      <c r="A35" s="415">
        <v>43040</v>
      </c>
      <c r="B35" s="452">
        <f t="shared" si="2"/>
        <v>41900</v>
      </c>
      <c r="C35" s="333">
        <v>43712</v>
      </c>
      <c r="D35" s="453">
        <f t="shared" si="0"/>
        <v>1812</v>
      </c>
      <c r="E35" s="454">
        <f t="shared" si="3"/>
        <v>212474</v>
      </c>
      <c r="F35" s="373">
        <v>214566</v>
      </c>
      <c r="G35" s="360">
        <f t="shared" si="1"/>
        <v>2092</v>
      </c>
    </row>
    <row r="36" spans="1:7">
      <c r="A36" s="415">
        <v>43070</v>
      </c>
      <c r="B36" s="452">
        <f t="shared" si="2"/>
        <v>43712</v>
      </c>
      <c r="C36" s="333">
        <v>46071</v>
      </c>
      <c r="D36" s="453">
        <f t="shared" si="0"/>
        <v>2359</v>
      </c>
      <c r="E36" s="454">
        <f t="shared" si="3"/>
        <v>214566</v>
      </c>
      <c r="F36" s="373">
        <v>216654</v>
      </c>
      <c r="G36" s="360">
        <f t="shared" si="1"/>
        <v>2088</v>
      </c>
    </row>
    <row r="37" spans="1:7">
      <c r="A37" s="415">
        <v>43101</v>
      </c>
      <c r="B37" s="452">
        <f t="shared" si="2"/>
        <v>46071</v>
      </c>
      <c r="C37" s="333">
        <v>48188</v>
      </c>
      <c r="D37" s="453">
        <f t="shared" si="0"/>
        <v>2117</v>
      </c>
      <c r="E37" s="454">
        <f t="shared" si="3"/>
        <v>216654</v>
      </c>
      <c r="F37" s="373">
        <v>218779</v>
      </c>
      <c r="G37" s="360">
        <f t="shared" si="1"/>
        <v>2125</v>
      </c>
    </row>
    <row r="38" spans="1:7">
      <c r="A38" s="415">
        <v>43132</v>
      </c>
      <c r="B38" s="452">
        <f t="shared" si="2"/>
        <v>48188</v>
      </c>
      <c r="C38" s="333">
        <v>50066</v>
      </c>
      <c r="D38" s="453">
        <f t="shared" si="0"/>
        <v>1878</v>
      </c>
      <c r="E38" s="454">
        <f t="shared" si="3"/>
        <v>218779</v>
      </c>
      <c r="F38" s="373">
        <v>220744</v>
      </c>
      <c r="G38" s="360">
        <f t="shared" si="1"/>
        <v>1965</v>
      </c>
    </row>
    <row r="39" spans="1:7">
      <c r="A39" s="415">
        <v>43160</v>
      </c>
      <c r="B39" s="452">
        <f t="shared" si="2"/>
        <v>50066</v>
      </c>
      <c r="C39" s="333">
        <v>51916</v>
      </c>
      <c r="D39" s="453">
        <f t="shared" si="0"/>
        <v>1850</v>
      </c>
      <c r="E39" s="454">
        <f t="shared" si="3"/>
        <v>220744</v>
      </c>
      <c r="F39" s="373">
        <v>222873</v>
      </c>
      <c r="G39" s="360">
        <f t="shared" si="1"/>
        <v>2129</v>
      </c>
    </row>
    <row r="40" spans="1:7">
      <c r="A40" s="415">
        <v>43191</v>
      </c>
      <c r="B40" s="452">
        <f t="shared" si="2"/>
        <v>51916</v>
      </c>
      <c r="C40" s="333">
        <v>53641</v>
      </c>
      <c r="D40" s="453">
        <f t="shared" si="0"/>
        <v>1725</v>
      </c>
      <c r="E40" s="454">
        <f t="shared" si="3"/>
        <v>222873</v>
      </c>
      <c r="F40" s="373">
        <v>224922</v>
      </c>
      <c r="G40" s="360">
        <f t="shared" si="1"/>
        <v>2049</v>
      </c>
    </row>
    <row r="41" spans="1:7">
      <c r="A41" s="415">
        <v>43221</v>
      </c>
      <c r="B41" s="452">
        <f t="shared" si="2"/>
        <v>53641</v>
      </c>
      <c r="C41" s="333">
        <v>55409</v>
      </c>
      <c r="D41" s="453">
        <f t="shared" si="0"/>
        <v>1768</v>
      </c>
      <c r="E41" s="454">
        <f t="shared" si="3"/>
        <v>224922</v>
      </c>
      <c r="F41" s="373">
        <v>227063</v>
      </c>
      <c r="G41" s="360">
        <f t="shared" si="1"/>
        <v>2141</v>
      </c>
    </row>
    <row r="42" spans="1:7">
      <c r="A42" s="415">
        <v>43252</v>
      </c>
      <c r="B42" s="452">
        <f t="shared" si="2"/>
        <v>55409</v>
      </c>
      <c r="C42" s="333">
        <v>57396</v>
      </c>
      <c r="D42" s="453">
        <f t="shared" si="0"/>
        <v>1987</v>
      </c>
      <c r="E42" s="454">
        <f t="shared" si="3"/>
        <v>227063</v>
      </c>
      <c r="F42" s="373">
        <v>229163</v>
      </c>
      <c r="G42" s="360">
        <f t="shared" si="1"/>
        <v>2100</v>
      </c>
    </row>
    <row r="43" spans="1:7">
      <c r="A43" s="415">
        <v>43282</v>
      </c>
      <c r="B43" s="452">
        <f t="shared" si="2"/>
        <v>57396</v>
      </c>
      <c r="C43" s="333">
        <v>59391</v>
      </c>
      <c r="D43" s="453">
        <f t="shared" si="0"/>
        <v>1995</v>
      </c>
      <c r="E43" s="454">
        <f t="shared" si="3"/>
        <v>229163</v>
      </c>
      <c r="F43" s="373">
        <v>231359</v>
      </c>
      <c r="G43" s="360">
        <f t="shared" si="1"/>
        <v>2196</v>
      </c>
    </row>
    <row r="44" spans="1:7">
      <c r="A44" s="415">
        <v>43313</v>
      </c>
      <c r="B44" s="452">
        <f t="shared" si="2"/>
        <v>59391</v>
      </c>
      <c r="C44" s="333">
        <v>61427</v>
      </c>
      <c r="D44" s="453">
        <f t="shared" si="0"/>
        <v>2036</v>
      </c>
      <c r="E44" s="454">
        <f t="shared" si="3"/>
        <v>231359</v>
      </c>
      <c r="F44" s="373">
        <v>233548</v>
      </c>
      <c r="G44" s="360">
        <f t="shared" si="1"/>
        <v>2189</v>
      </c>
    </row>
    <row r="45" spans="1:7">
      <c r="A45" s="415">
        <v>43344</v>
      </c>
      <c r="B45" s="452">
        <f t="shared" si="2"/>
        <v>61427</v>
      </c>
      <c r="C45" s="333">
        <v>63464</v>
      </c>
      <c r="D45" s="453">
        <f t="shared" si="0"/>
        <v>2037</v>
      </c>
      <c r="E45" s="454">
        <f t="shared" si="3"/>
        <v>233548</v>
      </c>
      <c r="F45" s="373">
        <v>235653</v>
      </c>
      <c r="G45" s="360">
        <f t="shared" si="1"/>
        <v>2105</v>
      </c>
    </row>
    <row r="46" spans="1:7">
      <c r="A46" s="415">
        <v>43374</v>
      </c>
      <c r="B46" s="452">
        <f t="shared" si="2"/>
        <v>63464</v>
      </c>
      <c r="C46" s="333"/>
      <c r="D46" s="453">
        <f t="shared" si="0"/>
        <v>-63464</v>
      </c>
      <c r="E46" s="454">
        <f t="shared" si="3"/>
        <v>235653</v>
      </c>
      <c r="F46" s="373"/>
      <c r="G46" s="360">
        <f t="shared" si="1"/>
        <v>-235653</v>
      </c>
    </row>
    <row r="47" spans="1:7">
      <c r="A47" s="579">
        <v>43739</v>
      </c>
      <c r="B47" s="452">
        <f t="shared" si="2"/>
        <v>0</v>
      </c>
      <c r="C47" s="333"/>
      <c r="D47" s="453">
        <f t="shared" si="0"/>
        <v>0</v>
      </c>
      <c r="E47" s="454">
        <f t="shared" si="3"/>
        <v>0</v>
      </c>
      <c r="F47" s="373"/>
      <c r="G47" s="580">
        <f t="shared" si="1"/>
        <v>0</v>
      </c>
    </row>
    <row r="48" spans="1:7">
      <c r="A48" s="579">
        <v>43740</v>
      </c>
      <c r="B48" s="452">
        <f t="shared" si="2"/>
        <v>0</v>
      </c>
      <c r="C48" s="333"/>
      <c r="D48" s="453">
        <f t="shared" si="0"/>
        <v>0</v>
      </c>
      <c r="E48" s="454">
        <f t="shared" si="3"/>
        <v>0</v>
      </c>
      <c r="F48" s="373"/>
      <c r="G48" s="580">
        <f t="shared" si="1"/>
        <v>0</v>
      </c>
    </row>
    <row r="49" spans="1:7">
      <c r="A49" s="579">
        <v>43741</v>
      </c>
      <c r="B49" s="452">
        <f t="shared" si="2"/>
        <v>0</v>
      </c>
      <c r="C49" s="333"/>
      <c r="D49" s="453">
        <f t="shared" si="0"/>
        <v>0</v>
      </c>
      <c r="E49" s="454">
        <f t="shared" si="3"/>
        <v>0</v>
      </c>
      <c r="F49" s="373"/>
      <c r="G49" s="580">
        <f t="shared" si="1"/>
        <v>0</v>
      </c>
    </row>
    <row r="50" spans="1:7">
      <c r="A50" s="579">
        <v>43742</v>
      </c>
      <c r="B50" s="452">
        <f t="shared" si="2"/>
        <v>0</v>
      </c>
      <c r="C50" s="333"/>
      <c r="D50" s="453">
        <f t="shared" si="0"/>
        <v>0</v>
      </c>
      <c r="E50" s="454">
        <f t="shared" si="3"/>
        <v>0</v>
      </c>
      <c r="F50" s="373"/>
      <c r="G50" s="580">
        <f t="shared" si="1"/>
        <v>0</v>
      </c>
    </row>
    <row r="51" spans="1:7">
      <c r="A51" s="579">
        <v>43743</v>
      </c>
      <c r="B51" s="452">
        <f t="shared" si="2"/>
        <v>0</v>
      </c>
      <c r="C51" s="333"/>
      <c r="D51" s="453">
        <f t="shared" si="0"/>
        <v>0</v>
      </c>
      <c r="E51" s="454">
        <f t="shared" si="3"/>
        <v>0</v>
      </c>
      <c r="F51" s="373"/>
      <c r="G51" s="580">
        <f t="shared" si="1"/>
        <v>0</v>
      </c>
    </row>
    <row r="52" spans="1:7">
      <c r="A52" s="579">
        <v>43744</v>
      </c>
      <c r="B52" s="452">
        <f t="shared" si="2"/>
        <v>0</v>
      </c>
      <c r="C52" s="333"/>
      <c r="D52" s="453">
        <f t="shared" si="0"/>
        <v>0</v>
      </c>
      <c r="E52" s="454">
        <f t="shared" si="3"/>
        <v>0</v>
      </c>
      <c r="F52" s="373"/>
      <c r="G52" s="580">
        <f t="shared" si="1"/>
        <v>0</v>
      </c>
    </row>
    <row r="53" spans="1:7">
      <c r="A53" s="579">
        <v>43745</v>
      </c>
      <c r="B53" s="452">
        <f t="shared" si="2"/>
        <v>0</v>
      </c>
      <c r="C53" s="333"/>
      <c r="D53" s="453">
        <f t="shared" si="0"/>
        <v>0</v>
      </c>
      <c r="E53" s="454">
        <f t="shared" si="3"/>
        <v>0</v>
      </c>
      <c r="F53" s="373"/>
      <c r="G53" s="580">
        <f t="shared" si="1"/>
        <v>0</v>
      </c>
    </row>
    <row r="54" spans="1:7">
      <c r="A54" s="579">
        <v>43746</v>
      </c>
      <c r="B54" s="452">
        <f t="shared" si="2"/>
        <v>0</v>
      </c>
      <c r="C54" s="333"/>
      <c r="D54" s="453">
        <f t="shared" si="0"/>
        <v>0</v>
      </c>
      <c r="E54" s="454">
        <f t="shared" si="3"/>
        <v>0</v>
      </c>
      <c r="F54" s="373"/>
      <c r="G54" s="580">
        <f t="shared" si="1"/>
        <v>0</v>
      </c>
    </row>
    <row r="55" spans="1:7">
      <c r="A55" s="579">
        <v>43747</v>
      </c>
      <c r="B55" s="452">
        <f t="shared" si="2"/>
        <v>0</v>
      </c>
      <c r="C55" s="6"/>
      <c r="D55" s="453">
        <f t="shared" si="0"/>
        <v>0</v>
      </c>
      <c r="E55" s="454">
        <f t="shared" si="3"/>
        <v>0</v>
      </c>
      <c r="F55" s="6"/>
      <c r="G55" s="580">
        <f t="shared" si="1"/>
        <v>0</v>
      </c>
    </row>
    <row r="56" spans="1:7">
      <c r="A56" s="579">
        <v>43748</v>
      </c>
      <c r="B56" s="452">
        <f t="shared" si="2"/>
        <v>0</v>
      </c>
      <c r="C56" s="6"/>
      <c r="D56" s="453">
        <f t="shared" si="0"/>
        <v>0</v>
      </c>
      <c r="E56" s="454">
        <f t="shared" si="3"/>
        <v>0</v>
      </c>
      <c r="F56" s="6"/>
      <c r="G56" s="580">
        <f t="shared" si="1"/>
        <v>0</v>
      </c>
    </row>
    <row r="57" spans="1:7">
      <c r="A57" s="579">
        <v>43749</v>
      </c>
      <c r="B57" s="452">
        <f t="shared" si="2"/>
        <v>0</v>
      </c>
      <c r="C57" s="6"/>
      <c r="D57" s="453">
        <f t="shared" si="0"/>
        <v>0</v>
      </c>
      <c r="E57" s="454">
        <f t="shared" si="3"/>
        <v>0</v>
      </c>
      <c r="F57" s="6"/>
      <c r="G57" s="580">
        <f t="shared" si="1"/>
        <v>0</v>
      </c>
    </row>
    <row r="58" spans="1:7">
      <c r="A58" s="579">
        <v>43750</v>
      </c>
      <c r="B58" s="452">
        <f t="shared" si="2"/>
        <v>0</v>
      </c>
      <c r="C58" s="6"/>
      <c r="D58" s="453">
        <f t="shared" si="0"/>
        <v>0</v>
      </c>
      <c r="E58" s="454">
        <f t="shared" si="3"/>
        <v>0</v>
      </c>
      <c r="F58" s="6"/>
      <c r="G58" s="580">
        <f t="shared" si="1"/>
        <v>0</v>
      </c>
    </row>
    <row r="59" spans="1:7">
      <c r="A59" s="579">
        <v>43751</v>
      </c>
      <c r="B59" s="452">
        <f t="shared" si="2"/>
        <v>0</v>
      </c>
      <c r="C59" s="6"/>
      <c r="D59" s="453">
        <f t="shared" si="0"/>
        <v>0</v>
      </c>
      <c r="E59" s="454">
        <f t="shared" si="3"/>
        <v>0</v>
      </c>
      <c r="F59" s="6"/>
      <c r="G59" s="580">
        <f t="shared" si="1"/>
        <v>0</v>
      </c>
    </row>
    <row r="60" spans="1:7">
      <c r="A60" s="579">
        <v>43752</v>
      </c>
      <c r="B60" s="452">
        <f t="shared" si="2"/>
        <v>0</v>
      </c>
      <c r="C60" s="6"/>
      <c r="D60" s="453">
        <f t="shared" si="0"/>
        <v>0</v>
      </c>
      <c r="E60" s="454">
        <f t="shared" si="3"/>
        <v>0</v>
      </c>
      <c r="F60" s="6"/>
      <c r="G60" s="580">
        <f t="shared" si="1"/>
        <v>0</v>
      </c>
    </row>
    <row r="61" spans="1:7">
      <c r="A61" s="579">
        <v>43753</v>
      </c>
      <c r="B61" s="452">
        <f t="shared" si="2"/>
        <v>0</v>
      </c>
      <c r="C61" s="6"/>
      <c r="D61" s="453">
        <f t="shared" si="0"/>
        <v>0</v>
      </c>
      <c r="E61" s="454">
        <f t="shared" si="3"/>
        <v>0</v>
      </c>
      <c r="F61" s="6"/>
      <c r="G61" s="580">
        <f t="shared" si="1"/>
        <v>0</v>
      </c>
    </row>
    <row r="62" spans="1:7">
      <c r="A62" s="579">
        <v>43754</v>
      </c>
      <c r="B62" s="452">
        <f t="shared" si="2"/>
        <v>0</v>
      </c>
      <c r="C62" s="6"/>
      <c r="D62" s="453">
        <f t="shared" si="0"/>
        <v>0</v>
      </c>
      <c r="E62" s="454">
        <f t="shared" si="3"/>
        <v>0</v>
      </c>
      <c r="F62" s="6"/>
      <c r="G62" s="580">
        <f t="shared" si="1"/>
        <v>0</v>
      </c>
    </row>
    <row r="63" spans="1:7">
      <c r="A63" s="579">
        <v>43755</v>
      </c>
      <c r="B63" s="452">
        <f t="shared" si="2"/>
        <v>0</v>
      </c>
      <c r="C63" s="6"/>
      <c r="D63" s="453">
        <f t="shared" si="0"/>
        <v>0</v>
      </c>
      <c r="E63" s="454">
        <f t="shared" si="3"/>
        <v>0</v>
      </c>
      <c r="F63" s="6"/>
      <c r="G63" s="580">
        <f t="shared" si="1"/>
        <v>0</v>
      </c>
    </row>
    <row r="64" spans="1:7">
      <c r="A64" s="579">
        <v>43756</v>
      </c>
      <c r="B64" s="452">
        <f t="shared" si="2"/>
        <v>0</v>
      </c>
      <c r="C64" s="6"/>
      <c r="D64" s="453">
        <f t="shared" si="0"/>
        <v>0</v>
      </c>
      <c r="E64" s="454">
        <f t="shared" si="3"/>
        <v>0</v>
      </c>
      <c r="F64" s="6"/>
      <c r="G64" s="580">
        <f t="shared" si="1"/>
        <v>0</v>
      </c>
    </row>
    <row r="65" spans="1:7">
      <c r="A65" s="579">
        <v>43757</v>
      </c>
      <c r="B65" s="452">
        <f t="shared" si="2"/>
        <v>0</v>
      </c>
      <c r="C65" s="6"/>
      <c r="D65" s="453">
        <f t="shared" si="0"/>
        <v>0</v>
      </c>
      <c r="E65" s="454">
        <f t="shared" si="3"/>
        <v>0</v>
      </c>
      <c r="F65" s="6"/>
      <c r="G65" s="580">
        <f t="shared" si="1"/>
        <v>0</v>
      </c>
    </row>
    <row r="66" spans="1:7">
      <c r="A66" s="579">
        <v>43758</v>
      </c>
      <c r="B66" s="452">
        <f t="shared" si="2"/>
        <v>0</v>
      </c>
      <c r="C66" s="6"/>
      <c r="D66" s="453">
        <f t="shared" si="0"/>
        <v>0</v>
      </c>
      <c r="E66" s="454">
        <f t="shared" si="3"/>
        <v>0</v>
      </c>
      <c r="F66" s="6"/>
      <c r="G66" s="580">
        <f t="shared" si="1"/>
        <v>0</v>
      </c>
    </row>
    <row r="67" spans="1:7">
      <c r="A67" s="579">
        <v>43759</v>
      </c>
      <c r="B67" s="452">
        <f t="shared" si="2"/>
        <v>0</v>
      </c>
      <c r="C67" s="6"/>
      <c r="D67" s="453">
        <f t="shared" si="0"/>
        <v>0</v>
      </c>
      <c r="E67" s="454">
        <f t="shared" si="3"/>
        <v>0</v>
      </c>
      <c r="F67" s="6"/>
      <c r="G67" s="580">
        <f t="shared" si="1"/>
        <v>0</v>
      </c>
    </row>
    <row r="68" spans="1:7">
      <c r="A68" s="579">
        <v>43760</v>
      </c>
      <c r="B68" s="452">
        <f t="shared" si="2"/>
        <v>0</v>
      </c>
      <c r="C68" s="6"/>
      <c r="D68" s="453">
        <f t="shared" si="0"/>
        <v>0</v>
      </c>
      <c r="E68" s="454">
        <f t="shared" si="3"/>
        <v>0</v>
      </c>
      <c r="F68" s="6"/>
      <c r="G68" s="580">
        <f t="shared" si="1"/>
        <v>0</v>
      </c>
    </row>
    <row r="69" spans="1:7">
      <c r="A69" s="579">
        <v>43761</v>
      </c>
      <c r="B69" s="452">
        <f t="shared" si="2"/>
        <v>0</v>
      </c>
      <c r="C69" s="6"/>
      <c r="D69" s="453">
        <f t="shared" ref="D69:D77" si="4">C69-B69</f>
        <v>0</v>
      </c>
      <c r="E69" s="454">
        <f t="shared" si="3"/>
        <v>0</v>
      </c>
      <c r="F69" s="6"/>
      <c r="G69" s="580">
        <f t="shared" ref="G69:G77" si="5">F69-E69</f>
        <v>0</v>
      </c>
    </row>
    <row r="70" spans="1:7">
      <c r="A70" s="579">
        <v>43762</v>
      </c>
      <c r="B70" s="452">
        <f t="shared" ref="B70:B77" si="6">C69</f>
        <v>0</v>
      </c>
      <c r="C70" s="6"/>
      <c r="D70" s="453">
        <f t="shared" si="4"/>
        <v>0</v>
      </c>
      <c r="E70" s="454">
        <f t="shared" si="3"/>
        <v>0</v>
      </c>
      <c r="F70" s="6"/>
      <c r="G70" s="580">
        <f t="shared" si="5"/>
        <v>0</v>
      </c>
    </row>
    <row r="71" spans="1:7">
      <c r="A71" s="579">
        <v>43763</v>
      </c>
      <c r="B71" s="452">
        <f t="shared" si="6"/>
        <v>0</v>
      </c>
      <c r="C71" s="6"/>
      <c r="D71" s="453">
        <f t="shared" si="4"/>
        <v>0</v>
      </c>
      <c r="E71" s="454">
        <f t="shared" si="3"/>
        <v>0</v>
      </c>
      <c r="F71" s="6"/>
      <c r="G71" s="580">
        <f t="shared" si="5"/>
        <v>0</v>
      </c>
    </row>
    <row r="72" spans="1:7">
      <c r="A72" s="579">
        <v>43764</v>
      </c>
      <c r="B72" s="452">
        <f t="shared" si="6"/>
        <v>0</v>
      </c>
      <c r="C72" s="6"/>
      <c r="D72" s="453">
        <f t="shared" si="4"/>
        <v>0</v>
      </c>
      <c r="E72" s="454">
        <f t="shared" ref="E72:E77" si="7">F71</f>
        <v>0</v>
      </c>
      <c r="F72" s="6"/>
      <c r="G72" s="580">
        <f t="shared" si="5"/>
        <v>0</v>
      </c>
    </row>
    <row r="73" spans="1:7">
      <c r="A73" s="579">
        <v>43765</v>
      </c>
      <c r="B73" s="452">
        <f t="shared" si="6"/>
        <v>0</v>
      </c>
      <c r="C73" s="6"/>
      <c r="D73" s="453">
        <f t="shared" si="4"/>
        <v>0</v>
      </c>
      <c r="E73" s="454">
        <f t="shared" si="7"/>
        <v>0</v>
      </c>
      <c r="F73" s="6"/>
      <c r="G73" s="580">
        <f t="shared" si="5"/>
        <v>0</v>
      </c>
    </row>
    <row r="74" spans="1:7">
      <c r="A74" s="579">
        <v>43766</v>
      </c>
      <c r="B74" s="452">
        <f t="shared" si="6"/>
        <v>0</v>
      </c>
      <c r="C74" s="6"/>
      <c r="D74" s="453">
        <f t="shared" si="4"/>
        <v>0</v>
      </c>
      <c r="E74" s="454">
        <f t="shared" si="7"/>
        <v>0</v>
      </c>
      <c r="F74" s="6"/>
      <c r="G74" s="580">
        <f t="shared" si="5"/>
        <v>0</v>
      </c>
    </row>
    <row r="75" spans="1:7">
      <c r="A75" s="579">
        <v>43767</v>
      </c>
      <c r="B75" s="452">
        <f t="shared" si="6"/>
        <v>0</v>
      </c>
      <c r="C75" s="6"/>
      <c r="D75" s="453">
        <f t="shared" si="4"/>
        <v>0</v>
      </c>
      <c r="E75" s="454">
        <f t="shared" si="7"/>
        <v>0</v>
      </c>
      <c r="F75" s="6"/>
      <c r="G75" s="580">
        <f t="shared" si="5"/>
        <v>0</v>
      </c>
    </row>
    <row r="76" spans="1:7">
      <c r="A76" s="579">
        <v>43768</v>
      </c>
      <c r="B76" s="452">
        <f t="shared" si="6"/>
        <v>0</v>
      </c>
      <c r="C76" s="6"/>
      <c r="D76" s="453">
        <f t="shared" si="4"/>
        <v>0</v>
      </c>
      <c r="E76" s="454">
        <f t="shared" si="7"/>
        <v>0</v>
      </c>
      <c r="F76" s="6"/>
      <c r="G76" s="580">
        <f t="shared" si="5"/>
        <v>0</v>
      </c>
    </row>
    <row r="77" spans="1:7">
      <c r="A77" s="579">
        <v>43769</v>
      </c>
      <c r="B77" s="452">
        <f t="shared" si="6"/>
        <v>0</v>
      </c>
      <c r="C77" s="6"/>
      <c r="D77" s="453">
        <f t="shared" si="4"/>
        <v>0</v>
      </c>
      <c r="E77" s="454">
        <f t="shared" si="7"/>
        <v>0</v>
      </c>
      <c r="F77" s="6"/>
      <c r="G77" s="580">
        <f t="shared" si="5"/>
        <v>0</v>
      </c>
    </row>
  </sheetData>
  <mergeCells count="3">
    <mergeCell ref="A1:G1"/>
    <mergeCell ref="B2:D2"/>
    <mergeCell ref="E2:G2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FFFF00"/>
  </sheetPr>
  <dimension ref="A1:L69"/>
  <sheetViews>
    <sheetView workbookViewId="0">
      <selection activeCell="S23" sqref="S23"/>
    </sheetView>
  </sheetViews>
  <sheetFormatPr defaultRowHeight="12.75"/>
  <cols>
    <col min="1" max="1" width="10.140625" bestFit="1" customWidth="1"/>
    <col min="2" max="2" width="16.7109375" customWidth="1"/>
    <col min="3" max="3" width="14.85546875" customWidth="1"/>
    <col min="4" max="4" width="16.140625" customWidth="1"/>
    <col min="5" max="5" width="14.140625" customWidth="1"/>
    <col min="6" max="6" width="15.140625" customWidth="1"/>
    <col min="7" max="8" width="14.28515625" customWidth="1"/>
    <col min="9" max="9" width="13.140625" customWidth="1"/>
    <col min="10" max="10" width="14.42578125" customWidth="1"/>
    <col min="11" max="11" width="12.42578125" customWidth="1"/>
    <col min="12" max="12" width="12.28515625" customWidth="1"/>
    <col min="13" max="13" width="12.42578125" customWidth="1"/>
    <col min="14" max="14" width="11.5703125" customWidth="1"/>
  </cols>
  <sheetData>
    <row r="1" spans="1:12" ht="16.5" thickBot="1">
      <c r="A1" s="855" t="s">
        <v>232</v>
      </c>
      <c r="B1" s="856"/>
      <c r="C1" s="856"/>
      <c r="D1" s="856"/>
      <c r="G1" s="378"/>
      <c r="H1" s="379" t="s">
        <v>233</v>
      </c>
      <c r="I1" s="379"/>
      <c r="J1" s="378"/>
      <c r="K1" s="378"/>
    </row>
    <row r="2" spans="1:12" ht="39" thickBot="1">
      <c r="A2" s="354" t="s">
        <v>7</v>
      </c>
      <c r="B2" s="355" t="s">
        <v>178</v>
      </c>
      <c r="C2" s="356" t="s">
        <v>179</v>
      </c>
      <c r="D2" s="357" t="s">
        <v>196</v>
      </c>
      <c r="E2" s="357" t="s">
        <v>238</v>
      </c>
      <c r="F2" s="377" t="s">
        <v>216</v>
      </c>
      <c r="G2" s="380" t="s">
        <v>234</v>
      </c>
      <c r="H2" s="380" t="s">
        <v>235</v>
      </c>
      <c r="I2" s="402" t="s">
        <v>236</v>
      </c>
      <c r="J2" s="380" t="s">
        <v>237</v>
      </c>
      <c r="K2" s="380" t="s">
        <v>216</v>
      </c>
      <c r="L2" s="402" t="s">
        <v>197</v>
      </c>
    </row>
    <row r="3" spans="1:12">
      <c r="A3" s="358">
        <v>42430</v>
      </c>
      <c r="B3" s="481">
        <v>5000778</v>
      </c>
      <c r="C3" s="482">
        <v>5057715</v>
      </c>
      <c r="D3" s="483">
        <f>C3-B3</f>
        <v>56937</v>
      </c>
      <c r="E3" s="484"/>
      <c r="F3" s="440"/>
      <c r="G3" s="381">
        <f>H3</f>
        <v>0</v>
      </c>
      <c r="H3" s="6"/>
      <c r="I3" s="372">
        <f>H3-G3</f>
        <v>0</v>
      </c>
      <c r="J3" s="6"/>
      <c r="K3" s="382">
        <f>I3-J3</f>
        <v>0</v>
      </c>
      <c r="L3" s="441"/>
    </row>
    <row r="4" spans="1:12">
      <c r="A4" s="330">
        <v>42461</v>
      </c>
      <c r="B4" s="442">
        <f>C3</f>
        <v>5057715</v>
      </c>
      <c r="C4" s="333">
        <v>5111496</v>
      </c>
      <c r="D4" s="360">
        <f t="shared" ref="D4:D54" si="0">C4-B4</f>
        <v>53781</v>
      </c>
      <c r="E4" s="484"/>
      <c r="F4" s="440"/>
      <c r="G4" s="381">
        <f>H3</f>
        <v>0</v>
      </c>
      <c r="H4" s="6"/>
      <c r="I4" s="372">
        <f t="shared" ref="I4:I54" si="1">H4-G4</f>
        <v>0</v>
      </c>
      <c r="J4" s="6"/>
      <c r="K4" s="382">
        <f t="shared" ref="K4:K54" si="2">I4-J4</f>
        <v>0</v>
      </c>
      <c r="L4" s="441"/>
    </row>
    <row r="5" spans="1:12">
      <c r="A5" s="330">
        <v>42491</v>
      </c>
      <c r="B5" s="442">
        <f t="shared" ref="B5:B54" si="3">C4</f>
        <v>5111496</v>
      </c>
      <c r="C5" s="333">
        <v>5169409</v>
      </c>
      <c r="D5" s="360">
        <f t="shared" si="0"/>
        <v>57913</v>
      </c>
      <c r="E5" s="484"/>
      <c r="F5" s="440"/>
      <c r="G5" s="381">
        <f t="shared" ref="G5:G54" si="4">H4</f>
        <v>0</v>
      </c>
      <c r="H5" s="6"/>
      <c r="I5" s="372">
        <f t="shared" si="1"/>
        <v>0</v>
      </c>
      <c r="J5" s="6"/>
      <c r="K5" s="382">
        <f t="shared" si="2"/>
        <v>0</v>
      </c>
      <c r="L5" s="441"/>
    </row>
    <row r="6" spans="1:12">
      <c r="A6" s="330">
        <v>42522</v>
      </c>
      <c r="B6" s="442">
        <f t="shared" si="3"/>
        <v>5169409</v>
      </c>
      <c r="C6" s="333">
        <v>5232162</v>
      </c>
      <c r="D6" s="360">
        <f t="shared" si="0"/>
        <v>62753</v>
      </c>
      <c r="E6" s="484"/>
      <c r="F6" s="440"/>
      <c r="G6" s="381">
        <f t="shared" si="4"/>
        <v>0</v>
      </c>
      <c r="H6" s="6"/>
      <c r="I6" s="372">
        <f t="shared" si="1"/>
        <v>0</v>
      </c>
      <c r="J6" s="6"/>
      <c r="K6" s="382">
        <f t="shared" si="2"/>
        <v>0</v>
      </c>
      <c r="L6" s="441"/>
    </row>
    <row r="7" spans="1:12">
      <c r="A7" s="330">
        <v>42552</v>
      </c>
      <c r="B7" s="442">
        <f t="shared" si="3"/>
        <v>5232162</v>
      </c>
      <c r="C7" s="333">
        <v>5310037</v>
      </c>
      <c r="D7" s="360">
        <f t="shared" si="0"/>
        <v>77875</v>
      </c>
      <c r="E7" s="484"/>
      <c r="F7" s="440"/>
      <c r="G7" s="381">
        <f t="shared" si="4"/>
        <v>0</v>
      </c>
      <c r="H7" s="6"/>
      <c r="I7" s="372">
        <f t="shared" si="1"/>
        <v>0</v>
      </c>
      <c r="J7" s="6"/>
      <c r="K7" s="382">
        <f t="shared" si="2"/>
        <v>0</v>
      </c>
      <c r="L7" s="441"/>
    </row>
    <row r="8" spans="1:12">
      <c r="A8" s="330">
        <v>42583</v>
      </c>
      <c r="B8" s="442">
        <f t="shared" si="3"/>
        <v>5310037</v>
      </c>
      <c r="C8" s="333">
        <v>5382821</v>
      </c>
      <c r="D8" s="360">
        <f t="shared" si="0"/>
        <v>72784</v>
      </c>
      <c r="E8" s="484">
        <f>[5]Gen!AR45</f>
        <v>72766</v>
      </c>
      <c r="F8" s="440">
        <f t="shared" ref="F8:F54" si="5">D8-E8</f>
        <v>18</v>
      </c>
      <c r="G8" s="381">
        <f t="shared" si="4"/>
        <v>0</v>
      </c>
      <c r="H8" s="6"/>
      <c r="I8" s="372">
        <f t="shared" si="1"/>
        <v>0</v>
      </c>
      <c r="J8" s="6"/>
      <c r="K8" s="382">
        <f t="shared" si="2"/>
        <v>0</v>
      </c>
      <c r="L8" s="441"/>
    </row>
    <row r="9" spans="1:12">
      <c r="A9" s="330">
        <v>42614</v>
      </c>
      <c r="B9" s="442">
        <f t="shared" si="3"/>
        <v>5382821</v>
      </c>
      <c r="C9" s="333">
        <v>5446740</v>
      </c>
      <c r="D9" s="360">
        <f t="shared" si="0"/>
        <v>63919</v>
      </c>
      <c r="E9" s="484">
        <f>[6]Gen!AR45</f>
        <v>64036.499999999993</v>
      </c>
      <c r="F9" s="440">
        <f t="shared" si="5"/>
        <v>-117.49999999999272</v>
      </c>
      <c r="G9" s="381">
        <f t="shared" si="4"/>
        <v>0</v>
      </c>
      <c r="H9" s="6"/>
      <c r="I9" s="372">
        <f t="shared" si="1"/>
        <v>0</v>
      </c>
      <c r="J9" s="6"/>
      <c r="K9" s="382">
        <f t="shared" si="2"/>
        <v>0</v>
      </c>
      <c r="L9" s="441"/>
    </row>
    <row r="10" spans="1:12">
      <c r="A10" s="330">
        <v>42644</v>
      </c>
      <c r="B10" s="442">
        <f t="shared" si="3"/>
        <v>5446740</v>
      </c>
      <c r="C10" s="333">
        <v>5521440</v>
      </c>
      <c r="D10" s="360">
        <f t="shared" si="0"/>
        <v>74700</v>
      </c>
      <c r="E10" s="485">
        <v>76057.09</v>
      </c>
      <c r="F10" s="440">
        <f t="shared" si="5"/>
        <v>-1357.0899999999965</v>
      </c>
      <c r="G10" s="381">
        <f t="shared" si="4"/>
        <v>0</v>
      </c>
      <c r="H10" s="6"/>
      <c r="I10" s="372">
        <f t="shared" si="1"/>
        <v>0</v>
      </c>
      <c r="J10" s="6"/>
      <c r="K10" s="382">
        <f t="shared" si="2"/>
        <v>0</v>
      </c>
      <c r="L10" s="441"/>
    </row>
    <row r="11" spans="1:12">
      <c r="A11" s="330">
        <v>42675</v>
      </c>
      <c r="B11" s="442">
        <f t="shared" si="3"/>
        <v>5521440</v>
      </c>
      <c r="C11" s="333">
        <v>5594926</v>
      </c>
      <c r="D11" s="360">
        <f t="shared" si="0"/>
        <v>73486</v>
      </c>
      <c r="E11" s="485">
        <v>73462.489999999991</v>
      </c>
      <c r="F11" s="440">
        <f t="shared" si="5"/>
        <v>23.510000000009313</v>
      </c>
      <c r="G11" s="381">
        <f t="shared" si="4"/>
        <v>0</v>
      </c>
      <c r="H11" s="6"/>
      <c r="I11" s="372">
        <f t="shared" si="1"/>
        <v>0</v>
      </c>
      <c r="J11" s="6"/>
      <c r="K11" s="382">
        <f t="shared" si="2"/>
        <v>0</v>
      </c>
      <c r="L11" s="441"/>
    </row>
    <row r="12" spans="1:12">
      <c r="A12" s="330">
        <v>42705</v>
      </c>
      <c r="B12" s="442">
        <f t="shared" si="3"/>
        <v>5594926</v>
      </c>
      <c r="C12" s="333">
        <v>5670348</v>
      </c>
      <c r="D12" s="360">
        <f t="shared" si="0"/>
        <v>75422</v>
      </c>
      <c r="E12" s="484">
        <v>75421.2</v>
      </c>
      <c r="F12" s="440">
        <f t="shared" si="5"/>
        <v>0.80000000000291038</v>
      </c>
      <c r="G12" s="381">
        <f t="shared" si="4"/>
        <v>0</v>
      </c>
      <c r="H12" s="6"/>
      <c r="I12" s="372">
        <f t="shared" si="1"/>
        <v>0</v>
      </c>
      <c r="J12" s="6"/>
      <c r="K12" s="382">
        <f t="shared" si="2"/>
        <v>0</v>
      </c>
      <c r="L12" s="441"/>
    </row>
    <row r="13" spans="1:12">
      <c r="A13" s="330">
        <v>42736</v>
      </c>
      <c r="B13" s="442">
        <f t="shared" si="3"/>
        <v>5670348</v>
      </c>
      <c r="C13" s="333">
        <v>5735627</v>
      </c>
      <c r="D13" s="360">
        <f t="shared" si="0"/>
        <v>65279</v>
      </c>
      <c r="E13" s="484">
        <v>65276.07</v>
      </c>
      <c r="F13" s="440">
        <f t="shared" si="5"/>
        <v>2.930000000000291</v>
      </c>
      <c r="G13" s="381">
        <f t="shared" si="4"/>
        <v>0</v>
      </c>
      <c r="H13" s="6"/>
      <c r="I13" s="372">
        <f t="shared" si="1"/>
        <v>0</v>
      </c>
      <c r="J13" s="6"/>
      <c r="K13" s="382">
        <f t="shared" si="2"/>
        <v>0</v>
      </c>
      <c r="L13" s="441"/>
    </row>
    <row r="14" spans="1:12">
      <c r="A14" s="330">
        <v>42767</v>
      </c>
      <c r="B14" s="442">
        <f t="shared" si="3"/>
        <v>5735627</v>
      </c>
      <c r="C14" s="333">
        <v>5797781</v>
      </c>
      <c r="D14" s="360">
        <f t="shared" si="0"/>
        <v>62154</v>
      </c>
      <c r="E14" s="484">
        <v>62154.9</v>
      </c>
      <c r="F14" s="440">
        <f t="shared" si="5"/>
        <v>-0.90000000000145519</v>
      </c>
      <c r="G14" s="381">
        <f t="shared" si="4"/>
        <v>0</v>
      </c>
      <c r="H14" s="6"/>
      <c r="I14" s="372">
        <f t="shared" si="1"/>
        <v>0</v>
      </c>
      <c r="J14" s="6"/>
      <c r="K14" s="382">
        <f t="shared" si="2"/>
        <v>0</v>
      </c>
      <c r="L14" s="441"/>
    </row>
    <row r="15" spans="1:12">
      <c r="A15" s="330">
        <v>42795</v>
      </c>
      <c r="B15" s="442">
        <f t="shared" si="3"/>
        <v>5797781</v>
      </c>
      <c r="C15" s="333">
        <v>5864602</v>
      </c>
      <c r="D15" s="360">
        <f t="shared" si="0"/>
        <v>66821</v>
      </c>
      <c r="E15" s="486">
        <v>66820.89</v>
      </c>
      <c r="F15" s="440">
        <f t="shared" si="5"/>
        <v>0.11000000000058208</v>
      </c>
      <c r="G15" s="381">
        <f t="shared" si="4"/>
        <v>0</v>
      </c>
      <c r="H15" s="6"/>
      <c r="I15" s="372">
        <f t="shared" si="1"/>
        <v>0</v>
      </c>
      <c r="J15" s="6"/>
      <c r="K15" s="382">
        <f t="shared" si="2"/>
        <v>0</v>
      </c>
      <c r="L15" s="441"/>
    </row>
    <row r="16" spans="1:12">
      <c r="A16" s="330">
        <v>42826</v>
      </c>
      <c r="B16" s="442">
        <f t="shared" si="3"/>
        <v>5864602</v>
      </c>
      <c r="C16" s="373">
        <v>5927895</v>
      </c>
      <c r="D16" s="360">
        <f t="shared" si="0"/>
        <v>63293</v>
      </c>
      <c r="E16" s="484">
        <v>63292.38</v>
      </c>
      <c r="F16" s="440">
        <f t="shared" si="5"/>
        <v>0.62000000000261934</v>
      </c>
      <c r="G16" s="381">
        <f t="shared" si="4"/>
        <v>0</v>
      </c>
      <c r="H16" s="6"/>
      <c r="I16" s="372">
        <f t="shared" si="1"/>
        <v>0</v>
      </c>
      <c r="J16" s="6"/>
      <c r="K16" s="382">
        <f t="shared" si="2"/>
        <v>0</v>
      </c>
      <c r="L16" s="441"/>
    </row>
    <row r="17" spans="1:12">
      <c r="A17" s="330">
        <v>42856</v>
      </c>
      <c r="B17" s="442">
        <f t="shared" si="3"/>
        <v>5927895</v>
      </c>
      <c r="C17" s="333">
        <v>5995212</v>
      </c>
      <c r="D17" s="360">
        <f t="shared" si="0"/>
        <v>67317</v>
      </c>
      <c r="E17" s="484">
        <v>67313.47</v>
      </c>
      <c r="F17" s="440">
        <f t="shared" si="5"/>
        <v>3.5299999999988358</v>
      </c>
      <c r="G17" s="381">
        <f t="shared" si="4"/>
        <v>0</v>
      </c>
      <c r="H17" s="6"/>
      <c r="I17" s="372">
        <f t="shared" si="1"/>
        <v>0</v>
      </c>
      <c r="J17" s="6"/>
      <c r="K17" s="382">
        <f t="shared" si="2"/>
        <v>0</v>
      </c>
      <c r="L17" s="441"/>
    </row>
    <row r="18" spans="1:12">
      <c r="A18" s="330">
        <v>42887</v>
      </c>
      <c r="B18" s="442">
        <f t="shared" si="3"/>
        <v>5995212</v>
      </c>
      <c r="C18" s="333">
        <v>6065754</v>
      </c>
      <c r="D18" s="360">
        <f t="shared" si="0"/>
        <v>70542</v>
      </c>
      <c r="E18" s="484">
        <v>70542.600000000006</v>
      </c>
      <c r="F18" s="440">
        <f t="shared" si="5"/>
        <v>-0.60000000000582077</v>
      </c>
      <c r="G18" s="381">
        <f t="shared" si="4"/>
        <v>0</v>
      </c>
      <c r="H18" s="6"/>
      <c r="I18" s="372">
        <f t="shared" si="1"/>
        <v>0</v>
      </c>
      <c r="J18" s="333"/>
      <c r="K18" s="382">
        <f t="shared" si="2"/>
        <v>0</v>
      </c>
      <c r="L18" s="441"/>
    </row>
    <row r="19" spans="1:12">
      <c r="A19" s="330">
        <v>42917</v>
      </c>
      <c r="B19" s="442">
        <f t="shared" si="3"/>
        <v>6065754</v>
      </c>
      <c r="C19" s="333">
        <v>6141089</v>
      </c>
      <c r="D19" s="360">
        <f t="shared" si="0"/>
        <v>75335</v>
      </c>
      <c r="E19" s="484">
        <v>75335</v>
      </c>
      <c r="F19" s="443">
        <f t="shared" si="5"/>
        <v>0</v>
      </c>
      <c r="G19" s="381">
        <v>2442</v>
      </c>
      <c r="H19" s="333">
        <v>15003</v>
      </c>
      <c r="I19" s="372">
        <f t="shared" si="1"/>
        <v>12561</v>
      </c>
      <c r="J19" s="333"/>
      <c r="K19" s="382">
        <f t="shared" si="2"/>
        <v>12561</v>
      </c>
      <c r="L19" s="441"/>
    </row>
    <row r="20" spans="1:12">
      <c r="A20" s="330">
        <v>42948</v>
      </c>
      <c r="B20" s="442">
        <f t="shared" si="3"/>
        <v>6141089</v>
      </c>
      <c r="C20" s="333">
        <v>6212470</v>
      </c>
      <c r="D20" s="360">
        <f t="shared" si="0"/>
        <v>71381</v>
      </c>
      <c r="E20" s="484">
        <v>71379.899999999994</v>
      </c>
      <c r="F20" s="443">
        <f t="shared" si="5"/>
        <v>1.1000000000058208</v>
      </c>
      <c r="G20" s="381">
        <f t="shared" si="4"/>
        <v>15003</v>
      </c>
      <c r="H20" s="333">
        <v>25033</v>
      </c>
      <c r="I20" s="372">
        <f t="shared" si="1"/>
        <v>10030</v>
      </c>
      <c r="J20" s="333">
        <v>10029.74</v>
      </c>
      <c r="K20" s="382">
        <f t="shared" si="2"/>
        <v>0.26000000000021828</v>
      </c>
      <c r="L20" s="441">
        <f>I20+D20</f>
        <v>81411</v>
      </c>
    </row>
    <row r="21" spans="1:12">
      <c r="A21" s="330">
        <v>42979</v>
      </c>
      <c r="B21" s="442">
        <f t="shared" si="3"/>
        <v>6212470</v>
      </c>
      <c r="C21" s="373">
        <v>6276921</v>
      </c>
      <c r="D21" s="360">
        <f t="shared" si="0"/>
        <v>64451</v>
      </c>
      <c r="E21" s="487">
        <v>64450.62</v>
      </c>
      <c r="F21" s="443">
        <f t="shared" si="5"/>
        <v>0.37999999999738066</v>
      </c>
      <c r="G21" s="381">
        <f t="shared" si="4"/>
        <v>25033</v>
      </c>
      <c r="H21" s="373">
        <v>32815</v>
      </c>
      <c r="I21" s="372">
        <f t="shared" si="1"/>
        <v>7782</v>
      </c>
      <c r="J21" s="373">
        <v>7781.72</v>
      </c>
      <c r="K21" s="382">
        <f t="shared" si="2"/>
        <v>0.27999999999974534</v>
      </c>
      <c r="L21" s="441">
        <f t="shared" ref="L21:L54" si="6">I21+D21</f>
        <v>72233</v>
      </c>
    </row>
    <row r="22" spans="1:12">
      <c r="A22" s="330">
        <v>43009</v>
      </c>
      <c r="B22" s="442">
        <f t="shared" si="3"/>
        <v>6276921</v>
      </c>
      <c r="C22" s="373">
        <v>6352831</v>
      </c>
      <c r="D22" s="360">
        <f t="shared" si="0"/>
        <v>75910</v>
      </c>
      <c r="E22" s="487">
        <v>75906.789999999994</v>
      </c>
      <c r="F22" s="443">
        <f t="shared" si="5"/>
        <v>3.2100000000064028</v>
      </c>
      <c r="G22" s="381">
        <f t="shared" si="4"/>
        <v>32815</v>
      </c>
      <c r="H22" s="373">
        <v>39587</v>
      </c>
      <c r="I22" s="372">
        <f t="shared" si="1"/>
        <v>6772</v>
      </c>
      <c r="J22" s="373">
        <v>6772.04</v>
      </c>
      <c r="K22" s="382">
        <f t="shared" si="2"/>
        <v>-3.999999999996362E-2</v>
      </c>
      <c r="L22" s="441">
        <f t="shared" si="6"/>
        <v>82682</v>
      </c>
    </row>
    <row r="23" spans="1:12">
      <c r="A23" s="330">
        <v>43040</v>
      </c>
      <c r="B23" s="442">
        <f t="shared" si="3"/>
        <v>6352831</v>
      </c>
      <c r="C23" s="373">
        <v>6410003</v>
      </c>
      <c r="D23" s="360">
        <f t="shared" si="0"/>
        <v>57172</v>
      </c>
      <c r="E23" s="487">
        <v>57171.51</v>
      </c>
      <c r="F23" s="443">
        <f t="shared" si="5"/>
        <v>0.48999999999796273</v>
      </c>
      <c r="G23" s="381">
        <f t="shared" si="4"/>
        <v>39587</v>
      </c>
      <c r="H23" s="373">
        <v>45717</v>
      </c>
      <c r="I23" s="372">
        <f t="shared" si="1"/>
        <v>6130</v>
      </c>
      <c r="J23" s="373">
        <v>6129.55</v>
      </c>
      <c r="K23" s="382">
        <f t="shared" si="2"/>
        <v>0.4499999999998181</v>
      </c>
      <c r="L23" s="441">
        <f t="shared" si="6"/>
        <v>63302</v>
      </c>
    </row>
    <row r="24" spans="1:12">
      <c r="A24" s="330">
        <v>43070</v>
      </c>
      <c r="B24" s="442">
        <f t="shared" si="3"/>
        <v>6410003</v>
      </c>
      <c r="C24" s="333">
        <v>6476953</v>
      </c>
      <c r="D24" s="360">
        <f t="shared" si="0"/>
        <v>66950</v>
      </c>
      <c r="E24" s="484">
        <v>66951.14</v>
      </c>
      <c r="F24" s="443">
        <f t="shared" si="5"/>
        <v>-1.1399999999994179</v>
      </c>
      <c r="G24" s="381">
        <f t="shared" si="4"/>
        <v>45717</v>
      </c>
      <c r="H24" s="333">
        <v>52890</v>
      </c>
      <c r="I24" s="372">
        <f t="shared" si="1"/>
        <v>7173</v>
      </c>
      <c r="J24" s="333">
        <v>7173.94</v>
      </c>
      <c r="K24" s="382">
        <f t="shared" si="2"/>
        <v>-0.93999999999959982</v>
      </c>
      <c r="L24" s="441">
        <f t="shared" si="6"/>
        <v>74123</v>
      </c>
    </row>
    <row r="25" spans="1:12">
      <c r="A25" s="330">
        <v>43101</v>
      </c>
      <c r="B25" s="442">
        <f t="shared" si="3"/>
        <v>6476953</v>
      </c>
      <c r="C25" s="333">
        <v>6542879</v>
      </c>
      <c r="D25" s="360">
        <f t="shared" si="0"/>
        <v>65926</v>
      </c>
      <c r="E25" s="484">
        <v>65927.77</v>
      </c>
      <c r="F25" s="443">
        <f t="shared" si="5"/>
        <v>-1.7700000000040745</v>
      </c>
      <c r="G25" s="381">
        <f t="shared" si="4"/>
        <v>52890</v>
      </c>
      <c r="H25" s="333">
        <v>59763</v>
      </c>
      <c r="I25" s="372">
        <f t="shared" si="1"/>
        <v>6873</v>
      </c>
      <c r="J25" s="333">
        <v>6874.87</v>
      </c>
      <c r="K25" s="382">
        <f t="shared" si="2"/>
        <v>-1.8699999999998909</v>
      </c>
      <c r="L25" s="441">
        <f t="shared" si="6"/>
        <v>72799</v>
      </c>
    </row>
    <row r="26" spans="1:12">
      <c r="A26" s="330">
        <v>43132</v>
      </c>
      <c r="B26" s="442">
        <f t="shared" si="3"/>
        <v>6542879</v>
      </c>
      <c r="C26" s="333">
        <v>6604433</v>
      </c>
      <c r="D26" s="360">
        <f t="shared" si="0"/>
        <v>61554</v>
      </c>
      <c r="E26" s="488">
        <v>61553.03</v>
      </c>
      <c r="F26" s="443">
        <f t="shared" si="5"/>
        <v>0.97000000000116415</v>
      </c>
      <c r="G26" s="381">
        <f t="shared" si="4"/>
        <v>59763</v>
      </c>
      <c r="H26" s="333">
        <v>66652</v>
      </c>
      <c r="I26" s="372">
        <f t="shared" si="1"/>
        <v>6889</v>
      </c>
      <c r="J26" s="333">
        <v>6890.89</v>
      </c>
      <c r="K26" s="382">
        <f t="shared" si="2"/>
        <v>-1.8900000000003274</v>
      </c>
      <c r="L26" s="441">
        <f t="shared" si="6"/>
        <v>68443</v>
      </c>
    </row>
    <row r="27" spans="1:12">
      <c r="A27" s="330">
        <v>43160</v>
      </c>
      <c r="B27" s="442">
        <f t="shared" si="3"/>
        <v>6604433</v>
      </c>
      <c r="C27" s="373">
        <v>6660226</v>
      </c>
      <c r="D27" s="360">
        <f t="shared" si="0"/>
        <v>55793</v>
      </c>
      <c r="E27" s="487">
        <v>55792.75</v>
      </c>
      <c r="F27" s="443">
        <f t="shared" si="5"/>
        <v>0.25</v>
      </c>
      <c r="G27" s="381">
        <f t="shared" si="4"/>
        <v>66652</v>
      </c>
      <c r="H27" s="373">
        <v>77607</v>
      </c>
      <c r="I27" s="372">
        <f t="shared" si="1"/>
        <v>10955</v>
      </c>
      <c r="J27" s="373">
        <v>10955.45</v>
      </c>
      <c r="K27" s="382">
        <f t="shared" si="2"/>
        <v>-0.4500000000007276</v>
      </c>
      <c r="L27" s="441">
        <f t="shared" si="6"/>
        <v>66748</v>
      </c>
    </row>
    <row r="28" spans="1:12">
      <c r="A28" s="330">
        <v>43191</v>
      </c>
      <c r="B28" s="442">
        <f t="shared" si="3"/>
        <v>6660226</v>
      </c>
      <c r="C28" s="333">
        <v>6714539</v>
      </c>
      <c r="D28" s="360">
        <f t="shared" si="0"/>
        <v>54313</v>
      </c>
      <c r="E28" s="487">
        <v>54312.28</v>
      </c>
      <c r="F28" s="443">
        <f t="shared" si="5"/>
        <v>0.72000000000116415</v>
      </c>
      <c r="G28" s="381">
        <f t="shared" si="4"/>
        <v>77607</v>
      </c>
      <c r="H28" s="333">
        <v>82271</v>
      </c>
      <c r="I28" s="372">
        <f t="shared" si="1"/>
        <v>4664</v>
      </c>
      <c r="J28" s="373">
        <v>4665.22</v>
      </c>
      <c r="K28" s="382">
        <f t="shared" si="2"/>
        <v>-1.2200000000002547</v>
      </c>
      <c r="L28" s="441">
        <f t="shared" si="6"/>
        <v>58977</v>
      </c>
    </row>
    <row r="29" spans="1:12">
      <c r="A29" s="359">
        <v>43221</v>
      </c>
      <c r="B29" s="444">
        <f t="shared" si="3"/>
        <v>6714539</v>
      </c>
      <c r="C29" s="574">
        <v>6774547</v>
      </c>
      <c r="D29" s="489">
        <f t="shared" si="0"/>
        <v>60008</v>
      </c>
      <c r="E29" s="484">
        <v>60007.47</v>
      </c>
      <c r="F29" s="443">
        <f t="shared" si="5"/>
        <v>0.52999999999883585</v>
      </c>
      <c r="G29" s="381">
        <f t="shared" si="4"/>
        <v>82271</v>
      </c>
      <c r="H29" s="333">
        <v>88664</v>
      </c>
      <c r="I29" s="372">
        <f t="shared" si="1"/>
        <v>6393</v>
      </c>
      <c r="J29" s="333">
        <v>6392.14</v>
      </c>
      <c r="K29" s="382">
        <f t="shared" si="2"/>
        <v>0.85999999999967258</v>
      </c>
      <c r="L29" s="441">
        <f t="shared" si="6"/>
        <v>66401</v>
      </c>
    </row>
    <row r="30" spans="1:12">
      <c r="A30" s="330">
        <v>43252</v>
      </c>
      <c r="B30" s="444">
        <f t="shared" si="3"/>
        <v>6774547</v>
      </c>
      <c r="C30" s="333">
        <v>6845214</v>
      </c>
      <c r="D30" s="489">
        <f t="shared" si="0"/>
        <v>70667</v>
      </c>
      <c r="E30" s="484">
        <v>70666.289999999994</v>
      </c>
      <c r="F30" s="443">
        <f t="shared" si="5"/>
        <v>0.71000000000640284</v>
      </c>
      <c r="G30" s="381">
        <f t="shared" si="4"/>
        <v>88664</v>
      </c>
      <c r="H30" s="333">
        <v>99683</v>
      </c>
      <c r="I30" s="372">
        <f t="shared" si="1"/>
        <v>11019</v>
      </c>
      <c r="J30" s="373">
        <v>11020.51</v>
      </c>
      <c r="K30" s="382">
        <f t="shared" si="2"/>
        <v>-1.5100000000002183</v>
      </c>
      <c r="L30" s="441">
        <f t="shared" si="6"/>
        <v>81686</v>
      </c>
    </row>
    <row r="31" spans="1:12">
      <c r="A31" s="330">
        <v>43282</v>
      </c>
      <c r="B31" s="444">
        <f t="shared" si="3"/>
        <v>6845214</v>
      </c>
      <c r="C31" s="373">
        <v>6921964</v>
      </c>
      <c r="D31" s="489">
        <f t="shared" si="0"/>
        <v>76750</v>
      </c>
      <c r="E31" s="487">
        <v>76750.25</v>
      </c>
      <c r="F31" s="443">
        <f t="shared" si="5"/>
        <v>-0.25</v>
      </c>
      <c r="G31" s="381">
        <f t="shared" si="4"/>
        <v>99683</v>
      </c>
      <c r="H31" s="373">
        <v>107936</v>
      </c>
      <c r="I31" s="372">
        <f t="shared" si="1"/>
        <v>8253</v>
      </c>
      <c r="J31" s="373">
        <v>8252.24</v>
      </c>
      <c r="K31" s="382">
        <f t="shared" si="2"/>
        <v>0.76000000000021828</v>
      </c>
      <c r="L31" s="441">
        <f t="shared" si="6"/>
        <v>85003</v>
      </c>
    </row>
    <row r="32" spans="1:12">
      <c r="A32" s="330">
        <v>43313</v>
      </c>
      <c r="B32" s="444">
        <f t="shared" si="3"/>
        <v>6921964</v>
      </c>
      <c r="C32" s="373">
        <v>7001142</v>
      </c>
      <c r="D32" s="489">
        <f t="shared" si="0"/>
        <v>79178</v>
      </c>
      <c r="E32" s="487">
        <v>79179.56</v>
      </c>
      <c r="F32" s="443">
        <f t="shared" si="5"/>
        <v>-1.5599999999976717</v>
      </c>
      <c r="G32" s="381">
        <f t="shared" si="4"/>
        <v>107936</v>
      </c>
      <c r="H32" s="373">
        <v>116730</v>
      </c>
      <c r="I32" s="372">
        <f t="shared" si="1"/>
        <v>8794</v>
      </c>
      <c r="J32" s="373">
        <v>8793.1200000000008</v>
      </c>
      <c r="K32" s="382">
        <f t="shared" si="2"/>
        <v>0.87999999999919964</v>
      </c>
      <c r="L32" s="441">
        <f t="shared" si="6"/>
        <v>87972</v>
      </c>
    </row>
    <row r="33" spans="1:12">
      <c r="A33" s="330">
        <v>43344</v>
      </c>
      <c r="B33" s="444">
        <f t="shared" si="3"/>
        <v>7001142</v>
      </c>
      <c r="C33" s="373">
        <v>7074217</v>
      </c>
      <c r="D33" s="489">
        <f t="shared" si="0"/>
        <v>73075</v>
      </c>
      <c r="E33" s="487">
        <v>73076.960000000006</v>
      </c>
      <c r="F33" s="443">
        <f t="shared" si="5"/>
        <v>-1.9600000000064028</v>
      </c>
      <c r="G33" s="381">
        <f t="shared" si="4"/>
        <v>116730</v>
      </c>
      <c r="H33" s="373">
        <v>127346</v>
      </c>
      <c r="I33" s="372">
        <f t="shared" si="1"/>
        <v>10616</v>
      </c>
      <c r="J33" s="373">
        <v>10615.37</v>
      </c>
      <c r="K33" s="382">
        <f t="shared" si="2"/>
        <v>0.62999999999919964</v>
      </c>
      <c r="L33" s="441">
        <f t="shared" si="6"/>
        <v>83691</v>
      </c>
    </row>
    <row r="34" spans="1:12">
      <c r="A34" s="330">
        <v>43374</v>
      </c>
      <c r="B34" s="444">
        <f t="shared" si="3"/>
        <v>7074217</v>
      </c>
      <c r="C34" s="333">
        <v>7154506</v>
      </c>
      <c r="D34" s="489">
        <f t="shared" si="0"/>
        <v>80289</v>
      </c>
      <c r="E34" s="484">
        <v>80287.839999999997</v>
      </c>
      <c r="F34" s="443">
        <f t="shared" si="5"/>
        <v>1.1600000000034925</v>
      </c>
      <c r="G34" s="381">
        <f t="shared" si="4"/>
        <v>127346</v>
      </c>
      <c r="H34" s="333">
        <v>134840</v>
      </c>
      <c r="I34" s="372">
        <f t="shared" si="1"/>
        <v>7494</v>
      </c>
      <c r="J34" s="333">
        <v>7493.99</v>
      </c>
      <c r="K34" s="382">
        <f t="shared" si="2"/>
        <v>1.0000000000218279E-2</v>
      </c>
      <c r="L34" s="441">
        <f t="shared" si="6"/>
        <v>87783</v>
      </c>
    </row>
    <row r="35" spans="1:12">
      <c r="A35" s="330">
        <v>43405</v>
      </c>
      <c r="B35" s="444">
        <f t="shared" si="3"/>
        <v>7154506</v>
      </c>
      <c r="C35" s="333">
        <v>7225359</v>
      </c>
      <c r="D35" s="489">
        <f t="shared" si="0"/>
        <v>70853</v>
      </c>
      <c r="E35" s="484">
        <v>70852.88</v>
      </c>
      <c r="F35" s="443">
        <f t="shared" si="5"/>
        <v>0.11999999999534339</v>
      </c>
      <c r="G35" s="381">
        <f t="shared" si="4"/>
        <v>134840</v>
      </c>
      <c r="H35" s="333">
        <v>145302</v>
      </c>
      <c r="I35" s="372">
        <f t="shared" si="1"/>
        <v>10462</v>
      </c>
      <c r="J35" s="333">
        <v>10462.700000000001</v>
      </c>
      <c r="K35" s="382">
        <f t="shared" si="2"/>
        <v>-0.7000000000007276</v>
      </c>
      <c r="L35" s="441">
        <f t="shared" si="6"/>
        <v>81315</v>
      </c>
    </row>
    <row r="36" spans="1:12">
      <c r="A36" s="330">
        <v>43435</v>
      </c>
      <c r="B36" s="444">
        <f t="shared" si="3"/>
        <v>7225359</v>
      </c>
      <c r="C36" s="333">
        <v>7296581</v>
      </c>
      <c r="D36" s="489">
        <f t="shared" si="0"/>
        <v>71222</v>
      </c>
      <c r="E36" s="484">
        <v>71221.22</v>
      </c>
      <c r="F36" s="443">
        <f t="shared" si="5"/>
        <v>0.77999999999883585</v>
      </c>
      <c r="G36" s="381">
        <f t="shared" si="4"/>
        <v>145302</v>
      </c>
      <c r="H36" s="333">
        <v>154999</v>
      </c>
      <c r="I36" s="372">
        <f t="shared" si="1"/>
        <v>9697</v>
      </c>
      <c r="J36" s="333">
        <v>9696.7999999999993</v>
      </c>
      <c r="K36" s="382">
        <f t="shared" si="2"/>
        <v>0.2000000000007276</v>
      </c>
      <c r="L36" s="441">
        <f t="shared" si="6"/>
        <v>80919</v>
      </c>
    </row>
    <row r="37" spans="1:12">
      <c r="A37" s="330">
        <v>43466</v>
      </c>
      <c r="B37" s="444">
        <f t="shared" si="3"/>
        <v>7296581</v>
      </c>
      <c r="C37" s="333">
        <v>7366625</v>
      </c>
      <c r="D37" s="489">
        <f t="shared" si="0"/>
        <v>70044</v>
      </c>
      <c r="E37" s="484">
        <v>70042.86</v>
      </c>
      <c r="F37" s="443">
        <f t="shared" si="5"/>
        <v>1.1399999999994179</v>
      </c>
      <c r="G37" s="381">
        <f t="shared" si="4"/>
        <v>154999</v>
      </c>
      <c r="H37" s="333">
        <v>161103</v>
      </c>
      <c r="I37" s="372">
        <f t="shared" si="1"/>
        <v>6104</v>
      </c>
      <c r="J37" s="333">
        <v>6107.32</v>
      </c>
      <c r="K37" s="382">
        <f t="shared" si="2"/>
        <v>-3.319999999999709</v>
      </c>
      <c r="L37" s="441">
        <f t="shared" si="6"/>
        <v>76148</v>
      </c>
    </row>
    <row r="38" spans="1:12">
      <c r="A38" s="330">
        <v>43497</v>
      </c>
      <c r="B38" s="444">
        <f t="shared" si="3"/>
        <v>7366625</v>
      </c>
      <c r="C38" s="333">
        <v>7427612</v>
      </c>
      <c r="D38" s="489">
        <f t="shared" si="0"/>
        <v>60987</v>
      </c>
      <c r="E38" s="484">
        <v>60986.27</v>
      </c>
      <c r="F38" s="443">
        <f t="shared" si="5"/>
        <v>0.73000000000320142</v>
      </c>
      <c r="G38" s="381">
        <f t="shared" si="4"/>
        <v>161103</v>
      </c>
      <c r="H38" s="333">
        <v>167784</v>
      </c>
      <c r="I38" s="372">
        <f t="shared" si="1"/>
        <v>6681</v>
      </c>
      <c r="J38" s="333">
        <v>6681</v>
      </c>
      <c r="K38" s="382">
        <f t="shared" si="2"/>
        <v>0</v>
      </c>
      <c r="L38" s="441">
        <f t="shared" si="6"/>
        <v>67668</v>
      </c>
    </row>
    <row r="39" spans="1:12">
      <c r="A39" s="330">
        <v>43525</v>
      </c>
      <c r="B39" s="444">
        <f t="shared" si="3"/>
        <v>7427612</v>
      </c>
      <c r="C39" s="333">
        <v>7494502</v>
      </c>
      <c r="D39" s="489">
        <f t="shared" si="0"/>
        <v>66890</v>
      </c>
      <c r="E39" s="484">
        <v>66888.649999999994</v>
      </c>
      <c r="F39" s="443">
        <f t="shared" si="5"/>
        <v>1.3500000000058208</v>
      </c>
      <c r="G39" s="381">
        <f t="shared" si="4"/>
        <v>167784</v>
      </c>
      <c r="H39" s="333">
        <v>178453</v>
      </c>
      <c r="I39" s="372">
        <f t="shared" si="1"/>
        <v>10669</v>
      </c>
      <c r="J39" s="333">
        <v>10669.59</v>
      </c>
      <c r="K39" s="382">
        <f t="shared" si="2"/>
        <v>-0.59000000000014552</v>
      </c>
      <c r="L39" s="441">
        <f t="shared" si="6"/>
        <v>77559</v>
      </c>
    </row>
    <row r="40" spans="1:12">
      <c r="A40" s="330">
        <v>43556</v>
      </c>
      <c r="B40" s="444">
        <f t="shared" si="3"/>
        <v>7494502</v>
      </c>
      <c r="C40" s="333">
        <v>7567839</v>
      </c>
      <c r="D40" s="489">
        <f t="shared" si="0"/>
        <v>73337</v>
      </c>
      <c r="E40" s="484">
        <v>73336.570000000007</v>
      </c>
      <c r="F40" s="443">
        <f t="shared" si="5"/>
        <v>0.42999999999301508</v>
      </c>
      <c r="G40" s="381">
        <f t="shared" si="4"/>
        <v>178453</v>
      </c>
      <c r="H40" s="333">
        <v>185868</v>
      </c>
      <c r="I40" s="372">
        <f t="shared" si="1"/>
        <v>7415</v>
      </c>
      <c r="J40" s="333">
        <v>7415.91</v>
      </c>
      <c r="K40" s="382">
        <f t="shared" si="2"/>
        <v>-0.90999999999985448</v>
      </c>
      <c r="L40" s="441">
        <f t="shared" si="6"/>
        <v>80752</v>
      </c>
    </row>
    <row r="41" spans="1:12">
      <c r="A41" s="330">
        <v>43586</v>
      </c>
      <c r="B41" s="444">
        <f t="shared" si="3"/>
        <v>7567839</v>
      </c>
      <c r="C41" s="333">
        <v>7635177</v>
      </c>
      <c r="D41" s="489">
        <f t="shared" si="0"/>
        <v>67338</v>
      </c>
      <c r="E41" s="484">
        <v>67338.48</v>
      </c>
      <c r="F41" s="443">
        <f t="shared" si="5"/>
        <v>-0.47999999999592546</v>
      </c>
      <c r="G41" s="381">
        <f t="shared" si="4"/>
        <v>185868</v>
      </c>
      <c r="H41" s="333">
        <v>191580</v>
      </c>
      <c r="I41" s="372">
        <f t="shared" si="1"/>
        <v>5712</v>
      </c>
      <c r="J41" s="333">
        <v>5711.08</v>
      </c>
      <c r="K41" s="382">
        <f t="shared" si="2"/>
        <v>0.92000000000007276</v>
      </c>
      <c r="L41" s="441">
        <f t="shared" si="6"/>
        <v>73050</v>
      </c>
    </row>
    <row r="42" spans="1:12">
      <c r="A42" s="330">
        <v>43617</v>
      </c>
      <c r="B42" s="442">
        <f t="shared" si="3"/>
        <v>7635177</v>
      </c>
      <c r="C42" s="573">
        <v>7705814</v>
      </c>
      <c r="D42" s="360">
        <f t="shared" si="0"/>
        <v>70637</v>
      </c>
      <c r="E42" s="484">
        <v>70631.199999999997</v>
      </c>
      <c r="F42" s="443">
        <f>D42-E42</f>
        <v>5.8000000000029104</v>
      </c>
      <c r="G42" s="381">
        <f t="shared" si="4"/>
        <v>191580</v>
      </c>
      <c r="H42" s="333">
        <v>198910</v>
      </c>
      <c r="I42" s="372">
        <f t="shared" si="1"/>
        <v>7330</v>
      </c>
      <c r="J42" s="333">
        <v>7352.54</v>
      </c>
      <c r="K42" s="382">
        <f t="shared" si="2"/>
        <v>-22.539999999999964</v>
      </c>
      <c r="L42" s="441">
        <f t="shared" si="6"/>
        <v>77967</v>
      </c>
    </row>
    <row r="43" spans="1:12">
      <c r="A43" s="330">
        <v>43647</v>
      </c>
      <c r="B43" s="442">
        <f t="shared" si="3"/>
        <v>7705814</v>
      </c>
      <c r="C43" s="573">
        <v>7789265</v>
      </c>
      <c r="D43" s="360">
        <f t="shared" si="0"/>
        <v>83451</v>
      </c>
      <c r="E43" s="484">
        <v>83450.259999999995</v>
      </c>
      <c r="F43" s="443">
        <f t="shared" si="5"/>
        <v>0.74000000000523869</v>
      </c>
      <c r="G43" s="381">
        <f t="shared" si="4"/>
        <v>198910</v>
      </c>
      <c r="H43" s="333">
        <v>208208</v>
      </c>
      <c r="I43" s="372">
        <f t="shared" si="1"/>
        <v>9298</v>
      </c>
      <c r="J43" s="333">
        <v>8921.51</v>
      </c>
      <c r="K43" s="382">
        <f t="shared" si="2"/>
        <v>376.48999999999978</v>
      </c>
      <c r="L43" s="441">
        <f t="shared" si="6"/>
        <v>92749</v>
      </c>
    </row>
    <row r="44" spans="1:12">
      <c r="A44" s="330">
        <v>43678</v>
      </c>
      <c r="B44" s="442">
        <f t="shared" si="3"/>
        <v>7789265</v>
      </c>
      <c r="C44" s="573">
        <v>7867728</v>
      </c>
      <c r="D44" s="360">
        <f t="shared" si="0"/>
        <v>78463</v>
      </c>
      <c r="E44" s="484">
        <v>78463.600000000006</v>
      </c>
      <c r="F44" s="443">
        <f>D44-E44</f>
        <v>-0.60000000000582077</v>
      </c>
      <c r="G44" s="381">
        <f t="shared" si="4"/>
        <v>208208</v>
      </c>
      <c r="H44" s="333">
        <v>216205</v>
      </c>
      <c r="I44" s="372">
        <f t="shared" si="1"/>
        <v>7997</v>
      </c>
      <c r="J44" s="333">
        <v>7870.33</v>
      </c>
      <c r="K44" s="382">
        <f t="shared" si="2"/>
        <v>126.67000000000007</v>
      </c>
      <c r="L44" s="441">
        <f t="shared" si="6"/>
        <v>86460</v>
      </c>
    </row>
    <row r="45" spans="1:12">
      <c r="A45" s="330">
        <v>43709</v>
      </c>
      <c r="B45" s="442">
        <f t="shared" si="3"/>
        <v>7867728</v>
      </c>
      <c r="C45" s="573">
        <v>7937278</v>
      </c>
      <c r="D45" s="360">
        <f t="shared" si="0"/>
        <v>69550</v>
      </c>
      <c r="E45" s="484">
        <v>69549.31</v>
      </c>
      <c r="F45" s="443">
        <f t="shared" si="5"/>
        <v>0.69000000000232831</v>
      </c>
      <c r="G45" s="381">
        <f t="shared" si="4"/>
        <v>216205</v>
      </c>
      <c r="H45" s="333">
        <v>223195</v>
      </c>
      <c r="I45" s="372">
        <f t="shared" si="1"/>
        <v>6990</v>
      </c>
      <c r="J45" s="333">
        <v>6989.22</v>
      </c>
      <c r="K45" s="382">
        <f t="shared" si="2"/>
        <v>0.77999999999974534</v>
      </c>
      <c r="L45" s="441">
        <f t="shared" si="6"/>
        <v>76540</v>
      </c>
    </row>
    <row r="46" spans="1:12">
      <c r="A46" s="330">
        <v>43739</v>
      </c>
      <c r="B46" s="442">
        <f t="shared" si="3"/>
        <v>7937278</v>
      </c>
      <c r="C46" s="573">
        <v>8009185</v>
      </c>
      <c r="D46" s="360">
        <f t="shared" si="0"/>
        <v>71907</v>
      </c>
      <c r="E46" s="484">
        <v>71906.240000000005</v>
      </c>
      <c r="F46" s="443">
        <f t="shared" si="5"/>
        <v>0.75999999999476131</v>
      </c>
      <c r="G46" s="381">
        <f t="shared" si="4"/>
        <v>223195</v>
      </c>
      <c r="H46" s="333">
        <v>229902</v>
      </c>
      <c r="I46" s="372">
        <f t="shared" si="1"/>
        <v>6707</v>
      </c>
      <c r="J46" s="333">
        <v>6706</v>
      </c>
      <c r="K46" s="382">
        <f t="shared" si="2"/>
        <v>1</v>
      </c>
      <c r="L46" s="441">
        <f t="shared" si="6"/>
        <v>78614</v>
      </c>
    </row>
    <row r="47" spans="1:12">
      <c r="A47" s="330">
        <v>43770</v>
      </c>
      <c r="B47" s="442">
        <f t="shared" si="3"/>
        <v>8009185</v>
      </c>
      <c r="C47" s="573">
        <v>8069975</v>
      </c>
      <c r="D47" s="360">
        <f t="shared" si="0"/>
        <v>60790</v>
      </c>
      <c r="E47" s="484">
        <v>60788.44</v>
      </c>
      <c r="F47" s="443">
        <f t="shared" si="5"/>
        <v>1.5599999999976717</v>
      </c>
      <c r="G47" s="381">
        <f t="shared" si="4"/>
        <v>229902</v>
      </c>
      <c r="H47" s="333">
        <v>235486</v>
      </c>
      <c r="I47" s="372">
        <f t="shared" si="1"/>
        <v>5584</v>
      </c>
      <c r="J47" s="333">
        <v>5584</v>
      </c>
      <c r="K47" s="382">
        <f t="shared" si="2"/>
        <v>0</v>
      </c>
      <c r="L47" s="441">
        <f t="shared" si="6"/>
        <v>66374</v>
      </c>
    </row>
    <row r="48" spans="1:12">
      <c r="A48" s="330">
        <v>43800</v>
      </c>
      <c r="B48" s="442">
        <f t="shared" si="3"/>
        <v>8069975</v>
      </c>
      <c r="C48" s="573"/>
      <c r="D48" s="360">
        <f t="shared" si="0"/>
        <v>-8069975</v>
      </c>
      <c r="E48" s="484"/>
      <c r="F48" s="443">
        <f t="shared" si="5"/>
        <v>-8069975</v>
      </c>
      <c r="G48" s="381">
        <f t="shared" si="4"/>
        <v>235486</v>
      </c>
      <c r="H48" s="333"/>
      <c r="I48" s="372">
        <f t="shared" si="1"/>
        <v>-235486</v>
      </c>
      <c r="J48" s="333"/>
      <c r="K48" s="382">
        <f t="shared" si="2"/>
        <v>-235486</v>
      </c>
      <c r="L48" s="441">
        <f t="shared" si="6"/>
        <v>-8305461</v>
      </c>
    </row>
    <row r="49" spans="1:12">
      <c r="A49" s="330">
        <v>43831</v>
      </c>
      <c r="B49" s="442">
        <f t="shared" si="3"/>
        <v>0</v>
      </c>
      <c r="C49" s="573"/>
      <c r="D49" s="360">
        <f t="shared" si="0"/>
        <v>0</v>
      </c>
      <c r="E49" s="484"/>
      <c r="F49" s="443">
        <f t="shared" si="5"/>
        <v>0</v>
      </c>
      <c r="G49" s="381">
        <f t="shared" si="4"/>
        <v>0</v>
      </c>
      <c r="H49" s="333"/>
      <c r="I49" s="372">
        <f t="shared" si="1"/>
        <v>0</v>
      </c>
      <c r="J49" s="333"/>
      <c r="K49" s="382">
        <f t="shared" si="2"/>
        <v>0</v>
      </c>
      <c r="L49" s="441">
        <f t="shared" si="6"/>
        <v>0</v>
      </c>
    </row>
    <row r="50" spans="1:12">
      <c r="A50" s="330">
        <v>43862</v>
      </c>
      <c r="B50" s="442">
        <f t="shared" si="3"/>
        <v>0</v>
      </c>
      <c r="C50" s="573"/>
      <c r="D50" s="360">
        <f t="shared" si="0"/>
        <v>0</v>
      </c>
      <c r="E50" s="484"/>
      <c r="F50" s="443">
        <f t="shared" si="5"/>
        <v>0</v>
      </c>
      <c r="G50" s="381">
        <f t="shared" si="4"/>
        <v>0</v>
      </c>
      <c r="H50" s="333"/>
      <c r="I50" s="372">
        <f t="shared" si="1"/>
        <v>0</v>
      </c>
      <c r="J50" s="333"/>
      <c r="K50" s="382">
        <f t="shared" si="2"/>
        <v>0</v>
      </c>
      <c r="L50" s="441">
        <f t="shared" si="6"/>
        <v>0</v>
      </c>
    </row>
    <row r="51" spans="1:12">
      <c r="A51" s="330">
        <v>43891</v>
      </c>
      <c r="B51" s="442">
        <f t="shared" si="3"/>
        <v>0</v>
      </c>
      <c r="C51" s="573"/>
      <c r="D51" s="360">
        <f t="shared" si="0"/>
        <v>0</v>
      </c>
      <c r="E51" s="484"/>
      <c r="F51" s="443">
        <f t="shared" si="5"/>
        <v>0</v>
      </c>
      <c r="G51" s="381">
        <f t="shared" si="4"/>
        <v>0</v>
      </c>
      <c r="H51" s="333"/>
      <c r="I51" s="372">
        <f t="shared" si="1"/>
        <v>0</v>
      </c>
      <c r="J51" s="333"/>
      <c r="K51" s="382">
        <f t="shared" si="2"/>
        <v>0</v>
      </c>
      <c r="L51" s="441">
        <f t="shared" si="6"/>
        <v>0</v>
      </c>
    </row>
    <row r="52" spans="1:12">
      <c r="A52" s="330">
        <v>43922</v>
      </c>
      <c r="B52" s="442">
        <f t="shared" si="3"/>
        <v>0</v>
      </c>
      <c r="C52" s="573"/>
      <c r="D52" s="360">
        <f t="shared" si="0"/>
        <v>0</v>
      </c>
      <c r="E52" s="484"/>
      <c r="F52" s="443">
        <f t="shared" si="5"/>
        <v>0</v>
      </c>
      <c r="G52" s="381">
        <f t="shared" si="4"/>
        <v>0</v>
      </c>
      <c r="H52" s="333"/>
      <c r="I52" s="372">
        <f t="shared" si="1"/>
        <v>0</v>
      </c>
      <c r="J52" s="333"/>
      <c r="K52" s="382">
        <f t="shared" si="2"/>
        <v>0</v>
      </c>
      <c r="L52" s="441">
        <f t="shared" si="6"/>
        <v>0</v>
      </c>
    </row>
    <row r="53" spans="1:12">
      <c r="A53" s="330">
        <v>43586</v>
      </c>
      <c r="B53" s="442">
        <f t="shared" si="3"/>
        <v>0</v>
      </c>
      <c r="C53" s="573"/>
      <c r="D53" s="360">
        <f t="shared" si="0"/>
        <v>0</v>
      </c>
      <c r="E53" s="484"/>
      <c r="F53" s="443">
        <f t="shared" si="5"/>
        <v>0</v>
      </c>
      <c r="G53" s="381">
        <f t="shared" si="4"/>
        <v>0</v>
      </c>
      <c r="H53" s="333"/>
      <c r="I53" s="372">
        <f t="shared" si="1"/>
        <v>0</v>
      </c>
      <c r="J53" s="333"/>
      <c r="K53" s="382">
        <f t="shared" si="2"/>
        <v>0</v>
      </c>
      <c r="L53" s="441">
        <f t="shared" si="6"/>
        <v>0</v>
      </c>
    </row>
    <row r="54" spans="1:12" ht="13.5" thickBot="1">
      <c r="A54" s="330">
        <v>43983</v>
      </c>
      <c r="B54" s="490">
        <f t="shared" si="3"/>
        <v>0</v>
      </c>
      <c r="C54" s="572"/>
      <c r="D54" s="416">
        <f t="shared" si="0"/>
        <v>0</v>
      </c>
      <c r="E54" s="484"/>
      <c r="F54" s="443">
        <f t="shared" si="5"/>
        <v>0</v>
      </c>
      <c r="G54" s="381">
        <f t="shared" si="4"/>
        <v>0</v>
      </c>
      <c r="H54" s="333"/>
      <c r="I54" s="372">
        <f t="shared" si="1"/>
        <v>0</v>
      </c>
      <c r="J54" s="333"/>
      <c r="K54" s="382">
        <f t="shared" si="2"/>
        <v>0</v>
      </c>
      <c r="L54" s="441">
        <f t="shared" si="6"/>
        <v>0</v>
      </c>
    </row>
    <row r="56" spans="1:12">
      <c r="B56" s="20"/>
      <c r="C56" s="20"/>
      <c r="D56" s="20"/>
      <c r="G56" s="20"/>
      <c r="H56" s="20"/>
    </row>
    <row r="57" spans="1:12" ht="13.5" thickBot="1">
      <c r="B57" s="20"/>
      <c r="C57" s="20"/>
      <c r="D57" s="20"/>
      <c r="G57" s="20"/>
      <c r="H57" s="20"/>
    </row>
    <row r="58" spans="1:12">
      <c r="B58" s="861"/>
      <c r="C58" s="862"/>
      <c r="D58" s="862"/>
      <c r="E58" s="862"/>
      <c r="F58" s="863"/>
      <c r="G58" s="861"/>
      <c r="H58" s="862"/>
      <c r="I58" s="862"/>
      <c r="J58" s="862"/>
      <c r="K58" s="863"/>
    </row>
    <row r="59" spans="1:12">
      <c r="B59" s="864"/>
      <c r="C59" s="865"/>
      <c r="D59" s="865"/>
      <c r="E59" s="865"/>
      <c r="F59" s="866"/>
      <c r="G59" s="864"/>
      <c r="H59" s="865"/>
      <c r="I59" s="865"/>
      <c r="J59" s="865"/>
      <c r="K59" s="866"/>
    </row>
    <row r="60" spans="1:12">
      <c r="B60" s="864"/>
      <c r="C60" s="865"/>
      <c r="D60" s="865"/>
      <c r="E60" s="865"/>
      <c r="F60" s="866"/>
      <c r="G60" s="864"/>
      <c r="H60" s="865"/>
      <c r="I60" s="865"/>
      <c r="J60" s="865"/>
      <c r="K60" s="866"/>
    </row>
    <row r="61" spans="1:12">
      <c r="B61" s="864"/>
      <c r="C61" s="865"/>
      <c r="D61" s="865"/>
      <c r="E61" s="865"/>
      <c r="F61" s="866"/>
      <c r="G61" s="864"/>
      <c r="H61" s="865"/>
      <c r="I61" s="865"/>
      <c r="J61" s="865"/>
      <c r="K61" s="866"/>
    </row>
    <row r="62" spans="1:12">
      <c r="B62" s="864"/>
      <c r="C62" s="865"/>
      <c r="D62" s="865"/>
      <c r="E62" s="865"/>
      <c r="F62" s="866"/>
      <c r="G62" s="864"/>
      <c r="H62" s="865"/>
      <c r="I62" s="865"/>
      <c r="J62" s="865"/>
      <c r="K62" s="866"/>
    </row>
    <row r="63" spans="1:12">
      <c r="B63" s="864"/>
      <c r="C63" s="865"/>
      <c r="D63" s="865"/>
      <c r="E63" s="865"/>
      <c r="F63" s="866"/>
      <c r="G63" s="864"/>
      <c r="H63" s="865"/>
      <c r="I63" s="865"/>
      <c r="J63" s="865"/>
      <c r="K63" s="866"/>
    </row>
    <row r="64" spans="1:12">
      <c r="B64" s="864"/>
      <c r="C64" s="865"/>
      <c r="D64" s="865"/>
      <c r="E64" s="865"/>
      <c r="F64" s="866"/>
      <c r="G64" s="864"/>
      <c r="H64" s="865"/>
      <c r="I64" s="865"/>
      <c r="J64" s="865"/>
      <c r="K64" s="866"/>
    </row>
    <row r="65" spans="2:11" ht="13.5" thickBot="1">
      <c r="B65" s="867"/>
      <c r="C65" s="868"/>
      <c r="D65" s="868"/>
      <c r="E65" s="868"/>
      <c r="F65" s="869"/>
      <c r="G65" s="867"/>
      <c r="H65" s="868"/>
      <c r="I65" s="868"/>
      <c r="J65" s="868"/>
      <c r="K65" s="869"/>
    </row>
    <row r="66" spans="2:11">
      <c r="B66" s="870" t="s">
        <v>253</v>
      </c>
      <c r="C66" s="871"/>
      <c r="D66" s="871"/>
      <c r="E66" s="871"/>
      <c r="F66" s="872"/>
      <c r="G66" s="870" t="s">
        <v>254</v>
      </c>
      <c r="H66" s="871"/>
      <c r="I66" s="871"/>
      <c r="J66" s="871"/>
      <c r="K66" s="872"/>
    </row>
    <row r="67" spans="2:11" ht="13.5" thickBot="1">
      <c r="B67" s="873"/>
      <c r="C67" s="874"/>
      <c r="D67" s="874"/>
      <c r="E67" s="874"/>
      <c r="F67" s="875"/>
      <c r="G67" s="873"/>
      <c r="H67" s="874"/>
      <c r="I67" s="874"/>
      <c r="J67" s="874"/>
      <c r="K67" s="875"/>
    </row>
    <row r="69" spans="2:11" ht="15">
      <c r="B69" s="575"/>
      <c r="C69" s="20"/>
      <c r="G69" s="40"/>
      <c r="H69" s="20"/>
      <c r="I69" s="20"/>
    </row>
  </sheetData>
  <mergeCells count="5">
    <mergeCell ref="A1:D1"/>
    <mergeCell ref="B58:F65"/>
    <mergeCell ref="G58:K65"/>
    <mergeCell ref="B66:F67"/>
    <mergeCell ref="G66:K67"/>
  </mergeCells>
  <pageMargins left="0.7" right="0.7" top="0.75" bottom="0.75" header="0.3" footer="0.3"/>
  <drawing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36"/>
  <sheetViews>
    <sheetView tabSelected="1" topLeftCell="A3" workbookViewId="0">
      <selection activeCell="D31" sqref="D31"/>
    </sheetView>
  </sheetViews>
  <sheetFormatPr defaultRowHeight="12.75"/>
  <cols>
    <col min="3" max="3" width="18" customWidth="1"/>
    <col min="4" max="10" width="17.5703125" customWidth="1"/>
  </cols>
  <sheetData>
    <row r="1" spans="1:10" ht="26.25">
      <c r="A1" s="876" t="s">
        <v>262</v>
      </c>
      <c r="B1" s="876"/>
      <c r="C1" s="876"/>
      <c r="D1" s="876"/>
      <c r="E1" s="876"/>
      <c r="F1" s="876"/>
      <c r="G1" s="876"/>
      <c r="H1" s="876"/>
      <c r="I1" s="876"/>
      <c r="J1" s="876"/>
    </row>
    <row r="2" spans="1:10" ht="19.5" thickBot="1">
      <c r="A2" s="885">
        <v>43770</v>
      </c>
      <c r="B2" s="886"/>
      <c r="C2" s="886"/>
      <c r="D2" s="886"/>
      <c r="E2" s="886"/>
      <c r="F2" s="886"/>
      <c r="G2" s="886"/>
      <c r="H2" s="886"/>
      <c r="I2" s="886"/>
      <c r="J2" s="886"/>
    </row>
    <row r="3" spans="1:10" ht="15.75" thickBot="1">
      <c r="A3" s="877" t="s">
        <v>7</v>
      </c>
      <c r="B3" s="879" t="s">
        <v>263</v>
      </c>
      <c r="C3" s="655"/>
      <c r="D3" s="881" t="s">
        <v>264</v>
      </c>
      <c r="E3" s="882"/>
      <c r="F3" s="883" t="s">
        <v>265</v>
      </c>
      <c r="G3" s="884"/>
      <c r="H3" s="882"/>
      <c r="I3" s="883" t="s">
        <v>266</v>
      </c>
      <c r="J3" s="882"/>
    </row>
    <row r="4" spans="1:10" ht="30.75" thickBot="1">
      <c r="A4" s="878"/>
      <c r="B4" s="880"/>
      <c r="C4" s="663" t="s">
        <v>311</v>
      </c>
      <c r="D4" s="581" t="s">
        <v>267</v>
      </c>
      <c r="E4" s="586" t="s">
        <v>3</v>
      </c>
      <c r="F4" s="581" t="s">
        <v>267</v>
      </c>
      <c r="G4" s="581" t="s">
        <v>268</v>
      </c>
      <c r="H4" s="581" t="s">
        <v>269</v>
      </c>
      <c r="I4" s="581" t="s">
        <v>17</v>
      </c>
      <c r="J4" s="581" t="s">
        <v>270</v>
      </c>
    </row>
    <row r="5" spans="1:10" ht="17.100000000000001" customHeight="1">
      <c r="A5" s="294">
        <v>43800</v>
      </c>
      <c r="B5" s="588">
        <f>Gen!B11</f>
        <v>0.11700000000000001</v>
      </c>
      <c r="C5" s="660">
        <f>Gen!AJ11</f>
        <v>404.63</v>
      </c>
      <c r="D5" s="662">
        <f>Gen!S11</f>
        <v>1654.6399999999999</v>
      </c>
      <c r="E5" s="583">
        <f>Gen!C11</f>
        <v>52821.972000000016</v>
      </c>
      <c r="F5" s="584">
        <f>'Water-Meter'!E6</f>
        <v>109</v>
      </c>
      <c r="G5" s="585">
        <f>'Water-Meter'!AN6</f>
        <v>184</v>
      </c>
      <c r="H5" s="583">
        <f>'Utility report '!AC6</f>
        <v>108</v>
      </c>
      <c r="I5" s="582">
        <f>'Kit report'!F4</f>
        <v>456.00000000002183</v>
      </c>
      <c r="J5" s="583">
        <f>'Kit report'!X4</f>
        <v>480.00000000010914</v>
      </c>
    </row>
    <row r="6" spans="1:10" ht="17.100000000000001" customHeight="1">
      <c r="A6" s="294">
        <v>43801</v>
      </c>
      <c r="B6" s="587">
        <f>Gen!B12</f>
        <v>0.11700000000000001</v>
      </c>
      <c r="C6" s="660">
        <f>Gen!AJ12</f>
        <v>1310.5899999999999</v>
      </c>
      <c r="D6" s="662">
        <f>Gen!S12</f>
        <v>1688.71</v>
      </c>
      <c r="E6" s="583">
        <f>Gen!C12</f>
        <v>50762.702000000019</v>
      </c>
      <c r="F6" s="584">
        <f>'Water-Meter'!E7</f>
        <v>93</v>
      </c>
      <c r="G6" s="585">
        <f>'Water-Meter'!AN7</f>
        <v>182</v>
      </c>
      <c r="H6" s="583">
        <f>'Utility report '!AC7</f>
        <v>111</v>
      </c>
      <c r="I6" s="582">
        <f>'Kit report'!F5</f>
        <v>503.99999999997817</v>
      </c>
      <c r="J6" s="583">
        <f>'Kit report'!X5</f>
        <v>579.99999999992724</v>
      </c>
    </row>
    <row r="7" spans="1:10" ht="17.100000000000001" customHeight="1">
      <c r="A7" s="294">
        <v>43802</v>
      </c>
      <c r="B7" s="587">
        <f>Gen!B13</f>
        <v>0.182</v>
      </c>
      <c r="C7" s="660">
        <f>Gen!AJ13</f>
        <v>70.16</v>
      </c>
      <c r="D7" s="662">
        <f>Gen!S13</f>
        <v>1631.55</v>
      </c>
      <c r="E7" s="583">
        <f>Gen!C13</f>
        <v>47763.402000000016</v>
      </c>
      <c r="F7" s="584">
        <f>'Water-Meter'!E8</f>
        <v>95</v>
      </c>
      <c r="G7" s="585">
        <f>'Water-Meter'!AN8</f>
        <v>183</v>
      </c>
      <c r="H7" s="583">
        <f>'Utility report '!AC8</f>
        <v>51</v>
      </c>
      <c r="I7" s="582">
        <f>'Kit report'!F6</f>
        <v>456.00000000002183</v>
      </c>
      <c r="J7" s="583">
        <f>'Kit report'!X6</f>
        <v>420.00000000007276</v>
      </c>
    </row>
    <row r="8" spans="1:10" ht="17.100000000000001" customHeight="1">
      <c r="A8" s="294">
        <v>43803</v>
      </c>
      <c r="B8" s="587">
        <f>Gen!B14</f>
        <v>9.0999999999999998E-2</v>
      </c>
      <c r="C8" s="660">
        <f>Gen!AJ14</f>
        <v>57.18</v>
      </c>
      <c r="D8" s="662">
        <f>Gen!S14</f>
        <v>1767.07</v>
      </c>
      <c r="E8" s="583">
        <f>Gen!C14</f>
        <v>46061.692000000017</v>
      </c>
      <c r="F8" s="584">
        <f>'Water-Meter'!E9</f>
        <v>97</v>
      </c>
      <c r="G8" s="585">
        <f>'Water-Meter'!AN9</f>
        <v>195</v>
      </c>
      <c r="H8" s="583">
        <f>'Utility report '!AC9</f>
        <v>114</v>
      </c>
      <c r="I8" s="582">
        <f>'Kit report'!F7</f>
        <v>443.99999999997817</v>
      </c>
      <c r="J8" s="583">
        <f>'Kit report'!X7</f>
        <v>459.99999999985448</v>
      </c>
    </row>
    <row r="9" spans="1:10" ht="17.100000000000001" customHeight="1">
      <c r="A9" s="294">
        <v>43804</v>
      </c>
      <c r="B9" s="587">
        <f>Gen!B15</f>
        <v>0.104</v>
      </c>
      <c r="C9" s="660">
        <f>Gen!AJ15</f>
        <v>213.22000000000003</v>
      </c>
      <c r="D9" s="662">
        <f>Gen!S15</f>
        <v>1578.5899999999997</v>
      </c>
      <c r="E9" s="583">
        <f>Gen!C15</f>
        <v>44237.442000000017</v>
      </c>
      <c r="F9" s="584">
        <f>'Water-Meter'!E10</f>
        <v>86</v>
      </c>
      <c r="G9" s="585">
        <f>'Water-Meter'!AN10</f>
        <v>146</v>
      </c>
      <c r="H9" s="583">
        <f>'Utility report '!AC10</f>
        <v>111</v>
      </c>
      <c r="I9" s="582">
        <f>'Kit report'!F8</f>
        <v>468.00000000006548</v>
      </c>
      <c r="J9" s="583">
        <f>'Kit report'!X8</f>
        <v>460.00000000003638</v>
      </c>
    </row>
    <row r="10" spans="1:10" ht="17.100000000000001" customHeight="1">
      <c r="A10" s="294">
        <v>43805</v>
      </c>
      <c r="B10" s="587">
        <f>Gen!B16</f>
        <v>9.8000000000000004E-2</v>
      </c>
      <c r="C10" s="660">
        <f>Gen!AJ16</f>
        <v>2054.66</v>
      </c>
      <c r="D10" s="662">
        <f>Gen!S16</f>
        <v>1833.0300000000002</v>
      </c>
      <c r="E10" s="583">
        <f>Gen!C16</f>
        <v>42445.63200000002</v>
      </c>
      <c r="F10" s="584">
        <f>'Water-Meter'!E11</f>
        <v>105</v>
      </c>
      <c r="G10" s="585">
        <f>'Water-Meter'!AN11</f>
        <v>180</v>
      </c>
      <c r="H10" s="583">
        <f>'Utility report '!AC11</f>
        <v>111</v>
      </c>
      <c r="I10" s="582">
        <f>'Kit report'!F9</f>
        <v>455.99999999991269</v>
      </c>
      <c r="J10" s="583">
        <f>'Kit report'!X9</f>
        <v>480.00000000010914</v>
      </c>
    </row>
    <row r="11" spans="1:10" ht="17.100000000000001" customHeight="1">
      <c r="A11" s="294">
        <v>43806</v>
      </c>
      <c r="B11" s="587">
        <f>Gen!B17</f>
        <v>0.1555</v>
      </c>
      <c r="C11" s="660">
        <f>Gen!AJ17</f>
        <v>62</v>
      </c>
      <c r="D11" s="662">
        <f>Gen!S17</f>
        <v>1612.2599999999998</v>
      </c>
      <c r="E11" s="583">
        <f>Gen!C17</f>
        <v>53557.942000000017</v>
      </c>
      <c r="F11" s="584">
        <f>'Water-Meter'!E12</f>
        <v>131</v>
      </c>
      <c r="G11" s="585">
        <f>'Water-Meter'!AN12</f>
        <v>186</v>
      </c>
      <c r="H11" s="583">
        <f>'Utility report '!AC12</f>
        <v>111</v>
      </c>
      <c r="I11" s="582">
        <f>'Kit report'!F10</f>
        <v>396.00000000013097</v>
      </c>
      <c r="J11" s="583">
        <f>'Kit report'!X10</f>
        <v>579.99999999992724</v>
      </c>
    </row>
    <row r="12" spans="1:10" ht="17.100000000000001" customHeight="1">
      <c r="A12" s="294">
        <v>43807</v>
      </c>
      <c r="B12" s="587">
        <f>Gen!B18</f>
        <v>0.1038</v>
      </c>
      <c r="C12" s="660">
        <f>Gen!AJ18</f>
        <v>0</v>
      </c>
      <c r="D12" s="662">
        <f>Gen!S18</f>
        <v>1594.7199999999998</v>
      </c>
      <c r="E12" s="583">
        <f>Gen!C18</f>
        <v>51883.682000000015</v>
      </c>
      <c r="F12" s="584">
        <f>'Water-Meter'!E13</f>
        <v>129</v>
      </c>
      <c r="G12" s="585">
        <f>'Water-Meter'!AN13</f>
        <v>164</v>
      </c>
      <c r="H12" s="583">
        <f>'Utility report '!AC13</f>
        <v>105</v>
      </c>
      <c r="I12" s="582">
        <f>'Kit report'!F11</f>
        <v>323.99999999986903</v>
      </c>
      <c r="J12" s="583">
        <f>'Kit report'!X11</f>
        <v>460.00000000003638</v>
      </c>
    </row>
    <row r="13" spans="1:10" ht="17.100000000000001" customHeight="1">
      <c r="A13" s="294">
        <v>43808</v>
      </c>
      <c r="B13" s="587">
        <f>Gen!B19</f>
        <v>0.16880000000000001</v>
      </c>
      <c r="C13" s="660">
        <f>Gen!AJ19</f>
        <v>177.46</v>
      </c>
      <c r="D13" s="662">
        <f>Gen!S19</f>
        <v>1546.25</v>
      </c>
      <c r="E13" s="583">
        <f>Gen!C19</f>
        <v>50288.962000000014</v>
      </c>
      <c r="F13" s="584">
        <f>'Water-Meter'!E14</f>
        <v>139</v>
      </c>
      <c r="G13" s="585">
        <f>'Water-Meter'!AN14</f>
        <v>190</v>
      </c>
      <c r="H13" s="583">
        <f>'Utility report '!AC14</f>
        <v>103</v>
      </c>
      <c r="I13" s="582">
        <f>'Kit report'!F12</f>
        <v>467.99999999995634</v>
      </c>
      <c r="J13" s="583">
        <f>'Kit report'!X12</f>
        <v>460.00000000003638</v>
      </c>
    </row>
    <row r="14" spans="1:10" ht="17.100000000000001" customHeight="1">
      <c r="A14" s="294">
        <v>43809</v>
      </c>
      <c r="B14" s="587">
        <f>Gen!B20</f>
        <v>0.12989999999999999</v>
      </c>
      <c r="C14" s="660">
        <f>Gen!AJ20</f>
        <v>13.2</v>
      </c>
      <c r="D14" s="662">
        <f>Gen!S20</f>
        <v>1693.96</v>
      </c>
      <c r="E14" s="583">
        <f>Gen!C20</f>
        <v>48565.252000000015</v>
      </c>
      <c r="F14" s="584">
        <f>'Water-Meter'!E15</f>
        <v>101</v>
      </c>
      <c r="G14" s="585">
        <f>'Water-Meter'!AN15</f>
        <v>171</v>
      </c>
      <c r="H14" s="583">
        <f>'Utility report '!AC15</f>
        <v>105</v>
      </c>
      <c r="I14" s="582">
        <f>'Kit report'!F13</f>
        <v>468.00000000017462</v>
      </c>
      <c r="J14" s="583">
        <f>'Kit report'!X13</f>
        <v>419.99999999989086</v>
      </c>
    </row>
    <row r="15" spans="1:10" ht="17.100000000000001" customHeight="1">
      <c r="A15" s="294">
        <v>43810</v>
      </c>
      <c r="B15" s="587">
        <f>Gen!B21</f>
        <v>0.10390000000000001</v>
      </c>
      <c r="C15" s="660">
        <f>Gen!AJ21</f>
        <v>260.22000000000003</v>
      </c>
      <c r="D15" s="662">
        <f>Gen!S21</f>
        <v>1589.0299999999997</v>
      </c>
      <c r="E15" s="583">
        <f>Gen!C21</f>
        <v>46858.092000000011</v>
      </c>
      <c r="F15" s="584">
        <f>'Water-Meter'!E16</f>
        <v>101</v>
      </c>
      <c r="G15" s="585">
        <f>'Water-Meter'!AN16</f>
        <v>172</v>
      </c>
      <c r="H15" s="583">
        <f>'Utility report '!AC16</f>
        <v>117</v>
      </c>
      <c r="I15" s="582">
        <f>'Kit report'!F14</f>
        <v>480</v>
      </c>
      <c r="J15" s="583">
        <f>'Kit report'!X14</f>
        <v>460.00000000003638</v>
      </c>
    </row>
    <row r="16" spans="1:10" ht="17.100000000000001" customHeight="1">
      <c r="A16" s="294">
        <v>43811</v>
      </c>
      <c r="B16" s="587">
        <f>Gen!B22</f>
        <v>0.1429</v>
      </c>
      <c r="C16" s="660">
        <f>Gen!AJ22</f>
        <v>389.31</v>
      </c>
      <c r="D16" s="662">
        <f>Gen!S22</f>
        <v>1661.0300000000002</v>
      </c>
      <c r="E16" s="583">
        <f>Gen!C22</f>
        <v>45008.842000000011</v>
      </c>
      <c r="F16" s="584">
        <f>'Water-Meter'!E17</f>
        <v>108</v>
      </c>
      <c r="G16" s="585">
        <f>'Water-Meter'!AN17</f>
        <v>190</v>
      </c>
      <c r="H16" s="583">
        <f>'Utility report '!AC17</f>
        <v>121</v>
      </c>
      <c r="I16" s="582">
        <f>'Kit report'!F15</f>
        <v>443.99999999986903</v>
      </c>
      <c r="J16" s="583">
        <f>'Kit report'!X15</f>
        <v>560.00000000003638</v>
      </c>
    </row>
    <row r="17" spans="1:10" ht="17.100000000000001" customHeight="1">
      <c r="A17" s="294">
        <v>43812</v>
      </c>
      <c r="B17" s="587">
        <f>Gen!B23</f>
        <v>0.12989999999999999</v>
      </c>
      <c r="C17" s="660">
        <f>Gen!AJ23</f>
        <v>252.28</v>
      </c>
      <c r="D17" s="662">
        <f>Gen!S23</f>
        <v>1744.1100000000001</v>
      </c>
      <c r="E17" s="583">
        <f>Gen!C23</f>
        <v>42958.502000000008</v>
      </c>
      <c r="F17" s="584">
        <f>'Water-Meter'!E18</f>
        <v>105</v>
      </c>
      <c r="G17" s="585">
        <f>'Water-Meter'!AN18</f>
        <v>189</v>
      </c>
      <c r="H17" s="583">
        <f>'Utility report '!AC18</f>
        <v>115</v>
      </c>
      <c r="I17" s="582">
        <f>'Kit report'!F16</f>
        <v>480</v>
      </c>
      <c r="J17" s="583">
        <f>'Kit report'!X16</f>
        <v>619.99999999989086</v>
      </c>
    </row>
    <row r="18" spans="1:10" ht="17.100000000000001" customHeight="1">
      <c r="A18" s="294">
        <v>43813</v>
      </c>
      <c r="B18" s="587">
        <f>Gen!B24</f>
        <v>0.1429</v>
      </c>
      <c r="C18" s="660">
        <f>Gen!AJ24</f>
        <v>224.4</v>
      </c>
      <c r="D18" s="662">
        <f>Gen!S24</f>
        <v>1718.37</v>
      </c>
      <c r="E18" s="583">
        <f>Gen!C24</f>
        <v>40962.112000000008</v>
      </c>
      <c r="F18" s="584">
        <f>'Water-Meter'!E19</f>
        <v>111</v>
      </c>
      <c r="G18" s="585">
        <f>'Water-Meter'!AN19</f>
        <v>188</v>
      </c>
      <c r="H18" s="583">
        <f>'Utility report '!AC19</f>
        <v>113</v>
      </c>
      <c r="I18" s="582">
        <f>'Kit report'!F17</f>
        <v>456.00000000013097</v>
      </c>
      <c r="J18" s="583">
        <f>'Kit report'!X17</f>
        <v>500</v>
      </c>
    </row>
    <row r="19" spans="1:10" ht="17.100000000000001" customHeight="1">
      <c r="A19" s="294">
        <v>43814</v>
      </c>
      <c r="B19" s="587">
        <f>Gen!B25</f>
        <v>0.15579999999999999</v>
      </c>
      <c r="C19" s="660">
        <f>Gen!AJ25</f>
        <v>261.61</v>
      </c>
      <c r="D19" s="662">
        <f>Gen!S25</f>
        <v>1798.7200000000003</v>
      </c>
      <c r="E19" s="583">
        <f>Gen!C25</f>
        <v>39019.342000000011</v>
      </c>
      <c r="F19" s="584">
        <f>'Water-Meter'!E20</f>
        <v>97</v>
      </c>
      <c r="G19" s="585">
        <f>'Water-Meter'!AN20</f>
        <v>170</v>
      </c>
      <c r="H19" s="583">
        <f>'Utility report '!AC20</f>
        <v>113</v>
      </c>
      <c r="I19" s="582">
        <f>'Kit report'!F18</f>
        <v>480</v>
      </c>
      <c r="J19" s="583">
        <f>'Kit report'!X18</f>
        <v>480.00000000010914</v>
      </c>
    </row>
    <row r="20" spans="1:10" ht="17.100000000000001" customHeight="1">
      <c r="A20" s="294">
        <v>43815</v>
      </c>
      <c r="B20" s="587">
        <f>Gen!B26</f>
        <v>0.15579999999999999</v>
      </c>
      <c r="C20" s="660">
        <f>Gen!AJ26</f>
        <v>104.11</v>
      </c>
      <c r="D20" s="662">
        <f>Gen!S26</f>
        <v>1811.63</v>
      </c>
      <c r="E20" s="583">
        <f>Gen!C26</f>
        <v>36959.01200000001</v>
      </c>
      <c r="F20" s="584">
        <f>'Water-Meter'!E21</f>
        <v>87</v>
      </c>
      <c r="G20" s="585">
        <f>'Water-Meter'!AN21</f>
        <v>164</v>
      </c>
      <c r="H20" s="583">
        <f>'Utility report '!AC21</f>
        <v>113</v>
      </c>
      <c r="I20" s="582">
        <f>'Kit report'!F19</f>
        <v>491.99999999982538</v>
      </c>
      <c r="J20" s="583">
        <f>'Kit report'!X19</f>
        <v>439.99999999996362</v>
      </c>
    </row>
    <row r="21" spans="1:10" ht="15">
      <c r="A21" s="294">
        <v>43816</v>
      </c>
      <c r="B21" s="587">
        <f>Gen!B27</f>
        <v>0.36359999999999998</v>
      </c>
      <c r="C21" s="660">
        <f>Gen!AJ27</f>
        <v>210.14</v>
      </c>
      <c r="D21" s="662">
        <f>Gen!S27</f>
        <v>1984.46</v>
      </c>
      <c r="E21" s="583">
        <f>Gen!C27</f>
        <v>35043.272000000012</v>
      </c>
      <c r="F21" s="584">
        <f>'Water-Meter'!E22</f>
        <v>108</v>
      </c>
      <c r="G21" s="585">
        <f>'Water-Meter'!AN22</f>
        <v>85</v>
      </c>
      <c r="H21" s="583">
        <f>'Utility report '!AC22</f>
        <v>78</v>
      </c>
      <c r="I21" s="582">
        <f>'Kit report'!F20</f>
        <v>504.00000000008731</v>
      </c>
      <c r="J21" s="583">
        <f>'Kit report'!X20</f>
        <v>779.99999999992724</v>
      </c>
    </row>
    <row r="22" spans="1:10" ht="15" customHeight="1">
      <c r="A22" s="294">
        <v>43817</v>
      </c>
      <c r="B22" s="587">
        <f>Gen!B28</f>
        <v>0.35049999999999998</v>
      </c>
      <c r="C22" s="660">
        <f>Gen!AJ28</f>
        <v>0</v>
      </c>
      <c r="D22" s="662">
        <f>Gen!S28</f>
        <v>0</v>
      </c>
      <c r="E22" s="583">
        <f>Gen!C28</f>
        <v>32848.672000000013</v>
      </c>
      <c r="F22" s="584" t="str">
        <f>'Water-Meter'!E23</f>
        <v>0</v>
      </c>
      <c r="G22" s="585">
        <f>'Water-Meter'!AN23</f>
        <v>0</v>
      </c>
      <c r="H22" s="583">
        <f>'Utility report '!AC23</f>
        <v>-19778</v>
      </c>
      <c r="I22" s="582">
        <f>'Kit report'!F21</f>
        <v>-987660</v>
      </c>
      <c r="J22" s="583">
        <f>'Kit report'!X21</f>
        <v>-1479080</v>
      </c>
    </row>
    <row r="23" spans="1:10" ht="15" customHeight="1">
      <c r="A23" s="294">
        <v>43818</v>
      </c>
      <c r="B23" s="587">
        <f>Gen!B29</f>
        <v>0</v>
      </c>
      <c r="C23" s="660">
        <f>Gen!AJ29</f>
        <v>0</v>
      </c>
      <c r="D23" s="662">
        <f>Gen!S29</f>
        <v>0</v>
      </c>
      <c r="E23" s="583">
        <f>Gen!C29</f>
        <v>32848.672000000013</v>
      </c>
      <c r="F23" s="584">
        <f>'Water-Meter'!E24</f>
        <v>0</v>
      </c>
      <c r="G23" s="585">
        <f>'Water-Meter'!AN24</f>
        <v>0</v>
      </c>
      <c r="H23" s="583">
        <f>'Utility report '!AC24</f>
        <v>0</v>
      </c>
      <c r="I23" s="582">
        <f>'Kit report'!F22</f>
        <v>0</v>
      </c>
      <c r="J23" s="583">
        <f>'Kit report'!X22</f>
        <v>0</v>
      </c>
    </row>
    <row r="24" spans="1:10" ht="15" customHeight="1">
      <c r="A24" s="294">
        <v>43819</v>
      </c>
      <c r="B24" s="587">
        <f>Gen!B30</f>
        <v>0</v>
      </c>
      <c r="C24" s="660">
        <f>Gen!AJ30</f>
        <v>0</v>
      </c>
      <c r="D24" s="662">
        <f>Gen!S30</f>
        <v>0</v>
      </c>
      <c r="E24" s="583">
        <f>Gen!C30</f>
        <v>32848.672000000013</v>
      </c>
      <c r="F24" s="584">
        <f>'Water-Meter'!E25</f>
        <v>0</v>
      </c>
      <c r="G24" s="585">
        <f>'Water-Meter'!AN25</f>
        <v>0</v>
      </c>
      <c r="H24" s="583">
        <f>'Utility report '!AC25</f>
        <v>0</v>
      </c>
      <c r="I24" s="582">
        <f>'Kit report'!F23</f>
        <v>0</v>
      </c>
      <c r="J24" s="583">
        <f>'Kit report'!X23</f>
        <v>0</v>
      </c>
    </row>
    <row r="25" spans="1:10" ht="15" customHeight="1">
      <c r="A25" s="294">
        <v>43820</v>
      </c>
      <c r="B25" s="587">
        <f>Gen!B31</f>
        <v>0</v>
      </c>
      <c r="C25" s="660">
        <f>Gen!AJ31</f>
        <v>0</v>
      </c>
      <c r="D25" s="662">
        <f>Gen!S31</f>
        <v>0</v>
      </c>
      <c r="E25" s="583">
        <f>Gen!C31</f>
        <v>32848.672000000013</v>
      </c>
      <c r="F25" s="584">
        <f>'Water-Meter'!E26</f>
        <v>0</v>
      </c>
      <c r="G25" s="585">
        <f>'Water-Meter'!AN26</f>
        <v>0</v>
      </c>
      <c r="H25" s="583">
        <f>'Utility report '!AC26</f>
        <v>0</v>
      </c>
      <c r="I25" s="582">
        <f>'Kit report'!F24</f>
        <v>0</v>
      </c>
      <c r="J25" s="583">
        <f>'Kit report'!X24</f>
        <v>0</v>
      </c>
    </row>
    <row r="26" spans="1:10" ht="15" customHeight="1">
      <c r="A26" s="294">
        <v>43821</v>
      </c>
      <c r="B26" s="587">
        <f>Gen!B32</f>
        <v>0</v>
      </c>
      <c r="C26" s="660">
        <f>Gen!AJ32</f>
        <v>0</v>
      </c>
      <c r="D26" s="662">
        <f>Gen!S32</f>
        <v>0</v>
      </c>
      <c r="E26" s="583">
        <f>Gen!C32</f>
        <v>32848.672000000013</v>
      </c>
      <c r="F26" s="584">
        <f>'Water-Meter'!E27</f>
        <v>0</v>
      </c>
      <c r="G26" s="585">
        <f>'Water-Meter'!AN27</f>
        <v>0</v>
      </c>
      <c r="H26" s="583">
        <f>'Utility report '!AC27</f>
        <v>0</v>
      </c>
      <c r="I26" s="582">
        <f>'Kit report'!F25</f>
        <v>0</v>
      </c>
      <c r="J26" s="583">
        <f>'Kit report'!X25</f>
        <v>0</v>
      </c>
    </row>
    <row r="27" spans="1:10" ht="15" customHeight="1">
      <c r="A27" s="294">
        <v>43822</v>
      </c>
      <c r="B27" s="587">
        <f>Gen!B33</f>
        <v>0</v>
      </c>
      <c r="C27" s="660">
        <f>Gen!AJ33</f>
        <v>0</v>
      </c>
      <c r="D27" s="662">
        <f>Gen!S33</f>
        <v>0</v>
      </c>
      <c r="E27" s="583">
        <f>Gen!C33</f>
        <v>32848.672000000013</v>
      </c>
      <c r="F27" s="584">
        <f>'Water-Meter'!E28</f>
        <v>0</v>
      </c>
      <c r="G27" s="585">
        <f>'Water-Meter'!AN28</f>
        <v>0</v>
      </c>
      <c r="H27" s="583">
        <f>'Utility report '!AC28</f>
        <v>0</v>
      </c>
      <c r="I27" s="582">
        <f>'Kit report'!F26</f>
        <v>0</v>
      </c>
      <c r="J27" s="583">
        <f>'Kit report'!X26</f>
        <v>0</v>
      </c>
    </row>
    <row r="28" spans="1:10" ht="15" customHeight="1">
      <c r="A28" s="294">
        <v>43823</v>
      </c>
      <c r="B28" s="587">
        <v>9.0999999999999998E-2</v>
      </c>
      <c r="C28" s="660">
        <f>Gen!AJ34</f>
        <v>0</v>
      </c>
      <c r="D28" s="662">
        <f>Gen!S34</f>
        <v>0</v>
      </c>
      <c r="E28" s="583">
        <f>Gen!C34</f>
        <v>32848.672000000013</v>
      </c>
      <c r="F28" s="584">
        <f>'Water-Meter'!E29</f>
        <v>0</v>
      </c>
      <c r="G28" s="585">
        <f>'Water-Meter'!AN29</f>
        <v>0</v>
      </c>
      <c r="H28" s="583">
        <f>'Utility report '!AC29</f>
        <v>0</v>
      </c>
      <c r="I28" s="582">
        <f>'Kit report'!F27</f>
        <v>0</v>
      </c>
      <c r="J28" s="583">
        <f>'Kit report'!X27</f>
        <v>0</v>
      </c>
    </row>
    <row r="29" spans="1:10" ht="15" customHeight="1">
      <c r="A29" s="294">
        <v>43824</v>
      </c>
      <c r="B29" s="587">
        <f>Gen!B35</f>
        <v>0</v>
      </c>
      <c r="C29" s="660">
        <f>Gen!AJ35</f>
        <v>0</v>
      </c>
      <c r="D29" s="662">
        <f>Gen!S35</f>
        <v>0</v>
      </c>
      <c r="E29" s="583">
        <f>Gen!C35</f>
        <v>32848.672000000013</v>
      </c>
      <c r="F29" s="584">
        <f>'Water-Meter'!E30</f>
        <v>0</v>
      </c>
      <c r="G29" s="585">
        <f>'Water-Meter'!AN30</f>
        <v>0</v>
      </c>
      <c r="H29" s="583">
        <f>'Utility report '!AC30</f>
        <v>0</v>
      </c>
      <c r="I29" s="582">
        <f>'Kit report'!F28</f>
        <v>0</v>
      </c>
      <c r="J29" s="583">
        <f>'Kit report'!X28</f>
        <v>0</v>
      </c>
    </row>
    <row r="30" spans="1:10" ht="15" customHeight="1">
      <c r="A30" s="294">
        <v>43825</v>
      </c>
      <c r="B30" s="587">
        <f>Gen!B36</f>
        <v>0</v>
      </c>
      <c r="C30" s="660">
        <f>Gen!AJ36</f>
        <v>0</v>
      </c>
      <c r="D30" s="662">
        <f>Gen!S36</f>
        <v>0</v>
      </c>
      <c r="E30" s="583">
        <f>Gen!C36</f>
        <v>32848.672000000013</v>
      </c>
      <c r="F30" s="584">
        <f>'Water-Meter'!E31</f>
        <v>0</v>
      </c>
      <c r="G30" s="585">
        <f>'Water-Meter'!AN31</f>
        <v>0</v>
      </c>
      <c r="H30" s="583">
        <f>'Utility report '!AC31</f>
        <v>0</v>
      </c>
      <c r="I30" s="582">
        <f>'Kit report'!F29</f>
        <v>0</v>
      </c>
      <c r="J30" s="583">
        <f>'Kit report'!X29</f>
        <v>0</v>
      </c>
    </row>
    <row r="31" spans="1:10" ht="15" customHeight="1">
      <c r="A31" s="294">
        <v>43826</v>
      </c>
      <c r="B31" s="587">
        <f>Gen!B37</f>
        <v>0</v>
      </c>
      <c r="C31" s="660">
        <f>Gen!AJ37</f>
        <v>0</v>
      </c>
      <c r="D31" s="662">
        <f>Gen!S37</f>
        <v>0</v>
      </c>
      <c r="E31" s="583">
        <f>Gen!C37</f>
        <v>32848.672000000013</v>
      </c>
      <c r="F31" s="584">
        <f>'Water-Meter'!E32</f>
        <v>0</v>
      </c>
      <c r="G31" s="585">
        <f>'Water-Meter'!AN32</f>
        <v>0</v>
      </c>
      <c r="H31" s="583">
        <f>'Utility report '!AC32</f>
        <v>0</v>
      </c>
      <c r="I31" s="582">
        <f>'Kit report'!F30</f>
        <v>0</v>
      </c>
      <c r="J31" s="583">
        <f>'Kit report'!X30</f>
        <v>0</v>
      </c>
    </row>
    <row r="32" spans="1:10" ht="15" customHeight="1">
      <c r="A32" s="294">
        <v>43827</v>
      </c>
      <c r="B32" s="587">
        <f>Gen!B38</f>
        <v>0</v>
      </c>
      <c r="C32" s="660">
        <f>Gen!AJ38</f>
        <v>0</v>
      </c>
      <c r="D32" s="662">
        <f>Gen!S38</f>
        <v>0</v>
      </c>
      <c r="E32" s="583">
        <f>Gen!C38</f>
        <v>32848.672000000013</v>
      </c>
      <c r="F32" s="584">
        <f>'Water-Meter'!E33</f>
        <v>0</v>
      </c>
      <c r="G32" s="585">
        <f>'Water-Meter'!AN33</f>
        <v>0</v>
      </c>
      <c r="H32" s="583">
        <f>'Utility report '!AC33</f>
        <v>0</v>
      </c>
      <c r="I32" s="582">
        <f>'Kit report'!F31</f>
        <v>0</v>
      </c>
      <c r="J32" s="583">
        <f>'Kit report'!X31</f>
        <v>0</v>
      </c>
    </row>
    <row r="33" spans="1:10" ht="15" customHeight="1">
      <c r="A33" s="294">
        <v>43828</v>
      </c>
      <c r="B33" s="587">
        <f>Gen!B39</f>
        <v>0</v>
      </c>
      <c r="C33" s="660">
        <f>Gen!AJ39</f>
        <v>0</v>
      </c>
      <c r="D33" s="662">
        <f>Gen!S39</f>
        <v>0</v>
      </c>
      <c r="E33" s="583">
        <f>Gen!C39</f>
        <v>32848.672000000013</v>
      </c>
      <c r="F33" s="584">
        <f>'Water-Meter'!E34</f>
        <v>0</v>
      </c>
      <c r="G33" s="585">
        <f>'Water-Meter'!AN34</f>
        <v>0</v>
      </c>
      <c r="H33" s="583">
        <f>'Utility report '!AC34</f>
        <v>0</v>
      </c>
      <c r="I33" s="582">
        <f>'Kit report'!F32</f>
        <v>0</v>
      </c>
      <c r="J33" s="583">
        <f>'Kit report'!X32</f>
        <v>0</v>
      </c>
    </row>
    <row r="34" spans="1:10" ht="15" customHeight="1">
      <c r="A34" s="294">
        <v>43829</v>
      </c>
      <c r="B34" s="658">
        <f>Gen!B40</f>
        <v>0</v>
      </c>
      <c r="C34" s="660">
        <f>Gen!AJ40</f>
        <v>0</v>
      </c>
      <c r="D34" s="662">
        <f>Gen!S40</f>
        <v>0</v>
      </c>
      <c r="E34" s="659">
        <f>Gen!C40</f>
        <v>32848.672000000013</v>
      </c>
      <c r="F34" s="584">
        <f>'Water-Meter'!E35</f>
        <v>0</v>
      </c>
      <c r="G34" s="585">
        <f>'Water-Meter'!AN35</f>
        <v>0</v>
      </c>
      <c r="H34" s="583">
        <f>'Utility report '!AC35</f>
        <v>0</v>
      </c>
      <c r="I34" s="582">
        <f>'Kit report'!F33</f>
        <v>0</v>
      </c>
      <c r="J34" s="583">
        <f>'Kit report'!X33</f>
        <v>0</v>
      </c>
    </row>
    <row r="35" spans="1:10" ht="15" customHeight="1">
      <c r="A35" s="294">
        <v>43830</v>
      </c>
      <c r="B35" s="587">
        <f>Gen!B41</f>
        <v>0</v>
      </c>
      <c r="C35" s="660">
        <f>Gen!AJ41</f>
        <v>0</v>
      </c>
      <c r="D35" s="662">
        <f>Gen!S41</f>
        <v>0</v>
      </c>
      <c r="E35" s="585">
        <f>Gen!C41</f>
        <v>32848.672000000013</v>
      </c>
      <c r="F35" s="584">
        <f>'Water-Meter'!E36</f>
        <v>0</v>
      </c>
      <c r="G35" s="585">
        <f>'Water-Meter'!AN36</f>
        <v>0</v>
      </c>
      <c r="H35" s="583">
        <f>'Utility report '!AC36</f>
        <v>0</v>
      </c>
      <c r="I35" s="582">
        <f>'Kit report'!F34</f>
        <v>0</v>
      </c>
      <c r="J35" s="583">
        <f>'Kit report'!X34</f>
        <v>0</v>
      </c>
    </row>
    <row r="36" spans="1:10" ht="15">
      <c r="A36" s="294">
        <v>43831</v>
      </c>
      <c r="B36" s="18"/>
      <c r="C36" s="660">
        <f>Gen!AJ42</f>
        <v>0</v>
      </c>
      <c r="D36" s="662">
        <f>Gen!S42</f>
        <v>0</v>
      </c>
      <c r="E36" s="585">
        <f>Gen!C42</f>
        <v>32848.672000000013</v>
      </c>
      <c r="F36" s="584">
        <f>'Water-Meter'!E37</f>
        <v>0</v>
      </c>
      <c r="G36" s="585">
        <f>'Water-Meter'!AN37</f>
        <v>499</v>
      </c>
      <c r="H36" s="583">
        <f>'Utility report '!AC37</f>
        <v>0</v>
      </c>
      <c r="I36" s="582">
        <f>'Kit report'!F35</f>
        <v>1416.0000000000218</v>
      </c>
      <c r="J36" s="583">
        <f>'Kit report'!X35</f>
        <v>0</v>
      </c>
    </row>
  </sheetData>
  <mergeCells count="7">
    <mergeCell ref="A1:J1"/>
    <mergeCell ref="A3:A4"/>
    <mergeCell ref="B3:B4"/>
    <mergeCell ref="D3:E3"/>
    <mergeCell ref="F3:H3"/>
    <mergeCell ref="I3:J3"/>
    <mergeCell ref="A2:J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Total</vt:lpstr>
      <vt:lpstr>Submetering</vt:lpstr>
      <vt:lpstr>UTILITY REPORT 1</vt:lpstr>
      <vt:lpstr>Utility summery</vt:lpstr>
      <vt:lpstr>Utility report </vt:lpstr>
      <vt:lpstr>Kit report</vt:lpstr>
      <vt:lpstr>Summery Report</vt:lpstr>
      <vt:lpstr>Daily report Gen</vt:lpstr>
      <vt:lpstr>Gen</vt:lpstr>
      <vt:lpstr>Energy Graph</vt:lpstr>
      <vt:lpstr>Lpg (2)</vt:lpstr>
      <vt:lpstr>LPG_Graph</vt:lpstr>
      <vt:lpstr>Water-Meter</vt:lpstr>
      <vt:lpstr>Water_Graph </vt:lpstr>
      <vt:lpstr>Sheet1</vt:lpstr>
      <vt:lpstr>VODACOM AND AIRTEL</vt:lpstr>
      <vt:lpstr>FUEL METER READING</vt:lpstr>
      <vt:lpstr>Daily utility report </vt:lpstr>
    </vt:vector>
  </TitlesOfParts>
  <Company>Kilimanjaro Hotel Kempinski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Kilimanjaro Hotel Kempinski</dc:creator>
  <cp:lastModifiedBy>john.japhet</cp:lastModifiedBy>
  <cp:lastPrinted>2019-07-20T21:13:12Z</cp:lastPrinted>
  <dcterms:created xsi:type="dcterms:W3CDTF">2009-01-25T09:02:38Z</dcterms:created>
  <dcterms:modified xsi:type="dcterms:W3CDTF">2019-12-18T12:30:07Z</dcterms:modified>
</cp:coreProperties>
</file>