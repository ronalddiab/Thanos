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F30" i="3"/>
  <c r="F31" i="3"/>
  <c r="E30" i="3"/>
  <c r="F32" i="3"/>
  <c r="E31" i="3"/>
  <c r="E32" i="3"/>
  <c r="CY38" i="4"/>
  <c r="CY37" i="4"/>
  <c r="AJ30" i="3"/>
  <c r="CW38" i="4"/>
  <c r="CW37" i="4"/>
  <c r="AK30" i="3"/>
  <c r="DC38" i="4"/>
  <c r="DC37" i="4"/>
  <c r="AL30" i="3"/>
  <c r="DA38" i="4"/>
  <c r="DA37" i="4"/>
  <c r="AM30" i="3"/>
  <c r="DG38" i="4"/>
  <c r="DG37" i="4"/>
  <c r="AN30" i="3"/>
  <c r="DE38" i="4"/>
  <c r="DE37" i="4"/>
  <c r="AO30" i="3"/>
  <c r="DK38" i="4"/>
  <c r="DK37" i="4"/>
  <c r="AP30" i="3"/>
  <c r="DI38" i="4"/>
  <c r="DI37" i="4"/>
  <c r="AQ30" i="3"/>
  <c r="DO38" i="4"/>
  <c r="DO37" i="4"/>
  <c r="AR30" i="3"/>
  <c r="DM38" i="4"/>
  <c r="DM37" i="4"/>
  <c r="AS30" i="3"/>
  <c r="DQ38" i="4"/>
  <c r="DQ37" i="4"/>
  <c r="AT30" i="3"/>
  <c r="DT38" i="4"/>
  <c r="DT37" i="4"/>
  <c r="AU30" i="3"/>
  <c r="DX38" i="4"/>
  <c r="DX37" i="4"/>
  <c r="AW30" i="3"/>
  <c r="DZ38" i="4"/>
  <c r="DZ37" i="4"/>
  <c r="AX30" i="3"/>
  <c r="EB38" i="4"/>
  <c r="EB37" i="4"/>
  <c r="AY30" i="3"/>
  <c r="ED38" i="4"/>
  <c r="ED37" i="4"/>
  <c r="AZ30" i="3"/>
  <c r="EG38" i="4"/>
  <c r="EG37" i="4"/>
  <c r="BA30" i="3"/>
  <c r="EI38" i="4"/>
  <c r="EI37" i="4"/>
  <c r="BB30" i="3"/>
  <c r="EQ38" i="4"/>
  <c r="EQ37" i="4"/>
  <c r="BC30" i="3"/>
  <c r="EK38" i="4"/>
  <c r="EK37" i="4"/>
  <c r="BD30" i="3"/>
  <c r="EM38" i="4"/>
  <c r="EM37" i="4"/>
  <c r="BE30" i="3"/>
  <c r="EO38" i="4"/>
  <c r="EO37" i="4"/>
  <c r="BF30" i="3"/>
  <c r="ET38" i="4"/>
  <c r="ET37" i="4"/>
  <c r="BG30" i="3"/>
  <c r="EV38" i="4"/>
  <c r="EV37" i="4"/>
  <c r="BH30" i="3"/>
  <c r="EZ38" i="4"/>
  <c r="EZ37" i="4"/>
  <c r="BI30" i="3"/>
  <c r="EX38" i="4"/>
  <c r="EX37" i="4"/>
  <c r="BJ30" i="3"/>
  <c r="FB38" i="4"/>
  <c r="FB37" i="4"/>
  <c r="BK30" i="3"/>
  <c r="J38" i="4"/>
  <c r="BL30" i="3"/>
  <c r="C38" i="4"/>
  <c r="C37" i="4"/>
  <c r="G30" i="3"/>
  <c r="F38" i="4"/>
  <c r="F37" i="4"/>
  <c r="H30" i="3"/>
  <c r="K38" i="4"/>
  <c r="K37" i="4"/>
  <c r="I30" i="3"/>
  <c r="J30" i="3"/>
  <c r="O38" i="4"/>
  <c r="O37" i="4"/>
  <c r="K30" i="3"/>
  <c r="R38" i="4"/>
  <c r="R37" i="4"/>
  <c r="L30" i="3"/>
  <c r="U38" i="4"/>
  <c r="U37" i="4"/>
  <c r="M30" i="3"/>
  <c r="X38" i="4"/>
  <c r="X37" i="4"/>
  <c r="N30" i="3"/>
  <c r="AA38" i="4"/>
  <c r="AA37" i="4"/>
  <c r="O30" i="3"/>
  <c r="AD38" i="4"/>
  <c r="AD37" i="4"/>
  <c r="P30" i="3"/>
  <c r="AG38" i="4"/>
  <c r="AG37" i="4"/>
  <c r="Q30" i="3"/>
  <c r="AJ38" i="4"/>
  <c r="AJ37" i="4"/>
  <c r="R30" i="3"/>
  <c r="AM38" i="4"/>
  <c r="AM37" i="4"/>
  <c r="S30" i="3"/>
  <c r="AP38" i="4"/>
  <c r="AP37" i="4"/>
  <c r="T30" i="3"/>
  <c r="AS38" i="4"/>
  <c r="AS37" i="4"/>
  <c r="U30" i="3"/>
  <c r="AV38" i="4"/>
  <c r="AV37" i="4"/>
  <c r="V30" i="3"/>
  <c r="AZ38" i="4"/>
  <c r="AZ37" i="4"/>
  <c r="W30" i="3"/>
  <c r="BC38" i="4"/>
  <c r="BC37" i="4"/>
  <c r="X30" i="3"/>
  <c r="BF38" i="4"/>
  <c r="BF37" i="4"/>
  <c r="Y30" i="3"/>
  <c r="CK38" i="4"/>
  <c r="CK37" i="4"/>
  <c r="Z30" i="3"/>
  <c r="CN38" i="4"/>
  <c r="CN37" i="4"/>
  <c r="AA30" i="3"/>
  <c r="CQ38" i="4"/>
  <c r="CQ37" i="4"/>
  <c r="AB30" i="3"/>
  <c r="CT38" i="4"/>
  <c r="CT37" i="4"/>
  <c r="AC30" i="3"/>
  <c r="BY38" i="4"/>
  <c r="BY37" i="4"/>
  <c r="AD30" i="3"/>
  <c r="CA38" i="4"/>
  <c r="CA37" i="4"/>
  <c r="AE30" i="3"/>
  <c r="CC38" i="4"/>
  <c r="CC37" i="4"/>
  <c r="AF30" i="3"/>
  <c r="CE38" i="4"/>
  <c r="CE37" i="4"/>
  <c r="AG30" i="3"/>
  <c r="CG38" i="4"/>
  <c r="CG37" i="4"/>
  <c r="AH30" i="3"/>
  <c r="CI38" i="4"/>
  <c r="CI37" i="4"/>
  <c r="AI30" i="3"/>
  <c r="C36" i="4"/>
  <c r="G29" i="3"/>
  <c r="F36" i="4"/>
  <c r="H29" i="3"/>
  <c r="K36" i="4"/>
  <c r="I29" i="3"/>
  <c r="J29" i="3"/>
  <c r="O36" i="4"/>
  <c r="K29" i="3"/>
  <c r="R36" i="4"/>
  <c r="L29" i="3"/>
  <c r="U36" i="4"/>
  <c r="M29" i="3"/>
  <c r="X36" i="4"/>
  <c r="N29" i="3"/>
  <c r="AA36" i="4"/>
  <c r="O29" i="3"/>
  <c r="AD36" i="4"/>
  <c r="P29" i="3"/>
  <c r="AG36" i="4"/>
  <c r="Q29" i="3"/>
  <c r="AJ36" i="4"/>
  <c r="R29" i="3"/>
  <c r="AM36" i="4"/>
  <c r="S29" i="3"/>
  <c r="AP36" i="4"/>
  <c r="T29" i="3"/>
  <c r="AS36" i="4"/>
  <c r="U29" i="3"/>
  <c r="AV36" i="4"/>
  <c r="V29" i="3"/>
  <c r="AZ36" i="4"/>
  <c r="W29" i="3"/>
  <c r="BC36" i="4"/>
  <c r="X29" i="3"/>
  <c r="BF36" i="4"/>
  <c r="Y29" i="3"/>
  <c r="CK36" i="4"/>
  <c r="Z29" i="3"/>
  <c r="CN36" i="4"/>
  <c r="AA29" i="3"/>
  <c r="CQ36" i="4"/>
  <c r="AB29" i="3"/>
  <c r="CT36" i="4"/>
  <c r="AC29" i="3"/>
  <c r="BY36" i="4"/>
  <c r="AD29" i="3"/>
  <c r="CA36" i="4"/>
  <c r="AE29" i="3"/>
  <c r="CC36" i="4"/>
  <c r="AF29" i="3"/>
  <c r="CE36" i="4"/>
  <c r="AG29" i="3"/>
  <c r="CG36" i="4"/>
  <c r="AH29" i="3"/>
  <c r="CI36" i="4"/>
  <c r="AI29" i="3"/>
  <c r="CY36" i="4"/>
  <c r="AJ29" i="3"/>
  <c r="CW36" i="4"/>
  <c r="AK29" i="3"/>
  <c r="DC36" i="4"/>
  <c r="AL29" i="3"/>
  <c r="DA36" i="4"/>
  <c r="AM29" i="3"/>
  <c r="DG36" i="4"/>
  <c r="AN29" i="3"/>
  <c r="DE36" i="4"/>
  <c r="AO29" i="3"/>
  <c r="DK36" i="4"/>
  <c r="AP29" i="3"/>
  <c r="DI36" i="4"/>
  <c r="AQ29" i="3"/>
  <c r="DO36" i="4"/>
  <c r="AR29" i="3"/>
  <c r="DM36" i="4"/>
  <c r="AS29" i="3"/>
  <c r="DQ36" i="4"/>
  <c r="AT29" i="3"/>
  <c r="DT36" i="4"/>
  <c r="AU29" i="3"/>
  <c r="DX36" i="4"/>
  <c r="AW29" i="3"/>
  <c r="DZ36" i="4"/>
  <c r="AX29" i="3"/>
  <c r="EB36" i="4"/>
  <c r="AY29" i="3"/>
  <c r="ED36" i="4"/>
  <c r="AZ29" i="3"/>
  <c r="EG36" i="4"/>
  <c r="BA29" i="3"/>
  <c r="EI36" i="4"/>
  <c r="BB29" i="3"/>
  <c r="EQ36" i="4"/>
  <c r="BC29" i="3"/>
  <c r="EK36" i="4"/>
  <c r="BD29" i="3"/>
  <c r="EM36" i="4"/>
  <c r="BE29" i="3"/>
  <c r="EO36" i="4"/>
  <c r="BF29" i="3"/>
  <c r="ET36" i="4"/>
  <c r="BG29" i="3"/>
  <c r="EV36" i="4"/>
  <c r="BH29" i="3"/>
  <c r="EZ36" i="4"/>
  <c r="BI29" i="3"/>
  <c r="EX36" i="4"/>
  <c r="BJ29" i="3"/>
  <c r="FB36" i="4"/>
  <c r="BK29" i="3"/>
  <c r="J37" i="4"/>
  <c r="BL29" i="3"/>
  <c r="E29" i="3"/>
  <c r="F29" i="3"/>
  <c r="E28" i="3"/>
  <c r="C35" i="4"/>
  <c r="G28" i="3"/>
  <c r="F35" i="4"/>
  <c r="H28" i="3"/>
  <c r="K35" i="4"/>
  <c r="I28" i="3"/>
  <c r="J28" i="3"/>
  <c r="O35" i="4"/>
  <c r="K28" i="3"/>
  <c r="R35" i="4"/>
  <c r="L28" i="3"/>
  <c r="U35" i="4"/>
  <c r="M28" i="3"/>
  <c r="X35" i="4"/>
  <c r="N28" i="3"/>
  <c r="AA35" i="4"/>
  <c r="O28" i="3"/>
  <c r="AD35" i="4"/>
  <c r="P28" i="3"/>
  <c r="AG35" i="4"/>
  <c r="Q28" i="3"/>
  <c r="AJ35" i="4"/>
  <c r="R28" i="3"/>
  <c r="AM35" i="4"/>
  <c r="S28" i="3"/>
  <c r="AP35" i="4"/>
  <c r="T28" i="3"/>
  <c r="AS35" i="4"/>
  <c r="U28" i="3"/>
  <c r="AV35" i="4"/>
  <c r="V28" i="3"/>
  <c r="AZ35" i="4"/>
  <c r="W28" i="3"/>
  <c r="BC35" i="4"/>
  <c r="X28" i="3"/>
  <c r="BF35" i="4"/>
  <c r="Y28" i="3"/>
  <c r="CK35" i="4"/>
  <c r="Z28" i="3"/>
  <c r="CN35" i="4"/>
  <c r="AA28" i="3"/>
  <c r="CQ35" i="4"/>
  <c r="AB28" i="3"/>
  <c r="CT35" i="4"/>
  <c r="AC28" i="3"/>
  <c r="BY35" i="4"/>
  <c r="AD28" i="3"/>
  <c r="CA35" i="4"/>
  <c r="AE28" i="3"/>
  <c r="CC35" i="4"/>
  <c r="AF28" i="3"/>
  <c r="CE35" i="4"/>
  <c r="AG28" i="3"/>
  <c r="CG35" i="4"/>
  <c r="AH28" i="3"/>
  <c r="CI35" i="4"/>
  <c r="AI28" i="3"/>
  <c r="CY35" i="4"/>
  <c r="AJ28" i="3"/>
  <c r="CW35" i="4"/>
  <c r="AK28" i="3"/>
  <c r="DC35" i="4"/>
  <c r="AL28" i="3"/>
  <c r="DA35" i="4"/>
  <c r="AM28" i="3"/>
  <c r="DG35" i="4"/>
  <c r="AN28" i="3"/>
  <c r="DE35" i="4"/>
  <c r="AO28" i="3"/>
  <c r="DK35" i="4"/>
  <c r="AP28" i="3"/>
  <c r="DI35" i="4"/>
  <c r="AQ28" i="3"/>
  <c r="DO35" i="4"/>
  <c r="AR28" i="3"/>
  <c r="DM35" i="4"/>
  <c r="AS28" i="3"/>
  <c r="DQ35" i="4"/>
  <c r="AT28" i="3"/>
  <c r="DT35" i="4"/>
  <c r="AU28" i="3"/>
  <c r="DX35" i="4"/>
  <c r="AW28" i="3"/>
  <c r="DZ35" i="4"/>
  <c r="AX28" i="3"/>
  <c r="EB35" i="4"/>
  <c r="AY28" i="3"/>
  <c r="ED35" i="4"/>
  <c r="AZ28" i="3"/>
  <c r="EG35" i="4"/>
  <c r="BA28" i="3"/>
  <c r="EI35" i="4"/>
  <c r="BB28" i="3"/>
  <c r="EQ35" i="4"/>
  <c r="BC28" i="3"/>
  <c r="EK35" i="4"/>
  <c r="BD28" i="3"/>
  <c r="EM35" i="4"/>
  <c r="BE28" i="3"/>
  <c r="EO35" i="4"/>
  <c r="BF28" i="3"/>
  <c r="ET35" i="4"/>
  <c r="BG28" i="3"/>
  <c r="EV35" i="4"/>
  <c r="BH28" i="3"/>
  <c r="EZ35" i="4"/>
  <c r="BI28" i="3"/>
  <c r="EX35" i="4"/>
  <c r="BJ28" i="3"/>
  <c r="FB35" i="4"/>
  <c r="BK28" i="3"/>
  <c r="J36" i="4"/>
  <c r="BL28" i="3"/>
  <c r="F34" i="4"/>
  <c r="H27" i="3"/>
  <c r="K34" i="4"/>
  <c r="I27" i="3"/>
  <c r="J27" i="3"/>
  <c r="O34" i="4"/>
  <c r="K27" i="3"/>
  <c r="R34" i="4"/>
  <c r="L27" i="3"/>
  <c r="U34" i="4"/>
  <c r="M27" i="3"/>
  <c r="X34" i="4"/>
  <c r="N27" i="3"/>
  <c r="AA34" i="4"/>
  <c r="O27" i="3"/>
  <c r="AD34" i="4"/>
  <c r="P27" i="3"/>
  <c r="AG34" i="4"/>
  <c r="Q27" i="3"/>
  <c r="AJ34" i="4"/>
  <c r="R27" i="3"/>
  <c r="AM34" i="4"/>
  <c r="S27" i="3"/>
  <c r="AP34" i="4"/>
  <c r="T27" i="3"/>
  <c r="AS34" i="4"/>
  <c r="U27" i="3"/>
  <c r="AV34" i="4"/>
  <c r="V27" i="3"/>
  <c r="AZ34" i="4"/>
  <c r="W27" i="3"/>
  <c r="BC34" i="4"/>
  <c r="X27" i="3"/>
  <c r="BF34" i="4"/>
  <c r="Y27" i="3"/>
  <c r="CK34" i="4"/>
  <c r="Z27" i="3"/>
  <c r="CN34" i="4"/>
  <c r="AA27" i="3"/>
  <c r="CQ34" i="4"/>
  <c r="AB27" i="3"/>
  <c r="CT34" i="4"/>
  <c r="AC27" i="3"/>
  <c r="BY34" i="4"/>
  <c r="AD27" i="3"/>
  <c r="CA34" i="4"/>
  <c r="AE27" i="3"/>
  <c r="CC34" i="4"/>
  <c r="AF27" i="3"/>
  <c r="CE34" i="4"/>
  <c r="AG27" i="3"/>
  <c r="CG34" i="4"/>
  <c r="AH27" i="3"/>
  <c r="CI34" i="4"/>
  <c r="AI27" i="3"/>
  <c r="CY34" i="4"/>
  <c r="AJ27" i="3"/>
  <c r="CW34" i="4"/>
  <c r="AK27" i="3"/>
  <c r="DC34" i="4"/>
  <c r="AL27" i="3"/>
  <c r="DA34" i="4"/>
  <c r="AM27" i="3"/>
  <c r="DG34" i="4"/>
  <c r="AN27" i="3"/>
  <c r="DE34" i="4"/>
  <c r="AO27" i="3"/>
  <c r="DK34" i="4"/>
  <c r="AP27" i="3"/>
  <c r="DI34" i="4"/>
  <c r="AQ27" i="3"/>
  <c r="DO34" i="4"/>
  <c r="AR27" i="3"/>
  <c r="DM34" i="4"/>
  <c r="AS27" i="3"/>
  <c r="DQ34" i="4"/>
  <c r="AT27" i="3"/>
  <c r="DT34" i="4"/>
  <c r="AU27" i="3"/>
  <c r="DX34" i="4"/>
  <c r="AW27" i="3"/>
  <c r="DZ34" i="4"/>
  <c r="AX27" i="3"/>
  <c r="EB34" i="4"/>
  <c r="AY27" i="3"/>
  <c r="ED34" i="4"/>
  <c r="AZ27" i="3"/>
  <c r="EG34" i="4"/>
  <c r="BA27" i="3"/>
  <c r="EI34" i="4"/>
  <c r="BB27" i="3"/>
  <c r="EQ34" i="4"/>
  <c r="BC27" i="3"/>
  <c r="EK34" i="4"/>
  <c r="BD27" i="3"/>
  <c r="EM34" i="4"/>
  <c r="BE27" i="3"/>
  <c r="EO34" i="4"/>
  <c r="BF27" i="3"/>
  <c r="ET34" i="4"/>
  <c r="BG27" i="3"/>
  <c r="EV34" i="4"/>
  <c r="BH27" i="3"/>
  <c r="EZ34" i="4"/>
  <c r="BI27" i="3"/>
  <c r="EX34" i="4"/>
  <c r="BJ27" i="3"/>
  <c r="FB34" i="4"/>
  <c r="BK27" i="3"/>
  <c r="J35" i="4"/>
  <c r="BL27" i="3"/>
  <c r="F28" i="3"/>
  <c r="E27" i="3"/>
  <c r="C33" i="4"/>
  <c r="C32" i="4"/>
  <c r="G25" i="3"/>
  <c r="C31" i="4"/>
  <c r="G24" i="3"/>
  <c r="C30" i="4"/>
  <c r="G23" i="3"/>
  <c r="C34" i="4"/>
  <c r="G26" i="3"/>
  <c r="F33" i="4"/>
  <c r="H26" i="3"/>
  <c r="K33" i="4"/>
  <c r="I26" i="3"/>
  <c r="J26" i="3"/>
  <c r="O33" i="4"/>
  <c r="K26" i="3"/>
  <c r="R33" i="4"/>
  <c r="L26" i="3"/>
  <c r="U33" i="4"/>
  <c r="M26" i="3"/>
  <c r="X33" i="4"/>
  <c r="N26" i="3"/>
  <c r="AA33" i="4"/>
  <c r="O26" i="3"/>
  <c r="AD33" i="4"/>
  <c r="P26" i="3"/>
  <c r="AG33" i="4"/>
  <c r="Q26" i="3"/>
  <c r="AJ33" i="4"/>
  <c r="R26" i="3"/>
  <c r="AM33" i="4"/>
  <c r="S26" i="3"/>
  <c r="AP33" i="4"/>
  <c r="T26" i="3"/>
  <c r="AS33" i="4"/>
  <c r="U26" i="3"/>
  <c r="AV33" i="4"/>
  <c r="V26" i="3"/>
  <c r="AZ33" i="4"/>
  <c r="W26" i="3"/>
  <c r="BC33" i="4"/>
  <c r="X26" i="3"/>
  <c r="BF33" i="4"/>
  <c r="Y26" i="3"/>
  <c r="CK33" i="4"/>
  <c r="Z26" i="3"/>
  <c r="CN33" i="4"/>
  <c r="AA26" i="3"/>
  <c r="CQ33" i="4"/>
  <c r="AB26" i="3"/>
  <c r="CT33" i="4"/>
  <c r="AC26" i="3"/>
  <c r="BY33" i="4"/>
  <c r="AD26" i="3"/>
  <c r="CA33" i="4"/>
  <c r="AE26" i="3"/>
  <c r="CC33" i="4"/>
  <c r="AF26" i="3"/>
  <c r="CE33" i="4"/>
  <c r="AG26" i="3"/>
  <c r="CG33" i="4"/>
  <c r="AH26" i="3"/>
  <c r="CI33" i="4"/>
  <c r="AI26" i="3"/>
  <c r="CY33" i="4"/>
  <c r="AJ26" i="3"/>
  <c r="CW33" i="4"/>
  <c r="AK26" i="3"/>
  <c r="DC33" i="4"/>
  <c r="AL26" i="3"/>
  <c r="DA33" i="4"/>
  <c r="AM26" i="3"/>
  <c r="DG33" i="4"/>
  <c r="AN26" i="3"/>
  <c r="DE33" i="4"/>
  <c r="AO26" i="3"/>
  <c r="DK33" i="4"/>
  <c r="AP26" i="3"/>
  <c r="DI33" i="4"/>
  <c r="AQ26" i="3"/>
  <c r="DO33" i="4"/>
  <c r="AR26" i="3"/>
  <c r="DM33" i="4"/>
  <c r="AS26" i="3"/>
  <c r="DQ33" i="4"/>
  <c r="AT26" i="3"/>
  <c r="DT33" i="4"/>
  <c r="AU26" i="3"/>
  <c r="DX33" i="4"/>
  <c r="AW26" i="3"/>
  <c r="DZ33" i="4"/>
  <c r="AX26" i="3"/>
  <c r="EB33" i="4"/>
  <c r="AY26" i="3"/>
  <c r="ED33" i="4"/>
  <c r="AZ26" i="3"/>
  <c r="EG33" i="4"/>
  <c r="BA26" i="3"/>
  <c r="EI33" i="4"/>
  <c r="BB26" i="3"/>
  <c r="EQ33" i="4"/>
  <c r="BC26" i="3"/>
  <c r="EK33" i="4"/>
  <c r="BD26" i="3"/>
  <c r="EM33" i="4"/>
  <c r="BE26" i="3"/>
  <c r="EO33" i="4"/>
  <c r="BF26" i="3"/>
  <c r="ET33" i="4"/>
  <c r="BG26" i="3"/>
  <c r="EV33" i="4"/>
  <c r="BH26" i="3"/>
  <c r="EZ33" i="4"/>
  <c r="BI26" i="3"/>
  <c r="EX33" i="4"/>
  <c r="BJ26" i="3"/>
  <c r="FB33" i="4"/>
  <c r="BK26" i="3"/>
  <c r="J34" i="4"/>
  <c r="BL26" i="3"/>
  <c r="F27" i="3"/>
  <c r="E26" i="3"/>
  <c r="F26" i="3"/>
  <c r="E25" i="3"/>
  <c r="F32" i="4"/>
  <c r="H25" i="3"/>
  <c r="K32" i="4"/>
  <c r="I25" i="3"/>
  <c r="J25" i="3"/>
  <c r="O32" i="4"/>
  <c r="K25" i="3"/>
  <c r="R32" i="4"/>
  <c r="L25" i="3"/>
  <c r="U32" i="4"/>
  <c r="M25" i="3"/>
  <c r="X32" i="4"/>
  <c r="N25" i="3"/>
  <c r="AA32" i="4"/>
  <c r="O25" i="3"/>
  <c r="AD32" i="4"/>
  <c r="P25" i="3"/>
  <c r="AG32" i="4"/>
  <c r="Q25" i="3"/>
  <c r="AJ32" i="4"/>
  <c r="R25" i="3"/>
  <c r="AM32" i="4"/>
  <c r="S25" i="3"/>
  <c r="AP32" i="4"/>
  <c r="T25" i="3"/>
  <c r="AS32" i="4"/>
  <c r="U25" i="3"/>
  <c r="AV32" i="4"/>
  <c r="V25" i="3"/>
  <c r="AZ32" i="4"/>
  <c r="W25" i="3"/>
  <c r="BC32" i="4"/>
  <c r="X25" i="3"/>
  <c r="BF32" i="4"/>
  <c r="Y25" i="3"/>
  <c r="CK32" i="4"/>
  <c r="Z25" i="3"/>
  <c r="CN32" i="4"/>
  <c r="AA25" i="3"/>
  <c r="CQ32" i="4"/>
  <c r="AB25" i="3"/>
  <c r="CT32" i="4"/>
  <c r="AC25" i="3"/>
  <c r="BY32" i="4"/>
  <c r="AD25" i="3"/>
  <c r="CA32" i="4"/>
  <c r="AE25" i="3"/>
  <c r="CC32" i="4"/>
  <c r="AF25" i="3"/>
  <c r="CE32" i="4"/>
  <c r="AG25" i="3"/>
  <c r="CG32" i="4"/>
  <c r="AH25" i="3"/>
  <c r="CI32" i="4"/>
  <c r="AI25" i="3"/>
  <c r="CY32" i="4"/>
  <c r="AJ25" i="3"/>
  <c r="CW32" i="4"/>
  <c r="AK25" i="3"/>
  <c r="DC32" i="4"/>
  <c r="AL25" i="3"/>
  <c r="DA32" i="4"/>
  <c r="AM25" i="3"/>
  <c r="DG32" i="4"/>
  <c r="AN25" i="3"/>
  <c r="DE32" i="4"/>
  <c r="AO25" i="3"/>
  <c r="DK32" i="4"/>
  <c r="AP25" i="3"/>
  <c r="DI32" i="4"/>
  <c r="AQ25" i="3"/>
  <c r="DO32" i="4"/>
  <c r="AR25" i="3"/>
  <c r="DM32" i="4"/>
  <c r="AS25" i="3"/>
  <c r="DQ32" i="4"/>
  <c r="AT25" i="3"/>
  <c r="DT32" i="4"/>
  <c r="AU25" i="3"/>
  <c r="DX32" i="4"/>
  <c r="AW25" i="3"/>
  <c r="DZ32" i="4"/>
  <c r="AX25" i="3"/>
  <c r="EB32" i="4"/>
  <c r="AY25" i="3"/>
  <c r="ED32" i="4"/>
  <c r="AZ25" i="3"/>
  <c r="EG32" i="4"/>
  <c r="BA25" i="3"/>
  <c r="EI32" i="4"/>
  <c r="BB25" i="3"/>
  <c r="EQ32" i="4"/>
  <c r="BC25" i="3"/>
  <c r="EK32" i="4"/>
  <c r="BD25" i="3"/>
  <c r="EM32" i="4"/>
  <c r="BE25" i="3"/>
  <c r="EO32" i="4"/>
  <c r="BF25" i="3"/>
  <c r="ET32" i="4"/>
  <c r="BG25" i="3"/>
  <c r="EV32" i="4"/>
  <c r="BH25" i="3"/>
  <c r="EZ32" i="4"/>
  <c r="BI25" i="3"/>
  <c r="EX32" i="4"/>
  <c r="BJ25" i="3"/>
  <c r="FB32" i="4"/>
  <c r="BK25" i="3"/>
  <c r="J33" i="4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J32" i="4"/>
  <c r="BL24" i="3"/>
  <c r="E23" i="3"/>
  <c r="E24" i="3"/>
  <c r="F25" i="3"/>
  <c r="F24" i="3"/>
  <c r="F22" i="3"/>
  <c r="F23" i="3"/>
  <c r="E22" i="3"/>
  <c r="E23" i="1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A38" i="4"/>
  <c r="EY38" i="4"/>
  <c r="EW38" i="4"/>
  <c r="EU38" i="4"/>
  <c r="ER38" i="4"/>
  <c r="EP38" i="4"/>
  <c r="EN38" i="4"/>
  <c r="EL38" i="4"/>
  <c r="EJ38" i="4"/>
  <c r="EH38" i="4"/>
  <c r="EE38" i="4"/>
  <c r="EC38" i="4"/>
  <c r="EA38" i="4"/>
  <c r="DY38" i="4"/>
  <c r="DW38" i="4"/>
  <c r="DV38" i="4"/>
  <c r="DU38" i="4"/>
  <c r="DR38" i="4"/>
  <c r="DP38" i="4"/>
  <c r="DN38" i="4"/>
  <c r="DL38" i="4"/>
  <c r="DJ38" i="4"/>
  <c r="DH38" i="4"/>
  <c r="DF38" i="4"/>
  <c r="DD38" i="4"/>
  <c r="DB38" i="4"/>
  <c r="CZ38" i="4"/>
  <c r="CX38" i="4"/>
  <c r="CU38" i="4"/>
  <c r="CS38" i="4"/>
  <c r="CR38" i="4"/>
  <c r="CP38" i="4"/>
  <c r="CO38" i="4"/>
  <c r="CM38" i="4"/>
  <c r="CL38" i="4"/>
  <c r="CJ38" i="4"/>
  <c r="CH38" i="4"/>
  <c r="CF38" i="4"/>
  <c r="CD38" i="4"/>
  <c r="CB38" i="4"/>
  <c r="BZ38" i="4"/>
  <c r="BX38" i="4"/>
  <c r="BW38" i="4"/>
  <c r="BV38" i="4"/>
  <c r="BT38" i="4"/>
  <c r="BS38" i="4"/>
  <c r="BH38" i="4"/>
  <c r="BG38" i="4"/>
  <c r="BE38" i="4"/>
  <c r="BD38" i="4"/>
  <c r="BB38" i="4"/>
  <c r="BA38" i="4"/>
  <c r="AX38" i="4"/>
  <c r="AW38" i="4"/>
  <c r="AU38" i="4"/>
  <c r="AT38" i="4"/>
  <c r="AR38" i="4"/>
  <c r="AQ38" i="4"/>
  <c r="AO38" i="4"/>
  <c r="AN38" i="4"/>
  <c r="AL38" i="4"/>
  <c r="AK38" i="4"/>
  <c r="AI38" i="4"/>
  <c r="AH38" i="4"/>
  <c r="AF38" i="4"/>
  <c r="AE38" i="4"/>
  <c r="AC38" i="4"/>
  <c r="AB38" i="4"/>
  <c r="Z38" i="4"/>
  <c r="Y38" i="4"/>
  <c r="W38" i="4"/>
  <c r="V38" i="4"/>
  <c r="S38" i="4"/>
  <c r="Q38" i="4"/>
  <c r="P38" i="4"/>
  <c r="N38" i="4"/>
  <c r="M38" i="4"/>
  <c r="L38" i="4"/>
  <c r="I38" i="4"/>
  <c r="H38" i="4"/>
  <c r="G38" i="4"/>
  <c r="E38" i="4"/>
  <c r="D38" i="4"/>
  <c r="B38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V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S37" i="4"/>
  <c r="CR37" i="4"/>
  <c r="CP37" i="4"/>
  <c r="CO37" i="4"/>
  <c r="CM37" i="4"/>
  <c r="CL37" i="4"/>
  <c r="CJ37" i="4"/>
  <c r="CH37" i="4"/>
  <c r="CF37" i="4"/>
  <c r="CD37" i="4"/>
  <c r="CB37" i="4"/>
  <c r="BZ37" i="4"/>
  <c r="BX37" i="4"/>
  <c r="BW37" i="4"/>
  <c r="BV37" i="4"/>
  <c r="BT37" i="4"/>
  <c r="BS37" i="4"/>
  <c r="BH37" i="4"/>
  <c r="BG37" i="4"/>
  <c r="BE37" i="4"/>
  <c r="BD37" i="4"/>
  <c r="BB37" i="4"/>
  <c r="BA37" i="4"/>
  <c r="AX37" i="4"/>
  <c r="AW37" i="4"/>
  <c r="AU37" i="4"/>
  <c r="AT37" i="4"/>
  <c r="AR37" i="4"/>
  <c r="AQ37" i="4"/>
  <c r="AO37" i="4"/>
  <c r="AN37" i="4"/>
  <c r="AL37" i="4"/>
  <c r="AK37" i="4"/>
  <c r="AI37" i="4"/>
  <c r="AH37" i="4"/>
  <c r="AF37" i="4"/>
  <c r="AE37" i="4"/>
  <c r="AC37" i="4"/>
  <c r="AB37" i="4"/>
  <c r="Z37" i="4"/>
  <c r="Y37" i="4"/>
  <c r="W37" i="4"/>
  <c r="V37" i="4"/>
  <c r="S37" i="4"/>
  <c r="Q37" i="4"/>
  <c r="P37" i="4"/>
  <c r="N37" i="4"/>
  <c r="M37" i="4"/>
  <c r="L37" i="4"/>
  <c r="I37" i="4"/>
  <c r="H37" i="4"/>
  <c r="G37" i="4"/>
  <c r="E37" i="4"/>
  <c r="D37" i="4"/>
  <c r="B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V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S36" i="4"/>
  <c r="CR36" i="4"/>
  <c r="CP36" i="4"/>
  <c r="CO36" i="4"/>
  <c r="CM36" i="4"/>
  <c r="CL36" i="4"/>
  <c r="CJ36" i="4"/>
  <c r="CH36" i="4"/>
  <c r="CF36" i="4"/>
  <c r="CD36" i="4"/>
  <c r="CB36" i="4"/>
  <c r="BZ36" i="4"/>
  <c r="BX36" i="4"/>
  <c r="BW36" i="4"/>
  <c r="BV36" i="4"/>
  <c r="BT36" i="4"/>
  <c r="BS36" i="4"/>
  <c r="BH36" i="4"/>
  <c r="BG36" i="4"/>
  <c r="BE36" i="4"/>
  <c r="BD36" i="4"/>
  <c r="BB36" i="4"/>
  <c r="BA36" i="4"/>
  <c r="AX36" i="4"/>
  <c r="AW36" i="4"/>
  <c r="AU36" i="4"/>
  <c r="AT36" i="4"/>
  <c r="AR36" i="4"/>
  <c r="AQ36" i="4"/>
  <c r="AO36" i="4"/>
  <c r="AN36" i="4"/>
  <c r="AL36" i="4"/>
  <c r="AK36" i="4"/>
  <c r="AI36" i="4"/>
  <c r="AH36" i="4"/>
  <c r="AF36" i="4"/>
  <c r="AE36" i="4"/>
  <c r="AC36" i="4"/>
  <c r="AB36" i="4"/>
  <c r="Z36" i="4"/>
  <c r="Y36" i="4"/>
  <c r="W36" i="4"/>
  <c r="V36" i="4"/>
  <c r="S36" i="4"/>
  <c r="Q36" i="4"/>
  <c r="P36" i="4"/>
  <c r="N36" i="4"/>
  <c r="M36" i="4"/>
  <c r="L36" i="4"/>
  <c r="I36" i="4"/>
  <c r="H36" i="4"/>
  <c r="G36" i="4"/>
  <c r="E36" i="4"/>
  <c r="D36" i="4"/>
  <c r="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V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S35" i="4"/>
  <c r="CR35" i="4"/>
  <c r="CP35" i="4"/>
  <c r="CO35" i="4"/>
  <c r="CM35" i="4"/>
  <c r="CL35" i="4"/>
  <c r="CJ35" i="4"/>
  <c r="CH35" i="4"/>
  <c r="CF35" i="4"/>
  <c r="CD35" i="4"/>
  <c r="CB35" i="4"/>
  <c r="BZ35" i="4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U35" i="4"/>
  <c r="AT35" i="4"/>
  <c r="AR35" i="4"/>
  <c r="AQ35" i="4"/>
  <c r="AO35" i="4"/>
  <c r="AN35" i="4"/>
  <c r="AL35" i="4"/>
  <c r="AK35" i="4"/>
  <c r="AI35" i="4"/>
  <c r="AH35" i="4"/>
  <c r="AF35" i="4"/>
  <c r="AE35" i="4"/>
  <c r="AC35" i="4"/>
  <c r="AB35" i="4"/>
  <c r="Z35" i="4"/>
  <c r="Y35" i="4"/>
  <c r="W35" i="4"/>
  <c r="V35" i="4"/>
  <c r="S35" i="4"/>
  <c r="Q35" i="4"/>
  <c r="P35" i="4"/>
  <c r="N35" i="4"/>
  <c r="M35" i="4"/>
  <c r="L35" i="4"/>
  <c r="I35" i="4"/>
  <c r="H35" i="4"/>
  <c r="G35" i="4"/>
  <c r="E35" i="4"/>
  <c r="D35" i="4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I27" i="1"/>
  <c r="I28" i="1"/>
  <c r="I24" i="1"/>
  <c r="I25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E31" i="1"/>
  <c r="E26" i="1"/>
  <c r="E27" i="1"/>
  <c r="E28" i="1"/>
  <c r="E20" i="1"/>
  <c r="E25" i="1"/>
  <c r="E24" i="1"/>
  <c r="E19" i="1"/>
  <c r="E18" i="1"/>
  <c r="E21" i="1"/>
  <c r="E16" i="1"/>
  <c r="E17" i="1"/>
  <c r="E10" i="1"/>
  <c r="E14" i="1"/>
  <c r="E12" i="1"/>
  <c r="E15" i="1"/>
  <c r="E11" i="1"/>
  <c r="E13" i="1"/>
  <c r="E9" i="1"/>
  <c r="E8" i="1"/>
  <c r="E7" i="1"/>
  <c r="E5" i="1"/>
  <c r="E6" i="1"/>
  <c r="E3" i="1"/>
  <c r="E4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7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Taken from new meter line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<sst xmlns="http://schemas.openxmlformats.org/spreadsheetml/2006/main" count="413" uniqueCount="204">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</sst>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267324</v>
          </cell>
          <cell r="F30">
            <v>824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268368</v>
          </cell>
          <cell r="F31">
            <v>1044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269411</v>
          </cell>
          <cell r="F32">
            <v>1043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270555</v>
          </cell>
          <cell r="F33">
            <v>1144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V33">
            <v>9867800</v>
          </cell>
          <cell r="BW33">
            <v>8740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B34">
            <v>0.77</v>
          </cell>
          <cell r="E34">
            <v>271585</v>
          </cell>
          <cell r="F34">
            <v>1030</v>
          </cell>
          <cell r="G34">
            <v>597</v>
          </cell>
          <cell r="H34">
            <v>220810</v>
          </cell>
          <cell r="I34">
            <v>416</v>
          </cell>
          <cell r="J34">
            <v>385</v>
          </cell>
          <cell r="K34">
            <v>1521</v>
          </cell>
          <cell r="L34">
            <v>107</v>
          </cell>
          <cell r="N34">
            <v>908623</v>
          </cell>
          <cell r="O34">
            <v>230</v>
          </cell>
          <cell r="Q34">
            <v>237681</v>
          </cell>
          <cell r="R34">
            <v>168</v>
          </cell>
          <cell r="U34">
            <v>109278</v>
          </cell>
          <cell r="V34">
            <v>190</v>
          </cell>
          <cell r="W34">
            <v>201.95999999999913</v>
          </cell>
          <cell r="X34">
            <v>5797</v>
          </cell>
          <cell r="Y34">
            <v>17</v>
          </cell>
          <cell r="AE34">
            <v>8037338.3999999994</v>
          </cell>
          <cell r="AF34">
            <v>1948.7999999998137</v>
          </cell>
          <cell r="AH34">
            <v>15272355.84</v>
          </cell>
          <cell r="AI34">
            <v>4579.679999999702</v>
          </cell>
          <cell r="AK34">
            <v>15581922.719999999</v>
          </cell>
          <cell r="AL34">
            <v>146.16000000014901</v>
          </cell>
          <cell r="AN34">
            <v>18597593.280000001</v>
          </cell>
          <cell r="AO34">
            <v>11351.760000001639</v>
          </cell>
          <cell r="AQ34">
            <v>18923335.199999999</v>
          </cell>
          <cell r="AR34">
            <v>7990.0800000019372</v>
          </cell>
          <cell r="AT34">
            <v>17311531.439999998</v>
          </cell>
          <cell r="AU34">
            <v>5602.8000000007451</v>
          </cell>
          <cell r="AW34">
            <v>14586865.439999999</v>
          </cell>
          <cell r="AX34">
            <v>4677.1200000010431</v>
          </cell>
          <cell r="AZ34">
            <v>14103075.84</v>
          </cell>
          <cell r="BA34">
            <v>4725.839999999851</v>
          </cell>
          <cell r="BC34">
            <v>11044141.92</v>
          </cell>
          <cell r="BD34">
            <v>3410.4000000003725</v>
          </cell>
          <cell r="BF34">
            <v>17443854.960000001</v>
          </cell>
          <cell r="BG34">
            <v>5407.9200000017881</v>
          </cell>
          <cell r="BM34">
            <v>77028200</v>
          </cell>
          <cell r="BN34">
            <v>0</v>
          </cell>
          <cell r="BP34">
            <v>79369300</v>
          </cell>
          <cell r="BQ34">
            <v>56600</v>
          </cell>
          <cell r="BS34">
            <v>73620700</v>
          </cell>
          <cell r="BT34">
            <v>35900</v>
          </cell>
          <cell r="BV34">
            <v>9876090</v>
          </cell>
          <cell r="BW34">
            <v>8290</v>
          </cell>
          <cell r="BY34">
            <v>0.54</v>
          </cell>
          <cell r="BZ34">
            <v>2.9999999999999916E-2</v>
          </cell>
          <cell r="CB34">
            <v>63403</v>
          </cell>
          <cell r="CC34">
            <v>21</v>
          </cell>
          <cell r="CD34">
            <v>54563</v>
          </cell>
          <cell r="CE34">
            <v>18</v>
          </cell>
          <cell r="CF34">
            <v>18457</v>
          </cell>
          <cell r="CG34">
            <v>5</v>
          </cell>
          <cell r="CH34">
            <v>25128</v>
          </cell>
          <cell r="CI34">
            <v>12</v>
          </cell>
          <cell r="CJ34">
            <v>27842</v>
          </cell>
          <cell r="CK34">
            <v>16</v>
          </cell>
          <cell r="CL34">
            <v>60939</v>
          </cell>
          <cell r="CM34">
            <v>40</v>
          </cell>
          <cell r="CN34">
            <v>264740</v>
          </cell>
          <cell r="CO34">
            <v>70</v>
          </cell>
          <cell r="CQ34">
            <v>210546</v>
          </cell>
          <cell r="CR34">
            <v>85</v>
          </cell>
          <cell r="CT34">
            <v>349824</v>
          </cell>
          <cell r="CU34">
            <v>0</v>
          </cell>
          <cell r="CW34">
            <v>687054</v>
          </cell>
          <cell r="CX34">
            <v>162</v>
          </cell>
          <cell r="CZ34">
            <v>8499</v>
          </cell>
          <cell r="DA34">
            <v>7</v>
          </cell>
          <cell r="DB34">
            <v>5764</v>
          </cell>
          <cell r="DC34">
            <v>3</v>
          </cell>
          <cell r="DD34">
            <v>31439</v>
          </cell>
          <cell r="DE34">
            <v>13</v>
          </cell>
          <cell r="DF34">
            <v>31722</v>
          </cell>
          <cell r="DG34">
            <v>13</v>
          </cell>
          <cell r="DH34">
            <v>21391</v>
          </cell>
          <cell r="DI34">
            <v>9</v>
          </cell>
          <cell r="DJ34">
            <v>23756</v>
          </cell>
          <cell r="DK34">
            <v>8</v>
          </cell>
          <cell r="DL34">
            <v>6659</v>
          </cell>
          <cell r="DM34">
            <v>8</v>
          </cell>
          <cell r="DN34">
            <v>9410</v>
          </cell>
          <cell r="DO34">
            <v>8</v>
          </cell>
          <cell r="DP34">
            <v>3111</v>
          </cell>
          <cell r="DQ34">
            <v>3</v>
          </cell>
          <cell r="DR34">
            <v>6016</v>
          </cell>
          <cell r="DS34">
            <v>8</v>
          </cell>
          <cell r="DT34">
            <v>30021</v>
          </cell>
          <cell r="DU34">
            <v>1</v>
          </cell>
          <cell r="DW34">
            <v>5822.9</v>
          </cell>
          <cell r="DX34">
            <v>10.5</v>
          </cell>
          <cell r="DY34">
            <v>10909.3</v>
          </cell>
          <cell r="DZ34">
            <v>8.5</v>
          </cell>
          <cell r="EA34">
            <v>4492.3</v>
          </cell>
          <cell r="EB34">
            <v>6.6999999999998181</v>
          </cell>
          <cell r="EC34">
            <v>5084.5</v>
          </cell>
          <cell r="ED34">
            <v>5.8000000000001819</v>
          </cell>
          <cell r="EE34">
            <v>1098755</v>
          </cell>
          <cell r="EF34">
            <v>629</v>
          </cell>
          <cell r="EI34">
            <v>225056.2</v>
          </cell>
          <cell r="EJ34">
            <v>142</v>
          </cell>
          <cell r="EL34">
            <v>11911400</v>
          </cell>
          <cell r="EM34">
            <v>5300</v>
          </cell>
          <cell r="EN34">
            <v>921150</v>
          </cell>
          <cell r="EO34">
            <v>260</v>
          </cell>
          <cell r="EP34">
            <v>7118500</v>
          </cell>
          <cell r="EQ34">
            <v>2200</v>
          </cell>
          <cell r="ER34">
            <v>2475500</v>
          </cell>
          <cell r="ES34">
            <v>500</v>
          </cell>
          <cell r="ET34">
            <v>1243870</v>
          </cell>
          <cell r="EU34">
            <v>730</v>
          </cell>
          <cell r="EV34">
            <v>16367000</v>
          </cell>
          <cell r="EW34">
            <v>6500</v>
          </cell>
          <cell r="EY34">
            <v>41381</v>
          </cell>
          <cell r="EZ34">
            <v>14</v>
          </cell>
          <cell r="FA34">
            <v>36258</v>
          </cell>
          <cell r="FB34">
            <v>12</v>
          </cell>
          <cell r="FC34">
            <v>7087</v>
          </cell>
          <cell r="FD34">
            <v>9</v>
          </cell>
          <cell r="FE34">
            <v>58619</v>
          </cell>
          <cell r="FF34">
            <v>15</v>
          </cell>
          <cell r="FG34">
            <v>47995</v>
          </cell>
          <cell r="FH34">
            <v>33</v>
          </cell>
        </row>
        <row r="35">
          <cell r="B35">
            <v>0.82</v>
          </cell>
          <cell r="E35">
            <v>174256</v>
          </cell>
          <cell r="F35">
            <v>-97329</v>
          </cell>
          <cell r="G35">
            <v>622</v>
          </cell>
          <cell r="H35">
            <v>221261</v>
          </cell>
          <cell r="I35">
            <v>451</v>
          </cell>
          <cell r="J35">
            <v>369</v>
          </cell>
          <cell r="K35">
            <v>1631</v>
          </cell>
          <cell r="L35">
            <v>110</v>
          </cell>
          <cell r="N35">
            <v>908949</v>
          </cell>
          <cell r="O35">
            <v>326</v>
          </cell>
          <cell r="Q35">
            <v>237895</v>
          </cell>
          <cell r="R35">
            <v>214</v>
          </cell>
          <cell r="U35">
            <v>109473</v>
          </cell>
          <cell r="V35">
            <v>195</v>
          </cell>
          <cell r="W35">
            <v>171.47000000000116</v>
          </cell>
          <cell r="X35">
            <v>5805</v>
          </cell>
          <cell r="Y35">
            <v>8</v>
          </cell>
          <cell r="AE35">
            <v>8039384.6400000006</v>
          </cell>
          <cell r="AF35">
            <v>2046.2400000011548</v>
          </cell>
          <cell r="AH35">
            <v>15277130.4</v>
          </cell>
          <cell r="AI35">
            <v>4774.5600000005215</v>
          </cell>
          <cell r="AK35">
            <v>15582020.16</v>
          </cell>
          <cell r="AL35">
            <v>97.440000001341105</v>
          </cell>
          <cell r="AN35">
            <v>18609968.16</v>
          </cell>
          <cell r="AO35">
            <v>12374.879999998957</v>
          </cell>
          <cell r="AQ35">
            <v>18931471.439999998</v>
          </cell>
          <cell r="AR35">
            <v>8136.2399999983609</v>
          </cell>
          <cell r="AT35">
            <v>17317475.280000001</v>
          </cell>
          <cell r="AU35">
            <v>5943.8400000035763</v>
          </cell>
          <cell r="AW35">
            <v>14591493.84</v>
          </cell>
          <cell r="AX35">
            <v>4628.4000000003725</v>
          </cell>
          <cell r="AZ35">
            <v>14107996.559999999</v>
          </cell>
          <cell r="BA35">
            <v>4920.7199999988079</v>
          </cell>
          <cell r="BC35">
            <v>11047503.6</v>
          </cell>
          <cell r="BD35">
            <v>3361.679999999702</v>
          </cell>
          <cell r="BF35">
            <v>17449652.639999997</v>
          </cell>
          <cell r="BG35">
            <v>5797.6799999959767</v>
          </cell>
          <cell r="BM35">
            <v>77028200</v>
          </cell>
          <cell r="BN35">
            <v>0</v>
          </cell>
          <cell r="BP35">
            <v>79427100</v>
          </cell>
          <cell r="BQ35">
            <v>57800</v>
          </cell>
          <cell r="BS35">
            <v>73657200</v>
          </cell>
          <cell r="BT35">
            <v>36500</v>
          </cell>
          <cell r="BV35">
            <v>9884820</v>
          </cell>
          <cell r="BW35">
            <v>8730</v>
          </cell>
          <cell r="BY35">
            <v>0.5</v>
          </cell>
          <cell r="BZ35">
            <v>4.0000000000000036E-2</v>
          </cell>
          <cell r="CB35">
            <v>63424</v>
          </cell>
          <cell r="CC35">
            <v>21</v>
          </cell>
          <cell r="CD35">
            <v>54582</v>
          </cell>
          <cell r="CE35">
            <v>19</v>
          </cell>
          <cell r="CF35">
            <v>18465</v>
          </cell>
          <cell r="CG35">
            <v>8</v>
          </cell>
          <cell r="CH35">
            <v>25138</v>
          </cell>
          <cell r="CI35">
            <v>10</v>
          </cell>
          <cell r="CJ35">
            <v>27855</v>
          </cell>
          <cell r="CK35">
            <v>13</v>
          </cell>
          <cell r="CL35">
            <v>60978</v>
          </cell>
          <cell r="CM35">
            <v>39</v>
          </cell>
          <cell r="CN35">
            <v>264814</v>
          </cell>
          <cell r="CO35">
            <v>74</v>
          </cell>
          <cell r="CQ35">
            <v>210642</v>
          </cell>
          <cell r="CR35">
            <v>96</v>
          </cell>
          <cell r="CT35">
            <v>349824</v>
          </cell>
          <cell r="CU35">
            <v>0</v>
          </cell>
          <cell r="CW35">
            <v>687225</v>
          </cell>
          <cell r="CX35">
            <v>171</v>
          </cell>
          <cell r="CZ35">
            <v>8508</v>
          </cell>
          <cell r="DA35">
            <v>9</v>
          </cell>
          <cell r="DB35">
            <v>5771</v>
          </cell>
          <cell r="DC35">
            <v>7</v>
          </cell>
          <cell r="DD35">
            <v>31451</v>
          </cell>
          <cell r="DE35">
            <v>12</v>
          </cell>
          <cell r="DF35">
            <v>31736</v>
          </cell>
          <cell r="DG35">
            <v>14</v>
          </cell>
          <cell r="DH35">
            <v>21402</v>
          </cell>
          <cell r="DI35">
            <v>11</v>
          </cell>
          <cell r="DJ35">
            <v>23763</v>
          </cell>
          <cell r="DK35">
            <v>7</v>
          </cell>
          <cell r="DL35">
            <v>6667</v>
          </cell>
          <cell r="DM35">
            <v>8</v>
          </cell>
          <cell r="DN35">
            <v>9417</v>
          </cell>
          <cell r="DO35">
            <v>7</v>
          </cell>
          <cell r="DP35">
            <v>3113</v>
          </cell>
          <cell r="DQ35">
            <v>2</v>
          </cell>
          <cell r="DR35">
            <v>6024</v>
          </cell>
          <cell r="DS35">
            <v>8</v>
          </cell>
          <cell r="DT35">
            <v>30030</v>
          </cell>
          <cell r="DU35">
            <v>9</v>
          </cell>
          <cell r="DW35">
            <v>5834.6</v>
          </cell>
          <cell r="DX35">
            <v>11.700000000000728</v>
          </cell>
          <cell r="DY35">
            <v>10918.4</v>
          </cell>
          <cell r="DZ35">
            <v>9.1000000000003638</v>
          </cell>
          <cell r="EA35">
            <v>4499.3999999999996</v>
          </cell>
          <cell r="EB35">
            <v>7.0999999999994543</v>
          </cell>
          <cell r="EC35">
            <v>5090.7</v>
          </cell>
          <cell r="ED35">
            <v>6.1999999999998181</v>
          </cell>
          <cell r="EE35">
            <v>1099420</v>
          </cell>
          <cell r="EF35">
            <v>665</v>
          </cell>
          <cell r="EI35">
            <v>225209.7</v>
          </cell>
          <cell r="EJ35">
            <v>153.5</v>
          </cell>
          <cell r="EL35">
            <v>11917700</v>
          </cell>
          <cell r="EM35">
            <v>6300</v>
          </cell>
          <cell r="EN35">
            <v>921440</v>
          </cell>
          <cell r="EO35">
            <v>290</v>
          </cell>
          <cell r="EP35">
            <v>7121100</v>
          </cell>
          <cell r="EQ35">
            <v>2600</v>
          </cell>
          <cell r="ER35">
            <v>2476100</v>
          </cell>
          <cell r="ES35">
            <v>600</v>
          </cell>
          <cell r="ET35">
            <v>1244700</v>
          </cell>
          <cell r="EU35">
            <v>830</v>
          </cell>
          <cell r="EV35">
            <v>16374600</v>
          </cell>
          <cell r="EW35">
            <v>7600</v>
          </cell>
          <cell r="EY35">
            <v>41395</v>
          </cell>
          <cell r="EZ35">
            <v>14</v>
          </cell>
          <cell r="FA35">
            <v>36270</v>
          </cell>
          <cell r="FB35">
            <v>12</v>
          </cell>
          <cell r="FC35">
            <v>7094</v>
          </cell>
          <cell r="FD35">
            <v>7</v>
          </cell>
          <cell r="FE35">
            <v>58635</v>
          </cell>
          <cell r="FF35">
            <v>16</v>
          </cell>
          <cell r="FG35">
            <v>48028</v>
          </cell>
          <cell r="FH35">
            <v>33</v>
          </cell>
        </row>
        <row r="36">
          <cell r="B36">
            <v>0.81</v>
          </cell>
          <cell r="E36">
            <v>175148</v>
          </cell>
          <cell r="F36">
            <v>892</v>
          </cell>
          <cell r="G36">
            <v>830</v>
          </cell>
          <cell r="H36">
            <v>221739</v>
          </cell>
          <cell r="I36">
            <v>478</v>
          </cell>
          <cell r="J36">
            <v>423</v>
          </cell>
          <cell r="K36">
            <v>1740</v>
          </cell>
          <cell r="L36">
            <v>109</v>
          </cell>
          <cell r="N36">
            <v>909262</v>
          </cell>
          <cell r="O36">
            <v>313</v>
          </cell>
          <cell r="Q36">
            <v>238075</v>
          </cell>
          <cell r="R36">
            <v>180</v>
          </cell>
          <cell r="U36">
            <v>109667</v>
          </cell>
          <cell r="V36">
            <v>194</v>
          </cell>
          <cell r="W36">
            <v>156.52000000000407</v>
          </cell>
          <cell r="X36">
            <v>5811</v>
          </cell>
          <cell r="Y36">
            <v>6</v>
          </cell>
          <cell r="AE36">
            <v>8041333.4400000004</v>
          </cell>
          <cell r="AF36">
            <v>1948.7999999998137</v>
          </cell>
          <cell r="AH36">
            <v>15281856.24</v>
          </cell>
          <cell r="AI36">
            <v>4725.839999999851</v>
          </cell>
          <cell r="AK36">
            <v>15582166.319999998</v>
          </cell>
          <cell r="AL36">
            <v>146.15999999828637</v>
          </cell>
          <cell r="AN36">
            <v>18622343.039999999</v>
          </cell>
          <cell r="AO36">
            <v>12374.879999998957</v>
          </cell>
          <cell r="AQ36">
            <v>18939412.800000001</v>
          </cell>
          <cell r="AR36">
            <v>7941.3600000031292</v>
          </cell>
          <cell r="AT36">
            <v>17323321.68</v>
          </cell>
          <cell r="AU36">
            <v>5846.3999999985099</v>
          </cell>
          <cell r="AW36">
            <v>14596219.68</v>
          </cell>
          <cell r="AX36">
            <v>4725.839999999851</v>
          </cell>
          <cell r="AZ36">
            <v>14112771.119999999</v>
          </cell>
          <cell r="BA36">
            <v>4774.5600000005215</v>
          </cell>
          <cell r="BC36">
            <v>11050572.959999999</v>
          </cell>
          <cell r="BD36">
            <v>3069.359999999404</v>
          </cell>
          <cell r="BF36">
            <v>17455450.32</v>
          </cell>
          <cell r="BG36">
            <v>5797.6800000034273</v>
          </cell>
          <cell r="BM36">
            <v>77028200</v>
          </cell>
          <cell r="BN36">
            <v>0</v>
          </cell>
          <cell r="BP36">
            <v>79484600</v>
          </cell>
          <cell r="BQ36">
            <v>57500</v>
          </cell>
          <cell r="BS36">
            <v>73692400</v>
          </cell>
          <cell r="BT36">
            <v>35200</v>
          </cell>
          <cell r="BV36">
            <v>9893430</v>
          </cell>
          <cell r="BW36">
            <v>8610</v>
          </cell>
          <cell r="BY36">
            <v>0.47</v>
          </cell>
          <cell r="BZ36">
            <v>3.0000000000000027E-2</v>
          </cell>
          <cell r="CB36">
            <v>63447</v>
          </cell>
          <cell r="CC36">
            <v>23</v>
          </cell>
          <cell r="CD36">
            <v>54603</v>
          </cell>
          <cell r="CE36">
            <v>21</v>
          </cell>
          <cell r="CF36">
            <v>18471</v>
          </cell>
          <cell r="CG36">
            <v>6</v>
          </cell>
          <cell r="CH36">
            <v>25149</v>
          </cell>
          <cell r="CI36">
            <v>11</v>
          </cell>
          <cell r="CJ36">
            <v>27869</v>
          </cell>
          <cell r="CK36">
            <v>14</v>
          </cell>
          <cell r="CL36">
            <v>61018</v>
          </cell>
          <cell r="CM36">
            <v>40</v>
          </cell>
          <cell r="CN36">
            <v>264889</v>
          </cell>
          <cell r="CO36">
            <v>75</v>
          </cell>
          <cell r="CQ36">
            <v>210741</v>
          </cell>
          <cell r="CR36">
            <v>99</v>
          </cell>
          <cell r="CT36">
            <v>349824</v>
          </cell>
          <cell r="CU36">
            <v>0</v>
          </cell>
          <cell r="CW36">
            <v>687395</v>
          </cell>
          <cell r="CX36">
            <v>170</v>
          </cell>
          <cell r="CZ36">
            <v>8519</v>
          </cell>
          <cell r="DA36">
            <v>11</v>
          </cell>
          <cell r="DB36">
            <v>5777</v>
          </cell>
          <cell r="DC36">
            <v>6</v>
          </cell>
          <cell r="DD36">
            <v>31467</v>
          </cell>
          <cell r="DE36">
            <v>16</v>
          </cell>
          <cell r="DF36">
            <v>31749</v>
          </cell>
          <cell r="DG36">
            <v>13</v>
          </cell>
          <cell r="DH36">
            <v>21412</v>
          </cell>
          <cell r="DI36">
            <v>10</v>
          </cell>
          <cell r="DJ36">
            <v>23770</v>
          </cell>
          <cell r="DK36">
            <v>7</v>
          </cell>
          <cell r="DL36">
            <v>6676</v>
          </cell>
          <cell r="DM36">
            <v>9</v>
          </cell>
          <cell r="DN36">
            <v>9425</v>
          </cell>
          <cell r="DO36">
            <v>8</v>
          </cell>
          <cell r="DP36">
            <v>3116</v>
          </cell>
          <cell r="DQ36">
            <v>3</v>
          </cell>
          <cell r="DR36">
            <v>6033</v>
          </cell>
          <cell r="DS36">
            <v>9</v>
          </cell>
          <cell r="DT36">
            <v>30036</v>
          </cell>
          <cell r="DU36">
            <v>6</v>
          </cell>
          <cell r="DW36">
            <v>5846.5</v>
          </cell>
          <cell r="DX36">
            <v>11.899999999999636</v>
          </cell>
          <cell r="DY36">
            <v>10927.7</v>
          </cell>
          <cell r="DZ36">
            <v>9.3000000000010914</v>
          </cell>
          <cell r="EA36">
            <v>4506.6000000000004</v>
          </cell>
          <cell r="EB36">
            <v>7.2000000000007276</v>
          </cell>
          <cell r="EC36">
            <v>5096.8</v>
          </cell>
          <cell r="ED36">
            <v>6.1000000000003638</v>
          </cell>
          <cell r="EE36">
            <v>1100157</v>
          </cell>
          <cell r="EF36">
            <v>737</v>
          </cell>
          <cell r="EI36">
            <v>225363.1</v>
          </cell>
          <cell r="EJ36">
            <v>153.39999999999418</v>
          </cell>
          <cell r="EL36">
            <v>11924900</v>
          </cell>
          <cell r="EM36">
            <v>7200</v>
          </cell>
          <cell r="EN36">
            <v>921760</v>
          </cell>
          <cell r="EO36">
            <v>320</v>
          </cell>
          <cell r="EP36">
            <v>7124000</v>
          </cell>
          <cell r="EQ36">
            <v>2900</v>
          </cell>
          <cell r="ER36">
            <v>2476700</v>
          </cell>
          <cell r="ES36">
            <v>600</v>
          </cell>
          <cell r="ET36">
            <v>1245600</v>
          </cell>
          <cell r="EU36">
            <v>900</v>
          </cell>
          <cell r="EV36">
            <v>16382900</v>
          </cell>
          <cell r="EW36">
            <v>8300</v>
          </cell>
          <cell r="EY36">
            <v>41412</v>
          </cell>
          <cell r="EZ36">
            <v>17</v>
          </cell>
          <cell r="FA36">
            <v>36282</v>
          </cell>
          <cell r="FB36">
            <v>12</v>
          </cell>
          <cell r="FC36">
            <v>7103</v>
          </cell>
          <cell r="FD36">
            <v>9</v>
          </cell>
          <cell r="FE36">
            <v>58654</v>
          </cell>
          <cell r="FF36">
            <v>19</v>
          </cell>
          <cell r="FG36">
            <v>48067</v>
          </cell>
          <cell r="FH36">
            <v>39</v>
          </cell>
        </row>
        <row r="37">
          <cell r="B37">
            <v>0.87</v>
          </cell>
          <cell r="E37">
            <v>176060</v>
          </cell>
          <cell r="F37">
            <v>912</v>
          </cell>
          <cell r="G37">
            <v>693</v>
          </cell>
          <cell r="H37">
            <v>222220</v>
          </cell>
          <cell r="I37">
            <v>481</v>
          </cell>
          <cell r="J37">
            <v>427</v>
          </cell>
          <cell r="K37">
            <v>1865</v>
          </cell>
          <cell r="L37">
            <v>125</v>
          </cell>
          <cell r="N37">
            <v>909571</v>
          </cell>
          <cell r="O37">
            <v>309</v>
          </cell>
          <cell r="Q37">
            <v>238268</v>
          </cell>
          <cell r="R37">
            <v>193</v>
          </cell>
          <cell r="U37">
            <v>109857</v>
          </cell>
          <cell r="V37">
            <v>190</v>
          </cell>
          <cell r="W37">
            <v>169.5</v>
          </cell>
          <cell r="X37">
            <v>5822</v>
          </cell>
          <cell r="Y37">
            <v>11</v>
          </cell>
          <cell r="AE37">
            <v>8043282.2400000002</v>
          </cell>
          <cell r="AF37">
            <v>1948.7999999998137</v>
          </cell>
          <cell r="AH37">
            <v>15286533.359999999</v>
          </cell>
          <cell r="AI37">
            <v>4677.1199999991804</v>
          </cell>
          <cell r="AK37">
            <v>15582263.76</v>
          </cell>
          <cell r="AL37">
            <v>97.440000001341105</v>
          </cell>
          <cell r="AN37">
            <v>18633499.919999998</v>
          </cell>
          <cell r="AO37">
            <v>11156.879999998957</v>
          </cell>
          <cell r="AQ37">
            <v>18947792.639999997</v>
          </cell>
          <cell r="AR37">
            <v>8379.8399999961257</v>
          </cell>
          <cell r="AT37">
            <v>17328973.199999999</v>
          </cell>
          <cell r="AU37">
            <v>5651.519999999553</v>
          </cell>
          <cell r="AW37">
            <v>14600799.359999999</v>
          </cell>
          <cell r="AX37">
            <v>4579.679999999702</v>
          </cell>
          <cell r="AZ37">
            <v>14117594.4</v>
          </cell>
          <cell r="BA37">
            <v>4823.2800000011921</v>
          </cell>
          <cell r="BC37">
            <v>11053739.76</v>
          </cell>
          <cell r="BD37">
            <v>3166.8000000007451</v>
          </cell>
          <cell r="BF37">
            <v>17461199.280000001</v>
          </cell>
          <cell r="BG37">
            <v>5748.9600000008941</v>
          </cell>
          <cell r="BM37">
            <v>77028200</v>
          </cell>
          <cell r="BN37">
            <v>0</v>
          </cell>
          <cell r="BP37">
            <v>79539200</v>
          </cell>
          <cell r="BQ37">
            <v>54600</v>
          </cell>
          <cell r="BS37">
            <v>73730900</v>
          </cell>
          <cell r="BT37">
            <v>38500</v>
          </cell>
          <cell r="BV37">
            <v>9902430</v>
          </cell>
          <cell r="BW37">
            <v>9000</v>
          </cell>
          <cell r="BY37">
            <v>0.42</v>
          </cell>
          <cell r="BZ37">
            <v>4.9999999999999989E-2</v>
          </cell>
          <cell r="CB37">
            <v>63471</v>
          </cell>
          <cell r="CC37">
            <v>24</v>
          </cell>
          <cell r="CD37">
            <v>54623</v>
          </cell>
          <cell r="CE37">
            <v>20</v>
          </cell>
          <cell r="CF37">
            <v>18478</v>
          </cell>
          <cell r="CG37">
            <v>7</v>
          </cell>
          <cell r="CH37">
            <v>25159</v>
          </cell>
          <cell r="CI37">
            <v>10</v>
          </cell>
          <cell r="CJ37">
            <v>27882</v>
          </cell>
          <cell r="CK37">
            <v>13</v>
          </cell>
          <cell r="CL37">
            <v>61056</v>
          </cell>
          <cell r="CM37">
            <v>38</v>
          </cell>
          <cell r="CN37">
            <v>264961</v>
          </cell>
          <cell r="CO37">
            <v>72</v>
          </cell>
          <cell r="CQ37">
            <v>210835</v>
          </cell>
          <cell r="CR37">
            <v>94</v>
          </cell>
          <cell r="CT37">
            <v>349824</v>
          </cell>
          <cell r="CU37">
            <v>0</v>
          </cell>
          <cell r="CW37">
            <v>687557</v>
          </cell>
          <cell r="CX37">
            <v>162</v>
          </cell>
          <cell r="CZ37">
            <v>8531</v>
          </cell>
          <cell r="DA37">
            <v>12</v>
          </cell>
          <cell r="DB37">
            <v>5784</v>
          </cell>
          <cell r="DC37">
            <v>7</v>
          </cell>
          <cell r="DD37">
            <v>31484</v>
          </cell>
          <cell r="DE37">
            <v>17</v>
          </cell>
          <cell r="DF37">
            <v>31765</v>
          </cell>
          <cell r="DG37">
            <v>16</v>
          </cell>
          <cell r="DH37">
            <v>21425</v>
          </cell>
          <cell r="DI37">
            <v>13</v>
          </cell>
          <cell r="DJ37">
            <v>23776</v>
          </cell>
          <cell r="DK37">
            <v>6</v>
          </cell>
          <cell r="DL37">
            <v>6688</v>
          </cell>
          <cell r="DM37">
            <v>12</v>
          </cell>
          <cell r="DN37">
            <v>9436</v>
          </cell>
          <cell r="DO37">
            <v>11</v>
          </cell>
          <cell r="DP37">
            <v>3119</v>
          </cell>
          <cell r="DQ37">
            <v>3</v>
          </cell>
          <cell r="DR37">
            <v>6043</v>
          </cell>
          <cell r="DS37">
            <v>10</v>
          </cell>
          <cell r="DT37">
            <v>30041</v>
          </cell>
          <cell r="DU37">
            <v>5</v>
          </cell>
          <cell r="DW37">
            <v>5858.4</v>
          </cell>
          <cell r="DX37">
            <v>11.899999999999636</v>
          </cell>
          <cell r="DY37">
            <v>10936.7</v>
          </cell>
          <cell r="DZ37">
            <v>9</v>
          </cell>
          <cell r="EA37">
            <v>4513.3</v>
          </cell>
          <cell r="EB37">
            <v>6.6999999999998181</v>
          </cell>
          <cell r="EC37">
            <v>5104.1000000000004</v>
          </cell>
          <cell r="ED37">
            <v>7.3000000000001819</v>
          </cell>
          <cell r="EE37">
            <v>1100875</v>
          </cell>
          <cell r="EF37">
            <v>718</v>
          </cell>
          <cell r="EI37">
            <v>225514.9</v>
          </cell>
          <cell r="EJ37">
            <v>151.79999999998836</v>
          </cell>
          <cell r="EL37">
            <v>11930600</v>
          </cell>
          <cell r="EM37">
            <v>5700</v>
          </cell>
          <cell r="EN37">
            <v>922040</v>
          </cell>
          <cell r="EO37">
            <v>280</v>
          </cell>
          <cell r="EP37">
            <v>7126300</v>
          </cell>
          <cell r="EQ37">
            <v>2300</v>
          </cell>
          <cell r="ER37">
            <v>2477300</v>
          </cell>
          <cell r="ES37">
            <v>600</v>
          </cell>
          <cell r="ET37">
            <v>1246370</v>
          </cell>
          <cell r="EU37">
            <v>770</v>
          </cell>
          <cell r="EV37">
            <v>16389700</v>
          </cell>
          <cell r="EW37">
            <v>6800</v>
          </cell>
          <cell r="EY37">
            <v>41425</v>
          </cell>
          <cell r="EZ37">
            <v>13</v>
          </cell>
          <cell r="FA37">
            <v>36293</v>
          </cell>
          <cell r="FB37">
            <v>11</v>
          </cell>
          <cell r="FC37">
            <v>7117</v>
          </cell>
          <cell r="FD37">
            <v>14</v>
          </cell>
          <cell r="FE37">
            <v>58669</v>
          </cell>
          <cell r="FF37">
            <v>15</v>
          </cell>
          <cell r="FG37">
            <v>48105</v>
          </cell>
          <cell r="FH37">
            <v>38</v>
          </cell>
        </row>
        <row r="38">
          <cell r="B38">
            <v>0.84</v>
          </cell>
          <cell r="E38">
            <v>176957</v>
          </cell>
          <cell r="F38">
            <v>897</v>
          </cell>
          <cell r="G38">
            <v>660</v>
          </cell>
          <cell r="H38">
            <v>222799</v>
          </cell>
          <cell r="I38">
            <v>579</v>
          </cell>
          <cell r="J38">
            <v>464</v>
          </cell>
          <cell r="K38">
            <v>1875</v>
          </cell>
          <cell r="L38">
            <v>10</v>
          </cell>
          <cell r="N38">
            <v>909946</v>
          </cell>
          <cell r="O38">
            <v>375</v>
          </cell>
          <cell r="Q38">
            <v>238542</v>
          </cell>
          <cell r="R38">
            <v>274</v>
          </cell>
          <cell r="U38">
            <v>110042</v>
          </cell>
          <cell r="V38">
            <v>185</v>
          </cell>
          <cell r="W38">
            <v>150.72000000000116</v>
          </cell>
          <cell r="X38">
            <v>5841</v>
          </cell>
          <cell r="Y38">
            <v>19</v>
          </cell>
          <cell r="AE38">
            <v>8046205.4400000004</v>
          </cell>
          <cell r="AF38">
            <v>2923.2000000001863</v>
          </cell>
          <cell r="AH38">
            <v>15291307.919999998</v>
          </cell>
          <cell r="AI38">
            <v>4774.5599999986589</v>
          </cell>
          <cell r="AK38">
            <v>15594151.439999999</v>
          </cell>
          <cell r="AL38">
            <v>11887.679999999702</v>
          </cell>
          <cell r="AN38">
            <v>18640515.599999998</v>
          </cell>
          <cell r="AO38">
            <v>7015.679999999702</v>
          </cell>
          <cell r="AQ38">
            <v>18948182.399999999</v>
          </cell>
          <cell r="AR38">
            <v>389.76000000163913</v>
          </cell>
          <cell r="AT38">
            <v>17334819.599999998</v>
          </cell>
          <cell r="AU38">
            <v>5846.3999999985099</v>
          </cell>
          <cell r="AW38">
            <v>14605427.76</v>
          </cell>
          <cell r="AX38">
            <v>4628.4000000003725</v>
          </cell>
          <cell r="AZ38">
            <v>14122271.52</v>
          </cell>
          <cell r="BA38">
            <v>4677.1199999991804</v>
          </cell>
          <cell r="BC38">
            <v>11056614.24</v>
          </cell>
          <cell r="BD38">
            <v>2874.480000000447</v>
          </cell>
          <cell r="BF38">
            <v>17467191.84</v>
          </cell>
          <cell r="BG38">
            <v>5992.5599999986589</v>
          </cell>
          <cell r="BM38">
            <v>77081500</v>
          </cell>
          <cell r="BN38">
            <v>53300</v>
          </cell>
          <cell r="BP38">
            <v>79580200</v>
          </cell>
          <cell r="BQ38">
            <v>41000</v>
          </cell>
          <cell r="BS38">
            <v>73730900</v>
          </cell>
          <cell r="BT38">
            <v>0</v>
          </cell>
          <cell r="BV38">
            <v>9912450</v>
          </cell>
          <cell r="BW38">
            <v>10020</v>
          </cell>
          <cell r="BY38">
            <v>0.57999999999999996</v>
          </cell>
          <cell r="BZ38">
            <v>-0.15999999999999998</v>
          </cell>
          <cell r="CB38">
            <v>63499</v>
          </cell>
          <cell r="CC38">
            <v>28</v>
          </cell>
          <cell r="CD38">
            <v>54647</v>
          </cell>
          <cell r="CE38">
            <v>24</v>
          </cell>
          <cell r="CF38">
            <v>18484</v>
          </cell>
          <cell r="CG38">
            <v>6</v>
          </cell>
          <cell r="CH38">
            <v>25172</v>
          </cell>
          <cell r="CI38">
            <v>13</v>
          </cell>
          <cell r="CJ38">
            <v>27894</v>
          </cell>
          <cell r="CK38">
            <v>12</v>
          </cell>
          <cell r="CL38">
            <v>61093</v>
          </cell>
          <cell r="CM38">
            <v>37</v>
          </cell>
          <cell r="CN38">
            <v>265034</v>
          </cell>
          <cell r="CO38">
            <v>73</v>
          </cell>
          <cell r="CQ38">
            <v>210937</v>
          </cell>
          <cell r="CR38">
            <v>102</v>
          </cell>
          <cell r="CT38">
            <v>349824</v>
          </cell>
          <cell r="CU38">
            <v>0</v>
          </cell>
          <cell r="CW38">
            <v>687722</v>
          </cell>
          <cell r="CX38">
            <v>165</v>
          </cell>
          <cell r="CZ38">
            <v>8541</v>
          </cell>
          <cell r="DA38">
            <v>10</v>
          </cell>
          <cell r="DB38">
            <v>5791</v>
          </cell>
          <cell r="DC38">
            <v>7</v>
          </cell>
          <cell r="DD38">
            <v>31499</v>
          </cell>
          <cell r="DE38">
            <v>15</v>
          </cell>
          <cell r="DF38">
            <v>31780</v>
          </cell>
          <cell r="DG38">
            <v>15</v>
          </cell>
          <cell r="DH38">
            <v>21437</v>
          </cell>
          <cell r="DI38">
            <v>12</v>
          </cell>
          <cell r="DJ38">
            <v>23782</v>
          </cell>
          <cell r="DK38">
            <v>6</v>
          </cell>
          <cell r="DL38">
            <v>6699</v>
          </cell>
          <cell r="DM38">
            <v>11</v>
          </cell>
          <cell r="DN38">
            <v>9446</v>
          </cell>
          <cell r="DO38">
            <v>10</v>
          </cell>
          <cell r="DP38">
            <v>3122</v>
          </cell>
          <cell r="DQ38">
            <v>3</v>
          </cell>
          <cell r="DR38">
            <v>6053</v>
          </cell>
          <cell r="DS38">
            <v>10</v>
          </cell>
          <cell r="DT38">
            <v>30046</v>
          </cell>
          <cell r="DU38">
            <v>5</v>
          </cell>
          <cell r="DW38">
            <v>5870.6</v>
          </cell>
          <cell r="DX38">
            <v>12.200000000000728</v>
          </cell>
          <cell r="DY38">
            <v>10945.8</v>
          </cell>
          <cell r="DZ38">
            <v>9.0999999999985448</v>
          </cell>
          <cell r="EA38">
            <v>4520.3999999999996</v>
          </cell>
          <cell r="EB38">
            <v>7.0999999999994543</v>
          </cell>
          <cell r="EC38">
            <v>5111.2</v>
          </cell>
          <cell r="ED38">
            <v>7.0999999999994543</v>
          </cell>
          <cell r="EE38">
            <v>1101615</v>
          </cell>
          <cell r="EF38">
            <v>740</v>
          </cell>
          <cell r="EI38">
            <v>225669.6</v>
          </cell>
          <cell r="EJ38">
            <v>154.70000000001164</v>
          </cell>
          <cell r="EL38">
            <v>11938700</v>
          </cell>
          <cell r="EM38">
            <v>8100</v>
          </cell>
          <cell r="EN38">
            <v>922420</v>
          </cell>
          <cell r="EO38">
            <v>380</v>
          </cell>
          <cell r="EP38">
            <v>7129600</v>
          </cell>
          <cell r="EQ38">
            <v>3300</v>
          </cell>
          <cell r="ER38">
            <v>2478000</v>
          </cell>
          <cell r="ES38">
            <v>700</v>
          </cell>
          <cell r="ET38">
            <v>1247400</v>
          </cell>
          <cell r="EU38">
            <v>1030</v>
          </cell>
          <cell r="EV38">
            <v>16399000</v>
          </cell>
          <cell r="EW38">
            <v>9300</v>
          </cell>
          <cell r="EY38">
            <v>41441</v>
          </cell>
          <cell r="EZ38">
            <v>16</v>
          </cell>
          <cell r="FA38">
            <v>36306</v>
          </cell>
          <cell r="FB38">
            <v>13</v>
          </cell>
          <cell r="FC38">
            <v>7131</v>
          </cell>
          <cell r="FD38">
            <v>14</v>
          </cell>
          <cell r="FE38">
            <v>58686</v>
          </cell>
          <cell r="FF38">
            <v>17</v>
          </cell>
          <cell r="FG38">
            <v>48143</v>
          </cell>
          <cell r="FH38">
            <v>38</v>
          </cell>
        </row>
        <row r="39">
          <cell r="B39">
            <v>0.79</v>
          </cell>
          <cell r="E39">
            <v>177928</v>
          </cell>
          <cell r="F39">
            <v>971</v>
          </cell>
          <cell r="G39">
            <v>670</v>
          </cell>
          <cell r="H39">
            <v>223181</v>
          </cell>
          <cell r="I39">
            <v>382</v>
          </cell>
          <cell r="J39">
            <v>465</v>
          </cell>
          <cell r="K39">
            <v>2098</v>
          </cell>
          <cell r="L39">
            <v>223</v>
          </cell>
          <cell r="N39">
            <v>910207</v>
          </cell>
          <cell r="O39">
            <v>261</v>
          </cell>
          <cell r="Q39">
            <v>238709</v>
          </cell>
          <cell r="R39">
            <v>167</v>
          </cell>
          <cell r="U39">
            <v>110224</v>
          </cell>
          <cell r="V39">
            <v>182</v>
          </cell>
          <cell r="W39">
            <v>154.68000000000029</v>
          </cell>
          <cell r="X39">
            <v>5847</v>
          </cell>
          <cell r="Y39">
            <v>6</v>
          </cell>
          <cell r="AE39">
            <v>8049274.7999999998</v>
          </cell>
          <cell r="AF39">
            <v>3069.359999999404</v>
          </cell>
          <cell r="AH39">
            <v>15295985.039999999</v>
          </cell>
          <cell r="AI39">
            <v>4677.1200000010431</v>
          </cell>
          <cell r="AK39">
            <v>15606087.84</v>
          </cell>
          <cell r="AL39">
            <v>11936.400000000373</v>
          </cell>
          <cell r="AN39">
            <v>18646946.639999997</v>
          </cell>
          <cell r="AO39">
            <v>6431.0399999991059</v>
          </cell>
          <cell r="AQ39">
            <v>18948572.16</v>
          </cell>
          <cell r="AR39">
            <v>389.76000000163913</v>
          </cell>
          <cell r="AT39">
            <v>17340568.560000002</v>
          </cell>
          <cell r="AU39">
            <v>5748.9600000046194</v>
          </cell>
          <cell r="AW39">
            <v>14609958.719999999</v>
          </cell>
          <cell r="AX39">
            <v>4530.9599999990314</v>
          </cell>
          <cell r="AZ39">
            <v>14125828.08</v>
          </cell>
          <cell r="BA39">
            <v>3556.5600000005215</v>
          </cell>
          <cell r="BC39">
            <v>11059488.719999999</v>
          </cell>
          <cell r="BD39">
            <v>2874.4799999985844</v>
          </cell>
          <cell r="BF39">
            <v>17473086.960000001</v>
          </cell>
          <cell r="BG39">
            <v>5895.1200000010431</v>
          </cell>
          <cell r="BM39">
            <v>77139600</v>
          </cell>
          <cell r="BN39">
            <v>58100</v>
          </cell>
          <cell r="BP39">
            <v>79614800</v>
          </cell>
          <cell r="BQ39">
            <v>34600</v>
          </cell>
          <cell r="BS39">
            <v>73730900</v>
          </cell>
          <cell r="BT39">
            <v>0</v>
          </cell>
          <cell r="BV39">
            <v>9919630</v>
          </cell>
          <cell r="BW39">
            <v>7180</v>
          </cell>
          <cell r="BY39">
            <v>0.55000000000000004</v>
          </cell>
          <cell r="BZ39">
            <v>2.9999999999999916E-2</v>
          </cell>
          <cell r="CB39">
            <v>63518</v>
          </cell>
          <cell r="CC39">
            <v>19</v>
          </cell>
          <cell r="CD39">
            <v>54664</v>
          </cell>
          <cell r="CE39">
            <v>17</v>
          </cell>
          <cell r="CF39">
            <v>18489</v>
          </cell>
          <cell r="CG39">
            <v>5</v>
          </cell>
          <cell r="CH39">
            <v>25180</v>
          </cell>
          <cell r="CI39">
            <v>8</v>
          </cell>
          <cell r="CJ39">
            <v>27908</v>
          </cell>
          <cell r="CK39">
            <v>14</v>
          </cell>
          <cell r="CL39">
            <v>61132</v>
          </cell>
          <cell r="CM39">
            <v>39</v>
          </cell>
          <cell r="CN39">
            <v>265106</v>
          </cell>
          <cell r="CO39">
            <v>72</v>
          </cell>
          <cell r="CQ39">
            <v>211037</v>
          </cell>
          <cell r="CR39">
            <v>100</v>
          </cell>
          <cell r="CT39">
            <v>349824</v>
          </cell>
          <cell r="CU39">
            <v>0</v>
          </cell>
          <cell r="CW39">
            <v>687890</v>
          </cell>
          <cell r="CX39">
            <v>168</v>
          </cell>
          <cell r="CZ39">
            <v>8545</v>
          </cell>
          <cell r="DA39">
            <v>4</v>
          </cell>
          <cell r="DB39">
            <v>5793</v>
          </cell>
          <cell r="DC39">
            <v>2</v>
          </cell>
          <cell r="DD39">
            <v>31519</v>
          </cell>
          <cell r="DE39">
            <v>20</v>
          </cell>
          <cell r="DF39">
            <v>31794</v>
          </cell>
          <cell r="DG39">
            <v>14</v>
          </cell>
          <cell r="DH39">
            <v>21445</v>
          </cell>
          <cell r="DI39">
            <v>8</v>
          </cell>
          <cell r="DJ39">
            <v>23789</v>
          </cell>
          <cell r="DK39">
            <v>7</v>
          </cell>
          <cell r="DL39">
            <v>6712</v>
          </cell>
          <cell r="DM39">
            <v>13</v>
          </cell>
          <cell r="DN39">
            <v>9458</v>
          </cell>
          <cell r="DO39">
            <v>12</v>
          </cell>
          <cell r="DP39">
            <v>3126</v>
          </cell>
          <cell r="DQ39">
            <v>4</v>
          </cell>
          <cell r="DR39">
            <v>6063</v>
          </cell>
          <cell r="DS39">
            <v>10</v>
          </cell>
          <cell r="DT39">
            <v>30046</v>
          </cell>
          <cell r="DU39">
            <v>0</v>
          </cell>
          <cell r="DW39">
            <v>5882.4</v>
          </cell>
          <cell r="DX39">
            <v>11.799999999999272</v>
          </cell>
          <cell r="DY39">
            <v>10954.1</v>
          </cell>
          <cell r="DZ39">
            <v>8.3000000000010914</v>
          </cell>
          <cell r="EA39">
            <v>4527.3</v>
          </cell>
          <cell r="EB39">
            <v>6.9000000000005457</v>
          </cell>
          <cell r="EC39">
            <v>5117.8999999999996</v>
          </cell>
          <cell r="ED39">
            <v>6.6999999999998181</v>
          </cell>
          <cell r="EE39">
            <v>1102297</v>
          </cell>
          <cell r="EF39">
            <v>682</v>
          </cell>
          <cell r="EI39">
            <v>225818.7</v>
          </cell>
          <cell r="EJ39">
            <v>149.10000000000582</v>
          </cell>
          <cell r="EL39">
            <v>11946600</v>
          </cell>
          <cell r="EM39">
            <v>7900</v>
          </cell>
          <cell r="EN39">
            <v>922780</v>
          </cell>
          <cell r="EO39">
            <v>360</v>
          </cell>
          <cell r="EP39">
            <v>7132800</v>
          </cell>
          <cell r="EQ39">
            <v>3200</v>
          </cell>
          <cell r="ER39">
            <v>2478700</v>
          </cell>
          <cell r="ES39">
            <v>700</v>
          </cell>
          <cell r="ET39">
            <v>1248360</v>
          </cell>
          <cell r="EU39">
            <v>960</v>
          </cell>
          <cell r="EV39">
            <v>16408200</v>
          </cell>
          <cell r="EW39">
            <v>9200</v>
          </cell>
          <cell r="EY39">
            <v>41452</v>
          </cell>
          <cell r="EZ39">
            <v>11</v>
          </cell>
          <cell r="FA39">
            <v>36320</v>
          </cell>
          <cell r="FB39">
            <v>14</v>
          </cell>
          <cell r="FC39">
            <v>7141</v>
          </cell>
          <cell r="FD39">
            <v>10</v>
          </cell>
          <cell r="FE39">
            <v>58697</v>
          </cell>
          <cell r="FF39">
            <v>11</v>
          </cell>
          <cell r="FG39">
            <v>48179</v>
          </cell>
          <cell r="FH39">
            <v>36</v>
          </cell>
        </row>
        <row r="40">
          <cell r="B40">
            <v>0.82</v>
          </cell>
          <cell r="E40">
            <v>178881</v>
          </cell>
          <cell r="F40">
            <v>953</v>
          </cell>
          <cell r="G40">
            <v>659</v>
          </cell>
          <cell r="H40">
            <v>223632</v>
          </cell>
          <cell r="I40">
            <v>451</v>
          </cell>
          <cell r="J40">
            <v>438</v>
          </cell>
          <cell r="K40">
            <v>2208</v>
          </cell>
          <cell r="L40">
            <v>110</v>
          </cell>
          <cell r="N40">
            <v>910541</v>
          </cell>
          <cell r="O40">
            <v>334</v>
          </cell>
          <cell r="Q40">
            <v>238920</v>
          </cell>
          <cell r="R40">
            <v>211</v>
          </cell>
          <cell r="U40">
            <v>110400</v>
          </cell>
          <cell r="V40">
            <v>176</v>
          </cell>
          <cell r="W40">
            <v>187.29999999999563</v>
          </cell>
          <cell r="X40">
            <v>5862</v>
          </cell>
          <cell r="Y40">
            <v>15</v>
          </cell>
          <cell r="AE40">
            <v>8052051.8399999999</v>
          </cell>
          <cell r="AF40">
            <v>2777.0400000000373</v>
          </cell>
          <cell r="AH40">
            <v>15300662.16</v>
          </cell>
          <cell r="AI40">
            <v>4677.1200000010431</v>
          </cell>
          <cell r="AK40">
            <v>15617780.640000001</v>
          </cell>
          <cell r="AL40">
            <v>11692.800000000745</v>
          </cell>
          <cell r="AN40">
            <v>18654011.039999999</v>
          </cell>
          <cell r="AO40">
            <v>7064.4000000022352</v>
          </cell>
          <cell r="AQ40">
            <v>18948669.599999998</v>
          </cell>
          <cell r="AR40">
            <v>97.439999997615814</v>
          </cell>
          <cell r="AT40">
            <v>17346512.399999999</v>
          </cell>
          <cell r="AU40">
            <v>5943.8399999961257</v>
          </cell>
          <cell r="AW40">
            <v>14614489.68</v>
          </cell>
          <cell r="AX40">
            <v>4530.9600000008941</v>
          </cell>
          <cell r="AZ40">
            <v>14131382.16</v>
          </cell>
          <cell r="BA40">
            <v>5554.0800000000745</v>
          </cell>
          <cell r="BC40">
            <v>11062363.199999999</v>
          </cell>
          <cell r="BD40">
            <v>2874.480000000447</v>
          </cell>
          <cell r="BF40">
            <v>17478835.919999998</v>
          </cell>
          <cell r="BG40">
            <v>5748.9599999971688</v>
          </cell>
          <cell r="BM40">
            <v>77194800</v>
          </cell>
          <cell r="BN40">
            <v>55200</v>
          </cell>
          <cell r="BP40">
            <v>79651500</v>
          </cell>
          <cell r="BQ40">
            <v>36700</v>
          </cell>
          <cell r="BS40">
            <v>73730900</v>
          </cell>
          <cell r="BT40">
            <v>0</v>
          </cell>
          <cell r="BV40">
            <v>9927590</v>
          </cell>
          <cell r="BW40">
            <v>7960</v>
          </cell>
          <cell r="BY40">
            <v>0.49</v>
          </cell>
          <cell r="BZ40">
            <v>6.0000000000000053E-2</v>
          </cell>
          <cell r="CB40">
            <v>63542</v>
          </cell>
          <cell r="CC40">
            <v>24</v>
          </cell>
          <cell r="CD40">
            <v>54684</v>
          </cell>
          <cell r="CE40">
            <v>20</v>
          </cell>
          <cell r="CF40">
            <v>18495</v>
          </cell>
          <cell r="CG40">
            <v>6</v>
          </cell>
          <cell r="CH40">
            <v>25191</v>
          </cell>
          <cell r="CI40">
            <v>11</v>
          </cell>
          <cell r="CJ40">
            <v>27922</v>
          </cell>
          <cell r="CK40">
            <v>14</v>
          </cell>
          <cell r="CL40">
            <v>61167</v>
          </cell>
          <cell r="CM40">
            <v>35</v>
          </cell>
          <cell r="CN40">
            <v>265178</v>
          </cell>
          <cell r="CO40">
            <v>72</v>
          </cell>
          <cell r="CQ40">
            <v>211137</v>
          </cell>
          <cell r="CR40">
            <v>100</v>
          </cell>
          <cell r="CT40">
            <v>349861</v>
          </cell>
          <cell r="CU40">
            <v>37</v>
          </cell>
          <cell r="CW40">
            <v>688055</v>
          </cell>
          <cell r="CX40">
            <v>165</v>
          </cell>
          <cell r="CZ40">
            <v>8552</v>
          </cell>
          <cell r="DA40">
            <v>7</v>
          </cell>
          <cell r="DB40">
            <v>5797</v>
          </cell>
          <cell r="DC40">
            <v>4</v>
          </cell>
          <cell r="DD40">
            <v>31533</v>
          </cell>
          <cell r="DE40">
            <v>14</v>
          </cell>
          <cell r="DF40">
            <v>31811</v>
          </cell>
          <cell r="DG40">
            <v>17</v>
          </cell>
          <cell r="DH40">
            <v>21456</v>
          </cell>
          <cell r="DI40">
            <v>11</v>
          </cell>
          <cell r="DJ40">
            <v>23796</v>
          </cell>
          <cell r="DK40">
            <v>7</v>
          </cell>
          <cell r="DL40">
            <v>6723</v>
          </cell>
          <cell r="DM40">
            <v>11</v>
          </cell>
          <cell r="DN40">
            <v>9463</v>
          </cell>
          <cell r="DO40">
            <v>5</v>
          </cell>
          <cell r="DP40">
            <v>3128</v>
          </cell>
          <cell r="DQ40">
            <v>2</v>
          </cell>
          <cell r="DR40">
            <v>6070</v>
          </cell>
          <cell r="DS40">
            <v>7</v>
          </cell>
          <cell r="DT40">
            <v>30054</v>
          </cell>
          <cell r="DU40">
            <v>8</v>
          </cell>
          <cell r="DW40">
            <v>5893.9</v>
          </cell>
          <cell r="DX40">
            <v>11.5</v>
          </cell>
          <cell r="DY40">
            <v>10962.9</v>
          </cell>
          <cell r="DZ40">
            <v>8.7999999999992724</v>
          </cell>
          <cell r="EA40">
            <v>4534.6000000000004</v>
          </cell>
          <cell r="EB40">
            <v>7.3000000000001819</v>
          </cell>
          <cell r="EC40">
            <v>5124</v>
          </cell>
          <cell r="ED40">
            <v>6.1000000000003638</v>
          </cell>
          <cell r="EE40">
            <v>1102978</v>
          </cell>
          <cell r="EF40">
            <v>681</v>
          </cell>
          <cell r="EI40">
            <v>225971.5</v>
          </cell>
          <cell r="EJ40">
            <v>152.79999999998836</v>
          </cell>
          <cell r="EL40">
            <v>11950500</v>
          </cell>
          <cell r="EM40">
            <v>3900</v>
          </cell>
          <cell r="EN40">
            <v>922990</v>
          </cell>
          <cell r="EO40">
            <v>210</v>
          </cell>
          <cell r="EP40">
            <v>7134400</v>
          </cell>
          <cell r="EQ40">
            <v>1600</v>
          </cell>
          <cell r="ER40">
            <v>2479100</v>
          </cell>
          <cell r="ES40">
            <v>400</v>
          </cell>
          <cell r="ET40">
            <v>1248920</v>
          </cell>
          <cell r="EU40">
            <v>560</v>
          </cell>
          <cell r="EV40">
            <v>16413100</v>
          </cell>
          <cell r="EW40">
            <v>4900</v>
          </cell>
          <cell r="EY40">
            <v>41465</v>
          </cell>
          <cell r="EZ40">
            <v>13</v>
          </cell>
          <cell r="FA40">
            <v>36332</v>
          </cell>
          <cell r="FB40">
            <v>12</v>
          </cell>
          <cell r="FC40">
            <v>7150</v>
          </cell>
          <cell r="FD40">
            <v>9</v>
          </cell>
          <cell r="FE40">
            <v>58712</v>
          </cell>
          <cell r="FF40">
            <v>15</v>
          </cell>
          <cell r="FG40">
            <v>48212</v>
          </cell>
          <cell r="FH40">
            <v>33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7" sqref="H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SUM(Submetering!Z2:AB2,Submetering!AD2:AI2)</f>
        <v>474.39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SUM(Submetering!Z3:AB3,Submetering!AD3:AI3)</f>
        <v>491.40000000000003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SUM(Submetering!Z4:AB4,Submetering!AD4:AI4)</f>
        <v>472.49999999999989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SUM(Submetering!Z5:AB5,Submetering!AD5:AI5)</f>
        <v>483.83999999999992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SUM(Submetering!Z6:AB6,Submetering!AD6:AI6)</f>
        <v>489.51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SUM(Submetering!Z7:AB7,Submetering!AD7:AI7)</f>
        <v>451.70999999999992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SUM(Submetering!Z8:AB8,Submetering!AD8:AI8)</f>
        <v>457.37999999999988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SUM(Submetering!Z9:AB9,Submetering!AD9:AI9)</f>
        <v>495.18000000000006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SUM(Submetering!Z10:AB10,Submetering!AD10:AI10)</f>
        <v>451.70999999999992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SUM(Submetering!Z11:AB11,Submetering!AD11:AI11)</f>
        <v>474.38999999999993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SUM(Submetering!Z12:AB12,Submetering!AD12:AI12)</f>
        <v>485.7299999999999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SUM(Submetering!Z13:AB13,Submetering!AD13:AI13)</f>
        <v>546.20999999999992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SUM(Submetering!Z14:AB14,Submetering!AD14:AI14)</f>
        <v>487.62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SUM(Submetering!Z15:AB15,Submetering!AD15:AI15)</f>
        <v>521.6400000000001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SUM(Submetering!Z16:AB16,Submetering!AD16:AI16)</f>
        <v>525.42000000000007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SUM(Submetering!Z17:AB17,Submetering!AD17:AI17)</f>
        <v>504.63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SUM(Submetering!Z18:AB18,Submetering!AD18:AI18)</f>
        <v>500.85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SUM(Submetering!Z19:AB19,Submetering!AD19:AI19)</f>
        <v>510.29999999999995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SUM(Submetering!Z20:AB20,Submetering!AD20:AI20)</f>
        <v>491.39999999999986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SUM(Submetering!Z21:AB21,Submetering!AD21:AI21)</f>
        <v>531.09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SUM(Submetering!Z22:AB22,Submetering!AD22:AI22)</f>
        <v>498.96</v>
      </c>
      <c r="H22" s="238">
        <f t="shared" si="0"/>
        <v>3.3461538461538458</v>
      </c>
      <c r="I22" s="3">
        <f>Submetering!G22</f>
        <v>824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SUM(Submetering!Z23:AB23,Submetering!AD23:AI23)</f>
        <v>549.98999999999978</v>
      </c>
      <c r="H23" s="238">
        <f t="shared" si="0"/>
        <v>3.3461538461538458</v>
      </c>
      <c r="I23" s="3">
        <f>Submetering!G23</f>
        <v>1044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SUM(Submetering!Z24:AB24,Submetering!AD24:AI24)</f>
        <v>468.71999999999997</v>
      </c>
      <c r="H24" s="238">
        <f t="shared" si="0"/>
        <v>3.3461538461538458</v>
      </c>
      <c r="I24" s="3">
        <f>Submetering!G24</f>
        <v>1043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SUM(Submetering!Z25:AB25,Submetering!AD25:AI25)</f>
        <v>527.30999999999995</v>
      </c>
      <c r="H25" s="238">
        <f t="shared" si="0"/>
        <v>3.3461538461538458</v>
      </c>
      <c r="I25" s="3">
        <f>Submetering!G25</f>
        <v>1144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49840.560000007041</v>
      </c>
      <c r="F26">
        <v>0.44447999999999999</v>
      </c>
      <c r="G26" s="3">
        <f>SUM(Submetering!Z26:AB26,Submetering!AD26:AI26)</f>
        <v>504.63</v>
      </c>
      <c r="H26" s="238">
        <f t="shared" si="0"/>
        <v>3.3461538461538458</v>
      </c>
      <c r="I26" s="3">
        <f>Submetering!G26</f>
        <v>1030</v>
      </c>
      <c r="J26">
        <v>13.83</v>
      </c>
      <c r="K26" s="3">
        <f>Submetering!BL26</f>
        <v>107</v>
      </c>
      <c r="L26">
        <v>1.2</v>
      </c>
      <c r="M26" s="238">
        <f>Submetering!E26</f>
        <v>182.49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52081.679999998771</v>
      </c>
      <c r="F27">
        <v>0.44447999999999999</v>
      </c>
      <c r="G27" s="3">
        <f>SUM(Submetering!Z27:AB27,Submetering!AD27:AI27)</f>
        <v>529.19999999999993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110</v>
      </c>
      <c r="L27">
        <v>1.2</v>
      </c>
      <c r="M27" s="238">
        <f>Submetering!E27</f>
        <v>194.33999999999997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51350.880000001751</v>
      </c>
      <c r="F28">
        <v>0.44447999999999999</v>
      </c>
      <c r="G28" s="3">
        <f>SUM(Submetering!Z28:AB28,Submetering!AD28:AI28)</f>
        <v>546.21</v>
      </c>
      <c r="H28" s="238">
        <f t="shared" si="0"/>
        <v>3.3461538461538458</v>
      </c>
      <c r="I28" s="3">
        <f>Submetering!G28</f>
        <v>892</v>
      </c>
      <c r="J28">
        <v>13.83</v>
      </c>
      <c r="K28" s="3">
        <f>Submetering!BL28</f>
        <v>109</v>
      </c>
      <c r="L28">
        <v>1.2</v>
      </c>
      <c r="M28" s="238">
        <f>Submetering!E28</f>
        <v>191.97</v>
      </c>
      <c r="N28">
        <f>Submetering!F28</f>
        <v>404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50230.319999997504</v>
      </c>
      <c r="F29">
        <v>0.44447999999999999</v>
      </c>
      <c r="G29" s="3">
        <f>SUM(Submetering!Z29:AB29,Submetering!AD29:AI29)</f>
        <v>525.42000000000007</v>
      </c>
      <c r="H29" s="238">
        <f t="shared" si="0"/>
        <v>3.3461538461538458</v>
      </c>
      <c r="I29" s="3">
        <f>Submetering!G29</f>
        <v>912</v>
      </c>
      <c r="J29">
        <v>13.83</v>
      </c>
      <c r="K29" s="3">
        <f>Submetering!BL29</f>
        <v>125</v>
      </c>
      <c r="L29">
        <v>1.2</v>
      </c>
      <c r="M29" s="238">
        <f>Submetering!E29</f>
        <v>206.19</v>
      </c>
      <c r="N29">
        <f>Submetering!F29</f>
        <v>433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51009.839999997057</v>
      </c>
      <c r="F30">
        <v>0.44447999999999999</v>
      </c>
      <c r="G30" s="3">
        <f>SUM(Submetering!Z30:AB30,Submetering!AD30:AI30)</f>
        <v>557.54999999999995</v>
      </c>
      <c r="H30" s="238">
        <f t="shared" si="0"/>
        <v>3.3461538461538458</v>
      </c>
      <c r="I30" s="3">
        <f>Submetering!G30</f>
        <v>897</v>
      </c>
      <c r="J30">
        <v>13.83</v>
      </c>
      <c r="K30" s="3">
        <f>Submetering!BL30</f>
        <v>10</v>
      </c>
      <c r="L30">
        <v>1.2</v>
      </c>
      <c r="M30" s="238">
        <f>Submetering!E30</f>
        <v>199.07999999999998</v>
      </c>
      <c r="N30">
        <f>Submetering!F30</f>
        <v>416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49109.760000005364</v>
      </c>
      <c r="F31">
        <v>0.44447999999999999</v>
      </c>
      <c r="G31" s="3">
        <f>SUM(Submetering!Z31:AB31,Submetering!AD31:AI31)</f>
        <v>517.86</v>
      </c>
      <c r="H31" s="238">
        <f t="shared" si="0"/>
        <v>3.3461538461538458</v>
      </c>
      <c r="I31" s="3">
        <f>Submetering!G31</f>
        <v>971</v>
      </c>
      <c r="J31">
        <v>13.83</v>
      </c>
      <c r="K31" s="3">
        <f>Submetering!BL31</f>
        <v>223</v>
      </c>
      <c r="L31">
        <v>1.2</v>
      </c>
      <c r="M31" s="238">
        <f>Submetering!E31</f>
        <v>187.23000000000002</v>
      </c>
      <c r="N31">
        <f>Submetering!F31</f>
        <v>404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50961.119999996386</v>
      </c>
      <c r="F32">
        <v>0.44447999999999999</v>
      </c>
      <c r="G32" s="3">
        <f>SUM(Submetering!Z32:AB32,Submetering!AD32:AI32)</f>
        <v>602.91</v>
      </c>
      <c r="H32" s="238">
        <f t="shared" si="0"/>
        <v>3.3461538461538458</v>
      </c>
      <c r="I32" s="3">
        <f>Submetering!G32</f>
        <v>953</v>
      </c>
      <c r="J32">
        <v>13.83</v>
      </c>
      <c r="K32" s="3">
        <f>Submetering!BL32</f>
        <v>110</v>
      </c>
      <c r="L32">
        <v>1.2</v>
      </c>
      <c r="M32" s="238">
        <f>Submetering!E32</f>
        <v>194.33999999999997</v>
      </c>
      <c r="N32">
        <f>Submetering!F32</f>
        <v>324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824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f>'DJB Daily Readings'!C31-'DJB Daily Readings'!C30</f>
        <v>1044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1043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f>'DJB Daily Readings'!C33-'DJB Daily Readings'!C32</f>
        <v>1144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>
        <f>237*0.77</f>
        <v>182.49</v>
      </c>
      <c r="F26" s="79">
        <f>308+92</f>
        <v>400</v>
      </c>
      <c r="G26" s="3">
        <f>'DJB Daily Readings'!C34-'DJB Daily Readings'!C33</f>
        <v>1030</v>
      </c>
      <c r="H26" s="3">
        <f>'DJB Daily Readings'!F34-'DJB Daily Readings'!F33</f>
        <v>416</v>
      </c>
      <c r="I26" s="3">
        <f>'DJB Daily Readings'!K34-'DJB Daily Readings'!K33</f>
        <v>230</v>
      </c>
      <c r="J26" s="3">
        <f>'DJB Daily Readings'!K34-'DJB Daily Readings'!K33</f>
        <v>230</v>
      </c>
      <c r="K26" s="3">
        <f>'DJB Daily Readings'!O34-'DJB Daily Readings'!O33</f>
        <v>190</v>
      </c>
      <c r="L26" s="3">
        <f>'DJB Daily Readings'!R34-'DJB Daily Readings'!R33</f>
        <v>17</v>
      </c>
      <c r="M26" s="3">
        <f>'DJB Daily Readings'!U34-'DJB Daily Readings'!U33</f>
        <v>1948.7999999998137</v>
      </c>
      <c r="N26" s="3">
        <f>'DJB Daily Readings'!X34-'DJB Daily Readings'!X33</f>
        <v>4579.679999999702</v>
      </c>
      <c r="O26" s="3">
        <f>'DJB Daily Readings'!AA34-'DJB Daily Readings'!AA33</f>
        <v>146.16000000014901</v>
      </c>
      <c r="P26" s="3">
        <f>'DJB Daily Readings'!AD34-'DJB Daily Readings'!AD33</f>
        <v>11351.760000001639</v>
      </c>
      <c r="Q26" s="3">
        <f>'DJB Daily Readings'!AG34-'DJB Daily Readings'!AG33</f>
        <v>7990.0800000019372</v>
      </c>
      <c r="R26" s="3">
        <f>'DJB Daily Readings'!AJ34-'DJB Daily Readings'!AJ33</f>
        <v>5602.8000000007451</v>
      </c>
      <c r="S26" s="3">
        <f>'DJB Daily Readings'!AM34-'DJB Daily Readings'!AM33</f>
        <v>4677.1200000010431</v>
      </c>
      <c r="T26" s="3">
        <f>'DJB Daily Readings'!AP34-'DJB Daily Readings'!AP33</f>
        <v>4725.839999999851</v>
      </c>
      <c r="U26" s="3">
        <f>'DJB Daily Readings'!AS34-'DJB Daily Readings'!AS33</f>
        <v>3410.4000000003725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56600</v>
      </c>
      <c r="Y26" s="3">
        <f>'DJB Daily Readings'!BF34-'DJB Daily Readings'!BF33</f>
        <v>35900</v>
      </c>
      <c r="Z26" s="3">
        <f>('DJB Daily Readings'!CK34-'DJB Daily Readings'!CK33)*1.89</f>
        <v>132.29999999999998</v>
      </c>
      <c r="AA26" s="3">
        <f>('DJB Daily Readings'!CN34-'DJB Daily Readings'!CN33)*1.89</f>
        <v>160.65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39.69</v>
      </c>
      <c r="AE26" s="84">
        <f>('DJB Daily Readings'!CA34-'DJB Daily Readings'!CA33)*1.89</f>
        <v>34.019999999999996</v>
      </c>
      <c r="AF26" s="84">
        <f>('DJB Daily Readings'!CC34-'DJB Daily Readings'!CC33)*1.89</f>
        <v>9.4499999999999993</v>
      </c>
      <c r="AG26" s="84">
        <f>('DJB Daily Readings'!CE34-'DJB Daily Readings'!CE33)*1.89</f>
        <v>22.68</v>
      </c>
      <c r="AH26" s="84">
        <f>('DJB Daily Readings'!CG34-'DJB Daily Readings'!CG33)*1.89</f>
        <v>30.24</v>
      </c>
      <c r="AI26" s="84">
        <f>('DJB Daily Readings'!CI34-'DJB Daily Readings'!CI33)*1.89</f>
        <v>75.599999999999994</v>
      </c>
      <c r="AJ26" s="81">
        <f>'DJB Daily Readings'!CY34-'DJB Daily Readings'!CY33</f>
        <v>3</v>
      </c>
      <c r="AK26" s="81">
        <f>'DJB Daily Readings'!CW34-'DJB Daily Readings'!CW33</f>
        <v>7</v>
      </c>
      <c r="AL26" s="82">
        <f>'DJB Daily Readings'!DC34-'DJB Daily Readings'!DC33</f>
        <v>13</v>
      </c>
      <c r="AM26" s="82">
        <f>'DJB Daily Readings'!DA34-'DJB Daily Readings'!DA33</f>
        <v>13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8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3</v>
      </c>
      <c r="AT26" s="82">
        <f>'DJB Daily Readings'!DQ34-'DJB Daily Readings'!DQ33</f>
        <v>1</v>
      </c>
      <c r="AU26" s="82">
        <f>'DJB Daily Readings'!DT34-'DJB Daily Readings'!DT33</f>
        <v>10.5</v>
      </c>
      <c r="AW26" s="82">
        <f>'DJB Daily Readings'!DX34-'DJB Daily Readings'!DX33</f>
        <v>6.6999999999998181</v>
      </c>
      <c r="AX26" s="82">
        <f>'DJB Daily Readings'!DZ34-'DJB Daily Readings'!DZ33</f>
        <v>5.8000000000001819</v>
      </c>
      <c r="AY26" s="82">
        <f>'DJB Daily Readings'!EB34-'DJB Daily Readings'!EB33</f>
        <v>629</v>
      </c>
      <c r="AZ26" s="82">
        <f>'DJB Daily Readings'!ED34-'DJB Daily Readings'!ED33</f>
        <v>142</v>
      </c>
      <c r="BA26" s="82">
        <f>'DJB Daily Readings'!EG34-'DJB Daily Readings'!EG33</f>
        <v>5300</v>
      </c>
      <c r="BB26" s="82">
        <f>'DJB Daily Readings'!EI34-'DJB Daily Readings'!EI33</f>
        <v>260</v>
      </c>
      <c r="BC26" s="82">
        <f>'DJB Daily Readings'!EQ34-'DJB Daily Readings'!EQ33</f>
        <v>6500</v>
      </c>
      <c r="BD26" s="82">
        <f>'DJB Daily Readings'!EK34-'DJB Daily Readings'!EK33</f>
        <v>2200</v>
      </c>
      <c r="BE26" s="82">
        <f>'DJB Daily Readings'!EM34-'DJB Daily Readings'!EM33</f>
        <v>500</v>
      </c>
      <c r="BF26" s="82">
        <f>'DJB Daily Readings'!EO34-'DJB Daily Readings'!EO33</f>
        <v>730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28.349999999999998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  <c r="BL26" s="82">
        <f>'DJB Daily Readings'!J34</f>
        <v>107</v>
      </c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>
        <f>237*0.82</f>
        <v>194.33999999999997</v>
      </c>
      <c r="F27" s="79">
        <f>299+97</f>
        <v>396</v>
      </c>
      <c r="G27" s="3">
        <v>0</v>
      </c>
      <c r="H27" s="3">
        <f>'DJB Daily Readings'!F35-'DJB Daily Readings'!F34</f>
        <v>451</v>
      </c>
      <c r="I27" s="3">
        <f>'DJB Daily Readings'!K35-'DJB Daily Readings'!K34</f>
        <v>326</v>
      </c>
      <c r="J27" s="3">
        <f>'DJB Daily Readings'!K35-'DJB Daily Readings'!K34</f>
        <v>326</v>
      </c>
      <c r="K27" s="3">
        <f>'DJB Daily Readings'!O35-'DJB Daily Readings'!O34</f>
        <v>195</v>
      </c>
      <c r="L27" s="3">
        <f>'DJB Daily Readings'!R35-'DJB Daily Readings'!R34</f>
        <v>8</v>
      </c>
      <c r="M27" s="3">
        <f>'DJB Daily Readings'!U35-'DJB Daily Readings'!U34</f>
        <v>2046.2400000011548</v>
      </c>
      <c r="N27" s="3">
        <f>'DJB Daily Readings'!X35-'DJB Daily Readings'!X34</f>
        <v>4774.5600000005215</v>
      </c>
      <c r="O27" s="3">
        <f>'DJB Daily Readings'!AA35-'DJB Daily Readings'!AA34</f>
        <v>97.440000001341105</v>
      </c>
      <c r="P27" s="3">
        <f>'DJB Daily Readings'!AD35-'DJB Daily Readings'!AD34</f>
        <v>12374.879999998957</v>
      </c>
      <c r="Q27" s="3">
        <f>'DJB Daily Readings'!AG35-'DJB Daily Readings'!AG34</f>
        <v>8136.2399999983609</v>
      </c>
      <c r="R27" s="3">
        <f>'DJB Daily Readings'!AJ35-'DJB Daily Readings'!AJ34</f>
        <v>5943.8400000035763</v>
      </c>
      <c r="S27" s="3">
        <f>'DJB Daily Readings'!AM35-'DJB Daily Readings'!AM34</f>
        <v>4628.4000000003725</v>
      </c>
      <c r="T27" s="3">
        <f>'DJB Daily Readings'!AP35-'DJB Daily Readings'!AP34</f>
        <v>4920.7199999988079</v>
      </c>
      <c r="U27" s="3">
        <f>'DJB Daily Readings'!AS35-'DJB Daily Readings'!AS34</f>
        <v>3361.679999999702</v>
      </c>
      <c r="V27" s="3">
        <f>'DJB Daily Readings'!AV35-'DJB Daily Readings'!AV34</f>
        <v>5797.6799999959767</v>
      </c>
      <c r="W27" s="3">
        <f>'DJB Daily Readings'!AZ35-'DJB Daily Readings'!AZ34</f>
        <v>0</v>
      </c>
      <c r="X27" s="3">
        <f>'DJB Daily Readings'!BC35-'DJB Daily Readings'!BC34</f>
        <v>57800</v>
      </c>
      <c r="Y27" s="3">
        <f>'DJB Daily Readings'!BF35-'DJB Daily Readings'!BF34</f>
        <v>36500</v>
      </c>
      <c r="Z27" s="3">
        <f>('DJB Daily Readings'!CK35-'DJB Daily Readings'!CK34)*1.89</f>
        <v>139.85999999999999</v>
      </c>
      <c r="AA27" s="3">
        <f>('DJB Daily Readings'!CN35-'DJB Daily Readings'!CN34)*1.89</f>
        <v>181.44</v>
      </c>
      <c r="AB27" s="3">
        <f>('DJB Daily Readings'!CQ35-'DJB Daily Readings'!CQ34)*1.89</f>
        <v>0</v>
      </c>
      <c r="AC27" s="3">
        <f>'DJB Daily Readings'!CT35-'DJB Daily Readings'!CT34</f>
        <v>171</v>
      </c>
      <c r="AD27" s="84">
        <f>('DJB Daily Readings'!BY35-'DJB Daily Readings'!BY34)*1.89</f>
        <v>39.69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73.709999999999994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12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2</v>
      </c>
      <c r="AT27" s="82">
        <f>'DJB Daily Readings'!DQ35-'DJB Daily Readings'!DQ34</f>
        <v>9</v>
      </c>
      <c r="AU27" s="82">
        <f>'DJB Daily Readings'!DT35-'DJB Daily Readings'!DT34</f>
        <v>11.700000000000728</v>
      </c>
      <c r="AW27" s="82">
        <f>'DJB Daily Readings'!DX35-'DJB Daily Readings'!DX34</f>
        <v>7.0999999999994543</v>
      </c>
      <c r="AX27" s="82">
        <f>'DJB Daily Readings'!DZ35-'DJB Daily Readings'!DZ34</f>
        <v>6.1999999999998181</v>
      </c>
      <c r="AY27" s="82">
        <f>'DJB Daily Readings'!EB35-'DJB Daily Readings'!EB34</f>
        <v>665</v>
      </c>
      <c r="AZ27" s="82">
        <f>'DJB Daily Readings'!ED35-'DJB Daily Readings'!ED34</f>
        <v>153.5</v>
      </c>
      <c r="BA27" s="82">
        <f>'DJB Daily Readings'!EG35-'DJB Daily Readings'!EG34</f>
        <v>6300</v>
      </c>
      <c r="BB27" s="82">
        <f>'DJB Daily Readings'!EI35-'DJB Daily Readings'!EI34</f>
        <v>290</v>
      </c>
      <c r="BC27" s="82">
        <f>'DJB Daily Readings'!EQ35-'DJB Daily Readings'!EQ34</f>
        <v>7600</v>
      </c>
      <c r="BD27" s="82">
        <f>'DJB Daily Readings'!EK35-'DJB Daily Readings'!EK34</f>
        <v>2600</v>
      </c>
      <c r="BE27" s="82">
        <f>'DJB Daily Readings'!EM35-'DJB Daily Readings'!EM34</f>
        <v>600</v>
      </c>
      <c r="BF27" s="82">
        <f>'DJB Daily Readings'!EO35-'DJB Daily Readings'!EO34</f>
        <v>830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30.24</v>
      </c>
      <c r="BJ27" s="82">
        <f>('DJB Daily Readings'!EX35-'DJB Daily Readings'!EX34)*1.89</f>
        <v>13.229999999999999</v>
      </c>
      <c r="BK27" s="82">
        <f>('DJB Daily Readings'!FB35-'DJB Daily Readings'!FB34)*1.89</f>
        <v>62.37</v>
      </c>
      <c r="BL27" s="82">
        <f>'DJB Daily Readings'!J35</f>
        <v>110</v>
      </c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>
        <f>237*0.81</f>
        <v>191.97</v>
      </c>
      <c r="F28" s="79">
        <f>300+104</f>
        <v>404</v>
      </c>
      <c r="G28" s="3">
        <f>'DJB Daily Readings'!C36-'DJB Daily Readings'!C35</f>
        <v>892</v>
      </c>
      <c r="H28" s="3">
        <f>'DJB Daily Readings'!F36-'DJB Daily Readings'!F35</f>
        <v>478</v>
      </c>
      <c r="I28" s="3">
        <f>'DJB Daily Readings'!K36-'DJB Daily Readings'!K35</f>
        <v>313</v>
      </c>
      <c r="J28" s="3">
        <f>'DJB Daily Readings'!K36-'DJB Daily Readings'!K35</f>
        <v>313</v>
      </c>
      <c r="K28" s="3">
        <f>'DJB Daily Readings'!O36-'DJB Daily Readings'!O35</f>
        <v>194</v>
      </c>
      <c r="L28" s="3">
        <f>'DJB Daily Readings'!R36-'DJB Daily Readings'!R35</f>
        <v>6</v>
      </c>
      <c r="M28" s="3">
        <f>'DJB Daily Readings'!U36-'DJB Daily Readings'!U35</f>
        <v>1948.7999999998137</v>
      </c>
      <c r="N28" s="3">
        <f>'DJB Daily Readings'!X36-'DJB Daily Readings'!X35</f>
        <v>4725.839999999851</v>
      </c>
      <c r="O28" s="3">
        <f>'DJB Daily Readings'!AA36-'DJB Daily Readings'!AA35</f>
        <v>146.15999999828637</v>
      </c>
      <c r="P28" s="3">
        <f>'DJB Daily Readings'!AD36-'DJB Daily Readings'!AD35</f>
        <v>12374.879999998957</v>
      </c>
      <c r="Q28" s="3">
        <f>'DJB Daily Readings'!AG36-'DJB Daily Readings'!AG35</f>
        <v>7941.3600000031292</v>
      </c>
      <c r="R28" s="3">
        <f>'DJB Daily Readings'!AJ36-'DJB Daily Readings'!AJ35</f>
        <v>5846.3999999985099</v>
      </c>
      <c r="S28" s="3">
        <f>'DJB Daily Readings'!AM36-'DJB Daily Readings'!AM35</f>
        <v>4725.839999999851</v>
      </c>
      <c r="T28" s="3">
        <f>'DJB Daily Readings'!AP36-'DJB Daily Readings'!AP35</f>
        <v>4774.5600000005215</v>
      </c>
      <c r="U28" s="3">
        <f>'DJB Daily Readings'!AS36-'DJB Daily Readings'!AS35</f>
        <v>3069.359999999404</v>
      </c>
      <c r="V28" s="3">
        <f>'DJB Daily Readings'!AV36-'DJB Daily Readings'!AV35</f>
        <v>5797.6800000034273</v>
      </c>
      <c r="W28" s="3">
        <f>'DJB Daily Readings'!AZ36-'DJB Daily Readings'!AZ35</f>
        <v>0</v>
      </c>
      <c r="X28" s="3">
        <f>'DJB Daily Readings'!BC36-'DJB Daily Readings'!BC35</f>
        <v>57500</v>
      </c>
      <c r="Y28" s="3">
        <f>'DJB Daily Readings'!BF36-'DJB Daily Readings'!BF35</f>
        <v>35200</v>
      </c>
      <c r="Z28" s="3">
        <f>('DJB Daily Readings'!CK36-'DJB Daily Readings'!CK35)*1.89</f>
        <v>141.75</v>
      </c>
      <c r="AA28" s="3">
        <f>('DJB Daily Readings'!CN36-'DJB Daily Readings'!CN35)*1.89</f>
        <v>187.10999999999999</v>
      </c>
      <c r="AB28" s="3">
        <f>('DJB Daily Readings'!CQ36-'DJB Daily Readings'!CQ35)*1.89</f>
        <v>0</v>
      </c>
      <c r="AC28" s="3">
        <f>'DJB Daily Readings'!CT36-'DJB Daily Readings'!CT35</f>
        <v>170</v>
      </c>
      <c r="AD28" s="84">
        <f>('DJB Daily Readings'!BY36-'DJB Daily Readings'!BY35)*1.89</f>
        <v>43.47</v>
      </c>
      <c r="AE28" s="84">
        <f>('DJB Daily Readings'!CA36-'DJB Daily Readings'!CA35)*1.89</f>
        <v>39.69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75.599999999999994</v>
      </c>
      <c r="AJ28" s="81">
        <f>'DJB Daily Readings'!CY36-'DJB Daily Readings'!CY35</f>
        <v>6</v>
      </c>
      <c r="AK28" s="81">
        <f>'DJB Daily Readings'!CW36-'DJB Daily Readings'!CW35</f>
        <v>11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7</v>
      </c>
      <c r="AO28" s="82">
        <f>'DJB Daily Readings'!DE36-'DJB Daily Readings'!DE35</f>
        <v>10</v>
      </c>
      <c r="AP28" s="82">
        <f>'DJB Daily Readings'!DK36-'DJB Daily Readings'!DK35</f>
        <v>8</v>
      </c>
      <c r="AQ28" s="82">
        <f>'DJB Daily Readings'!DI36-'DJB Daily Readings'!DI35</f>
        <v>9</v>
      </c>
      <c r="AR28" s="82">
        <f>'DJB Daily Readings'!DO36-'DJB Daily Readings'!DO35</f>
        <v>9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11.899999999999636</v>
      </c>
      <c r="AW28" s="82">
        <f>'DJB Daily Readings'!DX36-'DJB Daily Readings'!DX35</f>
        <v>7.2000000000007276</v>
      </c>
      <c r="AX28" s="82">
        <f>'DJB Daily Readings'!DZ36-'DJB Daily Readings'!DZ35</f>
        <v>6.1000000000003638</v>
      </c>
      <c r="AY28" s="82">
        <f>'DJB Daily Readings'!EB36-'DJB Daily Readings'!EB35</f>
        <v>737</v>
      </c>
      <c r="AZ28" s="82">
        <f>'DJB Daily Readings'!ED36-'DJB Daily Readings'!ED35</f>
        <v>153.39999999999418</v>
      </c>
      <c r="BA28" s="82">
        <f>'DJB Daily Readings'!EG36-'DJB Daily Readings'!EG35</f>
        <v>7200</v>
      </c>
      <c r="BB28" s="82">
        <f>'DJB Daily Readings'!EI36-'DJB Daily Readings'!EI35</f>
        <v>320</v>
      </c>
      <c r="BC28" s="82">
        <f>'DJB Daily Readings'!EQ36-'DJB Daily Readings'!EQ35</f>
        <v>8300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900</v>
      </c>
      <c r="BG28" s="82">
        <f>('DJB Daily Readings'!ET36-'DJB Daily Readings'!ET35)*1.89</f>
        <v>32.129999999999995</v>
      </c>
      <c r="BH28" s="82">
        <f>('DJB Daily Readings'!EV36-'DJB Daily Readings'!EV35)*1.89</f>
        <v>22.68</v>
      </c>
      <c r="BI28" s="82">
        <f>('DJB Daily Readings'!EZ36-'DJB Daily Readings'!EZ35)*1.89</f>
        <v>35.909999999999997</v>
      </c>
      <c r="BJ28" s="82">
        <f>('DJB Daily Readings'!EX36-'DJB Daily Readings'!EX35)*1.89</f>
        <v>17.009999999999998</v>
      </c>
      <c r="BK28" s="82">
        <f>('DJB Daily Readings'!FB36-'DJB Daily Readings'!FB35)*1.89</f>
        <v>73.709999999999994</v>
      </c>
      <c r="BL28" s="82">
        <f>'DJB Daily Readings'!J36</f>
        <v>109</v>
      </c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>
        <f>237*0.87</f>
        <v>206.19</v>
      </c>
      <c r="F29" s="79">
        <f>331+102</f>
        <v>433</v>
      </c>
      <c r="G29" s="3">
        <f>'DJB Daily Readings'!C37-'DJB Daily Readings'!C36</f>
        <v>912</v>
      </c>
      <c r="H29" s="3">
        <f>'DJB Daily Readings'!F37-'DJB Daily Readings'!F36</f>
        <v>481</v>
      </c>
      <c r="I29" s="3">
        <f>'DJB Daily Readings'!K37-'DJB Daily Readings'!K36</f>
        <v>309</v>
      </c>
      <c r="J29" s="3">
        <f>'DJB Daily Readings'!K37-'DJB Daily Readings'!K36</f>
        <v>309</v>
      </c>
      <c r="K29" s="3">
        <f>'DJB Daily Readings'!O37-'DJB Daily Readings'!O36</f>
        <v>190</v>
      </c>
      <c r="L29" s="3">
        <f>'DJB Daily Readings'!R37-'DJB Daily Readings'!R36</f>
        <v>11</v>
      </c>
      <c r="M29" s="3">
        <f>'DJB Daily Readings'!U37-'DJB Daily Readings'!U36</f>
        <v>1948.7999999998137</v>
      </c>
      <c r="N29" s="3">
        <f>'DJB Daily Readings'!X37-'DJB Daily Readings'!X36</f>
        <v>4677.1199999991804</v>
      </c>
      <c r="O29" s="3">
        <f>'DJB Daily Readings'!AA37-'DJB Daily Readings'!AA36</f>
        <v>97.440000001341105</v>
      </c>
      <c r="P29" s="3">
        <f>'DJB Daily Readings'!AD37-'DJB Daily Readings'!AD36</f>
        <v>11156.879999998957</v>
      </c>
      <c r="Q29" s="3">
        <f>'DJB Daily Readings'!AG37-'DJB Daily Readings'!AG36</f>
        <v>8379.8399999961257</v>
      </c>
      <c r="R29" s="3">
        <f>'DJB Daily Readings'!AJ37-'DJB Daily Readings'!AJ36</f>
        <v>5651.519999999553</v>
      </c>
      <c r="S29" s="3">
        <f>'DJB Daily Readings'!AM37-'DJB Daily Readings'!AM36</f>
        <v>4579.679999999702</v>
      </c>
      <c r="T29" s="3">
        <f>'DJB Daily Readings'!AP37-'DJB Daily Readings'!AP36</f>
        <v>4823.2800000011921</v>
      </c>
      <c r="U29" s="3">
        <f>'DJB Daily Readings'!AS37-'DJB Daily Readings'!AS36</f>
        <v>3166.8000000007451</v>
      </c>
      <c r="V29" s="3">
        <f>'DJB Daily Readings'!AV37-'DJB Daily Readings'!AV36</f>
        <v>5748.9600000008941</v>
      </c>
      <c r="W29" s="3">
        <f>'DJB Daily Readings'!AZ37-'DJB Daily Readings'!AZ36</f>
        <v>0</v>
      </c>
      <c r="X29" s="3">
        <f>'DJB Daily Readings'!BC37-'DJB Daily Readings'!BC36</f>
        <v>54600</v>
      </c>
      <c r="Y29" s="3">
        <f>'DJB Daily Readings'!BF37-'DJB Daily Readings'!BF36</f>
        <v>38500</v>
      </c>
      <c r="Z29" s="3">
        <f>('DJB Daily Readings'!CK37-'DJB Daily Readings'!CK36)*1.89</f>
        <v>136.07999999999998</v>
      </c>
      <c r="AA29" s="3">
        <f>('DJB Daily Readings'!CN37-'DJB Daily Readings'!CN36)*1.89</f>
        <v>177.66</v>
      </c>
      <c r="AB29" s="3">
        <f>('DJB Daily Readings'!CQ37-'DJB Daily Readings'!CQ36)*1.89</f>
        <v>0</v>
      </c>
      <c r="AC29" s="3">
        <f>'DJB Daily Readings'!CT37-'DJB Daily Readings'!CT36</f>
        <v>162</v>
      </c>
      <c r="AD29" s="84">
        <f>('DJB Daily Readings'!BY37-'DJB Daily Readings'!BY36)*1.89</f>
        <v>45.36</v>
      </c>
      <c r="AE29" s="84">
        <f>('DJB Daily Readings'!CA37-'DJB Daily Readings'!CA36)*1.89</f>
        <v>37.799999999999997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18.899999999999999</v>
      </c>
      <c r="AH29" s="84">
        <f>('DJB Daily Readings'!CG37-'DJB Daily Readings'!CG36)*1.89</f>
        <v>24.57</v>
      </c>
      <c r="AI29" s="84">
        <f>('DJB Daily Readings'!CI37-'DJB Daily Readings'!CI36)*1.89</f>
        <v>71.819999999999993</v>
      </c>
      <c r="AJ29" s="81">
        <f>'DJB Daily Readings'!CY37-'DJB Daily Readings'!CY36</f>
        <v>7</v>
      </c>
      <c r="AK29" s="81">
        <f>'DJB Daily Readings'!CW37-'DJB Daily Readings'!CW36</f>
        <v>12</v>
      </c>
      <c r="AL29" s="82">
        <f>'DJB Daily Readings'!DC37-'DJB Daily Readings'!DC36</f>
        <v>16</v>
      </c>
      <c r="AM29" s="82">
        <f>'DJB Daily Readings'!DA37-'DJB Daily Readings'!DA36</f>
        <v>17</v>
      </c>
      <c r="AN29" s="82">
        <f>'DJB Daily Readings'!DG37-'DJB Daily Readings'!DG36</f>
        <v>6</v>
      </c>
      <c r="AO29" s="82">
        <f>'DJB Daily Readings'!DE37-'DJB Daily Readings'!DE36</f>
        <v>13</v>
      </c>
      <c r="AP29" s="82">
        <f>'DJB Daily Readings'!DK37-'DJB Daily Readings'!DK36</f>
        <v>11</v>
      </c>
      <c r="AQ29" s="82">
        <f>'DJB Daily Readings'!DI37-'DJB Daily Readings'!DI36</f>
        <v>12</v>
      </c>
      <c r="AR29" s="82">
        <f>'DJB Daily Readings'!DO37-'DJB Daily Readings'!DO36</f>
        <v>10</v>
      </c>
      <c r="AS29" s="82">
        <f>'DJB Daily Readings'!DM37-'DJB Daily Readings'!DM36</f>
        <v>3</v>
      </c>
      <c r="AT29" s="82">
        <f>'DJB Daily Readings'!DQ37-'DJB Daily Readings'!DQ36</f>
        <v>5</v>
      </c>
      <c r="AU29" s="82">
        <f>'DJB Daily Readings'!DT37-'DJB Daily Readings'!DT36</f>
        <v>11.899999999999636</v>
      </c>
      <c r="AW29" s="82">
        <f>'DJB Daily Readings'!DX37-'DJB Daily Readings'!DX36</f>
        <v>6.6999999999998181</v>
      </c>
      <c r="AX29" s="82">
        <f>'DJB Daily Readings'!DZ37-'DJB Daily Readings'!DZ36</f>
        <v>7.3000000000001819</v>
      </c>
      <c r="AY29" s="82">
        <f>'DJB Daily Readings'!EB37-'DJB Daily Readings'!EB36</f>
        <v>718</v>
      </c>
      <c r="AZ29" s="82">
        <f>'DJB Daily Readings'!ED37-'DJB Daily Readings'!ED36</f>
        <v>151.79999999998836</v>
      </c>
      <c r="BA29" s="82">
        <f>'DJB Daily Readings'!EG37-'DJB Daily Readings'!EG36</f>
        <v>5700</v>
      </c>
      <c r="BB29" s="82">
        <f>'DJB Daily Readings'!EI37-'DJB Daily Readings'!EI36</f>
        <v>280</v>
      </c>
      <c r="BC29" s="82">
        <f>'DJB Daily Readings'!EQ37-'DJB Daily Readings'!EQ36</f>
        <v>6800</v>
      </c>
      <c r="BD29" s="82">
        <f>'DJB Daily Readings'!EK37-'DJB Daily Readings'!EK36</f>
        <v>2300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24.57</v>
      </c>
      <c r="BH29" s="82">
        <f>('DJB Daily Readings'!EV37-'DJB Daily Readings'!EV36)*1.89</f>
        <v>20.79</v>
      </c>
      <c r="BI29" s="82">
        <f>('DJB Daily Readings'!EZ37-'DJB Daily Readings'!EZ36)*1.89</f>
        <v>28.349999999999998</v>
      </c>
      <c r="BJ29" s="82">
        <f>('DJB Daily Readings'!EX37-'DJB Daily Readings'!EX36)*1.89</f>
        <v>26.459999999999997</v>
      </c>
      <c r="BK29" s="82">
        <f>('DJB Daily Readings'!FB37-'DJB Daily Readings'!FB36)*1.89</f>
        <v>71.819999999999993</v>
      </c>
      <c r="BL29" s="82">
        <f>'DJB Daily Readings'!J37</f>
        <v>125</v>
      </c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>
        <f>237*0.84</f>
        <v>199.07999999999998</v>
      </c>
      <c r="F30" s="79">
        <f>325+91</f>
        <v>416</v>
      </c>
      <c r="G30" s="3">
        <f>'DJB Daily Readings'!C38-'DJB Daily Readings'!C37</f>
        <v>897</v>
      </c>
      <c r="H30" s="3">
        <f>'DJB Daily Readings'!F38-'DJB Daily Readings'!F37</f>
        <v>579</v>
      </c>
      <c r="I30" s="3">
        <f>'DJB Daily Readings'!K38-'DJB Daily Readings'!K37</f>
        <v>375</v>
      </c>
      <c r="J30" s="3">
        <f>'DJB Daily Readings'!K38-'DJB Daily Readings'!K37</f>
        <v>375</v>
      </c>
      <c r="K30" s="3">
        <f>'DJB Daily Readings'!O38-'DJB Daily Readings'!O37</f>
        <v>185</v>
      </c>
      <c r="L30" s="3">
        <f>'DJB Daily Readings'!R38-'DJB Daily Readings'!R37</f>
        <v>19</v>
      </c>
      <c r="M30" s="3">
        <f>'DJB Daily Readings'!U38-'DJB Daily Readings'!U37</f>
        <v>2923.2000000001863</v>
      </c>
      <c r="N30" s="3">
        <f>'DJB Daily Readings'!X38-'DJB Daily Readings'!X37</f>
        <v>4774.5599999986589</v>
      </c>
      <c r="O30" s="3">
        <f>'DJB Daily Readings'!AA38-'DJB Daily Readings'!AA37</f>
        <v>11887.679999999702</v>
      </c>
      <c r="P30" s="3">
        <f>'DJB Daily Readings'!AD38-'DJB Daily Readings'!AD37</f>
        <v>7015.679999999702</v>
      </c>
      <c r="Q30" s="3">
        <f>'DJB Daily Readings'!AG38-'DJB Daily Readings'!AG37</f>
        <v>389.76000000163913</v>
      </c>
      <c r="R30" s="3">
        <f>'DJB Daily Readings'!AJ38-'DJB Daily Readings'!AJ37</f>
        <v>5846.3999999985099</v>
      </c>
      <c r="S30" s="3">
        <f>'DJB Daily Readings'!AM38-'DJB Daily Readings'!AM37</f>
        <v>4628.4000000003725</v>
      </c>
      <c r="T30" s="3">
        <f>'DJB Daily Readings'!AP38-'DJB Daily Readings'!AP37</f>
        <v>4677.1199999991804</v>
      </c>
      <c r="U30" s="3">
        <f>'DJB Daily Readings'!AS38-'DJB Daily Readings'!AS37</f>
        <v>2874.480000000447</v>
      </c>
      <c r="V30" s="3">
        <f>'DJB Daily Readings'!AV38-'DJB Daily Readings'!AV37</f>
        <v>5992.5599999986589</v>
      </c>
      <c r="W30" s="3">
        <f>'DJB Daily Readings'!AZ38-'DJB Daily Readings'!AZ37</f>
        <v>53300</v>
      </c>
      <c r="X30" s="3">
        <f>'DJB Daily Readings'!BC38-'DJB Daily Readings'!BC37</f>
        <v>41000</v>
      </c>
      <c r="Y30" s="3">
        <f>'DJB Daily Readings'!BF38-'DJB Daily Readings'!BF37</f>
        <v>0</v>
      </c>
      <c r="Z30" s="3">
        <f>('DJB Daily Readings'!CK38-'DJB Daily Readings'!CK37)*1.89</f>
        <v>137.97</v>
      </c>
      <c r="AA30" s="3">
        <f>('DJB Daily Readings'!CN38-'DJB Daily Readings'!CN37)*1.89</f>
        <v>192.78</v>
      </c>
      <c r="AB30" s="3">
        <f>('DJB Daily Readings'!CQ38-'DJB Daily Readings'!CQ37)*1.89</f>
        <v>0</v>
      </c>
      <c r="AC30" s="3">
        <f>'DJB Daily Readings'!CT38-'DJB Daily Readings'!CT37</f>
        <v>165</v>
      </c>
      <c r="AD30" s="84">
        <f>('DJB Daily Readings'!BY38-'DJB Daily Readings'!BY37)*1.89</f>
        <v>52.919999999999995</v>
      </c>
      <c r="AE30" s="84">
        <f>('DJB Daily Readings'!CA38-'DJB Daily Readings'!CA37)*1.89</f>
        <v>45.36</v>
      </c>
      <c r="AF30" s="84">
        <f>('DJB Daily Readings'!CC38-'DJB Daily Readings'!CC37)*1.89</f>
        <v>11.34</v>
      </c>
      <c r="AG30" s="84">
        <f>('DJB Daily Readings'!CE38-'DJB Daily Readings'!CE37)*1.89</f>
        <v>24.57</v>
      </c>
      <c r="AH30" s="84">
        <f>('DJB Daily Readings'!CG38-'DJB Daily Readings'!CG37)*1.89</f>
        <v>22.68</v>
      </c>
      <c r="AI30" s="84">
        <f>('DJB Daily Readings'!CI38-'DJB Daily Readings'!CI37)*1.89</f>
        <v>69.929999999999993</v>
      </c>
      <c r="AJ30" s="81">
        <f>'DJB Daily Readings'!CY38-'DJB Daily Readings'!CY37</f>
        <v>7</v>
      </c>
      <c r="AK30" s="81">
        <f>'DJB Daily Readings'!CW38-'DJB Daily Readings'!CW37</f>
        <v>10</v>
      </c>
      <c r="AL30" s="82">
        <f>'DJB Daily Readings'!DC38-'DJB Daily Readings'!DC37</f>
        <v>15</v>
      </c>
      <c r="AM30" s="82">
        <f>'DJB Daily Readings'!DA38-'DJB Daily Readings'!DA37</f>
        <v>15</v>
      </c>
      <c r="AN30" s="82">
        <f>'DJB Daily Readings'!DG38-'DJB Daily Readings'!DG37</f>
        <v>6</v>
      </c>
      <c r="AO30" s="82">
        <f>'DJB Daily Readings'!DE38-'DJB Daily Readings'!DE37</f>
        <v>12</v>
      </c>
      <c r="AP30" s="82">
        <f>'DJB Daily Readings'!DK38-'DJB Daily Readings'!DK37</f>
        <v>10</v>
      </c>
      <c r="AQ30" s="82">
        <f>'DJB Daily Readings'!DI38-'DJB Daily Readings'!DI37</f>
        <v>11</v>
      </c>
      <c r="AR30" s="82">
        <f>'DJB Daily Readings'!DO38-'DJB Daily Readings'!DO37</f>
        <v>10</v>
      </c>
      <c r="AS30" s="82">
        <f>'DJB Daily Readings'!DM38-'DJB Daily Readings'!DM37</f>
        <v>3</v>
      </c>
      <c r="AT30" s="82">
        <f>'DJB Daily Readings'!DQ38-'DJB Daily Readings'!DQ37</f>
        <v>5</v>
      </c>
      <c r="AU30" s="82">
        <f>'DJB Daily Readings'!DT38-'DJB Daily Readings'!DT37</f>
        <v>12.200000000000728</v>
      </c>
      <c r="AW30" s="82">
        <f>'DJB Daily Readings'!DX38-'DJB Daily Readings'!DX37</f>
        <v>7.0999999999994543</v>
      </c>
      <c r="AX30" s="82">
        <f>'DJB Daily Readings'!DZ38-'DJB Daily Readings'!DZ37</f>
        <v>7.0999999999994543</v>
      </c>
      <c r="AY30" s="82">
        <f>'DJB Daily Readings'!EB38-'DJB Daily Readings'!EB37</f>
        <v>740</v>
      </c>
      <c r="AZ30" s="82">
        <f>'DJB Daily Readings'!ED38-'DJB Daily Readings'!ED37</f>
        <v>154.70000000001164</v>
      </c>
      <c r="BA30" s="82">
        <f>'DJB Daily Readings'!EG38-'DJB Daily Readings'!EG37</f>
        <v>8100</v>
      </c>
      <c r="BB30" s="82">
        <f>'DJB Daily Readings'!EI38-'DJB Daily Readings'!EI37</f>
        <v>380</v>
      </c>
      <c r="BC30" s="82">
        <f>'DJB Daily Readings'!EQ38-'DJB Daily Readings'!EQ37</f>
        <v>9300</v>
      </c>
      <c r="BD30" s="82">
        <f>'DJB Daily Readings'!EK38-'DJB Daily Readings'!EK37</f>
        <v>3300</v>
      </c>
      <c r="BE30" s="82">
        <f>'DJB Daily Readings'!EM38-'DJB Daily Readings'!EM37</f>
        <v>700</v>
      </c>
      <c r="BF30" s="82">
        <f>'DJB Daily Readings'!EO38-'DJB Daily Readings'!EO37</f>
        <v>1030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32.129999999999995</v>
      </c>
      <c r="BJ30" s="82">
        <f>('DJB Daily Readings'!EX38-'DJB Daily Readings'!EX37)*1.89</f>
        <v>26.459999999999997</v>
      </c>
      <c r="BK30" s="82">
        <f>('DJB Daily Readings'!FB38-'DJB Daily Readings'!FB37)*1.89</f>
        <v>71.819999999999993</v>
      </c>
      <c r="BL30" s="82">
        <f>'DJB Daily Readings'!J38</f>
        <v>10</v>
      </c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>
        <f>237*0.79</f>
        <v>187.23000000000002</v>
      </c>
      <c r="F31" s="79">
        <f>317+87</f>
        <v>404</v>
      </c>
      <c r="G31" s="3">
        <f>'DJB Daily Readings'!C39-'DJB Daily Readings'!C38</f>
        <v>971</v>
      </c>
      <c r="H31" s="3">
        <f>'DJB Daily Readings'!F39-'DJB Daily Readings'!F38</f>
        <v>382</v>
      </c>
      <c r="I31" s="3">
        <f>'DJB Daily Readings'!K39-'DJB Daily Readings'!K38</f>
        <v>261</v>
      </c>
      <c r="J31" s="3">
        <f>'DJB Daily Readings'!K39-'DJB Daily Readings'!K38</f>
        <v>261</v>
      </c>
      <c r="K31" s="3">
        <f>'DJB Daily Readings'!O39-'DJB Daily Readings'!O38</f>
        <v>182</v>
      </c>
      <c r="L31" s="3">
        <f>'DJB Daily Readings'!R39-'DJB Daily Readings'!R38</f>
        <v>6</v>
      </c>
      <c r="M31" s="3">
        <f>'DJB Daily Readings'!U39-'DJB Daily Readings'!U38</f>
        <v>3069.359999999404</v>
      </c>
      <c r="N31" s="3">
        <f>'DJB Daily Readings'!X39-'DJB Daily Readings'!X38</f>
        <v>4677.1200000010431</v>
      </c>
      <c r="O31" s="3">
        <f>'DJB Daily Readings'!AA39-'DJB Daily Readings'!AA38</f>
        <v>11936.400000000373</v>
      </c>
      <c r="P31" s="3">
        <f>'DJB Daily Readings'!AD39-'DJB Daily Readings'!AD38</f>
        <v>6431.0399999991059</v>
      </c>
      <c r="Q31" s="3">
        <f>'DJB Daily Readings'!AG39-'DJB Daily Readings'!AG38</f>
        <v>389.76000000163913</v>
      </c>
      <c r="R31" s="3">
        <f>'DJB Daily Readings'!AJ39-'DJB Daily Readings'!AJ38</f>
        <v>5748.9600000046194</v>
      </c>
      <c r="S31" s="3">
        <f>'DJB Daily Readings'!AM39-'DJB Daily Readings'!AM38</f>
        <v>4530.9599999990314</v>
      </c>
      <c r="T31" s="3">
        <f>'DJB Daily Readings'!AP39-'DJB Daily Readings'!AP38</f>
        <v>3556.5600000005215</v>
      </c>
      <c r="U31" s="3">
        <f>'DJB Daily Readings'!AS39-'DJB Daily Readings'!AS38</f>
        <v>2874.4799999985844</v>
      </c>
      <c r="V31" s="3">
        <f>'DJB Daily Readings'!AV39-'DJB Daily Readings'!AV38</f>
        <v>5895.1200000010431</v>
      </c>
      <c r="W31" s="3">
        <f>'DJB Daily Readings'!AZ39-'DJB Daily Readings'!AZ38</f>
        <v>58100</v>
      </c>
      <c r="X31" s="3">
        <f>'DJB Daily Readings'!BC39-'DJB Daily Readings'!BC38</f>
        <v>34600</v>
      </c>
      <c r="Y31" s="3">
        <f>'DJB Daily Readings'!BF39-'DJB Daily Readings'!BF38</f>
        <v>0</v>
      </c>
      <c r="Z31" s="3">
        <f>('DJB Daily Readings'!CK39-'DJB Daily Readings'!CK38)*1.89</f>
        <v>136.07999999999998</v>
      </c>
      <c r="AA31" s="3">
        <f>('DJB Daily Readings'!CN39-'DJB Daily Readings'!CN38)*1.89</f>
        <v>189</v>
      </c>
      <c r="AB31" s="3">
        <f>('DJB Daily Readings'!CQ39-'DJB Daily Readings'!CQ38)*1.89</f>
        <v>0</v>
      </c>
      <c r="AC31" s="3">
        <f>'DJB Daily Readings'!CT39-'DJB Daily Readings'!CT38</f>
        <v>168</v>
      </c>
      <c r="AD31" s="84">
        <f>('DJB Daily Readings'!BY39-'DJB Daily Readings'!BY38)*1.89</f>
        <v>35.909999999999997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15.12</v>
      </c>
      <c r="AH31" s="84">
        <f>('DJB Daily Readings'!CG39-'DJB Daily Readings'!CG38)*1.89</f>
        <v>26.459999999999997</v>
      </c>
      <c r="AI31" s="84">
        <f>('DJB Daily Readings'!CI39-'DJB Daily Readings'!CI38)*1.89</f>
        <v>73.709999999999994</v>
      </c>
      <c r="AJ31" s="81">
        <f>'DJB Daily Readings'!CY39-'DJB Daily Readings'!CY38</f>
        <v>2</v>
      </c>
      <c r="AK31" s="81">
        <f>'DJB Daily Readings'!CW39-'DJB Daily Readings'!CW38</f>
        <v>4</v>
      </c>
      <c r="AL31" s="82">
        <f>'DJB Daily Readings'!DC39-'DJB Daily Readings'!DC38</f>
        <v>14</v>
      </c>
      <c r="AM31" s="82">
        <f>'DJB Daily Readings'!DA39-'DJB Daily Readings'!DA38</f>
        <v>20</v>
      </c>
      <c r="AN31" s="82">
        <f>'DJB Daily Readings'!DG39-'DJB Daily Readings'!DG38</f>
        <v>7</v>
      </c>
      <c r="AO31" s="82">
        <f>'DJB Daily Readings'!DE39-'DJB Daily Readings'!DE38</f>
        <v>8</v>
      </c>
      <c r="AP31" s="82">
        <f>'DJB Daily Readings'!DK39-'DJB Daily Readings'!DK38</f>
        <v>12</v>
      </c>
      <c r="AQ31" s="82">
        <f>'DJB Daily Readings'!DI39-'DJB Daily Readings'!DI38</f>
        <v>13</v>
      </c>
      <c r="AR31" s="82">
        <f>'DJB Daily Readings'!DO39-'DJB Daily Readings'!DO38</f>
        <v>10</v>
      </c>
      <c r="AS31" s="82">
        <f>'DJB Daily Readings'!DM39-'DJB Daily Readings'!DM38</f>
        <v>4</v>
      </c>
      <c r="AT31" s="82">
        <f>'DJB Daily Readings'!DQ39-'DJB Daily Readings'!DQ38</f>
        <v>0</v>
      </c>
      <c r="AU31" s="82">
        <f>'DJB Daily Readings'!DT39-'DJB Daily Readings'!DT38</f>
        <v>11.799999999999272</v>
      </c>
      <c r="AW31" s="82">
        <f>'DJB Daily Readings'!DX39-'DJB Daily Readings'!DX38</f>
        <v>6.9000000000005457</v>
      </c>
      <c r="AX31" s="82">
        <f>'DJB Daily Readings'!DZ39-'DJB Daily Readings'!DZ38</f>
        <v>6.6999999999998181</v>
      </c>
      <c r="AY31" s="82">
        <f>'DJB Daily Readings'!EB39-'DJB Daily Readings'!EB38</f>
        <v>682</v>
      </c>
      <c r="AZ31" s="82">
        <f>'DJB Daily Readings'!ED39-'DJB Daily Readings'!ED38</f>
        <v>149.10000000000582</v>
      </c>
      <c r="BA31" s="82">
        <f>'DJB Daily Readings'!EG39-'DJB Daily Readings'!EG38</f>
        <v>7900</v>
      </c>
      <c r="BB31" s="82">
        <f>'DJB Daily Readings'!EI39-'DJB Daily Readings'!EI38</f>
        <v>360</v>
      </c>
      <c r="BC31" s="82">
        <f>'DJB Daily Readings'!EQ39-'DJB Daily Readings'!EQ38</f>
        <v>9200</v>
      </c>
      <c r="BD31" s="82">
        <f>'DJB Daily Readings'!EK39-'DJB Daily Readings'!EK38</f>
        <v>3200</v>
      </c>
      <c r="BE31" s="82">
        <f>'DJB Daily Readings'!EM39-'DJB Daily Readings'!EM38</f>
        <v>700</v>
      </c>
      <c r="BF31" s="82">
        <f>'DJB Daily Readings'!EO39-'DJB Daily Readings'!EO38</f>
        <v>960</v>
      </c>
      <c r="BG31" s="82">
        <f>('DJB Daily Readings'!ET39-'DJB Daily Readings'!ET38)*1.89</f>
        <v>20.79</v>
      </c>
      <c r="BH31" s="82">
        <f>('DJB Daily Readings'!EV39-'DJB Daily Readings'!EV38)*1.89</f>
        <v>26.459999999999997</v>
      </c>
      <c r="BI31" s="82">
        <f>('DJB Daily Readings'!EZ39-'DJB Daily Readings'!EZ38)*1.89</f>
        <v>20.79</v>
      </c>
      <c r="BJ31" s="82">
        <f>('DJB Daily Readings'!EX39-'DJB Daily Readings'!EX38)*1.89</f>
        <v>18.899999999999999</v>
      </c>
      <c r="BK31" s="82">
        <f>('DJB Daily Readings'!FB39-'DJB Daily Readings'!FB38)*1.89</f>
        <v>68.039999999999992</v>
      </c>
      <c r="BL31" s="82">
        <f>'DJB Daily Readings'!J39</f>
        <v>223</v>
      </c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  <c r="E32" s="78">
        <f>237*0.82</f>
        <v>194.33999999999997</v>
      </c>
      <c r="F32" s="79">
        <f>239+85</f>
        <v>324</v>
      </c>
      <c r="G32" s="3">
        <f>'DJB Daily Readings'!C40-'DJB Daily Readings'!C39</f>
        <v>953</v>
      </c>
      <c r="H32" s="3">
        <f>'DJB Daily Readings'!F40-'DJB Daily Readings'!F39</f>
        <v>451</v>
      </c>
      <c r="I32" s="3">
        <f>'DJB Daily Readings'!K40-'DJB Daily Readings'!K39</f>
        <v>334</v>
      </c>
      <c r="J32" s="3">
        <f>'DJB Daily Readings'!K40-'DJB Daily Readings'!K39</f>
        <v>334</v>
      </c>
      <c r="K32" s="3">
        <f>'DJB Daily Readings'!O40-'DJB Daily Readings'!O39</f>
        <v>176</v>
      </c>
      <c r="L32" s="3">
        <f>'DJB Daily Readings'!R40-'DJB Daily Readings'!R39</f>
        <v>15</v>
      </c>
      <c r="M32" s="3">
        <f>'DJB Daily Readings'!U40-'DJB Daily Readings'!U39</f>
        <v>2777.0400000000373</v>
      </c>
      <c r="N32" s="3">
        <f>'DJB Daily Readings'!X40-'DJB Daily Readings'!X39</f>
        <v>4677.1200000010431</v>
      </c>
      <c r="O32" s="3">
        <f>'DJB Daily Readings'!AA40-'DJB Daily Readings'!AA39</f>
        <v>11692.800000000745</v>
      </c>
      <c r="P32" s="3">
        <f>'DJB Daily Readings'!AD40-'DJB Daily Readings'!AD39</f>
        <v>7064.4000000022352</v>
      </c>
      <c r="Q32" s="3">
        <f>'DJB Daily Readings'!AG40-'DJB Daily Readings'!AG39</f>
        <v>97.439999997615814</v>
      </c>
      <c r="R32" s="3">
        <f>'DJB Daily Readings'!AJ40-'DJB Daily Readings'!AJ39</f>
        <v>5943.8399999961257</v>
      </c>
      <c r="S32" s="3">
        <f>'DJB Daily Readings'!AM40-'DJB Daily Readings'!AM39</f>
        <v>4530.9600000008941</v>
      </c>
      <c r="T32" s="3">
        <f>'DJB Daily Readings'!AP40-'DJB Daily Readings'!AP39</f>
        <v>5554.0800000000745</v>
      </c>
      <c r="U32" s="3">
        <f>'DJB Daily Readings'!AS40-'DJB Daily Readings'!AS39</f>
        <v>2874.480000000447</v>
      </c>
      <c r="V32" s="3">
        <f>'DJB Daily Readings'!AV40-'DJB Daily Readings'!AV39</f>
        <v>5748.9599999971688</v>
      </c>
      <c r="W32" s="3">
        <f>'DJB Daily Readings'!AZ40-'DJB Daily Readings'!AZ39</f>
        <v>55200</v>
      </c>
      <c r="X32" s="3">
        <f>'DJB Daily Readings'!BC40-'DJB Daily Readings'!BC39</f>
        <v>36700</v>
      </c>
      <c r="Y32" s="3">
        <f>'DJB Daily Readings'!BF40-'DJB Daily Readings'!BF39</f>
        <v>0</v>
      </c>
      <c r="Z32" s="3">
        <f>('DJB Daily Readings'!CK40-'DJB Daily Readings'!CK39)*1.89</f>
        <v>136.07999999999998</v>
      </c>
      <c r="AA32" s="3">
        <f>('DJB Daily Readings'!CN40-'DJB Daily Readings'!CN39)*1.89</f>
        <v>189</v>
      </c>
      <c r="AB32" s="3">
        <f>('DJB Daily Readings'!CQ40-'DJB Daily Readings'!CQ39)*1.89</f>
        <v>69.929999999999993</v>
      </c>
      <c r="AC32" s="3">
        <f>'DJB Daily Readings'!CT40-'DJB Daily Readings'!CT39</f>
        <v>165</v>
      </c>
      <c r="AD32" s="84">
        <f>('DJB Daily Readings'!BY40-'DJB Daily Readings'!BY39)*1.89</f>
        <v>45.36</v>
      </c>
      <c r="AE32" s="84">
        <f>('DJB Daily Readings'!CA40-'DJB Daily Readings'!CA39)*1.89</f>
        <v>37.799999999999997</v>
      </c>
      <c r="AF32" s="84">
        <f>('DJB Daily Readings'!CC40-'DJB Daily Readings'!CC39)*1.89</f>
        <v>11.34</v>
      </c>
      <c r="AG32" s="84">
        <f>('DJB Daily Readings'!CE40-'DJB Daily Readings'!CE39)*1.89</f>
        <v>20.79</v>
      </c>
      <c r="AH32" s="84">
        <f>('DJB Daily Readings'!CG40-'DJB Daily Readings'!CG39)*1.89</f>
        <v>26.459999999999997</v>
      </c>
      <c r="AI32" s="84">
        <f>('DJB Daily Readings'!CI40-'DJB Daily Readings'!CI39)*1.89</f>
        <v>66.149999999999991</v>
      </c>
      <c r="AJ32" s="81">
        <f>'DJB Daily Readings'!CY40-'DJB Daily Readings'!CY39</f>
        <v>4</v>
      </c>
      <c r="AK32" s="81">
        <f>'DJB Daily Readings'!CW40-'DJB Daily Readings'!CW39</f>
        <v>7</v>
      </c>
      <c r="AL32" s="82">
        <f>'DJB Daily Readings'!DC40-'DJB Daily Readings'!DC39</f>
        <v>17</v>
      </c>
      <c r="AM32" s="82">
        <f>'DJB Daily Readings'!DA40-'DJB Daily Readings'!DA39</f>
        <v>14</v>
      </c>
      <c r="AN32" s="82">
        <f>'DJB Daily Readings'!DG40-'DJB Daily Readings'!DG39</f>
        <v>7</v>
      </c>
      <c r="AO32" s="82">
        <f>'DJB Daily Readings'!DE40-'DJB Daily Readings'!DE39</f>
        <v>11</v>
      </c>
      <c r="AP32" s="82">
        <f>'DJB Daily Readings'!DK40-'DJB Daily Readings'!DK39</f>
        <v>5</v>
      </c>
      <c r="AQ32" s="82">
        <f>'DJB Daily Readings'!DI40-'DJB Daily Readings'!DI39</f>
        <v>11</v>
      </c>
      <c r="AR32" s="82">
        <f>'DJB Daily Readings'!DO40-'DJB Daily Readings'!DO39</f>
        <v>7</v>
      </c>
      <c r="AS32" s="82">
        <f>'DJB Daily Readings'!DM40-'DJB Daily Readings'!DM39</f>
        <v>2</v>
      </c>
      <c r="AT32" s="82">
        <f>'DJB Daily Readings'!DQ40-'DJB Daily Readings'!DQ39</f>
        <v>8</v>
      </c>
      <c r="AU32" s="82">
        <f>'DJB Daily Readings'!DT40-'DJB Daily Readings'!DT39</f>
        <v>11.5</v>
      </c>
      <c r="AW32" s="82">
        <f>'DJB Daily Readings'!DX40-'DJB Daily Readings'!DX39</f>
        <v>7.3000000000001819</v>
      </c>
      <c r="AX32" s="82">
        <f>'DJB Daily Readings'!DZ40-'DJB Daily Readings'!DZ39</f>
        <v>6.1000000000003638</v>
      </c>
      <c r="AY32" s="82">
        <f>'DJB Daily Readings'!EB40-'DJB Daily Readings'!EB39</f>
        <v>681</v>
      </c>
      <c r="AZ32" s="82">
        <f>'DJB Daily Readings'!ED40-'DJB Daily Readings'!ED39</f>
        <v>152.79999999998836</v>
      </c>
      <c r="BA32" s="82">
        <f>'DJB Daily Readings'!EG40-'DJB Daily Readings'!EG39</f>
        <v>3900</v>
      </c>
      <c r="BB32" s="82">
        <f>'DJB Daily Readings'!EI40-'DJB Daily Readings'!EI39</f>
        <v>210</v>
      </c>
      <c r="BC32" s="82">
        <f>'DJB Daily Readings'!EQ40-'DJB Daily Readings'!EQ39</f>
        <v>4900</v>
      </c>
      <c r="BD32" s="82">
        <f>'DJB Daily Readings'!EK40-'DJB Daily Readings'!EK39</f>
        <v>1600</v>
      </c>
      <c r="BE32" s="82">
        <f>'DJB Daily Readings'!EM40-'DJB Daily Readings'!EM39</f>
        <v>400</v>
      </c>
      <c r="BF32" s="82">
        <f>'DJB Daily Readings'!EO40-'DJB Daily Readings'!EO39</f>
        <v>560</v>
      </c>
      <c r="BG32" s="82">
        <f>('DJB Daily Readings'!ET40-'DJB Daily Readings'!ET39)*1.89</f>
        <v>24.57</v>
      </c>
      <c r="BH32" s="82">
        <f>('DJB Daily Readings'!EV40-'DJB Daily Readings'!EV39)*1.89</f>
        <v>22.68</v>
      </c>
      <c r="BI32" s="82">
        <f>('DJB Daily Readings'!EZ40-'DJB Daily Readings'!EZ39)*1.89</f>
        <v>28.349999999999998</v>
      </c>
      <c r="BJ32" s="82">
        <f>('DJB Daily Readings'!EX40-'DJB Daily Readings'!EX39)*1.89</f>
        <v>17.009999999999998</v>
      </c>
      <c r="BK32" s="82">
        <f>('DJB Daily Readings'!FB40-'DJB Daily Readings'!FB39)*1.89</f>
        <v>62.37</v>
      </c>
      <c r="BL32" s="82">
        <f>'DJB Daily Readings'!J40</f>
        <v>110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- 2022'!U9</f>
        <v>104106</v>
      </c>
      <c r="P9" s="479">
        <f>O10-O9</f>
        <v>250.58999999999651</v>
      </c>
      <c r="Q9" s="481">
        <f>'[1]October - 2022'!W9</f>
        <v>271.20999999999913</v>
      </c>
      <c r="R9" s="264">
        <f>'[1]October - 2022'!X9</f>
        <v>5473</v>
      </c>
      <c r="S9" s="569">
        <f>R10-R9</f>
        <v>16</v>
      </c>
      <c r="T9" s="477"/>
      <c r="U9" s="269">
        <f>'[1]October - 2022'!AE9</f>
        <v>7964940.4799999995</v>
      </c>
      <c r="V9" s="571">
        <f>U10-U9</f>
        <v>3605.2800000002608</v>
      </c>
      <c r="W9" s="497">
        <f>'[1]October - 2022'!AF9</f>
        <v>3605.2800000002608</v>
      </c>
      <c r="X9" s="255">
        <f>'[1]October - 2022'!AH9</f>
        <v>15154258.559999999</v>
      </c>
      <c r="Y9" s="479">
        <f>X10-X9</f>
        <v>4677.1200000010431</v>
      </c>
      <c r="Z9" s="497">
        <f>'[1]October - 2022'!AI9</f>
        <v>4677.1200000010431</v>
      </c>
      <c r="AA9" s="255">
        <f>'[1]October - 2022'!AK9</f>
        <v>15418467.119999999</v>
      </c>
      <c r="AB9" s="479">
        <f>AA10-AA9</f>
        <v>10182.480000000447</v>
      </c>
      <c r="AC9" s="497">
        <f>'[1]October - 2022'!AL9</f>
        <v>10182.480000000447</v>
      </c>
      <c r="AD9" s="255">
        <f>'[1]October - 2022'!AN9</f>
        <v>18468095.52</v>
      </c>
      <c r="AE9" s="479">
        <f>AD10-AD9</f>
        <v>779.51999999955297</v>
      </c>
      <c r="AF9" s="497">
        <f>'[1]October - 2022'!AO9</f>
        <v>779.51999999955297</v>
      </c>
      <c r="AG9" s="255">
        <f>'[1]October - 2022'!AQ9</f>
        <v>18698151.359999999</v>
      </c>
      <c r="AH9" s="479">
        <f>AG10-AG9</f>
        <v>12472.320000000298</v>
      </c>
      <c r="AI9" s="497">
        <f>'[1]October - 2022'!AR9</f>
        <v>12472.320000000298</v>
      </c>
      <c r="AJ9" s="255">
        <f>'[1]October - 2022'!AT9</f>
        <v>17163422.639999997</v>
      </c>
      <c r="AK9" s="479">
        <f>AJ10-AJ9</f>
        <v>5992.5600000023842</v>
      </c>
      <c r="AL9" s="497">
        <f>'[1]October - 2022'!AU9</f>
        <v>5992.5600000023842</v>
      </c>
      <c r="AM9" s="255">
        <f>'[1]October - 2022'!AW9</f>
        <v>14474224.799999999</v>
      </c>
      <c r="AN9" s="479">
        <f>AM10-AM9</f>
        <v>4384.8000000007451</v>
      </c>
      <c r="AO9" s="497">
        <f>'[1]October - 2022'!AX9</f>
        <v>4384.8000000007451</v>
      </c>
      <c r="AP9" s="255">
        <f>'[1]October - 2022'!AZ9</f>
        <v>13983955.439999999</v>
      </c>
      <c r="AQ9" s="479">
        <f>AP10-AP9</f>
        <v>4920.7200000006706</v>
      </c>
      <c r="AR9" s="497">
        <f>'[1]October - 2022'!BA9</f>
        <v>4920.7200000006706</v>
      </c>
      <c r="AS9" s="255">
        <f>'[1]October - 2022'!BC9</f>
        <v>10964777.040000001</v>
      </c>
      <c r="AT9" s="479">
        <f>AS10-AS9</f>
        <v>3215.5199999976903</v>
      </c>
      <c r="AU9" s="497">
        <f>'[1]October - 2022'!BD9</f>
        <v>3215.5199999976903</v>
      </c>
      <c r="AV9" s="255">
        <f>'[1]October - 2022'!BF9</f>
        <v>17294138.399999999</v>
      </c>
      <c r="AW9" s="479">
        <f>AV10-AV9</f>
        <v>6382.320000000298</v>
      </c>
      <c r="AX9" s="499">
        <f>'[1]October - 2022'!BG9</f>
        <v>6382.320000000298</v>
      </c>
      <c r="AY9" s="494"/>
      <c r="AZ9" s="272">
        <f>'[1]October - 2022'!BM9</f>
        <v>76246300</v>
      </c>
      <c r="BA9" s="501">
        <f>AZ10-AZ9</f>
        <v>50100</v>
      </c>
      <c r="BB9" s="495">
        <f>'[1]October - 2022'!BN9</f>
        <v>50100</v>
      </c>
      <c r="BC9" s="272">
        <f>'[1]October - 2022'!BP9</f>
        <v>78795900</v>
      </c>
      <c r="BD9" s="501">
        <f>BC10-BC9</f>
        <v>2200</v>
      </c>
      <c r="BE9" s="495">
        <f>'[1]October - 2022'!BQ9</f>
        <v>2200</v>
      </c>
      <c r="BF9" s="272">
        <f>'[1]October - 2022'!BS9</f>
        <v>72490300</v>
      </c>
      <c r="BG9" s="501">
        <f>BF10-BF9</f>
        <v>61100</v>
      </c>
      <c r="BH9" s="495">
        <f>'[1]October - 2022'!BT9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574">
        <f>BS10-BS9</f>
        <v>9040</v>
      </c>
      <c r="BU9" s="590"/>
      <c r="BV9" s="88">
        <f>'[1]October - 2022'!BY9</f>
        <v>0.62</v>
      </c>
      <c r="BW9" s="585">
        <f>BV10-BV9</f>
        <v>9.9999999999999978E-2</v>
      </c>
      <c r="BX9" s="587">
        <f>'[1]October - 2022'!$BZ$9:$BZ$10</f>
        <v>-9.9999999999999978E-2</v>
      </c>
      <c r="BY9" s="89">
        <f>'[1]October - 2022'!CB9</f>
        <v>62854</v>
      </c>
      <c r="BZ9" s="573">
        <f>BY10-BY9</f>
        <v>19</v>
      </c>
      <c r="CA9" s="89">
        <f>'[1]October - 2022'!CD9</f>
        <v>54074</v>
      </c>
      <c r="CB9" s="573">
        <f>CA10-CA9</f>
        <v>18</v>
      </c>
      <c r="CC9" s="89">
        <f>'[1]October - 2022'!CF9</f>
        <v>18304</v>
      </c>
      <c r="CD9" s="573">
        <f>CC10-CC9</f>
        <v>6</v>
      </c>
      <c r="CE9" s="89">
        <f>'[1]October - 2022'!CH9</f>
        <v>24871</v>
      </c>
      <c r="CF9" s="573">
        <f>CE10-CE9</f>
        <v>8</v>
      </c>
      <c r="CG9" s="89">
        <f>'[1]October - 2022'!CJ9</f>
        <v>27478</v>
      </c>
      <c r="CH9" s="573">
        <f>CG10-CG9</f>
        <v>15</v>
      </c>
      <c r="CI9" s="89">
        <f>'[1]October - 2022'!CL9</f>
        <v>60101</v>
      </c>
      <c r="CJ9" s="573">
        <f>CI10-CI9</f>
        <v>30</v>
      </c>
      <c r="CK9" s="89">
        <f>'[1]October - 2022'!CN9</f>
        <v>262903</v>
      </c>
      <c r="CL9" s="573">
        <f>CK10-CK9</f>
        <v>73</v>
      </c>
      <c r="CM9" s="525">
        <f>'[1]October - 2022'!CO9</f>
        <v>73</v>
      </c>
      <c r="CN9" s="89">
        <f>'[1]October - 2022'!CQ9</f>
        <v>208474</v>
      </c>
      <c r="CO9" s="573">
        <f>CN10-CN9</f>
        <v>82</v>
      </c>
      <c r="CP9" s="525">
        <f>'[1]October - 2022'!CR9</f>
        <v>82</v>
      </c>
      <c r="CQ9" s="89">
        <f>'[1]October - 2022'!CT9</f>
        <v>349824</v>
      </c>
      <c r="CR9" s="573">
        <f>CQ10-CQ9</f>
        <v>0</v>
      </c>
      <c r="CS9" s="525">
        <f>'[1]October - 2022'!CU9</f>
        <v>0</v>
      </c>
      <c r="CT9" s="89">
        <f>'[1]October - 2022'!CW9</f>
        <v>682901</v>
      </c>
      <c r="CU9" s="527">
        <f>CT10-CT9</f>
        <v>165</v>
      </c>
      <c r="CV9" s="518"/>
      <c r="CW9" s="297">
        <f>'[1]October - 2022'!CZ9</f>
        <v>8333</v>
      </c>
      <c r="CX9" s="529">
        <f>CW10-CW9</f>
        <v>6</v>
      </c>
      <c r="CY9" s="298">
        <f>'[1]October - 2022'!DB9</f>
        <v>5640</v>
      </c>
      <c r="CZ9" s="529">
        <f>CY10-CY9</f>
        <v>6</v>
      </c>
      <c r="DA9" s="298">
        <f>'[1]October - 2022'!DD9</f>
        <v>31073</v>
      </c>
      <c r="DB9" s="529">
        <f>DA10-DA9</f>
        <v>12</v>
      </c>
      <c r="DC9" s="298">
        <f>'[1]October - 2022'!DF9</f>
        <v>31339</v>
      </c>
      <c r="DD9" s="529">
        <f>DC10-DC9</f>
        <v>11</v>
      </c>
      <c r="DE9" s="298">
        <f>'[1]October - 2022'!DH9</f>
        <v>21176</v>
      </c>
      <c r="DF9" s="529">
        <f>DE10-DE9</f>
        <v>8</v>
      </c>
      <c r="DG9" s="298">
        <f>'[1]October - 2022'!DJ9</f>
        <v>23594</v>
      </c>
      <c r="DH9" s="529">
        <f>DG10-DG9</f>
        <v>5</v>
      </c>
      <c r="DI9" s="298">
        <f>'[1]October - 2022'!DL9</f>
        <v>6400</v>
      </c>
      <c r="DJ9" s="529">
        <f>DI10-DI9</f>
        <v>3</v>
      </c>
      <c r="DK9" s="298">
        <f>'[1]October - 2022'!DN9</f>
        <v>9205</v>
      </c>
      <c r="DL9" s="529">
        <f>DK10-DK9</f>
        <v>8</v>
      </c>
      <c r="DM9" s="298">
        <f>'[1]October - 2022'!DP9</f>
        <v>3032</v>
      </c>
      <c r="DN9" s="529">
        <f>DM10-DM9</f>
        <v>3</v>
      </c>
      <c r="DO9" s="298">
        <f>'[1]October - 2022'!DR9</f>
        <v>5804</v>
      </c>
      <c r="DP9" s="529">
        <f>DO10-DO9</f>
        <v>7</v>
      </c>
      <c r="DQ9" s="298">
        <f>'[1]October - 2022'!DT9</f>
        <v>29895</v>
      </c>
      <c r="DR9" s="583">
        <f>DQ10-DQ9</f>
        <v>6</v>
      </c>
      <c r="DS9" s="534"/>
      <c r="DT9" s="210">
        <f>'[1]October - 2022'!DW9</f>
        <v>5531.6</v>
      </c>
      <c r="DU9" s="547">
        <f>DT10-DT9</f>
        <v>12.599999999999454</v>
      </c>
      <c r="DV9" s="91">
        <f>'[1]October - 2022'!DY9</f>
        <v>10690</v>
      </c>
      <c r="DW9" s="545">
        <f>DV10-DV9</f>
        <v>9.1000000000003638</v>
      </c>
      <c r="DX9" s="91">
        <f>'[1]October - 2022'!EA9</f>
        <v>4319.7</v>
      </c>
      <c r="DY9" s="547">
        <f>DX10-DX9</f>
        <v>7</v>
      </c>
      <c r="DZ9" s="91">
        <f>'[1]October - 2022'!EC9</f>
        <v>4891.7</v>
      </c>
      <c r="EA9" s="547">
        <f>DZ10-DZ9</f>
        <v>15.300000000000182</v>
      </c>
      <c r="EB9" s="91">
        <f>'[1]October - 2022'!EE9</f>
        <v>1081222</v>
      </c>
      <c r="EC9" s="547">
        <f>EB10-EB9</f>
        <v>787</v>
      </c>
      <c r="ED9" s="91">
        <f>'[1]October - 2022'!EI9</f>
        <v>221444.6</v>
      </c>
      <c r="EE9" s="549">
        <f>ED10-ED9</f>
        <v>157.60000000000582</v>
      </c>
      <c r="EF9" s="581"/>
      <c r="EG9" s="235">
        <f>'[1]October - 2022'!EL9</f>
        <v>11732700</v>
      </c>
      <c r="EH9" s="558">
        <f>EG10-EG9</f>
        <v>7600</v>
      </c>
      <c r="EI9" s="90">
        <f>'[1]October - 2022'!EN9</f>
        <v>913400</v>
      </c>
      <c r="EJ9" s="558">
        <f>EI10-EI9</f>
        <v>390</v>
      </c>
      <c r="EK9" s="90">
        <f>'[1]October - 2022'!EP9</f>
        <v>7048100</v>
      </c>
      <c r="EL9" s="558">
        <f>EK10-EK9</f>
        <v>3100</v>
      </c>
      <c r="EM9" s="90">
        <f>'[1]October - 2022'!ER9</f>
        <v>2456600</v>
      </c>
      <c r="EN9" s="558">
        <f>EM10-EM9</f>
        <v>900</v>
      </c>
      <c r="EO9" s="90">
        <f>'[1]October - 2022'!ET9</f>
        <v>1222870</v>
      </c>
      <c r="EP9" s="558">
        <f>EO10-EO9</f>
        <v>810</v>
      </c>
      <c r="EQ9" s="90">
        <f>'[1]October - 2022'!EV9</f>
        <v>16160500</v>
      </c>
      <c r="ER9" s="565">
        <f>EQ10-EQ9</f>
        <v>8400</v>
      </c>
      <c r="ES9" s="556"/>
      <c r="ET9" s="281">
        <f>'[1]October - 2022'!EY9</f>
        <v>41021</v>
      </c>
      <c r="EU9" s="530">
        <f>ET10-ET9</f>
        <v>15</v>
      </c>
      <c r="EV9" s="282">
        <f>'[1]October - 2022'!FA9</f>
        <v>35956</v>
      </c>
      <c r="EW9" s="530">
        <f>EV10-EV9</f>
        <v>13</v>
      </c>
      <c r="EX9" s="282">
        <f>'[1]October - 2022'!FC9</f>
        <v>6825</v>
      </c>
      <c r="EY9" s="530">
        <v>0</v>
      </c>
      <c r="EZ9" s="282">
        <f>'[1]October - 2022'!FE9</f>
        <v>58275</v>
      </c>
      <c r="FA9" s="530">
        <f>EZ10-EZ9</f>
        <v>12</v>
      </c>
      <c r="FB9" s="282">
        <f>'[1]October - 2022'!FG9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- 2022'!U10</f>
        <v>104356.59</v>
      </c>
      <c r="P10" s="480"/>
      <c r="Q10" s="482"/>
      <c r="R10" s="168">
        <f>'[1]October - 2022'!X10</f>
        <v>5489</v>
      </c>
      <c r="S10" s="570"/>
      <c r="T10" s="477"/>
      <c r="U10" s="269">
        <f>'[1]October - 2022'!AE10</f>
        <v>7968545.7599999998</v>
      </c>
      <c r="V10" s="572"/>
      <c r="W10" s="498"/>
      <c r="X10" s="287">
        <f>'[1]October - 2022'!AH10</f>
        <v>15158935.68</v>
      </c>
      <c r="Y10" s="480"/>
      <c r="Z10" s="498"/>
      <c r="AA10" s="287">
        <f>'[1]October - 2022'!AK10</f>
        <v>15428649.6</v>
      </c>
      <c r="AB10" s="480"/>
      <c r="AC10" s="498"/>
      <c r="AD10" s="287">
        <f>'[1]October - 2022'!AN10</f>
        <v>18468875.039999999</v>
      </c>
      <c r="AE10" s="480"/>
      <c r="AF10" s="498"/>
      <c r="AG10" s="287">
        <f>'[1]October - 2022'!AQ10</f>
        <v>18710623.68</v>
      </c>
      <c r="AH10" s="480"/>
      <c r="AI10" s="498"/>
      <c r="AJ10" s="287">
        <f>'[1]October - 2022'!AT10</f>
        <v>17169415.199999999</v>
      </c>
      <c r="AK10" s="480"/>
      <c r="AL10" s="498"/>
      <c r="AM10" s="287">
        <f>'[1]October - 2022'!AW10</f>
        <v>14478609.6</v>
      </c>
      <c r="AN10" s="480"/>
      <c r="AO10" s="498"/>
      <c r="AP10" s="287">
        <f>'[1]October - 2022'!AZ10</f>
        <v>13988876.16</v>
      </c>
      <c r="AQ10" s="480"/>
      <c r="AR10" s="498"/>
      <c r="AS10" s="287">
        <f>'[1]October - 2022'!BC10</f>
        <v>10967992.559999999</v>
      </c>
      <c r="AT10" s="480"/>
      <c r="AU10" s="498"/>
      <c r="AV10" s="287">
        <f>'[1]October - 2022'!BF10</f>
        <v>17300520.719999999</v>
      </c>
      <c r="AW10" s="480"/>
      <c r="AX10" s="500"/>
      <c r="AY10" s="494"/>
      <c r="AZ10" s="272">
        <f>'[1]October - 2022'!BM10</f>
        <v>76296400</v>
      </c>
      <c r="BA10" s="502"/>
      <c r="BB10" s="496"/>
      <c r="BC10" s="272">
        <f>'[1]October - 2022'!BP10</f>
        <v>78798100</v>
      </c>
      <c r="BD10" s="502"/>
      <c r="BE10" s="496"/>
      <c r="BF10" s="272">
        <f>'[1]October - 2022'!BS10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584"/>
      <c r="BU10" s="590"/>
      <c r="BV10" s="88">
        <f>'[1]October - 2022'!BY10</f>
        <v>0.72</v>
      </c>
      <c r="BW10" s="586"/>
      <c r="BX10" s="588"/>
      <c r="BY10" s="89">
        <f>'[1]October - 2022'!CB10</f>
        <v>62873</v>
      </c>
      <c r="BZ10" s="574"/>
      <c r="CA10" s="89">
        <f>'[1]October - 2022'!CD10</f>
        <v>54092</v>
      </c>
      <c r="CB10" s="574"/>
      <c r="CC10" s="89">
        <f>'[1]October - 2022'!CF10</f>
        <v>18310</v>
      </c>
      <c r="CD10" s="574"/>
      <c r="CE10" s="89">
        <f>'[1]October - 2022'!CH10</f>
        <v>24879</v>
      </c>
      <c r="CF10" s="574"/>
      <c r="CG10" s="89">
        <f>'[1]October - 2022'!CJ10</f>
        <v>27493</v>
      </c>
      <c r="CH10" s="574"/>
      <c r="CI10" s="89">
        <f>'[1]October - 2022'!CL10</f>
        <v>60131</v>
      </c>
      <c r="CJ10" s="574"/>
      <c r="CK10" s="89">
        <f>'[1]October - 2022'!CN10</f>
        <v>262976</v>
      </c>
      <c r="CL10" s="574"/>
      <c r="CM10" s="526"/>
      <c r="CN10" s="89">
        <f>'[1]October - 2022'!CQ10</f>
        <v>208556</v>
      </c>
      <c r="CO10" s="574"/>
      <c r="CP10" s="526"/>
      <c r="CQ10" s="89">
        <f>'[1]October - 2022'!CT10</f>
        <v>349824</v>
      </c>
      <c r="CR10" s="574"/>
      <c r="CS10" s="526"/>
      <c r="CT10" s="89">
        <f>'[1]October - 2022'!CW10</f>
        <v>683066</v>
      </c>
      <c r="CU10" s="528"/>
      <c r="CV10" s="518"/>
      <c r="CW10" s="256">
        <f>'[1]October - 2022'!CZ10</f>
        <v>8339</v>
      </c>
      <c r="CX10" s="530"/>
      <c r="CY10" s="257">
        <f>'[1]October - 2022'!DB10</f>
        <v>5646</v>
      </c>
      <c r="CZ10" s="530"/>
      <c r="DA10" s="257">
        <f>'[1]October - 2022'!DD10</f>
        <v>31085</v>
      </c>
      <c r="DB10" s="530"/>
      <c r="DC10" s="257">
        <f>'[1]October - 2022'!DF10</f>
        <v>31350</v>
      </c>
      <c r="DD10" s="530"/>
      <c r="DE10" s="257">
        <f>'[1]October - 2022'!DH10</f>
        <v>21184</v>
      </c>
      <c r="DF10" s="530"/>
      <c r="DG10" s="257">
        <f>'[1]October - 2022'!DJ10</f>
        <v>23599</v>
      </c>
      <c r="DH10" s="530"/>
      <c r="DI10" s="257">
        <f>'[1]October - 2022'!DL10</f>
        <v>6403</v>
      </c>
      <c r="DJ10" s="530"/>
      <c r="DK10" s="257">
        <f>'[1]October - 2022'!DN10</f>
        <v>9213</v>
      </c>
      <c r="DL10" s="530"/>
      <c r="DM10" s="257">
        <f>'[1]October - 2022'!DP10</f>
        <v>3035</v>
      </c>
      <c r="DN10" s="530"/>
      <c r="DO10" s="257">
        <f>'[1]October - 2022'!DR10</f>
        <v>5811</v>
      </c>
      <c r="DP10" s="530"/>
      <c r="DQ10" s="298">
        <f>'[1]October - 2022'!DT10</f>
        <v>29901</v>
      </c>
      <c r="DR10" s="561"/>
      <c r="DS10" s="534"/>
      <c r="DT10" s="210">
        <f>'[1]October - 2022'!DW10</f>
        <v>5544.2</v>
      </c>
      <c r="DU10" s="548"/>
      <c r="DV10" s="91">
        <f>'[1]October - 2022'!DY10</f>
        <v>10699.1</v>
      </c>
      <c r="DW10" s="546"/>
      <c r="DX10" s="91">
        <f>'[1]October - 2022'!EA10</f>
        <v>4326.7</v>
      </c>
      <c r="DY10" s="548"/>
      <c r="DZ10" s="91">
        <f>'[1]October - 2022'!EC10</f>
        <v>4907</v>
      </c>
      <c r="EA10" s="548"/>
      <c r="EB10" s="91">
        <f>'[1]October - 2022'!EE10</f>
        <v>1082009</v>
      </c>
      <c r="EC10" s="548"/>
      <c r="ED10" s="91">
        <f>'[1]October - 2022'!EI10</f>
        <v>221602.2</v>
      </c>
      <c r="EE10" s="550"/>
      <c r="EF10" s="581"/>
      <c r="EG10" s="235">
        <f>'[1]October - 2022'!EL10</f>
        <v>11740300</v>
      </c>
      <c r="EH10" s="559"/>
      <c r="EI10" s="90">
        <f>'[1]October - 2022'!EN10</f>
        <v>913790</v>
      </c>
      <c r="EJ10" s="559"/>
      <c r="EK10" s="90">
        <f>'[1]October - 2022'!EP10</f>
        <v>7051200</v>
      </c>
      <c r="EL10" s="559"/>
      <c r="EM10" s="90">
        <f>'[1]October - 2022'!ER10</f>
        <v>2457500</v>
      </c>
      <c r="EN10" s="559"/>
      <c r="EO10" s="90">
        <f>'[1]October - 2022'!ET10</f>
        <v>1223680</v>
      </c>
      <c r="EP10" s="559"/>
      <c r="EQ10" s="90">
        <f>'[1]October - 2022'!EV10</f>
        <v>16168900</v>
      </c>
      <c r="ER10" s="566"/>
      <c r="ES10" s="556"/>
      <c r="ET10" s="281">
        <f>'[1]October - 2022'!EY10</f>
        <v>41036</v>
      </c>
      <c r="EU10" s="560"/>
      <c r="EV10" s="282">
        <f>'[1]October - 2022'!FA10</f>
        <v>35969</v>
      </c>
      <c r="EW10" s="560"/>
      <c r="EX10" s="282">
        <f>'[1]October - 2022'!FC10</f>
        <v>6840</v>
      </c>
      <c r="EY10" s="560"/>
      <c r="EZ10" s="282">
        <f>'[1]October - 2022'!FE10</f>
        <v>58287</v>
      </c>
      <c r="FA10" s="560"/>
      <c r="FB10" s="282">
        <f>'[1]October - 2022'!FG10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477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94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590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518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534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581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55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477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94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590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518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534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581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55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477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94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590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518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534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581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55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477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94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590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518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534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581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55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477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94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590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518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534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581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55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477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94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590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518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534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581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55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477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94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590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518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534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581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55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477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94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590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518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534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581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55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477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94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590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518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534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581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55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477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94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590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518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534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581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55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477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94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590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518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534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581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55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477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94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590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518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534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581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55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477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94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590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518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534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581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55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477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94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590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518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534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581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55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477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94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590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518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534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581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55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477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94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590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518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534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581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55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477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94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590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518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534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581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55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477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94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590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518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534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581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55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477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94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590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518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534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581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55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267324</v>
      </c>
      <c r="D30" s="170">
        <f>'[1]October - 2022'!F30</f>
        <v>824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477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94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590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518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534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581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55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268368</v>
      </c>
      <c r="D31" s="170">
        <f>'[1]October - 2022'!F31</f>
        <v>1044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477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94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590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518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534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581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55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269411</v>
      </c>
      <c r="D32" s="170">
        <f>'[1]October - 2022'!F32</f>
        <v>1043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477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94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590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518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534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581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55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270555</v>
      </c>
      <c r="D33" s="170">
        <f>'[1]October - 2022'!F33</f>
        <v>1144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477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94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9867800</v>
      </c>
      <c r="BT33" s="185">
        <f>'[1]October - 2022'!BW33</f>
        <v>8740</v>
      </c>
      <c r="BU33" s="590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518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534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581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55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0.77</v>
      </c>
      <c r="C34" s="250">
        <f>'[1]October - 2022'!E34</f>
        <v>271585</v>
      </c>
      <c r="D34" s="170">
        <f>'[1]October - 2022'!F34</f>
        <v>1030</v>
      </c>
      <c r="E34" s="168">
        <f>'[1]October - 2022'!G34</f>
        <v>597</v>
      </c>
      <c r="F34" s="168">
        <f>'[1]October - 2022'!H34</f>
        <v>220810</v>
      </c>
      <c r="G34" s="170">
        <f>'[1]October - 2022'!I34</f>
        <v>416</v>
      </c>
      <c r="H34" s="168">
        <f>'[1]October - 2022'!J34</f>
        <v>385</v>
      </c>
      <c r="I34" s="168">
        <f>'[1]October - 2022'!K34</f>
        <v>1521</v>
      </c>
      <c r="J34" s="170">
        <f>'[1]October - 2022'!L34</f>
        <v>107</v>
      </c>
      <c r="K34" s="168">
        <f>'[1]October - 2022'!N34</f>
        <v>908623</v>
      </c>
      <c r="L34" s="170">
        <f>'[1]October - 2022'!O34</f>
        <v>230</v>
      </c>
      <c r="M34" s="168">
        <f>'[1]October - 2022'!Q34</f>
        <v>237681</v>
      </c>
      <c r="N34" s="170">
        <f>'[1]October - 2022'!R34</f>
        <v>168</v>
      </c>
      <c r="O34" s="168">
        <f>'[1]October - 2022'!U34</f>
        <v>109278</v>
      </c>
      <c r="P34" s="170">
        <f>'[1]October - 2022'!V34</f>
        <v>190</v>
      </c>
      <c r="Q34" s="168">
        <f>'[1]October - 2022'!W34</f>
        <v>201.95999999999913</v>
      </c>
      <c r="R34" s="168">
        <f>'[1]October - 2022'!X34</f>
        <v>5797</v>
      </c>
      <c r="S34" s="208">
        <f>'[1]October - 2022'!Y34</f>
        <v>17</v>
      </c>
      <c r="T34" s="477"/>
      <c r="U34" s="169">
        <f>'[1]October - 2022'!AE34</f>
        <v>8037338.3999999994</v>
      </c>
      <c r="V34" s="288">
        <f>'[1]October - 2022'!AF34</f>
        <v>1948.7999999998137</v>
      </c>
      <c r="W34" s="92">
        <f>'[1]October - 2022'!AF34</f>
        <v>1948.7999999998137</v>
      </c>
      <c r="X34" s="287">
        <f>'[1]October - 2022'!AH34</f>
        <v>15272355.84</v>
      </c>
      <c r="Y34" s="288">
        <f>'[1]October - 2022'!AI34</f>
        <v>4579.679999999702</v>
      </c>
      <c r="Z34" s="92">
        <f>'[1]October - 2022'!AI34</f>
        <v>4579.679999999702</v>
      </c>
      <c r="AA34" s="287">
        <f>'[1]October - 2022'!AK34</f>
        <v>15581922.719999999</v>
      </c>
      <c r="AB34" s="288">
        <f>'[1]October - 2022'!AL34</f>
        <v>146.16000000014901</v>
      </c>
      <c r="AC34" s="92">
        <f>'[1]October - 2022'!AL34</f>
        <v>146.16000000014901</v>
      </c>
      <c r="AD34" s="287">
        <f>'[1]October - 2022'!AN34</f>
        <v>18597593.280000001</v>
      </c>
      <c r="AE34" s="288">
        <f>'[1]October - 2022'!AO34</f>
        <v>11351.760000001639</v>
      </c>
      <c r="AF34" s="92">
        <f>'[1]October - 2022'!AO34</f>
        <v>11351.760000001639</v>
      </c>
      <c r="AG34" s="287">
        <f>'[1]October - 2022'!AQ34</f>
        <v>18923335.199999999</v>
      </c>
      <c r="AH34" s="288">
        <f>'[1]October - 2022'!AR34</f>
        <v>7990.0800000019372</v>
      </c>
      <c r="AI34" s="92">
        <f>'[1]October - 2022'!AR34</f>
        <v>7990.0800000019372</v>
      </c>
      <c r="AJ34" s="287">
        <f>'[1]October - 2022'!AT34</f>
        <v>17311531.439999998</v>
      </c>
      <c r="AK34" s="288">
        <f>'[1]October - 2022'!AU34</f>
        <v>5602.8000000007451</v>
      </c>
      <c r="AL34" s="92">
        <f>'[1]October - 2022'!AU34</f>
        <v>5602.8000000007451</v>
      </c>
      <c r="AM34" s="287">
        <f>'[1]October - 2022'!AW34</f>
        <v>14586865.439999999</v>
      </c>
      <c r="AN34" s="288">
        <f>'[1]October - 2022'!AX34</f>
        <v>4677.1200000010431</v>
      </c>
      <c r="AO34" s="92">
        <f>'[1]October - 2022'!AX34</f>
        <v>4677.1200000010431</v>
      </c>
      <c r="AP34" s="287">
        <f>'[1]October - 2022'!AZ34</f>
        <v>14103075.84</v>
      </c>
      <c r="AQ34" s="288">
        <f>'[1]October - 2022'!BA34</f>
        <v>4725.839999999851</v>
      </c>
      <c r="AR34" s="92">
        <f>'[1]October - 2022'!BA34</f>
        <v>4725.839999999851</v>
      </c>
      <c r="AS34" s="287">
        <f>'[1]October - 2022'!BC34</f>
        <v>11044141.92</v>
      </c>
      <c r="AT34" s="288">
        <f>'[1]October - 2022'!BD34</f>
        <v>3410.4000000003725</v>
      </c>
      <c r="AU34" s="92">
        <f>'[1]October - 2022'!BD34</f>
        <v>3410.4000000003725</v>
      </c>
      <c r="AV34" s="287">
        <f>'[1]October - 2022'!BF34</f>
        <v>17443854.960000001</v>
      </c>
      <c r="AW34" s="252">
        <f>'[1]October - 2022'!BG34</f>
        <v>5407.9200000017881</v>
      </c>
      <c r="AX34" s="253">
        <f>'[1]October - 2022'!BG34</f>
        <v>5407.9200000017881</v>
      </c>
      <c r="AY34" s="494"/>
      <c r="AZ34" s="272">
        <f>'[1]October - 2022'!BM34</f>
        <v>77028200</v>
      </c>
      <c r="BA34" s="179">
        <f>'[1]October - 2022'!BN34</f>
        <v>0</v>
      </c>
      <c r="BB34" s="93">
        <f>'[1]October - 2022'!BN34</f>
        <v>0</v>
      </c>
      <c r="BC34" s="272">
        <f>'[1]October - 2022'!BP34</f>
        <v>79369300</v>
      </c>
      <c r="BD34" s="245">
        <f>'[1]October - 2022'!BQ34</f>
        <v>56600</v>
      </c>
      <c r="BE34" s="93">
        <f>'[1]October - 2022'!BQ34</f>
        <v>56600</v>
      </c>
      <c r="BF34" s="272">
        <f>'[1]October - 2022'!BS34</f>
        <v>73620700</v>
      </c>
      <c r="BG34" s="245">
        <f>'[1]October - 2022'!BT34</f>
        <v>35900</v>
      </c>
      <c r="BH34" s="93">
        <f>'[1]October - 2022'!BT34</f>
        <v>35900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9876090</v>
      </c>
      <c r="BT34" s="185">
        <f>'[1]October - 2022'!BW34</f>
        <v>8290</v>
      </c>
      <c r="BU34" s="590"/>
      <c r="BV34" s="88">
        <f>'[1]October - 2022'!BY34</f>
        <v>0.54</v>
      </c>
      <c r="BW34" s="241">
        <f>'[1]October - 2022'!BZ34</f>
        <v>2.9999999999999916E-2</v>
      </c>
      <c r="BX34" s="88">
        <f>'[1]October - 2022'!BZ34</f>
        <v>2.9999999999999916E-2</v>
      </c>
      <c r="BY34" s="89">
        <f>'[1]October - 2022'!CB34</f>
        <v>63403</v>
      </c>
      <c r="BZ34" s="191">
        <f>'[1]October - 2022'!CC34</f>
        <v>21</v>
      </c>
      <c r="CA34" s="89">
        <f>'[1]October - 2022'!CD34</f>
        <v>54563</v>
      </c>
      <c r="CB34" s="191">
        <f>'[1]October - 2022'!CE34</f>
        <v>18</v>
      </c>
      <c r="CC34" s="89">
        <f>'[1]October - 2022'!CF34</f>
        <v>18457</v>
      </c>
      <c r="CD34" s="191">
        <f>'[1]October - 2022'!CG34</f>
        <v>5</v>
      </c>
      <c r="CE34" s="89">
        <f>'[1]October - 2022'!CH34</f>
        <v>25128</v>
      </c>
      <c r="CF34" s="191">
        <f>'[1]October - 2022'!CI34</f>
        <v>12</v>
      </c>
      <c r="CG34" s="89">
        <f>'[1]October - 2022'!CJ34</f>
        <v>27842</v>
      </c>
      <c r="CH34" s="191">
        <f>'[1]October - 2022'!CK34</f>
        <v>16</v>
      </c>
      <c r="CI34" s="89">
        <f>'[1]October - 2022'!CL34</f>
        <v>60939</v>
      </c>
      <c r="CJ34" s="191">
        <f>'[1]October - 2022'!CM34</f>
        <v>40</v>
      </c>
      <c r="CK34" s="89">
        <f>'[1]October - 2022'!CN34</f>
        <v>264740</v>
      </c>
      <c r="CL34" s="246">
        <f>'[1]October - 2022'!CO34</f>
        <v>70</v>
      </c>
      <c r="CM34" s="89">
        <f>'[1]October - 2022'!CO34</f>
        <v>70</v>
      </c>
      <c r="CN34" s="89">
        <f>'[1]October - 2022'!CQ34</f>
        <v>210546</v>
      </c>
      <c r="CO34" s="246">
        <f>'[1]October - 2022'!CR34</f>
        <v>85</v>
      </c>
      <c r="CP34" s="89">
        <f>'[1]October - 2022'!CR34</f>
        <v>85</v>
      </c>
      <c r="CQ34" s="89">
        <f>'[1]October - 2022'!CT34</f>
        <v>349824</v>
      </c>
      <c r="CR34" s="246">
        <f>'[1]October - 2022'!CU34</f>
        <v>0</v>
      </c>
      <c r="CS34" s="89">
        <f>'[1]October - 2022'!CU34</f>
        <v>0</v>
      </c>
      <c r="CT34" s="89">
        <f>'[1]October - 2022'!CW34</f>
        <v>687054</v>
      </c>
      <c r="CU34" s="191">
        <f>'[1]October - 2022'!CX34</f>
        <v>162</v>
      </c>
      <c r="CV34" s="518"/>
      <c r="CW34" s="256">
        <f>'[1]October - 2022'!CZ34</f>
        <v>8499</v>
      </c>
      <c r="CX34" s="198">
        <f>'[1]October - 2022'!DA34</f>
        <v>7</v>
      </c>
      <c r="CY34" s="257">
        <f>'[1]October - 2022'!DB34</f>
        <v>5764</v>
      </c>
      <c r="CZ34" s="198">
        <f>'[1]October - 2022'!DC34</f>
        <v>3</v>
      </c>
      <c r="DA34" s="257">
        <f>'[1]October - 2022'!DD34</f>
        <v>31439</v>
      </c>
      <c r="DB34" s="198">
        <f>'[1]October - 2022'!DE34</f>
        <v>13</v>
      </c>
      <c r="DC34" s="257">
        <f>'[1]October - 2022'!DF34</f>
        <v>31722</v>
      </c>
      <c r="DD34" s="198">
        <f>'[1]October - 2022'!DG34</f>
        <v>13</v>
      </c>
      <c r="DE34" s="257">
        <f>'[1]October - 2022'!DH34</f>
        <v>21391</v>
      </c>
      <c r="DF34" s="198">
        <f>'[1]October - 2022'!DI34</f>
        <v>9</v>
      </c>
      <c r="DG34" s="257">
        <f>'[1]October - 2022'!DJ34</f>
        <v>23756</v>
      </c>
      <c r="DH34" s="198">
        <f>'[1]October - 2022'!DK34</f>
        <v>8</v>
      </c>
      <c r="DI34" s="257">
        <f>'[1]October - 2022'!DL34</f>
        <v>6659</v>
      </c>
      <c r="DJ34" s="198">
        <f>'[1]October - 2022'!DM34</f>
        <v>8</v>
      </c>
      <c r="DK34" s="257">
        <f>'[1]October - 2022'!DN34</f>
        <v>9410</v>
      </c>
      <c r="DL34" s="198">
        <f>'[1]October - 2022'!DO34</f>
        <v>8</v>
      </c>
      <c r="DM34" s="257">
        <f>'[1]October - 2022'!DP34</f>
        <v>3111</v>
      </c>
      <c r="DN34" s="198">
        <f>'[1]October - 2022'!DQ34</f>
        <v>3</v>
      </c>
      <c r="DO34" s="257">
        <f>'[1]October - 2022'!DR34</f>
        <v>6016</v>
      </c>
      <c r="DP34" s="198">
        <f>'[1]October - 2022'!DS34</f>
        <v>8</v>
      </c>
      <c r="DQ34" s="257">
        <f>'[1]October - 2022'!DT34</f>
        <v>30021</v>
      </c>
      <c r="DR34" s="206">
        <f>'[1]October - 2022'!DU34</f>
        <v>1</v>
      </c>
      <c r="DS34" s="534"/>
      <c r="DT34" s="210">
        <f>'[1]October - 2022'!DW34</f>
        <v>5822.9</v>
      </c>
      <c r="DU34" s="221">
        <f>'[1]October - 2022'!DX34</f>
        <v>10.5</v>
      </c>
      <c r="DV34" s="91">
        <f>'[1]October - 2022'!DY34</f>
        <v>10909.3</v>
      </c>
      <c r="DW34" s="215">
        <f>'[1]October - 2022'!DZ34</f>
        <v>8.5</v>
      </c>
      <c r="DX34" s="91">
        <f>'[1]October - 2022'!EA34</f>
        <v>4492.3</v>
      </c>
      <c r="DY34" s="215">
        <f>'[1]October - 2022'!EB34</f>
        <v>6.6999999999998181</v>
      </c>
      <c r="DZ34" s="91">
        <f>'[1]October - 2022'!EC34</f>
        <v>5084.5</v>
      </c>
      <c r="EA34" s="215">
        <f>'[1]October - 2022'!ED34</f>
        <v>5.8000000000001819</v>
      </c>
      <c r="EB34" s="91">
        <f>'[1]October - 2022'!EE34</f>
        <v>1098755</v>
      </c>
      <c r="EC34" s="215">
        <f>'[1]October - 2022'!EF34</f>
        <v>629</v>
      </c>
      <c r="ED34" s="91">
        <f>'[1]October - 2022'!EI34</f>
        <v>225056.2</v>
      </c>
      <c r="EE34" s="229">
        <f>'[1]October - 2022'!EJ34</f>
        <v>142</v>
      </c>
      <c r="EF34" s="581"/>
      <c r="EG34" s="235">
        <f>'[1]October - 2022'!EL34</f>
        <v>11911400</v>
      </c>
      <c r="EH34" s="230">
        <f>'[1]October - 2022'!EM34</f>
        <v>5300</v>
      </c>
      <c r="EI34" s="90">
        <f>'[1]October - 2022'!EN34</f>
        <v>921150</v>
      </c>
      <c r="EJ34" s="230">
        <f>'[1]October - 2022'!EO34</f>
        <v>260</v>
      </c>
      <c r="EK34" s="90">
        <f>'[1]October - 2022'!EP34</f>
        <v>7118500</v>
      </c>
      <c r="EL34" s="230">
        <f>'[1]October - 2022'!EQ34</f>
        <v>2200</v>
      </c>
      <c r="EM34" s="90">
        <f>'[1]October - 2022'!ER34</f>
        <v>2475500</v>
      </c>
      <c r="EN34" s="230">
        <f>'[1]October - 2022'!ES34</f>
        <v>500</v>
      </c>
      <c r="EO34" s="90">
        <f>'[1]October - 2022'!ET34</f>
        <v>1243870</v>
      </c>
      <c r="EP34" s="230">
        <f>'[1]October - 2022'!EU34</f>
        <v>730</v>
      </c>
      <c r="EQ34" s="90">
        <f>'[1]October - 2022'!EV34</f>
        <v>16367000</v>
      </c>
      <c r="ER34" s="230">
        <f>'[1]October - 2022'!EW34</f>
        <v>6500</v>
      </c>
      <c r="ES34" s="556"/>
      <c r="ET34" s="281">
        <f>'[1]October - 2022'!EY34</f>
        <v>41381</v>
      </c>
      <c r="EU34" s="275">
        <f>'[1]October - 2022'!EZ34</f>
        <v>14</v>
      </c>
      <c r="EV34" s="282">
        <f>'[1]October - 2022'!FA34</f>
        <v>36258</v>
      </c>
      <c r="EW34" s="275">
        <f>'[1]October - 2022'!FB34</f>
        <v>12</v>
      </c>
      <c r="EX34" s="282">
        <f>'[1]October - 2022'!FC34</f>
        <v>7087</v>
      </c>
      <c r="EY34" s="275">
        <f>'[1]October - 2022'!FD34</f>
        <v>9</v>
      </c>
      <c r="EZ34" s="282">
        <f>'[1]October - 2022'!FE34</f>
        <v>58619</v>
      </c>
      <c r="FA34" s="275">
        <f>'[1]October - 2022'!FF34</f>
        <v>15</v>
      </c>
      <c r="FB34" s="282">
        <f>'[1]October - 2022'!FG34</f>
        <v>47995</v>
      </c>
      <c r="FC34" s="276">
        <f>'[1]October - 2022'!FH34</f>
        <v>33</v>
      </c>
    </row>
    <row r="35" spans="1:160" ht="30" customHeight="1" x14ac:dyDescent="0.25">
      <c r="A35" s="207">
        <v>43856</v>
      </c>
      <c r="B35" s="209">
        <f>'[1]October - 2022'!B35</f>
        <v>0.82</v>
      </c>
      <c r="C35" s="250">
        <f>'[1]October - 2022'!E35</f>
        <v>174256</v>
      </c>
      <c r="D35" s="170">
        <f>'[1]October - 2022'!F35</f>
        <v>-97329</v>
      </c>
      <c r="E35" s="168">
        <f>'[1]October - 2022'!G35</f>
        <v>622</v>
      </c>
      <c r="F35" s="168">
        <f>'[1]October - 2022'!H35</f>
        <v>221261</v>
      </c>
      <c r="G35" s="170">
        <f>'[1]October - 2022'!I35</f>
        <v>451</v>
      </c>
      <c r="H35" s="168">
        <f>'[1]October - 2022'!J35</f>
        <v>369</v>
      </c>
      <c r="I35" s="168">
        <f>'[1]October - 2022'!K35</f>
        <v>1631</v>
      </c>
      <c r="J35" s="170">
        <f>'[1]October - 2022'!L35</f>
        <v>110</v>
      </c>
      <c r="K35" s="168">
        <f>'[1]October - 2022'!N35</f>
        <v>908949</v>
      </c>
      <c r="L35" s="170">
        <f>'[1]October - 2022'!O35</f>
        <v>326</v>
      </c>
      <c r="M35" s="168">
        <f>'[1]October - 2022'!Q35</f>
        <v>237895</v>
      </c>
      <c r="N35" s="170">
        <f>'[1]October - 2022'!R35</f>
        <v>214</v>
      </c>
      <c r="O35" s="168">
        <f>'[1]October - 2022'!U35</f>
        <v>109473</v>
      </c>
      <c r="P35" s="170">
        <f>'[1]October - 2022'!V35</f>
        <v>195</v>
      </c>
      <c r="Q35" s="168">
        <f>'[1]October - 2022'!W35</f>
        <v>171.47000000000116</v>
      </c>
      <c r="R35" s="168">
        <f>'[1]October - 2022'!X35</f>
        <v>5805</v>
      </c>
      <c r="S35" s="208">
        <f>'[1]October - 2022'!Y35</f>
        <v>8</v>
      </c>
      <c r="T35" s="477"/>
      <c r="U35" s="169">
        <f>'[1]October - 2022'!AE35</f>
        <v>8039384.6400000006</v>
      </c>
      <c r="V35" s="288">
        <f>'[1]October - 2022'!AF35</f>
        <v>2046.2400000011548</v>
      </c>
      <c r="W35" s="92">
        <f>'[1]October - 2022'!AF35</f>
        <v>2046.2400000011548</v>
      </c>
      <c r="X35" s="287">
        <f>'[1]October - 2022'!AH35</f>
        <v>15277130.4</v>
      </c>
      <c r="Y35" s="288">
        <f>'[1]October - 2022'!AI35</f>
        <v>4774.5600000005215</v>
      </c>
      <c r="Z35" s="92">
        <f>'[1]October - 2022'!AI35</f>
        <v>4774.5600000005215</v>
      </c>
      <c r="AA35" s="287">
        <f>'[1]October - 2022'!AK35</f>
        <v>15582020.16</v>
      </c>
      <c r="AB35" s="288">
        <f>'[1]October - 2022'!AL35</f>
        <v>97.440000001341105</v>
      </c>
      <c r="AC35" s="92">
        <f>'[1]October - 2022'!AL35</f>
        <v>97.440000001341105</v>
      </c>
      <c r="AD35" s="287">
        <f>'[1]October - 2022'!AN35</f>
        <v>18609968.16</v>
      </c>
      <c r="AE35" s="288">
        <f>'[1]October - 2022'!AO35</f>
        <v>12374.879999998957</v>
      </c>
      <c r="AF35" s="92">
        <f>'[1]October - 2022'!AO35</f>
        <v>12374.879999998957</v>
      </c>
      <c r="AG35" s="287">
        <f>'[1]October - 2022'!AQ35</f>
        <v>18931471.439999998</v>
      </c>
      <c r="AH35" s="288">
        <f>'[1]October - 2022'!AR35</f>
        <v>8136.2399999983609</v>
      </c>
      <c r="AI35" s="92">
        <f>'[1]October - 2022'!AR35</f>
        <v>8136.2399999983609</v>
      </c>
      <c r="AJ35" s="287">
        <f>'[1]October - 2022'!AT35</f>
        <v>17317475.280000001</v>
      </c>
      <c r="AK35" s="288">
        <f>'[1]October - 2022'!AU35</f>
        <v>5943.8400000035763</v>
      </c>
      <c r="AL35" s="92">
        <f>'[1]October - 2022'!AU35</f>
        <v>5943.8400000035763</v>
      </c>
      <c r="AM35" s="287">
        <f>'[1]October - 2022'!AW35</f>
        <v>14591493.84</v>
      </c>
      <c r="AN35" s="288">
        <f>'[1]October - 2022'!AX35</f>
        <v>4628.4000000003725</v>
      </c>
      <c r="AO35" s="92">
        <f>'[1]October - 2022'!AX35</f>
        <v>4628.4000000003725</v>
      </c>
      <c r="AP35" s="287">
        <f>'[1]October - 2022'!AZ35</f>
        <v>14107996.559999999</v>
      </c>
      <c r="AQ35" s="288">
        <f>'[1]October - 2022'!BA35</f>
        <v>4920.7199999988079</v>
      </c>
      <c r="AR35" s="92">
        <f>'[1]October - 2022'!BA35</f>
        <v>4920.7199999988079</v>
      </c>
      <c r="AS35" s="287">
        <f>'[1]October - 2022'!BC35</f>
        <v>11047503.6</v>
      </c>
      <c r="AT35" s="288">
        <f>'[1]October - 2022'!BD35</f>
        <v>3361.679999999702</v>
      </c>
      <c r="AU35" s="92">
        <f>'[1]October - 2022'!BD35</f>
        <v>3361.679999999702</v>
      </c>
      <c r="AV35" s="287">
        <f>'[1]October - 2022'!BF35</f>
        <v>17449652.639999997</v>
      </c>
      <c r="AW35" s="252">
        <f>'[1]October - 2022'!BG35</f>
        <v>5797.6799999959767</v>
      </c>
      <c r="AX35" s="253">
        <f>'[1]October - 2022'!BG35</f>
        <v>5797.6799999959767</v>
      </c>
      <c r="AY35" s="494"/>
      <c r="AZ35" s="272">
        <f>'[1]October - 2022'!BM35</f>
        <v>77028200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79427100</v>
      </c>
      <c r="BD35" s="245">
        <f>'[1]October - 2022'!BQ35</f>
        <v>57800</v>
      </c>
      <c r="BE35" s="93">
        <f>'[1]October - 2022'!BQ35</f>
        <v>57800</v>
      </c>
      <c r="BF35" s="272">
        <f>'[1]October - 2022'!BS35</f>
        <v>73657200</v>
      </c>
      <c r="BG35" s="245">
        <f>'[1]October - 2022'!BT35</f>
        <v>36500</v>
      </c>
      <c r="BH35" s="93">
        <f>'[1]October - 2022'!BT35</f>
        <v>36500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9884820</v>
      </c>
      <c r="BT35" s="185">
        <f>'[1]October - 2022'!BW35</f>
        <v>8730</v>
      </c>
      <c r="BU35" s="590"/>
      <c r="BV35" s="88">
        <f>'[1]October - 2022'!BY35</f>
        <v>0.5</v>
      </c>
      <c r="BW35" s="241">
        <f>'[1]October - 2022'!BZ35</f>
        <v>4.0000000000000036E-2</v>
      </c>
      <c r="BX35" s="88">
        <f>'[1]October - 2022'!BZ35</f>
        <v>4.0000000000000036E-2</v>
      </c>
      <c r="BY35" s="89">
        <f>'[1]October - 2022'!CB35</f>
        <v>63424</v>
      </c>
      <c r="BZ35" s="191">
        <f>'[1]October - 2022'!CC35</f>
        <v>21</v>
      </c>
      <c r="CA35" s="89">
        <f>'[1]October - 2022'!CD35</f>
        <v>54582</v>
      </c>
      <c r="CB35" s="191">
        <f>'[1]October - 2022'!CE35</f>
        <v>19</v>
      </c>
      <c r="CC35" s="89">
        <f>'[1]October - 2022'!CF35</f>
        <v>18465</v>
      </c>
      <c r="CD35" s="191">
        <f>'[1]October - 2022'!CG35</f>
        <v>8</v>
      </c>
      <c r="CE35" s="89">
        <f>'[1]October - 2022'!CH35</f>
        <v>25138</v>
      </c>
      <c r="CF35" s="191">
        <f>'[1]October - 2022'!CI35</f>
        <v>10</v>
      </c>
      <c r="CG35" s="89">
        <f>'[1]October - 2022'!CJ35</f>
        <v>27855</v>
      </c>
      <c r="CH35" s="191">
        <f>'[1]October - 2022'!CK35</f>
        <v>13</v>
      </c>
      <c r="CI35" s="89">
        <f>'[1]October - 2022'!CL35</f>
        <v>60978</v>
      </c>
      <c r="CJ35" s="191">
        <f>'[1]October - 2022'!CM35</f>
        <v>39</v>
      </c>
      <c r="CK35" s="89">
        <f>'[1]October - 2022'!CN35</f>
        <v>264814</v>
      </c>
      <c r="CL35" s="246">
        <f>'[1]October - 2022'!CO35</f>
        <v>74</v>
      </c>
      <c r="CM35" s="89">
        <f>'[1]October - 2022'!CO35</f>
        <v>74</v>
      </c>
      <c r="CN35" s="89">
        <f>'[1]October - 2022'!CQ35</f>
        <v>210642</v>
      </c>
      <c r="CO35" s="246">
        <f>'[1]October - 2022'!CR35</f>
        <v>96</v>
      </c>
      <c r="CP35" s="89">
        <f>'[1]October - 2022'!CR35</f>
        <v>96</v>
      </c>
      <c r="CQ35" s="89">
        <f>'[1]October - 2022'!CT35</f>
        <v>349824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687225</v>
      </c>
      <c r="CU35" s="191">
        <f>'[1]October - 2022'!CX35</f>
        <v>171</v>
      </c>
      <c r="CV35" s="518"/>
      <c r="CW35" s="256">
        <f>'[1]October - 2022'!CZ35</f>
        <v>8508</v>
      </c>
      <c r="CX35" s="198">
        <f>'[1]October - 2022'!DA35</f>
        <v>9</v>
      </c>
      <c r="CY35" s="257">
        <f>'[1]October - 2022'!DB35</f>
        <v>5771</v>
      </c>
      <c r="CZ35" s="198">
        <f>'[1]October - 2022'!DC35</f>
        <v>7</v>
      </c>
      <c r="DA35" s="257">
        <f>'[1]October - 2022'!DD35</f>
        <v>31451</v>
      </c>
      <c r="DB35" s="198">
        <f>'[1]October - 2022'!DE35</f>
        <v>12</v>
      </c>
      <c r="DC35" s="257">
        <f>'[1]October - 2022'!DF35</f>
        <v>31736</v>
      </c>
      <c r="DD35" s="198">
        <f>'[1]October - 2022'!DG35</f>
        <v>14</v>
      </c>
      <c r="DE35" s="257">
        <f>'[1]October - 2022'!DH35</f>
        <v>21402</v>
      </c>
      <c r="DF35" s="198">
        <f>'[1]October - 2022'!DI35</f>
        <v>11</v>
      </c>
      <c r="DG35" s="257">
        <f>'[1]October - 2022'!DJ35</f>
        <v>23763</v>
      </c>
      <c r="DH35" s="198">
        <f>'[1]October - 2022'!DK35</f>
        <v>7</v>
      </c>
      <c r="DI35" s="257">
        <f>'[1]October - 2022'!DL35</f>
        <v>6667</v>
      </c>
      <c r="DJ35" s="198">
        <f>'[1]October - 2022'!DM35</f>
        <v>8</v>
      </c>
      <c r="DK35" s="257">
        <f>'[1]October - 2022'!DN35</f>
        <v>9417</v>
      </c>
      <c r="DL35" s="198">
        <f>'[1]October - 2022'!DO35</f>
        <v>7</v>
      </c>
      <c r="DM35" s="257">
        <f>'[1]October - 2022'!DP35</f>
        <v>3113</v>
      </c>
      <c r="DN35" s="198">
        <f>'[1]October - 2022'!DQ35</f>
        <v>2</v>
      </c>
      <c r="DO35" s="257">
        <f>'[1]October - 2022'!DR35</f>
        <v>6024</v>
      </c>
      <c r="DP35" s="198">
        <f>'[1]October - 2022'!DS35</f>
        <v>8</v>
      </c>
      <c r="DQ35" s="257">
        <f>'[1]October - 2022'!DT35</f>
        <v>30030</v>
      </c>
      <c r="DR35" s="206">
        <f>'[1]October - 2022'!DU35</f>
        <v>9</v>
      </c>
      <c r="DS35" s="534"/>
      <c r="DT35" s="210">
        <f>'[1]October - 2022'!DW35</f>
        <v>5834.6</v>
      </c>
      <c r="DU35" s="221">
        <f>'[1]October - 2022'!DX35</f>
        <v>11.700000000000728</v>
      </c>
      <c r="DV35" s="91">
        <f>'[1]October - 2022'!DY35</f>
        <v>10918.4</v>
      </c>
      <c r="DW35" s="215">
        <f>'[1]October - 2022'!DZ35</f>
        <v>9.1000000000003638</v>
      </c>
      <c r="DX35" s="91">
        <f>'[1]October - 2022'!EA35</f>
        <v>4499.3999999999996</v>
      </c>
      <c r="DY35" s="215">
        <f>'[1]October - 2022'!EB35</f>
        <v>7.0999999999994543</v>
      </c>
      <c r="DZ35" s="91">
        <f>'[1]October - 2022'!EC35</f>
        <v>5090.7</v>
      </c>
      <c r="EA35" s="215">
        <f>'[1]October - 2022'!ED35</f>
        <v>6.1999999999998181</v>
      </c>
      <c r="EB35" s="91">
        <f>'[1]October - 2022'!EE35</f>
        <v>1099420</v>
      </c>
      <c r="EC35" s="215">
        <f>'[1]October - 2022'!EF35</f>
        <v>665</v>
      </c>
      <c r="ED35" s="91">
        <f>'[1]October - 2022'!EI35</f>
        <v>225209.7</v>
      </c>
      <c r="EE35" s="229">
        <f>'[1]October - 2022'!EJ35</f>
        <v>153.5</v>
      </c>
      <c r="EF35" s="581"/>
      <c r="EG35" s="235">
        <f>'[1]October - 2022'!EL35</f>
        <v>11917700</v>
      </c>
      <c r="EH35" s="230">
        <f>'[1]October - 2022'!EM35</f>
        <v>6300</v>
      </c>
      <c r="EI35" s="90">
        <f>'[1]October - 2022'!EN35</f>
        <v>921440</v>
      </c>
      <c r="EJ35" s="230">
        <f>'[1]October - 2022'!EO35</f>
        <v>290</v>
      </c>
      <c r="EK35" s="90">
        <f>'[1]October - 2022'!EP35</f>
        <v>7121100</v>
      </c>
      <c r="EL35" s="230">
        <f>'[1]October - 2022'!EQ35</f>
        <v>2600</v>
      </c>
      <c r="EM35" s="90">
        <f>'[1]October - 2022'!ER35</f>
        <v>2476100</v>
      </c>
      <c r="EN35" s="230">
        <f>'[1]October - 2022'!ES35</f>
        <v>600</v>
      </c>
      <c r="EO35" s="90">
        <f>'[1]October - 2022'!ET35</f>
        <v>1244700</v>
      </c>
      <c r="EP35" s="230">
        <f>'[1]October - 2022'!EU35</f>
        <v>830</v>
      </c>
      <c r="EQ35" s="90">
        <f>'[1]October - 2022'!EV35</f>
        <v>16374600</v>
      </c>
      <c r="ER35" s="230">
        <f>'[1]October - 2022'!EW35</f>
        <v>7600</v>
      </c>
      <c r="ES35" s="556"/>
      <c r="ET35" s="281">
        <f>'[1]October - 2022'!EY35</f>
        <v>41395</v>
      </c>
      <c r="EU35" s="275">
        <f>'[1]October - 2022'!EZ35</f>
        <v>14</v>
      </c>
      <c r="EV35" s="282">
        <f>'[1]October - 2022'!FA35</f>
        <v>36270</v>
      </c>
      <c r="EW35" s="275">
        <f>'[1]October - 2022'!FB35</f>
        <v>12</v>
      </c>
      <c r="EX35" s="282">
        <f>'[1]October - 2022'!FC35</f>
        <v>7094</v>
      </c>
      <c r="EY35" s="275">
        <f>'[1]October - 2022'!FD35</f>
        <v>7</v>
      </c>
      <c r="EZ35" s="282">
        <f>'[1]October - 2022'!FE35</f>
        <v>58635</v>
      </c>
      <c r="FA35" s="275">
        <f>'[1]October - 2022'!FF35</f>
        <v>16</v>
      </c>
      <c r="FB35" s="282">
        <f>'[1]October - 2022'!FG35</f>
        <v>48028</v>
      </c>
      <c r="FC35" s="276">
        <f>'[1]October - 2022'!FH35</f>
        <v>33</v>
      </c>
    </row>
    <row r="36" spans="1:160" ht="30" customHeight="1" x14ac:dyDescent="0.25">
      <c r="A36" s="207">
        <v>43857</v>
      </c>
      <c r="B36" s="209">
        <f>'[1]October - 2022'!B36</f>
        <v>0.81</v>
      </c>
      <c r="C36" s="250">
        <f>'[1]October - 2022'!E36</f>
        <v>175148</v>
      </c>
      <c r="D36" s="170">
        <f>'[1]October - 2022'!F36</f>
        <v>892</v>
      </c>
      <c r="E36" s="168">
        <f>'[1]October - 2022'!G36</f>
        <v>830</v>
      </c>
      <c r="F36" s="168">
        <f>'[1]October - 2022'!H36</f>
        <v>221739</v>
      </c>
      <c r="G36" s="170">
        <f>'[1]October - 2022'!I36</f>
        <v>478</v>
      </c>
      <c r="H36" s="168">
        <f>'[1]October - 2022'!J36</f>
        <v>423</v>
      </c>
      <c r="I36" s="168">
        <f>'[1]October - 2022'!K36</f>
        <v>1740</v>
      </c>
      <c r="J36" s="170">
        <f>'[1]October - 2022'!L36</f>
        <v>109</v>
      </c>
      <c r="K36" s="168">
        <f>'[1]October - 2022'!N36</f>
        <v>909262</v>
      </c>
      <c r="L36" s="170">
        <f>'[1]October - 2022'!O36</f>
        <v>313</v>
      </c>
      <c r="M36" s="168">
        <f>'[1]October - 2022'!Q36</f>
        <v>238075</v>
      </c>
      <c r="N36" s="170">
        <f>'[1]October - 2022'!R36</f>
        <v>180</v>
      </c>
      <c r="O36" s="168">
        <f>'[1]October - 2022'!U36</f>
        <v>109667</v>
      </c>
      <c r="P36" s="170">
        <f>'[1]October - 2022'!V36</f>
        <v>194</v>
      </c>
      <c r="Q36" s="168">
        <f>'[1]October - 2022'!W36</f>
        <v>156.52000000000407</v>
      </c>
      <c r="R36" s="168">
        <f>'[1]October - 2022'!X36</f>
        <v>5811</v>
      </c>
      <c r="S36" s="208">
        <f>'[1]October - 2022'!Y36</f>
        <v>6</v>
      </c>
      <c r="T36" s="477"/>
      <c r="U36" s="169">
        <f>'[1]October - 2022'!AE36</f>
        <v>8041333.4400000004</v>
      </c>
      <c r="V36" s="288">
        <f>'[1]October - 2022'!AF36</f>
        <v>1948.7999999998137</v>
      </c>
      <c r="W36" s="92">
        <f>'[1]October - 2022'!AF36</f>
        <v>1948.7999999998137</v>
      </c>
      <c r="X36" s="287">
        <f>'[1]October - 2022'!AH36</f>
        <v>15281856.24</v>
      </c>
      <c r="Y36" s="288">
        <f>'[1]October - 2022'!AI36</f>
        <v>4725.839999999851</v>
      </c>
      <c r="Z36" s="92">
        <f>'[1]October - 2022'!AI36</f>
        <v>4725.839999999851</v>
      </c>
      <c r="AA36" s="287">
        <f>'[1]October - 2022'!AK36</f>
        <v>15582166.319999998</v>
      </c>
      <c r="AB36" s="288">
        <f>'[1]October - 2022'!AL36</f>
        <v>146.15999999828637</v>
      </c>
      <c r="AC36" s="92">
        <f>'[1]October - 2022'!AL36</f>
        <v>146.15999999828637</v>
      </c>
      <c r="AD36" s="287">
        <f>'[1]October - 2022'!AN36</f>
        <v>18622343.039999999</v>
      </c>
      <c r="AE36" s="288">
        <f>'[1]October - 2022'!AO36</f>
        <v>12374.879999998957</v>
      </c>
      <c r="AF36" s="92">
        <f>'[1]October - 2022'!AO36</f>
        <v>12374.879999998957</v>
      </c>
      <c r="AG36" s="287">
        <f>'[1]October - 2022'!AQ36</f>
        <v>18939412.800000001</v>
      </c>
      <c r="AH36" s="288">
        <f>'[1]October - 2022'!AR36</f>
        <v>7941.3600000031292</v>
      </c>
      <c r="AI36" s="92">
        <f>'[1]October - 2022'!AR36</f>
        <v>7941.3600000031292</v>
      </c>
      <c r="AJ36" s="287">
        <f>'[1]October - 2022'!AT36</f>
        <v>17323321.68</v>
      </c>
      <c r="AK36" s="288">
        <f>'[1]October - 2022'!AU36</f>
        <v>5846.3999999985099</v>
      </c>
      <c r="AL36" s="92">
        <f>'[1]October - 2022'!AU36</f>
        <v>5846.3999999985099</v>
      </c>
      <c r="AM36" s="287">
        <f>'[1]October - 2022'!AW36</f>
        <v>14596219.68</v>
      </c>
      <c r="AN36" s="288">
        <f>'[1]October - 2022'!AX36</f>
        <v>4725.839999999851</v>
      </c>
      <c r="AO36" s="92">
        <f>'[1]October - 2022'!AX36</f>
        <v>4725.839999999851</v>
      </c>
      <c r="AP36" s="287">
        <f>'[1]October - 2022'!AZ36</f>
        <v>14112771.119999999</v>
      </c>
      <c r="AQ36" s="288">
        <f>'[1]October - 2022'!BA36</f>
        <v>4774.5600000005215</v>
      </c>
      <c r="AR36" s="92">
        <f>'[1]October - 2022'!BA36</f>
        <v>4774.5600000005215</v>
      </c>
      <c r="AS36" s="287">
        <f>'[1]October - 2022'!BC36</f>
        <v>11050572.959999999</v>
      </c>
      <c r="AT36" s="288">
        <f>'[1]October - 2022'!BD36</f>
        <v>3069.359999999404</v>
      </c>
      <c r="AU36" s="92">
        <f>'[1]October - 2022'!BD36</f>
        <v>3069.359999999404</v>
      </c>
      <c r="AV36" s="287">
        <f>'[1]October - 2022'!BF36</f>
        <v>17455450.32</v>
      </c>
      <c r="AW36" s="252">
        <f>'[1]October - 2022'!BG36</f>
        <v>5797.6800000034273</v>
      </c>
      <c r="AX36" s="253">
        <f>'[1]October - 2022'!BG36</f>
        <v>5797.6800000034273</v>
      </c>
      <c r="AY36" s="494"/>
      <c r="AZ36" s="272">
        <f>'[1]October - 2022'!BM36</f>
        <v>77028200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79484600</v>
      </c>
      <c r="BD36" s="245">
        <f>'[1]October - 2022'!BQ36</f>
        <v>57500</v>
      </c>
      <c r="BE36" s="93">
        <f>'[1]October - 2022'!BQ36</f>
        <v>57500</v>
      </c>
      <c r="BF36" s="272">
        <f>'[1]October - 2022'!BS36</f>
        <v>73692400</v>
      </c>
      <c r="BG36" s="245">
        <f>'[1]October - 2022'!BT36</f>
        <v>35200</v>
      </c>
      <c r="BH36" s="93">
        <f>'[1]October - 2022'!BT36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9893430</v>
      </c>
      <c r="BT36" s="185">
        <f>'[1]October - 2022'!BW36</f>
        <v>8610</v>
      </c>
      <c r="BU36" s="590"/>
      <c r="BV36" s="88">
        <f>'[1]October - 2022'!BY36</f>
        <v>0.47</v>
      </c>
      <c r="BW36" s="241">
        <f>'[1]October - 2022'!BZ36</f>
        <v>3.0000000000000027E-2</v>
      </c>
      <c r="BX36" s="88">
        <f>'[1]October - 2022'!BZ36</f>
        <v>3.0000000000000027E-2</v>
      </c>
      <c r="BY36" s="89">
        <f>'[1]October - 2022'!CB36</f>
        <v>63447</v>
      </c>
      <c r="BZ36" s="191">
        <f>'[1]October - 2022'!CC36</f>
        <v>23</v>
      </c>
      <c r="CA36" s="89">
        <f>'[1]October - 2022'!CD36</f>
        <v>54603</v>
      </c>
      <c r="CB36" s="191">
        <f>'[1]October - 2022'!CE36</f>
        <v>21</v>
      </c>
      <c r="CC36" s="89">
        <f>'[1]October - 2022'!CF36</f>
        <v>18471</v>
      </c>
      <c r="CD36" s="191">
        <f>'[1]October - 2022'!CG36</f>
        <v>6</v>
      </c>
      <c r="CE36" s="89">
        <f>'[1]October - 2022'!CH36</f>
        <v>25149</v>
      </c>
      <c r="CF36" s="191">
        <f>'[1]October - 2022'!CI36</f>
        <v>11</v>
      </c>
      <c r="CG36" s="89">
        <f>'[1]October - 2022'!CJ36</f>
        <v>27869</v>
      </c>
      <c r="CH36" s="191">
        <f>'[1]October - 2022'!CK36</f>
        <v>14</v>
      </c>
      <c r="CI36" s="89">
        <f>'[1]October - 2022'!CL36</f>
        <v>61018</v>
      </c>
      <c r="CJ36" s="191">
        <f>'[1]October - 2022'!CM36</f>
        <v>40</v>
      </c>
      <c r="CK36" s="89">
        <f>'[1]October - 2022'!CN36</f>
        <v>264889</v>
      </c>
      <c r="CL36" s="246">
        <f>'[1]October - 2022'!CO36</f>
        <v>75</v>
      </c>
      <c r="CM36" s="89">
        <f>'[1]October - 2022'!CO36</f>
        <v>75</v>
      </c>
      <c r="CN36" s="89">
        <f>'[1]October - 2022'!CQ36</f>
        <v>210741</v>
      </c>
      <c r="CO36" s="246">
        <f>'[1]October - 2022'!CR36</f>
        <v>99</v>
      </c>
      <c r="CP36" s="89">
        <f>'[1]October - 2022'!CR36</f>
        <v>99</v>
      </c>
      <c r="CQ36" s="89">
        <f>'[1]October - 2022'!CT36</f>
        <v>349824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687395</v>
      </c>
      <c r="CU36" s="191">
        <f>'[1]October - 2022'!CX36</f>
        <v>170</v>
      </c>
      <c r="CV36" s="518"/>
      <c r="CW36" s="256">
        <f>'[1]October - 2022'!CZ36</f>
        <v>8519</v>
      </c>
      <c r="CX36" s="198">
        <f>'[1]October - 2022'!DA36</f>
        <v>11</v>
      </c>
      <c r="CY36" s="257">
        <f>'[1]October - 2022'!DB36</f>
        <v>5777</v>
      </c>
      <c r="CZ36" s="198">
        <f>'[1]October - 2022'!DC36</f>
        <v>6</v>
      </c>
      <c r="DA36" s="257">
        <f>'[1]October - 2022'!DD36</f>
        <v>31467</v>
      </c>
      <c r="DB36" s="198">
        <f>'[1]October - 2022'!DE36</f>
        <v>16</v>
      </c>
      <c r="DC36" s="257">
        <f>'[1]October - 2022'!DF36</f>
        <v>31749</v>
      </c>
      <c r="DD36" s="198">
        <f>'[1]October - 2022'!DG36</f>
        <v>13</v>
      </c>
      <c r="DE36" s="257">
        <f>'[1]October - 2022'!DH36</f>
        <v>21412</v>
      </c>
      <c r="DF36" s="198">
        <f>'[1]October - 2022'!DI36</f>
        <v>10</v>
      </c>
      <c r="DG36" s="257">
        <f>'[1]October - 2022'!DJ36</f>
        <v>23770</v>
      </c>
      <c r="DH36" s="198">
        <f>'[1]October - 2022'!DK36</f>
        <v>7</v>
      </c>
      <c r="DI36" s="257">
        <f>'[1]October - 2022'!DL36</f>
        <v>6676</v>
      </c>
      <c r="DJ36" s="198">
        <f>'[1]October - 2022'!DM36</f>
        <v>9</v>
      </c>
      <c r="DK36" s="257">
        <f>'[1]October - 2022'!DN36</f>
        <v>9425</v>
      </c>
      <c r="DL36" s="198">
        <f>'[1]October - 2022'!DO36</f>
        <v>8</v>
      </c>
      <c r="DM36" s="257">
        <f>'[1]October - 2022'!DP36</f>
        <v>3116</v>
      </c>
      <c r="DN36" s="198">
        <f>'[1]October - 2022'!DQ36</f>
        <v>3</v>
      </c>
      <c r="DO36" s="257">
        <f>'[1]October - 2022'!DR36</f>
        <v>6033</v>
      </c>
      <c r="DP36" s="198">
        <f>'[1]October - 2022'!DS36</f>
        <v>9</v>
      </c>
      <c r="DQ36" s="257">
        <f>'[1]October - 2022'!DT36</f>
        <v>30036</v>
      </c>
      <c r="DR36" s="206">
        <f>'[1]October - 2022'!DU36</f>
        <v>6</v>
      </c>
      <c r="DS36" s="534"/>
      <c r="DT36" s="210">
        <f>'[1]October - 2022'!DW36</f>
        <v>5846.5</v>
      </c>
      <c r="DU36" s="221">
        <f>'[1]October - 2022'!DX36</f>
        <v>11.899999999999636</v>
      </c>
      <c r="DV36" s="91">
        <f>'[1]October - 2022'!DY36</f>
        <v>10927.7</v>
      </c>
      <c r="DW36" s="215">
        <f>'[1]October - 2022'!DZ36</f>
        <v>9.3000000000010914</v>
      </c>
      <c r="DX36" s="91">
        <f>'[1]October - 2022'!EA36</f>
        <v>4506.6000000000004</v>
      </c>
      <c r="DY36" s="215">
        <f>'[1]October - 2022'!EB36</f>
        <v>7.2000000000007276</v>
      </c>
      <c r="DZ36" s="91">
        <f>'[1]October - 2022'!EC36</f>
        <v>5096.8</v>
      </c>
      <c r="EA36" s="215">
        <f>'[1]October - 2022'!ED36</f>
        <v>6.1000000000003638</v>
      </c>
      <c r="EB36" s="91">
        <f>'[1]October - 2022'!EE36</f>
        <v>1100157</v>
      </c>
      <c r="EC36" s="215">
        <f>'[1]October - 2022'!EF36</f>
        <v>737</v>
      </c>
      <c r="ED36" s="91">
        <f>'[1]October - 2022'!EI36</f>
        <v>225363.1</v>
      </c>
      <c r="EE36" s="229">
        <f>'[1]October - 2022'!EJ36</f>
        <v>153.39999999999418</v>
      </c>
      <c r="EF36" s="581"/>
      <c r="EG36" s="235">
        <f>'[1]October - 2022'!EL36</f>
        <v>11924900</v>
      </c>
      <c r="EH36" s="230">
        <f>'[1]October - 2022'!EM36</f>
        <v>7200</v>
      </c>
      <c r="EI36" s="90">
        <f>'[1]October - 2022'!EN36</f>
        <v>921760</v>
      </c>
      <c r="EJ36" s="230">
        <f>'[1]October - 2022'!EO36</f>
        <v>320</v>
      </c>
      <c r="EK36" s="90">
        <f>'[1]October - 2022'!EP36</f>
        <v>7124000</v>
      </c>
      <c r="EL36" s="230">
        <f>'[1]October - 2022'!EQ36</f>
        <v>2900</v>
      </c>
      <c r="EM36" s="90">
        <f>'[1]October - 2022'!ER36</f>
        <v>2476700</v>
      </c>
      <c r="EN36" s="230">
        <f>'[1]October - 2022'!ES36</f>
        <v>600</v>
      </c>
      <c r="EO36" s="90">
        <f>'[1]October - 2022'!ET36</f>
        <v>1245600</v>
      </c>
      <c r="EP36" s="230">
        <f>'[1]October - 2022'!EU36</f>
        <v>900</v>
      </c>
      <c r="EQ36" s="90">
        <f>'[1]October - 2022'!EV36</f>
        <v>16382900</v>
      </c>
      <c r="ER36" s="230">
        <f>'[1]October - 2022'!EW36</f>
        <v>8300</v>
      </c>
      <c r="ES36" s="556"/>
      <c r="ET36" s="281">
        <f>'[1]October - 2022'!EY36</f>
        <v>41412</v>
      </c>
      <c r="EU36" s="275">
        <f>'[1]October - 2022'!EZ36</f>
        <v>17</v>
      </c>
      <c r="EV36" s="282">
        <f>'[1]October - 2022'!FA36</f>
        <v>36282</v>
      </c>
      <c r="EW36" s="275">
        <f>'[1]October - 2022'!FB36</f>
        <v>12</v>
      </c>
      <c r="EX36" s="282">
        <f>'[1]October - 2022'!FC36</f>
        <v>7103</v>
      </c>
      <c r="EY36" s="275">
        <f>'[1]October - 2022'!FD36</f>
        <v>9</v>
      </c>
      <c r="EZ36" s="282">
        <f>'[1]October - 2022'!FE36</f>
        <v>58654</v>
      </c>
      <c r="FA36" s="275">
        <f>'[1]October - 2022'!FF36</f>
        <v>19</v>
      </c>
      <c r="FB36" s="282">
        <f>'[1]October - 2022'!FG36</f>
        <v>48067</v>
      </c>
      <c r="FC36" s="276">
        <f>'[1]October - 2022'!FH36</f>
        <v>39</v>
      </c>
    </row>
    <row r="37" spans="1:160" ht="30" customHeight="1" x14ac:dyDescent="0.25">
      <c r="A37" s="207">
        <v>43858</v>
      </c>
      <c r="B37" s="209">
        <f>'[1]October - 2022'!B37</f>
        <v>0.87</v>
      </c>
      <c r="C37" s="250">
        <f>'[1]October - 2022'!E37</f>
        <v>176060</v>
      </c>
      <c r="D37" s="170">
        <f>'[1]October - 2022'!F37</f>
        <v>912</v>
      </c>
      <c r="E37" s="168">
        <f>'[1]October - 2022'!G37</f>
        <v>693</v>
      </c>
      <c r="F37" s="168">
        <f>'[1]October - 2022'!H37</f>
        <v>222220</v>
      </c>
      <c r="G37" s="170">
        <f>'[1]October - 2022'!I37</f>
        <v>481</v>
      </c>
      <c r="H37" s="168">
        <f>'[1]October - 2022'!J37</f>
        <v>427</v>
      </c>
      <c r="I37" s="168">
        <f>'[1]October - 2022'!K37</f>
        <v>1865</v>
      </c>
      <c r="J37" s="170">
        <f>'[1]October - 2022'!L37</f>
        <v>125</v>
      </c>
      <c r="K37" s="168">
        <f>'[1]October - 2022'!N37</f>
        <v>909571</v>
      </c>
      <c r="L37" s="170">
        <f>'[1]October - 2022'!O37</f>
        <v>309</v>
      </c>
      <c r="M37" s="168">
        <f>'[1]October - 2022'!Q37</f>
        <v>238268</v>
      </c>
      <c r="N37" s="170">
        <f>'[1]October - 2022'!R37</f>
        <v>193</v>
      </c>
      <c r="O37" s="168">
        <f>'[1]October - 2022'!U37</f>
        <v>109857</v>
      </c>
      <c r="P37" s="170">
        <f>'[1]October - 2022'!V37</f>
        <v>190</v>
      </c>
      <c r="Q37" s="168">
        <f>'[1]October - 2022'!W37</f>
        <v>169.5</v>
      </c>
      <c r="R37" s="168">
        <f>'[1]October - 2022'!X37</f>
        <v>5822</v>
      </c>
      <c r="S37" s="208">
        <f>'[1]October - 2022'!Y37</f>
        <v>11</v>
      </c>
      <c r="T37" s="477"/>
      <c r="U37" s="169">
        <f>'[1]October - 2022'!AE37</f>
        <v>8043282.2400000002</v>
      </c>
      <c r="V37" s="288">
        <f>'[1]October - 2022'!AF37</f>
        <v>1948.7999999998137</v>
      </c>
      <c r="W37" s="92">
        <f>'[1]October - 2022'!AF37</f>
        <v>1948.7999999998137</v>
      </c>
      <c r="X37" s="287">
        <f>'[1]October - 2022'!AH37</f>
        <v>15286533.359999999</v>
      </c>
      <c r="Y37" s="288">
        <f>'[1]October - 2022'!AI37</f>
        <v>4677.1199999991804</v>
      </c>
      <c r="Z37" s="92">
        <f>'[1]October - 2022'!AI37</f>
        <v>4677.1199999991804</v>
      </c>
      <c r="AA37" s="287">
        <f>'[1]October - 2022'!AK37</f>
        <v>15582263.76</v>
      </c>
      <c r="AB37" s="288">
        <f>'[1]October - 2022'!AL37</f>
        <v>97.440000001341105</v>
      </c>
      <c r="AC37" s="92">
        <f>'[1]October - 2022'!AL37</f>
        <v>97.440000001341105</v>
      </c>
      <c r="AD37" s="287">
        <f>'[1]October - 2022'!AN37</f>
        <v>18633499.919999998</v>
      </c>
      <c r="AE37" s="288">
        <f>'[1]October - 2022'!AO37</f>
        <v>11156.879999998957</v>
      </c>
      <c r="AF37" s="92">
        <f>'[1]October - 2022'!AO37</f>
        <v>11156.879999998957</v>
      </c>
      <c r="AG37" s="287">
        <f>'[1]October - 2022'!AQ37</f>
        <v>18947792.639999997</v>
      </c>
      <c r="AH37" s="288">
        <f>'[1]October - 2022'!AR37</f>
        <v>8379.8399999961257</v>
      </c>
      <c r="AI37" s="92">
        <f>'[1]October - 2022'!AR37</f>
        <v>8379.8399999961257</v>
      </c>
      <c r="AJ37" s="287">
        <f>'[1]October - 2022'!AT37</f>
        <v>17328973.199999999</v>
      </c>
      <c r="AK37" s="288">
        <f>'[1]October - 2022'!AU37</f>
        <v>5651.519999999553</v>
      </c>
      <c r="AL37" s="92">
        <f>'[1]October - 2022'!AU37</f>
        <v>5651.519999999553</v>
      </c>
      <c r="AM37" s="287">
        <f>'[1]October - 2022'!AW37</f>
        <v>14600799.359999999</v>
      </c>
      <c r="AN37" s="288">
        <f>'[1]October - 2022'!AX37</f>
        <v>4579.679999999702</v>
      </c>
      <c r="AO37" s="92">
        <f>'[1]October - 2022'!AX37</f>
        <v>4579.679999999702</v>
      </c>
      <c r="AP37" s="287">
        <f>'[1]October - 2022'!AZ37</f>
        <v>14117594.4</v>
      </c>
      <c r="AQ37" s="288">
        <f>'[1]October - 2022'!BA37</f>
        <v>4823.2800000011921</v>
      </c>
      <c r="AR37" s="92">
        <f>'[1]October - 2022'!BA37</f>
        <v>4823.2800000011921</v>
      </c>
      <c r="AS37" s="287">
        <f>'[1]October - 2022'!BC37</f>
        <v>11053739.76</v>
      </c>
      <c r="AT37" s="288">
        <f>'[1]October - 2022'!BD37</f>
        <v>3166.8000000007451</v>
      </c>
      <c r="AU37" s="92">
        <f>'[1]October - 2022'!BD37</f>
        <v>3166.8000000007451</v>
      </c>
      <c r="AV37" s="287">
        <f>'[1]October - 2022'!BF37</f>
        <v>17461199.280000001</v>
      </c>
      <c r="AW37" s="252">
        <f>'[1]October - 2022'!BG37</f>
        <v>5748.9600000008941</v>
      </c>
      <c r="AX37" s="253">
        <f>'[1]October - 2022'!BG37</f>
        <v>5748.9600000008941</v>
      </c>
      <c r="AY37" s="494"/>
      <c r="AZ37" s="272">
        <f>'[1]October - 2022'!BM37</f>
        <v>77028200</v>
      </c>
      <c r="BA37" s="179">
        <f>'[1]October - 2022'!BN37</f>
        <v>0</v>
      </c>
      <c r="BB37" s="93">
        <f>'[1]October - 2022'!BN37</f>
        <v>0</v>
      </c>
      <c r="BC37" s="272">
        <f>'[1]October - 2022'!BP37</f>
        <v>79539200</v>
      </c>
      <c r="BD37" s="245">
        <f>'[1]October - 2022'!BQ37</f>
        <v>54600</v>
      </c>
      <c r="BE37" s="93">
        <f>'[1]October - 2022'!BQ37</f>
        <v>54600</v>
      </c>
      <c r="BF37" s="272">
        <f>'[1]October - 2022'!BS37</f>
        <v>73730900</v>
      </c>
      <c r="BG37" s="245">
        <f>'[1]October - 2022'!BT37</f>
        <v>38500</v>
      </c>
      <c r="BH37" s="93">
        <f>'[1]October - 2022'!BT37</f>
        <v>38500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9902430</v>
      </c>
      <c r="BT37" s="185">
        <f>'[1]October - 2022'!BW37</f>
        <v>9000</v>
      </c>
      <c r="BU37" s="590"/>
      <c r="BV37" s="88">
        <f>'[1]October - 2022'!BY37</f>
        <v>0.42</v>
      </c>
      <c r="BW37" s="241">
        <f>'[1]October - 2022'!BZ37</f>
        <v>4.9999999999999989E-2</v>
      </c>
      <c r="BX37" s="88">
        <f>'[1]October - 2022'!BZ37</f>
        <v>4.9999999999999989E-2</v>
      </c>
      <c r="BY37" s="89">
        <f>'[1]October - 2022'!CB37</f>
        <v>63471</v>
      </c>
      <c r="BZ37" s="191">
        <f>'[1]October - 2022'!CC37</f>
        <v>24</v>
      </c>
      <c r="CA37" s="89">
        <f>'[1]October - 2022'!CD37</f>
        <v>54623</v>
      </c>
      <c r="CB37" s="191">
        <f>'[1]October - 2022'!CE37</f>
        <v>20</v>
      </c>
      <c r="CC37" s="89">
        <f>'[1]October - 2022'!CF37</f>
        <v>18478</v>
      </c>
      <c r="CD37" s="191">
        <f>'[1]October - 2022'!CG37</f>
        <v>7</v>
      </c>
      <c r="CE37" s="89">
        <f>'[1]October - 2022'!CH37</f>
        <v>25159</v>
      </c>
      <c r="CF37" s="191">
        <f>'[1]October - 2022'!CI37</f>
        <v>10</v>
      </c>
      <c r="CG37" s="89">
        <f>'[1]October - 2022'!CJ37</f>
        <v>27882</v>
      </c>
      <c r="CH37" s="191">
        <f>'[1]October - 2022'!CK37</f>
        <v>13</v>
      </c>
      <c r="CI37" s="89">
        <f>'[1]October - 2022'!CL37</f>
        <v>61056</v>
      </c>
      <c r="CJ37" s="191">
        <f>'[1]October - 2022'!CM37</f>
        <v>38</v>
      </c>
      <c r="CK37" s="89">
        <f>'[1]October - 2022'!CN37</f>
        <v>264961</v>
      </c>
      <c r="CL37" s="246">
        <f>'[1]October - 2022'!CO37</f>
        <v>72</v>
      </c>
      <c r="CM37" s="89">
        <f>'[1]October - 2022'!CO37</f>
        <v>72</v>
      </c>
      <c r="CN37" s="89">
        <f>'[1]October - 2022'!CQ37</f>
        <v>210835</v>
      </c>
      <c r="CO37" s="246">
        <f>'[1]October - 2022'!CR37</f>
        <v>94</v>
      </c>
      <c r="CP37" s="89">
        <f>'[1]October - 2022'!CR37</f>
        <v>94</v>
      </c>
      <c r="CQ37" s="89">
        <f>'[1]October - 2022'!CT37</f>
        <v>349824</v>
      </c>
      <c r="CR37" s="246">
        <f>'[1]October - 2022'!CU37</f>
        <v>0</v>
      </c>
      <c r="CS37" s="89">
        <f>'[1]October - 2022'!CU37</f>
        <v>0</v>
      </c>
      <c r="CT37" s="89">
        <f>'[1]October - 2022'!CW37</f>
        <v>687557</v>
      </c>
      <c r="CU37" s="191">
        <f>'[1]October - 2022'!CX37</f>
        <v>162</v>
      </c>
      <c r="CV37" s="518"/>
      <c r="CW37" s="256">
        <f>'[1]October - 2022'!CZ37</f>
        <v>8531</v>
      </c>
      <c r="CX37" s="198">
        <f>'[1]October - 2022'!DA37</f>
        <v>12</v>
      </c>
      <c r="CY37" s="257">
        <f>'[1]October - 2022'!DB37</f>
        <v>5784</v>
      </c>
      <c r="CZ37" s="198">
        <f>'[1]October - 2022'!DC37</f>
        <v>7</v>
      </c>
      <c r="DA37" s="257">
        <f>'[1]October - 2022'!DD37</f>
        <v>31484</v>
      </c>
      <c r="DB37" s="198">
        <f>'[1]October - 2022'!DE37</f>
        <v>17</v>
      </c>
      <c r="DC37" s="257">
        <f>'[1]October - 2022'!DF37</f>
        <v>31765</v>
      </c>
      <c r="DD37" s="198">
        <f>'[1]October - 2022'!DG37</f>
        <v>16</v>
      </c>
      <c r="DE37" s="257">
        <f>'[1]October - 2022'!DH37</f>
        <v>21425</v>
      </c>
      <c r="DF37" s="198">
        <f>'[1]October - 2022'!DI37</f>
        <v>13</v>
      </c>
      <c r="DG37" s="257">
        <f>'[1]October - 2022'!DJ37</f>
        <v>23776</v>
      </c>
      <c r="DH37" s="198">
        <f>'[1]October - 2022'!DK37</f>
        <v>6</v>
      </c>
      <c r="DI37" s="257">
        <f>'[1]October - 2022'!DL37</f>
        <v>6688</v>
      </c>
      <c r="DJ37" s="198">
        <f>'[1]October - 2022'!DM37</f>
        <v>12</v>
      </c>
      <c r="DK37" s="257">
        <f>'[1]October - 2022'!DN37</f>
        <v>9436</v>
      </c>
      <c r="DL37" s="198">
        <f>'[1]October - 2022'!DO37</f>
        <v>11</v>
      </c>
      <c r="DM37" s="257">
        <f>'[1]October - 2022'!DP37</f>
        <v>3119</v>
      </c>
      <c r="DN37" s="198">
        <f>'[1]October - 2022'!DQ37</f>
        <v>3</v>
      </c>
      <c r="DO37" s="257">
        <f>'[1]October - 2022'!DR37</f>
        <v>6043</v>
      </c>
      <c r="DP37" s="198">
        <f>'[1]October - 2022'!DS37</f>
        <v>10</v>
      </c>
      <c r="DQ37" s="257">
        <f>'[1]October - 2022'!DT37</f>
        <v>30041</v>
      </c>
      <c r="DR37" s="206">
        <f>'[1]October - 2022'!DU37</f>
        <v>5</v>
      </c>
      <c r="DS37" s="534"/>
      <c r="DT37" s="210">
        <f>'[1]October - 2022'!DW37</f>
        <v>5858.4</v>
      </c>
      <c r="DU37" s="221">
        <f>'[1]October - 2022'!DX37</f>
        <v>11.899999999999636</v>
      </c>
      <c r="DV37" s="91">
        <f>'[1]October - 2022'!DY37</f>
        <v>10936.7</v>
      </c>
      <c r="DW37" s="215">
        <f>'[1]October - 2022'!DZ37</f>
        <v>9</v>
      </c>
      <c r="DX37" s="91">
        <f>'[1]October - 2022'!EA37</f>
        <v>4513.3</v>
      </c>
      <c r="DY37" s="215">
        <f>'[1]October - 2022'!EB37</f>
        <v>6.6999999999998181</v>
      </c>
      <c r="DZ37" s="91">
        <f>'[1]October - 2022'!EC37</f>
        <v>5104.1000000000004</v>
      </c>
      <c r="EA37" s="215">
        <f>'[1]October - 2022'!ED37</f>
        <v>7.3000000000001819</v>
      </c>
      <c r="EB37" s="91">
        <f>'[1]October - 2022'!EE37</f>
        <v>1100875</v>
      </c>
      <c r="EC37" s="215">
        <f>'[1]October - 2022'!EF37</f>
        <v>718</v>
      </c>
      <c r="ED37" s="91">
        <f>'[1]October - 2022'!EI37</f>
        <v>225514.9</v>
      </c>
      <c r="EE37" s="229">
        <f>'[1]October - 2022'!EJ37</f>
        <v>151.79999999998836</v>
      </c>
      <c r="EF37" s="581"/>
      <c r="EG37" s="235">
        <f>'[1]October - 2022'!EL37</f>
        <v>11930600</v>
      </c>
      <c r="EH37" s="230">
        <f>'[1]October - 2022'!EM37</f>
        <v>5700</v>
      </c>
      <c r="EI37" s="90">
        <f>'[1]October - 2022'!EN37</f>
        <v>922040</v>
      </c>
      <c r="EJ37" s="230">
        <f>'[1]October - 2022'!EO37</f>
        <v>280</v>
      </c>
      <c r="EK37" s="90">
        <f>'[1]October - 2022'!EP37</f>
        <v>7126300</v>
      </c>
      <c r="EL37" s="230">
        <f>'[1]October - 2022'!EQ37</f>
        <v>2300</v>
      </c>
      <c r="EM37" s="90">
        <f>'[1]October - 2022'!ER37</f>
        <v>2477300</v>
      </c>
      <c r="EN37" s="230">
        <f>'[1]October - 2022'!ES37</f>
        <v>600</v>
      </c>
      <c r="EO37" s="90">
        <f>'[1]October - 2022'!ET37</f>
        <v>1246370</v>
      </c>
      <c r="EP37" s="230">
        <f>'[1]October - 2022'!EU37</f>
        <v>770</v>
      </c>
      <c r="EQ37" s="90">
        <f>'[1]October - 2022'!EV37</f>
        <v>16389700</v>
      </c>
      <c r="ER37" s="230">
        <f>'[1]October - 2022'!EW37</f>
        <v>6800</v>
      </c>
      <c r="ES37" s="556"/>
      <c r="ET37" s="281">
        <f>'[1]October - 2022'!EY37</f>
        <v>41425</v>
      </c>
      <c r="EU37" s="275">
        <f>'[1]October - 2022'!EZ37</f>
        <v>13</v>
      </c>
      <c r="EV37" s="282">
        <f>'[1]October - 2022'!FA37</f>
        <v>36293</v>
      </c>
      <c r="EW37" s="275">
        <f>'[1]October - 2022'!FB37</f>
        <v>11</v>
      </c>
      <c r="EX37" s="282">
        <f>'[1]October - 2022'!FC37</f>
        <v>7117</v>
      </c>
      <c r="EY37" s="275">
        <f>'[1]October - 2022'!FD37</f>
        <v>14</v>
      </c>
      <c r="EZ37" s="282">
        <f>'[1]October - 2022'!FE37</f>
        <v>58669</v>
      </c>
      <c r="FA37" s="275">
        <f>'[1]October - 2022'!FF37</f>
        <v>15</v>
      </c>
      <c r="FB37" s="282">
        <f>'[1]October - 2022'!FG37</f>
        <v>48105</v>
      </c>
      <c r="FC37" s="276">
        <f>'[1]October - 2022'!FH37</f>
        <v>38</v>
      </c>
    </row>
    <row r="38" spans="1:160" ht="30" customHeight="1" x14ac:dyDescent="0.25">
      <c r="A38" s="207">
        <v>43859</v>
      </c>
      <c r="B38" s="209">
        <f>'[1]October - 2022'!B38</f>
        <v>0.84</v>
      </c>
      <c r="C38" s="250">
        <f>'[1]October - 2022'!E38</f>
        <v>176957</v>
      </c>
      <c r="D38" s="170">
        <f>'[1]October - 2022'!F38</f>
        <v>897</v>
      </c>
      <c r="E38" s="168">
        <f>'[1]October - 2022'!G38</f>
        <v>660</v>
      </c>
      <c r="F38" s="168">
        <f>'[1]October - 2022'!H38</f>
        <v>222799</v>
      </c>
      <c r="G38" s="170">
        <f>'[1]October - 2022'!I38</f>
        <v>579</v>
      </c>
      <c r="H38" s="168">
        <f>'[1]October - 2022'!J38</f>
        <v>464</v>
      </c>
      <c r="I38" s="168">
        <f>'[1]October - 2022'!K38</f>
        <v>1875</v>
      </c>
      <c r="J38" s="170">
        <f>'[1]October - 2022'!L38</f>
        <v>10</v>
      </c>
      <c r="K38" s="168">
        <f>'[1]October - 2022'!N38</f>
        <v>909946</v>
      </c>
      <c r="L38" s="170">
        <f>'[1]October - 2022'!O38</f>
        <v>375</v>
      </c>
      <c r="M38" s="168">
        <f>'[1]October - 2022'!Q38</f>
        <v>238542</v>
      </c>
      <c r="N38" s="170">
        <f>'[1]October - 2022'!R38</f>
        <v>274</v>
      </c>
      <c r="O38" s="168">
        <f>'[1]October - 2022'!U38</f>
        <v>110042</v>
      </c>
      <c r="P38" s="170">
        <f>'[1]October - 2022'!V38</f>
        <v>185</v>
      </c>
      <c r="Q38" s="168">
        <f>'[1]October - 2022'!W38</f>
        <v>150.72000000000116</v>
      </c>
      <c r="R38" s="168">
        <f>'[1]October - 2022'!X38</f>
        <v>5841</v>
      </c>
      <c r="S38" s="208">
        <f>'[1]October - 2022'!Y38</f>
        <v>19</v>
      </c>
      <c r="T38" s="477"/>
      <c r="U38" s="169">
        <f>'[1]October - 2022'!AE38</f>
        <v>8046205.4400000004</v>
      </c>
      <c r="V38" s="288">
        <f>'[1]October - 2022'!AF38</f>
        <v>2923.2000000001863</v>
      </c>
      <c r="W38" s="92">
        <f>'[1]October - 2022'!AF38</f>
        <v>2923.2000000001863</v>
      </c>
      <c r="X38" s="287">
        <f>'[1]October - 2022'!AH38</f>
        <v>15291307.919999998</v>
      </c>
      <c r="Y38" s="288">
        <f>'[1]October - 2022'!AI38</f>
        <v>4774.5599999986589</v>
      </c>
      <c r="Z38" s="92">
        <f>'[1]October - 2022'!AI38</f>
        <v>4774.5599999986589</v>
      </c>
      <c r="AA38" s="287">
        <f>'[1]October - 2022'!AK38</f>
        <v>15594151.439999999</v>
      </c>
      <c r="AB38" s="288">
        <f>'[1]October - 2022'!AL38</f>
        <v>11887.679999999702</v>
      </c>
      <c r="AC38" s="92">
        <f>'[1]October - 2022'!AL38</f>
        <v>11887.679999999702</v>
      </c>
      <c r="AD38" s="287">
        <f>'[1]October - 2022'!AN38</f>
        <v>18640515.599999998</v>
      </c>
      <c r="AE38" s="288">
        <f>'[1]October - 2022'!AO38</f>
        <v>7015.679999999702</v>
      </c>
      <c r="AF38" s="92">
        <f>'[1]October - 2022'!AO38</f>
        <v>7015.679999999702</v>
      </c>
      <c r="AG38" s="287">
        <f>'[1]October - 2022'!AQ38</f>
        <v>18948182.399999999</v>
      </c>
      <c r="AH38" s="288">
        <f>'[1]October - 2022'!AR38</f>
        <v>389.76000000163913</v>
      </c>
      <c r="AI38" s="92">
        <f>'[1]October - 2022'!AR38</f>
        <v>389.76000000163913</v>
      </c>
      <c r="AJ38" s="287">
        <f>'[1]October - 2022'!AT38</f>
        <v>17334819.599999998</v>
      </c>
      <c r="AK38" s="288">
        <f>'[1]October - 2022'!AU38</f>
        <v>5846.3999999985099</v>
      </c>
      <c r="AL38" s="92">
        <f>'[1]October - 2022'!AU38</f>
        <v>5846.3999999985099</v>
      </c>
      <c r="AM38" s="287">
        <f>'[1]October - 2022'!AW38</f>
        <v>14605427.76</v>
      </c>
      <c r="AN38" s="288">
        <f>'[1]October - 2022'!AX38</f>
        <v>4628.4000000003725</v>
      </c>
      <c r="AO38" s="92">
        <f>'[1]October - 2022'!AX38</f>
        <v>4628.4000000003725</v>
      </c>
      <c r="AP38" s="299">
        <f>'[1]October - 2022'!AZ38</f>
        <v>14122271.52</v>
      </c>
      <c r="AQ38" s="288">
        <f>'[1]October - 2022'!BA38</f>
        <v>4677.1199999991804</v>
      </c>
      <c r="AR38" s="92">
        <f>'[1]October - 2022'!BA38</f>
        <v>4677.1199999991804</v>
      </c>
      <c r="AS38" s="287">
        <f>'[1]October - 2022'!BC38</f>
        <v>11056614.24</v>
      </c>
      <c r="AT38" s="288">
        <f>'[1]October - 2022'!BD38</f>
        <v>2874.480000000447</v>
      </c>
      <c r="AU38" s="92">
        <f>'[1]October - 2022'!BD38</f>
        <v>2874.480000000447</v>
      </c>
      <c r="AV38" s="287">
        <f>'[1]October - 2022'!BF38</f>
        <v>17467191.84</v>
      </c>
      <c r="AW38" s="252">
        <f>'[1]October - 2022'!BG38</f>
        <v>5992.5599999986589</v>
      </c>
      <c r="AX38" s="253">
        <f>'[1]October - 2022'!BG38</f>
        <v>5992.5599999986589</v>
      </c>
      <c r="AY38" s="494"/>
      <c r="AZ38" s="272">
        <f>'[1]October - 2022'!BM38</f>
        <v>77081500</v>
      </c>
      <c r="BA38" s="179">
        <f>'[1]October - 2022'!BN38</f>
        <v>53300</v>
      </c>
      <c r="BB38" s="93">
        <f>'[1]October - 2022'!BN38</f>
        <v>53300</v>
      </c>
      <c r="BC38" s="272">
        <f>'[1]October - 2022'!BP38</f>
        <v>79580200</v>
      </c>
      <c r="BD38" s="245">
        <f>'[1]October - 2022'!BQ38</f>
        <v>41000</v>
      </c>
      <c r="BE38" s="93">
        <f>'[1]October - 2022'!BQ38</f>
        <v>41000</v>
      </c>
      <c r="BF38" s="272">
        <f>'[1]October - 2022'!BS38</f>
        <v>73730900</v>
      </c>
      <c r="BG38" s="245">
        <f>'[1]October - 2022'!BT38</f>
        <v>0</v>
      </c>
      <c r="BH38" s="93">
        <f>'[1]October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9912450</v>
      </c>
      <c r="BT38" s="185">
        <f>'[1]October - 2022'!BW38</f>
        <v>10020</v>
      </c>
      <c r="BU38" s="590"/>
      <c r="BV38" s="88">
        <f>'[1]October - 2022'!BY38</f>
        <v>0.57999999999999996</v>
      </c>
      <c r="BW38" s="241">
        <f>'[1]October - 2022'!BZ38</f>
        <v>-0.15999999999999998</v>
      </c>
      <c r="BX38" s="88">
        <f>'[1]October - 2022'!BZ38</f>
        <v>-0.15999999999999998</v>
      </c>
      <c r="BY38" s="89">
        <f>'[1]October - 2022'!CB38</f>
        <v>63499</v>
      </c>
      <c r="BZ38" s="191">
        <f>'[1]October - 2022'!CC38</f>
        <v>28</v>
      </c>
      <c r="CA38" s="89">
        <f>'[1]October - 2022'!CD38</f>
        <v>54647</v>
      </c>
      <c r="CB38" s="191">
        <f>'[1]October - 2022'!CE38</f>
        <v>24</v>
      </c>
      <c r="CC38" s="89">
        <f>'[1]October - 2022'!CF38</f>
        <v>18484</v>
      </c>
      <c r="CD38" s="191">
        <f>'[1]October - 2022'!CG38</f>
        <v>6</v>
      </c>
      <c r="CE38" s="89">
        <f>'[1]October - 2022'!CH38</f>
        <v>25172</v>
      </c>
      <c r="CF38" s="191">
        <f>'[1]October - 2022'!CI38</f>
        <v>13</v>
      </c>
      <c r="CG38" s="89">
        <f>'[1]October - 2022'!CJ38</f>
        <v>27894</v>
      </c>
      <c r="CH38" s="191">
        <f>'[1]October - 2022'!CK38</f>
        <v>12</v>
      </c>
      <c r="CI38" s="89">
        <f>'[1]October - 2022'!CL38</f>
        <v>61093</v>
      </c>
      <c r="CJ38" s="191">
        <f>'[1]October - 2022'!CM38</f>
        <v>37</v>
      </c>
      <c r="CK38" s="89">
        <f>'[1]October - 2022'!CN38</f>
        <v>265034</v>
      </c>
      <c r="CL38" s="246">
        <f>'[1]October - 2022'!CO38</f>
        <v>73</v>
      </c>
      <c r="CM38" s="89">
        <f>'[1]October - 2022'!CO38</f>
        <v>73</v>
      </c>
      <c r="CN38" s="89">
        <f>'[1]October - 2022'!CQ38</f>
        <v>210937</v>
      </c>
      <c r="CO38" s="246">
        <f>'[1]October - 2022'!CR38</f>
        <v>102</v>
      </c>
      <c r="CP38" s="89">
        <f>'[1]October - 2022'!CR38</f>
        <v>102</v>
      </c>
      <c r="CQ38" s="89">
        <f>'[1]October - 2022'!CT38</f>
        <v>349824</v>
      </c>
      <c r="CR38" s="246">
        <f>'[1]October - 2022'!CU38</f>
        <v>0</v>
      </c>
      <c r="CS38" s="89">
        <f>'[1]October - 2022'!CU38</f>
        <v>0</v>
      </c>
      <c r="CT38" s="89">
        <f>'[1]October - 2022'!CW38</f>
        <v>687722</v>
      </c>
      <c r="CU38" s="191">
        <f>'[1]October - 2022'!CX38</f>
        <v>165</v>
      </c>
      <c r="CV38" s="518"/>
      <c r="CW38" s="256">
        <f>'[1]October - 2022'!CZ38</f>
        <v>8541</v>
      </c>
      <c r="CX38" s="198">
        <f>'[1]October - 2022'!DA38</f>
        <v>10</v>
      </c>
      <c r="CY38" s="257">
        <f>'[1]October - 2022'!DB38</f>
        <v>5791</v>
      </c>
      <c r="CZ38" s="198">
        <f>'[1]October - 2022'!DC38</f>
        <v>7</v>
      </c>
      <c r="DA38" s="257">
        <f>'[1]October - 2022'!DD38</f>
        <v>31499</v>
      </c>
      <c r="DB38" s="198">
        <f>'[1]October - 2022'!DE38</f>
        <v>15</v>
      </c>
      <c r="DC38" s="257">
        <f>'[1]October - 2022'!DF38</f>
        <v>31780</v>
      </c>
      <c r="DD38" s="198">
        <f>'[1]October - 2022'!DG38</f>
        <v>15</v>
      </c>
      <c r="DE38" s="257">
        <f>'[1]October - 2022'!DH38</f>
        <v>21437</v>
      </c>
      <c r="DF38" s="198">
        <f>'[1]October - 2022'!DI38</f>
        <v>12</v>
      </c>
      <c r="DG38" s="257">
        <f>'[1]October - 2022'!DJ38</f>
        <v>23782</v>
      </c>
      <c r="DH38" s="198">
        <f>'[1]October - 2022'!DK38</f>
        <v>6</v>
      </c>
      <c r="DI38" s="257">
        <f>'[1]October - 2022'!DL38</f>
        <v>6699</v>
      </c>
      <c r="DJ38" s="198">
        <f>'[1]October - 2022'!DM38</f>
        <v>11</v>
      </c>
      <c r="DK38" s="257">
        <f>'[1]October - 2022'!DN38</f>
        <v>9446</v>
      </c>
      <c r="DL38" s="198">
        <f>'[1]October - 2022'!DO38</f>
        <v>10</v>
      </c>
      <c r="DM38" s="257">
        <f>'[1]October - 2022'!DP38</f>
        <v>3122</v>
      </c>
      <c r="DN38" s="198">
        <f>'[1]October - 2022'!DQ38</f>
        <v>3</v>
      </c>
      <c r="DO38" s="257">
        <f>'[1]October - 2022'!DR38</f>
        <v>6053</v>
      </c>
      <c r="DP38" s="198">
        <f>'[1]October - 2022'!DS38</f>
        <v>10</v>
      </c>
      <c r="DQ38" s="257">
        <f>'[1]October - 2022'!DT38</f>
        <v>30046</v>
      </c>
      <c r="DR38" s="206">
        <f>'[1]October - 2022'!DU38</f>
        <v>5</v>
      </c>
      <c r="DS38" s="534"/>
      <c r="DT38" s="210">
        <f>'[1]October - 2022'!DW38</f>
        <v>5870.6</v>
      </c>
      <c r="DU38" s="221">
        <f>'[1]October - 2022'!DX38</f>
        <v>12.200000000000728</v>
      </c>
      <c r="DV38" s="91">
        <f>'[1]October - 2022'!DY38</f>
        <v>10945.8</v>
      </c>
      <c r="DW38" s="215">
        <f>'[1]October - 2022'!DZ38</f>
        <v>9.0999999999985448</v>
      </c>
      <c r="DX38" s="91">
        <f>'[1]October - 2022'!EA38</f>
        <v>4520.3999999999996</v>
      </c>
      <c r="DY38" s="215">
        <f>'[1]October - 2022'!EB38</f>
        <v>7.0999999999994543</v>
      </c>
      <c r="DZ38" s="91">
        <f>'[1]October - 2022'!EC38</f>
        <v>5111.2</v>
      </c>
      <c r="EA38" s="215">
        <f>'[1]October - 2022'!ED38</f>
        <v>7.0999999999994543</v>
      </c>
      <c r="EB38" s="91">
        <f>'[1]October - 2022'!EE38</f>
        <v>1101615</v>
      </c>
      <c r="EC38" s="215">
        <f>'[1]October - 2022'!EF38</f>
        <v>740</v>
      </c>
      <c r="ED38" s="91">
        <f>'[1]October - 2022'!EI38</f>
        <v>225669.6</v>
      </c>
      <c r="EE38" s="229">
        <f>'[1]October - 2022'!EJ38</f>
        <v>154.70000000001164</v>
      </c>
      <c r="EF38" s="581"/>
      <c r="EG38" s="235">
        <f>'[1]October - 2022'!EL38</f>
        <v>11938700</v>
      </c>
      <c r="EH38" s="230">
        <f>'[1]October - 2022'!EM38</f>
        <v>8100</v>
      </c>
      <c r="EI38" s="90">
        <f>'[1]October - 2022'!EN38</f>
        <v>922420</v>
      </c>
      <c r="EJ38" s="230">
        <f>'[1]October - 2022'!EO38</f>
        <v>380</v>
      </c>
      <c r="EK38" s="90">
        <f>'[1]October - 2022'!EP38</f>
        <v>7129600</v>
      </c>
      <c r="EL38" s="230">
        <f>'[1]October - 2022'!EQ38</f>
        <v>3300</v>
      </c>
      <c r="EM38" s="90">
        <f>'[1]October - 2022'!ER38</f>
        <v>2478000</v>
      </c>
      <c r="EN38" s="230">
        <f>'[1]October - 2022'!ES38</f>
        <v>700</v>
      </c>
      <c r="EO38" s="90">
        <f>'[1]October - 2022'!ET38</f>
        <v>1247400</v>
      </c>
      <c r="EP38" s="230">
        <f>'[1]October - 2022'!EU38</f>
        <v>1030</v>
      </c>
      <c r="EQ38" s="90">
        <f>'[1]October - 2022'!EV38</f>
        <v>16399000</v>
      </c>
      <c r="ER38" s="230">
        <f>'[1]October - 2022'!EW38</f>
        <v>9300</v>
      </c>
      <c r="ES38" s="556"/>
      <c r="ET38" s="281">
        <f>'[1]October - 2022'!EY38</f>
        <v>41441</v>
      </c>
      <c r="EU38" s="275">
        <f>'[1]October - 2022'!EZ38</f>
        <v>16</v>
      </c>
      <c r="EV38" s="282">
        <f>'[1]October - 2022'!FA38</f>
        <v>36306</v>
      </c>
      <c r="EW38" s="275">
        <f>'[1]October - 2022'!FB38</f>
        <v>13</v>
      </c>
      <c r="EX38" s="282">
        <f>'[1]October - 2022'!FC38</f>
        <v>7131</v>
      </c>
      <c r="EY38" s="275">
        <f>'[1]October - 2022'!FD38</f>
        <v>14</v>
      </c>
      <c r="EZ38" s="282">
        <f>'[1]October - 2022'!FE38</f>
        <v>58686</v>
      </c>
      <c r="FA38" s="275">
        <f>'[1]October - 2022'!FF38</f>
        <v>17</v>
      </c>
      <c r="FB38" s="282">
        <f>'[1]October - 2022'!FG38</f>
        <v>48143</v>
      </c>
      <c r="FC38" s="276">
        <f>'[1]October - 2022'!FH38</f>
        <v>38</v>
      </c>
    </row>
    <row r="39" spans="1:160" ht="30" customHeight="1" x14ac:dyDescent="0.25">
      <c r="A39" s="207">
        <v>43860</v>
      </c>
      <c r="B39" s="209">
        <f>'[1]October - 2022'!B39</f>
        <v>0.79</v>
      </c>
      <c r="C39" s="250">
        <f>'[1]October - 2022'!E39</f>
        <v>177928</v>
      </c>
      <c r="D39" s="170">
        <f>'[1]October - 2022'!F39</f>
        <v>971</v>
      </c>
      <c r="E39" s="168">
        <f>'[1]October - 2022'!G39</f>
        <v>670</v>
      </c>
      <c r="F39" s="168">
        <f>'[1]October - 2022'!H39</f>
        <v>223181</v>
      </c>
      <c r="G39" s="170">
        <f>'[1]October - 2022'!I39</f>
        <v>382</v>
      </c>
      <c r="H39" s="168">
        <f>'[1]October - 2022'!J39</f>
        <v>465</v>
      </c>
      <c r="I39" s="168">
        <f>'[1]October - 2022'!K39</f>
        <v>2098</v>
      </c>
      <c r="J39" s="170">
        <f>'[1]October - 2022'!L39</f>
        <v>223</v>
      </c>
      <c r="K39" s="168">
        <f>'[1]October - 2022'!N39</f>
        <v>910207</v>
      </c>
      <c r="L39" s="170">
        <f>'[1]October - 2022'!O39</f>
        <v>261</v>
      </c>
      <c r="M39" s="168">
        <f>'[1]October - 2022'!Q39</f>
        <v>238709</v>
      </c>
      <c r="N39" s="170">
        <f>'[1]October - 2022'!R39</f>
        <v>167</v>
      </c>
      <c r="O39" s="168">
        <f>'[1]October - 2022'!U39</f>
        <v>110224</v>
      </c>
      <c r="P39" s="170">
        <f>'[1]October - 2022'!V39</f>
        <v>182</v>
      </c>
      <c r="Q39" s="168">
        <f>'[1]October - 2022'!W39</f>
        <v>154.68000000000029</v>
      </c>
      <c r="R39" s="168">
        <f>'[1]October - 2022'!X39</f>
        <v>5847</v>
      </c>
      <c r="S39" s="208">
        <f>'[1]October - 2022'!Y39</f>
        <v>6</v>
      </c>
      <c r="T39" s="477"/>
      <c r="U39" s="169">
        <f>'[1]October - 2022'!AE39</f>
        <v>8049274.7999999998</v>
      </c>
      <c r="V39" s="288">
        <f>'[1]October - 2022'!AF39</f>
        <v>3069.359999999404</v>
      </c>
      <c r="W39" s="92">
        <f>'[1]October - 2022'!AF39</f>
        <v>3069.359999999404</v>
      </c>
      <c r="X39" s="287">
        <f>'[1]October - 2022'!AH39</f>
        <v>15295985.039999999</v>
      </c>
      <c r="Y39" s="288">
        <f>'[1]October - 2022'!AI39</f>
        <v>4677.1200000010431</v>
      </c>
      <c r="Z39" s="92">
        <f>'[1]October - 2022'!AI39</f>
        <v>4677.1200000010431</v>
      </c>
      <c r="AA39" s="287">
        <f>'[1]October - 2022'!AK39</f>
        <v>15606087.84</v>
      </c>
      <c r="AB39" s="288">
        <f>'[1]October - 2022'!AL39</f>
        <v>11936.400000000373</v>
      </c>
      <c r="AC39" s="92">
        <f>'[1]October - 2022'!AL39</f>
        <v>11936.400000000373</v>
      </c>
      <c r="AD39" s="287">
        <f>'[1]October - 2022'!AN39</f>
        <v>18646946.639999997</v>
      </c>
      <c r="AE39" s="288">
        <f>'[1]October - 2022'!AO39</f>
        <v>6431.0399999991059</v>
      </c>
      <c r="AF39" s="92">
        <f>'[1]October - 2022'!AO39</f>
        <v>6431.0399999991059</v>
      </c>
      <c r="AG39" s="287">
        <f>'[1]October - 2022'!AQ39</f>
        <v>18948572.16</v>
      </c>
      <c r="AH39" s="288">
        <f>'[1]October - 2022'!AR39</f>
        <v>389.76000000163913</v>
      </c>
      <c r="AI39" s="92">
        <f>'[1]October - 2022'!AR39</f>
        <v>389.76000000163913</v>
      </c>
      <c r="AJ39" s="287">
        <f>'[1]October - 2022'!AT39</f>
        <v>17340568.560000002</v>
      </c>
      <c r="AK39" s="288">
        <f>'[1]October - 2022'!AU39</f>
        <v>5748.9600000046194</v>
      </c>
      <c r="AL39" s="92">
        <f>'[1]October - 2022'!AU39</f>
        <v>5748.9600000046194</v>
      </c>
      <c r="AM39" s="287">
        <f>'[1]October - 2022'!AW39</f>
        <v>14609958.719999999</v>
      </c>
      <c r="AN39" s="288">
        <f>'[1]October - 2022'!AX39</f>
        <v>4530.9599999990314</v>
      </c>
      <c r="AO39" s="92">
        <f>'[1]October - 2022'!AX39</f>
        <v>4530.9599999990314</v>
      </c>
      <c r="AP39" s="287">
        <f>'[1]October - 2022'!AZ39</f>
        <v>14125828.08</v>
      </c>
      <c r="AQ39" s="288">
        <f>'[1]October - 2022'!BA39</f>
        <v>3556.5600000005215</v>
      </c>
      <c r="AR39" s="92">
        <f>'[1]October - 2022'!BA39</f>
        <v>3556.5600000005215</v>
      </c>
      <c r="AS39" s="287">
        <f>'[1]October - 2022'!BC39</f>
        <v>11059488.719999999</v>
      </c>
      <c r="AT39" s="288">
        <f>'[1]October - 2022'!BD39</f>
        <v>2874.4799999985844</v>
      </c>
      <c r="AU39" s="92">
        <f>'[1]October - 2022'!BD39</f>
        <v>2874.4799999985844</v>
      </c>
      <c r="AV39" s="287">
        <f>'[1]October - 2022'!BF39</f>
        <v>17473086.960000001</v>
      </c>
      <c r="AW39" s="252">
        <f>'[1]October - 2022'!BG39</f>
        <v>5895.1200000010431</v>
      </c>
      <c r="AX39" s="253">
        <f>'[1]October - 2022'!BG39</f>
        <v>5895.1200000010431</v>
      </c>
      <c r="AY39" s="494"/>
      <c r="AZ39" s="272">
        <f>'[1]October - 2022'!BM39</f>
        <v>77139600</v>
      </c>
      <c r="BA39" s="179">
        <f>'[1]October - 2022'!BN39</f>
        <v>58100</v>
      </c>
      <c r="BB39" s="93">
        <f>'[1]October - 2022'!BN39</f>
        <v>58100</v>
      </c>
      <c r="BC39" s="272">
        <f>'[1]October - 2022'!BP39</f>
        <v>79614800</v>
      </c>
      <c r="BD39" s="245">
        <f>'[1]October - 2022'!BQ39</f>
        <v>34600</v>
      </c>
      <c r="BE39" s="93">
        <f>'[1]October - 2022'!BQ39</f>
        <v>34600</v>
      </c>
      <c r="BF39" s="272">
        <f>'[1]October - 2022'!BS39</f>
        <v>73730900</v>
      </c>
      <c r="BG39" s="245">
        <f>'[1]October - 2022'!BT39</f>
        <v>0</v>
      </c>
      <c r="BH39" s="93">
        <f>'[1]October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9919630</v>
      </c>
      <c r="BT39" s="185">
        <f>'[1]October - 2022'!BW39</f>
        <v>7180</v>
      </c>
      <c r="BU39" s="591"/>
      <c r="BV39" s="88">
        <f>'[1]October - 2022'!BY39</f>
        <v>0.55000000000000004</v>
      </c>
      <c r="BW39" s="241">
        <f>'[1]October - 2022'!BZ39</f>
        <v>2.9999999999999916E-2</v>
      </c>
      <c r="BX39" s="88">
        <f>'[1]October - 2022'!BZ39</f>
        <v>2.9999999999999916E-2</v>
      </c>
      <c r="BY39" s="89">
        <f>'[1]October - 2022'!CB39</f>
        <v>63518</v>
      </c>
      <c r="BZ39" s="191">
        <f>'[1]October - 2022'!CC39</f>
        <v>19</v>
      </c>
      <c r="CA39" s="89">
        <f>'[1]October - 2022'!CD39</f>
        <v>54664</v>
      </c>
      <c r="CB39" s="191">
        <f>'[1]October - 2022'!CE39</f>
        <v>17</v>
      </c>
      <c r="CC39" s="89">
        <f>'[1]October - 2022'!CF39</f>
        <v>18489</v>
      </c>
      <c r="CD39" s="191">
        <f>'[1]October - 2022'!CG39</f>
        <v>5</v>
      </c>
      <c r="CE39" s="89">
        <f>'[1]October - 2022'!CH39</f>
        <v>25180</v>
      </c>
      <c r="CF39" s="191">
        <f>'[1]October - 2022'!CI39</f>
        <v>8</v>
      </c>
      <c r="CG39" s="89">
        <f>'[1]October - 2022'!CJ39</f>
        <v>27908</v>
      </c>
      <c r="CH39" s="191">
        <f>'[1]October - 2022'!CK39</f>
        <v>14</v>
      </c>
      <c r="CI39" s="89">
        <f>'[1]October - 2022'!CL39</f>
        <v>61132</v>
      </c>
      <c r="CJ39" s="191">
        <f>'[1]October - 2022'!CM39</f>
        <v>39</v>
      </c>
      <c r="CK39" s="89">
        <f>'[1]October - 2022'!CN39</f>
        <v>265106</v>
      </c>
      <c r="CL39" s="246">
        <f>'[1]October - 2022'!CO39</f>
        <v>72</v>
      </c>
      <c r="CM39" s="89">
        <f>'[1]October - 2022'!CO39</f>
        <v>72</v>
      </c>
      <c r="CN39" s="89">
        <f>'[1]October - 2022'!CQ39</f>
        <v>211037</v>
      </c>
      <c r="CO39" s="246">
        <f>'[1]October - 2022'!CR39</f>
        <v>100</v>
      </c>
      <c r="CP39" s="89">
        <f>'[1]October - 2022'!CR39</f>
        <v>100</v>
      </c>
      <c r="CQ39" s="89">
        <f>'[1]October - 2022'!CT39</f>
        <v>349824</v>
      </c>
      <c r="CR39" s="246">
        <f>'[1]October - 2022'!CU39</f>
        <v>0</v>
      </c>
      <c r="CS39" s="89">
        <f>'[1]October - 2022'!CU39</f>
        <v>0</v>
      </c>
      <c r="CT39" s="89">
        <f>'[1]October - 2022'!CW39</f>
        <v>687890</v>
      </c>
      <c r="CU39" s="191">
        <f>'[1]October - 2022'!CX39</f>
        <v>168</v>
      </c>
      <c r="CV39" s="518"/>
      <c r="CW39" s="256">
        <f>'[1]October - 2022'!CZ39</f>
        <v>8545</v>
      </c>
      <c r="CX39" s="198">
        <f>'[1]October - 2022'!DA39</f>
        <v>4</v>
      </c>
      <c r="CY39" s="257">
        <f>'[1]October - 2022'!DB39</f>
        <v>5793</v>
      </c>
      <c r="CZ39" s="198">
        <f>'[1]October - 2022'!DC39</f>
        <v>2</v>
      </c>
      <c r="DA39" s="257">
        <f>'[1]October - 2022'!DD39</f>
        <v>31519</v>
      </c>
      <c r="DB39" s="198">
        <f>'[1]October - 2022'!DE39</f>
        <v>20</v>
      </c>
      <c r="DC39" s="257">
        <f>'[1]October - 2022'!DF39</f>
        <v>31794</v>
      </c>
      <c r="DD39" s="198">
        <f>'[1]October - 2022'!DG39</f>
        <v>14</v>
      </c>
      <c r="DE39" s="257">
        <f>'[1]October - 2022'!DH39</f>
        <v>21445</v>
      </c>
      <c r="DF39" s="198">
        <f>'[1]October - 2022'!DI39</f>
        <v>8</v>
      </c>
      <c r="DG39" s="257">
        <f>'[1]October - 2022'!DJ39</f>
        <v>23789</v>
      </c>
      <c r="DH39" s="198">
        <f>'[1]October - 2022'!DK39</f>
        <v>7</v>
      </c>
      <c r="DI39" s="257">
        <f>'[1]October - 2022'!DL39</f>
        <v>6712</v>
      </c>
      <c r="DJ39" s="198">
        <f>'[1]October - 2022'!DM39</f>
        <v>13</v>
      </c>
      <c r="DK39" s="257">
        <f>'[1]October - 2022'!DN39</f>
        <v>9458</v>
      </c>
      <c r="DL39" s="198">
        <f>'[1]October - 2022'!DO39</f>
        <v>12</v>
      </c>
      <c r="DM39" s="257">
        <f>'[1]October - 2022'!DP39</f>
        <v>3126</v>
      </c>
      <c r="DN39" s="198">
        <f>'[1]October - 2022'!DQ39</f>
        <v>4</v>
      </c>
      <c r="DO39" s="257">
        <f>'[1]October - 2022'!DR39</f>
        <v>6063</v>
      </c>
      <c r="DP39" s="198">
        <f>'[1]October - 2022'!DS39</f>
        <v>10</v>
      </c>
      <c r="DQ39" s="257">
        <f>'[1]October - 2022'!DT39</f>
        <v>30046</v>
      </c>
      <c r="DR39" s="206">
        <f>'[1]October - 2022'!DU39</f>
        <v>0</v>
      </c>
      <c r="DS39" s="534"/>
      <c r="DT39" s="210">
        <f>'[1]October - 2022'!DW39</f>
        <v>5882.4</v>
      </c>
      <c r="DU39" s="221">
        <f>'[1]October - 2022'!DX39</f>
        <v>11.799999999999272</v>
      </c>
      <c r="DV39" s="91">
        <f>'[1]October - 2022'!DY39</f>
        <v>10954.1</v>
      </c>
      <c r="DW39" s="215">
        <f>'[1]October - 2022'!DZ39</f>
        <v>8.3000000000010914</v>
      </c>
      <c r="DX39" s="91">
        <f>'[1]October - 2022'!EA39</f>
        <v>4527.3</v>
      </c>
      <c r="DY39" s="215">
        <f>'[1]October - 2022'!EB39</f>
        <v>6.9000000000005457</v>
      </c>
      <c r="DZ39" s="91">
        <f>'[1]October - 2022'!EC39</f>
        <v>5117.8999999999996</v>
      </c>
      <c r="EA39" s="215">
        <f>'[1]October - 2022'!ED39</f>
        <v>6.6999999999998181</v>
      </c>
      <c r="EB39" s="91">
        <f>'[1]October - 2022'!EE39</f>
        <v>1102297</v>
      </c>
      <c r="EC39" s="215">
        <f>'[1]October - 2022'!EF39</f>
        <v>682</v>
      </c>
      <c r="ED39" s="91">
        <f>'[1]October - 2022'!EI39</f>
        <v>225818.7</v>
      </c>
      <c r="EE39" s="229">
        <f>'[1]October - 2022'!EJ39</f>
        <v>149.10000000000582</v>
      </c>
      <c r="EF39" s="581"/>
      <c r="EG39" s="235">
        <f>'[1]October - 2022'!EL39</f>
        <v>11946600</v>
      </c>
      <c r="EH39" s="230">
        <f>'[1]October - 2022'!EM39</f>
        <v>7900</v>
      </c>
      <c r="EI39" s="90">
        <f>'[1]October - 2022'!EN39</f>
        <v>922780</v>
      </c>
      <c r="EJ39" s="230">
        <f>'[1]October - 2022'!EO39</f>
        <v>360</v>
      </c>
      <c r="EK39" s="90">
        <f>'[1]October - 2022'!EP39</f>
        <v>7132800</v>
      </c>
      <c r="EL39" s="230">
        <f>'[1]October - 2022'!EQ39</f>
        <v>3200</v>
      </c>
      <c r="EM39" s="90">
        <f>'[1]October - 2022'!ER39</f>
        <v>2478700</v>
      </c>
      <c r="EN39" s="230">
        <f>'[1]October - 2022'!ES39</f>
        <v>700</v>
      </c>
      <c r="EO39" s="90">
        <f>'[1]October - 2022'!ET39</f>
        <v>1248360</v>
      </c>
      <c r="EP39" s="230">
        <f>'[1]October - 2022'!EU39</f>
        <v>960</v>
      </c>
      <c r="EQ39" s="90">
        <f>'[1]October - 2022'!EV39</f>
        <v>16408200</v>
      </c>
      <c r="ER39" s="230">
        <f>'[1]October - 2022'!EW39</f>
        <v>9200</v>
      </c>
      <c r="ES39" s="556"/>
      <c r="ET39" s="281">
        <f>'[1]October - 2022'!EY39</f>
        <v>41452</v>
      </c>
      <c r="EU39" s="275">
        <f>'[1]October - 2022'!EZ39</f>
        <v>11</v>
      </c>
      <c r="EV39" s="282">
        <f>'[1]October - 2022'!FA39</f>
        <v>36320</v>
      </c>
      <c r="EW39" s="275">
        <f>'[1]October - 2022'!FB39</f>
        <v>14</v>
      </c>
      <c r="EX39" s="282">
        <f>'[1]October - 2022'!FC39</f>
        <v>7141</v>
      </c>
      <c r="EY39" s="275">
        <f>'[1]October - 2022'!FD39</f>
        <v>10</v>
      </c>
      <c r="EZ39" s="282">
        <f>'[1]October - 2022'!FE39</f>
        <v>58697</v>
      </c>
      <c r="FA39" s="275">
        <f>'[1]October - 2022'!FF39</f>
        <v>11</v>
      </c>
      <c r="FB39" s="282">
        <f>'[1]October - 2022'!FG39</f>
        <v>48179</v>
      </c>
      <c r="FC39" s="276">
        <f>'[1]October - 2022'!FH39</f>
        <v>36</v>
      </c>
    </row>
    <row r="40" spans="1:160" ht="30" customHeight="1" thickBot="1" x14ac:dyDescent="0.45">
      <c r="A40" s="207">
        <v>43861</v>
      </c>
      <c r="B40" s="296">
        <f>'[1]October - 2022'!B40</f>
        <v>0.82</v>
      </c>
      <c r="C40" s="250">
        <f>'[1]October - 2022'!E40</f>
        <v>178881</v>
      </c>
      <c r="D40" s="170">
        <f>'[1]October - 2022'!F40</f>
        <v>953</v>
      </c>
      <c r="E40" s="168">
        <f>'[1]October - 2022'!G40</f>
        <v>659</v>
      </c>
      <c r="F40" s="168">
        <f>'[1]October - 2022'!H40</f>
        <v>223632</v>
      </c>
      <c r="G40" s="170">
        <f>'[1]October - 2022'!I40</f>
        <v>451</v>
      </c>
      <c r="H40" s="168">
        <f>'[1]October - 2022'!J40</f>
        <v>438</v>
      </c>
      <c r="I40" s="168">
        <f>'[1]October - 2022'!K40</f>
        <v>2208</v>
      </c>
      <c r="J40" s="170">
        <f>'[1]October - 2022'!L40</f>
        <v>110</v>
      </c>
      <c r="K40" s="168">
        <f>'[1]October - 2022'!N40</f>
        <v>910541</v>
      </c>
      <c r="L40" s="170">
        <f>'[1]October - 2022'!O40</f>
        <v>334</v>
      </c>
      <c r="M40" s="168">
        <f>'[1]October - 2022'!Q40</f>
        <v>238920</v>
      </c>
      <c r="N40" s="170">
        <f>'[1]October - 2022'!R40</f>
        <v>211</v>
      </c>
      <c r="O40" s="168">
        <f>'[1]October - 2022'!U40</f>
        <v>110400</v>
      </c>
      <c r="P40" s="170">
        <f>'[1]October - 2022'!V40</f>
        <v>176</v>
      </c>
      <c r="Q40" s="168">
        <f>'[1]October - 2022'!W40</f>
        <v>187.29999999999563</v>
      </c>
      <c r="R40" s="168">
        <f>'[1]October - 2022'!X40</f>
        <v>5862</v>
      </c>
      <c r="S40" s="208">
        <f>'[1]October - 2022'!Y40</f>
        <v>15</v>
      </c>
      <c r="T40" s="284"/>
      <c r="U40" s="291">
        <f>'[1]October - 2022'!AE40</f>
        <v>8052051.8399999999</v>
      </c>
      <c r="V40" s="292">
        <f>'[1]October - 2022'!AF40</f>
        <v>2777.0400000000373</v>
      </c>
      <c r="W40" s="293">
        <f>'[1]October - 2022'!AF40</f>
        <v>2777.0400000000373</v>
      </c>
      <c r="X40" s="294">
        <f>'[1]October - 2022'!AH40</f>
        <v>15300662.16</v>
      </c>
      <c r="Y40" s="292">
        <f>'[1]October - 2022'!AI40</f>
        <v>4677.1200000010431</v>
      </c>
      <c r="Z40" s="293">
        <f>'[1]October - 2022'!AI40</f>
        <v>4677.1200000010431</v>
      </c>
      <c r="AA40" s="294">
        <f>'[1]October - 2022'!AK40</f>
        <v>15617780.640000001</v>
      </c>
      <c r="AB40" s="292">
        <f>'[1]October - 2022'!AL40</f>
        <v>11692.800000000745</v>
      </c>
      <c r="AC40" s="293">
        <f>'[1]October - 2022'!AL40</f>
        <v>11692.800000000745</v>
      </c>
      <c r="AD40" s="294">
        <f>'[1]October - 2022'!AN40</f>
        <v>18654011.039999999</v>
      </c>
      <c r="AE40" s="292">
        <f>'[1]October - 2022'!AO40</f>
        <v>7064.4000000022352</v>
      </c>
      <c r="AF40" s="293">
        <f>'[1]October - 2022'!AO40</f>
        <v>7064.4000000022352</v>
      </c>
      <c r="AG40" s="294">
        <f>'[1]October - 2022'!AQ40</f>
        <v>18948669.599999998</v>
      </c>
      <c r="AH40" s="292">
        <f>'[1]October - 2022'!AR40</f>
        <v>97.439999997615814</v>
      </c>
      <c r="AI40" s="293">
        <f>'[1]October - 2022'!AR40</f>
        <v>97.439999997615814</v>
      </c>
      <c r="AJ40" s="294">
        <f>'[1]October - 2022'!AT40</f>
        <v>17346512.399999999</v>
      </c>
      <c r="AK40" s="292">
        <f>'[1]October - 2022'!AU40</f>
        <v>5943.8399999961257</v>
      </c>
      <c r="AL40" s="293">
        <f>'[1]October - 2022'!AU40</f>
        <v>5943.8399999961257</v>
      </c>
      <c r="AM40" s="294">
        <f>'[1]October - 2022'!AW40</f>
        <v>14614489.68</v>
      </c>
      <c r="AN40" s="292">
        <f>'[1]October - 2022'!AX40</f>
        <v>4530.9600000008941</v>
      </c>
      <c r="AO40" s="293">
        <f>'[1]October - 2022'!AX40</f>
        <v>4530.9600000008941</v>
      </c>
      <c r="AP40" s="294">
        <f>'[1]October - 2022'!AZ40</f>
        <v>14131382.16</v>
      </c>
      <c r="AQ40" s="292">
        <f>'[1]October - 2022'!BA40</f>
        <v>5554.0800000000745</v>
      </c>
      <c r="AR40" s="293">
        <f>'[1]October - 2022'!BA40</f>
        <v>5554.0800000000745</v>
      </c>
      <c r="AS40" s="294">
        <f>'[1]October - 2022'!BC40</f>
        <v>11062363.199999999</v>
      </c>
      <c r="AT40" s="292">
        <f>'[1]October - 2022'!BD40</f>
        <v>2874.480000000447</v>
      </c>
      <c r="AU40" s="293">
        <f>'[1]October - 2022'!BD40</f>
        <v>2874.480000000447</v>
      </c>
      <c r="AV40" s="294">
        <f>'[1]October - 2022'!BF40</f>
        <v>17478835.919999998</v>
      </c>
      <c r="AW40" s="252">
        <f>'[1]October - 2022'!BG40</f>
        <v>5748.9599999971688</v>
      </c>
      <c r="AX40" s="253">
        <f>'[1]October - 2022'!BG40</f>
        <v>5748.9599999971688</v>
      </c>
      <c r="AY40" s="285"/>
      <c r="AZ40" s="272">
        <f>'[1]October - 2022'!BM40</f>
        <v>77194800</v>
      </c>
      <c r="BA40" s="179">
        <f>'[1]October - 2022'!BN40</f>
        <v>55200</v>
      </c>
      <c r="BB40" s="93">
        <f>'[1]October - 2022'!BN40</f>
        <v>55200</v>
      </c>
      <c r="BC40" s="272">
        <f>'[1]October - 2022'!BP40</f>
        <v>79651500</v>
      </c>
      <c r="BD40" s="245">
        <f>'[1]October - 2022'!BQ40</f>
        <v>36700</v>
      </c>
      <c r="BE40" s="93">
        <f>'[1]October - 2022'!BQ40</f>
        <v>36700</v>
      </c>
      <c r="BF40" s="272">
        <f>'[1]October - 2022'!BS40</f>
        <v>73730900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9927590</v>
      </c>
      <c r="BT40" s="185">
        <f>'[1]October - 2022'!BW40</f>
        <v>7960</v>
      </c>
      <c r="BU40" s="286"/>
      <c r="BV40" s="88">
        <f>'[1]October - 2022'!BY40</f>
        <v>0.49</v>
      </c>
      <c r="BW40" s="241">
        <f>'[1]October - 2022'!BZ40</f>
        <v>6.0000000000000053E-2</v>
      </c>
      <c r="BX40" s="88">
        <f>'[1]October - 2022'!BZ40</f>
        <v>6.0000000000000053E-2</v>
      </c>
      <c r="BY40" s="89">
        <f>'[1]October - 2022'!CB40</f>
        <v>63542</v>
      </c>
      <c r="BZ40" s="191">
        <f>'[1]October - 2022'!CC40</f>
        <v>24</v>
      </c>
      <c r="CA40" s="89">
        <f>'[1]October - 2022'!CD40</f>
        <v>54684</v>
      </c>
      <c r="CB40" s="191">
        <f>'[1]October - 2022'!CE40</f>
        <v>20</v>
      </c>
      <c r="CC40" s="89">
        <f>'[1]October - 2022'!CF40</f>
        <v>18495</v>
      </c>
      <c r="CD40" s="191">
        <f>'[1]October - 2022'!CG40</f>
        <v>6</v>
      </c>
      <c r="CE40" s="89">
        <f>'[1]October - 2022'!CH40</f>
        <v>25191</v>
      </c>
      <c r="CF40" s="191">
        <f>'[1]October - 2022'!CI40</f>
        <v>11</v>
      </c>
      <c r="CG40" s="89">
        <f>'[1]October - 2022'!CJ40</f>
        <v>27922</v>
      </c>
      <c r="CH40" s="191">
        <f>'[1]October - 2022'!CK40</f>
        <v>14</v>
      </c>
      <c r="CI40" s="89">
        <f>'[1]October - 2022'!CL40</f>
        <v>61167</v>
      </c>
      <c r="CJ40" s="191">
        <f>'[1]October - 2022'!CM40</f>
        <v>35</v>
      </c>
      <c r="CK40" s="89">
        <f>'[1]October - 2022'!CN40</f>
        <v>265178</v>
      </c>
      <c r="CL40" s="246">
        <f>'[1]October - 2022'!CO40</f>
        <v>72</v>
      </c>
      <c r="CM40" s="89">
        <f>'[1]October - 2022'!CO40</f>
        <v>72</v>
      </c>
      <c r="CN40" s="89">
        <f>'[1]October - 2022'!CQ40</f>
        <v>211137</v>
      </c>
      <c r="CO40" s="246">
        <f>'[1]October - 2022'!CR40</f>
        <v>100</v>
      </c>
      <c r="CP40" s="89">
        <f>'[1]October - 2022'!CR40</f>
        <v>100</v>
      </c>
      <c r="CQ40" s="89">
        <f>'[1]October - 2022'!CT40</f>
        <v>349861</v>
      </c>
      <c r="CR40" s="246">
        <f>'[1]October - 2022'!CU40</f>
        <v>37</v>
      </c>
      <c r="CS40" s="89">
        <f>'[1]October - 2022'!CU40</f>
        <v>37</v>
      </c>
      <c r="CT40" s="89">
        <f>'[1]October - 2022'!CW40</f>
        <v>688055</v>
      </c>
      <c r="CU40" s="191">
        <f>'[1]October - 2022'!CX40</f>
        <v>165</v>
      </c>
      <c r="CV40" s="518"/>
      <c r="CW40" s="256">
        <f>'[1]October - 2022'!CZ40</f>
        <v>8552</v>
      </c>
      <c r="CX40" s="198">
        <f>'[1]October - 2022'!DA40</f>
        <v>7</v>
      </c>
      <c r="CY40" s="257">
        <f>'[1]October - 2022'!DB40</f>
        <v>5797</v>
      </c>
      <c r="CZ40" s="198">
        <f>'[1]October - 2022'!DC40</f>
        <v>4</v>
      </c>
      <c r="DA40" s="257">
        <f>'[1]October - 2022'!DD40</f>
        <v>31533</v>
      </c>
      <c r="DB40" s="198">
        <f>'[1]October - 2022'!DE40</f>
        <v>14</v>
      </c>
      <c r="DC40" s="257">
        <f>'[1]October - 2022'!DF40</f>
        <v>31811</v>
      </c>
      <c r="DD40" s="198">
        <f>'[1]October - 2022'!DG40</f>
        <v>17</v>
      </c>
      <c r="DE40" s="257">
        <f>'[1]October - 2022'!DH40</f>
        <v>21456</v>
      </c>
      <c r="DF40" s="198">
        <f>'[1]October - 2022'!DI40</f>
        <v>11</v>
      </c>
      <c r="DG40" s="257">
        <f>'[1]October - 2022'!DJ40</f>
        <v>23796</v>
      </c>
      <c r="DH40" s="198">
        <f>'[1]October - 2022'!DK40</f>
        <v>7</v>
      </c>
      <c r="DI40" s="257">
        <f>'[1]October - 2022'!DL40</f>
        <v>6723</v>
      </c>
      <c r="DJ40" s="198">
        <f>'[1]October - 2022'!DM40</f>
        <v>11</v>
      </c>
      <c r="DK40" s="257">
        <f>'[1]October - 2022'!DN40</f>
        <v>9463</v>
      </c>
      <c r="DL40" s="198">
        <f>'[1]October - 2022'!DO40</f>
        <v>5</v>
      </c>
      <c r="DM40" s="257">
        <f>'[1]October - 2022'!DP40</f>
        <v>3128</v>
      </c>
      <c r="DN40" s="198">
        <f>'[1]October - 2022'!DQ40</f>
        <v>2</v>
      </c>
      <c r="DO40" s="257">
        <f>'[1]October - 2022'!DR40</f>
        <v>6070</v>
      </c>
      <c r="DP40" s="198">
        <f>'[1]October - 2022'!DS40</f>
        <v>7</v>
      </c>
      <c r="DQ40" s="257">
        <f>'[1]October - 2022'!DT40</f>
        <v>30054</v>
      </c>
      <c r="DR40" s="206">
        <f>'[1]October - 2022'!DU40</f>
        <v>8</v>
      </c>
      <c r="DS40" s="534"/>
      <c r="DT40" s="210">
        <f>'[1]October - 2022'!DW40</f>
        <v>5893.9</v>
      </c>
      <c r="DU40" s="221">
        <f>'[1]October - 2022'!DX40</f>
        <v>11.5</v>
      </c>
      <c r="DV40" s="91">
        <f>'[1]October - 2022'!DY40</f>
        <v>10962.9</v>
      </c>
      <c r="DW40" s="215">
        <f>'[1]October - 2022'!DZ40</f>
        <v>8.7999999999992724</v>
      </c>
      <c r="DX40" s="91">
        <f>'[1]October - 2022'!EA40</f>
        <v>4534.6000000000004</v>
      </c>
      <c r="DY40" s="215">
        <f>'[1]October - 2022'!EB40</f>
        <v>7.3000000000001819</v>
      </c>
      <c r="DZ40" s="91">
        <f>'[1]October - 2022'!EC40</f>
        <v>5124</v>
      </c>
      <c r="EA40" s="215">
        <f>'[1]October - 2022'!ED40</f>
        <v>6.1000000000003638</v>
      </c>
      <c r="EB40" s="91">
        <f>'[1]October - 2022'!EE40</f>
        <v>1102978</v>
      </c>
      <c r="EC40" s="215">
        <f>'[1]October - 2022'!EF40</f>
        <v>681</v>
      </c>
      <c r="ED40" s="91">
        <f>'[1]October - 2022'!EI40</f>
        <v>225971.5</v>
      </c>
      <c r="EE40" s="229">
        <f>'[1]October - 2022'!EJ40</f>
        <v>152.79999999998836</v>
      </c>
      <c r="EF40" s="581"/>
      <c r="EG40" s="235">
        <f>'[1]October - 2022'!EL40</f>
        <v>11950500</v>
      </c>
      <c r="EH40" s="230">
        <f>'[1]October - 2022'!EM40</f>
        <v>3900</v>
      </c>
      <c r="EI40" s="90">
        <f>'[1]October - 2022'!EN40</f>
        <v>922990</v>
      </c>
      <c r="EJ40" s="230">
        <f>'[1]October - 2022'!EO40</f>
        <v>210</v>
      </c>
      <c r="EK40" s="90">
        <f>'[1]October - 2022'!EP40</f>
        <v>7134400</v>
      </c>
      <c r="EL40" s="230">
        <f>'[1]October - 2022'!EQ40</f>
        <v>1600</v>
      </c>
      <c r="EM40" s="90">
        <f>'[1]October - 2022'!ER40</f>
        <v>2479100</v>
      </c>
      <c r="EN40" s="230">
        <f>'[1]October - 2022'!ES40</f>
        <v>400</v>
      </c>
      <c r="EO40" s="90">
        <f>'[1]October - 2022'!ET40</f>
        <v>1248920</v>
      </c>
      <c r="EP40" s="230">
        <f>'[1]October - 2022'!EU40</f>
        <v>560</v>
      </c>
      <c r="EQ40" s="90">
        <f>'[1]October - 2022'!EV40</f>
        <v>16413100</v>
      </c>
      <c r="ER40" s="230">
        <f>'[1]October - 2022'!EW40</f>
        <v>4900</v>
      </c>
      <c r="ES40" s="557"/>
      <c r="ET40" s="281">
        <f>'[1]October - 2022'!EY40</f>
        <v>41465</v>
      </c>
      <c r="EU40" s="275">
        <f>'[1]October - 2022'!EZ40</f>
        <v>13</v>
      </c>
      <c r="EV40" s="282">
        <f>'[1]October - 2022'!FA40</f>
        <v>36332</v>
      </c>
      <c r="EW40" s="275">
        <f>'[1]October - 2022'!FB40</f>
        <v>12</v>
      </c>
      <c r="EX40" s="282">
        <f>'[1]October - 2022'!FC40</f>
        <v>7150</v>
      </c>
      <c r="EY40" s="275">
        <f>'[1]October - 2022'!FD40</f>
        <v>9</v>
      </c>
      <c r="EZ40" s="282">
        <f>'[1]October - 2022'!FE40</f>
        <v>58712</v>
      </c>
      <c r="FA40" s="275">
        <f>'[1]October - 2022'!FF40</f>
        <v>15</v>
      </c>
      <c r="FB40" s="282">
        <f>'[1]October - 2022'!FG40</f>
        <v>48212</v>
      </c>
      <c r="FC40" s="276">
        <f>'[1]October - 2022'!FH40</f>
        <v>33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45601.919999999925</v>
      </c>
      <c r="V44" s="382"/>
      <c r="W44" s="383"/>
      <c r="X44" s="381">
        <f>SUM(Z9:Z24)</f>
        <v>70741.440000001341</v>
      </c>
      <c r="Y44" s="382"/>
      <c r="Z44" s="383"/>
      <c r="AA44" s="381">
        <f>SUM(AC9:AC24)</f>
        <v>107573.76000000164</v>
      </c>
      <c r="AB44" s="382"/>
      <c r="AC44" s="383"/>
      <c r="AD44" s="381">
        <f>SUM(AF9:AF24)</f>
        <v>75857.040000002831</v>
      </c>
      <c r="AE44" s="382"/>
      <c r="AF44" s="383"/>
      <c r="AG44" s="381">
        <f>SUM(AI9:AI24)</f>
        <v>127743.83999999985</v>
      </c>
      <c r="AH44" s="382"/>
      <c r="AI44" s="383"/>
      <c r="AJ44" s="381">
        <f>SUM(AL9:AL24)</f>
        <v>89060.160000003874</v>
      </c>
      <c r="AK44" s="382"/>
      <c r="AL44" s="383"/>
      <c r="AM44" s="381">
        <f>SUM(AO9:AO24)</f>
        <v>67672.080000001937</v>
      </c>
      <c r="AN44" s="382"/>
      <c r="AO44" s="383"/>
      <c r="AP44" s="381">
        <f>SUM(AR9:AR24)</f>
        <v>71618.400000000373</v>
      </c>
      <c r="AQ44" s="382"/>
      <c r="AR44" s="383"/>
      <c r="AS44" s="381">
        <f>SUM(AU9:AU24)</f>
        <v>48720</v>
      </c>
      <c r="AT44" s="382"/>
      <c r="AU44" s="383"/>
      <c r="AV44" s="381">
        <f>SUM(AX9:AX24)</f>
        <v>90570.480000000447</v>
      </c>
      <c r="AW44" s="382"/>
      <c r="AX44" s="382"/>
      <c r="AY44" s="387"/>
      <c r="AZ44" s="382">
        <f>SUM(BB9:BB24)</f>
        <v>517900</v>
      </c>
      <c r="BA44" s="382"/>
      <c r="BB44" s="382"/>
      <c r="BC44" s="381">
        <f>SUM(BE9:BE24)</f>
        <v>343600</v>
      </c>
      <c r="BD44" s="382"/>
      <c r="BE44" s="382"/>
      <c r="BF44" s="377">
        <f>SUM(BH9:BH24)</f>
        <v>639200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1103</v>
      </c>
      <c r="CL44" s="377"/>
      <c r="CM44" s="377"/>
      <c r="CN44" s="377">
        <f>SUM(CP9:CP24)</f>
        <v>1204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12544</v>
      </c>
      <c r="D45" s="595"/>
      <c r="E45" s="596"/>
      <c r="F45" s="595">
        <f>SUM(G9:G24)</f>
        <v>6895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3157</v>
      </c>
      <c r="P45" s="595"/>
      <c r="Q45" s="596"/>
      <c r="R45" s="598"/>
      <c r="S45" s="599"/>
      <c r="T45" s="413"/>
      <c r="U45" s="366">
        <f>SUM(V9:V24)</f>
        <v>45601.919999999925</v>
      </c>
      <c r="V45" s="366"/>
      <c r="W45" s="367"/>
      <c r="X45" s="366">
        <f>SUM(Y9:Y24)</f>
        <v>70741.440000001341</v>
      </c>
      <c r="Y45" s="366"/>
      <c r="Z45" s="367"/>
      <c r="AA45" s="366">
        <f>SUM(AB9:AB24)</f>
        <v>107573.76000000164</v>
      </c>
      <c r="AB45" s="366"/>
      <c r="AC45" s="367"/>
      <c r="AD45" s="366">
        <f>SUM(AE9:AE24)</f>
        <v>75857.040000002831</v>
      </c>
      <c r="AE45" s="366"/>
      <c r="AF45" s="367"/>
      <c r="AG45" s="366">
        <f>SUM(AH9:AH24)</f>
        <v>127743.83999999985</v>
      </c>
      <c r="AH45" s="366"/>
      <c r="AI45" s="367"/>
      <c r="AJ45" s="366">
        <f>SUM(AK9:AK24)</f>
        <v>89060.160000003874</v>
      </c>
      <c r="AK45" s="366"/>
      <c r="AL45" s="367"/>
      <c r="AM45" s="366">
        <f>SUM(AN9:AN24)</f>
        <v>67672.080000001937</v>
      </c>
      <c r="AN45" s="366"/>
      <c r="AO45" s="367"/>
      <c r="AP45" s="366">
        <f>SUM(AQ9:AQ24)</f>
        <v>71618.400000000373</v>
      </c>
      <c r="AQ45" s="366"/>
      <c r="AR45" s="367"/>
      <c r="AS45" s="366">
        <f>SUM(AT9:AT24)</f>
        <v>48720</v>
      </c>
      <c r="AT45" s="366"/>
      <c r="AU45" s="367"/>
      <c r="AV45" s="366">
        <f>SUM(AW9:AW24)</f>
        <v>90570.480000000447</v>
      </c>
      <c r="AW45" s="366"/>
      <c r="AX45" s="366"/>
      <c r="AY45" s="387"/>
      <c r="AZ45" s="367">
        <f>SUM(BA9:BA24)</f>
        <v>517900</v>
      </c>
      <c r="BA45" s="377"/>
      <c r="BB45" s="377"/>
      <c r="BC45" s="377">
        <f>SUM(BD9:BD24)</f>
        <v>343600</v>
      </c>
      <c r="BD45" s="377"/>
      <c r="BE45" s="377"/>
      <c r="BF45" s="377">
        <f>SUM(BG9:BG24)</f>
        <v>639200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1103</v>
      </c>
      <c r="CL45" s="377"/>
      <c r="CM45" s="377"/>
      <c r="CN45" s="377">
        <f>SUM(CO9:CO24)</f>
        <v>1204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84334.320000000298</v>
      </c>
      <c r="V47" s="366"/>
      <c r="W47" s="367"/>
      <c r="X47" s="365">
        <f>SUM(Z9:Z39)</f>
        <v>141726.48000000045</v>
      </c>
      <c r="Y47" s="366"/>
      <c r="Z47" s="367"/>
      <c r="AA47" s="365">
        <f>SUM(AC9:AC39)</f>
        <v>187620.72000000067</v>
      </c>
      <c r="AB47" s="366"/>
      <c r="AC47" s="367"/>
      <c r="AD47" s="365">
        <f>SUM(AF9:AF39)</f>
        <v>178851.11999999732</v>
      </c>
      <c r="AE47" s="366"/>
      <c r="AF47" s="367"/>
      <c r="AG47" s="365">
        <f>SUM(AI9:AI39)</f>
        <v>250420.80000000075</v>
      </c>
      <c r="AH47" s="366"/>
      <c r="AI47" s="367"/>
      <c r="AJ47" s="365">
        <f>SUM(AL9:AL39)</f>
        <v>177145.92000000551</v>
      </c>
      <c r="AK47" s="366"/>
      <c r="AL47" s="367"/>
      <c r="AM47" s="365">
        <f>SUM(AO9:AO39)</f>
        <v>135733.91999999993</v>
      </c>
      <c r="AN47" s="366"/>
      <c r="AO47" s="367"/>
      <c r="AP47" s="365">
        <f>SUM(AR9:AR39)</f>
        <v>141872.6400000006</v>
      </c>
      <c r="AQ47" s="366"/>
      <c r="AR47" s="367"/>
      <c r="AS47" s="365">
        <f>SUM(AU9:AU39)</f>
        <v>94711.679999997839</v>
      </c>
      <c r="AT47" s="366"/>
      <c r="AU47" s="367"/>
      <c r="AV47" s="365">
        <f>SUM(AX9:AX39)</f>
        <v>178948.56000000238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2203</v>
      </c>
      <c r="CL47" s="366"/>
      <c r="CM47" s="367"/>
      <c r="CN47" s="365">
        <f>SUM(CP9:CP39)</f>
        <v>2563</v>
      </c>
      <c r="CO47" s="366"/>
      <c r="CP47" s="367"/>
      <c r="CQ47" s="365">
        <f>SUM(CS9:CS39)</f>
        <v>0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-72507</v>
      </c>
      <c r="D48" s="363"/>
      <c r="E48" s="364"/>
      <c r="F48" s="362">
        <f>SUM(G9:G39)</f>
        <v>13486</v>
      </c>
      <c r="G48" s="363"/>
      <c r="H48" s="364"/>
      <c r="I48" s="362">
        <f>SUM(J10:J39)</f>
        <v>2098</v>
      </c>
      <c r="J48" s="364"/>
      <c r="K48" s="362">
        <f>SUM(L9:L39)</f>
        <v>9055</v>
      </c>
      <c r="L48" s="364"/>
      <c r="M48" s="362"/>
      <c r="N48" s="364"/>
      <c r="O48" s="362">
        <f>SUM(P9:P39)</f>
        <v>6118</v>
      </c>
      <c r="P48" s="363"/>
      <c r="Q48" s="364"/>
      <c r="R48" s="362">
        <f>SUM(S9:S39)</f>
        <v>374</v>
      </c>
      <c r="S48" s="363"/>
      <c r="T48" s="369"/>
      <c r="U48" s="370">
        <f>SUM(V9:V39)</f>
        <v>84334.320000000298</v>
      </c>
      <c r="V48" s="371"/>
      <c r="W48" s="372"/>
      <c r="X48" s="370">
        <f>SUM(Y9:Y39)</f>
        <v>141726.48000000045</v>
      </c>
      <c r="Y48" s="371"/>
      <c r="Z48" s="372"/>
      <c r="AA48" s="359">
        <f>SUM(AB9:AB39)</f>
        <v>187620.72000000067</v>
      </c>
      <c r="AB48" s="360"/>
      <c r="AC48" s="361"/>
      <c r="AD48" s="359">
        <f>SUM(AE9:AE39)</f>
        <v>178851.11999999732</v>
      </c>
      <c r="AE48" s="360"/>
      <c r="AF48" s="361"/>
      <c r="AG48" s="359">
        <f>SUM(AH9:AH39)</f>
        <v>250420.80000000075</v>
      </c>
      <c r="AH48" s="360"/>
      <c r="AI48" s="361"/>
      <c r="AJ48" s="359">
        <f>SUM(AK9:AK39)</f>
        <v>177145.92000000551</v>
      </c>
      <c r="AK48" s="360"/>
      <c r="AL48" s="361"/>
      <c r="AM48" s="359">
        <f>SUM(AN9:AN39)</f>
        <v>135733.91999999993</v>
      </c>
      <c r="AN48" s="360"/>
      <c r="AO48" s="361"/>
      <c r="AP48" s="359">
        <f>SUM(AQ9:AQ39)</f>
        <v>141872.6400000006</v>
      </c>
      <c r="AQ48" s="360"/>
      <c r="AR48" s="361"/>
      <c r="AS48" s="359">
        <f>SUM(AT9:AT39)</f>
        <v>94711.679999997839</v>
      </c>
      <c r="AT48" s="360"/>
      <c r="AU48" s="361"/>
      <c r="AV48" s="359">
        <f>SUM(AW9:AW39)</f>
        <v>178948.56000000238</v>
      </c>
      <c r="AW48" s="360"/>
      <c r="AX48" s="360"/>
      <c r="AY48" s="387"/>
      <c r="AZ48" s="350">
        <f>SUM(BA9:BA40)</f>
        <v>948500</v>
      </c>
      <c r="BA48" s="350"/>
      <c r="BB48" s="351"/>
      <c r="BC48" s="350">
        <f t="shared" ref="BC48" si="0">SUM(BD9:BD40)</f>
        <v>855600</v>
      </c>
      <c r="BD48" s="350"/>
      <c r="BE48" s="351"/>
      <c r="BF48" s="350">
        <f t="shared" ref="BF48" si="1">SUM(BG9:BG40)</f>
        <v>1240600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253060</v>
      </c>
      <c r="BT48" s="602"/>
      <c r="BU48" s="394"/>
      <c r="BV48" s="606"/>
      <c r="BW48" s="607"/>
      <c r="BX48" s="117"/>
      <c r="BY48" s="347">
        <f>SUM(BZ9:BZ39)</f>
        <v>664</v>
      </c>
      <c r="BZ48" s="348"/>
      <c r="CA48" s="347">
        <f>SUM(CB9:CB39)</f>
        <v>590</v>
      </c>
      <c r="CB48" s="348"/>
      <c r="CC48" s="347">
        <f>SUM(CD9:CD39)</f>
        <v>185</v>
      </c>
      <c r="CD48" s="348"/>
      <c r="CE48" s="347">
        <f>SUM(CF9:CF39)</f>
        <v>309</v>
      </c>
      <c r="CF48" s="348"/>
      <c r="CG48" s="347">
        <f>SUM(CH9:CH39)</f>
        <v>430</v>
      </c>
      <c r="CH48" s="348"/>
      <c r="CI48" s="347">
        <f>SUM(CJ9:CJ39)</f>
        <v>1031</v>
      </c>
      <c r="CJ48" s="348"/>
      <c r="CK48" s="347">
        <f>SUM(CL9:CL39)</f>
        <v>2203</v>
      </c>
      <c r="CL48" s="349"/>
      <c r="CM48" s="348"/>
      <c r="CN48" s="347">
        <f>SUM(CO9:CO39)</f>
        <v>2563</v>
      </c>
      <c r="CO48" s="349"/>
      <c r="CP48" s="348"/>
      <c r="CQ48" s="347">
        <f>SUM(CR9:CR39)</f>
        <v>0</v>
      </c>
      <c r="CR48" s="349"/>
      <c r="CS48" s="348"/>
      <c r="CT48" s="347">
        <f>SUM(CU9:CU39)</f>
        <v>4989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93267</v>
      </c>
      <c r="D49" s="343"/>
      <c r="E49" s="358"/>
      <c r="F49" s="342">
        <f>F47-F48</f>
        <v>-2058</v>
      </c>
      <c r="G49" s="343"/>
      <c r="H49" s="358"/>
      <c r="I49" s="342">
        <f>I47-I48</f>
        <v>4950.8999999999996</v>
      </c>
      <c r="J49" s="358"/>
      <c r="K49" s="342">
        <f>K47-K48</f>
        <v>-1352.7999999999884</v>
      </c>
      <c r="L49" s="358"/>
      <c r="M49" s="342"/>
      <c r="N49" s="358"/>
      <c r="O49" s="373">
        <f>O47-O48</f>
        <v>24.340000000003783</v>
      </c>
      <c r="P49" s="373"/>
      <c r="Q49" s="373"/>
      <c r="R49" s="342">
        <f>R47-R48</f>
        <v>102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601200</v>
      </c>
      <c r="BA49" s="350"/>
      <c r="BB49" s="351"/>
      <c r="BC49" s="350">
        <f t="shared" ref="BC49" si="2">BC48-BC47</f>
        <v>494500</v>
      </c>
      <c r="BD49" s="350"/>
      <c r="BE49" s="351"/>
      <c r="BF49" s="350">
        <f t="shared" ref="BF49" si="3">BF48-BF47</f>
        <v>681758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-1095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1571366.1600000057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1571366.1600000057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795159.12000001222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795159.12000001222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3044700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F43FA6-AB78-4C60-9064-711AFC24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4475D7-12C1-4C65-987F-693C78D6CD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2E7B937-5188-46F7-A4B3-28C107FE79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655800</vt:r8>
  </property>
</Properties>
</file>