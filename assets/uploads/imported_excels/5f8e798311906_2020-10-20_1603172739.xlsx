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 firstSheet="1" activeTab="1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L23" i="31" l="1"/>
  <c r="I23" i="31"/>
  <c r="G23" i="31"/>
  <c r="L6" i="31" l="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5" i="31"/>
  <c r="L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<sst xmlns="http://schemas.openxmlformats.org/spreadsheetml/2006/main" count="64" uniqueCount="31">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</sst>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4"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51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33426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76000</v>
      </c>
      <c r="J9" s="10">
        <v>3.61E-2</v>
      </c>
      <c r="K9" s="1">
        <f>'Oct 2020'!I12</f>
        <v>345</v>
      </c>
      <c r="L9" s="10">
        <v>0.75</v>
      </c>
      <c r="M9" s="10">
        <f>'Oct 2020'!L12</f>
        <v>232</v>
      </c>
      <c r="N9" s="10">
        <v>0.56299999999999994</v>
      </c>
      <c r="O9" s="15">
        <f>'Oct 2020'!D12</f>
        <v>71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33761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70000</v>
      </c>
      <c r="J10" s="10">
        <v>3.61E-2</v>
      </c>
      <c r="K10" s="1">
        <f>'Oct 2020'!I13</f>
        <v>239</v>
      </c>
      <c r="L10" s="10">
        <v>0.75</v>
      </c>
      <c r="M10" s="10">
        <f>'Oct 2020'!L13</f>
        <v>192</v>
      </c>
      <c r="N10" s="10">
        <v>0.56299999999999994</v>
      </c>
      <c r="O10" s="15">
        <f>'Oct 2020'!D13</f>
        <v>79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31431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56000</v>
      </c>
      <c r="J11" s="10">
        <v>3.61E-2</v>
      </c>
      <c r="K11" s="1">
        <f>'Oct 2020'!I14</f>
        <v>383</v>
      </c>
      <c r="L11" s="10">
        <v>0.75</v>
      </c>
      <c r="M11" s="10">
        <f>'Oct 2020'!L14</f>
        <v>254</v>
      </c>
      <c r="N11" s="10">
        <v>0.56299999999999994</v>
      </c>
      <c r="O11" s="15">
        <f>'Oct 2020'!D14</f>
        <v>45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31237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54000</v>
      </c>
      <c r="J12" s="10">
        <v>3.61E-2</v>
      </c>
      <c r="K12" s="1">
        <f>'Oct 2020'!I15</f>
        <v>250</v>
      </c>
      <c r="L12" s="10">
        <v>0.75</v>
      </c>
      <c r="M12" s="10">
        <f>'Oct 2020'!L15</f>
        <v>269</v>
      </c>
      <c r="N12" s="10">
        <v>0.56299999999999994</v>
      </c>
      <c r="O12" s="15">
        <f>'Oct 2020'!D15</f>
        <v>44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30885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57000</v>
      </c>
      <c r="J13" s="10">
        <v>3.61E-2</v>
      </c>
      <c r="K13" s="1">
        <f>'Oct 2020'!I16</f>
        <v>214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46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30973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60000</v>
      </c>
      <c r="J14" s="10">
        <v>3.61E-2</v>
      </c>
      <c r="K14" s="1">
        <f>'Oct 2020'!I17</f>
        <v>68</v>
      </c>
      <c r="L14" s="10">
        <v>0.75</v>
      </c>
      <c r="M14" s="10">
        <f>'Oct 2020'!L17</f>
        <v>712</v>
      </c>
      <c r="N14" s="10">
        <v>0.56299999999999994</v>
      </c>
      <c r="O14" s="15">
        <f>'Oct 2020'!D17</f>
        <v>59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31194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61000</v>
      </c>
      <c r="J15" s="10">
        <v>3.61E-2</v>
      </c>
      <c r="K15" s="1">
        <f>'Oct 2020'!I18</f>
        <v>309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58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31257</v>
      </c>
      <c r="F16" s="10">
        <v>2.9000000000000001E-2</v>
      </c>
      <c r="G16" s="1">
        <f>'Oct 2020'!J19</f>
        <v>2970</v>
      </c>
      <c r="H16" s="10">
        <v>0.112</v>
      </c>
      <c r="I16" s="1">
        <f>'Oct 2020'!G19*1000</f>
        <v>62000</v>
      </c>
      <c r="J16" s="10">
        <v>3.61E-2</v>
      </c>
      <c r="K16" s="1">
        <f>'Oct 2020'!I19</f>
        <v>149</v>
      </c>
      <c r="L16" s="10">
        <v>0.75</v>
      </c>
      <c r="M16" s="10">
        <f>'Oct 2020'!L19</f>
        <v>416</v>
      </c>
      <c r="N16" s="10">
        <v>0.56299999999999994</v>
      </c>
      <c r="O16" s="15">
        <f>'Oct 2020'!D19</f>
        <v>73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31825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60000</v>
      </c>
      <c r="J17" s="10">
        <v>3.61E-2</v>
      </c>
      <c r="K17" s="1">
        <f>'Oct 2020'!I20</f>
        <v>253</v>
      </c>
      <c r="L17" s="10">
        <v>0.75</v>
      </c>
      <c r="M17" s="10">
        <f>'Oct 2020'!L20</f>
        <v>325</v>
      </c>
      <c r="N17" s="10">
        <v>0.56299999999999994</v>
      </c>
      <c r="O17" s="15">
        <f>'Oct 2020'!D20</f>
        <v>95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30814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54000</v>
      </c>
      <c r="J18" s="10">
        <v>3.61E-2</v>
      </c>
      <c r="K18" s="1">
        <f>'Oct 2020'!I21</f>
        <v>311</v>
      </c>
      <c r="L18" s="10">
        <v>0.75</v>
      </c>
      <c r="M18" s="10">
        <f>'Oct 2020'!L21</f>
        <v>164</v>
      </c>
      <c r="N18" s="10">
        <v>0.56299999999999994</v>
      </c>
      <c r="O18" s="15">
        <f>'Oct 2020'!D21</f>
        <v>48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33895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54000</v>
      </c>
      <c r="J19" s="10">
        <v>3.61E-2</v>
      </c>
      <c r="K19" s="1">
        <f>'Oct 2020'!I22</f>
        <v>239</v>
      </c>
      <c r="L19" s="10">
        <v>0.75</v>
      </c>
      <c r="M19" s="10">
        <f>'Oct 2020'!L22</f>
        <v>113</v>
      </c>
      <c r="N19" s="10">
        <v>0.56299999999999994</v>
      </c>
      <c r="O19" s="15">
        <f>'Oct 2020'!D22</f>
        <v>39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29942</v>
      </c>
      <c r="F20" s="10">
        <v>2.9000000000000001E-2</v>
      </c>
      <c r="G20" s="1">
        <f>'Oct 2020'!J23</f>
        <v>0</v>
      </c>
      <c r="H20" s="10">
        <v>0.112</v>
      </c>
      <c r="I20" s="1">
        <f>'Oct 2020'!G23*1000</f>
        <v>53000</v>
      </c>
      <c r="J20" s="10">
        <v>3.61E-2</v>
      </c>
      <c r="K20" s="1">
        <f>'Oct 2020'!I23</f>
        <v>279</v>
      </c>
      <c r="L20" s="10">
        <v>0.75</v>
      </c>
      <c r="M20" s="10">
        <f>'Oct 2020'!L23</f>
        <v>493</v>
      </c>
      <c r="N20" s="10">
        <v>0.56299999999999994</v>
      </c>
      <c r="O20" s="15">
        <f>'Oct 2020'!D23</f>
        <v>38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0</v>
      </c>
      <c r="F21" s="10">
        <v>2.9000000000000001E-2</v>
      </c>
      <c r="G21" s="1">
        <f>'Oct 2020'!J24</f>
        <v>2970</v>
      </c>
      <c r="H21" s="10">
        <v>0.112</v>
      </c>
      <c r="I21" s="1">
        <f>'Oct 2020'!G24*1000</f>
        <v>0</v>
      </c>
      <c r="J21" s="10">
        <v>3.61E-2</v>
      </c>
      <c r="K21" s="1">
        <f>'Oct 2020'!I24</f>
        <v>0</v>
      </c>
      <c r="L21" s="10">
        <v>0.75</v>
      </c>
      <c r="M21" s="10">
        <f>'Oct 2020'!L24</f>
        <v>0</v>
      </c>
      <c r="N21" s="10">
        <v>0.56299999999999994</v>
      </c>
      <c r="O21" s="15">
        <f>'Oct 2020'!D24</f>
        <v>0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0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0</v>
      </c>
      <c r="J22" s="10">
        <v>3.61E-2</v>
      </c>
      <c r="K22" s="1">
        <f>'Oct 2020'!I25</f>
        <v>0</v>
      </c>
      <c r="L22" s="10">
        <v>0.75</v>
      </c>
      <c r="M22" s="10">
        <f>'Oct 2020'!L25</f>
        <v>0</v>
      </c>
      <c r="N22" s="10">
        <v>0.56299999999999994</v>
      </c>
      <c r="O22" s="15">
        <f>'Oct 2020'!D25</f>
        <v>0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0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0</v>
      </c>
      <c r="J23" s="10">
        <v>3.61E-2</v>
      </c>
      <c r="K23" s="1">
        <f>'Oct 2020'!I26</f>
        <v>0</v>
      </c>
      <c r="L23" s="10">
        <v>0.75</v>
      </c>
      <c r="M23" s="10">
        <f>'Oct 2020'!L26</f>
        <v>0</v>
      </c>
      <c r="N23" s="10">
        <v>0.56299999999999994</v>
      </c>
      <c r="O23" s="15">
        <f>'Oct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0</v>
      </c>
      <c r="F24" s="10">
        <v>2.9000000000000001E-2</v>
      </c>
      <c r="G24" s="1">
        <f>'Oct 2020'!J27</f>
        <v>0</v>
      </c>
      <c r="H24" s="10">
        <v>0.112</v>
      </c>
      <c r="I24" s="1">
        <f>'Oct 2020'!G27*1000</f>
        <v>0</v>
      </c>
      <c r="J24" s="10">
        <v>3.61E-2</v>
      </c>
      <c r="K24" s="1">
        <f>'Oct 2020'!I27</f>
        <v>0</v>
      </c>
      <c r="L24" s="10">
        <v>0.75</v>
      </c>
      <c r="M24" s="10">
        <f>'Oct 2020'!L27</f>
        <v>0</v>
      </c>
      <c r="N24" s="10">
        <v>0.56299999999999994</v>
      </c>
      <c r="O24" s="15">
        <f>'Oct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0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0</v>
      </c>
      <c r="J25" s="10">
        <v>3.61E-2</v>
      </c>
      <c r="K25" s="1">
        <f>'Oct 2020'!I28</f>
        <v>0</v>
      </c>
      <c r="L25" s="10">
        <v>0.75</v>
      </c>
      <c r="M25" s="10">
        <f>'Oct 2020'!L28</f>
        <v>0</v>
      </c>
      <c r="N25" s="10">
        <v>0.56299999999999994</v>
      </c>
      <c r="O25" s="15">
        <f>'Oct 2020'!D28</f>
        <v>0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0</v>
      </c>
      <c r="F26" s="10">
        <v>2.9000000000000001E-2</v>
      </c>
      <c r="G26" s="1">
        <f>'Oct 2020'!J29</f>
        <v>0</v>
      </c>
      <c r="H26" s="10">
        <v>0.112</v>
      </c>
      <c r="I26" s="1">
        <f>'Oct 2020'!G29*1000</f>
        <v>0</v>
      </c>
      <c r="J26" s="10">
        <v>3.61E-2</v>
      </c>
      <c r="K26" s="1">
        <f>'Oct 2020'!I29</f>
        <v>0</v>
      </c>
      <c r="L26" s="10">
        <v>0.75</v>
      </c>
      <c r="M26" s="10">
        <f>'Oct 2020'!L29</f>
        <v>0</v>
      </c>
      <c r="N26" s="10">
        <v>0.56299999999999994</v>
      </c>
      <c r="O26" s="15">
        <f>'Oct 2020'!D29</f>
        <v>0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0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0</v>
      </c>
      <c r="J27" s="10">
        <v>3.61E-2</v>
      </c>
      <c r="K27" s="1">
        <f>'Oct 2020'!I30</f>
        <v>0</v>
      </c>
      <c r="L27" s="10">
        <v>0.75</v>
      </c>
      <c r="M27" s="10">
        <f>'Oct 2020'!L30</f>
        <v>0</v>
      </c>
      <c r="N27" s="10">
        <v>0.56299999999999994</v>
      </c>
      <c r="O27" s="15">
        <f>'Oct 2020'!D30</f>
        <v>0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0</v>
      </c>
      <c r="F28" s="10">
        <v>2.9000000000000001E-2</v>
      </c>
      <c r="G28" s="1">
        <f>'Oct 2020'!J31</f>
        <v>0</v>
      </c>
      <c r="H28" s="10">
        <v>0.112</v>
      </c>
      <c r="I28" s="1">
        <f>'Oct 2020'!G31*1000</f>
        <v>0</v>
      </c>
      <c r="J28" s="10">
        <v>3.61E-2</v>
      </c>
      <c r="K28" s="1">
        <f>'Oct 2020'!I31</f>
        <v>0</v>
      </c>
      <c r="L28" s="10">
        <v>0.75</v>
      </c>
      <c r="M28" s="10">
        <f>'Oct 2020'!L31</f>
        <v>0</v>
      </c>
      <c r="N28" s="10">
        <v>0.56299999999999994</v>
      </c>
      <c r="O28" s="15">
        <f>'Oct 2020'!D31</f>
        <v>0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0</v>
      </c>
      <c r="F29" s="10">
        <v>2.9000000000000001E-2</v>
      </c>
      <c r="G29" s="1">
        <f>'Oct 2020'!J32</f>
        <v>0</v>
      </c>
      <c r="H29" s="10">
        <v>0.112</v>
      </c>
      <c r="I29" s="1">
        <f>'Oct 2020'!G32*1000</f>
        <v>0</v>
      </c>
      <c r="J29" s="10">
        <v>3.61E-2</v>
      </c>
      <c r="K29" s="1">
        <f>'Oct 2020'!I32</f>
        <v>0</v>
      </c>
      <c r="L29" s="10">
        <v>0.75</v>
      </c>
      <c r="M29" s="10">
        <f>'Oct 2020'!L32</f>
        <v>0</v>
      </c>
      <c r="N29" s="10">
        <v>0.56299999999999994</v>
      </c>
      <c r="O29" s="15">
        <f>'Oct 2020'!D32</f>
        <v>0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0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0</v>
      </c>
      <c r="J30" s="10">
        <v>3.61E-2</v>
      </c>
      <c r="K30" s="1">
        <f>'Oct 2020'!I33</f>
        <v>0</v>
      </c>
      <c r="L30" s="10">
        <v>0.75</v>
      </c>
      <c r="M30" s="10">
        <f>'Oct 2020'!L33</f>
        <v>0</v>
      </c>
      <c r="N30" s="10">
        <v>0.56299999999999994</v>
      </c>
      <c r="O30" s="15">
        <f>'Oct 2020'!D33</f>
        <v>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0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0</v>
      </c>
      <c r="J31" s="10">
        <v>3.61E-2</v>
      </c>
      <c r="K31" s="1">
        <f>'Oct 2020'!I34</f>
        <v>0</v>
      </c>
      <c r="L31" s="10">
        <v>0.75</v>
      </c>
      <c r="M31" s="10">
        <f>'Oct 2020'!L34</f>
        <v>0</v>
      </c>
      <c r="N31" s="10">
        <v>0.56299999999999994</v>
      </c>
      <c r="O31" s="15">
        <f>'Oct 2020'!D34</f>
        <v>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0</v>
      </c>
      <c r="F32" s="10">
        <v>2.9000000000000001E-2</v>
      </c>
      <c r="G32" s="1">
        <f>'Oct 2020'!J35</f>
        <v>0</v>
      </c>
      <c r="H32" s="10">
        <v>0.112</v>
      </c>
      <c r="I32" s="1">
        <f>'Oct 2020'!G35*1000</f>
        <v>0</v>
      </c>
      <c r="J32" s="10">
        <v>3.61E-2</v>
      </c>
      <c r="K32" s="1">
        <f>'Oct 2020'!I35</f>
        <v>0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A4" workbookViewId="0">
      <selection activeCell="H25" sqref="H2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23" si="0">F7-F6</f>
        <v>88</v>
      </c>
      <c r="H6" s="7">
        <v>413270</v>
      </c>
      <c r="I6" s="3">
        <f t="shared" ref="I6:I23" si="1">H7-H6</f>
        <v>307</v>
      </c>
      <c r="J6" s="3">
        <v>0</v>
      </c>
      <c r="K6" s="4">
        <v>255966</v>
      </c>
      <c r="L6" s="9">
        <f t="shared" ref="L6:L23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 t="shared" si="0"/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 t="shared" si="0"/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 t="shared" si="0"/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51</v>
      </c>
      <c r="E11" s="12">
        <v>31251</v>
      </c>
      <c r="F11" s="4">
        <v>180074</v>
      </c>
      <c r="G11" s="8">
        <f t="shared" si="0"/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>
        <v>71</v>
      </c>
      <c r="E12" s="12">
        <v>33426</v>
      </c>
      <c r="F12" s="4">
        <v>180150</v>
      </c>
      <c r="G12" s="8">
        <f t="shared" si="0"/>
        <v>76</v>
      </c>
      <c r="H12" s="7">
        <v>414568</v>
      </c>
      <c r="I12" s="3">
        <f t="shared" si="1"/>
        <v>345</v>
      </c>
      <c r="J12" s="3">
        <v>0</v>
      </c>
      <c r="K12" s="4">
        <v>257750</v>
      </c>
      <c r="L12" s="9">
        <f t="shared" si="2"/>
        <v>232</v>
      </c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>
        <v>79</v>
      </c>
      <c r="E13" s="12">
        <v>33761</v>
      </c>
      <c r="F13" s="31">
        <v>180226</v>
      </c>
      <c r="G13" s="8">
        <f t="shared" si="0"/>
        <v>70</v>
      </c>
      <c r="H13" s="17">
        <v>414913</v>
      </c>
      <c r="I13" s="3">
        <f t="shared" si="1"/>
        <v>239</v>
      </c>
      <c r="J13" s="3">
        <v>0</v>
      </c>
      <c r="K13" s="31">
        <v>257982</v>
      </c>
      <c r="L13" s="9">
        <f t="shared" si="2"/>
        <v>192</v>
      </c>
      <c r="N13" s="1"/>
    </row>
    <row r="14" spans="1:14" x14ac:dyDescent="0.2">
      <c r="B14" s="2">
        <v>10</v>
      </c>
      <c r="C14" s="11">
        <v>44114</v>
      </c>
      <c r="D14" s="7">
        <v>45</v>
      </c>
      <c r="E14" s="12">
        <v>31431</v>
      </c>
      <c r="F14" s="31">
        <v>180296</v>
      </c>
      <c r="G14" s="8">
        <f t="shared" si="0"/>
        <v>56</v>
      </c>
      <c r="H14" s="17">
        <v>415152</v>
      </c>
      <c r="I14" s="3">
        <f t="shared" si="1"/>
        <v>383</v>
      </c>
      <c r="J14" s="3">
        <v>0</v>
      </c>
      <c r="K14" s="31">
        <v>258174</v>
      </c>
      <c r="L14" s="9">
        <f t="shared" si="2"/>
        <v>254</v>
      </c>
      <c r="N14" s="1"/>
    </row>
    <row r="15" spans="1:14" x14ac:dyDescent="0.2">
      <c r="B15" s="2">
        <v>11</v>
      </c>
      <c r="C15" s="11">
        <v>44115</v>
      </c>
      <c r="D15" s="7">
        <v>44</v>
      </c>
      <c r="E15" s="12">
        <v>31237</v>
      </c>
      <c r="F15" s="4">
        <v>180352</v>
      </c>
      <c r="G15" s="8">
        <f t="shared" si="0"/>
        <v>54</v>
      </c>
      <c r="H15" s="7">
        <v>415535</v>
      </c>
      <c r="I15" s="3">
        <f t="shared" si="1"/>
        <v>250</v>
      </c>
      <c r="J15" s="3">
        <v>0</v>
      </c>
      <c r="K15" s="4">
        <v>258428</v>
      </c>
      <c r="L15" s="9">
        <f t="shared" si="2"/>
        <v>269</v>
      </c>
      <c r="N15" s="1"/>
    </row>
    <row r="16" spans="1:14" ht="13.5" customHeight="1" x14ac:dyDescent="0.2">
      <c r="B16" s="2">
        <v>12</v>
      </c>
      <c r="C16" s="11">
        <v>44116</v>
      </c>
      <c r="D16" s="7">
        <v>46</v>
      </c>
      <c r="E16" s="12">
        <v>30885</v>
      </c>
      <c r="F16" s="4">
        <v>180406</v>
      </c>
      <c r="G16" s="8">
        <f t="shared" si="0"/>
        <v>57</v>
      </c>
      <c r="H16" s="7">
        <v>415785</v>
      </c>
      <c r="I16" s="3">
        <f t="shared" si="1"/>
        <v>214</v>
      </c>
      <c r="J16" s="3">
        <v>0</v>
      </c>
      <c r="K16" s="4">
        <v>258697</v>
      </c>
      <c r="L16" s="9">
        <f t="shared" si="2"/>
        <v>0</v>
      </c>
      <c r="N16" s="1"/>
    </row>
    <row r="17" spans="1:14" x14ac:dyDescent="0.2">
      <c r="B17" s="2">
        <v>13</v>
      </c>
      <c r="C17" s="11">
        <v>44117</v>
      </c>
      <c r="D17" s="7">
        <v>59</v>
      </c>
      <c r="E17" s="12">
        <v>30973</v>
      </c>
      <c r="F17" s="4">
        <v>180463</v>
      </c>
      <c r="G17" s="8">
        <f t="shared" si="0"/>
        <v>60</v>
      </c>
      <c r="H17" s="7">
        <v>415999</v>
      </c>
      <c r="I17" s="3">
        <f t="shared" si="1"/>
        <v>68</v>
      </c>
      <c r="J17" s="3">
        <v>0</v>
      </c>
      <c r="K17" s="4">
        <v>258697</v>
      </c>
      <c r="L17" s="9">
        <f t="shared" si="2"/>
        <v>712</v>
      </c>
      <c r="N17" s="1"/>
    </row>
    <row r="18" spans="1:14" ht="13.5" customHeight="1" x14ac:dyDescent="0.2">
      <c r="B18" s="2">
        <v>14</v>
      </c>
      <c r="C18" s="11">
        <v>44118</v>
      </c>
      <c r="D18" s="7">
        <v>58</v>
      </c>
      <c r="E18" s="13">
        <v>31194</v>
      </c>
      <c r="F18" s="4">
        <v>180523</v>
      </c>
      <c r="G18" s="8">
        <f t="shared" si="0"/>
        <v>61</v>
      </c>
      <c r="H18" s="7">
        <v>416067</v>
      </c>
      <c r="I18" s="3">
        <f t="shared" si="1"/>
        <v>309</v>
      </c>
      <c r="J18" s="3">
        <v>0</v>
      </c>
      <c r="K18" s="4">
        <v>259409</v>
      </c>
      <c r="L18" s="9">
        <f t="shared" si="2"/>
        <v>0</v>
      </c>
      <c r="N18" s="1"/>
    </row>
    <row r="19" spans="1:14" x14ac:dyDescent="0.2">
      <c r="B19" s="2">
        <v>15</v>
      </c>
      <c r="C19" s="11">
        <v>44119</v>
      </c>
      <c r="D19" s="7">
        <v>73</v>
      </c>
      <c r="E19" s="13">
        <v>31257</v>
      </c>
      <c r="F19" s="4">
        <v>180584</v>
      </c>
      <c r="G19" s="8">
        <f t="shared" si="0"/>
        <v>62</v>
      </c>
      <c r="H19" s="17">
        <v>416376</v>
      </c>
      <c r="I19" s="3">
        <f t="shared" si="1"/>
        <v>149</v>
      </c>
      <c r="J19" s="3">
        <v>2970</v>
      </c>
      <c r="K19" s="4">
        <v>259409</v>
      </c>
      <c r="L19" s="9">
        <f t="shared" si="2"/>
        <v>416</v>
      </c>
      <c r="N19" s="1"/>
    </row>
    <row r="20" spans="1:14" x14ac:dyDescent="0.2">
      <c r="A20" t="s">
        <v>28</v>
      </c>
      <c r="B20" s="2">
        <v>16</v>
      </c>
      <c r="C20" s="11">
        <v>44120</v>
      </c>
      <c r="D20" s="7">
        <v>95</v>
      </c>
      <c r="E20" s="13">
        <v>31825</v>
      </c>
      <c r="F20" s="4">
        <v>180646</v>
      </c>
      <c r="G20" s="8">
        <f t="shared" si="0"/>
        <v>60</v>
      </c>
      <c r="H20" s="4">
        <v>416525</v>
      </c>
      <c r="I20" s="3">
        <f t="shared" si="1"/>
        <v>253</v>
      </c>
      <c r="J20" s="3">
        <v>0</v>
      </c>
      <c r="K20" s="4">
        <v>259825</v>
      </c>
      <c r="L20" s="9">
        <f t="shared" si="2"/>
        <v>325</v>
      </c>
      <c r="N20" s="1"/>
    </row>
    <row r="21" spans="1:14" x14ac:dyDescent="0.2">
      <c r="B21" s="2">
        <v>17</v>
      </c>
      <c r="C21" s="11">
        <v>44121</v>
      </c>
      <c r="D21" s="7">
        <v>48</v>
      </c>
      <c r="E21" s="12">
        <v>30814</v>
      </c>
      <c r="F21" s="4">
        <v>180706</v>
      </c>
      <c r="G21" s="8">
        <f t="shared" si="0"/>
        <v>54</v>
      </c>
      <c r="H21" s="4">
        <v>416778</v>
      </c>
      <c r="I21" s="3">
        <f t="shared" si="1"/>
        <v>311</v>
      </c>
      <c r="J21" s="3">
        <v>0</v>
      </c>
      <c r="K21" s="4">
        <v>260150</v>
      </c>
      <c r="L21" s="9">
        <f t="shared" si="2"/>
        <v>164</v>
      </c>
      <c r="N21" s="1"/>
    </row>
    <row r="22" spans="1:14" x14ac:dyDescent="0.2">
      <c r="B22" s="2">
        <v>18</v>
      </c>
      <c r="C22" s="11">
        <v>44122</v>
      </c>
      <c r="D22" s="7">
        <v>39</v>
      </c>
      <c r="E22" s="12">
        <v>33895</v>
      </c>
      <c r="F22" s="4">
        <v>180760</v>
      </c>
      <c r="G22" s="8">
        <f t="shared" si="0"/>
        <v>54</v>
      </c>
      <c r="H22" s="4">
        <v>417089</v>
      </c>
      <c r="I22" s="3">
        <f t="shared" si="1"/>
        <v>239</v>
      </c>
      <c r="J22" s="3">
        <v>0</v>
      </c>
      <c r="K22" s="4">
        <v>260314</v>
      </c>
      <c r="L22" s="9">
        <f t="shared" si="2"/>
        <v>113</v>
      </c>
      <c r="N22" s="1"/>
    </row>
    <row r="23" spans="1:14" x14ac:dyDescent="0.2">
      <c r="B23" s="2">
        <v>19</v>
      </c>
      <c r="C23" s="11">
        <v>44123</v>
      </c>
      <c r="D23" s="7">
        <v>38</v>
      </c>
      <c r="E23" s="13">
        <v>29942</v>
      </c>
      <c r="F23" s="4">
        <v>180814</v>
      </c>
      <c r="G23" s="8">
        <f t="shared" si="0"/>
        <v>53</v>
      </c>
      <c r="H23" s="31">
        <v>417328</v>
      </c>
      <c r="I23" s="3">
        <f t="shared" si="1"/>
        <v>279</v>
      </c>
      <c r="J23" s="3">
        <v>0</v>
      </c>
      <c r="K23" s="4">
        <v>260427</v>
      </c>
      <c r="L23" s="9">
        <f t="shared" si="2"/>
        <v>493</v>
      </c>
      <c r="N23" s="1"/>
    </row>
    <row r="24" spans="1:14" ht="12" customHeight="1" x14ac:dyDescent="0.2">
      <c r="B24" s="2">
        <v>20</v>
      </c>
      <c r="C24" s="11">
        <v>44124</v>
      </c>
      <c r="D24" s="7"/>
      <c r="E24" s="13"/>
      <c r="F24" s="31">
        <v>180867</v>
      </c>
      <c r="G24" s="8"/>
      <c r="H24" s="31">
        <v>417607</v>
      </c>
      <c r="I24" s="3"/>
      <c r="J24" s="3">
        <v>2970</v>
      </c>
      <c r="K24" s="31">
        <v>260920</v>
      </c>
      <c r="L24" s="9"/>
      <c r="N24" s="1"/>
    </row>
    <row r="25" spans="1:14" x14ac:dyDescent="0.2">
      <c r="B25" s="2">
        <v>21</v>
      </c>
      <c r="C25" s="11">
        <v>44125</v>
      </c>
      <c r="D25" s="7"/>
      <c r="E25" s="12"/>
      <c r="G25" s="8"/>
      <c r="I25" s="3"/>
      <c r="J25" s="3"/>
      <c r="L25" s="9"/>
      <c r="N25" s="1"/>
    </row>
    <row r="26" spans="1:14" x14ac:dyDescent="0.2">
      <c r="B26" s="2">
        <v>22</v>
      </c>
      <c r="C26" s="11">
        <v>44126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44127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44129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44130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44131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44132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44133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44134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44135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2020-10-20T05:40:21Z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