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<sst xmlns="http://schemas.openxmlformats.org/spreadsheetml/2006/main" count="60" uniqueCount="29">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</sst>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0" fillId="0" borderId="0"/>
    <xf numFmtId="0" fontId="7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0" fontId="5" fillId="0" borderId="0"/>
    <xf numFmtId="0" fontId="7" fillId="0" borderId="0"/>
    <xf numFmtId="0" fontId="3" fillId="0" borderId="0"/>
  </cellStyleXfs>
  <cellXfs count="4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4" fillId="2" borderId="0" xfId="11" applyFont="1" applyFill="1" applyAlignment="1">
      <alignment horizontal="center"/>
    </xf>
    <xf numFmtId="1" fontId="15" fillId="2" borderId="0" xfId="11" applyNumberFormat="1" applyFont="1" applyFill="1" applyAlignment="1">
      <alignment horizontal="center"/>
    </xf>
    <xf numFmtId="1" fontId="6" fillId="0" borderId="1" xfId="11" applyNumberFormat="1" applyBorder="1" applyAlignment="1">
      <alignment horizontal="center"/>
    </xf>
    <xf numFmtId="0" fontId="6" fillId="0" borderId="0" xfId="11"/>
    <xf numFmtId="0" fontId="16" fillId="3" borderId="3" xfId="11" applyFont="1" applyFill="1" applyBorder="1" applyAlignment="1">
      <alignment horizontal="center" vertical="center" wrapText="1"/>
    </xf>
    <xf numFmtId="1" fontId="6" fillId="0" borderId="0" xfId="11" applyNumberFormat="1"/>
    <xf numFmtId="0" fontId="11" fillId="6" borderId="2" xfId="11" applyFont="1" applyFill="1" applyBorder="1" applyAlignment="1">
      <alignment horizontal="center" vertical="center"/>
    </xf>
    <xf numFmtId="0" fontId="11" fillId="7" borderId="9" xfId="11" applyFont="1" applyFill="1" applyBorder="1" applyAlignment="1">
      <alignment horizontal="center" vertical="center" wrapText="1"/>
    </xf>
    <xf numFmtId="1" fontId="11" fillId="7" borderId="2" xfId="11" applyNumberFormat="1" applyFont="1" applyFill="1" applyBorder="1" applyAlignment="1">
      <alignment horizontal="center" vertical="center" wrapText="1"/>
    </xf>
    <xf numFmtId="0" fontId="11" fillId="7" borderId="2" xfId="11" applyFont="1" applyFill="1" applyBorder="1" applyAlignment="1">
      <alignment horizontal="center" vertical="center" wrapText="1"/>
    </xf>
    <xf numFmtId="0" fontId="11" fillId="7" borderId="2" xfId="11" applyFont="1" applyFill="1" applyBorder="1" applyAlignment="1">
      <alignment horizontal="center" wrapText="1"/>
    </xf>
    <xf numFmtId="1" fontId="11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6" fillId="0" borderId="1" xfId="11" applyBorder="1" applyAlignment="1">
      <alignment horizontal="center"/>
    </xf>
    <xf numFmtId="1" fontId="18" fillId="0" borderId="1" xfId="11" applyNumberFormat="1" applyFont="1" applyBorder="1" applyAlignment="1">
      <alignment horizontal="center" vertical="center"/>
    </xf>
    <xf numFmtId="0" fontId="6" fillId="0" borderId="0" xfId="11" applyAlignment="1">
      <alignment horizontal="center"/>
    </xf>
    <xf numFmtId="1" fontId="11" fillId="0" borderId="0" xfId="11" applyNumberFormat="1" applyFont="1" applyAlignment="1">
      <alignment horizontal="center"/>
    </xf>
    <xf numFmtId="1" fontId="6" fillId="0" borderId="0" xfId="11" applyNumberFormat="1" applyAlignment="1">
      <alignment horizontal="center"/>
    </xf>
    <xf numFmtId="1" fontId="11" fillId="0" borderId="1" xfId="12" applyNumberFormat="1" applyFont="1" applyBorder="1" applyAlignment="1">
      <alignment horizontal="center" wrapText="1"/>
    </xf>
    <xf numFmtId="0" fontId="13" fillId="0" borderId="1" xfId="12" applyFont="1" applyBorder="1" applyAlignment="1">
      <alignment horizontal="center" wrapText="1"/>
    </xf>
    <xf numFmtId="2" fontId="12" fillId="0" borderId="1" xfId="0" applyNumberFormat="1" applyFont="1" applyBorder="1" applyAlignment="1">
      <alignment horizontal="center"/>
    </xf>
    <xf numFmtId="0" fontId="4" fillId="0" borderId="0" xfId="11" applyFont="1" applyAlignment="1">
      <alignment horizontal="center"/>
    </xf>
    <xf numFmtId="1" fontId="18" fillId="0" borderId="14" xfId="11" applyNumberFormat="1" applyFont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/>
    </xf>
    <xf numFmtId="0" fontId="2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/>
    <xf numFmtId="0" fontId="14" fillId="2" borderId="12" xfId="11" applyFont="1" applyFill="1" applyBorder="1" applyAlignment="1">
      <alignment horizontal="center"/>
    </xf>
    <xf numFmtId="0" fontId="14" fillId="2" borderId="13" xfId="11" applyFont="1" applyFill="1" applyBorder="1" applyAlignment="1">
      <alignment horizontal="center"/>
    </xf>
    <xf numFmtId="0" fontId="15" fillId="2" borderId="2" xfId="11" applyFont="1" applyFill="1" applyBorder="1" applyAlignment="1">
      <alignment horizontal="center"/>
    </xf>
    <xf numFmtId="0" fontId="17" fillId="4" borderId="4" xfId="11" applyFont="1" applyFill="1" applyBorder="1" applyAlignment="1">
      <alignment horizontal="center" vertical="center"/>
    </xf>
    <xf numFmtId="0" fontId="17" fillId="4" borderId="5" xfId="11" applyFont="1" applyFill="1" applyBorder="1" applyAlignment="1">
      <alignment horizontal="center" vertical="center"/>
    </xf>
    <xf numFmtId="0" fontId="17" fillId="4" borderId="6" xfId="11" applyFont="1" applyFill="1" applyBorder="1" applyAlignment="1">
      <alignment horizontal="center" vertical="center"/>
    </xf>
    <xf numFmtId="0" fontId="11" fillId="5" borderId="7" xfId="11" applyFont="1" applyFill="1" applyBorder="1" applyAlignment="1">
      <alignment horizontal="center" vertical="center" wrapText="1"/>
    </xf>
    <xf numFmtId="0" fontId="11" fillId="5" borderId="8" xfId="11" applyFont="1" applyFill="1" applyBorder="1" applyAlignment="1">
      <alignment horizontal="center" vertical="center" wrapText="1"/>
    </xf>
    <xf numFmtId="0" fontId="17" fillId="4" borderId="10" xfId="11" applyFont="1" applyFill="1" applyBorder="1" applyAlignment="1">
      <alignment horizontal="center" vertical="center"/>
    </xf>
    <xf numFmtId="0" fontId="17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11</v>
      </c>
      <c r="D2" s="7">
        <v>2022</v>
      </c>
      <c r="E2" s="9">
        <f>'Macao Daily'!D5</f>
        <v>28883</v>
      </c>
      <c r="F2" s="30">
        <v>1.2423</v>
      </c>
      <c r="G2" s="9">
        <f>'Macao Daily'!F5</f>
        <v>95</v>
      </c>
      <c r="H2" s="30">
        <v>9.2750000000000004</v>
      </c>
      <c r="I2" s="9">
        <f>'Macao Daily'!H5</f>
        <v>32671</v>
      </c>
      <c r="J2" s="30">
        <v>0.28000000000000003</v>
      </c>
      <c r="K2" s="9">
        <f>'Macao Daily'!J5</f>
        <v>174.88324990845285</v>
      </c>
      <c r="L2" s="30">
        <v>7.76</v>
      </c>
      <c r="M2" s="9">
        <f>'Macao Daily'!K5</f>
        <v>47</v>
      </c>
      <c r="N2" s="9">
        <f>'Macao Daily'!L5</f>
        <v>245</v>
      </c>
    </row>
    <row r="3" spans="1:14" ht="15" x14ac:dyDescent="0.25">
      <c r="A3" s="6" t="s">
        <v>13</v>
      </c>
      <c r="B3" s="7">
        <f>B2+1</f>
        <v>2</v>
      </c>
      <c r="C3" s="8">
        <v>11</v>
      </c>
      <c r="D3" s="7">
        <v>2022</v>
      </c>
      <c r="E3" s="9">
        <f>'Macao Daily'!D6</f>
        <v>28454</v>
      </c>
      <c r="F3" s="30">
        <v>1.2423</v>
      </c>
      <c r="G3" s="9">
        <f>'Macao Daily'!F6</f>
        <v>90</v>
      </c>
      <c r="H3" s="30">
        <v>9.2750000000000004</v>
      </c>
      <c r="I3" s="9">
        <f>'Macao Daily'!H6</f>
        <v>29758</v>
      </c>
      <c r="J3" s="30">
        <v>0.28000000000000003</v>
      </c>
      <c r="K3" s="9">
        <f>'Macao Daily'!J6</f>
        <v>204.85181900928728</v>
      </c>
      <c r="L3" s="30">
        <v>7.76</v>
      </c>
      <c r="M3" s="9">
        <f>'Macao Daily'!K6</f>
        <v>79</v>
      </c>
      <c r="N3" s="9">
        <f>'Macao Daily'!L6</f>
        <v>76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11</v>
      </c>
      <c r="D4" s="7">
        <v>2022</v>
      </c>
      <c r="E4" s="9">
        <f>'Macao Daily'!D7</f>
        <v>29833</v>
      </c>
      <c r="F4" s="30">
        <v>1.2423</v>
      </c>
      <c r="G4" s="9">
        <f>'Macao Daily'!F7</f>
        <v>93</v>
      </c>
      <c r="H4" s="30">
        <v>9.2750000000000004</v>
      </c>
      <c r="I4" s="9">
        <f>'Macao Daily'!H7</f>
        <v>36313</v>
      </c>
      <c r="J4" s="30">
        <v>0.28000000000000003</v>
      </c>
      <c r="K4" s="9">
        <f>'Macao Daily'!J7</f>
        <v>224.52007991541177</v>
      </c>
      <c r="L4" s="30">
        <v>7.76</v>
      </c>
      <c r="M4" s="9">
        <f>'Macao Daily'!K7</f>
        <v>37</v>
      </c>
      <c r="N4" s="9">
        <f>'Macao Daily'!L7</f>
        <v>85</v>
      </c>
    </row>
    <row r="5" spans="1:14" ht="15" x14ac:dyDescent="0.25">
      <c r="A5" s="6" t="s">
        <v>13</v>
      </c>
      <c r="B5" s="7">
        <f t="shared" si="0"/>
        <v>4</v>
      </c>
      <c r="C5" s="8">
        <v>11</v>
      </c>
      <c r="D5" s="7">
        <v>2022</v>
      </c>
      <c r="E5" s="9">
        <f>'Macao Daily'!D8</f>
        <v>32165</v>
      </c>
      <c r="F5" s="30">
        <v>1.2423</v>
      </c>
      <c r="G5" s="9">
        <f>'Macao Daily'!F8</f>
        <v>117</v>
      </c>
      <c r="H5" s="30">
        <v>9.2750000000000004</v>
      </c>
      <c r="I5" s="9">
        <f>'Macao Daily'!H8</f>
        <v>40437</v>
      </c>
      <c r="J5" s="30">
        <v>0.28000000000000003</v>
      </c>
      <c r="K5" s="9">
        <f>'Macao Daily'!J8</f>
        <v>212.88783531612717</v>
      </c>
      <c r="L5" s="30">
        <v>7.76</v>
      </c>
      <c r="M5" s="9">
        <f>'Macao Daily'!K8</f>
        <v>43</v>
      </c>
      <c r="N5" s="9">
        <f>'Macao Daily'!L8</f>
        <v>396</v>
      </c>
    </row>
    <row r="6" spans="1:14" ht="15" x14ac:dyDescent="0.25">
      <c r="A6" s="6" t="s">
        <v>13</v>
      </c>
      <c r="B6" s="7">
        <f t="shared" si="0"/>
        <v>5</v>
      </c>
      <c r="C6" s="8">
        <v>11</v>
      </c>
      <c r="D6" s="7">
        <v>2022</v>
      </c>
      <c r="E6" s="9">
        <f>'Macao Daily'!D9</f>
        <v>31706</v>
      </c>
      <c r="F6" s="30">
        <v>1.2423</v>
      </c>
      <c r="G6" s="9">
        <f>'Macao Daily'!F9</f>
        <v>111</v>
      </c>
      <c r="H6" s="30">
        <v>9.2750000000000004</v>
      </c>
      <c r="I6" s="9">
        <f>'Macao Daily'!H9</f>
        <v>33985</v>
      </c>
      <c r="J6" s="30">
        <v>0.28000000000000003</v>
      </c>
      <c r="K6" s="9">
        <f>'Macao Daily'!J9</f>
        <v>210.62354342848994</v>
      </c>
      <c r="L6" s="30">
        <v>7.76</v>
      </c>
      <c r="M6" s="9">
        <f>'Macao Daily'!K9</f>
        <v>54</v>
      </c>
      <c r="N6" s="9">
        <f>'Macao Daily'!L9</f>
        <v>449</v>
      </c>
    </row>
    <row r="7" spans="1:14" ht="15" x14ac:dyDescent="0.25">
      <c r="A7" s="6" t="s">
        <v>13</v>
      </c>
      <c r="B7" s="7">
        <f t="shared" si="0"/>
        <v>6</v>
      </c>
      <c r="C7" s="8">
        <v>11</v>
      </c>
      <c r="D7" s="7">
        <v>2022</v>
      </c>
      <c r="E7" s="9">
        <f>'Macao Daily'!D10</f>
        <v>32108</v>
      </c>
      <c r="F7" s="30">
        <v>1.2423</v>
      </c>
      <c r="G7" s="9">
        <f>'Macao Daily'!F10</f>
        <v>108</v>
      </c>
      <c r="H7" s="30">
        <v>9.2750000000000004</v>
      </c>
      <c r="I7" s="9">
        <f>'Macao Daily'!H10</f>
        <v>37086</v>
      </c>
      <c r="J7" s="30">
        <v>0.28000000000000003</v>
      </c>
      <c r="K7" s="9">
        <f>'Macao Daily'!J10</f>
        <v>219.01474277675152</v>
      </c>
      <c r="L7" s="30">
        <v>7.76</v>
      </c>
      <c r="M7" s="9">
        <f>'Macao Daily'!K10</f>
        <v>50</v>
      </c>
      <c r="N7" s="9">
        <f>'Macao Daily'!L10</f>
        <v>370</v>
      </c>
    </row>
    <row r="8" spans="1:14" ht="15" x14ac:dyDescent="0.25">
      <c r="A8" s="6" t="s">
        <v>13</v>
      </c>
      <c r="B8" s="7">
        <f t="shared" si="0"/>
        <v>7</v>
      </c>
      <c r="C8" s="8">
        <v>11</v>
      </c>
      <c r="D8" s="7">
        <v>2022</v>
      </c>
      <c r="E8" s="9">
        <f>'Macao Daily'!D11</f>
        <v>30250</v>
      </c>
      <c r="F8" s="30">
        <v>1.2423</v>
      </c>
      <c r="G8" s="9">
        <f>'Macao Daily'!F11</f>
        <v>99</v>
      </c>
      <c r="H8" s="30">
        <v>9.2750000000000004</v>
      </c>
      <c r="I8" s="9">
        <f>'Macao Daily'!H11</f>
        <v>34382</v>
      </c>
      <c r="J8" s="30">
        <v>0.28000000000000003</v>
      </c>
      <c r="K8" s="9">
        <f>'Macao Daily'!J11</f>
        <v>152.95069711445831</v>
      </c>
      <c r="L8" s="30">
        <v>7.76</v>
      </c>
      <c r="M8" s="9">
        <f>'Macao Daily'!K11</f>
        <v>50</v>
      </c>
      <c r="N8" s="9">
        <f>'Macao Daily'!L11</f>
        <v>119</v>
      </c>
    </row>
    <row r="9" spans="1:14" ht="15" x14ac:dyDescent="0.25">
      <c r="A9" s="6" t="s">
        <v>13</v>
      </c>
      <c r="B9" s="7">
        <f t="shared" si="0"/>
        <v>8</v>
      </c>
      <c r="C9" s="8">
        <v>11</v>
      </c>
      <c r="D9" s="7">
        <v>2022</v>
      </c>
      <c r="E9" s="9">
        <f>'Macao Daily'!D12</f>
        <v>28991</v>
      </c>
      <c r="F9" s="30">
        <v>1.2423</v>
      </c>
      <c r="G9" s="9">
        <f>'Macao Daily'!F12</f>
        <v>85</v>
      </c>
      <c r="H9" s="30">
        <v>9.2750000000000004</v>
      </c>
      <c r="I9" s="9">
        <f>'Macao Daily'!H12</f>
        <v>34383</v>
      </c>
      <c r="J9" s="30">
        <v>0.28000000000000003</v>
      </c>
      <c r="K9" s="9">
        <f>'Macao Daily'!J12</f>
        <v>96.343399924226105</v>
      </c>
      <c r="L9" s="30">
        <v>7.76</v>
      </c>
      <c r="M9" s="9">
        <f>'Macao Daily'!K12</f>
        <v>70</v>
      </c>
      <c r="N9" s="9">
        <f>'Macao Daily'!L12</f>
        <v>89</v>
      </c>
    </row>
    <row r="10" spans="1:14" ht="15" x14ac:dyDescent="0.25">
      <c r="A10" s="6" t="s">
        <v>13</v>
      </c>
      <c r="B10" s="7">
        <f t="shared" si="0"/>
        <v>9</v>
      </c>
      <c r="C10" s="8">
        <v>11</v>
      </c>
      <c r="D10" s="7">
        <v>2022</v>
      </c>
      <c r="E10" s="9">
        <f>'Macao Daily'!D13</f>
        <v>29548</v>
      </c>
      <c r="F10" s="30">
        <v>1.2423</v>
      </c>
      <c r="G10" s="9">
        <f>'Macao Daily'!F13</f>
        <v>93</v>
      </c>
      <c r="H10" s="30">
        <v>9.2750000000000004</v>
      </c>
      <c r="I10" s="9">
        <f>'Macao Daily'!H13</f>
        <v>39649</v>
      </c>
      <c r="J10" s="30">
        <v>0.28000000000000003</v>
      </c>
      <c r="K10" s="9">
        <f>'Macao Daily'!J13</f>
        <v>100.51680065807886</v>
      </c>
      <c r="L10" s="30">
        <v>7.76</v>
      </c>
      <c r="M10" s="9">
        <f>'Macao Daily'!K13</f>
        <v>72</v>
      </c>
      <c r="N10" s="9">
        <f>'Macao Daily'!L13</f>
        <v>135</v>
      </c>
    </row>
    <row r="11" spans="1:14" ht="15" x14ac:dyDescent="0.25">
      <c r="A11" s="6" t="s">
        <v>13</v>
      </c>
      <c r="B11" s="7">
        <f t="shared" si="0"/>
        <v>10</v>
      </c>
      <c r="C11" s="8">
        <v>11</v>
      </c>
      <c r="D11" s="7">
        <v>2022</v>
      </c>
      <c r="E11" s="9">
        <f>'Macao Daily'!D14</f>
        <v>30213</v>
      </c>
      <c r="F11" s="30">
        <v>1.2423</v>
      </c>
      <c r="G11" s="9">
        <f>'Macao Daily'!F14</f>
        <v>113</v>
      </c>
      <c r="H11" s="30">
        <v>9.2750000000000004</v>
      </c>
      <c r="I11" s="9">
        <f>'Macao Daily'!H14</f>
        <v>46086</v>
      </c>
      <c r="J11" s="30">
        <v>0.28000000000000003</v>
      </c>
      <c r="K11" s="9">
        <f>'Macao Daily'!J14</f>
        <v>143.44955076253973</v>
      </c>
      <c r="L11" s="30">
        <v>7.76</v>
      </c>
      <c r="M11" s="9">
        <f>'Macao Daily'!K14</f>
        <v>87</v>
      </c>
      <c r="N11" s="9">
        <f>'Macao Daily'!L14</f>
        <v>330</v>
      </c>
    </row>
    <row r="12" spans="1:14" ht="15" x14ac:dyDescent="0.25">
      <c r="A12" s="6" t="s">
        <v>13</v>
      </c>
      <c r="B12" s="7">
        <f t="shared" si="0"/>
        <v>11</v>
      </c>
      <c r="C12" s="8">
        <v>11</v>
      </c>
      <c r="D12" s="7">
        <v>2022</v>
      </c>
      <c r="E12" s="9">
        <f>'Macao Daily'!D15</f>
        <v>31850</v>
      </c>
      <c r="F12" s="30">
        <v>1.2423</v>
      </c>
      <c r="G12" s="9">
        <f>'Macao Daily'!F15</f>
        <v>104</v>
      </c>
      <c r="H12" s="30">
        <v>9.2750000000000004</v>
      </c>
      <c r="I12" s="9">
        <f>'Macao Daily'!H15</f>
        <v>47057</v>
      </c>
      <c r="J12" s="30">
        <v>0.28000000000000003</v>
      </c>
      <c r="K12" s="9">
        <f>'Macao Daily'!J15</f>
        <v>150.99719038791955</v>
      </c>
      <c r="L12" s="30">
        <v>7.76</v>
      </c>
      <c r="M12" s="9">
        <f>'Macao Daily'!K15</f>
        <v>123</v>
      </c>
      <c r="N12" s="9">
        <f>'Macao Daily'!L15</f>
        <v>286</v>
      </c>
    </row>
    <row r="13" spans="1:14" ht="15" x14ac:dyDescent="0.25">
      <c r="A13" s="6" t="s">
        <v>13</v>
      </c>
      <c r="B13" s="7">
        <f t="shared" si="0"/>
        <v>12</v>
      </c>
      <c r="C13" s="8">
        <v>11</v>
      </c>
      <c r="D13" s="7">
        <v>2022</v>
      </c>
      <c r="E13" s="9">
        <f>'Macao Daily'!D16</f>
        <v>31398</v>
      </c>
      <c r="F13" s="30">
        <v>1.2423</v>
      </c>
      <c r="G13" s="9">
        <f>'Macao Daily'!F16</f>
        <v>117</v>
      </c>
      <c r="H13" s="30">
        <v>9.2750000000000004</v>
      </c>
      <c r="I13" s="9">
        <f>'Macao Daily'!H16</f>
        <v>43060</v>
      </c>
      <c r="J13" s="30">
        <v>0.28000000000000003</v>
      </c>
      <c r="K13" s="9">
        <f>'Macao Daily'!J16</f>
        <v>157.21289360895753</v>
      </c>
      <c r="L13" s="30">
        <v>7.76</v>
      </c>
      <c r="M13" s="9">
        <f>'Macao Daily'!K16</f>
        <v>132</v>
      </c>
      <c r="N13" s="9">
        <f>'Macao Daily'!L16</f>
        <v>389</v>
      </c>
    </row>
    <row r="14" spans="1:14" ht="15" x14ac:dyDescent="0.25">
      <c r="A14" s="6" t="s">
        <v>13</v>
      </c>
      <c r="B14" s="7">
        <f t="shared" si="0"/>
        <v>13</v>
      </c>
      <c r="C14" s="8">
        <v>11</v>
      </c>
      <c r="D14" s="7">
        <v>2022</v>
      </c>
      <c r="E14" s="9">
        <f>'Macao Daily'!D17</f>
        <v>31493</v>
      </c>
      <c r="F14" s="30">
        <v>1.2423</v>
      </c>
      <c r="G14" s="9">
        <f>'Macao Daily'!F17</f>
        <v>129</v>
      </c>
      <c r="H14" s="30">
        <v>9.2750000000000004</v>
      </c>
      <c r="I14" s="9">
        <f>'Macao Daily'!H17</f>
        <v>45062</v>
      </c>
      <c r="J14" s="30">
        <v>0.28000000000000003</v>
      </c>
      <c r="K14" s="9">
        <f>'Macao Daily'!J17</f>
        <v>161.16430494212545</v>
      </c>
      <c r="L14" s="30">
        <v>7.76</v>
      </c>
      <c r="M14" s="9">
        <f>'Macao Daily'!K17</f>
        <v>120</v>
      </c>
      <c r="N14" s="9">
        <f>'Macao Daily'!L17</f>
        <v>800</v>
      </c>
    </row>
    <row r="15" spans="1:14" ht="15" x14ac:dyDescent="0.25">
      <c r="A15" s="6" t="s">
        <v>13</v>
      </c>
      <c r="B15" s="7">
        <f t="shared" si="0"/>
        <v>14</v>
      </c>
      <c r="C15" s="8">
        <v>11</v>
      </c>
      <c r="D15" s="7">
        <v>2022</v>
      </c>
      <c r="E15" s="9">
        <f>'Macao Daily'!D18</f>
        <v>30713</v>
      </c>
      <c r="F15" s="30">
        <v>1.2423</v>
      </c>
      <c r="G15" s="9">
        <f>'Macao Daily'!F18</f>
        <v>103</v>
      </c>
      <c r="H15" s="30">
        <v>9.2750000000000004</v>
      </c>
      <c r="I15" s="9">
        <f>'Macao Daily'!H18</f>
        <v>42711</v>
      </c>
      <c r="J15" s="30">
        <v>0.28000000000000003</v>
      </c>
      <c r="K15" s="9">
        <f>'Macao Daily'!J18</f>
        <v>167.55759968375787</v>
      </c>
      <c r="L15" s="30">
        <v>7.76</v>
      </c>
      <c r="M15" s="9">
        <f>'Macao Daily'!K18</f>
        <v>97</v>
      </c>
      <c r="N15" s="9">
        <f>'Macao Daily'!L18</f>
        <v>151</v>
      </c>
    </row>
    <row r="16" spans="1:14" ht="15" x14ac:dyDescent="0.25">
      <c r="A16" s="6" t="s">
        <v>13</v>
      </c>
      <c r="B16" s="7">
        <f t="shared" si="0"/>
        <v>15</v>
      </c>
      <c r="C16" s="8">
        <v>11</v>
      </c>
      <c r="D16" s="7">
        <v>2022</v>
      </c>
      <c r="E16" s="9">
        <f>'Macao Daily'!D19</f>
        <v>28862</v>
      </c>
      <c r="F16" s="30">
        <v>1.2423</v>
      </c>
      <c r="G16" s="9">
        <f>'Macao Daily'!F19</f>
        <v>91</v>
      </c>
      <c r="H16" s="30">
        <v>9.2750000000000004</v>
      </c>
      <c r="I16" s="9">
        <f>'Macao Daily'!H19</f>
        <v>44250</v>
      </c>
      <c r="J16" s="30">
        <v>0.28000000000000003</v>
      </c>
      <c r="K16" s="9">
        <f>'Macao Daily'!J19</f>
        <v>110.15114065050147</v>
      </c>
      <c r="L16" s="30">
        <v>7.76</v>
      </c>
      <c r="M16" s="9">
        <f>'Macao Daily'!K19</f>
        <v>93</v>
      </c>
      <c r="N16" s="9">
        <f>'Macao Daily'!L19</f>
        <v>121</v>
      </c>
    </row>
    <row r="17" spans="1:14" ht="15" x14ac:dyDescent="0.25">
      <c r="A17" s="6" t="s">
        <v>13</v>
      </c>
      <c r="B17" s="7">
        <f t="shared" si="0"/>
        <v>16</v>
      </c>
      <c r="C17" s="8">
        <v>11</v>
      </c>
      <c r="D17" s="7">
        <v>2022</v>
      </c>
      <c r="E17" s="9">
        <f>'Macao Daily'!D20</f>
        <v>28662</v>
      </c>
      <c r="F17" s="30">
        <v>1.2423</v>
      </c>
      <c r="G17" s="9">
        <f>'Macao Daily'!F20</f>
        <v>102</v>
      </c>
      <c r="H17" s="30">
        <v>9.2750000000000004</v>
      </c>
      <c r="I17" s="9">
        <f>'Macao Daily'!H20</f>
        <v>44235</v>
      </c>
      <c r="J17" s="30">
        <v>0.28000000000000003</v>
      </c>
      <c r="K17" s="9">
        <f>'Macao Daily'!J20</f>
        <v>136.16829841816798</v>
      </c>
      <c r="L17" s="30">
        <v>7.76</v>
      </c>
      <c r="M17" s="9">
        <f>'Macao Daily'!K20</f>
        <v>82</v>
      </c>
      <c r="N17" s="9">
        <f>'Macao Daily'!L20</f>
        <v>380</v>
      </c>
    </row>
    <row r="18" spans="1:14" ht="15" x14ac:dyDescent="0.25">
      <c r="A18" s="6" t="s">
        <v>13</v>
      </c>
      <c r="B18" s="7">
        <f t="shared" si="0"/>
        <v>17</v>
      </c>
      <c r="C18" s="8">
        <v>11</v>
      </c>
      <c r="D18" s="7">
        <v>2022</v>
      </c>
      <c r="E18" s="9">
        <f>'Macao Daily'!D21</f>
        <v>29838</v>
      </c>
      <c r="F18" s="30">
        <v>1.2423</v>
      </c>
      <c r="G18" s="9">
        <f>'Macao Daily'!F21</f>
        <v>101</v>
      </c>
      <c r="H18" s="30">
        <v>9.2750000000000004</v>
      </c>
      <c r="I18" s="9">
        <f>'Macao Daily'!H21</f>
        <v>44992</v>
      </c>
      <c r="J18" s="30">
        <v>0.28000000000000003</v>
      </c>
      <c r="K18" s="9">
        <f>'Macao Daily'!J21</f>
        <v>153.26148227555677</v>
      </c>
      <c r="L18" s="30">
        <v>7.76</v>
      </c>
      <c r="M18" s="9">
        <f>'Macao Daily'!K21</f>
        <v>112</v>
      </c>
      <c r="N18" s="9">
        <f>'Macao Daily'!L21</f>
        <v>164</v>
      </c>
    </row>
    <row r="19" spans="1:14" ht="15" x14ac:dyDescent="0.25">
      <c r="A19" s="6" t="s">
        <v>13</v>
      </c>
      <c r="B19" s="7">
        <f t="shared" si="0"/>
        <v>18</v>
      </c>
      <c r="C19" s="8">
        <v>11</v>
      </c>
      <c r="D19" s="7">
        <v>2022</v>
      </c>
      <c r="E19" s="9">
        <f>'Macao Daily'!D22</f>
        <v>32336</v>
      </c>
      <c r="F19" s="30">
        <v>1.2423</v>
      </c>
      <c r="G19" s="9">
        <f>'Macao Daily'!F22</f>
        <v>118</v>
      </c>
      <c r="H19" s="30">
        <v>9.2750000000000004</v>
      </c>
      <c r="I19" s="9">
        <f>'Macao Daily'!H22</f>
        <v>47648</v>
      </c>
      <c r="J19" s="30">
        <v>0.28000000000000003</v>
      </c>
      <c r="K19" s="9">
        <f>'Macao Daily'!J22</f>
        <v>175.41602447023615</v>
      </c>
      <c r="L19" s="30">
        <v>7.76</v>
      </c>
      <c r="M19" s="9">
        <f>'Macao Daily'!K22</f>
        <v>165</v>
      </c>
      <c r="N19" s="9">
        <f>'Macao Daily'!L22</f>
        <v>389</v>
      </c>
    </row>
    <row r="20" spans="1:14" ht="15" x14ac:dyDescent="0.25">
      <c r="A20" s="6" t="s">
        <v>13</v>
      </c>
      <c r="B20" s="7">
        <f t="shared" si="0"/>
        <v>19</v>
      </c>
      <c r="C20" s="8">
        <v>11</v>
      </c>
      <c r="D20" s="7">
        <v>2022</v>
      </c>
      <c r="E20" s="9">
        <f>'Macao Daily'!D23</f>
        <v>32829</v>
      </c>
      <c r="F20" s="30">
        <v>1.2423</v>
      </c>
      <c r="G20" s="9">
        <f>'Macao Daily'!F23</f>
        <v>115</v>
      </c>
      <c r="H20" s="30">
        <v>9.2750000000000004</v>
      </c>
      <c r="I20" s="9">
        <f>'Macao Daily'!H23</f>
        <v>45328</v>
      </c>
      <c r="J20" s="30">
        <v>0.28000000000000003</v>
      </c>
      <c r="K20" s="9">
        <f>'Macao Daily'!J23</f>
        <v>176.57036935398355</v>
      </c>
      <c r="L20" s="30">
        <v>7.76</v>
      </c>
      <c r="M20" s="9">
        <f>'Macao Daily'!K23</f>
        <v>191</v>
      </c>
      <c r="N20" s="9">
        <f>'Macao Daily'!L23</f>
        <v>703</v>
      </c>
    </row>
    <row r="21" spans="1:14" ht="15" x14ac:dyDescent="0.25">
      <c r="A21" s="6" t="s">
        <v>13</v>
      </c>
      <c r="B21" s="7">
        <f t="shared" si="0"/>
        <v>20</v>
      </c>
      <c r="C21" s="8">
        <v>11</v>
      </c>
      <c r="D21" s="7">
        <v>2022</v>
      </c>
      <c r="E21" s="9">
        <f>'Macao Daily'!D24</f>
        <v>32276</v>
      </c>
      <c r="F21" s="30">
        <v>1.2423</v>
      </c>
      <c r="G21" s="9">
        <f>'Macao Daily'!F24</f>
        <v>119</v>
      </c>
      <c r="H21" s="30">
        <v>9.2750000000000004</v>
      </c>
      <c r="I21" s="9">
        <f>'Macao Daily'!H24</f>
        <v>40157</v>
      </c>
      <c r="J21" s="30">
        <v>0.28000000000000003</v>
      </c>
      <c r="K21" s="9">
        <f>'Macao Daily'!J24</f>
        <v>175.86000327160582</v>
      </c>
      <c r="L21" s="30">
        <v>7.76</v>
      </c>
      <c r="M21" s="9">
        <f>'Macao Daily'!K24</f>
        <v>118</v>
      </c>
      <c r="N21" s="9">
        <f>'Macao Daily'!L24</f>
        <v>700</v>
      </c>
    </row>
    <row r="22" spans="1:14" ht="15" x14ac:dyDescent="0.25">
      <c r="A22" s="6" t="s">
        <v>13</v>
      </c>
      <c r="B22" s="7">
        <f t="shared" si="0"/>
        <v>21</v>
      </c>
      <c r="C22" s="8">
        <v>11</v>
      </c>
      <c r="D22" s="7">
        <v>2022</v>
      </c>
      <c r="E22" s="9">
        <f>'Macao Daily'!D25</f>
        <v>32784</v>
      </c>
      <c r="F22" s="30">
        <v>1.2423</v>
      </c>
      <c r="G22" s="9">
        <f>'Macao Daily'!F25</f>
        <v>109</v>
      </c>
      <c r="H22" s="30">
        <v>9.2750000000000004</v>
      </c>
      <c r="I22" s="9">
        <f>'Macao Daily'!H25</f>
        <v>48726</v>
      </c>
      <c r="J22" s="30">
        <v>0.28000000000000003</v>
      </c>
      <c r="K22" s="9">
        <f>'Macao Daily'!J25</f>
        <v>163.16220954898745</v>
      </c>
      <c r="L22" s="30">
        <v>7.76</v>
      </c>
      <c r="M22" s="9">
        <f>'Macao Daily'!K25</f>
        <v>99</v>
      </c>
      <c r="N22" s="9">
        <f>'Macao Daily'!L25</f>
        <v>291</v>
      </c>
    </row>
    <row r="23" spans="1:14" ht="15" x14ac:dyDescent="0.25">
      <c r="A23" s="6" t="s">
        <v>13</v>
      </c>
      <c r="B23" s="7">
        <f t="shared" si="0"/>
        <v>22</v>
      </c>
      <c r="C23" s="8">
        <v>11</v>
      </c>
      <c r="D23" s="7">
        <v>2022</v>
      </c>
      <c r="E23" s="9">
        <f>'Macao Daily'!D26</f>
        <v>33372</v>
      </c>
      <c r="F23" s="30">
        <v>1.2423</v>
      </c>
      <c r="G23" s="9">
        <f>'Macao Daily'!F26</f>
        <v>98</v>
      </c>
      <c r="H23" s="30">
        <v>9.2750000000000004</v>
      </c>
      <c r="I23" s="9">
        <f>'Macao Daily'!H26</f>
        <v>48930</v>
      </c>
      <c r="J23" s="30">
        <v>0.28000000000000003</v>
      </c>
      <c r="K23" s="9">
        <f>'Macao Daily'!J26</f>
        <v>149.26567306206562</v>
      </c>
      <c r="L23" s="30">
        <v>7.76</v>
      </c>
      <c r="M23" s="9">
        <f>'Macao Daily'!K26</f>
        <v>103</v>
      </c>
      <c r="N23" s="9">
        <f>'Macao Daily'!L26</f>
        <v>467</v>
      </c>
    </row>
    <row r="24" spans="1:14" ht="15" x14ac:dyDescent="0.25">
      <c r="A24" s="6" t="s">
        <v>13</v>
      </c>
      <c r="B24" s="7">
        <f t="shared" si="0"/>
        <v>23</v>
      </c>
      <c r="C24" s="8">
        <v>11</v>
      </c>
      <c r="D24" s="7">
        <v>2022</v>
      </c>
      <c r="E24" s="9">
        <f>'Macao Daily'!D27</f>
        <v>31715</v>
      </c>
      <c r="F24" s="30">
        <v>1.2423</v>
      </c>
      <c r="G24" s="9">
        <f>'Macao Daily'!F27</f>
        <v>98</v>
      </c>
      <c r="H24" s="30">
        <v>9.2750000000000004</v>
      </c>
      <c r="I24" s="9">
        <f>'Macao Daily'!H27</f>
        <v>49914</v>
      </c>
      <c r="J24" s="30">
        <v>0.28000000000000003</v>
      </c>
      <c r="K24" s="9">
        <f>'Macao Daily'!J27</f>
        <v>151.35237342910841</v>
      </c>
      <c r="L24" s="30">
        <v>7.76</v>
      </c>
      <c r="M24" s="9">
        <f>'Macao Daily'!K27</f>
        <v>98</v>
      </c>
      <c r="N24" s="9">
        <f>'Macao Daily'!L27</f>
        <v>166</v>
      </c>
    </row>
    <row r="25" spans="1:14" ht="15" x14ac:dyDescent="0.25">
      <c r="A25" s="6" t="s">
        <v>13</v>
      </c>
      <c r="B25" s="7">
        <f t="shared" si="0"/>
        <v>24</v>
      </c>
      <c r="C25" s="8">
        <v>11</v>
      </c>
      <c r="D25" s="7">
        <v>2022</v>
      </c>
      <c r="E25" s="9">
        <f>'Macao Daily'!D28</f>
        <v>32121</v>
      </c>
      <c r="F25" s="30">
        <v>1.2423</v>
      </c>
      <c r="G25" s="9">
        <f>'Macao Daily'!F28</f>
        <v>100</v>
      </c>
      <c r="H25" s="30">
        <v>9.2750000000000004</v>
      </c>
      <c r="I25" s="9">
        <f>'Macao Daily'!H28</f>
        <v>42484</v>
      </c>
      <c r="J25" s="30">
        <v>0.28000000000000003</v>
      </c>
      <c r="K25" s="9">
        <f>'Macao Daily'!J28</f>
        <v>165.02692051511258</v>
      </c>
      <c r="L25" s="30">
        <v>7.76</v>
      </c>
      <c r="M25" s="9">
        <f>'Macao Daily'!K28</f>
        <v>123</v>
      </c>
      <c r="N25" s="9">
        <f>'Macao Daily'!L28</f>
        <v>149</v>
      </c>
    </row>
    <row r="26" spans="1:14" ht="15" x14ac:dyDescent="0.25">
      <c r="A26" s="6" t="s">
        <v>13</v>
      </c>
      <c r="B26" s="7">
        <f>B25+1</f>
        <v>25</v>
      </c>
      <c r="C26" s="8">
        <v>11</v>
      </c>
      <c r="D26" s="7">
        <v>2022</v>
      </c>
      <c r="E26" s="9">
        <f>'Macao Daily'!D29</f>
        <v>34620</v>
      </c>
      <c r="F26" s="30">
        <v>1.2423</v>
      </c>
      <c r="G26" s="9">
        <f>'Macao Daily'!F29</f>
        <v>125</v>
      </c>
      <c r="H26" s="30">
        <v>9.2750000000000004</v>
      </c>
      <c r="I26" s="9">
        <f>'Macao Daily'!H29</f>
        <v>42649</v>
      </c>
      <c r="J26" s="30">
        <v>0.28000000000000003</v>
      </c>
      <c r="K26" s="9">
        <f>'Macao Daily'!J29</f>
        <v>169.9106873315759</v>
      </c>
      <c r="L26" s="30">
        <v>7.76</v>
      </c>
      <c r="M26" s="9">
        <f>'Macao Daily'!K29</f>
        <v>173</v>
      </c>
      <c r="N26" s="9">
        <f>'Macao Daily'!L29</f>
        <v>606</v>
      </c>
    </row>
    <row r="27" spans="1:14" ht="15" x14ac:dyDescent="0.25">
      <c r="A27" s="6" t="s">
        <v>13</v>
      </c>
      <c r="B27" s="7">
        <f t="shared" si="0"/>
        <v>26</v>
      </c>
      <c r="C27" s="8">
        <v>11</v>
      </c>
      <c r="D27" s="7">
        <v>2022</v>
      </c>
      <c r="E27" s="9">
        <f>'Macao Daily'!D30</f>
        <v>34346</v>
      </c>
      <c r="F27" s="30">
        <v>1.2423</v>
      </c>
      <c r="G27" s="9">
        <f>'Macao Daily'!F30</f>
        <v>119</v>
      </c>
      <c r="H27" s="30">
        <v>9.2750000000000004</v>
      </c>
      <c r="I27" s="9">
        <f>'Macao Daily'!H30</f>
        <v>41476</v>
      </c>
      <c r="J27" s="30">
        <v>0.28000000000000003</v>
      </c>
      <c r="K27" s="9">
        <f>'Macao Daily'!J30</f>
        <v>167.6907933242619</v>
      </c>
      <c r="L27" s="30">
        <v>7.76</v>
      </c>
      <c r="M27" s="9">
        <f>'Macao Daily'!K30</f>
        <v>192</v>
      </c>
      <c r="N27" s="9">
        <f>'Macao Daily'!L30</f>
        <v>541</v>
      </c>
    </row>
    <row r="28" spans="1:14" ht="15" x14ac:dyDescent="0.25">
      <c r="A28" s="6" t="s">
        <v>13</v>
      </c>
      <c r="B28" s="7">
        <f t="shared" si="0"/>
        <v>27</v>
      </c>
      <c r="C28" s="8">
        <v>11</v>
      </c>
      <c r="D28" s="7">
        <v>2022</v>
      </c>
      <c r="E28" s="9">
        <f>'Macao Daily'!D31</f>
        <v>34333</v>
      </c>
      <c r="F28" s="30">
        <v>1.2423</v>
      </c>
      <c r="G28" s="9">
        <f>'Macao Daily'!F31</f>
        <v>134</v>
      </c>
      <c r="H28" s="30">
        <v>9.2750000000000004</v>
      </c>
      <c r="I28" s="9">
        <f>'Macao Daily'!H31</f>
        <v>48117</v>
      </c>
      <c r="J28" s="30">
        <v>0.28000000000000003</v>
      </c>
      <c r="K28" s="9">
        <f>'Macao Daily'!J31</f>
        <v>173.95089442515746</v>
      </c>
      <c r="L28" s="30">
        <v>7.76</v>
      </c>
      <c r="M28" s="9">
        <f>'Macao Daily'!K31</f>
        <v>159</v>
      </c>
      <c r="N28" s="9">
        <f>'Macao Daily'!L31</f>
        <v>1117</v>
      </c>
    </row>
    <row r="29" spans="1:14" ht="15" x14ac:dyDescent="0.25">
      <c r="A29" s="6" t="s">
        <v>13</v>
      </c>
      <c r="B29" s="7">
        <f t="shared" si="0"/>
        <v>28</v>
      </c>
      <c r="C29" s="8">
        <v>11</v>
      </c>
      <c r="D29" s="7">
        <v>2022</v>
      </c>
      <c r="E29" s="9">
        <f>'Macao Daily'!D32</f>
        <v>33319</v>
      </c>
      <c r="F29" s="30">
        <v>1.2423</v>
      </c>
      <c r="G29" s="9">
        <f>'Macao Daily'!F32</f>
        <v>108</v>
      </c>
      <c r="H29" s="30">
        <v>9.2750000000000004</v>
      </c>
      <c r="I29" s="9">
        <f>'Macao Daily'!H32</f>
        <v>59414</v>
      </c>
      <c r="J29" s="30">
        <v>0.28000000000000003</v>
      </c>
      <c r="K29" s="9">
        <f>'Macao Daily'!J32</f>
        <v>162.22985406569205</v>
      </c>
      <c r="L29" s="30">
        <v>7.76</v>
      </c>
      <c r="M29" s="9">
        <f>'Macao Daily'!K32</f>
        <v>115</v>
      </c>
      <c r="N29" s="9">
        <f>'Macao Daily'!L32</f>
        <v>280</v>
      </c>
    </row>
    <row r="30" spans="1:14" ht="15" x14ac:dyDescent="0.25">
      <c r="A30" s="6" t="s">
        <v>13</v>
      </c>
      <c r="B30" s="7">
        <f t="shared" si="0"/>
        <v>29</v>
      </c>
      <c r="C30" s="8">
        <v>11</v>
      </c>
      <c r="D30" s="7">
        <v>2022</v>
      </c>
      <c r="E30" s="9">
        <f>'Macao Daily'!D33</f>
        <v>31788</v>
      </c>
      <c r="F30" s="30">
        <v>1.2423</v>
      </c>
      <c r="G30" s="9">
        <f>'Macao Daily'!F33</f>
        <v>93</v>
      </c>
      <c r="H30" s="30">
        <v>9.2750000000000004</v>
      </c>
      <c r="I30" s="9">
        <f>'Macao Daily'!H33</f>
        <v>58196</v>
      </c>
      <c r="J30" s="30">
        <v>0.28000000000000003</v>
      </c>
      <c r="K30" s="9">
        <f>'Macao Daily'!J33</f>
        <v>159.34399185609072</v>
      </c>
      <c r="L30" s="30">
        <v>7.76</v>
      </c>
      <c r="M30" s="9">
        <f>'Macao Daily'!K33</f>
        <v>108</v>
      </c>
      <c r="N30" s="9">
        <f>'Macao Daily'!L33</f>
        <v>160</v>
      </c>
    </row>
    <row r="31" spans="1:14" ht="15" x14ac:dyDescent="0.25">
      <c r="A31" s="6" t="s">
        <v>13</v>
      </c>
      <c r="B31" s="7">
        <f t="shared" si="0"/>
        <v>30</v>
      </c>
      <c r="C31" s="8">
        <v>11</v>
      </c>
      <c r="D31" s="7">
        <v>2022</v>
      </c>
      <c r="E31" s="9">
        <f>'Macao Daily'!D34</f>
        <v>30525</v>
      </c>
      <c r="F31" s="30">
        <v>1.2423</v>
      </c>
      <c r="G31" s="9">
        <f>'Macao Daily'!F34</f>
        <v>95</v>
      </c>
      <c r="H31" s="30">
        <v>9.2750000000000004</v>
      </c>
      <c r="I31" s="9">
        <f>'Macao Daily'!H34</f>
        <v>40414</v>
      </c>
      <c r="J31" s="30">
        <v>0.28000000000000003</v>
      </c>
      <c r="K31" s="9">
        <f>'Macao Daily'!J34</f>
        <v>143.00557196117006</v>
      </c>
      <c r="L31" s="30">
        <v>7.76</v>
      </c>
      <c r="M31" s="9">
        <f>'Macao Daily'!K34</f>
        <v>95</v>
      </c>
      <c r="N31" s="9">
        <f>'Macao Daily'!L34</f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tabSelected="1" zoomScale="85" zoomScaleNormal="85" workbookViewId="0">
      <pane xSplit="1" topLeftCell="B1" activePane="topRight" state="frozen"/>
      <selection pane="topRight" activeCell="J3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44865</v>
      </c>
      <c r="B4" s="39"/>
      <c r="C4" s="35">
        <v>41492906</v>
      </c>
      <c r="D4" s="24"/>
      <c r="E4" s="35">
        <v>617615.99999999267</v>
      </c>
      <c r="F4" s="24"/>
      <c r="G4" s="35">
        <v>125781721</v>
      </c>
      <c r="H4" s="24"/>
      <c r="I4" s="37">
        <v>1134182.3618287782</v>
      </c>
      <c r="J4" s="32"/>
      <c r="K4" s="36">
        <v>66</v>
      </c>
      <c r="L4" s="36">
        <v>160</v>
      </c>
    </row>
    <row r="5" spans="1:12" ht="33" customHeight="1" x14ac:dyDescent="0.25">
      <c r="A5" s="22">
        <v>44866</v>
      </c>
      <c r="B5" s="39"/>
      <c r="C5" s="34">
        <v>41521789</v>
      </c>
      <c r="D5" s="24">
        <f t="shared" ref="D5:D19" si="0">IF((C5-C4&lt;0), "0",C5-C4)</f>
        <v>28883</v>
      </c>
      <c r="E5" s="34">
        <v>617710.99999999267</v>
      </c>
      <c r="F5" s="24">
        <f>IF((E5-E4&lt;0), "0",E5-E4)</f>
        <v>95</v>
      </c>
      <c r="G5" s="34">
        <v>125814392</v>
      </c>
      <c r="H5" s="24">
        <f>IF((G5-G4&lt;0), "0",G5-G4)</f>
        <v>32671</v>
      </c>
      <c r="I5" s="23">
        <v>1134357.2450786866</v>
      </c>
      <c r="J5" s="32">
        <f>IF((I5-I4&lt;0), "0",I5-I4)</f>
        <v>174.88324990845285</v>
      </c>
      <c r="K5" s="33">
        <v>47</v>
      </c>
      <c r="L5" s="33">
        <v>245</v>
      </c>
    </row>
    <row r="6" spans="1:12" ht="45" customHeight="1" x14ac:dyDescent="0.25">
      <c r="A6" s="22">
        <v>44867</v>
      </c>
      <c r="B6" s="39"/>
      <c r="C6" s="34">
        <v>41550243</v>
      </c>
      <c r="D6" s="24">
        <f t="shared" si="0"/>
        <v>28454</v>
      </c>
      <c r="E6" s="34">
        <v>617800.99999999267</v>
      </c>
      <c r="F6" s="24">
        <f t="shared" ref="F6:F19" si="1">IF((E6-E5&lt;0), "0",E6-E5)</f>
        <v>90</v>
      </c>
      <c r="G6" s="34">
        <v>125844150</v>
      </c>
      <c r="H6" s="24">
        <f t="shared" ref="H6:H34" si="2">IF((G6-G5&lt;0), "0",G6-G5)</f>
        <v>29758</v>
      </c>
      <c r="I6" s="23">
        <v>1134562.0968976959</v>
      </c>
      <c r="J6" s="32">
        <f t="shared" ref="J6:J34" si="3">IF((I6-I5&lt;0), "0",I6-I5)</f>
        <v>204.85181900928728</v>
      </c>
      <c r="K6" s="33">
        <v>79</v>
      </c>
      <c r="L6" s="33">
        <v>76</v>
      </c>
    </row>
    <row r="7" spans="1:12" ht="45" customHeight="1" x14ac:dyDescent="0.25">
      <c r="A7" s="22">
        <v>44868</v>
      </c>
      <c r="B7" s="39"/>
      <c r="C7" s="34">
        <v>41580076</v>
      </c>
      <c r="D7" s="24">
        <f t="shared" si="0"/>
        <v>29833</v>
      </c>
      <c r="E7" s="34">
        <v>617893.99999999267</v>
      </c>
      <c r="F7" s="24">
        <f t="shared" si="1"/>
        <v>93</v>
      </c>
      <c r="G7" s="34">
        <v>125880463</v>
      </c>
      <c r="H7" s="24">
        <f t="shared" si="2"/>
        <v>36313</v>
      </c>
      <c r="I7" s="23">
        <v>1134786.6169776113</v>
      </c>
      <c r="J7" s="32">
        <f t="shared" si="3"/>
        <v>224.52007991541177</v>
      </c>
      <c r="K7" s="33">
        <v>37</v>
      </c>
      <c r="L7" s="33">
        <v>85</v>
      </c>
    </row>
    <row r="8" spans="1:12" ht="45" customHeight="1" x14ac:dyDescent="0.25">
      <c r="A8" s="22">
        <v>44869</v>
      </c>
      <c r="B8" s="39"/>
      <c r="C8" s="34">
        <v>41612241</v>
      </c>
      <c r="D8" s="24">
        <f t="shared" si="0"/>
        <v>32165</v>
      </c>
      <c r="E8" s="34">
        <v>618010.99999999267</v>
      </c>
      <c r="F8" s="24">
        <f t="shared" si="1"/>
        <v>117</v>
      </c>
      <c r="G8" s="34">
        <v>125920900</v>
      </c>
      <c r="H8" s="24">
        <f t="shared" si="2"/>
        <v>40437</v>
      </c>
      <c r="I8" s="23">
        <v>1134999.5048129275</v>
      </c>
      <c r="J8" s="32">
        <f t="shared" si="3"/>
        <v>212.88783531612717</v>
      </c>
      <c r="K8" s="33">
        <v>43</v>
      </c>
      <c r="L8" s="33">
        <v>396</v>
      </c>
    </row>
    <row r="9" spans="1:12" ht="45" customHeight="1" x14ac:dyDescent="0.25">
      <c r="A9" s="22">
        <v>44870</v>
      </c>
      <c r="B9" s="39"/>
      <c r="C9" s="34">
        <v>41643947</v>
      </c>
      <c r="D9" s="24">
        <f t="shared" si="0"/>
        <v>31706</v>
      </c>
      <c r="E9" s="34">
        <v>618121.99999999267</v>
      </c>
      <c r="F9" s="24">
        <f t="shared" si="1"/>
        <v>111</v>
      </c>
      <c r="G9" s="34">
        <v>125954885</v>
      </c>
      <c r="H9" s="24">
        <f t="shared" si="2"/>
        <v>33985</v>
      </c>
      <c r="I9" s="23">
        <v>1135210.1283563559</v>
      </c>
      <c r="J9" s="32">
        <f t="shared" si="3"/>
        <v>210.62354342848994</v>
      </c>
      <c r="K9" s="33">
        <v>54</v>
      </c>
      <c r="L9" s="33">
        <v>449</v>
      </c>
    </row>
    <row r="10" spans="1:12" ht="45" customHeight="1" x14ac:dyDescent="0.25">
      <c r="A10" s="22">
        <v>44871</v>
      </c>
      <c r="B10" s="39"/>
      <c r="C10" s="34">
        <v>41676055</v>
      </c>
      <c r="D10" s="24">
        <f t="shared" si="0"/>
        <v>32108</v>
      </c>
      <c r="E10" s="34">
        <v>618229.99999999267</v>
      </c>
      <c r="F10" s="24">
        <f t="shared" si="1"/>
        <v>108</v>
      </c>
      <c r="G10" s="34">
        <v>125991971</v>
      </c>
      <c r="H10" s="24">
        <f t="shared" si="2"/>
        <v>37086</v>
      </c>
      <c r="I10" s="23">
        <v>1135429.1430991327</v>
      </c>
      <c r="J10" s="32">
        <f t="shared" si="3"/>
        <v>219.01474277675152</v>
      </c>
      <c r="K10" s="33">
        <v>50</v>
      </c>
      <c r="L10" s="33">
        <v>370</v>
      </c>
    </row>
    <row r="11" spans="1:12" ht="45" customHeight="1" x14ac:dyDescent="0.25">
      <c r="A11" s="22">
        <v>44872</v>
      </c>
      <c r="B11" s="39"/>
      <c r="C11" s="34">
        <v>41706305</v>
      </c>
      <c r="D11" s="24">
        <f t="shared" si="0"/>
        <v>30250</v>
      </c>
      <c r="E11" s="34">
        <v>618328.99999999267</v>
      </c>
      <c r="F11" s="24">
        <f t="shared" si="1"/>
        <v>99</v>
      </c>
      <c r="G11" s="34">
        <v>126026353</v>
      </c>
      <c r="H11" s="24">
        <f t="shared" si="2"/>
        <v>34382</v>
      </c>
      <c r="I11" s="23">
        <v>1135582.0937962472</v>
      </c>
      <c r="J11" s="32">
        <f t="shared" si="3"/>
        <v>152.95069711445831</v>
      </c>
      <c r="K11" s="33">
        <v>50</v>
      </c>
      <c r="L11" s="33">
        <v>119</v>
      </c>
    </row>
    <row r="12" spans="1:12" ht="45" customHeight="1" x14ac:dyDescent="0.25">
      <c r="A12" s="22">
        <v>44873</v>
      </c>
      <c r="B12" s="39"/>
      <c r="C12" s="34">
        <v>41735296</v>
      </c>
      <c r="D12" s="24">
        <f t="shared" si="0"/>
        <v>28991</v>
      </c>
      <c r="E12" s="34">
        <v>618413.99999999267</v>
      </c>
      <c r="F12" s="24">
        <f t="shared" si="1"/>
        <v>85</v>
      </c>
      <c r="G12" s="34">
        <v>126060736</v>
      </c>
      <c r="H12" s="24">
        <f t="shared" si="2"/>
        <v>34383</v>
      </c>
      <c r="I12" s="23">
        <v>1135678.4371961714</v>
      </c>
      <c r="J12" s="32">
        <f t="shared" si="3"/>
        <v>96.343399924226105</v>
      </c>
      <c r="K12" s="33">
        <v>70</v>
      </c>
      <c r="L12" s="33">
        <v>89</v>
      </c>
    </row>
    <row r="13" spans="1:12" ht="45" customHeight="1" x14ac:dyDescent="0.25">
      <c r="A13" s="22">
        <v>44874</v>
      </c>
      <c r="B13" s="39"/>
      <c r="C13" s="34">
        <v>41764844</v>
      </c>
      <c r="D13" s="24">
        <f t="shared" si="0"/>
        <v>29548</v>
      </c>
      <c r="E13" s="34">
        <v>618506.99999999267</v>
      </c>
      <c r="F13" s="24">
        <f t="shared" si="1"/>
        <v>93</v>
      </c>
      <c r="G13" s="34">
        <v>126100385</v>
      </c>
      <c r="H13" s="24">
        <f t="shared" si="2"/>
        <v>39649</v>
      </c>
      <c r="I13" s="23">
        <v>1135778.9539968295</v>
      </c>
      <c r="J13" s="32">
        <f t="shared" si="3"/>
        <v>100.51680065807886</v>
      </c>
      <c r="K13" s="33">
        <v>72</v>
      </c>
      <c r="L13" s="33">
        <v>135</v>
      </c>
    </row>
    <row r="14" spans="1:12" ht="45" customHeight="1" x14ac:dyDescent="0.25">
      <c r="A14" s="22">
        <v>44875</v>
      </c>
      <c r="B14" s="39"/>
      <c r="C14" s="34">
        <v>41795057</v>
      </c>
      <c r="D14" s="24">
        <f t="shared" si="0"/>
        <v>30213</v>
      </c>
      <c r="E14" s="34">
        <v>618619.99999999267</v>
      </c>
      <c r="F14" s="24">
        <f t="shared" si="1"/>
        <v>113</v>
      </c>
      <c r="G14" s="34">
        <v>126146471</v>
      </c>
      <c r="H14" s="24">
        <f t="shared" si="2"/>
        <v>46086</v>
      </c>
      <c r="I14" s="23">
        <v>1135922.403547592</v>
      </c>
      <c r="J14" s="32">
        <f t="shared" si="3"/>
        <v>143.44955076253973</v>
      </c>
      <c r="K14" s="33">
        <v>87</v>
      </c>
      <c r="L14" s="33">
        <v>330</v>
      </c>
    </row>
    <row r="15" spans="1:12" ht="45" customHeight="1" x14ac:dyDescent="0.25">
      <c r="A15" s="22">
        <v>44876</v>
      </c>
      <c r="B15" s="39"/>
      <c r="C15" s="34">
        <v>41826907</v>
      </c>
      <c r="D15" s="24">
        <f t="shared" si="0"/>
        <v>31850</v>
      </c>
      <c r="E15" s="34">
        <v>618723.99999999267</v>
      </c>
      <c r="F15" s="24">
        <f t="shared" si="1"/>
        <v>104</v>
      </c>
      <c r="G15" s="34">
        <v>126193528</v>
      </c>
      <c r="H15" s="24">
        <f t="shared" si="2"/>
        <v>47057</v>
      </c>
      <c r="I15" s="23">
        <v>1136073.4007379799</v>
      </c>
      <c r="J15" s="32">
        <f t="shared" si="3"/>
        <v>150.99719038791955</v>
      </c>
      <c r="K15" s="33">
        <v>123</v>
      </c>
      <c r="L15" s="33">
        <v>286</v>
      </c>
    </row>
    <row r="16" spans="1:12" ht="45" customHeight="1" x14ac:dyDescent="0.25">
      <c r="A16" s="22">
        <v>44877</v>
      </c>
      <c r="B16" s="39"/>
      <c r="C16" s="34">
        <v>41858305</v>
      </c>
      <c r="D16" s="24">
        <f t="shared" si="0"/>
        <v>31398</v>
      </c>
      <c r="E16" s="34">
        <v>618840.99999999267</v>
      </c>
      <c r="F16" s="24">
        <f t="shared" si="1"/>
        <v>117</v>
      </c>
      <c r="G16" s="34">
        <v>126236588</v>
      </c>
      <c r="H16" s="24">
        <f t="shared" si="2"/>
        <v>43060</v>
      </c>
      <c r="I16" s="23">
        <v>1136230.6136315889</v>
      </c>
      <c r="J16" s="32">
        <f t="shared" si="3"/>
        <v>157.21289360895753</v>
      </c>
      <c r="K16" s="33">
        <v>132</v>
      </c>
      <c r="L16" s="33">
        <v>389</v>
      </c>
    </row>
    <row r="17" spans="1:12" ht="45" customHeight="1" x14ac:dyDescent="0.25">
      <c r="A17" s="22">
        <v>44878</v>
      </c>
      <c r="B17" s="39"/>
      <c r="C17" s="34">
        <v>41889798</v>
      </c>
      <c r="D17" s="24">
        <f t="shared" si="0"/>
        <v>31493</v>
      </c>
      <c r="E17" s="34">
        <v>618969.99999999267</v>
      </c>
      <c r="F17" s="24">
        <f t="shared" si="1"/>
        <v>129</v>
      </c>
      <c r="G17" s="34">
        <v>126281650</v>
      </c>
      <c r="H17" s="24">
        <f t="shared" si="2"/>
        <v>45062</v>
      </c>
      <c r="I17" s="23">
        <v>1136391.777936531</v>
      </c>
      <c r="J17" s="32">
        <f t="shared" si="3"/>
        <v>161.16430494212545</v>
      </c>
      <c r="K17" s="33">
        <v>120</v>
      </c>
      <c r="L17" s="33">
        <v>800</v>
      </c>
    </row>
    <row r="18" spans="1:12" ht="45" customHeight="1" x14ac:dyDescent="0.25">
      <c r="A18" s="22">
        <v>44879</v>
      </c>
      <c r="B18" s="39"/>
      <c r="C18" s="34">
        <v>41920511</v>
      </c>
      <c r="D18" s="24">
        <f t="shared" si="0"/>
        <v>30713</v>
      </c>
      <c r="E18" s="34">
        <v>619072.99999999267</v>
      </c>
      <c r="F18" s="24">
        <f t="shared" si="1"/>
        <v>103</v>
      </c>
      <c r="G18" s="34">
        <v>126324361</v>
      </c>
      <c r="H18" s="24">
        <f t="shared" si="2"/>
        <v>42711</v>
      </c>
      <c r="I18" s="23">
        <v>1136559.3355362148</v>
      </c>
      <c r="J18" s="32">
        <f t="shared" si="3"/>
        <v>167.55759968375787</v>
      </c>
      <c r="K18" s="33">
        <v>97</v>
      </c>
      <c r="L18" s="33">
        <v>151</v>
      </c>
    </row>
    <row r="19" spans="1:12" ht="45" customHeight="1" x14ac:dyDescent="0.25">
      <c r="A19" s="22">
        <v>44880</v>
      </c>
      <c r="B19" s="39"/>
      <c r="C19" s="34">
        <v>41949373</v>
      </c>
      <c r="D19" s="24">
        <f t="shared" si="0"/>
        <v>28862</v>
      </c>
      <c r="E19" s="34">
        <v>619163.99999999267</v>
      </c>
      <c r="F19" s="24">
        <f t="shared" si="1"/>
        <v>91</v>
      </c>
      <c r="G19" s="34">
        <v>126368611</v>
      </c>
      <c r="H19" s="24">
        <f t="shared" si="2"/>
        <v>44250</v>
      </c>
      <c r="I19" s="23">
        <v>1136669.4866768653</v>
      </c>
      <c r="J19" s="32">
        <f t="shared" si="3"/>
        <v>110.15114065050147</v>
      </c>
      <c r="K19" s="33">
        <v>93</v>
      </c>
      <c r="L19" s="33">
        <v>121</v>
      </c>
    </row>
    <row r="20" spans="1:12" ht="45" customHeight="1" x14ac:dyDescent="0.25">
      <c r="A20" s="22">
        <v>44881</v>
      </c>
      <c r="B20" s="39"/>
      <c r="C20" s="34">
        <v>41978035</v>
      </c>
      <c r="D20" s="24">
        <f t="shared" ref="D20:D34" si="4">IF((C20-C19&lt;0), "0",C20-C19)</f>
        <v>28662</v>
      </c>
      <c r="E20" s="34">
        <v>619265.99999999267</v>
      </c>
      <c r="F20" s="24">
        <f t="shared" ref="F20:F34" si="5">IF((E20-E19&lt;0), "0",E20-E19)</f>
        <v>102</v>
      </c>
      <c r="G20" s="34">
        <v>126412846</v>
      </c>
      <c r="H20" s="24">
        <f t="shared" si="2"/>
        <v>44235</v>
      </c>
      <c r="I20" s="23">
        <v>1136805.6549752834</v>
      </c>
      <c r="J20" s="32">
        <f t="shared" si="3"/>
        <v>136.16829841816798</v>
      </c>
      <c r="K20" s="33">
        <v>82</v>
      </c>
      <c r="L20" s="33">
        <v>380</v>
      </c>
    </row>
    <row r="21" spans="1:12" ht="45" customHeight="1" x14ac:dyDescent="0.25">
      <c r="A21" s="22">
        <v>44882</v>
      </c>
      <c r="B21" s="39"/>
      <c r="C21" s="34">
        <v>42007873</v>
      </c>
      <c r="D21" s="24">
        <f t="shared" si="4"/>
        <v>29838</v>
      </c>
      <c r="E21" s="34">
        <v>619366.99999999267</v>
      </c>
      <c r="F21" s="24">
        <f t="shared" si="5"/>
        <v>101</v>
      </c>
      <c r="G21" s="34">
        <v>126457838</v>
      </c>
      <c r="H21" s="24">
        <f t="shared" si="2"/>
        <v>44992</v>
      </c>
      <c r="I21" s="23">
        <v>1136958.916457559</v>
      </c>
      <c r="J21" s="32">
        <f t="shared" si="3"/>
        <v>153.26148227555677</v>
      </c>
      <c r="K21" s="33">
        <v>112</v>
      </c>
      <c r="L21" s="33">
        <v>164</v>
      </c>
    </row>
    <row r="22" spans="1:12" ht="45" customHeight="1" x14ac:dyDescent="0.25">
      <c r="A22" s="22">
        <v>44883</v>
      </c>
      <c r="B22" s="39"/>
      <c r="C22" s="34">
        <v>42040209</v>
      </c>
      <c r="D22" s="24">
        <f t="shared" si="4"/>
        <v>32336</v>
      </c>
      <c r="E22" s="34">
        <v>619484.99999999267</v>
      </c>
      <c r="F22" s="24">
        <f t="shared" si="5"/>
        <v>118</v>
      </c>
      <c r="G22" s="34">
        <v>126505486</v>
      </c>
      <c r="H22" s="24">
        <f t="shared" si="2"/>
        <v>47648</v>
      </c>
      <c r="I22" s="23">
        <v>1137134.3324820292</v>
      </c>
      <c r="J22" s="32">
        <f t="shared" si="3"/>
        <v>175.41602447023615</v>
      </c>
      <c r="K22" s="33">
        <v>165</v>
      </c>
      <c r="L22" s="33">
        <v>389</v>
      </c>
    </row>
    <row r="23" spans="1:12" ht="45" customHeight="1" x14ac:dyDescent="0.25">
      <c r="A23" s="22">
        <v>44884</v>
      </c>
      <c r="B23" s="39"/>
      <c r="C23" s="34">
        <v>42073038</v>
      </c>
      <c r="D23" s="24">
        <f t="shared" si="4"/>
        <v>32829</v>
      </c>
      <c r="E23" s="34">
        <v>619599.99999999267</v>
      </c>
      <c r="F23" s="24">
        <f t="shared" si="5"/>
        <v>115</v>
      </c>
      <c r="G23" s="34">
        <v>126550814</v>
      </c>
      <c r="H23" s="24">
        <f t="shared" si="2"/>
        <v>45328</v>
      </c>
      <c r="I23" s="23">
        <v>1137310.9028513832</v>
      </c>
      <c r="J23" s="32">
        <f t="shared" si="3"/>
        <v>176.57036935398355</v>
      </c>
      <c r="K23" s="33">
        <v>191</v>
      </c>
      <c r="L23" s="33">
        <v>703</v>
      </c>
    </row>
    <row r="24" spans="1:12" ht="45" customHeight="1" x14ac:dyDescent="0.25">
      <c r="A24" s="22">
        <v>44885</v>
      </c>
      <c r="B24" s="39"/>
      <c r="C24" s="34">
        <v>42105314</v>
      </c>
      <c r="D24" s="24">
        <f t="shared" si="4"/>
        <v>32276</v>
      </c>
      <c r="E24" s="34">
        <v>619718.99999999267</v>
      </c>
      <c r="F24" s="24">
        <f t="shared" si="5"/>
        <v>119</v>
      </c>
      <c r="G24" s="34">
        <v>126590971</v>
      </c>
      <c r="H24" s="24">
        <f t="shared" si="2"/>
        <v>40157</v>
      </c>
      <c r="I24" s="23">
        <v>1137486.7628546548</v>
      </c>
      <c r="J24" s="32">
        <f t="shared" si="3"/>
        <v>175.86000327160582</v>
      </c>
      <c r="K24" s="33">
        <v>118</v>
      </c>
      <c r="L24" s="33">
        <v>700</v>
      </c>
    </row>
    <row r="25" spans="1:12" ht="45" customHeight="1" x14ac:dyDescent="0.25">
      <c r="A25" s="22">
        <v>44886</v>
      </c>
      <c r="B25" s="39"/>
      <c r="C25" s="34">
        <v>42138098</v>
      </c>
      <c r="D25" s="24">
        <f t="shared" si="4"/>
        <v>32784</v>
      </c>
      <c r="E25" s="34">
        <v>619827.99999999267</v>
      </c>
      <c r="F25" s="24">
        <f t="shared" si="5"/>
        <v>109</v>
      </c>
      <c r="G25" s="34">
        <v>126639697</v>
      </c>
      <c r="H25" s="24">
        <f t="shared" si="2"/>
        <v>48726</v>
      </c>
      <c r="I25" s="23">
        <v>1137649.9250642038</v>
      </c>
      <c r="J25" s="32">
        <f t="shared" si="3"/>
        <v>163.16220954898745</v>
      </c>
      <c r="K25" s="33">
        <v>99</v>
      </c>
      <c r="L25" s="33">
        <v>291</v>
      </c>
    </row>
    <row r="26" spans="1:12" ht="45" customHeight="1" x14ac:dyDescent="0.25">
      <c r="A26" s="22">
        <v>44887</v>
      </c>
      <c r="B26" s="39"/>
      <c r="C26" s="34">
        <v>42171470</v>
      </c>
      <c r="D26" s="24">
        <f t="shared" si="4"/>
        <v>33372</v>
      </c>
      <c r="E26" s="34">
        <v>619925.99999999267</v>
      </c>
      <c r="F26" s="24">
        <f t="shared" si="5"/>
        <v>98</v>
      </c>
      <c r="G26" s="34">
        <v>126688627</v>
      </c>
      <c r="H26" s="24">
        <f t="shared" si="2"/>
        <v>48930</v>
      </c>
      <c r="I26" s="23">
        <v>1137799.1907372659</v>
      </c>
      <c r="J26" s="32">
        <f t="shared" si="3"/>
        <v>149.26567306206562</v>
      </c>
      <c r="K26" s="33">
        <v>103</v>
      </c>
      <c r="L26" s="33">
        <v>467</v>
      </c>
    </row>
    <row r="27" spans="1:12" ht="45" customHeight="1" x14ac:dyDescent="0.25">
      <c r="A27" s="22">
        <v>44888</v>
      </c>
      <c r="B27" s="39"/>
      <c r="C27" s="34">
        <v>42203185</v>
      </c>
      <c r="D27" s="24">
        <f t="shared" si="4"/>
        <v>31715</v>
      </c>
      <c r="E27" s="34">
        <v>620023.99999999267</v>
      </c>
      <c r="F27" s="24">
        <f t="shared" si="5"/>
        <v>98</v>
      </c>
      <c r="G27" s="34">
        <v>126738541</v>
      </c>
      <c r="H27" s="24">
        <f t="shared" si="2"/>
        <v>49914</v>
      </c>
      <c r="I27" s="23">
        <v>1137950.543110695</v>
      </c>
      <c r="J27" s="32">
        <f t="shared" si="3"/>
        <v>151.35237342910841</v>
      </c>
      <c r="K27" s="33">
        <v>98</v>
      </c>
      <c r="L27" s="33">
        <v>166</v>
      </c>
    </row>
    <row r="28" spans="1:12" ht="45" customHeight="1" x14ac:dyDescent="0.25">
      <c r="A28" s="22">
        <v>44889</v>
      </c>
      <c r="B28" s="39"/>
      <c r="C28" s="34">
        <v>42235306</v>
      </c>
      <c r="D28" s="24">
        <f t="shared" si="4"/>
        <v>32121</v>
      </c>
      <c r="E28" s="34">
        <v>620123.99999999267</v>
      </c>
      <c r="F28" s="24">
        <f t="shared" si="5"/>
        <v>100</v>
      </c>
      <c r="G28" s="34">
        <v>126781025</v>
      </c>
      <c r="H28" s="24">
        <f t="shared" si="2"/>
        <v>42484</v>
      </c>
      <c r="I28" s="23">
        <v>1138115.5700312101</v>
      </c>
      <c r="J28" s="32">
        <f t="shared" si="3"/>
        <v>165.02692051511258</v>
      </c>
      <c r="K28" s="33">
        <v>123</v>
      </c>
      <c r="L28" s="33">
        <v>149</v>
      </c>
    </row>
    <row r="29" spans="1:12" ht="45" customHeight="1" x14ac:dyDescent="0.25">
      <c r="A29" s="22">
        <v>44890</v>
      </c>
      <c r="B29" s="39"/>
      <c r="C29" s="34">
        <v>42269926</v>
      </c>
      <c r="D29" s="24">
        <f t="shared" si="4"/>
        <v>34620</v>
      </c>
      <c r="E29" s="34">
        <v>620248.99999999267</v>
      </c>
      <c r="F29" s="24">
        <f t="shared" si="5"/>
        <v>125</v>
      </c>
      <c r="G29" s="34">
        <v>126823674</v>
      </c>
      <c r="H29" s="24">
        <f t="shared" si="2"/>
        <v>42649</v>
      </c>
      <c r="I29" s="23">
        <v>1138285.4807185417</v>
      </c>
      <c r="J29" s="32">
        <f t="shared" si="3"/>
        <v>169.9106873315759</v>
      </c>
      <c r="K29" s="33">
        <v>173</v>
      </c>
      <c r="L29" s="33">
        <v>606</v>
      </c>
    </row>
    <row r="30" spans="1:12" ht="45" customHeight="1" x14ac:dyDescent="0.25">
      <c r="A30" s="22">
        <v>44891</v>
      </c>
      <c r="B30" s="39"/>
      <c r="C30" s="34">
        <v>42304272</v>
      </c>
      <c r="D30" s="24">
        <f t="shared" si="4"/>
        <v>34346</v>
      </c>
      <c r="E30" s="34">
        <v>620367.99999999267</v>
      </c>
      <c r="F30" s="24">
        <f t="shared" si="5"/>
        <v>119</v>
      </c>
      <c r="G30" s="34">
        <v>126865150</v>
      </c>
      <c r="H30" s="24">
        <f t="shared" si="2"/>
        <v>41476</v>
      </c>
      <c r="I30" s="23">
        <v>1138453.1715118659</v>
      </c>
      <c r="J30" s="32">
        <f t="shared" si="3"/>
        <v>167.6907933242619</v>
      </c>
      <c r="K30" s="33">
        <v>192</v>
      </c>
      <c r="L30" s="33">
        <v>541</v>
      </c>
    </row>
    <row r="31" spans="1:12" ht="45" customHeight="1" x14ac:dyDescent="0.25">
      <c r="A31" s="22">
        <v>44892</v>
      </c>
      <c r="B31" s="39"/>
      <c r="C31" s="34">
        <v>42338605</v>
      </c>
      <c r="D31" s="24">
        <f t="shared" si="4"/>
        <v>34333</v>
      </c>
      <c r="E31" s="34">
        <v>620501.99999999267</v>
      </c>
      <c r="F31" s="24">
        <f t="shared" si="5"/>
        <v>134</v>
      </c>
      <c r="G31" s="34">
        <v>126913267</v>
      </c>
      <c r="H31" s="24">
        <f t="shared" si="2"/>
        <v>48117</v>
      </c>
      <c r="I31" s="23">
        <v>1138627.1224062911</v>
      </c>
      <c r="J31" s="32">
        <f t="shared" si="3"/>
        <v>173.95089442515746</v>
      </c>
      <c r="K31" s="33">
        <v>159</v>
      </c>
      <c r="L31" s="33">
        <v>1117</v>
      </c>
    </row>
    <row r="32" spans="1:12" ht="45" customHeight="1" x14ac:dyDescent="0.25">
      <c r="A32" s="22">
        <v>44893</v>
      </c>
      <c r="B32" s="39"/>
      <c r="C32" s="34">
        <v>42371924</v>
      </c>
      <c r="D32" s="24">
        <f t="shared" si="4"/>
        <v>33319</v>
      </c>
      <c r="E32" s="34">
        <v>620609.99999999267</v>
      </c>
      <c r="F32" s="24">
        <f t="shared" si="5"/>
        <v>108</v>
      </c>
      <c r="G32" s="34">
        <v>126972681</v>
      </c>
      <c r="H32" s="24">
        <f t="shared" si="2"/>
        <v>59414</v>
      </c>
      <c r="I32" s="23">
        <v>1138789.3522603568</v>
      </c>
      <c r="J32" s="32">
        <f t="shared" si="3"/>
        <v>162.22985406569205</v>
      </c>
      <c r="K32" s="33">
        <v>115</v>
      </c>
      <c r="L32" s="33">
        <v>280</v>
      </c>
    </row>
    <row r="33" spans="1:12" ht="45" customHeight="1" x14ac:dyDescent="0.25">
      <c r="A33" s="22">
        <v>44894</v>
      </c>
      <c r="C33" s="34">
        <v>42403712</v>
      </c>
      <c r="D33" s="24">
        <f t="shared" si="4"/>
        <v>31788</v>
      </c>
      <c r="E33" s="34">
        <v>620702.99999999267</v>
      </c>
      <c r="F33" s="24">
        <f t="shared" si="5"/>
        <v>93</v>
      </c>
      <c r="G33" s="34">
        <v>127030877</v>
      </c>
      <c r="H33" s="24">
        <f t="shared" si="2"/>
        <v>58196</v>
      </c>
      <c r="I33" s="23">
        <v>1138948.6962522129</v>
      </c>
      <c r="J33" s="32">
        <f t="shared" si="3"/>
        <v>159.34399185609072</v>
      </c>
      <c r="K33" s="33">
        <v>108</v>
      </c>
      <c r="L33" s="33">
        <v>160</v>
      </c>
    </row>
    <row r="34" spans="1:12" ht="45" customHeight="1" x14ac:dyDescent="0.25">
      <c r="A34" s="22">
        <v>44895</v>
      </c>
      <c r="C34" s="34">
        <v>42434237</v>
      </c>
      <c r="D34" s="24">
        <f t="shared" si="4"/>
        <v>30525</v>
      </c>
      <c r="E34" s="34">
        <v>620797.99999999267</v>
      </c>
      <c r="F34" s="24">
        <f t="shared" si="5"/>
        <v>95</v>
      </c>
      <c r="G34" s="34">
        <v>127071291</v>
      </c>
      <c r="H34" s="24">
        <f t="shared" si="2"/>
        <v>40414</v>
      </c>
      <c r="I34" s="23">
        <v>1139091.701824174</v>
      </c>
      <c r="J34" s="32">
        <f t="shared" si="3"/>
        <v>143.00557196117006</v>
      </c>
      <c r="K34" s="33">
        <v>95</v>
      </c>
      <c r="L34" s="33">
        <v>127</v>
      </c>
    </row>
    <row r="37" spans="1:12" ht="15.75" customHeight="1" x14ac:dyDescent="0.25">
      <c r="C37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2023-03-24T08:40:07Z</dcterms:modified>
  <cp:category/>
  <cp:contentStatus/>
</cp:coreProperties>
</file>