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6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356\"/>
    </mc:Choice>
  </mc:AlternateContent>
  <xr:revisionPtr revIDLastSave="0" documentId="8_{45C42466-A45E-444F-AD26-A1585B4E4079}" xr6:coauthVersionLast="45" xr6:coauthVersionMax="45" xr10:uidLastSave="{00000000-0000-0000-0000-000000000000}"/>
  <bookViews>
    <workbookView xWindow="-120" yWindow="-120" windowWidth="15600" windowHeight="11760" tabRatio="598" firstSheet="2" xr2:uid="{00000000-000D-0000-FFFF-FFFF00000000}"/>
  </bookViews>
  <sheets>
    <sheet name="TOTAL" sheetId="9" r:id="rId1"/>
    <sheet name="Submetering" sheetId="8" r:id="rId2"/>
    <sheet name="ELECT." sheetId="4" r:id="rId3"/>
    <sheet name="Gas" sheetId="5" r:id="rId4"/>
    <sheet name="Water" sheetId="3" r:id="rId5"/>
  </sheets>
  <calcPr calcId="191028" calcCompleted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9" l="1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E6" i="3"/>
  <c r="E5" i="3"/>
  <c r="E32" i="9"/>
  <c r="G32" i="9"/>
  <c r="I32" i="9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AF34" i="5"/>
  <c r="AD34" i="5"/>
  <c r="AC34" i="5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K34" i="5"/>
  <c r="Y34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5" i="5"/>
  <c r="C6" i="3"/>
  <c r="K3" i="9"/>
  <c r="H6" i="4" l="1"/>
  <c r="H7" i="4"/>
  <c r="H37" i="4"/>
  <c r="D6" i="4"/>
  <c r="D7" i="4"/>
  <c r="D37" i="4"/>
  <c r="C5" i="3"/>
  <c r="C36" i="3" s="1"/>
  <c r="K23" i="5"/>
  <c r="Y23" i="5"/>
  <c r="AC23" i="5"/>
  <c r="AF23" i="5"/>
  <c r="K24" i="5"/>
  <c r="Y24" i="5"/>
  <c r="AC24" i="5"/>
  <c r="AF24" i="5"/>
  <c r="K25" i="5"/>
  <c r="Y25" i="5"/>
  <c r="AC25" i="5"/>
  <c r="AF25" i="5"/>
  <c r="K26" i="5"/>
  <c r="Y26" i="5"/>
  <c r="AC26" i="5"/>
  <c r="AF26" i="5"/>
  <c r="K27" i="5"/>
  <c r="Y27" i="5"/>
  <c r="AC27" i="5"/>
  <c r="AF27" i="5"/>
  <c r="K28" i="5"/>
  <c r="Y28" i="5"/>
  <c r="AC28" i="5"/>
  <c r="AF28" i="5"/>
  <c r="K29" i="5"/>
  <c r="Y29" i="5"/>
  <c r="AC29" i="5"/>
  <c r="AF29" i="5"/>
  <c r="K30" i="5"/>
  <c r="Y30" i="5"/>
  <c r="AC30" i="5"/>
  <c r="AF30" i="5"/>
  <c r="K31" i="5"/>
  <c r="Y31" i="5"/>
  <c r="AC31" i="5"/>
  <c r="AF31" i="5"/>
  <c r="K32" i="5"/>
  <c r="Y32" i="5"/>
  <c r="AC32" i="5"/>
  <c r="AF32" i="5"/>
  <c r="K33" i="5"/>
  <c r="Y33" i="5"/>
  <c r="AC33" i="5"/>
  <c r="AF33" i="5"/>
  <c r="G4" i="5"/>
  <c r="L2" i="8"/>
  <c r="G31" i="9"/>
  <c r="K2" i="9"/>
  <c r="X3" i="8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W3" i="8"/>
  <c r="AC4" i="5"/>
  <c r="W2" i="8"/>
  <c r="AA5" i="5"/>
  <c r="V3" i="8"/>
  <c r="AA4" i="5"/>
  <c r="V2" i="8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U3" i="8"/>
  <c r="Y4" i="5"/>
  <c r="U2" i="8"/>
  <c r="W5" i="5"/>
  <c r="T3" i="8"/>
  <c r="W4" i="5"/>
  <c r="T2" i="8"/>
  <c r="U5" i="5"/>
  <c r="S3" i="8"/>
  <c r="U4" i="5"/>
  <c r="S2" i="8"/>
  <c r="S5" i="5"/>
  <c r="R3" i="8"/>
  <c r="S4" i="5"/>
  <c r="R2" i="8"/>
  <c r="Q5" i="5"/>
  <c r="Q3" i="8"/>
  <c r="Q4" i="5"/>
  <c r="Q2" i="8"/>
  <c r="O5" i="5"/>
  <c r="P3" i="8"/>
  <c r="O4" i="5"/>
  <c r="P2" i="8"/>
  <c r="M5" i="5"/>
  <c r="O3" i="8"/>
  <c r="M4" i="5"/>
  <c r="O2" i="8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N3" i="8"/>
  <c r="K4" i="5"/>
  <c r="N2" i="8"/>
  <c r="I5" i="5"/>
  <c r="M3" i="8"/>
  <c r="I4" i="5"/>
  <c r="M2" i="8"/>
  <c r="G5" i="5"/>
  <c r="L3" i="8"/>
  <c r="E5" i="5"/>
  <c r="K3" i="8"/>
  <c r="E4" i="5"/>
  <c r="K2" i="8"/>
  <c r="AD13" i="5"/>
  <c r="AD6" i="5"/>
  <c r="J3" i="8"/>
  <c r="G3" i="9" s="1"/>
  <c r="C4" i="5"/>
  <c r="J2" i="8"/>
  <c r="F6" i="4"/>
  <c r="F7" i="4"/>
  <c r="H3" i="8" s="1"/>
  <c r="E2" i="8"/>
  <c r="E3" i="8"/>
  <c r="I3" i="9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 s="1"/>
  <c r="I2" i="8"/>
  <c r="G2" i="8"/>
  <c r="AD11" i="5"/>
  <c r="G3" i="8"/>
  <c r="AD9" i="5"/>
  <c r="AD25" i="5"/>
  <c r="AD30" i="5"/>
  <c r="AD29" i="5"/>
  <c r="AD23" i="5"/>
  <c r="AD16" i="5"/>
  <c r="AD19" i="5"/>
  <c r="AD4" i="5"/>
  <c r="AD20" i="5"/>
  <c r="AD18" i="5"/>
  <c r="AD21" i="5"/>
  <c r="AD28" i="5"/>
  <c r="AD26" i="5"/>
  <c r="AD24" i="5"/>
  <c r="AD22" i="5"/>
  <c r="AD32" i="5"/>
  <c r="AD31" i="5"/>
  <c r="AD33" i="5"/>
  <c r="AD27" i="5"/>
  <c r="AD17" i="5"/>
  <c r="AD5" i="5"/>
  <c r="G2" i="9"/>
  <c r="AD15" i="5"/>
  <c r="AD10" i="5"/>
  <c r="AD14" i="5"/>
  <c r="AD12" i="5"/>
  <c r="AD7" i="5"/>
  <c r="AD8" i="5"/>
  <c r="F37" i="4"/>
  <c r="H2" i="8"/>
  <c r="I7" i="4"/>
  <c r="I3" i="8"/>
  <c r="I6" i="4"/>
  <c r="E2" i="9"/>
  <c r="I37" i="4"/>
  <c r="F3" i="8"/>
  <c r="E3" i="9" l="1"/>
  <c r="E36" i="3"/>
  <c r="F2" i="8" l="1"/>
  <c r="I2" i="9"/>
</calcChain>
</file>

<file path=xl/sharedStrings.xml><?xml version="1.0" encoding="utf-8"?>
<sst xmlns="http://schemas.openxmlformats.org/spreadsheetml/2006/main" count="164" uniqueCount="64">
  <si>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</si>
  <si>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</si>
  <si>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</si>
  <si>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</si>
  <si>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</si>
  <si>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</si>
  <si>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</si>
  <si>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</si>
  <si>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</si>
  <si>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</si>
  <si>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</si>
  <si>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</si>
  <si>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</si>
  <si>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</si>
  <si>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</si>
  <si>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</si>
  <si>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</si>
  <si>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</si>
  <si>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</si>
  <si>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</si>
  <si>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</si>
  <si>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</si>
  <si>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</si>
  <si>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</si>
  <si>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</si>
  <si>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</si>
  <si>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</si>
  <si>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</si>
  <si>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</si>
  <si>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</si>
  <si>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</si>
  <si>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</si>
  <si>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Feeders and transformers Electrity cons.  OCT 2020</t>
  </si>
  <si>
    <t>Hotel</t>
  </si>
  <si>
    <t>Room Sold</t>
  </si>
  <si>
    <t>Trans-1</t>
  </si>
  <si>
    <t>Cons.</t>
  </si>
  <si>
    <t>Trans-2</t>
  </si>
  <si>
    <t>Trans-3</t>
  </si>
  <si>
    <t>Total</t>
  </si>
  <si>
    <t>Readings</t>
  </si>
  <si>
    <t>Last</t>
  </si>
  <si>
    <t>Gas Con. OCT 2020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</si>
  <si>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</si>
  <si>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</si>
  <si>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</si>
  <si>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</si>
  <si>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</si>
  <si>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</si>
  <si>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</si>
  <si>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</si>
  <si>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</si>
  <si>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</si>
  <si>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</si>
  <si>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</si>
  <si>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</si>
  <si>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</si>
  <si>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</si>
  <si>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</si>
  <si>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</si>
  <si>
    <t>Hotel Oct 2020</t>
  </si>
  <si>
    <t>Main Reading</t>
  </si>
  <si>
    <t>Beach Water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</si>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</sst>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6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indexed="8"/>
      <name val="Arial"/>
      <family val="2"/>
    </font>
    <font>
      <b/>
      <sz val="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0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1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2" fillId="0" borderId="1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 wrapText="1"/>
    </xf>
    <xf numFmtId="0" fontId="23" fillId="0" borderId="0" xfId="0" applyFont="1" applyAlignment="1">
      <alignment horizontal="center"/>
    </xf>
    <xf numFmtId="2" fontId="21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6" fillId="8" borderId="4" xfId="0" applyNumberFormat="1" applyFont="1" applyFill="1" applyBorder="1" applyAlignment="1">
      <alignment horizontal="center" vertical="center"/>
    </xf>
    <xf numFmtId="14" fontId="26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6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29" fillId="10" borderId="46" xfId="0" applyFont="1" applyFill="1" applyBorder="1" applyAlignment="1">
      <alignment horizontal="center"/>
    </xf>
    <xf numFmtId="0" fontId="11" fillId="7" borderId="28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1" xfId="2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14" fontId="26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30" fillId="11" borderId="38" xfId="2" applyFont="1" applyFill="1" applyBorder="1" applyAlignment="1">
      <alignment horizontal="center" vertical="center"/>
    </xf>
    <xf numFmtId="0" fontId="30" fillId="11" borderId="39" xfId="2" applyFont="1" applyFill="1" applyBorder="1" applyAlignment="1">
      <alignment horizontal="center" vertical="center"/>
    </xf>
    <xf numFmtId="0" fontId="31" fillId="11" borderId="36" xfId="2" applyFont="1" applyFill="1" applyBorder="1" applyAlignment="1">
      <alignment horizontal="center" vertical="center"/>
    </xf>
    <xf numFmtId="0" fontId="32" fillId="11" borderId="40" xfId="2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5" fillId="0" borderId="41" xfId="0" applyNumberFormat="1" applyFont="1" applyBorder="1" applyAlignment="1">
      <alignment horizontal="center" vertical="center"/>
    </xf>
    <xf numFmtId="164" fontId="5" fillId="0" borderId="42" xfId="0" applyNumberFormat="1" applyFont="1" applyBorder="1" applyAlignment="1">
      <alignment horizontal="center" vertical="center"/>
    </xf>
    <xf numFmtId="164" fontId="5" fillId="0" borderId="43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8" borderId="29" xfId="0" applyFont="1" applyFill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71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tabSelected="1" topLeftCell="A12" zoomScale="85" zoomScaleNormal="85" workbookViewId="0">
      <selection activeCell="K2" sqref="K2:K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8" customWidth="1"/>
    <col min="7" max="7" width="11.5703125" style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1" s="5" customFormat="1" ht="60">
      <c r="A1" s="50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49" t="s">
        <v>5</v>
      </c>
      <c r="G1" s="48" t="s">
        <v>6</v>
      </c>
      <c r="H1" s="49" t="s">
        <v>7</v>
      </c>
      <c r="I1" s="48" t="s">
        <v>8</v>
      </c>
      <c r="J1" s="49" t="s">
        <v>9</v>
      </c>
      <c r="K1" s="48" t="s">
        <v>10</v>
      </c>
    </row>
    <row r="2" spans="1:11">
      <c r="A2" s="11" t="s">
        <v>11</v>
      </c>
      <c r="B2" s="14">
        <v>1</v>
      </c>
      <c r="C2" s="14">
        <v>10</v>
      </c>
      <c r="D2" s="14">
        <v>2020</v>
      </c>
      <c r="E2" s="7">
        <f>ELECT.!D6+ELECT.!F6+ELECT.!H6</f>
        <v>18489</v>
      </c>
      <c r="F2" s="18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1306</v>
      </c>
      <c r="H2" s="19">
        <v>3.6</v>
      </c>
      <c r="I2" s="7">
        <f>Submetering!E2+Water!E5</f>
        <v>553</v>
      </c>
      <c r="J2" s="19">
        <v>9.1</v>
      </c>
      <c r="K2" s="7">
        <f>ELECT.!B6</f>
        <v>77</v>
      </c>
    </row>
    <row r="3" spans="1:11">
      <c r="A3" s="11" t="s">
        <v>11</v>
      </c>
      <c r="B3" s="14">
        <f>B2+1</f>
        <v>2</v>
      </c>
      <c r="C3" s="14">
        <v>10</v>
      </c>
      <c r="D3" s="14">
        <v>2020</v>
      </c>
      <c r="E3" s="7">
        <f>ELECT.!D7+ELECT.!F7+ELECT.!H7</f>
        <v>18115</v>
      </c>
      <c r="F3" s="18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1276</v>
      </c>
      <c r="H3" s="19">
        <v>3.6</v>
      </c>
      <c r="I3" s="7">
        <f>Submetering!E3+Water!E6</f>
        <v>684</v>
      </c>
      <c r="J3" s="19">
        <v>9.1</v>
      </c>
      <c r="K3" s="7">
        <f>ELECT.!B7</f>
        <v>65</v>
      </c>
    </row>
    <row r="4" spans="1:11">
      <c r="A4" s="11" t="s">
        <v>11</v>
      </c>
      <c r="B4" s="14">
        <f t="shared" ref="B4:B32" si="0">B3+1</f>
        <v>3</v>
      </c>
      <c r="C4" s="14">
        <v>10</v>
      </c>
      <c r="D4" s="14">
        <v>2020</v>
      </c>
      <c r="E4" s="7">
        <f>ELECT.!D8+ELECT.!F8+ELECT.!H8</f>
        <v>17172</v>
      </c>
      <c r="F4" s="18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1079</v>
      </c>
      <c r="H4" s="19">
        <v>3.6</v>
      </c>
      <c r="I4" s="7">
        <f>Submetering!E4+Water!E7</f>
        <v>538</v>
      </c>
      <c r="J4" s="19">
        <v>9.1</v>
      </c>
      <c r="K4" s="7">
        <f>ELECT.!B8</f>
        <v>66</v>
      </c>
    </row>
    <row r="5" spans="1:11">
      <c r="A5" s="11" t="s">
        <v>11</v>
      </c>
      <c r="B5" s="14">
        <f t="shared" si="0"/>
        <v>4</v>
      </c>
      <c r="C5" s="14">
        <v>10</v>
      </c>
      <c r="D5" s="14">
        <v>2020</v>
      </c>
      <c r="E5" s="7">
        <f>ELECT.!D9+ELECT.!F9+ELECT.!H9</f>
        <v>19485</v>
      </c>
      <c r="F5" s="18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1272</v>
      </c>
      <c r="H5" s="19">
        <v>3.6</v>
      </c>
      <c r="I5" s="7">
        <f>Submetering!E5+Water!E8</f>
        <v>440</v>
      </c>
      <c r="J5" s="19">
        <v>9.1</v>
      </c>
      <c r="K5" s="7">
        <f>ELECT.!B9</f>
        <v>70</v>
      </c>
    </row>
    <row r="6" spans="1:11">
      <c r="A6" s="11" t="s">
        <v>11</v>
      </c>
      <c r="B6" s="14">
        <f t="shared" si="0"/>
        <v>5</v>
      </c>
      <c r="C6" s="14">
        <v>10</v>
      </c>
      <c r="D6" s="14">
        <v>2020</v>
      </c>
      <c r="E6" s="7">
        <f>ELECT.!D10+ELECT.!F10+ELECT.!H10</f>
        <v>18427</v>
      </c>
      <c r="F6" s="18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1179</v>
      </c>
      <c r="H6" s="19">
        <v>3.6</v>
      </c>
      <c r="I6" s="7">
        <f>Submetering!E6+Water!E9</f>
        <v>583</v>
      </c>
      <c r="J6" s="19">
        <v>9.1</v>
      </c>
      <c r="K6" s="7">
        <f>ELECT.!B10</f>
        <v>75</v>
      </c>
    </row>
    <row r="7" spans="1:11">
      <c r="A7" s="11" t="s">
        <v>11</v>
      </c>
      <c r="B7" s="14">
        <f t="shared" si="0"/>
        <v>6</v>
      </c>
      <c r="C7" s="14">
        <v>10</v>
      </c>
      <c r="D7" s="14">
        <v>2020</v>
      </c>
      <c r="E7" s="7">
        <f>ELECT.!D11+ELECT.!F11+ELECT.!H11</f>
        <v>16997</v>
      </c>
      <c r="F7" s="18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1217</v>
      </c>
      <c r="H7" s="19">
        <v>3.6</v>
      </c>
      <c r="I7" s="7">
        <f>Submetering!E7+Water!E10</f>
        <v>547</v>
      </c>
      <c r="J7" s="19">
        <v>9.1</v>
      </c>
      <c r="K7" s="7">
        <f>ELECT.!B11</f>
        <v>77</v>
      </c>
    </row>
    <row r="8" spans="1:11">
      <c r="A8" s="11" t="s">
        <v>11</v>
      </c>
      <c r="B8" s="14">
        <f t="shared" si="0"/>
        <v>7</v>
      </c>
      <c r="C8" s="14">
        <v>10</v>
      </c>
      <c r="D8" s="14">
        <v>2020</v>
      </c>
      <c r="E8" s="7">
        <f>ELECT.!D12+ELECT.!F12+ELECT.!H12</f>
        <v>17730</v>
      </c>
      <c r="F8" s="18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1295</v>
      </c>
      <c r="H8" s="19">
        <v>3.6</v>
      </c>
      <c r="I8" s="7">
        <f>Submetering!E8+Water!E11</f>
        <v>718</v>
      </c>
      <c r="J8" s="19">
        <v>9.1</v>
      </c>
      <c r="K8" s="7">
        <f>ELECT.!B12</f>
        <v>60</v>
      </c>
    </row>
    <row r="9" spans="1:11">
      <c r="A9" s="11" t="s">
        <v>11</v>
      </c>
      <c r="B9" s="14">
        <f t="shared" si="0"/>
        <v>8</v>
      </c>
      <c r="C9" s="14">
        <v>10</v>
      </c>
      <c r="D9" s="14">
        <v>2020</v>
      </c>
      <c r="E9" s="7">
        <f>ELECT.!D13+ELECT.!F13+ELECT.!H13</f>
        <v>19084</v>
      </c>
      <c r="F9" s="18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1213</v>
      </c>
      <c r="H9" s="19">
        <v>3.6</v>
      </c>
      <c r="I9" s="7">
        <f>Submetering!E9+Water!E12</f>
        <v>679</v>
      </c>
      <c r="J9" s="19">
        <v>9.1</v>
      </c>
      <c r="K9" s="7">
        <f>ELECT.!B13</f>
        <v>61</v>
      </c>
    </row>
    <row r="10" spans="1:11">
      <c r="A10" s="11" t="s">
        <v>11</v>
      </c>
      <c r="B10" s="14">
        <f t="shared" si="0"/>
        <v>9</v>
      </c>
      <c r="C10" s="14">
        <v>10</v>
      </c>
      <c r="D10" s="14">
        <v>2020</v>
      </c>
      <c r="E10" s="7">
        <f>ELECT.!D14+ELECT.!F14+ELECT.!H14</f>
        <v>19318</v>
      </c>
      <c r="F10" s="18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1482</v>
      </c>
      <c r="H10" s="19">
        <v>3.6</v>
      </c>
      <c r="I10" s="7">
        <f>Submetering!E10+Water!E13</f>
        <v>630</v>
      </c>
      <c r="J10" s="19">
        <v>9.1</v>
      </c>
      <c r="K10" s="7">
        <f>ELECT.!B14</f>
        <v>52</v>
      </c>
    </row>
    <row r="11" spans="1:11">
      <c r="A11" s="11" t="s">
        <v>11</v>
      </c>
      <c r="B11" s="14">
        <f t="shared" si="0"/>
        <v>10</v>
      </c>
      <c r="C11" s="14">
        <v>10</v>
      </c>
      <c r="D11" s="14">
        <v>2020</v>
      </c>
      <c r="E11" s="7">
        <f>ELECT.!D15+ELECT.!F15+ELECT.!H15</f>
        <v>17368</v>
      </c>
      <c r="F11" s="18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1349</v>
      </c>
      <c r="H11" s="19">
        <v>3.6</v>
      </c>
      <c r="I11" s="7">
        <f>Submetering!E11+Water!E14</f>
        <v>609</v>
      </c>
      <c r="J11" s="19">
        <v>9.1</v>
      </c>
      <c r="K11" s="7">
        <f>ELECT.!B15</f>
        <v>67</v>
      </c>
    </row>
    <row r="12" spans="1:11">
      <c r="A12" s="11" t="s">
        <v>11</v>
      </c>
      <c r="B12" s="14">
        <f t="shared" si="0"/>
        <v>11</v>
      </c>
      <c r="C12" s="14">
        <v>10</v>
      </c>
      <c r="D12" s="14">
        <v>2020</v>
      </c>
      <c r="E12" s="7">
        <f>ELECT.!D16+ELECT.!F16+ELECT.!H16</f>
        <v>17348</v>
      </c>
      <c r="F12" s="18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1549</v>
      </c>
      <c r="H12" s="19">
        <v>3.6</v>
      </c>
      <c r="I12" s="7">
        <f>Submetering!E12+Water!E15</f>
        <v>588</v>
      </c>
      <c r="J12" s="19">
        <v>9.1</v>
      </c>
      <c r="K12" s="7">
        <f>ELECT.!B16</f>
        <v>75</v>
      </c>
    </row>
    <row r="13" spans="1:11">
      <c r="A13" s="11" t="s">
        <v>11</v>
      </c>
      <c r="B13" s="14">
        <f t="shared" si="0"/>
        <v>12</v>
      </c>
      <c r="C13" s="14">
        <v>10</v>
      </c>
      <c r="D13" s="14">
        <v>2020</v>
      </c>
      <c r="E13" s="7">
        <f>ELECT.!D17+ELECT.!F17+ELECT.!H17</f>
        <v>18161</v>
      </c>
      <c r="F13" s="18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1395</v>
      </c>
      <c r="H13" s="19">
        <v>3.6</v>
      </c>
      <c r="I13" s="7">
        <f>Submetering!E13+Water!E16</f>
        <v>593</v>
      </c>
      <c r="J13" s="19">
        <v>9.1</v>
      </c>
      <c r="K13" s="7">
        <f>ELECT.!B17</f>
        <v>52</v>
      </c>
    </row>
    <row r="14" spans="1:11">
      <c r="A14" s="11" t="s">
        <v>11</v>
      </c>
      <c r="B14" s="14">
        <f t="shared" si="0"/>
        <v>13</v>
      </c>
      <c r="C14" s="14">
        <v>10</v>
      </c>
      <c r="D14" s="14">
        <v>2020</v>
      </c>
      <c r="E14" s="7">
        <f>ELECT.!D18+ELECT.!F18+ELECT.!H18</f>
        <v>16026</v>
      </c>
      <c r="F14" s="18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1280</v>
      </c>
      <c r="H14" s="19">
        <v>3.6</v>
      </c>
      <c r="I14" s="7">
        <f>Submetering!E14+Water!E17</f>
        <v>556</v>
      </c>
      <c r="J14" s="19">
        <v>9.1</v>
      </c>
      <c r="K14" s="7">
        <f>ELECT.!B18</f>
        <v>56</v>
      </c>
    </row>
    <row r="15" spans="1:11">
      <c r="A15" s="11" t="s">
        <v>11</v>
      </c>
      <c r="B15" s="14">
        <f t="shared" si="0"/>
        <v>14</v>
      </c>
      <c r="C15" s="14">
        <v>10</v>
      </c>
      <c r="D15" s="14">
        <v>2020</v>
      </c>
      <c r="E15" s="7">
        <f>ELECT.!D19+ELECT.!F19+ELECT.!H19</f>
        <v>18191</v>
      </c>
      <c r="F15" s="18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1286</v>
      </c>
      <c r="H15" s="19">
        <v>3.6</v>
      </c>
      <c r="I15" s="7">
        <f>Submetering!E15+Water!E18</f>
        <v>541</v>
      </c>
      <c r="J15" s="19">
        <v>9.1</v>
      </c>
      <c r="K15" s="7">
        <f>ELECT.!B19</f>
        <v>48</v>
      </c>
    </row>
    <row r="16" spans="1:11">
      <c r="A16" s="11" t="s">
        <v>11</v>
      </c>
      <c r="B16" s="14">
        <f t="shared" si="0"/>
        <v>15</v>
      </c>
      <c r="C16" s="14">
        <v>10</v>
      </c>
      <c r="D16" s="14">
        <v>2020</v>
      </c>
      <c r="E16" s="7">
        <f>ELECT.!D20+ELECT.!F20+ELECT.!H20</f>
        <v>20177</v>
      </c>
      <c r="F16" s="18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1368</v>
      </c>
      <c r="H16" s="19">
        <v>3.6</v>
      </c>
      <c r="I16" s="7">
        <f>Submetering!E16+Water!E19</f>
        <v>413</v>
      </c>
      <c r="J16" s="19">
        <v>9.1</v>
      </c>
      <c r="K16" s="7">
        <f>ELECT.!B20</f>
        <v>60</v>
      </c>
    </row>
    <row r="17" spans="1:11">
      <c r="A17" s="11" t="s">
        <v>11</v>
      </c>
      <c r="B17" s="14">
        <f t="shared" si="0"/>
        <v>16</v>
      </c>
      <c r="C17" s="14">
        <v>10</v>
      </c>
      <c r="D17" s="14">
        <v>2020</v>
      </c>
      <c r="E17" s="7">
        <f>ELECT.!D21+ELECT.!F21+ELECT.!H21</f>
        <v>17854</v>
      </c>
      <c r="F17" s="18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1398</v>
      </c>
      <c r="H17" s="19">
        <v>3.6</v>
      </c>
      <c r="I17" s="7">
        <f>Submetering!E17+Water!E20</f>
        <v>581</v>
      </c>
      <c r="J17" s="19">
        <v>9.1</v>
      </c>
      <c r="K17" s="7">
        <f>ELECT.!B21</f>
        <v>62</v>
      </c>
    </row>
    <row r="18" spans="1:11">
      <c r="A18" s="11" t="s">
        <v>11</v>
      </c>
      <c r="B18" s="14">
        <f t="shared" si="0"/>
        <v>17</v>
      </c>
      <c r="C18" s="14">
        <v>10</v>
      </c>
      <c r="D18" s="14">
        <v>2020</v>
      </c>
      <c r="E18" s="7">
        <f>ELECT.!D22+ELECT.!F22+ELECT.!H22</f>
        <v>16635</v>
      </c>
      <c r="F18" s="18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1316</v>
      </c>
      <c r="H18" s="19">
        <v>3.6</v>
      </c>
      <c r="I18" s="7">
        <f>Submetering!E18+Water!E21</f>
        <v>671</v>
      </c>
      <c r="J18" s="19">
        <v>9.1</v>
      </c>
      <c r="K18" s="7">
        <f>ELECT.!B22</f>
        <v>58</v>
      </c>
    </row>
    <row r="19" spans="1:11">
      <c r="A19" s="11" t="s">
        <v>11</v>
      </c>
      <c r="B19" s="14">
        <f t="shared" si="0"/>
        <v>18</v>
      </c>
      <c r="C19" s="14">
        <v>10</v>
      </c>
      <c r="D19" s="14">
        <v>2020</v>
      </c>
      <c r="E19" s="7">
        <f>ELECT.!D23+ELECT.!F23+ELECT.!H23</f>
        <v>18430</v>
      </c>
      <c r="F19" s="18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1290</v>
      </c>
      <c r="H19" s="19">
        <v>3.6</v>
      </c>
      <c r="I19" s="7">
        <f>Submetering!E19+Water!E22</f>
        <v>539</v>
      </c>
      <c r="J19" s="19">
        <v>9.1</v>
      </c>
      <c r="K19" s="7">
        <f>ELECT.!B23</f>
        <v>54</v>
      </c>
    </row>
    <row r="20" spans="1:11">
      <c r="A20" s="11" t="s">
        <v>11</v>
      </c>
      <c r="B20" s="14">
        <f t="shared" si="0"/>
        <v>19</v>
      </c>
      <c r="C20" s="14">
        <v>10</v>
      </c>
      <c r="D20" s="14">
        <v>2020</v>
      </c>
      <c r="E20" s="7">
        <f>ELECT.!D24+ELECT.!F24+ELECT.!H24</f>
        <v>17405</v>
      </c>
      <c r="F20" s="18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1253</v>
      </c>
      <c r="H20" s="19">
        <v>3.6</v>
      </c>
      <c r="I20" s="7">
        <f>Submetering!E20+Water!E23</f>
        <v>522</v>
      </c>
      <c r="J20" s="19">
        <v>9.1</v>
      </c>
      <c r="K20" s="7">
        <f>ELECT.!B24</f>
        <v>52</v>
      </c>
    </row>
    <row r="21" spans="1:11">
      <c r="A21" s="11" t="s">
        <v>11</v>
      </c>
      <c r="B21" s="14">
        <f t="shared" si="0"/>
        <v>20</v>
      </c>
      <c r="C21" s="14">
        <v>10</v>
      </c>
      <c r="D21" s="14">
        <v>2020</v>
      </c>
      <c r="E21" s="7">
        <f>ELECT.!D25+ELECT.!F25+ELECT.!H25</f>
        <v>17119</v>
      </c>
      <c r="F21" s="18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1273</v>
      </c>
      <c r="H21" s="19">
        <v>3.6</v>
      </c>
      <c r="I21" s="7">
        <f>Submetering!E21+Water!E24</f>
        <v>548</v>
      </c>
      <c r="J21" s="19">
        <v>9.1</v>
      </c>
      <c r="K21" s="7">
        <f>ELECT.!B25</f>
        <v>50</v>
      </c>
    </row>
    <row r="22" spans="1:11">
      <c r="A22" s="11" t="s">
        <v>11</v>
      </c>
      <c r="B22" s="14">
        <f t="shared" si="0"/>
        <v>21</v>
      </c>
      <c r="C22" s="14">
        <v>10</v>
      </c>
      <c r="D22" s="14">
        <v>2020</v>
      </c>
      <c r="E22" s="7">
        <f>ELECT.!D26+ELECT.!F26+ELECT.!H26</f>
        <v>16475</v>
      </c>
      <c r="F22" s="18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1235</v>
      </c>
      <c r="H22" s="19">
        <v>3.6</v>
      </c>
      <c r="I22" s="7">
        <f>Submetering!E22+Water!E25</f>
        <v>603</v>
      </c>
      <c r="J22" s="19">
        <v>9.1</v>
      </c>
      <c r="K22" s="7">
        <f>ELECT.!B26</f>
        <v>46</v>
      </c>
    </row>
    <row r="23" spans="1:11">
      <c r="A23" s="11" t="s">
        <v>11</v>
      </c>
      <c r="B23" s="14">
        <f t="shared" si="0"/>
        <v>22</v>
      </c>
      <c r="C23" s="14">
        <v>10</v>
      </c>
      <c r="D23" s="14">
        <v>2020</v>
      </c>
      <c r="E23" s="7">
        <f>ELECT.!D27+ELECT.!F27+ELECT.!H27</f>
        <v>18440</v>
      </c>
      <c r="F23" s="18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1281</v>
      </c>
      <c r="H23" s="19">
        <v>3.6</v>
      </c>
      <c r="I23" s="7">
        <f>Submetering!E23+Water!E26</f>
        <v>503</v>
      </c>
      <c r="J23" s="19">
        <v>9.1</v>
      </c>
      <c r="K23" s="7">
        <f>ELECT.!B27</f>
        <v>61</v>
      </c>
    </row>
    <row r="24" spans="1:11">
      <c r="A24" s="11" t="s">
        <v>11</v>
      </c>
      <c r="B24" s="14">
        <f t="shared" si="0"/>
        <v>23</v>
      </c>
      <c r="C24" s="14">
        <v>10</v>
      </c>
      <c r="D24" s="14">
        <v>2020</v>
      </c>
      <c r="E24" s="7">
        <f>ELECT.!D28+ELECT.!F28+ELECT.!H28</f>
        <v>18350</v>
      </c>
      <c r="F24" s="18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1343</v>
      </c>
      <c r="H24" s="19">
        <v>3.6</v>
      </c>
      <c r="I24" s="7">
        <f>Submetering!E24+Water!E27</f>
        <v>558</v>
      </c>
      <c r="J24" s="19">
        <v>9.1</v>
      </c>
      <c r="K24" s="7">
        <f>ELECT.!B28</f>
        <v>60</v>
      </c>
    </row>
    <row r="25" spans="1:11">
      <c r="A25" s="11" t="s">
        <v>11</v>
      </c>
      <c r="B25" s="14">
        <f t="shared" si="0"/>
        <v>24</v>
      </c>
      <c r="C25" s="14">
        <v>10</v>
      </c>
      <c r="D25" s="14">
        <v>2020</v>
      </c>
      <c r="E25" s="7">
        <f>ELECT.!D29+ELECT.!F29+ELECT.!H29</f>
        <v>19410</v>
      </c>
      <c r="F25" s="18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1218</v>
      </c>
      <c r="H25" s="19">
        <v>3.6</v>
      </c>
      <c r="I25" s="7">
        <f>Submetering!E25+Water!E28</f>
        <v>528</v>
      </c>
      <c r="J25" s="19">
        <v>9.1</v>
      </c>
      <c r="K25" s="7">
        <f>ELECT.!B29</f>
        <v>54</v>
      </c>
    </row>
    <row r="26" spans="1:11">
      <c r="A26" s="11" t="s">
        <v>11</v>
      </c>
      <c r="B26" s="14">
        <f>B25+1</f>
        <v>25</v>
      </c>
      <c r="C26" s="14">
        <v>10</v>
      </c>
      <c r="D26" s="14">
        <v>2020</v>
      </c>
      <c r="E26" s="7">
        <f>ELECT.!D30+ELECT.!F30+ELECT.!H30</f>
        <v>20144</v>
      </c>
      <c r="F26" s="18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1309</v>
      </c>
      <c r="H26" s="19">
        <v>3.6</v>
      </c>
      <c r="I26" s="7">
        <f>Submetering!E26+Water!E29</f>
        <v>445</v>
      </c>
      <c r="J26" s="19">
        <v>9.1</v>
      </c>
      <c r="K26" s="7">
        <f>ELECT.!B30</f>
        <v>56</v>
      </c>
    </row>
    <row r="27" spans="1:11">
      <c r="A27" s="11" t="s">
        <v>11</v>
      </c>
      <c r="B27" s="14">
        <f t="shared" si="0"/>
        <v>26</v>
      </c>
      <c r="C27" s="14">
        <v>10</v>
      </c>
      <c r="D27" s="14">
        <v>2020</v>
      </c>
      <c r="E27" s="7">
        <f>ELECT.!D31+ELECT.!F31+ELECT.!H31</f>
        <v>22180</v>
      </c>
      <c r="F27" s="18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1253</v>
      </c>
      <c r="H27" s="19">
        <v>3.6</v>
      </c>
      <c r="I27" s="7">
        <f>Submetering!E27+Water!E30</f>
        <v>432</v>
      </c>
      <c r="J27" s="19">
        <v>9.1</v>
      </c>
      <c r="K27" s="7">
        <f>ELECT.!B31</f>
        <v>69</v>
      </c>
    </row>
    <row r="28" spans="1:11">
      <c r="A28" s="11" t="s">
        <v>11</v>
      </c>
      <c r="B28" s="14">
        <f t="shared" si="0"/>
        <v>27</v>
      </c>
      <c r="C28" s="14">
        <v>10</v>
      </c>
      <c r="D28" s="14">
        <v>2020</v>
      </c>
      <c r="E28" s="7">
        <f>ELECT.!D32+ELECT.!F32+ELECT.!H32</f>
        <v>15644</v>
      </c>
      <c r="F28" s="18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1421</v>
      </c>
      <c r="H28" s="19">
        <v>3.6</v>
      </c>
      <c r="I28" s="7">
        <f>Submetering!E28+Water!E31</f>
        <v>638</v>
      </c>
      <c r="J28" s="19">
        <v>9.1</v>
      </c>
      <c r="K28" s="7">
        <f>ELECT.!B32</f>
        <v>68</v>
      </c>
    </row>
    <row r="29" spans="1:11">
      <c r="A29" s="11" t="s">
        <v>11</v>
      </c>
      <c r="B29" s="14">
        <f t="shared" si="0"/>
        <v>28</v>
      </c>
      <c r="C29" s="14">
        <v>10</v>
      </c>
      <c r="D29" s="14">
        <v>2020</v>
      </c>
      <c r="E29" s="7">
        <f>ELECT.!D33+ELECT.!F33+ELECT.!H33</f>
        <v>20497</v>
      </c>
      <c r="F29" s="18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1327</v>
      </c>
      <c r="H29" s="19">
        <v>3.6</v>
      </c>
      <c r="I29" s="7">
        <f>Submetering!E29+Water!E32</f>
        <v>636</v>
      </c>
      <c r="J29" s="19">
        <v>9.1</v>
      </c>
      <c r="K29" s="7">
        <f>ELECT.!B33</f>
        <v>52</v>
      </c>
    </row>
    <row r="30" spans="1:11">
      <c r="A30" s="11" t="s">
        <v>11</v>
      </c>
      <c r="B30" s="14">
        <f t="shared" si="0"/>
        <v>29</v>
      </c>
      <c r="C30" s="14">
        <v>10</v>
      </c>
      <c r="D30" s="14">
        <v>2020</v>
      </c>
      <c r="E30" s="7">
        <f>ELECT.!D34+ELECT.!F34+ELECT.!H34</f>
        <v>19553</v>
      </c>
      <c r="F30" s="18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1510</v>
      </c>
      <c r="H30" s="19">
        <v>3.6</v>
      </c>
      <c r="I30" s="7">
        <f>Submetering!E30+Water!E33</f>
        <v>476</v>
      </c>
      <c r="J30" s="19">
        <v>9.1</v>
      </c>
      <c r="K30" s="7">
        <f>ELECT.!B34</f>
        <v>55</v>
      </c>
    </row>
    <row r="31" spans="1:11">
      <c r="A31" s="11" t="s">
        <v>11</v>
      </c>
      <c r="B31" s="14">
        <f t="shared" si="0"/>
        <v>30</v>
      </c>
      <c r="C31" s="14">
        <v>10</v>
      </c>
      <c r="D31" s="14">
        <v>2020</v>
      </c>
      <c r="E31" s="7">
        <f>ELECT.!D35+ELECT.!F35+ELECT.!H35</f>
        <v>21032</v>
      </c>
      <c r="F31" s="18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1485</v>
      </c>
      <c r="H31" s="19">
        <v>3.6</v>
      </c>
      <c r="I31" s="7">
        <f>Submetering!E31+Water!E34</f>
        <v>626</v>
      </c>
      <c r="J31" s="19">
        <v>9.1</v>
      </c>
      <c r="K31" s="7">
        <f>ELECT.!B35</f>
        <v>50</v>
      </c>
    </row>
    <row r="32" spans="1:11">
      <c r="A32" s="11" t="s">
        <v>11</v>
      </c>
      <c r="B32" s="14">
        <f t="shared" si="0"/>
        <v>31</v>
      </c>
      <c r="C32" s="14">
        <v>10</v>
      </c>
      <c r="D32" s="14">
        <v>2020</v>
      </c>
      <c r="E32" s="7">
        <f>ELECT.!D36+ELECT.!F36+ELECT.!H36</f>
        <v>21288</v>
      </c>
      <c r="F32" s="18">
        <v>1.56</v>
      </c>
      <c r="G32" s="7">
        <f>Submetering!J32+Submetering!K32+Submetering!L32+Submetering!M32+Submetering!N32+Submetering!O32+Submetering!P32+Submetering!Q32+Submetering!R32+Submetering!S32+Submetering!T32+Submetering!U32+Submetering!V32+Submetering!W32</f>
        <v>1240</v>
      </c>
      <c r="H32" s="19">
        <v>3.6</v>
      </c>
      <c r="I32" s="7">
        <f>Submetering!E32+Water!E35</f>
        <v>635</v>
      </c>
      <c r="J32" s="19">
        <v>9.1</v>
      </c>
      <c r="K32" s="7">
        <f>ELECT.!B36</f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topLeftCell="B21" zoomScale="85" zoomScaleNormal="85" workbookViewId="0">
      <selection activeCell="X2" sqref="X2:X32"/>
    </sheetView>
  </sheetViews>
  <sheetFormatPr defaultColWidth="11.5703125" defaultRowHeight="12.75"/>
  <cols>
    <col min="1" max="1" width="21.85546875" style="11" bestFit="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10</v>
      </c>
      <c r="D2" s="14">
        <v>2020</v>
      </c>
      <c r="E2" s="7">
        <f>Water!C5</f>
        <v>150</v>
      </c>
      <c r="F2" s="7">
        <f>Water!E5</f>
        <v>403</v>
      </c>
      <c r="G2" s="7">
        <f>ELECT.!D6</f>
        <v>4426</v>
      </c>
      <c r="H2" s="7">
        <f>ELECT.!F6</f>
        <v>8872</v>
      </c>
      <c r="I2" s="7">
        <f>ELECT.!H6</f>
        <v>5191</v>
      </c>
      <c r="J2" s="8">
        <f>Gas!C4</f>
        <v>256</v>
      </c>
      <c r="K2" s="8">
        <f>Gas!E4</f>
        <v>398</v>
      </c>
      <c r="L2" s="8">
        <f>Gas!G4</f>
        <v>126</v>
      </c>
      <c r="M2" s="16">
        <f>Gas!I4</f>
        <v>24</v>
      </c>
      <c r="N2" s="16">
        <f>Gas!K4</f>
        <v>0</v>
      </c>
      <c r="O2" s="8">
        <f>Gas!M4</f>
        <v>0</v>
      </c>
      <c r="P2" s="8">
        <f>Gas!O4</f>
        <v>118</v>
      </c>
      <c r="Q2" s="8">
        <f>Gas!Q4</f>
        <v>0</v>
      </c>
      <c r="R2" s="8">
        <f>Gas!S4</f>
        <v>190</v>
      </c>
      <c r="S2" s="8">
        <f>Gas!U4</f>
        <v>20</v>
      </c>
      <c r="T2" s="8">
        <f>Gas!W4</f>
        <v>37</v>
      </c>
      <c r="U2" s="8">
        <f>Gas!Y4</f>
        <v>0</v>
      </c>
      <c r="V2" s="8">
        <f>Gas!AA4</f>
        <v>137</v>
      </c>
      <c r="W2" s="8">
        <f>Gas!AC4</f>
        <v>0</v>
      </c>
      <c r="X2" s="7">
        <f>ELECT.!B6</f>
        <v>77</v>
      </c>
    </row>
    <row r="3" spans="1:24">
      <c r="A3" s="11" t="s">
        <v>11</v>
      </c>
      <c r="B3" s="14">
        <f>B2+1</f>
        <v>2</v>
      </c>
      <c r="C3" s="14">
        <v>10</v>
      </c>
      <c r="D3" s="14">
        <v>2020</v>
      </c>
      <c r="E3" s="7">
        <f>Water!C6</f>
        <v>200</v>
      </c>
      <c r="F3" s="7">
        <f>Water!E6</f>
        <v>484</v>
      </c>
      <c r="G3" s="7">
        <f>ELECT.!D7</f>
        <v>4342</v>
      </c>
      <c r="H3" s="7">
        <f>ELECT.!F7</f>
        <v>8596</v>
      </c>
      <c r="I3" s="7">
        <f>ELECT.!H7</f>
        <v>5177</v>
      </c>
      <c r="J3" s="8">
        <f>Gas!C5</f>
        <v>239</v>
      </c>
      <c r="K3" s="8">
        <f>Gas!E5</f>
        <v>435</v>
      </c>
      <c r="L3" s="8">
        <f>Gas!G5</f>
        <v>110</v>
      </c>
      <c r="M3" s="16">
        <f>Gas!I5</f>
        <v>21</v>
      </c>
      <c r="N3" s="16">
        <f>Gas!K5</f>
        <v>0</v>
      </c>
      <c r="O3" s="8">
        <f>Gas!M5</f>
        <v>0</v>
      </c>
      <c r="P3" s="8">
        <f>Gas!O5</f>
        <v>71</v>
      </c>
      <c r="Q3" s="8">
        <f>Gas!Q5</f>
        <v>0</v>
      </c>
      <c r="R3" s="8">
        <f>Gas!S5</f>
        <v>217</v>
      </c>
      <c r="S3" s="8">
        <f>Gas!U5</f>
        <v>23</v>
      </c>
      <c r="T3" s="8">
        <f>Gas!W5</f>
        <v>32</v>
      </c>
      <c r="U3" s="8">
        <f>Gas!Y5</f>
        <v>0</v>
      </c>
      <c r="V3" s="8">
        <f>Gas!AA5</f>
        <v>128</v>
      </c>
      <c r="W3" s="8">
        <f>Gas!AC5</f>
        <v>0</v>
      </c>
      <c r="X3" s="7">
        <f>ELECT.!B7</f>
        <v>65</v>
      </c>
    </row>
    <row r="4" spans="1:24">
      <c r="A4" s="11" t="s">
        <v>11</v>
      </c>
      <c r="B4" s="14">
        <f t="shared" ref="B4:B32" si="0">B3+1</f>
        <v>3</v>
      </c>
      <c r="C4" s="14">
        <v>10</v>
      </c>
      <c r="D4" s="14">
        <v>2020</v>
      </c>
      <c r="E4" s="7">
        <f>Water!C7</f>
        <v>140</v>
      </c>
      <c r="F4" s="7">
        <f>Water!E7</f>
        <v>398</v>
      </c>
      <c r="G4" s="7">
        <f>ELECT.!D8</f>
        <v>4069</v>
      </c>
      <c r="H4" s="7">
        <f>ELECT.!F8</f>
        <v>8173</v>
      </c>
      <c r="I4" s="7">
        <f>ELECT.!H8</f>
        <v>4930</v>
      </c>
      <c r="J4" s="8">
        <f>Gas!C6</f>
        <v>202</v>
      </c>
      <c r="K4" s="8">
        <f>Gas!E6</f>
        <v>366</v>
      </c>
      <c r="L4" s="8">
        <f>Gas!G6</f>
        <v>97</v>
      </c>
      <c r="M4" s="16">
        <f>Gas!I6</f>
        <v>15</v>
      </c>
      <c r="N4" s="16">
        <f>Gas!K6</f>
        <v>0</v>
      </c>
      <c r="O4" s="8">
        <f>Gas!M6</f>
        <v>0</v>
      </c>
      <c r="P4" s="8">
        <f>Gas!O6</f>
        <v>44</v>
      </c>
      <c r="Q4" s="8">
        <f>Gas!Q6</f>
        <v>0</v>
      </c>
      <c r="R4" s="8">
        <f>Gas!S6</f>
        <v>200</v>
      </c>
      <c r="S4" s="8">
        <f>Gas!U6</f>
        <v>17</v>
      </c>
      <c r="T4" s="8">
        <f>Gas!W6</f>
        <v>33</v>
      </c>
      <c r="U4" s="8">
        <f>Gas!Y6</f>
        <v>0</v>
      </c>
      <c r="V4" s="8">
        <f>Gas!AA6</f>
        <v>105</v>
      </c>
      <c r="W4" s="8">
        <f>Gas!AC6</f>
        <v>0</v>
      </c>
      <c r="X4" s="7">
        <f>ELECT.!B8</f>
        <v>66</v>
      </c>
    </row>
    <row r="5" spans="1:24">
      <c r="A5" s="11" t="s">
        <v>11</v>
      </c>
      <c r="B5" s="14">
        <f t="shared" si="0"/>
        <v>4</v>
      </c>
      <c r="C5" s="14">
        <v>10</v>
      </c>
      <c r="D5" s="14">
        <v>2020</v>
      </c>
      <c r="E5" s="7">
        <f>Water!C8</f>
        <v>140</v>
      </c>
      <c r="F5" s="7">
        <f>Water!E8</f>
        <v>300</v>
      </c>
      <c r="G5" s="7">
        <f>ELECT.!D9</f>
        <v>4405</v>
      </c>
      <c r="H5" s="7">
        <f>ELECT.!F9</f>
        <v>9547</v>
      </c>
      <c r="I5" s="7">
        <f>ELECT.!H9</f>
        <v>5533</v>
      </c>
      <c r="J5" s="8">
        <f>Gas!C7</f>
        <v>230</v>
      </c>
      <c r="K5" s="8">
        <f>Gas!E7</f>
        <v>424</v>
      </c>
      <c r="L5" s="8">
        <f>Gas!G7</f>
        <v>121</v>
      </c>
      <c r="M5" s="16">
        <f>Gas!I7</f>
        <v>15</v>
      </c>
      <c r="N5" s="16">
        <f>Gas!K7</f>
        <v>0</v>
      </c>
      <c r="O5" s="8">
        <f>Gas!M7</f>
        <v>0</v>
      </c>
      <c r="P5" s="8">
        <f>Gas!O7</f>
        <v>91</v>
      </c>
      <c r="Q5" s="8">
        <f>Gas!Q7</f>
        <v>0</v>
      </c>
      <c r="R5" s="8">
        <f>Gas!S7</f>
        <v>226</v>
      </c>
      <c r="S5" s="8">
        <f>Gas!U7</f>
        <v>16</v>
      </c>
      <c r="T5" s="8">
        <f>Gas!W7</f>
        <v>30</v>
      </c>
      <c r="U5" s="8">
        <f>Gas!Y7</f>
        <v>0</v>
      </c>
      <c r="V5" s="8">
        <f>Gas!AA7</f>
        <v>119</v>
      </c>
      <c r="W5" s="8">
        <f>Gas!AC7</f>
        <v>0</v>
      </c>
      <c r="X5" s="7">
        <f>ELECT.!B9</f>
        <v>70</v>
      </c>
    </row>
    <row r="6" spans="1:24">
      <c r="A6" s="11" t="s">
        <v>11</v>
      </c>
      <c r="B6" s="14">
        <f t="shared" si="0"/>
        <v>5</v>
      </c>
      <c r="C6" s="14">
        <v>10</v>
      </c>
      <c r="D6" s="14">
        <v>2020</v>
      </c>
      <c r="E6" s="7">
        <f>Water!C9</f>
        <v>170</v>
      </c>
      <c r="F6" s="7">
        <f>Water!E9</f>
        <v>413</v>
      </c>
      <c r="G6" s="7">
        <f>ELECT.!D10</f>
        <v>4087</v>
      </c>
      <c r="H6" s="7">
        <f>ELECT.!F10</f>
        <v>8663</v>
      </c>
      <c r="I6" s="7">
        <f>ELECT.!H10</f>
        <v>5677</v>
      </c>
      <c r="J6" s="8">
        <f>Gas!C8</f>
        <v>233</v>
      </c>
      <c r="K6" s="8">
        <f>Gas!E8</f>
        <v>416</v>
      </c>
      <c r="L6" s="8">
        <f>Gas!G8</f>
        <v>95</v>
      </c>
      <c r="M6" s="16">
        <f>Gas!I8</f>
        <v>21</v>
      </c>
      <c r="N6" s="16">
        <f>Gas!K8</f>
        <v>0</v>
      </c>
      <c r="O6" s="8">
        <f>Gas!M8</f>
        <v>0</v>
      </c>
      <c r="P6" s="8">
        <f>Gas!O8</f>
        <v>59</v>
      </c>
      <c r="Q6" s="8">
        <f>Gas!Q8</f>
        <v>0</v>
      </c>
      <c r="R6" s="8">
        <f>Gas!S8</f>
        <v>196</v>
      </c>
      <c r="S6" s="8">
        <f>Gas!U8</f>
        <v>28</v>
      </c>
      <c r="T6" s="8">
        <f>Gas!W8</f>
        <v>38</v>
      </c>
      <c r="U6" s="8">
        <f>Gas!Y8</f>
        <v>0</v>
      </c>
      <c r="V6" s="8">
        <f>Gas!AA8</f>
        <v>93</v>
      </c>
      <c r="W6" s="8">
        <f>Gas!AC8</f>
        <v>0</v>
      </c>
      <c r="X6" s="7">
        <f>ELECT.!B10</f>
        <v>75</v>
      </c>
    </row>
    <row r="7" spans="1:24">
      <c r="A7" s="11" t="s">
        <v>11</v>
      </c>
      <c r="B7" s="14">
        <f t="shared" si="0"/>
        <v>6</v>
      </c>
      <c r="C7" s="14">
        <v>10</v>
      </c>
      <c r="D7" s="14">
        <v>2020</v>
      </c>
      <c r="E7" s="7">
        <f>Water!C10</f>
        <v>110</v>
      </c>
      <c r="F7" s="7">
        <f>Water!E10</f>
        <v>437</v>
      </c>
      <c r="G7" s="7">
        <f>ELECT.!D11</f>
        <v>3927</v>
      </c>
      <c r="H7" s="7">
        <f>ELECT.!F11</f>
        <v>8204</v>
      </c>
      <c r="I7" s="7">
        <f>ELECT.!H11</f>
        <v>4866</v>
      </c>
      <c r="J7" s="8">
        <f>Gas!C9</f>
        <v>177</v>
      </c>
      <c r="K7" s="8">
        <f>Gas!E9</f>
        <v>440</v>
      </c>
      <c r="L7" s="8">
        <f>Gas!G9</f>
        <v>103</v>
      </c>
      <c r="M7" s="16">
        <f>Gas!I9</f>
        <v>28</v>
      </c>
      <c r="N7" s="16">
        <f>Gas!K9</f>
        <v>0</v>
      </c>
      <c r="O7" s="8">
        <f>Gas!M9</f>
        <v>0</v>
      </c>
      <c r="P7" s="8">
        <f>Gas!O9</f>
        <v>111</v>
      </c>
      <c r="Q7" s="8">
        <f>Gas!Q9</f>
        <v>0</v>
      </c>
      <c r="R7" s="8">
        <f>Gas!S9</f>
        <v>167</v>
      </c>
      <c r="S7" s="8">
        <f>Gas!U9</f>
        <v>25</v>
      </c>
      <c r="T7" s="8">
        <f>Gas!W9</f>
        <v>35</v>
      </c>
      <c r="U7" s="8">
        <f>Gas!Y9</f>
        <v>0</v>
      </c>
      <c r="V7" s="8">
        <f>Gas!AA9</f>
        <v>131</v>
      </c>
      <c r="W7" s="8">
        <f>Gas!AC9</f>
        <v>0</v>
      </c>
      <c r="X7" s="7">
        <f>ELECT.!B11</f>
        <v>77</v>
      </c>
    </row>
    <row r="8" spans="1:24">
      <c r="A8" s="11" t="s">
        <v>11</v>
      </c>
      <c r="B8" s="14">
        <f t="shared" si="0"/>
        <v>7</v>
      </c>
      <c r="C8" s="14">
        <v>10</v>
      </c>
      <c r="D8" s="14">
        <v>2020</v>
      </c>
      <c r="E8" s="7">
        <f>Water!C11</f>
        <v>310</v>
      </c>
      <c r="F8" s="7">
        <f>Water!E11</f>
        <v>408</v>
      </c>
      <c r="G8" s="7">
        <f>ELECT.!D12</f>
        <v>3778</v>
      </c>
      <c r="H8" s="7">
        <f>ELECT.!F12</f>
        <v>8472</v>
      </c>
      <c r="I8" s="7">
        <f>ELECT.!H12</f>
        <v>5480</v>
      </c>
      <c r="J8" s="8">
        <f>Gas!C10</f>
        <v>277</v>
      </c>
      <c r="K8" s="8">
        <f>Gas!E10</f>
        <v>434</v>
      </c>
      <c r="L8" s="8">
        <f>Gas!G10</f>
        <v>120</v>
      </c>
      <c r="M8" s="16">
        <f>Gas!I10</f>
        <v>20</v>
      </c>
      <c r="N8" s="16">
        <f>Gas!K10</f>
        <v>0</v>
      </c>
      <c r="O8" s="8">
        <f>Gas!M10</f>
        <v>0</v>
      </c>
      <c r="P8" s="8">
        <f>Gas!O10</f>
        <v>116</v>
      </c>
      <c r="Q8" s="8">
        <f>Gas!Q10</f>
        <v>0</v>
      </c>
      <c r="R8" s="8">
        <f>Gas!S10</f>
        <v>154</v>
      </c>
      <c r="S8" s="8">
        <f>Gas!U10</f>
        <v>25</v>
      </c>
      <c r="T8" s="8">
        <f>Gas!W10</f>
        <v>39</v>
      </c>
      <c r="U8" s="8">
        <f>Gas!Y10</f>
        <v>0</v>
      </c>
      <c r="V8" s="8">
        <f>Gas!AA10</f>
        <v>110</v>
      </c>
      <c r="W8" s="8">
        <f>Gas!AC10</f>
        <v>0</v>
      </c>
      <c r="X8" s="7">
        <f>ELECT.!B12</f>
        <v>60</v>
      </c>
    </row>
    <row r="9" spans="1:24">
      <c r="A9" s="11" t="s">
        <v>11</v>
      </c>
      <c r="B9" s="14">
        <f t="shared" si="0"/>
        <v>8</v>
      </c>
      <c r="C9" s="14">
        <v>10</v>
      </c>
      <c r="D9" s="14">
        <v>2020</v>
      </c>
      <c r="E9" s="7">
        <f>Water!C12</f>
        <v>260</v>
      </c>
      <c r="F9" s="7">
        <f>Water!E12</f>
        <v>419</v>
      </c>
      <c r="G9" s="7">
        <f>ELECT.!D13</f>
        <v>4230</v>
      </c>
      <c r="H9" s="7">
        <f>ELECT.!F13</f>
        <v>9589</v>
      </c>
      <c r="I9" s="7">
        <f>ELECT.!H13</f>
        <v>5265</v>
      </c>
      <c r="J9" s="8">
        <f>Gas!C11</f>
        <v>191</v>
      </c>
      <c r="K9" s="8">
        <f>Gas!E11</f>
        <v>435</v>
      </c>
      <c r="L9" s="8">
        <f>Gas!G11</f>
        <v>108</v>
      </c>
      <c r="M9" s="16">
        <f>Gas!I11</f>
        <v>28</v>
      </c>
      <c r="N9" s="16">
        <f>Gas!K11</f>
        <v>0</v>
      </c>
      <c r="O9" s="8">
        <f>Gas!M11</f>
        <v>0</v>
      </c>
      <c r="P9" s="8">
        <f>Gas!O11</f>
        <v>118</v>
      </c>
      <c r="Q9" s="8">
        <f>Gas!Q11</f>
        <v>0</v>
      </c>
      <c r="R9" s="8">
        <f>Gas!S11</f>
        <v>166</v>
      </c>
      <c r="S9" s="8">
        <f>Gas!U11</f>
        <v>29</v>
      </c>
      <c r="T9" s="8">
        <f>Gas!W11</f>
        <v>30</v>
      </c>
      <c r="U9" s="8">
        <f>Gas!Y11</f>
        <v>0</v>
      </c>
      <c r="V9" s="8">
        <f>Gas!AA11</f>
        <v>108</v>
      </c>
      <c r="W9" s="8">
        <f>Gas!AC11</f>
        <v>0</v>
      </c>
      <c r="X9" s="7">
        <f>ELECT.!B13</f>
        <v>61</v>
      </c>
    </row>
    <row r="10" spans="1:24">
      <c r="A10" s="11" t="s">
        <v>11</v>
      </c>
      <c r="B10" s="14">
        <f t="shared" si="0"/>
        <v>9</v>
      </c>
      <c r="C10" s="14">
        <v>10</v>
      </c>
      <c r="D10" s="14">
        <v>2020</v>
      </c>
      <c r="E10" s="7">
        <f>Water!C13</f>
        <v>230</v>
      </c>
      <c r="F10" s="7">
        <f>Water!E13</f>
        <v>400</v>
      </c>
      <c r="G10" s="7">
        <f>ELECT.!D14</f>
        <v>4217</v>
      </c>
      <c r="H10" s="7">
        <f>ELECT.!F14</f>
        <v>8858</v>
      </c>
      <c r="I10" s="7">
        <f>ELECT.!H14</f>
        <v>6243</v>
      </c>
      <c r="J10" s="8">
        <f>Gas!C12</f>
        <v>241</v>
      </c>
      <c r="K10" s="8">
        <f>Gas!E12</f>
        <v>620</v>
      </c>
      <c r="L10" s="8">
        <f>Gas!G12</f>
        <v>103</v>
      </c>
      <c r="M10" s="16">
        <f>Gas!I12</f>
        <v>34</v>
      </c>
      <c r="N10" s="16">
        <f>Gas!K12</f>
        <v>0</v>
      </c>
      <c r="O10" s="8">
        <f>Gas!M12</f>
        <v>0</v>
      </c>
      <c r="P10" s="8">
        <f>Gas!O12</f>
        <v>42</v>
      </c>
      <c r="Q10" s="8">
        <f>Gas!Q12</f>
        <v>0</v>
      </c>
      <c r="R10" s="8">
        <f>Gas!S12</f>
        <v>264</v>
      </c>
      <c r="S10" s="8">
        <f>Gas!U12</f>
        <v>19</v>
      </c>
      <c r="T10" s="8">
        <f>Gas!W12</f>
        <v>34</v>
      </c>
      <c r="U10" s="8">
        <f>Gas!Y12</f>
        <v>0</v>
      </c>
      <c r="V10" s="8">
        <f>Gas!AA12</f>
        <v>125</v>
      </c>
      <c r="W10" s="8">
        <f>Gas!AC12</f>
        <v>0</v>
      </c>
      <c r="X10" s="7">
        <f>ELECT.!B14</f>
        <v>52</v>
      </c>
    </row>
    <row r="11" spans="1:24">
      <c r="A11" s="11" t="s">
        <v>11</v>
      </c>
      <c r="B11" s="14">
        <f t="shared" si="0"/>
        <v>10</v>
      </c>
      <c r="C11" s="14">
        <v>10</v>
      </c>
      <c r="D11" s="14">
        <v>2020</v>
      </c>
      <c r="E11" s="7">
        <f>Water!C14</f>
        <v>210</v>
      </c>
      <c r="F11" s="7">
        <f>Water!E14</f>
        <v>399</v>
      </c>
      <c r="G11" s="7">
        <f>ELECT.!D15</f>
        <v>4193</v>
      </c>
      <c r="H11" s="7">
        <f>ELECT.!F15</f>
        <v>8315</v>
      </c>
      <c r="I11" s="7">
        <f>ELECT.!H15</f>
        <v>4860</v>
      </c>
      <c r="J11" s="8">
        <f>Gas!C13</f>
        <v>258</v>
      </c>
      <c r="K11" s="8">
        <f>Gas!E13</f>
        <v>551</v>
      </c>
      <c r="L11" s="8">
        <f>Gas!G13</f>
        <v>112</v>
      </c>
      <c r="M11" s="16">
        <f>Gas!I13</f>
        <v>18</v>
      </c>
      <c r="N11" s="16">
        <f>Gas!K13</f>
        <v>0</v>
      </c>
      <c r="O11" s="8">
        <f>Gas!M13</f>
        <v>0</v>
      </c>
      <c r="P11" s="8">
        <f>Gas!O13</f>
        <v>20</v>
      </c>
      <c r="Q11" s="8">
        <f>Gas!Q13</f>
        <v>0</v>
      </c>
      <c r="R11" s="8">
        <f>Gas!S13</f>
        <v>216</v>
      </c>
      <c r="S11" s="8">
        <f>Gas!U13</f>
        <v>18</v>
      </c>
      <c r="T11" s="8">
        <f>Gas!W13</f>
        <v>27</v>
      </c>
      <c r="U11" s="8">
        <f>Gas!Y13</f>
        <v>0</v>
      </c>
      <c r="V11" s="8">
        <f>Gas!AA13</f>
        <v>129</v>
      </c>
      <c r="W11" s="8">
        <f>Gas!AC13</f>
        <v>0</v>
      </c>
      <c r="X11" s="7">
        <f>ELECT.!B15</f>
        <v>67</v>
      </c>
    </row>
    <row r="12" spans="1:24">
      <c r="A12" s="11" t="s">
        <v>11</v>
      </c>
      <c r="B12" s="14">
        <f t="shared" si="0"/>
        <v>11</v>
      </c>
      <c r="C12" s="14">
        <v>10</v>
      </c>
      <c r="D12" s="14">
        <v>2020</v>
      </c>
      <c r="E12" s="7">
        <f>Water!C15</f>
        <v>190</v>
      </c>
      <c r="F12" s="7">
        <f>Water!E15</f>
        <v>398</v>
      </c>
      <c r="G12" s="7">
        <f>ELECT.!D16</f>
        <v>4229</v>
      </c>
      <c r="H12" s="7">
        <f>ELECT.!F16</f>
        <v>8240</v>
      </c>
      <c r="I12" s="7">
        <f>ELECT.!H16</f>
        <v>4879</v>
      </c>
      <c r="J12" s="8">
        <f>Gas!C14</f>
        <v>239</v>
      </c>
      <c r="K12" s="8">
        <f>Gas!E14</f>
        <v>606</v>
      </c>
      <c r="L12" s="8">
        <f>Gas!G14</f>
        <v>129</v>
      </c>
      <c r="M12" s="16">
        <f>Gas!I14</f>
        <v>17</v>
      </c>
      <c r="N12" s="16">
        <f>Gas!K14</f>
        <v>0</v>
      </c>
      <c r="O12" s="8">
        <f>Gas!M14</f>
        <v>0</v>
      </c>
      <c r="P12" s="8">
        <f>Gas!O14</f>
        <v>77</v>
      </c>
      <c r="Q12" s="8">
        <f>Gas!Q14</f>
        <v>0</v>
      </c>
      <c r="R12" s="8">
        <f>Gas!S14</f>
        <v>310</v>
      </c>
      <c r="S12" s="8">
        <f>Gas!U14</f>
        <v>20</v>
      </c>
      <c r="T12" s="8">
        <f>Gas!W14</f>
        <v>29</v>
      </c>
      <c r="U12" s="8">
        <f>Gas!Y14</f>
        <v>0</v>
      </c>
      <c r="V12" s="8">
        <f>Gas!AA14</f>
        <v>122</v>
      </c>
      <c r="W12" s="8">
        <f>Gas!AC14</f>
        <v>0</v>
      </c>
      <c r="X12" s="7">
        <f>ELECT.!B16</f>
        <v>75</v>
      </c>
    </row>
    <row r="13" spans="1:24">
      <c r="A13" s="11" t="s">
        <v>11</v>
      </c>
      <c r="B13" s="14">
        <f t="shared" si="0"/>
        <v>12</v>
      </c>
      <c r="C13" s="14">
        <v>10</v>
      </c>
      <c r="D13" s="14">
        <v>2020</v>
      </c>
      <c r="E13" s="7">
        <f>Water!C16</f>
        <v>200</v>
      </c>
      <c r="F13" s="7">
        <f>Water!E16</f>
        <v>393</v>
      </c>
      <c r="G13" s="7">
        <f>ELECT.!D17</f>
        <v>4584</v>
      </c>
      <c r="H13" s="7">
        <f>ELECT.!F17</f>
        <v>8347</v>
      </c>
      <c r="I13" s="7">
        <f>ELECT.!H17</f>
        <v>5230</v>
      </c>
      <c r="J13" s="8">
        <f>Gas!C15</f>
        <v>260</v>
      </c>
      <c r="K13" s="8">
        <f>Gas!E15</f>
        <v>559</v>
      </c>
      <c r="L13" s="8">
        <f>Gas!G15</f>
        <v>74</v>
      </c>
      <c r="M13" s="16">
        <f>Gas!I15</f>
        <v>22</v>
      </c>
      <c r="N13" s="16">
        <f>Gas!K15</f>
        <v>0</v>
      </c>
      <c r="O13" s="8">
        <f>Gas!M15</f>
        <v>0</v>
      </c>
      <c r="P13" s="8">
        <f>Gas!O15</f>
        <v>42</v>
      </c>
      <c r="Q13" s="8">
        <f>Gas!Q15</f>
        <v>0</v>
      </c>
      <c r="R13" s="8">
        <f>Gas!S15</f>
        <v>242</v>
      </c>
      <c r="S13" s="8">
        <f>Gas!U15</f>
        <v>22</v>
      </c>
      <c r="T13" s="8">
        <f>Gas!W15</f>
        <v>54</v>
      </c>
      <c r="U13" s="8">
        <f>Gas!Y15</f>
        <v>0</v>
      </c>
      <c r="V13" s="8">
        <f>Gas!AA15</f>
        <v>120</v>
      </c>
      <c r="W13" s="8">
        <f>Gas!AC15</f>
        <v>0</v>
      </c>
      <c r="X13" s="7">
        <f>ELECT.!B17</f>
        <v>52</v>
      </c>
    </row>
    <row r="14" spans="1:24">
      <c r="A14" s="11" t="s">
        <v>11</v>
      </c>
      <c r="B14" s="14">
        <f t="shared" si="0"/>
        <v>13</v>
      </c>
      <c r="C14" s="14">
        <v>10</v>
      </c>
      <c r="D14" s="14">
        <v>2020</v>
      </c>
      <c r="E14" s="7">
        <f>Water!C17</f>
        <v>170</v>
      </c>
      <c r="F14" s="7">
        <f>Water!E17</f>
        <v>386</v>
      </c>
      <c r="G14" s="7">
        <f>ELECT.!D18</f>
        <v>3799</v>
      </c>
      <c r="H14" s="7">
        <f>ELECT.!F18</f>
        <v>7576</v>
      </c>
      <c r="I14" s="7">
        <f>ELECT.!H18</f>
        <v>4651</v>
      </c>
      <c r="J14" s="8">
        <f>Gas!C16</f>
        <v>205</v>
      </c>
      <c r="K14" s="8">
        <f>Gas!E16</f>
        <v>562</v>
      </c>
      <c r="L14" s="8">
        <f>Gas!G16</f>
        <v>115</v>
      </c>
      <c r="M14" s="16">
        <f>Gas!I16</f>
        <v>24</v>
      </c>
      <c r="N14" s="16">
        <f>Gas!K16</f>
        <v>0</v>
      </c>
      <c r="O14" s="8">
        <f>Gas!M16</f>
        <v>0</v>
      </c>
      <c r="P14" s="8">
        <f>Gas!O16</f>
        <v>35</v>
      </c>
      <c r="Q14" s="8">
        <f>Gas!Q16</f>
        <v>0</v>
      </c>
      <c r="R14" s="8">
        <f>Gas!S16</f>
        <v>166</v>
      </c>
      <c r="S14" s="8">
        <f>Gas!U16</f>
        <v>20</v>
      </c>
      <c r="T14" s="8">
        <f>Gas!W16</f>
        <v>56</v>
      </c>
      <c r="U14" s="8">
        <f>Gas!Y16</f>
        <v>0</v>
      </c>
      <c r="V14" s="8">
        <f>Gas!AA16</f>
        <v>97</v>
      </c>
      <c r="W14" s="8">
        <f>Gas!AC16</f>
        <v>0</v>
      </c>
      <c r="X14" s="7">
        <f>ELECT.!B18</f>
        <v>56</v>
      </c>
    </row>
    <row r="15" spans="1:24">
      <c r="A15" s="11" t="s">
        <v>11</v>
      </c>
      <c r="B15" s="14">
        <f t="shared" si="0"/>
        <v>14</v>
      </c>
      <c r="C15" s="14">
        <v>10</v>
      </c>
      <c r="D15" s="14">
        <v>2020</v>
      </c>
      <c r="E15" s="7">
        <f>Water!C18</f>
        <v>170</v>
      </c>
      <c r="F15" s="7">
        <f>Water!E18</f>
        <v>371</v>
      </c>
      <c r="G15" s="7">
        <f>ELECT.!D19</f>
        <v>4349</v>
      </c>
      <c r="H15" s="7">
        <f>ELECT.!F19</f>
        <v>8715</v>
      </c>
      <c r="I15" s="7">
        <f>ELECT.!H19</f>
        <v>5127</v>
      </c>
      <c r="J15" s="8">
        <f>Gas!C17</f>
        <v>256</v>
      </c>
      <c r="K15" s="8">
        <f>Gas!E17</f>
        <v>476</v>
      </c>
      <c r="L15" s="8">
        <f>Gas!G17</f>
        <v>104</v>
      </c>
      <c r="M15" s="16">
        <f>Gas!I17</f>
        <v>24</v>
      </c>
      <c r="N15" s="16">
        <f>Gas!K17</f>
        <v>0</v>
      </c>
      <c r="O15" s="8">
        <f>Gas!M17</f>
        <v>0</v>
      </c>
      <c r="P15" s="8">
        <f>Gas!O17</f>
        <v>69</v>
      </c>
      <c r="Q15" s="8">
        <f>Gas!Q17</f>
        <v>0</v>
      </c>
      <c r="R15" s="8">
        <f>Gas!S17</f>
        <v>174</v>
      </c>
      <c r="S15" s="8">
        <f>Gas!U17</f>
        <v>29</v>
      </c>
      <c r="T15" s="8">
        <f>Gas!W17</f>
        <v>51</v>
      </c>
      <c r="U15" s="8">
        <f>Gas!Y17</f>
        <v>0</v>
      </c>
      <c r="V15" s="8">
        <f>Gas!AA17</f>
        <v>103</v>
      </c>
      <c r="W15" s="8">
        <f>Gas!AC17</f>
        <v>0</v>
      </c>
      <c r="X15" s="7">
        <f>ELECT.!B19</f>
        <v>48</v>
      </c>
    </row>
    <row r="16" spans="1:24">
      <c r="A16" s="11" t="s">
        <v>11</v>
      </c>
      <c r="B16" s="14">
        <f t="shared" si="0"/>
        <v>15</v>
      </c>
      <c r="C16" s="14">
        <v>10</v>
      </c>
      <c r="D16" s="14">
        <v>2020</v>
      </c>
      <c r="E16" s="7">
        <f>Water!C19</f>
        <v>200</v>
      </c>
      <c r="F16" s="7">
        <f>Water!E19</f>
        <v>213</v>
      </c>
      <c r="G16" s="7">
        <f>ELECT.!D20</f>
        <v>4501</v>
      </c>
      <c r="H16" s="7">
        <f>ELECT.!F20</f>
        <v>9420</v>
      </c>
      <c r="I16" s="7">
        <f>ELECT.!H20</f>
        <v>6256</v>
      </c>
      <c r="J16" s="8">
        <f>Gas!C18</f>
        <v>209</v>
      </c>
      <c r="K16" s="8">
        <f>Gas!E18</f>
        <v>632</v>
      </c>
      <c r="L16" s="8">
        <f>Gas!G18</f>
        <v>97</v>
      </c>
      <c r="M16" s="16">
        <f>Gas!I18</f>
        <v>22</v>
      </c>
      <c r="N16" s="16">
        <f>Gas!K18</f>
        <v>0</v>
      </c>
      <c r="O16" s="8">
        <f>Gas!M18</f>
        <v>0</v>
      </c>
      <c r="P16" s="8">
        <f>Gas!O18</f>
        <v>72</v>
      </c>
      <c r="Q16" s="8">
        <f>Gas!Q18</f>
        <v>0</v>
      </c>
      <c r="R16" s="8">
        <f>Gas!S18</f>
        <v>169</v>
      </c>
      <c r="S16" s="8">
        <f>Gas!U18</f>
        <v>25</v>
      </c>
      <c r="T16" s="8">
        <f>Gas!W18</f>
        <v>56</v>
      </c>
      <c r="U16" s="8">
        <f>Gas!Y18</f>
        <v>0</v>
      </c>
      <c r="V16" s="8">
        <f>Gas!AA18</f>
        <v>86</v>
      </c>
      <c r="W16" s="8">
        <f>Gas!AC18</f>
        <v>0</v>
      </c>
      <c r="X16" s="7">
        <f>ELECT.!B20</f>
        <v>60</v>
      </c>
    </row>
    <row r="17" spans="1:24">
      <c r="A17" s="11" t="s">
        <v>11</v>
      </c>
      <c r="B17" s="14">
        <f t="shared" si="0"/>
        <v>16</v>
      </c>
      <c r="C17" s="14">
        <v>10</v>
      </c>
      <c r="D17" s="14">
        <v>2020</v>
      </c>
      <c r="E17" s="7">
        <f>Water!C20</f>
        <v>200</v>
      </c>
      <c r="F17" s="7">
        <f>Water!E20</f>
        <v>381</v>
      </c>
      <c r="G17" s="7">
        <f>ELECT.!D21</f>
        <v>4106</v>
      </c>
      <c r="H17" s="7">
        <f>ELECT.!F21</f>
        <v>8068</v>
      </c>
      <c r="I17" s="7">
        <f>ELECT.!H21</f>
        <v>5680</v>
      </c>
      <c r="J17" s="8">
        <f>Gas!C19</f>
        <v>263</v>
      </c>
      <c r="K17" s="8">
        <f>Gas!E19</f>
        <v>469</v>
      </c>
      <c r="L17" s="8">
        <f>Gas!G19</f>
        <v>132</v>
      </c>
      <c r="M17" s="16">
        <f>Gas!I19</f>
        <v>34</v>
      </c>
      <c r="N17" s="16">
        <f>Gas!K19</f>
        <v>0</v>
      </c>
      <c r="O17" s="8">
        <f>Gas!M19</f>
        <v>0</v>
      </c>
      <c r="P17" s="8">
        <f>Gas!O19</f>
        <v>69</v>
      </c>
      <c r="Q17" s="8">
        <f>Gas!Q19</f>
        <v>0</v>
      </c>
      <c r="R17" s="8">
        <f>Gas!S19</f>
        <v>222</v>
      </c>
      <c r="S17" s="8">
        <f>Gas!U19</f>
        <v>23</v>
      </c>
      <c r="T17" s="8">
        <f>Gas!W19</f>
        <v>59</v>
      </c>
      <c r="U17" s="8">
        <f>Gas!Y19</f>
        <v>0</v>
      </c>
      <c r="V17" s="8">
        <f>Gas!AA19</f>
        <v>127</v>
      </c>
      <c r="W17" s="8">
        <f>Gas!AC19</f>
        <v>0</v>
      </c>
      <c r="X17" s="7">
        <f>ELECT.!B21</f>
        <v>62</v>
      </c>
    </row>
    <row r="18" spans="1:24">
      <c r="A18" s="11" t="s">
        <v>11</v>
      </c>
      <c r="B18" s="14">
        <f t="shared" si="0"/>
        <v>17</v>
      </c>
      <c r="C18" s="14">
        <v>10</v>
      </c>
      <c r="D18" s="14">
        <v>2020</v>
      </c>
      <c r="E18" s="7">
        <f>Water!C21</f>
        <v>220</v>
      </c>
      <c r="F18" s="7">
        <f>Water!E21</f>
        <v>451</v>
      </c>
      <c r="G18" s="7">
        <f>ELECT.!D22</f>
        <v>4098</v>
      </c>
      <c r="H18" s="7">
        <f>ELECT.!F22</f>
        <v>7250</v>
      </c>
      <c r="I18" s="7">
        <f>ELECT.!H22</f>
        <v>5287</v>
      </c>
      <c r="J18" s="8">
        <f>Gas!C20</f>
        <v>245</v>
      </c>
      <c r="K18" s="8">
        <f>Gas!E20</f>
        <v>536</v>
      </c>
      <c r="L18" s="8">
        <f>Gas!G20</f>
        <v>60</v>
      </c>
      <c r="M18" s="16">
        <f>Gas!I20</f>
        <v>22</v>
      </c>
      <c r="N18" s="16">
        <f>Gas!K20</f>
        <v>0</v>
      </c>
      <c r="O18" s="8">
        <f>Gas!M20</f>
        <v>0</v>
      </c>
      <c r="P18" s="8">
        <f>Gas!O20</f>
        <v>59</v>
      </c>
      <c r="Q18" s="8">
        <f>Gas!Q20</f>
        <v>0</v>
      </c>
      <c r="R18" s="8">
        <f>Gas!S20</f>
        <v>216</v>
      </c>
      <c r="S18" s="8">
        <f>Gas!U20</f>
        <v>26</v>
      </c>
      <c r="T18" s="8">
        <f>Gas!W20</f>
        <v>55</v>
      </c>
      <c r="U18" s="8">
        <f>Gas!Y20</f>
        <v>0</v>
      </c>
      <c r="V18" s="8">
        <f>Gas!AA20</f>
        <v>97</v>
      </c>
      <c r="W18" s="8">
        <f>Gas!AC20</f>
        <v>0</v>
      </c>
      <c r="X18" s="7">
        <f>ELECT.!B22</f>
        <v>58</v>
      </c>
    </row>
    <row r="19" spans="1:24">
      <c r="A19" s="11" t="s">
        <v>11</v>
      </c>
      <c r="B19" s="14">
        <f t="shared" si="0"/>
        <v>18</v>
      </c>
      <c r="C19" s="14">
        <v>10</v>
      </c>
      <c r="D19" s="14">
        <v>2020</v>
      </c>
      <c r="E19" s="7">
        <f>Water!C22</f>
        <v>180</v>
      </c>
      <c r="F19" s="7">
        <f>Water!E22</f>
        <v>359</v>
      </c>
      <c r="G19" s="7">
        <f>ELECT.!D23</f>
        <v>4713</v>
      </c>
      <c r="H19" s="7">
        <f>ELECT.!F23</f>
        <v>8221</v>
      </c>
      <c r="I19" s="7">
        <f>ELECT.!H23</f>
        <v>5496</v>
      </c>
      <c r="J19" s="8">
        <f>Gas!C21</f>
        <v>234</v>
      </c>
      <c r="K19" s="8">
        <f>Gas!E21</f>
        <v>532</v>
      </c>
      <c r="L19" s="8">
        <f>Gas!G21</f>
        <v>75</v>
      </c>
      <c r="M19" s="16">
        <f>Gas!I21</f>
        <v>19</v>
      </c>
      <c r="N19" s="16">
        <f>Gas!K21</f>
        <v>0</v>
      </c>
      <c r="O19" s="8">
        <f>Gas!M21</f>
        <v>0</v>
      </c>
      <c r="P19" s="8">
        <f>Gas!O21</f>
        <v>58</v>
      </c>
      <c r="Q19" s="8">
        <f>Gas!Q21</f>
        <v>0</v>
      </c>
      <c r="R19" s="8">
        <f>Gas!S21</f>
        <v>205</v>
      </c>
      <c r="S19" s="8">
        <f>Gas!U21</f>
        <v>23</v>
      </c>
      <c r="T19" s="8">
        <f>Gas!W21</f>
        <v>56</v>
      </c>
      <c r="U19" s="8">
        <f>Gas!Y21</f>
        <v>0</v>
      </c>
      <c r="V19" s="8">
        <f>Gas!AA21</f>
        <v>88</v>
      </c>
      <c r="W19" s="8">
        <f>Gas!AC21</f>
        <v>0</v>
      </c>
      <c r="X19" s="7">
        <f>ELECT.!B23</f>
        <v>54</v>
      </c>
    </row>
    <row r="20" spans="1:24">
      <c r="A20" s="11" t="s">
        <v>11</v>
      </c>
      <c r="B20" s="14">
        <f t="shared" si="0"/>
        <v>19</v>
      </c>
      <c r="C20" s="14">
        <v>10</v>
      </c>
      <c r="D20" s="14">
        <v>2020</v>
      </c>
      <c r="E20" s="7">
        <f>Water!C23</f>
        <v>130</v>
      </c>
      <c r="F20" s="7">
        <f>Water!E23</f>
        <v>392</v>
      </c>
      <c r="G20" s="7">
        <f>ELECT.!D24</f>
        <v>3947</v>
      </c>
      <c r="H20" s="7">
        <f>ELECT.!F24</f>
        <v>8462</v>
      </c>
      <c r="I20" s="7">
        <f>ELECT.!H24</f>
        <v>4996</v>
      </c>
      <c r="J20" s="8">
        <f>Gas!C22</f>
        <v>249</v>
      </c>
      <c r="K20" s="8">
        <f>Gas!E22</f>
        <v>567</v>
      </c>
      <c r="L20" s="8">
        <f>Gas!G22</f>
        <v>0</v>
      </c>
      <c r="M20" s="16">
        <f>Gas!I22</f>
        <v>22</v>
      </c>
      <c r="N20" s="16">
        <f>Gas!K22</f>
        <v>8</v>
      </c>
      <c r="O20" s="8">
        <f>Gas!M22</f>
        <v>0</v>
      </c>
      <c r="P20" s="8">
        <f>Gas!O22</f>
        <v>50</v>
      </c>
      <c r="Q20" s="8">
        <f>Gas!Q22</f>
        <v>0</v>
      </c>
      <c r="R20" s="8">
        <f>Gas!S22</f>
        <v>200</v>
      </c>
      <c r="S20" s="8">
        <f>Gas!U22</f>
        <v>22</v>
      </c>
      <c r="T20" s="8">
        <f>Gas!W22</f>
        <v>54</v>
      </c>
      <c r="U20" s="8">
        <f>Gas!Y22</f>
        <v>0</v>
      </c>
      <c r="V20" s="8">
        <f>Gas!AA22</f>
        <v>81</v>
      </c>
      <c r="W20" s="8">
        <f>Gas!AC22</f>
        <v>0</v>
      </c>
      <c r="X20" s="7">
        <f>ELECT.!B24</f>
        <v>52</v>
      </c>
    </row>
    <row r="21" spans="1:24">
      <c r="A21" s="11" t="s">
        <v>11</v>
      </c>
      <c r="B21" s="14">
        <f t="shared" si="0"/>
        <v>20</v>
      </c>
      <c r="C21" s="14">
        <v>10</v>
      </c>
      <c r="D21" s="14">
        <v>2020</v>
      </c>
      <c r="E21" s="7">
        <f>Water!C24</f>
        <v>170</v>
      </c>
      <c r="F21" s="7">
        <f>Water!E24</f>
        <v>378</v>
      </c>
      <c r="G21" s="7">
        <f>ELECT.!D25</f>
        <v>3986</v>
      </c>
      <c r="H21" s="7">
        <f>ELECT.!F25</f>
        <v>8206</v>
      </c>
      <c r="I21" s="7">
        <f>ELECT.!H25</f>
        <v>4927</v>
      </c>
      <c r="J21" s="8">
        <f>Gas!C23</f>
        <v>206</v>
      </c>
      <c r="K21" s="8">
        <f>Gas!E23</f>
        <v>527</v>
      </c>
      <c r="L21" s="8">
        <f>Gas!G23</f>
        <v>0</v>
      </c>
      <c r="M21" s="16">
        <f>Gas!I23</f>
        <v>26</v>
      </c>
      <c r="N21" s="16">
        <f>Gas!K23</f>
        <v>0</v>
      </c>
      <c r="O21" s="8">
        <f>Gas!M23</f>
        <v>0</v>
      </c>
      <c r="P21" s="8">
        <f>Gas!O23</f>
        <v>151</v>
      </c>
      <c r="Q21" s="8">
        <f>Gas!Q23</f>
        <v>0</v>
      </c>
      <c r="R21" s="8">
        <f>Gas!S23</f>
        <v>164</v>
      </c>
      <c r="S21" s="8">
        <f>Gas!U23</f>
        <v>17</v>
      </c>
      <c r="T21" s="8">
        <f>Gas!W23</f>
        <v>53</v>
      </c>
      <c r="U21" s="8">
        <f>Gas!Y23</f>
        <v>0</v>
      </c>
      <c r="V21" s="8">
        <f>Gas!AA23</f>
        <v>129</v>
      </c>
      <c r="W21" s="8">
        <f>Gas!AC23</f>
        <v>0</v>
      </c>
      <c r="X21" s="7">
        <f>ELECT.!B25</f>
        <v>50</v>
      </c>
    </row>
    <row r="22" spans="1:24">
      <c r="A22" s="11" t="s">
        <v>11</v>
      </c>
      <c r="B22" s="14">
        <f t="shared" si="0"/>
        <v>21</v>
      </c>
      <c r="C22" s="14">
        <v>10</v>
      </c>
      <c r="D22" s="14">
        <v>2020</v>
      </c>
      <c r="E22" s="7">
        <f>Water!C25</f>
        <v>190</v>
      </c>
      <c r="F22" s="7">
        <f>Water!E25</f>
        <v>413</v>
      </c>
      <c r="G22" s="7">
        <f>ELECT.!D26</f>
        <v>4118</v>
      </c>
      <c r="H22" s="7">
        <f>ELECT.!F26</f>
        <v>7648</v>
      </c>
      <c r="I22" s="7">
        <f>ELECT.!H26</f>
        <v>4709</v>
      </c>
      <c r="J22" s="8">
        <f>Gas!C24</f>
        <v>251</v>
      </c>
      <c r="K22" s="8">
        <f>Gas!E24</f>
        <v>523</v>
      </c>
      <c r="L22" s="8">
        <f>Gas!G24</f>
        <v>0</v>
      </c>
      <c r="M22" s="16">
        <f>Gas!I24</f>
        <v>23</v>
      </c>
      <c r="N22" s="16">
        <f>Gas!K24</f>
        <v>0</v>
      </c>
      <c r="O22" s="8">
        <f>Gas!M24</f>
        <v>0</v>
      </c>
      <c r="P22" s="8">
        <f>Gas!O24</f>
        <v>107</v>
      </c>
      <c r="Q22" s="8">
        <f>Gas!Q24</f>
        <v>0</v>
      </c>
      <c r="R22" s="8">
        <f>Gas!S24</f>
        <v>165</v>
      </c>
      <c r="S22" s="8">
        <f>Gas!U24</f>
        <v>23</v>
      </c>
      <c r="T22" s="8">
        <f>Gas!W24</f>
        <v>56</v>
      </c>
      <c r="U22" s="8">
        <f>Gas!Y24</f>
        <v>0</v>
      </c>
      <c r="V22" s="8">
        <f>Gas!AA24</f>
        <v>87</v>
      </c>
      <c r="W22" s="8">
        <f>Gas!AC24</f>
        <v>0</v>
      </c>
      <c r="X22" s="7">
        <f>ELECT.!B26</f>
        <v>46</v>
      </c>
    </row>
    <row r="23" spans="1:24">
      <c r="A23" s="11" t="s">
        <v>11</v>
      </c>
      <c r="B23" s="14">
        <f t="shared" si="0"/>
        <v>22</v>
      </c>
      <c r="C23" s="14">
        <v>10</v>
      </c>
      <c r="D23" s="14">
        <v>2020</v>
      </c>
      <c r="E23" s="7">
        <f>Water!C26</f>
        <v>180</v>
      </c>
      <c r="F23" s="7">
        <f>Water!E26</f>
        <v>323</v>
      </c>
      <c r="G23" s="7">
        <f>ELECT.!D27</f>
        <v>4521</v>
      </c>
      <c r="H23" s="7">
        <f>ELECT.!F27</f>
        <v>8581</v>
      </c>
      <c r="I23" s="7">
        <f>ELECT.!H27</f>
        <v>5338</v>
      </c>
      <c r="J23" s="8">
        <f>Gas!C25</f>
        <v>259</v>
      </c>
      <c r="K23" s="8">
        <f>Gas!E25</f>
        <v>564</v>
      </c>
      <c r="L23" s="8">
        <f>Gas!G25</f>
        <v>0</v>
      </c>
      <c r="M23" s="16">
        <f>Gas!I25</f>
        <v>28</v>
      </c>
      <c r="N23" s="16">
        <f>Gas!K25</f>
        <v>0</v>
      </c>
      <c r="O23" s="8">
        <f>Gas!M25</f>
        <v>0</v>
      </c>
      <c r="P23" s="8">
        <f>Gas!O25</f>
        <v>63</v>
      </c>
      <c r="Q23" s="8">
        <f>Gas!Q25</f>
        <v>0</v>
      </c>
      <c r="R23" s="8">
        <f>Gas!S25</f>
        <v>163</v>
      </c>
      <c r="S23" s="8">
        <f>Gas!U25</f>
        <v>25</v>
      </c>
      <c r="T23" s="8">
        <f>Gas!W25</f>
        <v>59</v>
      </c>
      <c r="U23" s="8">
        <f>Gas!Y25</f>
        <v>0</v>
      </c>
      <c r="V23" s="8">
        <f>Gas!AA25</f>
        <v>120</v>
      </c>
      <c r="W23" s="8">
        <f>Gas!AC25</f>
        <v>0</v>
      </c>
      <c r="X23" s="7">
        <f>ELECT.!B27</f>
        <v>61</v>
      </c>
    </row>
    <row r="24" spans="1:24">
      <c r="A24" s="11" t="s">
        <v>11</v>
      </c>
      <c r="B24" s="14">
        <f t="shared" si="0"/>
        <v>23</v>
      </c>
      <c r="C24" s="14">
        <v>10</v>
      </c>
      <c r="D24" s="14">
        <v>2020</v>
      </c>
      <c r="E24" s="7">
        <f>Water!C27</f>
        <v>220</v>
      </c>
      <c r="F24" s="7">
        <f>Water!E27</f>
        <v>338</v>
      </c>
      <c r="G24" s="7">
        <f>ELECT.!D28</f>
        <v>4296</v>
      </c>
      <c r="H24" s="7">
        <f>ELECT.!F28</f>
        <v>8761</v>
      </c>
      <c r="I24" s="7">
        <f>ELECT.!H28</f>
        <v>5293</v>
      </c>
      <c r="J24" s="8">
        <f>Gas!C26</f>
        <v>280</v>
      </c>
      <c r="K24" s="8">
        <f>Gas!E26</f>
        <v>625</v>
      </c>
      <c r="L24" s="8">
        <f>Gas!G26</f>
        <v>0</v>
      </c>
      <c r="M24" s="16">
        <f>Gas!I26</f>
        <v>33</v>
      </c>
      <c r="N24" s="16">
        <f>Gas!K26</f>
        <v>0</v>
      </c>
      <c r="O24" s="8">
        <f>Gas!M26</f>
        <v>0</v>
      </c>
      <c r="P24" s="8">
        <f>Gas!O26</f>
        <v>101</v>
      </c>
      <c r="Q24" s="8">
        <f>Gas!Q26</f>
        <v>0</v>
      </c>
      <c r="R24" s="8">
        <f>Gas!S26</f>
        <v>194</v>
      </c>
      <c r="S24" s="8">
        <f>Gas!U26</f>
        <v>25</v>
      </c>
      <c r="T24" s="8">
        <f>Gas!W26</f>
        <v>60</v>
      </c>
      <c r="U24" s="8">
        <f>Gas!Y26</f>
        <v>0</v>
      </c>
      <c r="V24" s="8">
        <f>Gas!AA26</f>
        <v>25</v>
      </c>
      <c r="W24" s="8">
        <f>Gas!AC26</f>
        <v>0</v>
      </c>
      <c r="X24" s="7">
        <f>ELECT.!B28</f>
        <v>60</v>
      </c>
    </row>
    <row r="25" spans="1:24">
      <c r="A25" s="11" t="s">
        <v>11</v>
      </c>
      <c r="B25" s="14">
        <f t="shared" si="0"/>
        <v>24</v>
      </c>
      <c r="C25" s="14">
        <v>10</v>
      </c>
      <c r="D25" s="14">
        <v>2020</v>
      </c>
      <c r="E25" s="7">
        <f>Water!C28</f>
        <v>230</v>
      </c>
      <c r="F25" s="7">
        <f>Water!E28</f>
        <v>298</v>
      </c>
      <c r="G25" s="7">
        <f>ELECT.!D29</f>
        <v>4595</v>
      </c>
      <c r="H25" s="7">
        <f>ELECT.!F29</f>
        <v>9002</v>
      </c>
      <c r="I25" s="7">
        <f>ELECT.!H29</f>
        <v>5813</v>
      </c>
      <c r="J25" s="8">
        <f>Gas!C27</f>
        <v>197</v>
      </c>
      <c r="K25" s="8">
        <f>Gas!E27</f>
        <v>600</v>
      </c>
      <c r="L25" s="8">
        <f>Gas!G27</f>
        <v>0</v>
      </c>
      <c r="M25" s="16">
        <f>Gas!I27</f>
        <v>24</v>
      </c>
      <c r="N25" s="16">
        <f>Gas!K27</f>
        <v>0</v>
      </c>
      <c r="O25" s="8">
        <f>Gas!M27</f>
        <v>0</v>
      </c>
      <c r="P25" s="8">
        <f>Gas!O27</f>
        <v>84</v>
      </c>
      <c r="Q25" s="8">
        <f>Gas!Q27</f>
        <v>37</v>
      </c>
      <c r="R25" s="8">
        <f>Gas!S27</f>
        <v>190</v>
      </c>
      <c r="S25" s="8">
        <f>Gas!U27</f>
        <v>26</v>
      </c>
      <c r="T25" s="8">
        <f>Gas!W27</f>
        <v>60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54</v>
      </c>
    </row>
    <row r="26" spans="1:24">
      <c r="A26" s="11" t="s">
        <v>11</v>
      </c>
      <c r="B26" s="14">
        <f>B25+1</f>
        <v>25</v>
      </c>
      <c r="C26" s="14">
        <v>10</v>
      </c>
      <c r="D26" s="14">
        <v>2020</v>
      </c>
      <c r="E26" s="7">
        <f>Water!C29</f>
        <v>200</v>
      </c>
      <c r="F26" s="7">
        <f>Water!E29</f>
        <v>245</v>
      </c>
      <c r="G26" s="7">
        <f>ELECT.!D30</f>
        <v>4644</v>
      </c>
      <c r="H26" s="7">
        <f>ELECT.!F30</f>
        <v>9337</v>
      </c>
      <c r="I26" s="7">
        <f>ELECT.!H30</f>
        <v>6163</v>
      </c>
      <c r="J26" s="8">
        <f>Gas!C28</f>
        <v>255</v>
      </c>
      <c r="K26" s="8">
        <f>Gas!E28</f>
        <v>603</v>
      </c>
      <c r="L26" s="8">
        <f>Gas!G28</f>
        <v>0</v>
      </c>
      <c r="M26" s="16">
        <f>Gas!I28</f>
        <v>26</v>
      </c>
      <c r="N26" s="16">
        <f>Gas!K28</f>
        <v>0</v>
      </c>
      <c r="O26" s="8">
        <f>Gas!M28</f>
        <v>0</v>
      </c>
      <c r="P26" s="8">
        <f>Gas!O28</f>
        <v>130</v>
      </c>
      <c r="Q26" s="8">
        <f>Gas!Q28</f>
        <v>30</v>
      </c>
      <c r="R26" s="8">
        <f>Gas!S28</f>
        <v>190</v>
      </c>
      <c r="S26" s="8">
        <f>Gas!U28</f>
        <v>20</v>
      </c>
      <c r="T26" s="8">
        <f>Gas!W28</f>
        <v>55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56</v>
      </c>
    </row>
    <row r="27" spans="1:24">
      <c r="A27" s="11" t="s">
        <v>11</v>
      </c>
      <c r="B27" s="14">
        <f t="shared" si="0"/>
        <v>26</v>
      </c>
      <c r="C27" s="14">
        <v>10</v>
      </c>
      <c r="D27" s="14">
        <v>2020</v>
      </c>
      <c r="E27" s="7">
        <f>Water!C30</f>
        <v>190</v>
      </c>
      <c r="F27" s="7">
        <f>Water!E30</f>
        <v>242</v>
      </c>
      <c r="G27" s="7">
        <f>ELECT.!D31</f>
        <v>5026</v>
      </c>
      <c r="H27" s="7">
        <f>ELECT.!F31</f>
        <v>10502</v>
      </c>
      <c r="I27" s="7">
        <f>ELECT.!H31</f>
        <v>6652</v>
      </c>
      <c r="J27" s="8">
        <f>Gas!C29</f>
        <v>199</v>
      </c>
      <c r="K27" s="8">
        <f>Gas!E29</f>
        <v>598</v>
      </c>
      <c r="L27" s="8">
        <f>Gas!G29</f>
        <v>0</v>
      </c>
      <c r="M27" s="16">
        <f>Gas!I29</f>
        <v>15</v>
      </c>
      <c r="N27" s="16">
        <f>Gas!K29</f>
        <v>0</v>
      </c>
      <c r="O27" s="8">
        <f>Gas!M29</f>
        <v>0</v>
      </c>
      <c r="P27" s="8">
        <f>Gas!O29</f>
        <v>97</v>
      </c>
      <c r="Q27" s="8">
        <f>Gas!Q29</f>
        <v>34</v>
      </c>
      <c r="R27" s="8">
        <f>Gas!S29</f>
        <v>189</v>
      </c>
      <c r="S27" s="8">
        <f>Gas!U29</f>
        <v>21</v>
      </c>
      <c r="T27" s="8">
        <f>Gas!W29</f>
        <v>54</v>
      </c>
      <c r="U27" s="8">
        <f>Gas!Y29</f>
        <v>0</v>
      </c>
      <c r="V27" s="8">
        <f>Gas!AA29</f>
        <v>46</v>
      </c>
      <c r="W27" s="8">
        <f>Gas!AC29</f>
        <v>0</v>
      </c>
      <c r="X27" s="7">
        <f>ELECT.!B31</f>
        <v>69</v>
      </c>
    </row>
    <row r="28" spans="1:24">
      <c r="A28" s="11" t="s">
        <v>11</v>
      </c>
      <c r="B28" s="14">
        <f t="shared" si="0"/>
        <v>27</v>
      </c>
      <c r="C28" s="14">
        <v>10</v>
      </c>
      <c r="D28" s="14">
        <v>2020</v>
      </c>
      <c r="E28" s="7">
        <f>Water!C31</f>
        <v>190</v>
      </c>
      <c r="F28" s="7">
        <f>Water!E31</f>
        <v>448</v>
      </c>
      <c r="G28" s="7">
        <f>ELECT.!D32</f>
        <v>3917</v>
      </c>
      <c r="H28" s="7">
        <f>ELECT.!F32</f>
        <v>7273</v>
      </c>
      <c r="I28" s="7">
        <f>ELECT.!H32</f>
        <v>4454</v>
      </c>
      <c r="J28" s="8">
        <f>Gas!C30</f>
        <v>236</v>
      </c>
      <c r="K28" s="8">
        <f>Gas!E30</f>
        <v>584</v>
      </c>
      <c r="L28" s="8">
        <f>Gas!G30</f>
        <v>0</v>
      </c>
      <c r="M28" s="16">
        <f>Gas!I30</f>
        <v>33</v>
      </c>
      <c r="N28" s="16">
        <f>Gas!K30</f>
        <v>0</v>
      </c>
      <c r="O28" s="8">
        <f>Gas!M30</f>
        <v>0</v>
      </c>
      <c r="P28" s="8">
        <f>Gas!O30</f>
        <v>108</v>
      </c>
      <c r="Q28" s="8">
        <f>Gas!Q30</f>
        <v>40</v>
      </c>
      <c r="R28" s="8">
        <f>Gas!S30</f>
        <v>176</v>
      </c>
      <c r="S28" s="8">
        <f>Gas!U30</f>
        <v>20</v>
      </c>
      <c r="T28" s="8">
        <f>Gas!W30</f>
        <v>56</v>
      </c>
      <c r="U28" s="8">
        <f>Gas!Y30</f>
        <v>0</v>
      </c>
      <c r="V28" s="8">
        <f>Gas!AA30</f>
        <v>168</v>
      </c>
      <c r="W28" s="8">
        <f>Gas!AC30</f>
        <v>0</v>
      </c>
      <c r="X28" s="7">
        <f>ELECT.!B32</f>
        <v>68</v>
      </c>
    </row>
    <row r="29" spans="1:24">
      <c r="A29" s="11" t="s">
        <v>11</v>
      </c>
      <c r="B29" s="14">
        <f t="shared" si="0"/>
        <v>28</v>
      </c>
      <c r="C29" s="14">
        <v>10</v>
      </c>
      <c r="D29" s="14">
        <v>2020</v>
      </c>
      <c r="E29" s="7">
        <f>Water!C32</f>
        <v>240</v>
      </c>
      <c r="F29" s="7">
        <f>Water!E32</f>
        <v>396</v>
      </c>
      <c r="G29" s="7">
        <f>ELECT.!D33</f>
        <v>4929</v>
      </c>
      <c r="H29" s="7">
        <f>ELECT.!F33</f>
        <v>9430</v>
      </c>
      <c r="I29" s="7">
        <f>ELECT.!H33</f>
        <v>6138</v>
      </c>
      <c r="J29" s="8">
        <f>Gas!C31</f>
        <v>226</v>
      </c>
      <c r="K29" s="8">
        <f>Gas!E31</f>
        <v>595</v>
      </c>
      <c r="L29" s="8">
        <f>Gas!G31</f>
        <v>0</v>
      </c>
      <c r="M29" s="16">
        <f>Gas!I31</f>
        <v>27</v>
      </c>
      <c r="N29" s="16">
        <f>Gas!K31</f>
        <v>0</v>
      </c>
      <c r="O29" s="8">
        <f>Gas!M31</f>
        <v>0</v>
      </c>
      <c r="P29" s="8">
        <f>Gas!O31</f>
        <v>153</v>
      </c>
      <c r="Q29" s="8">
        <f>Gas!Q31</f>
        <v>37</v>
      </c>
      <c r="R29" s="8">
        <f>Gas!S31</f>
        <v>173</v>
      </c>
      <c r="S29" s="8">
        <f>Gas!U31</f>
        <v>25</v>
      </c>
      <c r="T29" s="8">
        <f>Gas!W31</f>
        <v>54</v>
      </c>
      <c r="U29" s="8">
        <f>Gas!Y31</f>
        <v>0</v>
      </c>
      <c r="V29" s="8">
        <f>Gas!AA31</f>
        <v>37</v>
      </c>
      <c r="W29" s="8">
        <f>Gas!AC31</f>
        <v>0</v>
      </c>
      <c r="X29" s="7">
        <f>ELECT.!B33</f>
        <v>52</v>
      </c>
    </row>
    <row r="30" spans="1:24">
      <c r="A30" s="11" t="s">
        <v>11</v>
      </c>
      <c r="B30" s="14">
        <f t="shared" si="0"/>
        <v>29</v>
      </c>
      <c r="C30" s="14">
        <v>10</v>
      </c>
      <c r="D30" s="14">
        <v>2020</v>
      </c>
      <c r="E30" s="7">
        <f>Water!C33</f>
        <v>250</v>
      </c>
      <c r="F30" s="7">
        <f>Water!E33</f>
        <v>226</v>
      </c>
      <c r="G30" s="7">
        <f>ELECT.!D34</f>
        <v>4564</v>
      </c>
      <c r="H30" s="7">
        <f>ELECT.!F34</f>
        <v>9116</v>
      </c>
      <c r="I30" s="7">
        <f>ELECT.!H34</f>
        <v>5873</v>
      </c>
      <c r="J30" s="8">
        <f>Gas!C32</f>
        <v>271</v>
      </c>
      <c r="K30" s="8">
        <f>Gas!E32</f>
        <v>610</v>
      </c>
      <c r="L30" s="8">
        <f>Gas!G32</f>
        <v>0</v>
      </c>
      <c r="M30" s="16">
        <f>Gas!I32</f>
        <v>32</v>
      </c>
      <c r="N30" s="16">
        <f>Gas!K32</f>
        <v>0</v>
      </c>
      <c r="O30" s="8">
        <f>Gas!M32</f>
        <v>75</v>
      </c>
      <c r="P30" s="8">
        <f>Gas!O32</f>
        <v>192</v>
      </c>
      <c r="Q30" s="8">
        <f>Gas!Q32</f>
        <v>25</v>
      </c>
      <c r="R30" s="8">
        <f>Gas!S32</f>
        <v>231</v>
      </c>
      <c r="S30" s="8">
        <f>Gas!U32</f>
        <v>18</v>
      </c>
      <c r="T30" s="8">
        <f>Gas!W32</f>
        <v>56</v>
      </c>
      <c r="U30" s="8">
        <f>Gas!Y32</f>
        <v>0</v>
      </c>
      <c r="V30" s="8">
        <f>Gas!AA32</f>
        <v>0</v>
      </c>
      <c r="W30" s="8">
        <f>Gas!AC32</f>
        <v>0</v>
      </c>
      <c r="X30" s="7">
        <f>ELECT.!B34</f>
        <v>55</v>
      </c>
    </row>
    <row r="31" spans="1:24">
      <c r="A31" s="11" t="s">
        <v>11</v>
      </c>
      <c r="B31" s="14">
        <f t="shared" si="0"/>
        <v>30</v>
      </c>
      <c r="C31" s="14">
        <v>10</v>
      </c>
      <c r="D31" s="14">
        <v>2020</v>
      </c>
      <c r="E31" s="7">
        <f>Water!C34</f>
        <v>240</v>
      </c>
      <c r="F31" s="7">
        <f>Water!E34</f>
        <v>386</v>
      </c>
      <c r="G31" s="7">
        <f>ELECT.!D35</f>
        <v>4444</v>
      </c>
      <c r="H31" s="7">
        <f>ELECT.!F35</f>
        <v>9819</v>
      </c>
      <c r="I31" s="7">
        <f>ELECT.!H35</f>
        <v>6769</v>
      </c>
      <c r="J31" s="8">
        <f>Gas!C33</f>
        <v>307</v>
      </c>
      <c r="K31" s="8">
        <f>Gas!E33</f>
        <v>612</v>
      </c>
      <c r="L31" s="8">
        <f>Gas!G33</f>
        <v>0</v>
      </c>
      <c r="M31" s="16">
        <f>Gas!I33</f>
        <v>31</v>
      </c>
      <c r="N31" s="16">
        <f>Gas!K33</f>
        <v>0</v>
      </c>
      <c r="O31" s="8">
        <f>Gas!M33</f>
        <v>0</v>
      </c>
      <c r="P31" s="8">
        <f>Gas!O33</f>
        <v>165</v>
      </c>
      <c r="Q31" s="8">
        <f>Gas!Q33</f>
        <v>35</v>
      </c>
      <c r="R31" s="8">
        <f>Gas!S33</f>
        <v>247</v>
      </c>
      <c r="S31" s="8">
        <f>Gas!U33</f>
        <v>26</v>
      </c>
      <c r="T31" s="8">
        <f>Gas!W33</f>
        <v>62</v>
      </c>
      <c r="U31" s="8">
        <f>Gas!Y33</f>
        <v>0</v>
      </c>
      <c r="V31" s="8">
        <f>Gas!AA33</f>
        <v>0</v>
      </c>
      <c r="W31" s="8">
        <f>Gas!AC33</f>
        <v>0</v>
      </c>
      <c r="X31" s="7">
        <f>ELECT.!B35</f>
        <v>50</v>
      </c>
    </row>
    <row r="32" spans="1:24">
      <c r="A32" s="11" t="s">
        <v>11</v>
      </c>
      <c r="B32" s="14">
        <f t="shared" si="0"/>
        <v>31</v>
      </c>
      <c r="C32" s="14">
        <v>10</v>
      </c>
      <c r="D32" s="14">
        <v>2020</v>
      </c>
      <c r="E32" s="7">
        <f>Water!C35</f>
        <v>230</v>
      </c>
      <c r="F32" s="7">
        <f>Water!E35</f>
        <v>405</v>
      </c>
      <c r="G32" s="7">
        <f>ELECT.!D36</f>
        <v>5207</v>
      </c>
      <c r="H32" s="7">
        <f>ELECT.!F36</f>
        <v>9386</v>
      </c>
      <c r="I32" s="7">
        <f>ELECT.!H36</f>
        <v>6695</v>
      </c>
      <c r="J32" s="8">
        <f>Gas!C34</f>
        <v>257</v>
      </c>
      <c r="K32" s="8">
        <f>Gas!E34</f>
        <v>518</v>
      </c>
      <c r="L32" s="8">
        <f>Gas!G34</f>
        <v>0</v>
      </c>
      <c r="M32" s="16">
        <f>Gas!I34</f>
        <v>33</v>
      </c>
      <c r="N32" s="16">
        <f>Gas!K34</f>
        <v>0</v>
      </c>
      <c r="O32" s="8">
        <f>Gas!M34</f>
        <v>34</v>
      </c>
      <c r="P32" s="8">
        <f>Gas!O34</f>
        <v>45</v>
      </c>
      <c r="Q32" s="8">
        <f>Gas!Q34</f>
        <v>38</v>
      </c>
      <c r="R32" s="8">
        <f>Gas!S34</f>
        <v>233</v>
      </c>
      <c r="S32" s="8">
        <f>Gas!U34</f>
        <v>28</v>
      </c>
      <c r="T32" s="8">
        <f>Gas!W34</f>
        <v>54</v>
      </c>
      <c r="U32" s="8">
        <f>Gas!Y34</f>
        <v>0</v>
      </c>
      <c r="V32" s="8">
        <f>Gas!AA34</f>
        <v>0</v>
      </c>
      <c r="W32" s="8">
        <f>Gas!AC34</f>
        <v>0</v>
      </c>
      <c r="X32" s="7">
        <f>ELECT.!B36</f>
        <v>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53"/>
  <sheetViews>
    <sheetView topLeftCell="A28" zoomScale="60" zoomScaleNormal="60" workbookViewId="0">
      <selection activeCell="J37" sqref="J37"/>
    </sheetView>
  </sheetViews>
  <sheetFormatPr defaultColWidth="41.85546875" defaultRowHeight="15.75"/>
  <cols>
    <col min="1" max="1" width="19" style="4" bestFit="1" customWidth="1"/>
    <col min="2" max="2" width="19" style="25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6384" width="41.85546875" style="3"/>
  </cols>
  <sheetData>
    <row r="1" spans="1:9">
      <c r="A1" s="97" t="s">
        <v>32</v>
      </c>
      <c r="B1" s="98"/>
      <c r="C1" s="98"/>
      <c r="D1" s="98"/>
      <c r="E1" s="98"/>
      <c r="F1" s="98"/>
      <c r="G1" s="98"/>
      <c r="H1" s="98"/>
      <c r="I1" s="99"/>
    </row>
    <row r="2" spans="1:9" ht="15.75" customHeight="1">
      <c r="A2" s="100" t="s">
        <v>33</v>
      </c>
      <c r="B2" s="101"/>
      <c r="C2" s="101"/>
      <c r="D2" s="101"/>
      <c r="E2" s="101"/>
      <c r="F2" s="101"/>
      <c r="G2" s="101"/>
      <c r="H2" s="101"/>
      <c r="I2" s="102"/>
    </row>
    <row r="3" spans="1:9">
      <c r="A3" s="43" t="s">
        <v>1</v>
      </c>
      <c r="B3" s="44" t="s">
        <v>34</v>
      </c>
      <c r="C3" s="95" t="s">
        <v>35</v>
      </c>
      <c r="D3" s="37" t="s">
        <v>36</v>
      </c>
      <c r="E3" s="37" t="s">
        <v>37</v>
      </c>
      <c r="F3" s="96" t="s">
        <v>36</v>
      </c>
      <c r="G3" s="37" t="s">
        <v>38</v>
      </c>
      <c r="H3" s="30" t="s">
        <v>36</v>
      </c>
      <c r="I3" s="89" t="s">
        <v>39</v>
      </c>
    </row>
    <row r="4" spans="1:9">
      <c r="A4" s="42"/>
      <c r="B4" s="35"/>
      <c r="C4" s="39" t="s">
        <v>40</v>
      </c>
      <c r="D4" s="38" t="s">
        <v>36</v>
      </c>
      <c r="E4" s="38" t="s">
        <v>40</v>
      </c>
      <c r="F4" s="39" t="s">
        <v>36</v>
      </c>
      <c r="G4" s="38" t="s">
        <v>40</v>
      </c>
      <c r="H4" s="36" t="s">
        <v>36</v>
      </c>
      <c r="I4" s="90" t="s">
        <v>40</v>
      </c>
    </row>
    <row r="5" spans="1:9" ht="26.25">
      <c r="A5" s="34" t="s">
        <v>41</v>
      </c>
      <c r="B5" s="32">
        <v>74</v>
      </c>
      <c r="C5" s="94">
        <v>47472035</v>
      </c>
      <c r="D5" s="40">
        <v>0</v>
      </c>
      <c r="E5" s="94">
        <v>45121639</v>
      </c>
      <c r="F5" s="75">
        <v>0</v>
      </c>
      <c r="G5" s="94">
        <v>34258818</v>
      </c>
      <c r="H5" s="75">
        <v>0</v>
      </c>
      <c r="I5" s="91"/>
    </row>
    <row r="6" spans="1:9" ht="26.25">
      <c r="A6" s="31">
        <v>44105</v>
      </c>
      <c r="B6" s="33">
        <v>77</v>
      </c>
      <c r="C6" s="94">
        <v>47476461</v>
      </c>
      <c r="D6" s="41">
        <f t="shared" ref="D6:D36" si="0">IF((C6-C5)&lt;0,"0",(C6-C5))</f>
        <v>4426</v>
      </c>
      <c r="E6" s="94">
        <v>45130511</v>
      </c>
      <c r="F6" s="41">
        <f>IF((E6-E5)&lt;0,"0",(E6-E5))</f>
        <v>8872</v>
      </c>
      <c r="G6" s="94">
        <v>34264009</v>
      </c>
      <c r="H6" s="41">
        <f>IF((G6-G5)&lt;0,"0",(G6-G5))</f>
        <v>5191</v>
      </c>
      <c r="I6" s="92">
        <f>D6+F6+H6</f>
        <v>18489</v>
      </c>
    </row>
    <row r="7" spans="1:9" ht="26.25">
      <c r="A7" s="31">
        <v>44106</v>
      </c>
      <c r="B7" s="33">
        <v>65</v>
      </c>
      <c r="C7" s="94">
        <v>47480803</v>
      </c>
      <c r="D7" s="41">
        <f t="shared" si="0"/>
        <v>4342</v>
      </c>
      <c r="E7" s="94">
        <v>45139107</v>
      </c>
      <c r="F7" s="41">
        <f t="shared" ref="F7:F36" si="1">IF((E7-E6)&lt;0,"0",(E7-E6))</f>
        <v>8596</v>
      </c>
      <c r="G7" s="94">
        <v>34269186</v>
      </c>
      <c r="H7" s="41">
        <f t="shared" ref="H7:H36" si="2">IF((G7-G6)&lt;0,"0",(G7-G6))</f>
        <v>5177</v>
      </c>
      <c r="I7" s="92">
        <f t="shared" ref="I7:I36" si="3">D7+F7+H7</f>
        <v>18115</v>
      </c>
    </row>
    <row r="8" spans="1:9" ht="26.25">
      <c r="A8" s="31">
        <v>44107</v>
      </c>
      <c r="B8" s="33">
        <v>66</v>
      </c>
      <c r="C8" s="94">
        <v>47484872</v>
      </c>
      <c r="D8" s="41">
        <f t="shared" si="0"/>
        <v>4069</v>
      </c>
      <c r="E8" s="94">
        <v>45147280</v>
      </c>
      <c r="F8" s="41">
        <f t="shared" si="1"/>
        <v>8173</v>
      </c>
      <c r="G8" s="94">
        <v>34274116</v>
      </c>
      <c r="H8" s="41">
        <f t="shared" si="2"/>
        <v>4930</v>
      </c>
      <c r="I8" s="92">
        <f t="shared" si="3"/>
        <v>17172</v>
      </c>
    </row>
    <row r="9" spans="1:9" ht="26.25">
      <c r="A9" s="31">
        <v>44108</v>
      </c>
      <c r="B9" s="33">
        <v>70</v>
      </c>
      <c r="C9" s="94">
        <v>47489277</v>
      </c>
      <c r="D9" s="41">
        <f t="shared" si="0"/>
        <v>4405</v>
      </c>
      <c r="E9" s="94">
        <v>45156827</v>
      </c>
      <c r="F9" s="41">
        <f t="shared" si="1"/>
        <v>9547</v>
      </c>
      <c r="G9" s="94">
        <v>34279649</v>
      </c>
      <c r="H9" s="41">
        <f t="shared" si="2"/>
        <v>5533</v>
      </c>
      <c r="I9" s="92">
        <f t="shared" si="3"/>
        <v>19485</v>
      </c>
    </row>
    <row r="10" spans="1:9" ht="26.25">
      <c r="A10" s="31">
        <v>44109</v>
      </c>
      <c r="B10" s="33">
        <v>75</v>
      </c>
      <c r="C10" s="94">
        <v>47493364</v>
      </c>
      <c r="D10" s="41">
        <f t="shared" si="0"/>
        <v>4087</v>
      </c>
      <c r="E10" s="94">
        <v>45165490</v>
      </c>
      <c r="F10" s="41">
        <f t="shared" si="1"/>
        <v>8663</v>
      </c>
      <c r="G10" s="94">
        <v>34285326</v>
      </c>
      <c r="H10" s="41">
        <f t="shared" si="2"/>
        <v>5677</v>
      </c>
      <c r="I10" s="92">
        <f t="shared" si="3"/>
        <v>18427</v>
      </c>
    </row>
    <row r="11" spans="1:9" ht="26.25">
      <c r="A11" s="31">
        <v>44110</v>
      </c>
      <c r="B11" s="33">
        <v>77</v>
      </c>
      <c r="C11" s="94">
        <v>47497291</v>
      </c>
      <c r="D11" s="41">
        <f t="shared" si="0"/>
        <v>3927</v>
      </c>
      <c r="E11" s="94">
        <v>45173694</v>
      </c>
      <c r="F11" s="41">
        <f t="shared" si="1"/>
        <v>8204</v>
      </c>
      <c r="G11" s="94">
        <v>34290192</v>
      </c>
      <c r="H11" s="41">
        <f t="shared" si="2"/>
        <v>4866</v>
      </c>
      <c r="I11" s="92">
        <f t="shared" si="3"/>
        <v>16997</v>
      </c>
    </row>
    <row r="12" spans="1:9" ht="26.25">
      <c r="A12" s="31">
        <v>44111</v>
      </c>
      <c r="B12" s="33">
        <v>60</v>
      </c>
      <c r="C12" s="94">
        <v>47501069</v>
      </c>
      <c r="D12" s="41">
        <f t="shared" si="0"/>
        <v>3778</v>
      </c>
      <c r="E12" s="94">
        <v>45182166</v>
      </c>
      <c r="F12" s="41">
        <f t="shared" si="1"/>
        <v>8472</v>
      </c>
      <c r="G12" s="94">
        <v>34295672</v>
      </c>
      <c r="H12" s="41">
        <f t="shared" si="2"/>
        <v>5480</v>
      </c>
      <c r="I12" s="92">
        <f t="shared" si="3"/>
        <v>17730</v>
      </c>
    </row>
    <row r="13" spans="1:9" ht="26.25">
      <c r="A13" s="31">
        <v>44112</v>
      </c>
      <c r="B13" s="33">
        <v>61</v>
      </c>
      <c r="C13" s="94">
        <v>47505299</v>
      </c>
      <c r="D13" s="41">
        <f t="shared" si="0"/>
        <v>4230</v>
      </c>
      <c r="E13" s="94">
        <v>45191755</v>
      </c>
      <c r="F13" s="41">
        <f t="shared" si="1"/>
        <v>9589</v>
      </c>
      <c r="G13" s="94">
        <v>34300937</v>
      </c>
      <c r="H13" s="41">
        <f t="shared" si="2"/>
        <v>5265</v>
      </c>
      <c r="I13" s="92">
        <f t="shared" si="3"/>
        <v>19084</v>
      </c>
    </row>
    <row r="14" spans="1:9" ht="17.25" customHeight="1">
      <c r="A14" s="31">
        <v>44113</v>
      </c>
      <c r="B14" s="33">
        <v>52</v>
      </c>
      <c r="C14" s="94">
        <v>47509516</v>
      </c>
      <c r="D14" s="41">
        <f t="shared" si="0"/>
        <v>4217</v>
      </c>
      <c r="E14" s="94">
        <v>45200613</v>
      </c>
      <c r="F14" s="41">
        <f t="shared" si="1"/>
        <v>8858</v>
      </c>
      <c r="G14" s="94">
        <v>34307180</v>
      </c>
      <c r="H14" s="41">
        <f t="shared" si="2"/>
        <v>6243</v>
      </c>
      <c r="I14" s="92">
        <f t="shared" si="3"/>
        <v>19318</v>
      </c>
    </row>
    <row r="15" spans="1:9" ht="26.25">
      <c r="A15" s="31">
        <v>44114</v>
      </c>
      <c r="B15" s="33">
        <v>67</v>
      </c>
      <c r="C15" s="94">
        <v>47513709</v>
      </c>
      <c r="D15" s="41">
        <f t="shared" si="0"/>
        <v>4193</v>
      </c>
      <c r="E15" s="94">
        <v>45208928</v>
      </c>
      <c r="F15" s="41">
        <f t="shared" si="1"/>
        <v>8315</v>
      </c>
      <c r="G15" s="94">
        <v>34312040</v>
      </c>
      <c r="H15" s="41">
        <f t="shared" si="2"/>
        <v>4860</v>
      </c>
      <c r="I15" s="92">
        <f t="shared" si="3"/>
        <v>17368</v>
      </c>
    </row>
    <row r="16" spans="1:9" ht="26.25">
      <c r="A16" s="31">
        <v>44115</v>
      </c>
      <c r="B16" s="33">
        <v>75</v>
      </c>
      <c r="C16" s="94">
        <v>47517938</v>
      </c>
      <c r="D16" s="41">
        <f t="shared" si="0"/>
        <v>4229</v>
      </c>
      <c r="E16" s="94">
        <v>45217168</v>
      </c>
      <c r="F16" s="41">
        <f t="shared" si="1"/>
        <v>8240</v>
      </c>
      <c r="G16" s="94">
        <v>34316919</v>
      </c>
      <c r="H16" s="41">
        <f t="shared" si="2"/>
        <v>4879</v>
      </c>
      <c r="I16" s="92">
        <f t="shared" si="3"/>
        <v>17348</v>
      </c>
    </row>
    <row r="17" spans="1:9" ht="26.25">
      <c r="A17" s="31">
        <v>44116</v>
      </c>
      <c r="B17" s="33">
        <v>52</v>
      </c>
      <c r="C17" s="94">
        <v>47522522</v>
      </c>
      <c r="D17" s="41">
        <f t="shared" si="0"/>
        <v>4584</v>
      </c>
      <c r="E17" s="94">
        <v>45225515</v>
      </c>
      <c r="F17" s="41">
        <f t="shared" si="1"/>
        <v>8347</v>
      </c>
      <c r="G17" s="94">
        <v>34322149</v>
      </c>
      <c r="H17" s="41">
        <f t="shared" si="2"/>
        <v>5230</v>
      </c>
      <c r="I17" s="92">
        <f t="shared" si="3"/>
        <v>18161</v>
      </c>
    </row>
    <row r="18" spans="1:9" ht="26.25">
      <c r="A18" s="31">
        <v>44117</v>
      </c>
      <c r="B18" s="33">
        <v>56</v>
      </c>
      <c r="C18" s="94">
        <v>47526321</v>
      </c>
      <c r="D18" s="41">
        <f t="shared" si="0"/>
        <v>3799</v>
      </c>
      <c r="E18" s="94">
        <v>45233091</v>
      </c>
      <c r="F18" s="41">
        <f t="shared" si="1"/>
        <v>7576</v>
      </c>
      <c r="G18" s="94">
        <v>34326800</v>
      </c>
      <c r="H18" s="41">
        <f t="shared" si="2"/>
        <v>4651</v>
      </c>
      <c r="I18" s="92">
        <f t="shared" si="3"/>
        <v>16026</v>
      </c>
    </row>
    <row r="19" spans="1:9" ht="26.25">
      <c r="A19" s="31">
        <v>44118</v>
      </c>
      <c r="B19" s="33">
        <v>48</v>
      </c>
      <c r="C19" s="94">
        <v>47530670</v>
      </c>
      <c r="D19" s="41">
        <f t="shared" si="0"/>
        <v>4349</v>
      </c>
      <c r="E19" s="94">
        <v>45241806</v>
      </c>
      <c r="F19" s="41">
        <f t="shared" si="1"/>
        <v>8715</v>
      </c>
      <c r="G19" s="94">
        <v>34331927</v>
      </c>
      <c r="H19" s="41">
        <f t="shared" si="2"/>
        <v>5127</v>
      </c>
      <c r="I19" s="92">
        <f t="shared" si="3"/>
        <v>18191</v>
      </c>
    </row>
    <row r="20" spans="1:9" ht="26.25">
      <c r="A20" s="31">
        <v>44119</v>
      </c>
      <c r="B20" s="33">
        <v>60</v>
      </c>
      <c r="C20" s="94">
        <v>47535171</v>
      </c>
      <c r="D20" s="41">
        <f t="shared" si="0"/>
        <v>4501</v>
      </c>
      <c r="E20" s="94">
        <v>45251226</v>
      </c>
      <c r="F20" s="41">
        <f t="shared" si="1"/>
        <v>9420</v>
      </c>
      <c r="G20" s="94">
        <v>34338183</v>
      </c>
      <c r="H20" s="41">
        <f t="shared" si="2"/>
        <v>6256</v>
      </c>
      <c r="I20" s="92">
        <f t="shared" si="3"/>
        <v>20177</v>
      </c>
    </row>
    <row r="21" spans="1:9" ht="26.25">
      <c r="A21" s="31">
        <v>44120</v>
      </c>
      <c r="B21" s="33">
        <v>62</v>
      </c>
      <c r="C21" s="94">
        <v>47539277</v>
      </c>
      <c r="D21" s="41">
        <f t="shared" si="0"/>
        <v>4106</v>
      </c>
      <c r="E21" s="94">
        <v>45259294</v>
      </c>
      <c r="F21" s="41">
        <f t="shared" si="1"/>
        <v>8068</v>
      </c>
      <c r="G21" s="94">
        <v>34343863</v>
      </c>
      <c r="H21" s="41">
        <f t="shared" si="2"/>
        <v>5680</v>
      </c>
      <c r="I21" s="92">
        <f t="shared" si="3"/>
        <v>17854</v>
      </c>
    </row>
    <row r="22" spans="1:9" ht="26.25">
      <c r="A22" s="31">
        <v>44121</v>
      </c>
      <c r="B22" s="33">
        <v>58</v>
      </c>
      <c r="C22" s="94">
        <v>47543375</v>
      </c>
      <c r="D22" s="41">
        <f t="shared" si="0"/>
        <v>4098</v>
      </c>
      <c r="E22" s="94">
        <v>45266544</v>
      </c>
      <c r="F22" s="41">
        <f t="shared" si="1"/>
        <v>7250</v>
      </c>
      <c r="G22" s="94">
        <v>34349150</v>
      </c>
      <c r="H22" s="41">
        <f t="shared" si="2"/>
        <v>5287</v>
      </c>
      <c r="I22" s="92">
        <f t="shared" si="3"/>
        <v>16635</v>
      </c>
    </row>
    <row r="23" spans="1:9" ht="26.25">
      <c r="A23" s="31">
        <v>44122</v>
      </c>
      <c r="B23" s="33">
        <v>54</v>
      </c>
      <c r="C23" s="94">
        <v>47548088</v>
      </c>
      <c r="D23" s="41">
        <f t="shared" si="0"/>
        <v>4713</v>
      </c>
      <c r="E23" s="94">
        <v>45274765</v>
      </c>
      <c r="F23" s="41">
        <f t="shared" si="1"/>
        <v>8221</v>
      </c>
      <c r="G23" s="94">
        <v>34354646</v>
      </c>
      <c r="H23" s="41">
        <f t="shared" si="2"/>
        <v>5496</v>
      </c>
      <c r="I23" s="92">
        <f t="shared" si="3"/>
        <v>18430</v>
      </c>
    </row>
    <row r="24" spans="1:9" ht="26.25">
      <c r="A24" s="31">
        <v>44123</v>
      </c>
      <c r="B24" s="33">
        <v>52</v>
      </c>
      <c r="C24" s="94">
        <v>47552035</v>
      </c>
      <c r="D24" s="41">
        <f t="shared" si="0"/>
        <v>3947</v>
      </c>
      <c r="E24" s="94">
        <v>45283227</v>
      </c>
      <c r="F24" s="41">
        <f t="shared" si="1"/>
        <v>8462</v>
      </c>
      <c r="G24" s="94">
        <v>34359642</v>
      </c>
      <c r="H24" s="41">
        <f t="shared" si="2"/>
        <v>4996</v>
      </c>
      <c r="I24" s="92">
        <f t="shared" si="3"/>
        <v>17405</v>
      </c>
    </row>
    <row r="25" spans="1:9" ht="26.25">
      <c r="A25" s="31">
        <v>44124</v>
      </c>
      <c r="B25" s="33">
        <v>50</v>
      </c>
      <c r="C25" s="94">
        <v>47556021</v>
      </c>
      <c r="D25" s="41">
        <f t="shared" si="0"/>
        <v>3986</v>
      </c>
      <c r="E25" s="94">
        <v>45291433</v>
      </c>
      <c r="F25" s="41">
        <f t="shared" si="1"/>
        <v>8206</v>
      </c>
      <c r="G25" s="94">
        <v>34364569</v>
      </c>
      <c r="H25" s="41">
        <f t="shared" si="2"/>
        <v>4927</v>
      </c>
      <c r="I25" s="92">
        <f t="shared" si="3"/>
        <v>17119</v>
      </c>
    </row>
    <row r="26" spans="1:9" ht="26.25">
      <c r="A26" s="31">
        <v>44125</v>
      </c>
      <c r="B26" s="33">
        <v>46</v>
      </c>
      <c r="C26" s="94">
        <v>47560139</v>
      </c>
      <c r="D26" s="41">
        <f t="shared" si="0"/>
        <v>4118</v>
      </c>
      <c r="E26" s="94">
        <v>45299081</v>
      </c>
      <c r="F26" s="41">
        <f t="shared" si="1"/>
        <v>7648</v>
      </c>
      <c r="G26" s="94">
        <v>34369278</v>
      </c>
      <c r="H26" s="41">
        <f t="shared" si="2"/>
        <v>4709</v>
      </c>
      <c r="I26" s="92">
        <f t="shared" si="3"/>
        <v>16475</v>
      </c>
    </row>
    <row r="27" spans="1:9" ht="26.25">
      <c r="A27" s="31">
        <v>44126</v>
      </c>
      <c r="B27" s="33">
        <v>61</v>
      </c>
      <c r="C27" s="94">
        <v>47564660</v>
      </c>
      <c r="D27" s="41">
        <f t="shared" si="0"/>
        <v>4521</v>
      </c>
      <c r="E27" s="94">
        <v>45307662</v>
      </c>
      <c r="F27" s="41">
        <f t="shared" si="1"/>
        <v>8581</v>
      </c>
      <c r="G27" s="94">
        <v>34374616</v>
      </c>
      <c r="H27" s="41">
        <f t="shared" si="2"/>
        <v>5338</v>
      </c>
      <c r="I27" s="92">
        <f t="shared" si="3"/>
        <v>18440</v>
      </c>
    </row>
    <row r="28" spans="1:9" ht="26.25">
      <c r="A28" s="31">
        <v>44127</v>
      </c>
      <c r="B28" s="33">
        <v>60</v>
      </c>
      <c r="C28" s="94">
        <v>47568956</v>
      </c>
      <c r="D28" s="41">
        <f t="shared" si="0"/>
        <v>4296</v>
      </c>
      <c r="E28" s="94">
        <v>45316423</v>
      </c>
      <c r="F28" s="41">
        <f t="shared" si="1"/>
        <v>8761</v>
      </c>
      <c r="G28" s="94">
        <v>34379909</v>
      </c>
      <c r="H28" s="41">
        <f t="shared" si="2"/>
        <v>5293</v>
      </c>
      <c r="I28" s="92">
        <f t="shared" si="3"/>
        <v>18350</v>
      </c>
    </row>
    <row r="29" spans="1:9" ht="26.25">
      <c r="A29" s="31">
        <v>44128</v>
      </c>
      <c r="B29" s="33">
        <v>54</v>
      </c>
      <c r="C29" s="94">
        <v>47573551</v>
      </c>
      <c r="D29" s="41">
        <f t="shared" si="0"/>
        <v>4595</v>
      </c>
      <c r="E29" s="94">
        <v>45325425</v>
      </c>
      <c r="F29" s="41">
        <f t="shared" si="1"/>
        <v>9002</v>
      </c>
      <c r="G29" s="94">
        <v>34385722</v>
      </c>
      <c r="H29" s="41">
        <f t="shared" si="2"/>
        <v>5813</v>
      </c>
      <c r="I29" s="92">
        <f t="shared" si="3"/>
        <v>19410</v>
      </c>
    </row>
    <row r="30" spans="1:9" ht="26.25">
      <c r="A30" s="31">
        <v>44129</v>
      </c>
      <c r="B30" s="33">
        <v>56</v>
      </c>
      <c r="C30" s="94">
        <v>47578195</v>
      </c>
      <c r="D30" s="41">
        <f t="shared" si="0"/>
        <v>4644</v>
      </c>
      <c r="E30" s="94">
        <v>45334762</v>
      </c>
      <c r="F30" s="41">
        <f t="shared" si="1"/>
        <v>9337</v>
      </c>
      <c r="G30" s="94">
        <v>34391885</v>
      </c>
      <c r="H30" s="41">
        <f t="shared" si="2"/>
        <v>6163</v>
      </c>
      <c r="I30" s="92">
        <f t="shared" si="3"/>
        <v>20144</v>
      </c>
    </row>
    <row r="31" spans="1:9" ht="26.25">
      <c r="A31" s="31">
        <v>44130</v>
      </c>
      <c r="B31" s="33">
        <v>69</v>
      </c>
      <c r="C31" s="94">
        <v>47583221</v>
      </c>
      <c r="D31" s="41">
        <f t="shared" si="0"/>
        <v>5026</v>
      </c>
      <c r="E31" s="94">
        <v>45345264</v>
      </c>
      <c r="F31" s="41">
        <f t="shared" si="1"/>
        <v>10502</v>
      </c>
      <c r="G31" s="94">
        <v>34398537</v>
      </c>
      <c r="H31" s="41">
        <f t="shared" si="2"/>
        <v>6652</v>
      </c>
      <c r="I31" s="92">
        <f t="shared" si="3"/>
        <v>22180</v>
      </c>
    </row>
    <row r="32" spans="1:9" ht="26.25">
      <c r="A32" s="31">
        <v>44131</v>
      </c>
      <c r="B32" s="33">
        <v>68</v>
      </c>
      <c r="C32" s="94">
        <v>47587138</v>
      </c>
      <c r="D32" s="41">
        <f t="shared" si="0"/>
        <v>3917</v>
      </c>
      <c r="E32" s="94">
        <v>45352537</v>
      </c>
      <c r="F32" s="41">
        <f t="shared" si="1"/>
        <v>7273</v>
      </c>
      <c r="G32" s="94">
        <v>34402991</v>
      </c>
      <c r="H32" s="41">
        <f t="shared" si="2"/>
        <v>4454</v>
      </c>
      <c r="I32" s="92">
        <f t="shared" si="3"/>
        <v>15644</v>
      </c>
    </row>
    <row r="33" spans="1:9" ht="26.25">
      <c r="A33" s="31">
        <v>44132</v>
      </c>
      <c r="B33" s="33">
        <v>52</v>
      </c>
      <c r="C33" s="94">
        <v>47592067</v>
      </c>
      <c r="D33" s="41">
        <f t="shared" si="0"/>
        <v>4929</v>
      </c>
      <c r="E33" s="94">
        <v>45361967</v>
      </c>
      <c r="F33" s="41">
        <f t="shared" si="1"/>
        <v>9430</v>
      </c>
      <c r="G33" s="94">
        <v>34409129</v>
      </c>
      <c r="H33" s="41">
        <f t="shared" si="2"/>
        <v>6138</v>
      </c>
      <c r="I33" s="92">
        <f t="shared" si="3"/>
        <v>20497</v>
      </c>
    </row>
    <row r="34" spans="1:9" ht="26.25">
      <c r="A34" s="31">
        <v>44133</v>
      </c>
      <c r="B34" s="33">
        <v>55</v>
      </c>
      <c r="C34" s="94">
        <v>47596631</v>
      </c>
      <c r="D34" s="41">
        <f t="shared" si="0"/>
        <v>4564</v>
      </c>
      <c r="E34" s="94">
        <v>45371083</v>
      </c>
      <c r="F34" s="41">
        <f t="shared" si="1"/>
        <v>9116</v>
      </c>
      <c r="G34" s="94">
        <v>34415002</v>
      </c>
      <c r="H34" s="41">
        <f t="shared" si="2"/>
        <v>5873</v>
      </c>
      <c r="I34" s="92">
        <f t="shared" si="3"/>
        <v>19553</v>
      </c>
    </row>
    <row r="35" spans="1:9" ht="26.25">
      <c r="A35" s="31">
        <v>44134</v>
      </c>
      <c r="B35" s="33">
        <v>50</v>
      </c>
      <c r="C35" s="94">
        <v>47601075</v>
      </c>
      <c r="D35" s="41">
        <f t="shared" si="0"/>
        <v>4444</v>
      </c>
      <c r="E35" s="94">
        <v>45380902</v>
      </c>
      <c r="F35" s="41">
        <f t="shared" si="1"/>
        <v>9819</v>
      </c>
      <c r="G35" s="94">
        <v>34421771</v>
      </c>
      <c r="H35" s="41">
        <f t="shared" si="2"/>
        <v>6769</v>
      </c>
      <c r="I35" s="92">
        <f t="shared" si="3"/>
        <v>21032</v>
      </c>
    </row>
    <row r="36" spans="1:9" ht="26.25">
      <c r="A36" s="31">
        <v>44135</v>
      </c>
      <c r="B36" s="33">
        <v>55</v>
      </c>
      <c r="C36" s="94">
        <v>47606282</v>
      </c>
      <c r="D36" s="41">
        <f t="shared" si="0"/>
        <v>5207</v>
      </c>
      <c r="E36" s="94">
        <v>45390288</v>
      </c>
      <c r="F36" s="41">
        <f t="shared" si="1"/>
        <v>9386</v>
      </c>
      <c r="G36" s="94">
        <v>34428466</v>
      </c>
      <c r="H36" s="41">
        <f t="shared" si="2"/>
        <v>6695</v>
      </c>
      <c r="I36" s="92">
        <f t="shared" si="3"/>
        <v>21288</v>
      </c>
    </row>
    <row r="37" spans="1:9" s="20" customFormat="1" ht="27">
      <c r="A37" s="43" t="s">
        <v>39</v>
      </c>
      <c r="B37" s="44"/>
      <c r="C37" s="77"/>
      <c r="D37" s="71">
        <f>SUM(D5:D35)</f>
        <v>129040</v>
      </c>
      <c r="E37" s="78"/>
      <c r="F37" s="71">
        <f>SUM(F5:F34)</f>
        <v>249444</v>
      </c>
      <c r="G37" s="76"/>
      <c r="H37" s="71">
        <f>SUM(H5:H35)</f>
        <v>162953</v>
      </c>
      <c r="I37" s="93">
        <f>D37+F37+H37</f>
        <v>541437</v>
      </c>
    </row>
    <row r="38" spans="1:9" ht="15">
      <c r="A38" s="3"/>
      <c r="B38" s="24"/>
    </row>
    <row r="53" spans="1:2" ht="15">
      <c r="A53" s="3"/>
      <c r="B53" s="24"/>
    </row>
  </sheetData>
  <mergeCells count="2">
    <mergeCell ref="A1:I1"/>
    <mergeCell ref="A2:I2"/>
  </mergeCells>
  <phoneticPr fontId="0" type="noConversion"/>
  <conditionalFormatting sqref="D37:I37 D5:D36 F5:F36 A3:B37 H5:I36">
    <cfRule type="cellIs" dxfId="70" priority="253" stopIfTrue="1" operator="lessThan">
      <formula>0</formula>
    </cfRule>
  </conditionalFormatting>
  <conditionalFormatting sqref="C34:C36 C7:C32">
    <cfRule type="cellIs" dxfId="69" priority="13" stopIfTrue="1" operator="lessThan">
      <formula>0</formula>
    </cfRule>
  </conditionalFormatting>
  <conditionalFormatting sqref="C6">
    <cfRule type="cellIs" dxfId="68" priority="12" stopIfTrue="1" operator="lessThan">
      <formula>0</formula>
    </cfRule>
  </conditionalFormatting>
  <conditionalFormatting sqref="C5">
    <cfRule type="cellIs" dxfId="67" priority="11" stopIfTrue="1" operator="lessThan">
      <formula>0</formula>
    </cfRule>
  </conditionalFormatting>
  <conditionalFormatting sqref="C33">
    <cfRule type="cellIs" dxfId="66" priority="10" stopIfTrue="1" operator="lessThan">
      <formula>0</formula>
    </cfRule>
  </conditionalFormatting>
  <conditionalFormatting sqref="E12:E32 E34:E36">
    <cfRule type="cellIs" dxfId="65" priority="9" stopIfTrue="1" operator="lessThan">
      <formula>0</formula>
    </cfRule>
  </conditionalFormatting>
  <conditionalFormatting sqref="E7:E11">
    <cfRule type="cellIs" dxfId="64" priority="8" stopIfTrue="1" operator="lessThan">
      <formula>0</formula>
    </cfRule>
  </conditionalFormatting>
  <conditionalFormatting sqref="E6">
    <cfRule type="cellIs" dxfId="63" priority="7" stopIfTrue="1" operator="lessThan">
      <formula>0</formula>
    </cfRule>
  </conditionalFormatting>
  <conditionalFormatting sqref="E5">
    <cfRule type="cellIs" dxfId="62" priority="6" stopIfTrue="1" operator="lessThan">
      <formula>0</formula>
    </cfRule>
  </conditionalFormatting>
  <conditionalFormatting sqref="E33">
    <cfRule type="cellIs" dxfId="61" priority="5" stopIfTrue="1" operator="lessThan">
      <formula>0</formula>
    </cfRule>
  </conditionalFormatting>
  <conditionalFormatting sqref="G7:G32 G34:G36">
    <cfRule type="cellIs" dxfId="60" priority="4" stopIfTrue="1" operator="lessThan">
      <formula>0</formula>
    </cfRule>
  </conditionalFormatting>
  <conditionalFormatting sqref="G6">
    <cfRule type="cellIs" dxfId="59" priority="3" stopIfTrue="1" operator="lessThan">
      <formula>0</formula>
    </cfRule>
  </conditionalFormatting>
  <conditionalFormatting sqref="G5">
    <cfRule type="cellIs" dxfId="58" priority="2" stopIfTrue="1" operator="lessThan">
      <formula>0</formula>
    </cfRule>
  </conditionalFormatting>
  <conditionalFormatting sqref="G33">
    <cfRule type="cellIs" dxfId="57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4"/>
  <sheetViews>
    <sheetView view="pageBreakPreview" topLeftCell="A16" zoomScale="50" zoomScaleNormal="55" zoomScaleSheetLayoutView="50" workbookViewId="0">
      <selection activeCell="AF33" sqref="AF33:AF34"/>
    </sheetView>
  </sheetViews>
  <sheetFormatPr defaultRowHeight="23.25"/>
  <cols>
    <col min="1" max="1" width="37.140625" style="2" customWidth="1"/>
    <col min="2" max="2" width="14.85546875" customWidth="1"/>
    <col min="3" max="3" width="11.140625" style="9" bestFit="1" customWidth="1"/>
    <col min="4" max="4" width="27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3.8554687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4.85546875" bestFit="1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03" t="s">
        <v>42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</row>
    <row r="2" spans="1:38">
      <c r="A2" s="55" t="s">
        <v>1</v>
      </c>
      <c r="B2" s="57" t="s">
        <v>43</v>
      </c>
      <c r="C2" s="56" t="s">
        <v>36</v>
      </c>
      <c r="D2" s="56" t="s">
        <v>44</v>
      </c>
      <c r="E2" s="56" t="s">
        <v>36</v>
      </c>
      <c r="F2" s="56" t="s">
        <v>45</v>
      </c>
      <c r="G2" s="56" t="s">
        <v>36</v>
      </c>
      <c r="H2" s="56" t="s">
        <v>46</v>
      </c>
      <c r="I2" s="56" t="s">
        <v>36</v>
      </c>
      <c r="J2" s="56" t="s">
        <v>47</v>
      </c>
      <c r="K2" s="56" t="s">
        <v>36</v>
      </c>
      <c r="L2" s="56" t="s">
        <v>48</v>
      </c>
      <c r="M2" s="56" t="s">
        <v>36</v>
      </c>
      <c r="N2" s="56" t="s">
        <v>49</v>
      </c>
      <c r="O2" s="56" t="s">
        <v>36</v>
      </c>
      <c r="P2" s="56" t="s">
        <v>50</v>
      </c>
      <c r="Q2" s="56" t="s">
        <v>36</v>
      </c>
      <c r="R2" s="56" t="s">
        <v>51</v>
      </c>
      <c r="S2" s="56" t="s">
        <v>36</v>
      </c>
      <c r="T2" s="56" t="s">
        <v>52</v>
      </c>
      <c r="U2" s="56" t="s">
        <v>36</v>
      </c>
      <c r="V2" s="56" t="s">
        <v>53</v>
      </c>
      <c r="W2" s="56" t="s">
        <v>36</v>
      </c>
      <c r="X2" s="56" t="s">
        <v>54</v>
      </c>
      <c r="Y2" s="56" t="s">
        <v>36</v>
      </c>
      <c r="Z2" s="56" t="s">
        <v>55</v>
      </c>
      <c r="AA2" s="56" t="s">
        <v>36</v>
      </c>
      <c r="AB2" s="56" t="s">
        <v>56</v>
      </c>
      <c r="AC2" s="56" t="s">
        <v>36</v>
      </c>
      <c r="AD2" s="66" t="s">
        <v>57</v>
      </c>
      <c r="AE2" s="68" t="s">
        <v>58</v>
      </c>
      <c r="AF2" s="54" t="s">
        <v>36</v>
      </c>
    </row>
    <row r="3" spans="1:38">
      <c r="A3" s="53" t="s">
        <v>41</v>
      </c>
      <c r="B3" s="110">
        <v>1426885</v>
      </c>
      <c r="C3" s="60"/>
      <c r="D3" s="110">
        <v>33129753</v>
      </c>
      <c r="E3" s="59"/>
      <c r="F3" s="111">
        <v>751263</v>
      </c>
      <c r="G3" s="59"/>
      <c r="H3" s="111">
        <v>83188</v>
      </c>
      <c r="I3" s="58"/>
      <c r="J3" s="73">
        <v>176873</v>
      </c>
      <c r="K3" s="60"/>
      <c r="L3" s="111">
        <v>78153</v>
      </c>
      <c r="M3" s="59"/>
      <c r="N3" s="111">
        <v>599089</v>
      </c>
      <c r="O3" s="60"/>
      <c r="P3" s="111">
        <v>155790</v>
      </c>
      <c r="Q3" s="59"/>
      <c r="R3" s="111">
        <v>857520</v>
      </c>
      <c r="S3" s="60"/>
      <c r="T3" s="111">
        <v>64586</v>
      </c>
      <c r="U3" s="59"/>
      <c r="V3" s="111">
        <v>276461</v>
      </c>
      <c r="W3" s="60"/>
      <c r="X3" s="73">
        <v>21007</v>
      </c>
      <c r="Y3" s="59"/>
      <c r="Z3" s="112">
        <v>673472</v>
      </c>
      <c r="AA3" s="60"/>
      <c r="AB3" s="74">
        <v>1410</v>
      </c>
      <c r="AC3" s="59"/>
      <c r="AD3" s="64"/>
      <c r="AE3" s="69"/>
      <c r="AF3" s="52"/>
    </row>
    <row r="4" spans="1:38">
      <c r="A4" s="51">
        <v>44105</v>
      </c>
      <c r="B4" s="110">
        <v>1427141</v>
      </c>
      <c r="C4" s="61">
        <f>IF((B4-B3)&lt;0,"0",(B4-B3))</f>
        <v>256</v>
      </c>
      <c r="D4" s="110">
        <v>33130151</v>
      </c>
      <c r="E4" s="59">
        <f>IF((D4-D3)&lt;0,"0",(D4-D3))</f>
        <v>398</v>
      </c>
      <c r="F4" s="111">
        <v>751389</v>
      </c>
      <c r="G4" s="59">
        <f>IF((F4-F3)&lt;0,"0",(F4-F3))</f>
        <v>126</v>
      </c>
      <c r="H4" s="111">
        <v>83212</v>
      </c>
      <c r="I4" s="59">
        <f>IF((H4-H3)&lt;0,"0",(H4-H3))</f>
        <v>24</v>
      </c>
      <c r="J4" s="73">
        <v>176873</v>
      </c>
      <c r="K4" s="61">
        <f>IF((J4-J3)&lt;0,"0",(J4-J3))</f>
        <v>0</v>
      </c>
      <c r="L4" s="111">
        <v>78153</v>
      </c>
      <c r="M4" s="59">
        <f>IF((L4-L3)&lt;0,"0",(L4-L3))</f>
        <v>0</v>
      </c>
      <c r="N4" s="111">
        <v>599207</v>
      </c>
      <c r="O4" s="61">
        <f>IF((N4-N3)&lt;0,"0",(N4-N3))</f>
        <v>118</v>
      </c>
      <c r="P4" s="111">
        <v>155790</v>
      </c>
      <c r="Q4" s="59">
        <f>IF((P4-P3)&lt;0,"0",(P4-P3))</f>
        <v>0</v>
      </c>
      <c r="R4" s="111">
        <v>857710</v>
      </c>
      <c r="S4" s="61">
        <f>IF((R4-R3)&lt;0,"0",(R4-R3))</f>
        <v>190</v>
      </c>
      <c r="T4" s="111">
        <v>64606</v>
      </c>
      <c r="U4" s="59">
        <f>IF((T4-T3)&lt;0,"0",(T4-T3))</f>
        <v>20</v>
      </c>
      <c r="V4" s="111">
        <v>276498</v>
      </c>
      <c r="W4" s="61">
        <f>IF((V4-V3)&lt;0,"0",(V4-V3))</f>
        <v>37</v>
      </c>
      <c r="X4" s="73">
        <v>21007</v>
      </c>
      <c r="Y4" s="59">
        <f>IF((X4-X3)&lt;0,"0",(X4-X3))</f>
        <v>0</v>
      </c>
      <c r="Z4" s="112">
        <v>673609</v>
      </c>
      <c r="AA4" s="61">
        <f>IF((Z4-Z3)&lt;0,"0",(Z4-Z3))</f>
        <v>137</v>
      </c>
      <c r="AB4" s="74">
        <v>1410</v>
      </c>
      <c r="AC4" s="59">
        <f>IF((AB4-AB3)&lt;0,"0",(AB4-AB3))</f>
        <v>0</v>
      </c>
      <c r="AD4" s="65">
        <f>C4+E4+G4+I4+K4+M4+O4+Q4+S4+U4+W4+Y4+AA4+AC4</f>
        <v>1306</v>
      </c>
      <c r="AE4" s="17">
        <v>0</v>
      </c>
      <c r="AF4" s="52">
        <f>IF((AE4-AE3)&lt;0,"0",(AE4-AE3))</f>
        <v>0</v>
      </c>
    </row>
    <row r="5" spans="1:38">
      <c r="A5" s="51">
        <v>44106</v>
      </c>
      <c r="B5" s="110">
        <v>1427380</v>
      </c>
      <c r="C5" s="61">
        <f t="shared" ref="C5:C34" si="0">IF((B5-B4)&lt;0,"0",(B5-B4))</f>
        <v>239</v>
      </c>
      <c r="D5" s="110">
        <v>33130586</v>
      </c>
      <c r="E5" s="59">
        <f t="shared" ref="E5:E34" si="1">IF((D5-D4)&lt;0,"0",(D5-D4))</f>
        <v>435</v>
      </c>
      <c r="F5" s="111">
        <v>751499</v>
      </c>
      <c r="G5" s="59">
        <f t="shared" ref="G5:G34" si="2">IF((F5-F4)&lt;0,"0",(F5-F4))</f>
        <v>110</v>
      </c>
      <c r="H5" s="111">
        <v>83233</v>
      </c>
      <c r="I5" s="59">
        <f t="shared" ref="I5:I34" si="3">IF((H5-H4)&lt;0,"0",(H5-H4))</f>
        <v>21</v>
      </c>
      <c r="J5" s="73">
        <v>176873</v>
      </c>
      <c r="K5" s="61">
        <f t="shared" ref="K5:K34" si="4">IF((J5-J4)&lt;0,"0",(J5-J4))</f>
        <v>0</v>
      </c>
      <c r="L5" s="111">
        <v>78153</v>
      </c>
      <c r="M5" s="59">
        <f t="shared" ref="M5:M34" si="5">IF((L5-L4)&lt;0,"0",(L5-L4))</f>
        <v>0</v>
      </c>
      <c r="N5" s="111">
        <v>599278</v>
      </c>
      <c r="O5" s="61">
        <f t="shared" ref="O5:O34" si="6">IF((N5-N4)&lt;0,"0",(N5-N4))</f>
        <v>71</v>
      </c>
      <c r="P5" s="111">
        <v>155790</v>
      </c>
      <c r="Q5" s="59">
        <f t="shared" ref="Q5:Q34" si="7">IF((P5-P4)&lt;0,"0",(P5-P4))</f>
        <v>0</v>
      </c>
      <c r="R5" s="111">
        <v>857927</v>
      </c>
      <c r="S5" s="61">
        <f t="shared" ref="S5:S34" si="8">IF((R5-R4)&lt;0,"0",(R5-R4))</f>
        <v>217</v>
      </c>
      <c r="T5" s="111">
        <v>64629</v>
      </c>
      <c r="U5" s="59">
        <f t="shared" ref="U5:U34" si="9">IF((T5-T4)&lt;0,"0",(T5-T4))</f>
        <v>23</v>
      </c>
      <c r="V5" s="111">
        <v>276530</v>
      </c>
      <c r="W5" s="61">
        <f t="shared" ref="W5:W34" si="10">IF((V5-V4)&lt;0,"0",(V5-V4))</f>
        <v>32</v>
      </c>
      <c r="X5" s="73">
        <v>21007</v>
      </c>
      <c r="Y5" s="59">
        <f t="shared" ref="Y5:Y35" si="11">IF((X5-X4)&lt;0,"0",(X5-X4))</f>
        <v>0</v>
      </c>
      <c r="Z5" s="112">
        <v>673737</v>
      </c>
      <c r="AA5" s="61">
        <f t="shared" ref="AA5:AA34" si="12">IF((Z5-Z4)&lt;0,"0",(Z5-Z4))</f>
        <v>128</v>
      </c>
      <c r="AB5" s="74">
        <v>1410</v>
      </c>
      <c r="AC5" s="59">
        <f t="shared" ref="AC5:AC34" si="13">IF((AB5-AB4)&lt;0,"0",(AB5-AB4))</f>
        <v>0</v>
      </c>
      <c r="AD5" s="67">
        <f t="shared" ref="AD5:AD30" si="14">C5+E5+G5+I5+K5+M5+O5+Q5+S5+U5+W5+Y5+AA5+AC5</f>
        <v>1276</v>
      </c>
      <c r="AE5" s="17">
        <v>0</v>
      </c>
      <c r="AF5" s="52">
        <f t="shared" ref="AF5:AF34" si="15">IF((AE5-AE4)&lt;0,"0",(AE5-AE4))</f>
        <v>0</v>
      </c>
    </row>
    <row r="6" spans="1:38">
      <c r="A6" s="51">
        <v>44107</v>
      </c>
      <c r="B6" s="110">
        <v>1427582</v>
      </c>
      <c r="C6" s="61">
        <f t="shared" si="0"/>
        <v>202</v>
      </c>
      <c r="D6" s="110">
        <v>33130952</v>
      </c>
      <c r="E6" s="59">
        <f t="shared" si="1"/>
        <v>366</v>
      </c>
      <c r="F6" s="111">
        <v>751596</v>
      </c>
      <c r="G6" s="59">
        <f t="shared" si="2"/>
        <v>97</v>
      </c>
      <c r="H6" s="111">
        <v>83248</v>
      </c>
      <c r="I6" s="59">
        <f t="shared" si="3"/>
        <v>15</v>
      </c>
      <c r="J6" s="73">
        <v>176873</v>
      </c>
      <c r="K6" s="61">
        <f t="shared" si="4"/>
        <v>0</v>
      </c>
      <c r="L6" s="111">
        <v>78153</v>
      </c>
      <c r="M6" s="59">
        <f t="shared" si="5"/>
        <v>0</v>
      </c>
      <c r="N6" s="111">
        <v>599322</v>
      </c>
      <c r="O6" s="61">
        <f t="shared" si="6"/>
        <v>44</v>
      </c>
      <c r="P6" s="111">
        <v>155790</v>
      </c>
      <c r="Q6" s="59">
        <f t="shared" si="7"/>
        <v>0</v>
      </c>
      <c r="R6" s="111">
        <v>858127</v>
      </c>
      <c r="S6" s="61">
        <f t="shared" si="8"/>
        <v>200</v>
      </c>
      <c r="T6" s="111">
        <v>64646</v>
      </c>
      <c r="U6" s="59">
        <f t="shared" si="9"/>
        <v>17</v>
      </c>
      <c r="V6" s="111">
        <v>276563</v>
      </c>
      <c r="W6" s="61">
        <f t="shared" si="10"/>
        <v>33</v>
      </c>
      <c r="X6" s="73">
        <v>21007</v>
      </c>
      <c r="Y6" s="59">
        <f t="shared" si="11"/>
        <v>0</v>
      </c>
      <c r="Z6" s="112">
        <v>673842</v>
      </c>
      <c r="AA6" s="61">
        <f t="shared" si="12"/>
        <v>105</v>
      </c>
      <c r="AB6" s="74">
        <v>1410</v>
      </c>
      <c r="AC6" s="59">
        <f t="shared" si="13"/>
        <v>0</v>
      </c>
      <c r="AD6" s="67">
        <f t="shared" si="14"/>
        <v>1079</v>
      </c>
      <c r="AE6" s="17">
        <v>0</v>
      </c>
      <c r="AF6" s="52">
        <f t="shared" si="15"/>
        <v>0</v>
      </c>
    </row>
    <row r="7" spans="1:38">
      <c r="A7" s="51">
        <v>44108</v>
      </c>
      <c r="B7" s="110">
        <v>1427812</v>
      </c>
      <c r="C7" s="61">
        <f t="shared" si="0"/>
        <v>230</v>
      </c>
      <c r="D7" s="110">
        <v>33131376</v>
      </c>
      <c r="E7" s="59">
        <f t="shared" si="1"/>
        <v>424</v>
      </c>
      <c r="F7" s="111">
        <v>751717</v>
      </c>
      <c r="G7" s="59">
        <f t="shared" si="2"/>
        <v>121</v>
      </c>
      <c r="H7" s="111">
        <v>83263</v>
      </c>
      <c r="I7" s="59">
        <f t="shared" si="3"/>
        <v>15</v>
      </c>
      <c r="J7" s="73">
        <v>176873</v>
      </c>
      <c r="K7" s="61">
        <f t="shared" si="4"/>
        <v>0</v>
      </c>
      <c r="L7" s="111">
        <v>78153</v>
      </c>
      <c r="M7" s="59">
        <f t="shared" si="5"/>
        <v>0</v>
      </c>
      <c r="N7" s="111">
        <v>599413</v>
      </c>
      <c r="O7" s="61">
        <f t="shared" si="6"/>
        <v>91</v>
      </c>
      <c r="P7" s="111">
        <v>155790</v>
      </c>
      <c r="Q7" s="59">
        <f t="shared" si="7"/>
        <v>0</v>
      </c>
      <c r="R7" s="111">
        <v>858353</v>
      </c>
      <c r="S7" s="61">
        <f t="shared" si="8"/>
        <v>226</v>
      </c>
      <c r="T7" s="111">
        <v>64662</v>
      </c>
      <c r="U7" s="59">
        <f t="shared" si="9"/>
        <v>16</v>
      </c>
      <c r="V7" s="111">
        <v>276593</v>
      </c>
      <c r="W7" s="61">
        <f t="shared" si="10"/>
        <v>30</v>
      </c>
      <c r="X7" s="73">
        <v>21007</v>
      </c>
      <c r="Y7" s="59">
        <f t="shared" si="11"/>
        <v>0</v>
      </c>
      <c r="Z7" s="112">
        <v>673961</v>
      </c>
      <c r="AA7" s="61">
        <f t="shared" si="12"/>
        <v>119</v>
      </c>
      <c r="AB7" s="74">
        <v>1410</v>
      </c>
      <c r="AC7" s="59">
        <f t="shared" si="13"/>
        <v>0</v>
      </c>
      <c r="AD7" s="67">
        <f t="shared" si="14"/>
        <v>1272</v>
      </c>
      <c r="AE7" s="17">
        <v>0</v>
      </c>
      <c r="AF7" s="52">
        <f t="shared" si="15"/>
        <v>0</v>
      </c>
    </row>
    <row r="8" spans="1:38">
      <c r="A8" s="51">
        <v>44109</v>
      </c>
      <c r="B8" s="110">
        <v>1428045</v>
      </c>
      <c r="C8" s="61">
        <f t="shared" si="0"/>
        <v>233</v>
      </c>
      <c r="D8" s="110">
        <v>33131792</v>
      </c>
      <c r="E8" s="59">
        <f t="shared" si="1"/>
        <v>416</v>
      </c>
      <c r="F8" s="111">
        <v>751812</v>
      </c>
      <c r="G8" s="59">
        <f t="shared" si="2"/>
        <v>95</v>
      </c>
      <c r="H8" s="111">
        <v>83284</v>
      </c>
      <c r="I8" s="59">
        <f t="shared" si="3"/>
        <v>21</v>
      </c>
      <c r="J8" s="73">
        <v>176873</v>
      </c>
      <c r="K8" s="61">
        <f t="shared" si="4"/>
        <v>0</v>
      </c>
      <c r="L8" s="111">
        <v>78153</v>
      </c>
      <c r="M8" s="59">
        <f t="shared" si="5"/>
        <v>0</v>
      </c>
      <c r="N8" s="111">
        <v>599472</v>
      </c>
      <c r="O8" s="61">
        <f t="shared" si="6"/>
        <v>59</v>
      </c>
      <c r="P8" s="111">
        <v>155790</v>
      </c>
      <c r="Q8" s="59">
        <f t="shared" si="7"/>
        <v>0</v>
      </c>
      <c r="R8" s="111">
        <v>858549</v>
      </c>
      <c r="S8" s="61">
        <f t="shared" si="8"/>
        <v>196</v>
      </c>
      <c r="T8" s="111">
        <v>64690</v>
      </c>
      <c r="U8" s="59">
        <f t="shared" si="9"/>
        <v>28</v>
      </c>
      <c r="V8" s="111">
        <v>276631</v>
      </c>
      <c r="W8" s="61">
        <f t="shared" si="10"/>
        <v>38</v>
      </c>
      <c r="X8" s="73">
        <v>21007</v>
      </c>
      <c r="Y8" s="59">
        <f t="shared" si="11"/>
        <v>0</v>
      </c>
      <c r="Z8" s="112">
        <v>674054</v>
      </c>
      <c r="AA8" s="61">
        <f t="shared" si="12"/>
        <v>93</v>
      </c>
      <c r="AB8" s="74">
        <v>1410</v>
      </c>
      <c r="AC8" s="59">
        <f t="shared" si="13"/>
        <v>0</v>
      </c>
      <c r="AD8" s="67">
        <f t="shared" si="14"/>
        <v>1179</v>
      </c>
      <c r="AE8" s="17">
        <v>0</v>
      </c>
      <c r="AF8" s="52">
        <f t="shared" si="15"/>
        <v>0</v>
      </c>
    </row>
    <row r="9" spans="1:38">
      <c r="A9" s="51">
        <v>44110</v>
      </c>
      <c r="B9" s="110">
        <v>1428222</v>
      </c>
      <c r="C9" s="61">
        <f t="shared" si="0"/>
        <v>177</v>
      </c>
      <c r="D9" s="110">
        <v>33132232</v>
      </c>
      <c r="E9" s="59">
        <f t="shared" si="1"/>
        <v>440</v>
      </c>
      <c r="F9" s="111">
        <v>751915</v>
      </c>
      <c r="G9" s="59">
        <f t="shared" si="2"/>
        <v>103</v>
      </c>
      <c r="H9" s="111">
        <v>83312</v>
      </c>
      <c r="I9" s="59">
        <f t="shared" si="3"/>
        <v>28</v>
      </c>
      <c r="J9" s="73">
        <v>176873</v>
      </c>
      <c r="K9" s="61">
        <f t="shared" si="4"/>
        <v>0</v>
      </c>
      <c r="L9" s="111">
        <v>78153</v>
      </c>
      <c r="M9" s="59">
        <f t="shared" si="5"/>
        <v>0</v>
      </c>
      <c r="N9" s="111">
        <v>599583</v>
      </c>
      <c r="O9" s="61">
        <f t="shared" si="6"/>
        <v>111</v>
      </c>
      <c r="P9" s="111">
        <v>155790</v>
      </c>
      <c r="Q9" s="59">
        <f t="shared" si="7"/>
        <v>0</v>
      </c>
      <c r="R9" s="111">
        <v>858716</v>
      </c>
      <c r="S9" s="61">
        <f t="shared" si="8"/>
        <v>167</v>
      </c>
      <c r="T9" s="111">
        <v>64715</v>
      </c>
      <c r="U9" s="59">
        <f t="shared" si="9"/>
        <v>25</v>
      </c>
      <c r="V9" s="111">
        <v>276666</v>
      </c>
      <c r="W9" s="61">
        <f t="shared" si="10"/>
        <v>35</v>
      </c>
      <c r="X9" s="73">
        <v>21007</v>
      </c>
      <c r="Y9" s="59">
        <f t="shared" si="11"/>
        <v>0</v>
      </c>
      <c r="Z9" s="112">
        <v>674185</v>
      </c>
      <c r="AA9" s="61">
        <f t="shared" si="12"/>
        <v>131</v>
      </c>
      <c r="AB9" s="74">
        <v>1410</v>
      </c>
      <c r="AC9" s="59">
        <f t="shared" si="13"/>
        <v>0</v>
      </c>
      <c r="AD9" s="67">
        <f t="shared" si="14"/>
        <v>1217</v>
      </c>
      <c r="AE9" s="17">
        <v>0</v>
      </c>
      <c r="AF9" s="52">
        <f t="shared" si="15"/>
        <v>0</v>
      </c>
    </row>
    <row r="10" spans="1:38">
      <c r="A10" s="51">
        <v>44111</v>
      </c>
      <c r="B10" s="110">
        <v>1428499</v>
      </c>
      <c r="C10" s="61">
        <f t="shared" si="0"/>
        <v>277</v>
      </c>
      <c r="D10" s="110">
        <v>33132666</v>
      </c>
      <c r="E10" s="59">
        <f t="shared" si="1"/>
        <v>434</v>
      </c>
      <c r="F10" s="111">
        <v>752035</v>
      </c>
      <c r="G10" s="59">
        <f t="shared" si="2"/>
        <v>120</v>
      </c>
      <c r="H10" s="111">
        <v>83332</v>
      </c>
      <c r="I10" s="59">
        <f t="shared" si="3"/>
        <v>20</v>
      </c>
      <c r="J10" s="73">
        <v>176873</v>
      </c>
      <c r="K10" s="61">
        <f t="shared" si="4"/>
        <v>0</v>
      </c>
      <c r="L10" s="111">
        <v>78153</v>
      </c>
      <c r="M10" s="59">
        <f t="shared" si="5"/>
        <v>0</v>
      </c>
      <c r="N10" s="111">
        <v>599699</v>
      </c>
      <c r="O10" s="61">
        <f t="shared" si="6"/>
        <v>116</v>
      </c>
      <c r="P10" s="111">
        <v>155790</v>
      </c>
      <c r="Q10" s="59">
        <f t="shared" si="7"/>
        <v>0</v>
      </c>
      <c r="R10" s="111">
        <v>858870</v>
      </c>
      <c r="S10" s="61">
        <f t="shared" si="8"/>
        <v>154</v>
      </c>
      <c r="T10" s="111">
        <v>64740</v>
      </c>
      <c r="U10" s="59">
        <f t="shared" si="9"/>
        <v>25</v>
      </c>
      <c r="V10" s="111">
        <v>276705</v>
      </c>
      <c r="W10" s="61">
        <f t="shared" si="10"/>
        <v>39</v>
      </c>
      <c r="X10" s="73">
        <v>21007</v>
      </c>
      <c r="Y10" s="59">
        <f t="shared" si="11"/>
        <v>0</v>
      </c>
      <c r="Z10" s="112">
        <v>674295</v>
      </c>
      <c r="AA10" s="61">
        <f t="shared" si="12"/>
        <v>110</v>
      </c>
      <c r="AB10" s="74">
        <v>1410</v>
      </c>
      <c r="AC10" s="59">
        <f t="shared" si="13"/>
        <v>0</v>
      </c>
      <c r="AD10" s="67">
        <f t="shared" si="14"/>
        <v>1295</v>
      </c>
      <c r="AE10" s="17">
        <v>0</v>
      </c>
      <c r="AF10" s="52">
        <f t="shared" si="15"/>
        <v>0</v>
      </c>
    </row>
    <row r="11" spans="1:38">
      <c r="A11" s="51">
        <v>44112</v>
      </c>
      <c r="B11" s="110">
        <v>1428690</v>
      </c>
      <c r="C11" s="61">
        <f t="shared" si="0"/>
        <v>191</v>
      </c>
      <c r="D11" s="110">
        <v>33133101</v>
      </c>
      <c r="E11" s="59">
        <f t="shared" si="1"/>
        <v>435</v>
      </c>
      <c r="F11" s="111">
        <v>752143</v>
      </c>
      <c r="G11" s="59">
        <f t="shared" si="2"/>
        <v>108</v>
      </c>
      <c r="H11" s="111">
        <v>83360</v>
      </c>
      <c r="I11" s="59">
        <f t="shared" si="3"/>
        <v>28</v>
      </c>
      <c r="J11" s="73">
        <v>176873</v>
      </c>
      <c r="K11" s="61">
        <f t="shared" si="4"/>
        <v>0</v>
      </c>
      <c r="L11" s="111">
        <v>78153</v>
      </c>
      <c r="M11" s="59">
        <f t="shared" si="5"/>
        <v>0</v>
      </c>
      <c r="N11" s="111">
        <v>599817</v>
      </c>
      <c r="O11" s="61">
        <f t="shared" si="6"/>
        <v>118</v>
      </c>
      <c r="P11" s="111">
        <v>155790</v>
      </c>
      <c r="Q11" s="59">
        <f t="shared" si="7"/>
        <v>0</v>
      </c>
      <c r="R11" s="111">
        <v>859036</v>
      </c>
      <c r="S11" s="61">
        <f t="shared" si="8"/>
        <v>166</v>
      </c>
      <c r="T11" s="111">
        <v>64769</v>
      </c>
      <c r="U11" s="59">
        <f t="shared" si="9"/>
        <v>29</v>
      </c>
      <c r="V11" s="111">
        <v>276735</v>
      </c>
      <c r="W11" s="61">
        <f t="shared" si="10"/>
        <v>30</v>
      </c>
      <c r="X11" s="73">
        <v>21007</v>
      </c>
      <c r="Y11" s="59">
        <f t="shared" si="11"/>
        <v>0</v>
      </c>
      <c r="Z11" s="112">
        <v>674403</v>
      </c>
      <c r="AA11" s="61">
        <f t="shared" si="12"/>
        <v>108</v>
      </c>
      <c r="AB11" s="74">
        <v>1410</v>
      </c>
      <c r="AC11" s="59">
        <f t="shared" si="13"/>
        <v>0</v>
      </c>
      <c r="AD11" s="67">
        <f t="shared" si="14"/>
        <v>1213</v>
      </c>
      <c r="AE11" s="17">
        <v>0</v>
      </c>
      <c r="AF11" s="52">
        <f t="shared" si="15"/>
        <v>0</v>
      </c>
    </row>
    <row r="12" spans="1:38">
      <c r="A12" s="51">
        <v>44113</v>
      </c>
      <c r="B12" s="110">
        <v>1428931</v>
      </c>
      <c r="C12" s="61">
        <f t="shared" si="0"/>
        <v>241</v>
      </c>
      <c r="D12" s="110">
        <v>33133721</v>
      </c>
      <c r="E12" s="59">
        <f t="shared" si="1"/>
        <v>620</v>
      </c>
      <c r="F12" s="111">
        <v>752246</v>
      </c>
      <c r="G12" s="59">
        <f t="shared" si="2"/>
        <v>103</v>
      </c>
      <c r="H12" s="111">
        <v>83394</v>
      </c>
      <c r="I12" s="59">
        <f t="shared" si="3"/>
        <v>34</v>
      </c>
      <c r="J12" s="73">
        <v>176873</v>
      </c>
      <c r="K12" s="61">
        <f t="shared" si="4"/>
        <v>0</v>
      </c>
      <c r="L12" s="111">
        <v>78153</v>
      </c>
      <c r="M12" s="59">
        <f t="shared" si="5"/>
        <v>0</v>
      </c>
      <c r="N12" s="111">
        <v>599859</v>
      </c>
      <c r="O12" s="61">
        <f t="shared" si="6"/>
        <v>42</v>
      </c>
      <c r="P12" s="111">
        <v>155790</v>
      </c>
      <c r="Q12" s="59">
        <f t="shared" si="7"/>
        <v>0</v>
      </c>
      <c r="R12" s="111">
        <v>859300</v>
      </c>
      <c r="S12" s="61">
        <f t="shared" si="8"/>
        <v>264</v>
      </c>
      <c r="T12" s="111">
        <v>64788</v>
      </c>
      <c r="U12" s="59">
        <f t="shared" si="9"/>
        <v>19</v>
      </c>
      <c r="V12" s="111">
        <v>276769</v>
      </c>
      <c r="W12" s="61">
        <f t="shared" si="10"/>
        <v>34</v>
      </c>
      <c r="X12" s="73">
        <v>21007</v>
      </c>
      <c r="Y12" s="59">
        <f t="shared" si="11"/>
        <v>0</v>
      </c>
      <c r="Z12" s="112">
        <v>674528</v>
      </c>
      <c r="AA12" s="61">
        <f t="shared" si="12"/>
        <v>125</v>
      </c>
      <c r="AB12" s="74">
        <v>1410</v>
      </c>
      <c r="AC12" s="59">
        <f t="shared" si="13"/>
        <v>0</v>
      </c>
      <c r="AD12" s="67">
        <f t="shared" si="14"/>
        <v>1482</v>
      </c>
      <c r="AE12" s="17">
        <v>0</v>
      </c>
      <c r="AF12" s="52">
        <f t="shared" si="15"/>
        <v>0</v>
      </c>
    </row>
    <row r="13" spans="1:38">
      <c r="A13" s="51">
        <v>44114</v>
      </c>
      <c r="B13" s="110">
        <v>1429189</v>
      </c>
      <c r="C13" s="61">
        <f t="shared" si="0"/>
        <v>258</v>
      </c>
      <c r="D13" s="110">
        <v>33134272</v>
      </c>
      <c r="E13" s="59">
        <f t="shared" si="1"/>
        <v>551</v>
      </c>
      <c r="F13" s="111">
        <v>752358</v>
      </c>
      <c r="G13" s="59">
        <f t="shared" si="2"/>
        <v>112</v>
      </c>
      <c r="H13" s="111">
        <v>83412</v>
      </c>
      <c r="I13" s="59">
        <f t="shared" si="3"/>
        <v>18</v>
      </c>
      <c r="J13" s="73">
        <v>176873</v>
      </c>
      <c r="K13" s="61">
        <f t="shared" si="4"/>
        <v>0</v>
      </c>
      <c r="L13" s="111">
        <v>78153</v>
      </c>
      <c r="M13" s="59">
        <f t="shared" si="5"/>
        <v>0</v>
      </c>
      <c r="N13" s="111">
        <v>599879</v>
      </c>
      <c r="O13" s="61">
        <f t="shared" si="6"/>
        <v>20</v>
      </c>
      <c r="P13" s="111">
        <v>155790</v>
      </c>
      <c r="Q13" s="59">
        <f t="shared" si="7"/>
        <v>0</v>
      </c>
      <c r="R13" s="111">
        <v>859516</v>
      </c>
      <c r="S13" s="61">
        <f t="shared" si="8"/>
        <v>216</v>
      </c>
      <c r="T13" s="111">
        <v>64806</v>
      </c>
      <c r="U13" s="59">
        <f t="shared" si="9"/>
        <v>18</v>
      </c>
      <c r="V13" s="111">
        <v>276796</v>
      </c>
      <c r="W13" s="61">
        <f t="shared" si="10"/>
        <v>27</v>
      </c>
      <c r="X13" s="73">
        <v>21007</v>
      </c>
      <c r="Y13" s="59">
        <f t="shared" si="11"/>
        <v>0</v>
      </c>
      <c r="Z13" s="112">
        <v>674657</v>
      </c>
      <c r="AA13" s="61">
        <f t="shared" si="12"/>
        <v>129</v>
      </c>
      <c r="AB13" s="74">
        <v>1410</v>
      </c>
      <c r="AC13" s="59">
        <f t="shared" si="13"/>
        <v>0</v>
      </c>
      <c r="AD13" s="67">
        <f t="shared" si="14"/>
        <v>1349</v>
      </c>
      <c r="AE13" s="17">
        <v>0</v>
      </c>
      <c r="AF13" s="52">
        <f t="shared" si="15"/>
        <v>0</v>
      </c>
    </row>
    <row r="14" spans="1:38">
      <c r="A14" s="51">
        <v>44115</v>
      </c>
      <c r="B14" s="110">
        <v>1429428</v>
      </c>
      <c r="C14" s="61">
        <f t="shared" si="0"/>
        <v>239</v>
      </c>
      <c r="D14" s="110">
        <v>33134878</v>
      </c>
      <c r="E14" s="59">
        <f t="shared" si="1"/>
        <v>606</v>
      </c>
      <c r="F14" s="111">
        <v>752487</v>
      </c>
      <c r="G14" s="59">
        <f t="shared" si="2"/>
        <v>129</v>
      </c>
      <c r="H14" s="111">
        <v>83429</v>
      </c>
      <c r="I14" s="59">
        <f t="shared" si="3"/>
        <v>17</v>
      </c>
      <c r="J14" s="73">
        <v>176873</v>
      </c>
      <c r="K14" s="61">
        <f t="shared" si="4"/>
        <v>0</v>
      </c>
      <c r="L14" s="111">
        <v>78153</v>
      </c>
      <c r="M14" s="59">
        <f t="shared" si="5"/>
        <v>0</v>
      </c>
      <c r="N14" s="111">
        <v>599956</v>
      </c>
      <c r="O14" s="61">
        <f t="shared" si="6"/>
        <v>77</v>
      </c>
      <c r="P14" s="111">
        <v>155790</v>
      </c>
      <c r="Q14" s="59">
        <f t="shared" si="7"/>
        <v>0</v>
      </c>
      <c r="R14" s="111">
        <v>859826</v>
      </c>
      <c r="S14" s="61">
        <f t="shared" si="8"/>
        <v>310</v>
      </c>
      <c r="T14" s="111">
        <v>64826</v>
      </c>
      <c r="U14" s="59">
        <f t="shared" si="9"/>
        <v>20</v>
      </c>
      <c r="V14" s="111">
        <v>276825</v>
      </c>
      <c r="W14" s="61">
        <f t="shared" si="10"/>
        <v>29</v>
      </c>
      <c r="X14" s="73">
        <v>21007</v>
      </c>
      <c r="Y14" s="59">
        <f t="shared" si="11"/>
        <v>0</v>
      </c>
      <c r="Z14" s="112">
        <v>674779</v>
      </c>
      <c r="AA14" s="61">
        <f t="shared" si="12"/>
        <v>122</v>
      </c>
      <c r="AB14" s="74">
        <v>1410</v>
      </c>
      <c r="AC14" s="59">
        <f t="shared" si="13"/>
        <v>0</v>
      </c>
      <c r="AD14" s="67">
        <f t="shared" si="14"/>
        <v>1549</v>
      </c>
      <c r="AE14" s="17">
        <v>0</v>
      </c>
      <c r="AF14" s="52">
        <f t="shared" si="15"/>
        <v>0</v>
      </c>
    </row>
    <row r="15" spans="1:38">
      <c r="A15" s="51">
        <v>44116</v>
      </c>
      <c r="B15" s="110">
        <v>1429688</v>
      </c>
      <c r="C15" s="61">
        <f t="shared" si="0"/>
        <v>260</v>
      </c>
      <c r="D15" s="110">
        <v>33135437</v>
      </c>
      <c r="E15" s="59">
        <f t="shared" si="1"/>
        <v>559</v>
      </c>
      <c r="F15" s="111">
        <v>752561</v>
      </c>
      <c r="G15" s="59">
        <f t="shared" si="2"/>
        <v>74</v>
      </c>
      <c r="H15" s="111">
        <v>83451</v>
      </c>
      <c r="I15" s="59">
        <f t="shared" si="3"/>
        <v>22</v>
      </c>
      <c r="J15" s="73">
        <v>176873</v>
      </c>
      <c r="K15" s="61">
        <f t="shared" si="4"/>
        <v>0</v>
      </c>
      <c r="L15" s="111">
        <v>78153</v>
      </c>
      <c r="M15" s="59">
        <f t="shared" si="5"/>
        <v>0</v>
      </c>
      <c r="N15" s="111">
        <v>599998</v>
      </c>
      <c r="O15" s="61">
        <f t="shared" si="6"/>
        <v>42</v>
      </c>
      <c r="P15" s="111">
        <v>155790</v>
      </c>
      <c r="Q15" s="59">
        <f t="shared" si="7"/>
        <v>0</v>
      </c>
      <c r="R15" s="111">
        <v>860068</v>
      </c>
      <c r="S15" s="61">
        <f t="shared" si="8"/>
        <v>242</v>
      </c>
      <c r="T15" s="111">
        <v>64848</v>
      </c>
      <c r="U15" s="59">
        <f t="shared" si="9"/>
        <v>22</v>
      </c>
      <c r="V15" s="111">
        <v>276879</v>
      </c>
      <c r="W15" s="61">
        <f t="shared" si="10"/>
        <v>54</v>
      </c>
      <c r="X15" s="73">
        <v>21007</v>
      </c>
      <c r="Y15" s="59">
        <f t="shared" si="11"/>
        <v>0</v>
      </c>
      <c r="Z15" s="112">
        <v>674899</v>
      </c>
      <c r="AA15" s="61">
        <f t="shared" si="12"/>
        <v>120</v>
      </c>
      <c r="AB15" s="74">
        <v>1410</v>
      </c>
      <c r="AC15" s="59">
        <f t="shared" si="13"/>
        <v>0</v>
      </c>
      <c r="AD15" s="67">
        <f t="shared" si="14"/>
        <v>1395</v>
      </c>
      <c r="AE15" s="17">
        <v>0</v>
      </c>
      <c r="AF15" s="52">
        <f t="shared" si="15"/>
        <v>0</v>
      </c>
    </row>
    <row r="16" spans="1:38">
      <c r="A16" s="51">
        <v>44117</v>
      </c>
      <c r="B16" s="110">
        <v>1429893</v>
      </c>
      <c r="C16" s="61">
        <f t="shared" si="0"/>
        <v>205</v>
      </c>
      <c r="D16" s="110">
        <v>33135999</v>
      </c>
      <c r="E16" s="59">
        <f t="shared" si="1"/>
        <v>562</v>
      </c>
      <c r="F16" s="111">
        <v>752676</v>
      </c>
      <c r="G16" s="59">
        <f t="shared" si="2"/>
        <v>115</v>
      </c>
      <c r="H16" s="111">
        <v>83475</v>
      </c>
      <c r="I16" s="59">
        <f t="shared" si="3"/>
        <v>24</v>
      </c>
      <c r="J16" s="73">
        <v>176873</v>
      </c>
      <c r="K16" s="61">
        <f t="shared" si="4"/>
        <v>0</v>
      </c>
      <c r="L16" s="111">
        <v>78153</v>
      </c>
      <c r="M16" s="59">
        <f t="shared" si="5"/>
        <v>0</v>
      </c>
      <c r="N16" s="111">
        <v>600033</v>
      </c>
      <c r="O16" s="61">
        <f t="shared" si="6"/>
        <v>35</v>
      </c>
      <c r="P16" s="111">
        <v>155790</v>
      </c>
      <c r="Q16" s="59">
        <f t="shared" si="7"/>
        <v>0</v>
      </c>
      <c r="R16" s="111">
        <v>860234</v>
      </c>
      <c r="S16" s="61">
        <f t="shared" si="8"/>
        <v>166</v>
      </c>
      <c r="T16" s="111">
        <v>64868</v>
      </c>
      <c r="U16" s="59">
        <f t="shared" si="9"/>
        <v>20</v>
      </c>
      <c r="V16" s="111">
        <v>276935</v>
      </c>
      <c r="W16" s="61">
        <f t="shared" si="10"/>
        <v>56</v>
      </c>
      <c r="X16" s="73">
        <v>21007</v>
      </c>
      <c r="Y16" s="59">
        <f t="shared" si="11"/>
        <v>0</v>
      </c>
      <c r="Z16" s="112">
        <v>674996</v>
      </c>
      <c r="AA16" s="61">
        <f t="shared" si="12"/>
        <v>97</v>
      </c>
      <c r="AB16" s="74">
        <v>1410</v>
      </c>
      <c r="AC16" s="59">
        <f t="shared" si="13"/>
        <v>0</v>
      </c>
      <c r="AD16" s="67">
        <f t="shared" si="14"/>
        <v>1280</v>
      </c>
      <c r="AE16" s="17">
        <v>0</v>
      </c>
      <c r="AF16" s="52">
        <f t="shared" si="15"/>
        <v>0</v>
      </c>
      <c r="AL16" t="s">
        <v>59</v>
      </c>
    </row>
    <row r="17" spans="1:38">
      <c r="A17" s="51">
        <v>44118</v>
      </c>
      <c r="B17" s="110">
        <v>1430149</v>
      </c>
      <c r="C17" s="61">
        <f t="shared" si="0"/>
        <v>256</v>
      </c>
      <c r="D17" s="110">
        <v>33136475</v>
      </c>
      <c r="E17" s="59">
        <f t="shared" si="1"/>
        <v>476</v>
      </c>
      <c r="F17" s="111">
        <v>752780</v>
      </c>
      <c r="G17" s="59">
        <f t="shared" si="2"/>
        <v>104</v>
      </c>
      <c r="H17" s="111">
        <v>83499</v>
      </c>
      <c r="I17" s="59">
        <f t="shared" si="3"/>
        <v>24</v>
      </c>
      <c r="J17" s="73">
        <v>176873</v>
      </c>
      <c r="K17" s="61">
        <f t="shared" si="4"/>
        <v>0</v>
      </c>
      <c r="L17" s="111">
        <v>78153</v>
      </c>
      <c r="M17" s="59">
        <f t="shared" si="5"/>
        <v>0</v>
      </c>
      <c r="N17" s="111">
        <v>600102</v>
      </c>
      <c r="O17" s="61">
        <f t="shared" si="6"/>
        <v>69</v>
      </c>
      <c r="P17" s="111">
        <v>155790</v>
      </c>
      <c r="Q17" s="59">
        <f t="shared" si="7"/>
        <v>0</v>
      </c>
      <c r="R17" s="111">
        <v>860408</v>
      </c>
      <c r="S17" s="61">
        <f t="shared" si="8"/>
        <v>174</v>
      </c>
      <c r="T17" s="111">
        <v>64897</v>
      </c>
      <c r="U17" s="59">
        <f t="shared" si="9"/>
        <v>29</v>
      </c>
      <c r="V17" s="111">
        <v>276986</v>
      </c>
      <c r="W17" s="61">
        <f t="shared" si="10"/>
        <v>51</v>
      </c>
      <c r="X17" s="73">
        <v>21007</v>
      </c>
      <c r="Y17" s="59">
        <f t="shared" si="11"/>
        <v>0</v>
      </c>
      <c r="Z17" s="112">
        <v>675099</v>
      </c>
      <c r="AA17" s="61">
        <f t="shared" si="12"/>
        <v>103</v>
      </c>
      <c r="AB17" s="74">
        <v>1410</v>
      </c>
      <c r="AC17" s="59">
        <f t="shared" si="13"/>
        <v>0</v>
      </c>
      <c r="AD17" s="67">
        <f t="shared" si="14"/>
        <v>1286</v>
      </c>
      <c r="AE17" s="17">
        <v>0</v>
      </c>
      <c r="AF17" s="52">
        <f t="shared" si="15"/>
        <v>0</v>
      </c>
    </row>
    <row r="18" spans="1:38">
      <c r="A18" s="51">
        <v>44119</v>
      </c>
      <c r="B18" s="110">
        <v>1430358</v>
      </c>
      <c r="C18" s="61">
        <f t="shared" si="0"/>
        <v>209</v>
      </c>
      <c r="D18" s="110">
        <v>33137107</v>
      </c>
      <c r="E18" s="59">
        <f t="shared" si="1"/>
        <v>632</v>
      </c>
      <c r="F18" s="111">
        <v>752877</v>
      </c>
      <c r="G18" s="59">
        <f t="shared" si="2"/>
        <v>97</v>
      </c>
      <c r="H18" s="111">
        <v>83521</v>
      </c>
      <c r="I18" s="59">
        <f t="shared" si="3"/>
        <v>22</v>
      </c>
      <c r="J18" s="73">
        <v>176873</v>
      </c>
      <c r="K18" s="61">
        <f t="shared" si="4"/>
        <v>0</v>
      </c>
      <c r="L18" s="111">
        <v>78153</v>
      </c>
      <c r="M18" s="59">
        <f t="shared" si="5"/>
        <v>0</v>
      </c>
      <c r="N18" s="111">
        <v>600174</v>
      </c>
      <c r="O18" s="61">
        <f t="shared" si="6"/>
        <v>72</v>
      </c>
      <c r="P18" s="111">
        <v>155790</v>
      </c>
      <c r="Q18" s="59">
        <f t="shared" si="7"/>
        <v>0</v>
      </c>
      <c r="R18" s="111">
        <v>860577</v>
      </c>
      <c r="S18" s="61">
        <f t="shared" si="8"/>
        <v>169</v>
      </c>
      <c r="T18" s="111">
        <v>64922</v>
      </c>
      <c r="U18" s="59">
        <f t="shared" si="9"/>
        <v>25</v>
      </c>
      <c r="V18" s="111">
        <v>277042</v>
      </c>
      <c r="W18" s="61">
        <f t="shared" si="10"/>
        <v>56</v>
      </c>
      <c r="X18" s="73">
        <v>21007</v>
      </c>
      <c r="Y18" s="59">
        <f t="shared" si="11"/>
        <v>0</v>
      </c>
      <c r="Z18" s="112">
        <v>675185</v>
      </c>
      <c r="AA18" s="61">
        <f t="shared" si="12"/>
        <v>86</v>
      </c>
      <c r="AB18" s="74">
        <v>1410</v>
      </c>
      <c r="AC18" s="59">
        <f t="shared" si="13"/>
        <v>0</v>
      </c>
      <c r="AD18" s="67">
        <f t="shared" si="14"/>
        <v>1368</v>
      </c>
      <c r="AE18" s="17">
        <v>0</v>
      </c>
      <c r="AF18" s="52">
        <f t="shared" si="15"/>
        <v>0</v>
      </c>
    </row>
    <row r="19" spans="1:38">
      <c r="A19" s="51">
        <v>44120</v>
      </c>
      <c r="B19" s="110">
        <v>1430621</v>
      </c>
      <c r="C19" s="61">
        <f t="shared" si="0"/>
        <v>263</v>
      </c>
      <c r="D19" s="110">
        <v>33137576</v>
      </c>
      <c r="E19" s="59">
        <f t="shared" si="1"/>
        <v>469</v>
      </c>
      <c r="F19" s="111">
        <v>753009</v>
      </c>
      <c r="G19" s="59">
        <f t="shared" si="2"/>
        <v>132</v>
      </c>
      <c r="H19" s="111">
        <v>83555</v>
      </c>
      <c r="I19" s="59">
        <f t="shared" si="3"/>
        <v>34</v>
      </c>
      <c r="J19" s="73">
        <v>176873</v>
      </c>
      <c r="K19" s="61">
        <f t="shared" si="4"/>
        <v>0</v>
      </c>
      <c r="L19" s="111">
        <v>78153</v>
      </c>
      <c r="M19" s="59">
        <f t="shared" si="5"/>
        <v>0</v>
      </c>
      <c r="N19" s="111">
        <v>600243</v>
      </c>
      <c r="O19" s="61">
        <f t="shared" si="6"/>
        <v>69</v>
      </c>
      <c r="P19" s="111">
        <v>155790</v>
      </c>
      <c r="Q19" s="59">
        <f t="shared" si="7"/>
        <v>0</v>
      </c>
      <c r="R19" s="111">
        <v>860799</v>
      </c>
      <c r="S19" s="61">
        <f t="shared" si="8"/>
        <v>222</v>
      </c>
      <c r="T19" s="111">
        <v>64945</v>
      </c>
      <c r="U19" s="59">
        <f t="shared" si="9"/>
        <v>23</v>
      </c>
      <c r="V19" s="111">
        <v>277101</v>
      </c>
      <c r="W19" s="61">
        <f t="shared" si="10"/>
        <v>59</v>
      </c>
      <c r="X19" s="73">
        <v>21007</v>
      </c>
      <c r="Y19" s="59">
        <f t="shared" si="11"/>
        <v>0</v>
      </c>
      <c r="Z19" s="112">
        <v>675312</v>
      </c>
      <c r="AA19" s="61">
        <f t="shared" si="12"/>
        <v>127</v>
      </c>
      <c r="AB19" s="74">
        <v>1410</v>
      </c>
      <c r="AC19" s="59">
        <f t="shared" si="13"/>
        <v>0</v>
      </c>
      <c r="AD19" s="67">
        <f t="shared" si="14"/>
        <v>1398</v>
      </c>
      <c r="AE19" s="17">
        <v>0</v>
      </c>
      <c r="AF19" s="52">
        <f t="shared" si="15"/>
        <v>0</v>
      </c>
    </row>
    <row r="20" spans="1:38">
      <c r="A20" s="51">
        <v>44121</v>
      </c>
      <c r="B20" s="110">
        <v>1430866</v>
      </c>
      <c r="C20" s="61">
        <f t="shared" si="0"/>
        <v>245</v>
      </c>
      <c r="D20" s="110">
        <v>33138112</v>
      </c>
      <c r="E20" s="59">
        <f t="shared" si="1"/>
        <v>536</v>
      </c>
      <c r="F20" s="111">
        <v>753069</v>
      </c>
      <c r="G20" s="59">
        <f t="shared" si="2"/>
        <v>60</v>
      </c>
      <c r="H20" s="111">
        <v>83577</v>
      </c>
      <c r="I20" s="59">
        <f t="shared" si="3"/>
        <v>22</v>
      </c>
      <c r="J20" s="73">
        <v>176873</v>
      </c>
      <c r="K20" s="61">
        <f t="shared" si="4"/>
        <v>0</v>
      </c>
      <c r="L20" s="111">
        <v>78153</v>
      </c>
      <c r="M20" s="59">
        <f t="shared" si="5"/>
        <v>0</v>
      </c>
      <c r="N20" s="111">
        <v>600302</v>
      </c>
      <c r="O20" s="61">
        <f t="shared" si="6"/>
        <v>59</v>
      </c>
      <c r="P20" s="111">
        <v>155790</v>
      </c>
      <c r="Q20" s="59">
        <f t="shared" si="7"/>
        <v>0</v>
      </c>
      <c r="R20" s="111">
        <v>861015</v>
      </c>
      <c r="S20" s="61">
        <f t="shared" si="8"/>
        <v>216</v>
      </c>
      <c r="T20" s="111">
        <v>64971</v>
      </c>
      <c r="U20" s="59">
        <f t="shared" si="9"/>
        <v>26</v>
      </c>
      <c r="V20" s="111">
        <v>277156</v>
      </c>
      <c r="W20" s="61">
        <f t="shared" si="10"/>
        <v>55</v>
      </c>
      <c r="X20" s="73">
        <v>21007</v>
      </c>
      <c r="Y20" s="59">
        <f t="shared" si="11"/>
        <v>0</v>
      </c>
      <c r="Z20" s="112">
        <v>675409</v>
      </c>
      <c r="AA20" s="61">
        <f t="shared" si="12"/>
        <v>97</v>
      </c>
      <c r="AB20" s="74">
        <v>1410</v>
      </c>
      <c r="AC20" s="59">
        <f t="shared" si="13"/>
        <v>0</v>
      </c>
      <c r="AD20" s="67">
        <f t="shared" si="14"/>
        <v>1316</v>
      </c>
      <c r="AE20" s="17">
        <v>0</v>
      </c>
      <c r="AF20" s="52">
        <f t="shared" si="15"/>
        <v>0</v>
      </c>
    </row>
    <row r="21" spans="1:38">
      <c r="A21" s="51">
        <v>44122</v>
      </c>
      <c r="B21" s="110">
        <v>1431100</v>
      </c>
      <c r="C21" s="61">
        <f t="shared" si="0"/>
        <v>234</v>
      </c>
      <c r="D21" s="110">
        <v>33138644</v>
      </c>
      <c r="E21" s="59">
        <f t="shared" si="1"/>
        <v>532</v>
      </c>
      <c r="F21" s="111">
        <v>753144</v>
      </c>
      <c r="G21" s="59">
        <f t="shared" si="2"/>
        <v>75</v>
      </c>
      <c r="H21" s="111">
        <v>83596</v>
      </c>
      <c r="I21" s="59">
        <f t="shared" si="3"/>
        <v>19</v>
      </c>
      <c r="J21" s="73">
        <v>176873</v>
      </c>
      <c r="K21" s="61">
        <f t="shared" si="4"/>
        <v>0</v>
      </c>
      <c r="L21" s="111">
        <v>78153</v>
      </c>
      <c r="M21" s="59">
        <f t="shared" si="5"/>
        <v>0</v>
      </c>
      <c r="N21" s="111">
        <v>600360</v>
      </c>
      <c r="O21" s="61">
        <f t="shared" si="6"/>
        <v>58</v>
      </c>
      <c r="P21" s="111">
        <v>155790</v>
      </c>
      <c r="Q21" s="59">
        <f t="shared" si="7"/>
        <v>0</v>
      </c>
      <c r="R21" s="111">
        <v>861220</v>
      </c>
      <c r="S21" s="61">
        <f t="shared" si="8"/>
        <v>205</v>
      </c>
      <c r="T21" s="111">
        <v>64994</v>
      </c>
      <c r="U21" s="59">
        <f t="shared" si="9"/>
        <v>23</v>
      </c>
      <c r="V21" s="111">
        <v>277212</v>
      </c>
      <c r="W21" s="61">
        <f t="shared" si="10"/>
        <v>56</v>
      </c>
      <c r="X21" s="73">
        <v>21007</v>
      </c>
      <c r="Y21" s="59">
        <f t="shared" si="11"/>
        <v>0</v>
      </c>
      <c r="Z21" s="112">
        <v>675497</v>
      </c>
      <c r="AA21" s="61">
        <f t="shared" si="12"/>
        <v>88</v>
      </c>
      <c r="AB21" s="74">
        <v>1410</v>
      </c>
      <c r="AC21" s="59">
        <f t="shared" si="13"/>
        <v>0</v>
      </c>
      <c r="AD21" s="67">
        <f t="shared" si="14"/>
        <v>1290</v>
      </c>
      <c r="AE21" s="17">
        <v>0</v>
      </c>
      <c r="AF21" s="52">
        <f t="shared" si="15"/>
        <v>0</v>
      </c>
    </row>
    <row r="22" spans="1:38">
      <c r="A22" s="51">
        <v>44123</v>
      </c>
      <c r="B22" s="110">
        <v>1431349</v>
      </c>
      <c r="C22" s="61">
        <f t="shared" si="0"/>
        <v>249</v>
      </c>
      <c r="D22" s="110">
        <v>33139211</v>
      </c>
      <c r="E22" s="59">
        <f t="shared" si="1"/>
        <v>567</v>
      </c>
      <c r="F22" s="111">
        <v>753144</v>
      </c>
      <c r="G22" s="59">
        <f t="shared" si="2"/>
        <v>0</v>
      </c>
      <c r="H22" s="111">
        <v>83618</v>
      </c>
      <c r="I22" s="59">
        <f t="shared" si="3"/>
        <v>22</v>
      </c>
      <c r="J22" s="73">
        <v>176881</v>
      </c>
      <c r="K22" s="61">
        <f t="shared" si="4"/>
        <v>8</v>
      </c>
      <c r="L22" s="111">
        <v>78153</v>
      </c>
      <c r="M22" s="59">
        <f t="shared" si="5"/>
        <v>0</v>
      </c>
      <c r="N22" s="111">
        <v>600410</v>
      </c>
      <c r="O22" s="61">
        <f t="shared" si="6"/>
        <v>50</v>
      </c>
      <c r="P22" s="111">
        <v>155790</v>
      </c>
      <c r="Q22" s="59">
        <f t="shared" si="7"/>
        <v>0</v>
      </c>
      <c r="R22" s="111">
        <v>861420</v>
      </c>
      <c r="S22" s="61">
        <f t="shared" si="8"/>
        <v>200</v>
      </c>
      <c r="T22" s="111">
        <v>65016</v>
      </c>
      <c r="U22" s="59">
        <f t="shared" si="9"/>
        <v>22</v>
      </c>
      <c r="V22" s="111">
        <v>277266</v>
      </c>
      <c r="W22" s="61">
        <f t="shared" si="10"/>
        <v>54</v>
      </c>
      <c r="X22" s="73">
        <v>21007</v>
      </c>
      <c r="Y22" s="59">
        <f t="shared" si="11"/>
        <v>0</v>
      </c>
      <c r="Z22" s="112">
        <v>675578</v>
      </c>
      <c r="AA22" s="61">
        <f t="shared" si="12"/>
        <v>81</v>
      </c>
      <c r="AB22" s="74">
        <v>1410</v>
      </c>
      <c r="AC22" s="59">
        <f t="shared" si="13"/>
        <v>0</v>
      </c>
      <c r="AD22" s="67">
        <f t="shared" si="14"/>
        <v>1253</v>
      </c>
      <c r="AE22" s="17">
        <v>0</v>
      </c>
      <c r="AF22" s="52">
        <f t="shared" si="15"/>
        <v>0</v>
      </c>
    </row>
    <row r="23" spans="1:38">
      <c r="A23" s="51">
        <v>44124</v>
      </c>
      <c r="B23" s="110">
        <v>1431555</v>
      </c>
      <c r="C23" s="61">
        <f t="shared" si="0"/>
        <v>206</v>
      </c>
      <c r="D23" s="110">
        <v>33139738</v>
      </c>
      <c r="E23" s="59">
        <f t="shared" si="1"/>
        <v>527</v>
      </c>
      <c r="F23" s="111">
        <v>753144</v>
      </c>
      <c r="G23" s="59">
        <f t="shared" si="2"/>
        <v>0</v>
      </c>
      <c r="H23" s="111">
        <v>83644</v>
      </c>
      <c r="I23" s="59">
        <f t="shared" si="3"/>
        <v>26</v>
      </c>
      <c r="J23" s="72">
        <v>176881</v>
      </c>
      <c r="K23" s="61">
        <f t="shared" si="4"/>
        <v>0</v>
      </c>
      <c r="L23" s="111">
        <v>78153</v>
      </c>
      <c r="M23" s="59">
        <f t="shared" si="5"/>
        <v>0</v>
      </c>
      <c r="N23" s="111">
        <v>600561</v>
      </c>
      <c r="O23" s="61">
        <f t="shared" si="6"/>
        <v>151</v>
      </c>
      <c r="P23" s="111">
        <v>155790</v>
      </c>
      <c r="Q23" s="59">
        <f t="shared" si="7"/>
        <v>0</v>
      </c>
      <c r="R23" s="111">
        <v>861584</v>
      </c>
      <c r="S23" s="61">
        <f t="shared" si="8"/>
        <v>164</v>
      </c>
      <c r="T23" s="111">
        <v>65033</v>
      </c>
      <c r="U23" s="59">
        <f t="shared" si="9"/>
        <v>17</v>
      </c>
      <c r="V23" s="111">
        <v>277319</v>
      </c>
      <c r="W23" s="61">
        <f t="shared" si="10"/>
        <v>53</v>
      </c>
      <c r="X23" s="73">
        <v>21007</v>
      </c>
      <c r="Y23" s="59">
        <f t="shared" si="11"/>
        <v>0</v>
      </c>
      <c r="Z23" s="112">
        <v>675707</v>
      </c>
      <c r="AA23" s="61">
        <f t="shared" si="12"/>
        <v>129</v>
      </c>
      <c r="AB23" s="74">
        <v>1410</v>
      </c>
      <c r="AC23" s="59">
        <f t="shared" si="13"/>
        <v>0</v>
      </c>
      <c r="AD23" s="67">
        <f t="shared" si="14"/>
        <v>1273</v>
      </c>
      <c r="AE23" s="17">
        <v>0</v>
      </c>
      <c r="AF23" s="52">
        <f t="shared" si="15"/>
        <v>0</v>
      </c>
    </row>
    <row r="24" spans="1:38">
      <c r="A24" s="51">
        <v>44125</v>
      </c>
      <c r="B24" s="110">
        <v>1431806</v>
      </c>
      <c r="C24" s="61">
        <f t="shared" si="0"/>
        <v>251</v>
      </c>
      <c r="D24" s="110">
        <v>33140261</v>
      </c>
      <c r="E24" s="59">
        <f t="shared" si="1"/>
        <v>523</v>
      </c>
      <c r="F24" s="111">
        <v>753144</v>
      </c>
      <c r="G24" s="59">
        <f t="shared" si="2"/>
        <v>0</v>
      </c>
      <c r="H24" s="111">
        <v>83667</v>
      </c>
      <c r="I24" s="59">
        <f t="shared" si="3"/>
        <v>23</v>
      </c>
      <c r="J24" s="72">
        <v>176881</v>
      </c>
      <c r="K24" s="61">
        <f t="shared" si="4"/>
        <v>0</v>
      </c>
      <c r="L24" s="111">
        <v>78153</v>
      </c>
      <c r="M24" s="59">
        <f t="shared" si="5"/>
        <v>0</v>
      </c>
      <c r="N24" s="111">
        <v>600668</v>
      </c>
      <c r="O24" s="61">
        <f t="shared" si="6"/>
        <v>107</v>
      </c>
      <c r="P24" s="111">
        <v>155790</v>
      </c>
      <c r="Q24" s="59">
        <f t="shared" si="7"/>
        <v>0</v>
      </c>
      <c r="R24" s="111">
        <v>861749</v>
      </c>
      <c r="S24" s="61">
        <f t="shared" si="8"/>
        <v>165</v>
      </c>
      <c r="T24" s="111">
        <v>65056</v>
      </c>
      <c r="U24" s="59">
        <f t="shared" si="9"/>
        <v>23</v>
      </c>
      <c r="V24" s="111">
        <v>277375</v>
      </c>
      <c r="W24" s="61">
        <f t="shared" si="10"/>
        <v>56</v>
      </c>
      <c r="X24" s="73">
        <v>21007</v>
      </c>
      <c r="Y24" s="59">
        <f t="shared" si="11"/>
        <v>0</v>
      </c>
      <c r="Z24" s="112">
        <v>675794</v>
      </c>
      <c r="AA24" s="61">
        <f t="shared" si="12"/>
        <v>87</v>
      </c>
      <c r="AB24" s="74">
        <v>1410</v>
      </c>
      <c r="AC24" s="59">
        <f t="shared" si="13"/>
        <v>0</v>
      </c>
      <c r="AD24" s="67">
        <f t="shared" si="14"/>
        <v>1235</v>
      </c>
      <c r="AE24" s="17">
        <v>0</v>
      </c>
      <c r="AF24" s="52">
        <f t="shared" si="15"/>
        <v>0</v>
      </c>
      <c r="AI24" t="s">
        <v>59</v>
      </c>
    </row>
    <row r="25" spans="1:38">
      <c r="A25" s="51">
        <v>44126</v>
      </c>
      <c r="B25" s="110">
        <v>1432065</v>
      </c>
      <c r="C25" s="61">
        <f t="shared" si="0"/>
        <v>259</v>
      </c>
      <c r="D25" s="110">
        <v>33140825</v>
      </c>
      <c r="E25" s="59">
        <f t="shared" si="1"/>
        <v>564</v>
      </c>
      <c r="F25" s="111">
        <v>753144</v>
      </c>
      <c r="G25" s="59">
        <f t="shared" si="2"/>
        <v>0</v>
      </c>
      <c r="H25" s="111">
        <v>83695</v>
      </c>
      <c r="I25" s="59">
        <f t="shared" si="3"/>
        <v>28</v>
      </c>
      <c r="J25" s="72">
        <v>176881</v>
      </c>
      <c r="K25" s="61">
        <f t="shared" si="4"/>
        <v>0</v>
      </c>
      <c r="L25" s="111">
        <v>78153</v>
      </c>
      <c r="M25" s="59">
        <f t="shared" si="5"/>
        <v>0</v>
      </c>
      <c r="N25" s="111">
        <v>600731</v>
      </c>
      <c r="O25" s="61">
        <f t="shared" si="6"/>
        <v>63</v>
      </c>
      <c r="P25" s="111">
        <v>155790</v>
      </c>
      <c r="Q25" s="59">
        <f t="shared" si="7"/>
        <v>0</v>
      </c>
      <c r="R25" s="111">
        <v>861912</v>
      </c>
      <c r="S25" s="61">
        <f t="shared" si="8"/>
        <v>163</v>
      </c>
      <c r="T25" s="111">
        <v>65081</v>
      </c>
      <c r="U25" s="59">
        <f t="shared" si="9"/>
        <v>25</v>
      </c>
      <c r="V25" s="111">
        <v>277434</v>
      </c>
      <c r="W25" s="61">
        <f t="shared" si="10"/>
        <v>59</v>
      </c>
      <c r="X25" s="73">
        <v>21007</v>
      </c>
      <c r="Y25" s="59">
        <f t="shared" si="11"/>
        <v>0</v>
      </c>
      <c r="Z25" s="112">
        <v>675914</v>
      </c>
      <c r="AA25" s="61">
        <f t="shared" si="12"/>
        <v>120</v>
      </c>
      <c r="AB25" s="74">
        <v>1410</v>
      </c>
      <c r="AC25" s="59">
        <f t="shared" si="13"/>
        <v>0</v>
      </c>
      <c r="AD25" s="67">
        <f t="shared" si="14"/>
        <v>1281</v>
      </c>
      <c r="AE25" s="17">
        <v>0</v>
      </c>
      <c r="AF25" s="52">
        <f t="shared" si="15"/>
        <v>0</v>
      </c>
      <c r="AH25" t="s">
        <v>59</v>
      </c>
    </row>
    <row r="26" spans="1:38">
      <c r="A26" s="51">
        <v>44127</v>
      </c>
      <c r="B26" s="110">
        <v>1432345</v>
      </c>
      <c r="C26" s="61">
        <f t="shared" si="0"/>
        <v>280</v>
      </c>
      <c r="D26" s="110">
        <v>33141450</v>
      </c>
      <c r="E26" s="59">
        <f t="shared" si="1"/>
        <v>625</v>
      </c>
      <c r="F26" s="111">
        <v>753144</v>
      </c>
      <c r="G26" s="59">
        <f t="shared" si="2"/>
        <v>0</v>
      </c>
      <c r="H26" s="111">
        <v>83728</v>
      </c>
      <c r="I26" s="59">
        <f t="shared" si="3"/>
        <v>33</v>
      </c>
      <c r="J26" s="72">
        <v>176881</v>
      </c>
      <c r="K26" s="61">
        <f t="shared" si="4"/>
        <v>0</v>
      </c>
      <c r="L26" s="111">
        <v>78153</v>
      </c>
      <c r="M26" s="59">
        <f t="shared" si="5"/>
        <v>0</v>
      </c>
      <c r="N26" s="111">
        <v>600832</v>
      </c>
      <c r="O26" s="61">
        <f t="shared" si="6"/>
        <v>101</v>
      </c>
      <c r="P26" s="111">
        <v>155790</v>
      </c>
      <c r="Q26" s="59">
        <f t="shared" si="7"/>
        <v>0</v>
      </c>
      <c r="R26" s="111">
        <v>862106</v>
      </c>
      <c r="S26" s="61">
        <f t="shared" si="8"/>
        <v>194</v>
      </c>
      <c r="T26" s="111">
        <v>65106</v>
      </c>
      <c r="U26" s="59">
        <f t="shared" si="9"/>
        <v>25</v>
      </c>
      <c r="V26" s="111">
        <v>277494</v>
      </c>
      <c r="W26" s="61">
        <f t="shared" si="10"/>
        <v>60</v>
      </c>
      <c r="X26" s="73">
        <v>21007</v>
      </c>
      <c r="Y26" s="59">
        <f t="shared" si="11"/>
        <v>0</v>
      </c>
      <c r="Z26" s="112">
        <v>675939</v>
      </c>
      <c r="AA26" s="61">
        <f t="shared" si="12"/>
        <v>25</v>
      </c>
      <c r="AB26" s="74">
        <v>1410</v>
      </c>
      <c r="AC26" s="59">
        <f t="shared" si="13"/>
        <v>0</v>
      </c>
      <c r="AD26" s="67">
        <f t="shared" si="14"/>
        <v>1343</v>
      </c>
      <c r="AE26" s="17">
        <v>0</v>
      </c>
      <c r="AF26" s="52">
        <f t="shared" si="15"/>
        <v>0</v>
      </c>
    </row>
    <row r="27" spans="1:38">
      <c r="A27" s="51">
        <v>44128</v>
      </c>
      <c r="B27" s="110">
        <v>1432542</v>
      </c>
      <c r="C27" s="61">
        <f t="shared" si="0"/>
        <v>197</v>
      </c>
      <c r="D27" s="110">
        <v>33142050</v>
      </c>
      <c r="E27" s="59">
        <f t="shared" si="1"/>
        <v>600</v>
      </c>
      <c r="F27" s="111">
        <v>753144</v>
      </c>
      <c r="G27" s="59">
        <f t="shared" si="2"/>
        <v>0</v>
      </c>
      <c r="H27" s="111">
        <v>83752</v>
      </c>
      <c r="I27" s="59">
        <f t="shared" si="3"/>
        <v>24</v>
      </c>
      <c r="J27" s="72">
        <v>176881</v>
      </c>
      <c r="K27" s="61">
        <f t="shared" si="4"/>
        <v>0</v>
      </c>
      <c r="L27" s="111">
        <v>78153</v>
      </c>
      <c r="M27" s="59">
        <f t="shared" si="5"/>
        <v>0</v>
      </c>
      <c r="N27" s="111">
        <v>600916</v>
      </c>
      <c r="O27" s="61">
        <f t="shared" si="6"/>
        <v>84</v>
      </c>
      <c r="P27" s="111">
        <v>155827</v>
      </c>
      <c r="Q27" s="59">
        <f t="shared" si="7"/>
        <v>37</v>
      </c>
      <c r="R27" s="111">
        <v>862296</v>
      </c>
      <c r="S27" s="61">
        <f t="shared" si="8"/>
        <v>190</v>
      </c>
      <c r="T27" s="111">
        <v>65132</v>
      </c>
      <c r="U27" s="59">
        <f t="shared" si="9"/>
        <v>26</v>
      </c>
      <c r="V27" s="111">
        <v>277554</v>
      </c>
      <c r="W27" s="61">
        <f t="shared" si="10"/>
        <v>60</v>
      </c>
      <c r="X27" s="73">
        <v>21007</v>
      </c>
      <c r="Y27" s="59">
        <f t="shared" si="11"/>
        <v>0</v>
      </c>
      <c r="Z27" s="112">
        <v>675939</v>
      </c>
      <c r="AA27" s="61">
        <f t="shared" si="12"/>
        <v>0</v>
      </c>
      <c r="AB27" s="74">
        <v>1410</v>
      </c>
      <c r="AC27" s="59">
        <f t="shared" si="13"/>
        <v>0</v>
      </c>
      <c r="AD27" s="67">
        <f t="shared" si="14"/>
        <v>1218</v>
      </c>
      <c r="AE27" s="17">
        <v>0</v>
      </c>
      <c r="AF27" s="52">
        <f t="shared" si="15"/>
        <v>0</v>
      </c>
    </row>
    <row r="28" spans="1:38">
      <c r="A28" s="51">
        <v>44129</v>
      </c>
      <c r="B28" s="110">
        <v>1432797</v>
      </c>
      <c r="C28" s="61">
        <f t="shared" si="0"/>
        <v>255</v>
      </c>
      <c r="D28" s="110">
        <v>33142653</v>
      </c>
      <c r="E28" s="59">
        <f t="shared" si="1"/>
        <v>603</v>
      </c>
      <c r="F28" s="111">
        <v>753144</v>
      </c>
      <c r="G28" s="59">
        <f t="shared" si="2"/>
        <v>0</v>
      </c>
      <c r="H28" s="111">
        <v>83778</v>
      </c>
      <c r="I28" s="59">
        <f t="shared" si="3"/>
        <v>26</v>
      </c>
      <c r="J28" s="72">
        <v>176881</v>
      </c>
      <c r="K28" s="61">
        <f t="shared" si="4"/>
        <v>0</v>
      </c>
      <c r="L28" s="111">
        <v>78153</v>
      </c>
      <c r="M28" s="59">
        <f t="shared" si="5"/>
        <v>0</v>
      </c>
      <c r="N28" s="111">
        <v>601046</v>
      </c>
      <c r="O28" s="61">
        <f t="shared" si="6"/>
        <v>130</v>
      </c>
      <c r="P28" s="111">
        <v>155857</v>
      </c>
      <c r="Q28" s="59">
        <f t="shared" si="7"/>
        <v>30</v>
      </c>
      <c r="R28" s="111">
        <v>862486</v>
      </c>
      <c r="S28" s="61">
        <f t="shared" si="8"/>
        <v>190</v>
      </c>
      <c r="T28" s="111">
        <v>65152</v>
      </c>
      <c r="U28" s="59">
        <f t="shared" si="9"/>
        <v>20</v>
      </c>
      <c r="V28" s="111">
        <v>277609</v>
      </c>
      <c r="W28" s="61">
        <f t="shared" si="10"/>
        <v>55</v>
      </c>
      <c r="X28" s="73">
        <v>21007</v>
      </c>
      <c r="Y28" s="59">
        <f t="shared" si="11"/>
        <v>0</v>
      </c>
      <c r="Z28" s="112">
        <v>675939</v>
      </c>
      <c r="AA28" s="61">
        <f t="shared" si="12"/>
        <v>0</v>
      </c>
      <c r="AB28" s="74">
        <v>1410</v>
      </c>
      <c r="AC28" s="59">
        <f t="shared" si="13"/>
        <v>0</v>
      </c>
      <c r="AD28" s="67">
        <f t="shared" si="14"/>
        <v>1309</v>
      </c>
      <c r="AE28" s="17">
        <v>0</v>
      </c>
      <c r="AF28" s="52">
        <f t="shared" si="15"/>
        <v>0</v>
      </c>
    </row>
    <row r="29" spans="1:38">
      <c r="A29" s="51">
        <v>44130</v>
      </c>
      <c r="B29" s="110">
        <v>1432996</v>
      </c>
      <c r="C29" s="61">
        <f t="shared" si="0"/>
        <v>199</v>
      </c>
      <c r="D29" s="110">
        <v>33143251</v>
      </c>
      <c r="E29" s="59">
        <f t="shared" si="1"/>
        <v>598</v>
      </c>
      <c r="F29" s="111">
        <v>753144</v>
      </c>
      <c r="G29" s="59">
        <f t="shared" si="2"/>
        <v>0</v>
      </c>
      <c r="H29" s="111">
        <v>83793</v>
      </c>
      <c r="I29" s="59">
        <f t="shared" si="3"/>
        <v>15</v>
      </c>
      <c r="J29" s="72">
        <v>176881</v>
      </c>
      <c r="K29" s="61">
        <f t="shared" si="4"/>
        <v>0</v>
      </c>
      <c r="L29" s="111">
        <v>78153</v>
      </c>
      <c r="M29" s="59">
        <f t="shared" si="5"/>
        <v>0</v>
      </c>
      <c r="N29" s="111">
        <v>601143</v>
      </c>
      <c r="O29" s="61">
        <f t="shared" si="6"/>
        <v>97</v>
      </c>
      <c r="P29" s="111">
        <v>155891</v>
      </c>
      <c r="Q29" s="59">
        <f t="shared" si="7"/>
        <v>34</v>
      </c>
      <c r="R29" s="111">
        <v>862675</v>
      </c>
      <c r="S29" s="61">
        <f t="shared" si="8"/>
        <v>189</v>
      </c>
      <c r="T29" s="111">
        <v>65173</v>
      </c>
      <c r="U29" s="59">
        <f t="shared" si="9"/>
        <v>21</v>
      </c>
      <c r="V29" s="111">
        <v>277663</v>
      </c>
      <c r="W29" s="61">
        <f t="shared" si="10"/>
        <v>54</v>
      </c>
      <c r="X29" s="73">
        <v>21007</v>
      </c>
      <c r="Y29" s="59">
        <f t="shared" si="11"/>
        <v>0</v>
      </c>
      <c r="Z29" s="112">
        <v>675985</v>
      </c>
      <c r="AA29" s="61">
        <f t="shared" si="12"/>
        <v>46</v>
      </c>
      <c r="AB29" s="74">
        <v>1410</v>
      </c>
      <c r="AC29" s="59">
        <f t="shared" si="13"/>
        <v>0</v>
      </c>
      <c r="AD29" s="67">
        <f t="shared" si="14"/>
        <v>1253</v>
      </c>
      <c r="AE29" s="17">
        <v>0</v>
      </c>
      <c r="AF29" s="52">
        <f t="shared" si="15"/>
        <v>0</v>
      </c>
      <c r="AL29" t="s">
        <v>59</v>
      </c>
    </row>
    <row r="30" spans="1:38">
      <c r="A30" s="51">
        <v>44131</v>
      </c>
      <c r="B30" s="110">
        <v>1433232</v>
      </c>
      <c r="C30" s="61">
        <f t="shared" si="0"/>
        <v>236</v>
      </c>
      <c r="D30" s="110">
        <v>33143835</v>
      </c>
      <c r="E30" s="59">
        <f t="shared" si="1"/>
        <v>584</v>
      </c>
      <c r="F30" s="111">
        <v>753144</v>
      </c>
      <c r="G30" s="59">
        <f t="shared" si="2"/>
        <v>0</v>
      </c>
      <c r="H30" s="111">
        <v>83826</v>
      </c>
      <c r="I30" s="59">
        <f t="shared" si="3"/>
        <v>33</v>
      </c>
      <c r="J30" s="72">
        <v>176881</v>
      </c>
      <c r="K30" s="61">
        <f t="shared" si="4"/>
        <v>0</v>
      </c>
      <c r="L30" s="111">
        <v>78153</v>
      </c>
      <c r="M30" s="59">
        <f t="shared" si="5"/>
        <v>0</v>
      </c>
      <c r="N30" s="111">
        <v>601251</v>
      </c>
      <c r="O30" s="61">
        <f t="shared" si="6"/>
        <v>108</v>
      </c>
      <c r="P30" s="111">
        <v>155931</v>
      </c>
      <c r="Q30" s="59">
        <f t="shared" si="7"/>
        <v>40</v>
      </c>
      <c r="R30" s="111">
        <v>862851</v>
      </c>
      <c r="S30" s="61">
        <f t="shared" si="8"/>
        <v>176</v>
      </c>
      <c r="T30" s="111">
        <v>65193</v>
      </c>
      <c r="U30" s="59">
        <f t="shared" si="9"/>
        <v>20</v>
      </c>
      <c r="V30" s="111">
        <v>277719</v>
      </c>
      <c r="W30" s="61">
        <f t="shared" si="10"/>
        <v>56</v>
      </c>
      <c r="X30" s="73">
        <v>21007</v>
      </c>
      <c r="Y30" s="59">
        <f t="shared" si="11"/>
        <v>0</v>
      </c>
      <c r="Z30" s="112">
        <v>676153</v>
      </c>
      <c r="AA30" s="61">
        <f t="shared" si="12"/>
        <v>168</v>
      </c>
      <c r="AB30" s="74">
        <v>1410</v>
      </c>
      <c r="AC30" s="59">
        <f t="shared" si="13"/>
        <v>0</v>
      </c>
      <c r="AD30" s="67">
        <f t="shared" si="14"/>
        <v>1421</v>
      </c>
      <c r="AE30" s="17">
        <v>0</v>
      </c>
      <c r="AF30" s="52">
        <f t="shared" si="15"/>
        <v>0</v>
      </c>
    </row>
    <row r="31" spans="1:38">
      <c r="A31" s="51">
        <v>44132</v>
      </c>
      <c r="B31" s="110">
        <v>1433458</v>
      </c>
      <c r="C31" s="61">
        <f t="shared" si="0"/>
        <v>226</v>
      </c>
      <c r="D31" s="110">
        <v>33144430</v>
      </c>
      <c r="E31" s="59">
        <f t="shared" si="1"/>
        <v>595</v>
      </c>
      <c r="F31" s="111">
        <v>753144</v>
      </c>
      <c r="G31" s="59">
        <f t="shared" si="2"/>
        <v>0</v>
      </c>
      <c r="H31" s="111">
        <v>83853</v>
      </c>
      <c r="I31" s="59">
        <f t="shared" si="3"/>
        <v>27</v>
      </c>
      <c r="J31" s="73">
        <v>176881</v>
      </c>
      <c r="K31" s="61">
        <f t="shared" si="4"/>
        <v>0</v>
      </c>
      <c r="L31" s="111">
        <v>78153</v>
      </c>
      <c r="M31" s="59">
        <f t="shared" si="5"/>
        <v>0</v>
      </c>
      <c r="N31" s="111">
        <v>601404</v>
      </c>
      <c r="O31" s="61">
        <f t="shared" si="6"/>
        <v>153</v>
      </c>
      <c r="P31" s="111">
        <v>155968</v>
      </c>
      <c r="Q31" s="59">
        <f t="shared" si="7"/>
        <v>37</v>
      </c>
      <c r="R31" s="111">
        <v>863024</v>
      </c>
      <c r="S31" s="61">
        <f t="shared" si="8"/>
        <v>173</v>
      </c>
      <c r="T31" s="111">
        <v>65218</v>
      </c>
      <c r="U31" s="59">
        <f t="shared" si="9"/>
        <v>25</v>
      </c>
      <c r="V31" s="111">
        <v>277773</v>
      </c>
      <c r="W31" s="61">
        <f t="shared" si="10"/>
        <v>54</v>
      </c>
      <c r="X31" s="73">
        <v>21007</v>
      </c>
      <c r="Y31" s="59">
        <f t="shared" si="11"/>
        <v>0</v>
      </c>
      <c r="Z31" s="112">
        <v>676190</v>
      </c>
      <c r="AA31" s="61">
        <f t="shared" si="12"/>
        <v>37</v>
      </c>
      <c r="AB31" s="74">
        <v>1410</v>
      </c>
      <c r="AC31" s="59">
        <f t="shared" si="13"/>
        <v>0</v>
      </c>
      <c r="AD31" s="67">
        <f>AC31+AA31+Y31+W31+U31+S31+Q31+O31+M31+K31+I31+G31+E31+C31</f>
        <v>1327</v>
      </c>
      <c r="AE31" s="17">
        <v>0</v>
      </c>
      <c r="AF31" s="52">
        <f t="shared" si="15"/>
        <v>0</v>
      </c>
    </row>
    <row r="32" spans="1:38">
      <c r="A32" s="51">
        <v>44133</v>
      </c>
      <c r="B32" s="110">
        <v>1433729</v>
      </c>
      <c r="C32" s="61">
        <f t="shared" si="0"/>
        <v>271</v>
      </c>
      <c r="D32" s="110">
        <v>33145040</v>
      </c>
      <c r="E32" s="59">
        <f t="shared" si="1"/>
        <v>610</v>
      </c>
      <c r="F32" s="111">
        <v>753144</v>
      </c>
      <c r="G32" s="59">
        <f t="shared" si="2"/>
        <v>0</v>
      </c>
      <c r="H32" s="111">
        <v>83885</v>
      </c>
      <c r="I32" s="59">
        <f t="shared" si="3"/>
        <v>32</v>
      </c>
      <c r="J32" s="73">
        <v>176881</v>
      </c>
      <c r="K32" s="61">
        <f t="shared" si="4"/>
        <v>0</v>
      </c>
      <c r="L32" s="111">
        <v>78228</v>
      </c>
      <c r="M32" s="59">
        <f t="shared" si="5"/>
        <v>75</v>
      </c>
      <c r="N32" s="111">
        <v>601596</v>
      </c>
      <c r="O32" s="61">
        <f t="shared" si="6"/>
        <v>192</v>
      </c>
      <c r="P32" s="111">
        <v>155993</v>
      </c>
      <c r="Q32" s="59">
        <f t="shared" si="7"/>
        <v>25</v>
      </c>
      <c r="R32" s="111">
        <v>863255</v>
      </c>
      <c r="S32" s="61">
        <f t="shared" si="8"/>
        <v>231</v>
      </c>
      <c r="T32" s="111">
        <v>65236</v>
      </c>
      <c r="U32" s="59">
        <f t="shared" si="9"/>
        <v>18</v>
      </c>
      <c r="V32" s="111">
        <v>277829</v>
      </c>
      <c r="W32" s="61">
        <f t="shared" si="10"/>
        <v>56</v>
      </c>
      <c r="X32" s="73">
        <v>21007</v>
      </c>
      <c r="Y32" s="59">
        <f t="shared" si="11"/>
        <v>0</v>
      </c>
      <c r="Z32" s="112">
        <v>676190</v>
      </c>
      <c r="AA32" s="61">
        <f t="shared" si="12"/>
        <v>0</v>
      </c>
      <c r="AB32" s="74">
        <v>1410</v>
      </c>
      <c r="AC32" s="59">
        <f t="shared" si="13"/>
        <v>0</v>
      </c>
      <c r="AD32" s="67">
        <f>AC32+AA32+Y32+W32+U32+S32+Q32+O32+M32+K32+I32+G32+E32+C32</f>
        <v>1510</v>
      </c>
      <c r="AE32" s="17">
        <v>0</v>
      </c>
      <c r="AF32" s="52">
        <f t="shared" si="15"/>
        <v>0</v>
      </c>
    </row>
    <row r="33" spans="1:32">
      <c r="A33" s="51">
        <v>44134</v>
      </c>
      <c r="B33" s="110">
        <v>1434036</v>
      </c>
      <c r="C33" s="61">
        <f t="shared" si="0"/>
        <v>307</v>
      </c>
      <c r="D33" s="110">
        <v>33145652</v>
      </c>
      <c r="E33" s="59">
        <f t="shared" si="1"/>
        <v>612</v>
      </c>
      <c r="F33" s="111">
        <v>753144</v>
      </c>
      <c r="G33" s="59">
        <f t="shared" si="2"/>
        <v>0</v>
      </c>
      <c r="H33" s="111">
        <v>83916</v>
      </c>
      <c r="I33" s="59">
        <f t="shared" si="3"/>
        <v>31</v>
      </c>
      <c r="J33" s="73">
        <v>176881</v>
      </c>
      <c r="K33" s="62">
        <f t="shared" si="4"/>
        <v>0</v>
      </c>
      <c r="L33" s="111">
        <v>78228</v>
      </c>
      <c r="M33" s="59">
        <f t="shared" si="5"/>
        <v>0</v>
      </c>
      <c r="N33" s="111">
        <v>601761</v>
      </c>
      <c r="O33" s="61">
        <f t="shared" si="6"/>
        <v>165</v>
      </c>
      <c r="P33" s="111">
        <v>156028</v>
      </c>
      <c r="Q33" s="59">
        <f t="shared" si="7"/>
        <v>35</v>
      </c>
      <c r="R33" s="111">
        <v>863502</v>
      </c>
      <c r="S33" s="61">
        <f t="shared" si="8"/>
        <v>247</v>
      </c>
      <c r="T33" s="111">
        <v>65262</v>
      </c>
      <c r="U33" s="59">
        <f t="shared" si="9"/>
        <v>26</v>
      </c>
      <c r="V33" s="111">
        <v>277891</v>
      </c>
      <c r="W33" s="61">
        <f t="shared" si="10"/>
        <v>62</v>
      </c>
      <c r="X33" s="73">
        <v>21007</v>
      </c>
      <c r="Y33" s="59">
        <f t="shared" si="11"/>
        <v>0</v>
      </c>
      <c r="Z33" s="112">
        <v>676190</v>
      </c>
      <c r="AA33" s="61">
        <f t="shared" si="12"/>
        <v>0</v>
      </c>
      <c r="AB33" s="74">
        <v>1410</v>
      </c>
      <c r="AC33" s="59">
        <f t="shared" si="13"/>
        <v>0</v>
      </c>
      <c r="AD33" s="70">
        <f>AC33+AA33+Y33+W33+U33+S33+Q33+O33+M33+K33+I33+G33+E33+C33</f>
        <v>1485</v>
      </c>
      <c r="AE33" s="63">
        <v>0</v>
      </c>
      <c r="AF33" s="52">
        <f t="shared" si="15"/>
        <v>0</v>
      </c>
    </row>
    <row r="34" spans="1:32">
      <c r="A34" s="51">
        <v>44135</v>
      </c>
      <c r="B34" s="110">
        <v>1434293</v>
      </c>
      <c r="C34" s="61">
        <f t="shared" si="0"/>
        <v>257</v>
      </c>
      <c r="D34" s="110">
        <v>33146170</v>
      </c>
      <c r="E34" s="59">
        <f t="shared" si="1"/>
        <v>518</v>
      </c>
      <c r="F34" s="111">
        <v>753144</v>
      </c>
      <c r="G34" s="59">
        <f t="shared" si="2"/>
        <v>0</v>
      </c>
      <c r="H34" s="111">
        <v>83949</v>
      </c>
      <c r="I34" s="59">
        <f t="shared" si="3"/>
        <v>33</v>
      </c>
      <c r="J34" s="73">
        <v>176881</v>
      </c>
      <c r="K34" s="62">
        <f t="shared" si="4"/>
        <v>0</v>
      </c>
      <c r="L34" s="111">
        <v>78262</v>
      </c>
      <c r="M34" s="59">
        <f t="shared" si="5"/>
        <v>34</v>
      </c>
      <c r="N34" s="111">
        <v>601806</v>
      </c>
      <c r="O34" s="61">
        <f t="shared" si="6"/>
        <v>45</v>
      </c>
      <c r="P34" s="111">
        <v>156066</v>
      </c>
      <c r="Q34" s="59">
        <f t="shared" si="7"/>
        <v>38</v>
      </c>
      <c r="R34" s="111">
        <v>863735</v>
      </c>
      <c r="S34" s="61">
        <f t="shared" si="8"/>
        <v>233</v>
      </c>
      <c r="T34" s="111">
        <v>65290</v>
      </c>
      <c r="U34" s="59">
        <f t="shared" si="9"/>
        <v>28</v>
      </c>
      <c r="V34" s="111">
        <v>277945</v>
      </c>
      <c r="W34" s="61">
        <f t="shared" si="10"/>
        <v>54</v>
      </c>
      <c r="X34" s="73">
        <v>21007</v>
      </c>
      <c r="Y34" s="59">
        <f t="shared" si="11"/>
        <v>0</v>
      </c>
      <c r="Z34" s="112">
        <v>676190</v>
      </c>
      <c r="AA34" s="61">
        <f t="shared" si="12"/>
        <v>0</v>
      </c>
      <c r="AB34" s="74">
        <v>1410</v>
      </c>
      <c r="AC34" s="59">
        <f t="shared" si="13"/>
        <v>0</v>
      </c>
      <c r="AD34" s="70">
        <f>AC34+AA34+Y34+W34+U34+S34+Q34+O34+M34+K34+I34+G34+E34+C34</f>
        <v>1240</v>
      </c>
      <c r="AE34" s="63">
        <v>0</v>
      </c>
      <c r="AF34" s="52">
        <f t="shared" si="15"/>
        <v>0</v>
      </c>
    </row>
  </sheetData>
  <mergeCells count="1">
    <mergeCell ref="A1:AF1"/>
  </mergeCells>
  <phoneticPr fontId="0" type="noConversion"/>
  <conditionalFormatting sqref="AD3 A2:A34 C3:C34 E3:E34 G3:G34 I3:I34 M3:M34 O3:O34 Q3:Q34 S3:S34 U3:U34 W3:W34 Y3:Y34 K3:K34 AA3:AC34 AD4:AE34">
    <cfRule type="cellIs" dxfId="56" priority="449" stopIfTrue="1" operator="lessThan">
      <formula>0</formula>
    </cfRule>
  </conditionalFormatting>
  <conditionalFormatting sqref="AB3:AB34">
    <cfRule type="cellIs" dxfId="55" priority="141" stopIfTrue="1" operator="lessThan">
      <formula>0</formula>
    </cfRule>
  </conditionalFormatting>
  <conditionalFormatting sqref="X3:X34">
    <cfRule type="cellIs" dxfId="54" priority="101" stopIfTrue="1" operator="lessThan">
      <formula>0</formula>
    </cfRule>
  </conditionalFormatting>
  <conditionalFormatting sqref="J23:J34">
    <cfRule type="cellIs" dxfId="53" priority="52" stopIfTrue="1" operator="lessThan">
      <formula>0</formula>
    </cfRule>
  </conditionalFormatting>
  <conditionalFormatting sqref="J3:J22">
    <cfRule type="cellIs" dxfId="52" priority="51" stopIfTrue="1" operator="lessThan">
      <formula>0</formula>
    </cfRule>
  </conditionalFormatting>
  <conditionalFormatting sqref="B5:B34">
    <cfRule type="cellIs" dxfId="51" priority="36" stopIfTrue="1" operator="lessThan">
      <formula>0</formula>
    </cfRule>
  </conditionalFormatting>
  <conditionalFormatting sqref="B4">
    <cfRule type="cellIs" dxfId="50" priority="35" stopIfTrue="1" operator="lessThan">
      <formula>0</formula>
    </cfRule>
  </conditionalFormatting>
  <conditionalFormatting sqref="B3">
    <cfRule type="cellIs" dxfId="49" priority="34" stopIfTrue="1" operator="lessThan">
      <formula>0</formula>
    </cfRule>
  </conditionalFormatting>
  <conditionalFormatting sqref="B3:B34">
    <cfRule type="duplicateValues" dxfId="48" priority="33"/>
  </conditionalFormatting>
  <conditionalFormatting sqref="D5:D8 D10:D34">
    <cfRule type="cellIs" dxfId="47" priority="32" stopIfTrue="1" operator="lessThan">
      <formula>0</formula>
    </cfRule>
  </conditionalFormatting>
  <conditionalFormatting sqref="D9">
    <cfRule type="cellIs" dxfId="46" priority="31" stopIfTrue="1" operator="lessThan">
      <formula>0</formula>
    </cfRule>
  </conditionalFormatting>
  <conditionalFormatting sqref="D4">
    <cfRule type="cellIs" dxfId="45" priority="30" stopIfTrue="1" operator="lessThan">
      <formula>0</formula>
    </cfRule>
  </conditionalFormatting>
  <conditionalFormatting sqref="D3">
    <cfRule type="cellIs" dxfId="44" priority="29" stopIfTrue="1" operator="lessThan">
      <formula>0</formula>
    </cfRule>
  </conditionalFormatting>
  <conditionalFormatting sqref="D3:D34">
    <cfRule type="duplicateValues" dxfId="43" priority="28"/>
  </conditionalFormatting>
  <conditionalFormatting sqref="F5:F34">
    <cfRule type="cellIs" dxfId="42" priority="27" stopIfTrue="1" operator="lessThan">
      <formula>0</formula>
    </cfRule>
  </conditionalFormatting>
  <conditionalFormatting sqref="F4">
    <cfRule type="cellIs" dxfId="41" priority="26" stopIfTrue="1" operator="lessThan">
      <formula>0</formula>
    </cfRule>
  </conditionalFormatting>
  <conditionalFormatting sqref="F3">
    <cfRule type="cellIs" dxfId="40" priority="25" stopIfTrue="1" operator="lessThan">
      <formula>0</formula>
    </cfRule>
  </conditionalFormatting>
  <conditionalFormatting sqref="F3:F34">
    <cfRule type="duplicateValues" dxfId="39" priority="24"/>
  </conditionalFormatting>
  <conditionalFormatting sqref="H5:H34">
    <cfRule type="cellIs" dxfId="38" priority="23" stopIfTrue="1" operator="lessThan">
      <formula>0</formula>
    </cfRule>
  </conditionalFormatting>
  <conditionalFormatting sqref="H4">
    <cfRule type="cellIs" dxfId="37" priority="22" stopIfTrue="1" operator="lessThan">
      <formula>0</formula>
    </cfRule>
  </conditionalFormatting>
  <conditionalFormatting sqref="H3">
    <cfRule type="cellIs" dxfId="36" priority="21" stopIfTrue="1" operator="lessThan">
      <formula>0</formula>
    </cfRule>
  </conditionalFormatting>
  <conditionalFormatting sqref="L33:L34">
    <cfRule type="cellIs" dxfId="35" priority="20" stopIfTrue="1" operator="lessThan">
      <formula>0</formula>
    </cfRule>
  </conditionalFormatting>
  <conditionalFormatting sqref="L4:L32">
    <cfRule type="cellIs" dxfId="34" priority="19" stopIfTrue="1" operator="lessThan">
      <formula>0</formula>
    </cfRule>
  </conditionalFormatting>
  <conditionalFormatting sqref="L3">
    <cfRule type="cellIs" dxfId="33" priority="18" stopIfTrue="1" operator="lessThan">
      <formula>0</formula>
    </cfRule>
  </conditionalFormatting>
  <conditionalFormatting sqref="N4:N34">
    <cfRule type="cellIs" dxfId="32" priority="17" stopIfTrue="1" operator="lessThan">
      <formula>0</formula>
    </cfRule>
  </conditionalFormatting>
  <conditionalFormatting sqref="N3">
    <cfRule type="cellIs" dxfId="31" priority="16" stopIfTrue="1" operator="lessThan">
      <formula>0</formula>
    </cfRule>
  </conditionalFormatting>
  <conditionalFormatting sqref="P32:P34">
    <cfRule type="cellIs" dxfId="30" priority="15" stopIfTrue="1" operator="lessThan">
      <formula>0</formula>
    </cfRule>
  </conditionalFormatting>
  <conditionalFormatting sqref="P4:P31">
    <cfRule type="cellIs" dxfId="29" priority="14" stopIfTrue="1" operator="lessThan">
      <formula>0</formula>
    </cfRule>
  </conditionalFormatting>
  <conditionalFormatting sqref="P3">
    <cfRule type="cellIs" dxfId="28" priority="13" stopIfTrue="1" operator="lessThan">
      <formula>0</formula>
    </cfRule>
  </conditionalFormatting>
  <conditionalFormatting sqref="R5:R34">
    <cfRule type="cellIs" dxfId="27" priority="12" stopIfTrue="1" operator="lessThan">
      <formula>0</formula>
    </cfRule>
  </conditionalFormatting>
  <conditionalFormatting sqref="R4">
    <cfRule type="cellIs" dxfId="26" priority="11" stopIfTrue="1" operator="lessThan">
      <formula>0</formula>
    </cfRule>
  </conditionalFormatting>
  <conditionalFormatting sqref="R3">
    <cfRule type="cellIs" dxfId="25" priority="10" stopIfTrue="1" operator="lessThan">
      <formula>0</formula>
    </cfRule>
  </conditionalFormatting>
  <conditionalFormatting sqref="T5:T34">
    <cfRule type="cellIs" dxfId="24" priority="9" stopIfTrue="1" operator="lessThan">
      <formula>0</formula>
    </cfRule>
  </conditionalFormatting>
  <conditionalFormatting sqref="T4">
    <cfRule type="cellIs" dxfId="23" priority="8" stopIfTrue="1" operator="lessThan">
      <formula>0</formula>
    </cfRule>
  </conditionalFormatting>
  <conditionalFormatting sqref="T3">
    <cfRule type="cellIs" dxfId="22" priority="7" stopIfTrue="1" operator="lessThan">
      <formula>0</formula>
    </cfRule>
  </conditionalFormatting>
  <conditionalFormatting sqref="V5:V34">
    <cfRule type="cellIs" dxfId="21" priority="6" stopIfTrue="1" operator="lessThan">
      <formula>0</formula>
    </cfRule>
  </conditionalFormatting>
  <conditionalFormatting sqref="V4">
    <cfRule type="cellIs" dxfId="20" priority="5" stopIfTrue="1" operator="lessThan">
      <formula>0</formula>
    </cfRule>
  </conditionalFormatting>
  <conditionalFormatting sqref="V3">
    <cfRule type="cellIs" dxfId="19" priority="4" stopIfTrue="1" operator="lessThan">
      <formula>0</formula>
    </cfRule>
  </conditionalFormatting>
  <conditionalFormatting sqref="Z5:Z34">
    <cfRule type="cellIs" dxfId="18" priority="3" stopIfTrue="1" operator="lessThan">
      <formula>0</formula>
    </cfRule>
  </conditionalFormatting>
  <conditionalFormatting sqref="Z4">
    <cfRule type="cellIs" dxfId="17" priority="2" stopIfTrue="1" operator="lessThan">
      <formula>0</formula>
    </cfRule>
  </conditionalFormatting>
  <conditionalFormatting sqref="Z3">
    <cfRule type="cellIs" dxfId="16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9"/>
  <sheetViews>
    <sheetView zoomScale="60" zoomScaleNormal="60" workbookViewId="0">
      <selection activeCell="K7" sqref="K7"/>
    </sheetView>
  </sheetViews>
  <sheetFormatPr defaultColWidth="8.7109375" defaultRowHeight="18"/>
  <cols>
    <col min="1" max="1" width="15.42578125" style="23" bestFit="1" customWidth="1"/>
    <col min="2" max="2" width="21.5703125" style="21" bestFit="1" customWidth="1"/>
    <col min="3" max="3" width="12.42578125" style="21" bestFit="1" customWidth="1"/>
    <col min="4" max="4" width="21.5703125" style="21" bestFit="1" customWidth="1"/>
    <col min="5" max="5" width="11.140625" style="21" bestFit="1" customWidth="1"/>
    <col min="6" max="10" width="8.7109375" style="21"/>
    <col min="11" max="11" width="18.28515625" style="21" bestFit="1" customWidth="1"/>
    <col min="12" max="16384" width="8.7109375" style="21"/>
  </cols>
  <sheetData>
    <row r="1" spans="1:5" ht="28.5" customHeight="1" thickBot="1">
      <c r="A1" s="104" t="s">
        <v>60</v>
      </c>
      <c r="B1" s="105"/>
      <c r="C1" s="105"/>
      <c r="D1" s="105"/>
      <c r="E1" s="106"/>
    </row>
    <row r="2" spans="1:5" ht="19.5" thickBot="1">
      <c r="A2" s="26" t="s">
        <v>1</v>
      </c>
      <c r="B2" s="107"/>
      <c r="C2" s="108"/>
      <c r="D2" s="108"/>
      <c r="E2" s="109"/>
    </row>
    <row r="3" spans="1:5" ht="18.75">
      <c r="A3" s="27"/>
      <c r="B3" s="28" t="s">
        <v>61</v>
      </c>
      <c r="C3" s="28" t="s">
        <v>36</v>
      </c>
      <c r="D3" s="88" t="s">
        <v>62</v>
      </c>
      <c r="E3" s="29" t="s">
        <v>36</v>
      </c>
    </row>
    <row r="4" spans="1:5" ht="26.25">
      <c r="A4" s="45" t="s">
        <v>41</v>
      </c>
      <c r="B4" s="113">
        <v>54045</v>
      </c>
      <c r="C4" s="79">
        <v>0</v>
      </c>
      <c r="D4" s="114">
        <v>505187</v>
      </c>
      <c r="E4" s="84">
        <v>0</v>
      </c>
    </row>
    <row r="5" spans="1:5" ht="26.25">
      <c r="A5" s="45">
        <v>44105</v>
      </c>
      <c r="B5" s="113">
        <v>54060</v>
      </c>
      <c r="C5" s="80">
        <f>(IF((B5-B4)&lt;0,"0",(B5-B4)))*10</f>
        <v>150</v>
      </c>
      <c r="D5" s="114">
        <v>505590</v>
      </c>
      <c r="E5" s="84">
        <f>(IF((D5-D4)&lt;0,"0",(D5-D4)))</f>
        <v>403</v>
      </c>
    </row>
    <row r="6" spans="1:5" ht="26.25">
      <c r="A6" s="45">
        <v>44106</v>
      </c>
      <c r="B6" s="113">
        <v>54080</v>
      </c>
      <c r="C6" s="80">
        <f t="shared" ref="C6:C35" si="0">(IF((B6-B5)&lt;0,"0",(B6-B5)))*10</f>
        <v>200</v>
      </c>
      <c r="D6" s="114">
        <v>506074</v>
      </c>
      <c r="E6" s="84">
        <f>(IF((D6-D5)&lt;0,"0",(D6-D5)))</f>
        <v>484</v>
      </c>
    </row>
    <row r="7" spans="1:5" ht="26.25">
      <c r="A7" s="45">
        <v>44107</v>
      </c>
      <c r="B7" s="113">
        <v>54094</v>
      </c>
      <c r="C7" s="80">
        <f t="shared" si="0"/>
        <v>140</v>
      </c>
      <c r="D7" s="114">
        <v>506472</v>
      </c>
      <c r="E7" s="84">
        <f t="shared" ref="E7:E33" si="1">(IF((D7-D6)&lt;0,"0",(D7-D6)))</f>
        <v>398</v>
      </c>
    </row>
    <row r="8" spans="1:5" ht="26.25">
      <c r="A8" s="45">
        <v>44108</v>
      </c>
      <c r="B8" s="113">
        <v>54108</v>
      </c>
      <c r="C8" s="80">
        <f t="shared" si="0"/>
        <v>140</v>
      </c>
      <c r="D8" s="114">
        <v>506772</v>
      </c>
      <c r="E8" s="84">
        <f t="shared" si="1"/>
        <v>300</v>
      </c>
    </row>
    <row r="9" spans="1:5" ht="26.25">
      <c r="A9" s="45">
        <v>44109</v>
      </c>
      <c r="B9" s="113">
        <v>54125</v>
      </c>
      <c r="C9" s="80">
        <f t="shared" si="0"/>
        <v>170</v>
      </c>
      <c r="D9" s="114">
        <v>507185</v>
      </c>
      <c r="E9" s="84">
        <f t="shared" si="1"/>
        <v>413</v>
      </c>
    </row>
    <row r="10" spans="1:5" ht="26.25">
      <c r="A10" s="45">
        <v>44110</v>
      </c>
      <c r="B10" s="113">
        <v>54136</v>
      </c>
      <c r="C10" s="80">
        <f t="shared" si="0"/>
        <v>110</v>
      </c>
      <c r="D10" s="114">
        <v>507622</v>
      </c>
      <c r="E10" s="84">
        <f t="shared" si="1"/>
        <v>437</v>
      </c>
    </row>
    <row r="11" spans="1:5" ht="26.25">
      <c r="A11" s="45">
        <v>44111</v>
      </c>
      <c r="B11" s="113">
        <v>54167</v>
      </c>
      <c r="C11" s="80">
        <f t="shared" si="0"/>
        <v>310</v>
      </c>
      <c r="D11" s="114">
        <v>508030</v>
      </c>
      <c r="E11" s="84">
        <f t="shared" si="1"/>
        <v>408</v>
      </c>
    </row>
    <row r="12" spans="1:5" ht="26.25">
      <c r="A12" s="45">
        <v>44112</v>
      </c>
      <c r="B12" s="113">
        <v>54193</v>
      </c>
      <c r="C12" s="80">
        <f t="shared" si="0"/>
        <v>260</v>
      </c>
      <c r="D12" s="114">
        <v>508449</v>
      </c>
      <c r="E12" s="84">
        <f t="shared" si="1"/>
        <v>419</v>
      </c>
    </row>
    <row r="13" spans="1:5" ht="26.25">
      <c r="A13" s="45">
        <v>44113</v>
      </c>
      <c r="B13" s="113">
        <v>54216</v>
      </c>
      <c r="C13" s="80">
        <f t="shared" si="0"/>
        <v>230</v>
      </c>
      <c r="D13" s="114">
        <v>508849</v>
      </c>
      <c r="E13" s="84">
        <f t="shared" si="1"/>
        <v>400</v>
      </c>
    </row>
    <row r="14" spans="1:5" ht="26.25">
      <c r="A14" s="45">
        <v>44114</v>
      </c>
      <c r="B14" s="113">
        <v>54237</v>
      </c>
      <c r="C14" s="80">
        <f t="shared" si="0"/>
        <v>210</v>
      </c>
      <c r="D14" s="114">
        <v>509248</v>
      </c>
      <c r="E14" s="84">
        <f t="shared" si="1"/>
        <v>399</v>
      </c>
    </row>
    <row r="15" spans="1:5" ht="26.25">
      <c r="A15" s="45">
        <v>44115</v>
      </c>
      <c r="B15" s="113">
        <v>54256</v>
      </c>
      <c r="C15" s="80">
        <f t="shared" si="0"/>
        <v>190</v>
      </c>
      <c r="D15" s="114">
        <v>509646</v>
      </c>
      <c r="E15" s="84">
        <f t="shared" si="1"/>
        <v>398</v>
      </c>
    </row>
    <row r="16" spans="1:5" ht="26.25">
      <c r="A16" s="45">
        <v>44116</v>
      </c>
      <c r="B16" s="113">
        <v>54276</v>
      </c>
      <c r="C16" s="80">
        <f t="shared" si="0"/>
        <v>200</v>
      </c>
      <c r="D16" s="114">
        <v>510039</v>
      </c>
      <c r="E16" s="85">
        <f t="shared" si="1"/>
        <v>393</v>
      </c>
    </row>
    <row r="17" spans="1:11" ht="26.25">
      <c r="A17" s="45">
        <v>44117</v>
      </c>
      <c r="B17" s="113">
        <v>54293</v>
      </c>
      <c r="C17" s="80">
        <f t="shared" si="0"/>
        <v>170</v>
      </c>
      <c r="D17" s="114">
        <v>510425</v>
      </c>
      <c r="E17" s="87">
        <f t="shared" si="1"/>
        <v>386</v>
      </c>
    </row>
    <row r="18" spans="1:11" ht="26.25">
      <c r="A18" s="45">
        <v>44118</v>
      </c>
      <c r="B18" s="113">
        <v>54310</v>
      </c>
      <c r="C18" s="80">
        <f t="shared" si="0"/>
        <v>170</v>
      </c>
      <c r="D18" s="114">
        <v>510796</v>
      </c>
      <c r="E18" s="84">
        <f t="shared" si="1"/>
        <v>371</v>
      </c>
    </row>
    <row r="19" spans="1:11" ht="26.25">
      <c r="A19" s="45">
        <v>44119</v>
      </c>
      <c r="B19" s="113">
        <v>54330</v>
      </c>
      <c r="C19" s="80">
        <f t="shared" si="0"/>
        <v>200</v>
      </c>
      <c r="D19" s="114">
        <v>511009</v>
      </c>
      <c r="E19" s="84">
        <f t="shared" si="1"/>
        <v>213</v>
      </c>
    </row>
    <row r="20" spans="1:11" ht="26.25">
      <c r="A20" s="45">
        <v>44120</v>
      </c>
      <c r="B20" s="113">
        <v>54350</v>
      </c>
      <c r="C20" s="80">
        <f t="shared" si="0"/>
        <v>200</v>
      </c>
      <c r="D20" s="114">
        <v>511390</v>
      </c>
      <c r="E20" s="84">
        <f t="shared" si="1"/>
        <v>381</v>
      </c>
    </row>
    <row r="21" spans="1:11" ht="26.25">
      <c r="A21" s="45">
        <v>44121</v>
      </c>
      <c r="B21" s="113">
        <v>54372</v>
      </c>
      <c r="C21" s="80">
        <f t="shared" si="0"/>
        <v>220</v>
      </c>
      <c r="D21" s="114">
        <v>511841</v>
      </c>
      <c r="E21" s="84">
        <f t="shared" si="1"/>
        <v>451</v>
      </c>
    </row>
    <row r="22" spans="1:11" ht="26.25">
      <c r="A22" s="45">
        <v>44122</v>
      </c>
      <c r="B22" s="113">
        <v>54390</v>
      </c>
      <c r="C22" s="80">
        <f t="shared" si="0"/>
        <v>180</v>
      </c>
      <c r="D22" s="114">
        <v>512200</v>
      </c>
      <c r="E22" s="84">
        <f t="shared" si="1"/>
        <v>359</v>
      </c>
    </row>
    <row r="23" spans="1:11" ht="26.25">
      <c r="A23" s="45">
        <v>44123</v>
      </c>
      <c r="B23" s="113">
        <v>54403</v>
      </c>
      <c r="C23" s="80">
        <f t="shared" si="0"/>
        <v>130</v>
      </c>
      <c r="D23" s="114">
        <v>512592</v>
      </c>
      <c r="E23" s="84">
        <f t="shared" si="1"/>
        <v>392</v>
      </c>
    </row>
    <row r="24" spans="1:11" ht="26.25">
      <c r="A24" s="45">
        <v>44124</v>
      </c>
      <c r="B24" s="113">
        <v>54420</v>
      </c>
      <c r="C24" s="80">
        <f t="shared" si="0"/>
        <v>170</v>
      </c>
      <c r="D24" s="114">
        <v>512970</v>
      </c>
      <c r="E24" s="84">
        <f t="shared" si="1"/>
        <v>378</v>
      </c>
    </row>
    <row r="25" spans="1:11" ht="26.25">
      <c r="A25" s="45">
        <v>44125</v>
      </c>
      <c r="B25" s="113">
        <v>54439</v>
      </c>
      <c r="C25" s="80">
        <f t="shared" si="0"/>
        <v>190</v>
      </c>
      <c r="D25" s="114">
        <v>513383</v>
      </c>
      <c r="E25" s="84">
        <f t="shared" si="1"/>
        <v>413</v>
      </c>
    </row>
    <row r="26" spans="1:11" ht="26.25">
      <c r="A26" s="45">
        <v>44126</v>
      </c>
      <c r="B26" s="113">
        <v>54457</v>
      </c>
      <c r="C26" s="80">
        <f t="shared" si="0"/>
        <v>180</v>
      </c>
      <c r="D26" s="114">
        <v>513706</v>
      </c>
      <c r="E26" s="84">
        <f t="shared" si="1"/>
        <v>323</v>
      </c>
    </row>
    <row r="27" spans="1:11" ht="27.75">
      <c r="A27" s="45">
        <v>44127</v>
      </c>
      <c r="B27" s="113">
        <v>54479</v>
      </c>
      <c r="C27" s="80">
        <f t="shared" si="0"/>
        <v>220</v>
      </c>
      <c r="D27" s="115">
        <v>514044</v>
      </c>
      <c r="E27" s="84">
        <f t="shared" si="1"/>
        <v>338</v>
      </c>
      <c r="K27" s="22"/>
    </row>
    <row r="28" spans="1:11" ht="26.25">
      <c r="A28" s="45">
        <v>44128</v>
      </c>
      <c r="B28" s="113">
        <v>54502</v>
      </c>
      <c r="C28" s="80">
        <f t="shared" si="0"/>
        <v>230</v>
      </c>
      <c r="D28" s="114">
        <v>514342</v>
      </c>
      <c r="E28" s="84">
        <f t="shared" si="1"/>
        <v>298</v>
      </c>
    </row>
    <row r="29" spans="1:11" ht="26.25">
      <c r="A29" s="45">
        <v>44129</v>
      </c>
      <c r="B29" s="113">
        <v>54522</v>
      </c>
      <c r="C29" s="80">
        <f t="shared" si="0"/>
        <v>200</v>
      </c>
      <c r="D29" s="114">
        <v>514587</v>
      </c>
      <c r="E29" s="84">
        <f t="shared" si="1"/>
        <v>245</v>
      </c>
    </row>
    <row r="30" spans="1:11" ht="26.25">
      <c r="A30" s="45">
        <v>44130</v>
      </c>
      <c r="B30" s="113">
        <v>54541</v>
      </c>
      <c r="C30" s="80">
        <f t="shared" si="0"/>
        <v>190</v>
      </c>
      <c r="D30" s="114">
        <v>514829</v>
      </c>
      <c r="E30" s="84">
        <f t="shared" si="1"/>
        <v>242</v>
      </c>
    </row>
    <row r="31" spans="1:11" ht="26.25">
      <c r="A31" s="45">
        <v>44131</v>
      </c>
      <c r="B31" s="113">
        <v>54560</v>
      </c>
      <c r="C31" s="80">
        <f t="shared" si="0"/>
        <v>190</v>
      </c>
      <c r="D31" s="114">
        <v>515277</v>
      </c>
      <c r="E31" s="84">
        <f t="shared" si="1"/>
        <v>448</v>
      </c>
    </row>
    <row r="32" spans="1:11" ht="27">
      <c r="A32" s="45">
        <v>44132</v>
      </c>
      <c r="B32" s="113">
        <v>54584</v>
      </c>
      <c r="C32" s="80">
        <f t="shared" si="0"/>
        <v>240</v>
      </c>
      <c r="D32" s="116">
        <v>515673</v>
      </c>
      <c r="E32" s="84">
        <f t="shared" si="1"/>
        <v>396</v>
      </c>
    </row>
    <row r="33" spans="1:5" ht="27">
      <c r="A33" s="45">
        <v>44133</v>
      </c>
      <c r="B33" s="113">
        <v>54609</v>
      </c>
      <c r="C33" s="80">
        <f t="shared" si="0"/>
        <v>250</v>
      </c>
      <c r="D33" s="116">
        <v>515899</v>
      </c>
      <c r="E33" s="84">
        <f t="shared" si="1"/>
        <v>226</v>
      </c>
    </row>
    <row r="34" spans="1:5" ht="27">
      <c r="A34" s="45">
        <v>44134</v>
      </c>
      <c r="B34" s="113">
        <v>54633</v>
      </c>
      <c r="C34" s="80">
        <f t="shared" si="0"/>
        <v>240</v>
      </c>
      <c r="D34" s="116">
        <v>516059</v>
      </c>
      <c r="E34" s="85">
        <f>(IF((D34-D32)&lt;0,"0",(D34-D32)))</f>
        <v>386</v>
      </c>
    </row>
    <row r="35" spans="1:5" ht="27">
      <c r="A35" s="45">
        <v>44135</v>
      </c>
      <c r="B35" s="113">
        <v>54656</v>
      </c>
      <c r="C35" s="80">
        <f t="shared" si="0"/>
        <v>230</v>
      </c>
      <c r="D35" s="116">
        <v>516499</v>
      </c>
      <c r="E35" s="85">
        <v>405</v>
      </c>
    </row>
    <row r="36" spans="1:5" ht="27">
      <c r="A36" s="81" t="s">
        <v>39</v>
      </c>
      <c r="B36" s="82"/>
      <c r="C36" s="46">
        <f>SUM(C5:C34)</f>
        <v>5880</v>
      </c>
      <c r="D36" s="83"/>
      <c r="E36" s="86">
        <f>SUM(E5:E34)</f>
        <v>11098</v>
      </c>
    </row>
    <row r="39" spans="1:5">
      <c r="E39" s="21" t="s">
        <v>63</v>
      </c>
    </row>
  </sheetData>
  <mergeCells count="2">
    <mergeCell ref="A1:E1"/>
    <mergeCell ref="B2:E2"/>
  </mergeCells>
  <phoneticPr fontId="0" type="noConversion"/>
  <conditionalFormatting sqref="B36 E4:E33 D36 C4:C35">
    <cfRule type="cellIs" dxfId="15" priority="149" stopIfTrue="1" operator="lessThan">
      <formula>0</formula>
    </cfRule>
  </conditionalFormatting>
  <conditionalFormatting sqref="D36">
    <cfRule type="cellIs" dxfId="14" priority="147" stopIfTrue="1" operator="lessThan">
      <formula>0</formula>
    </cfRule>
  </conditionalFormatting>
  <conditionalFormatting sqref="E34:E35">
    <cfRule type="cellIs" dxfId="13" priority="41" stopIfTrue="1" operator="lessThan">
      <formula>0</formula>
    </cfRule>
  </conditionalFormatting>
  <conditionalFormatting sqref="B36">
    <cfRule type="cellIs" dxfId="12" priority="29" stopIfTrue="1" operator="lessThan">
      <formula>0</formula>
    </cfRule>
  </conditionalFormatting>
  <conditionalFormatting sqref="D36">
    <cfRule type="cellIs" dxfId="11" priority="24" stopIfTrue="1" operator="lessThan">
      <formula>0</formula>
    </cfRule>
  </conditionalFormatting>
  <conditionalFormatting sqref="B12:B35">
    <cfRule type="cellIs" dxfId="10" priority="23" stopIfTrue="1" operator="lessThan">
      <formula>0</formula>
    </cfRule>
  </conditionalFormatting>
  <conditionalFormatting sqref="B7 B11 B9">
    <cfRule type="cellIs" dxfId="9" priority="22" stopIfTrue="1" operator="lessThan">
      <formula>0</formula>
    </cfRule>
  </conditionalFormatting>
  <conditionalFormatting sqref="B5">
    <cfRule type="cellIs" dxfId="8" priority="21" stopIfTrue="1" operator="lessThan">
      <formula>0</formula>
    </cfRule>
  </conditionalFormatting>
  <conditionalFormatting sqref="B6 B8 B10">
    <cfRule type="cellIs" dxfId="7" priority="20" stopIfTrue="1" operator="lessThan">
      <formula>0</formula>
    </cfRule>
  </conditionalFormatting>
  <conditionalFormatting sqref="B4 B6 B8 B10 B12">
    <cfRule type="cellIs" dxfId="6" priority="19" stopIfTrue="1" operator="lessThan">
      <formula>0</formula>
    </cfRule>
  </conditionalFormatting>
  <conditionalFormatting sqref="D32:D35">
    <cfRule type="cellIs" dxfId="5" priority="6" stopIfTrue="1" operator="lessThan">
      <formula>0</formula>
    </cfRule>
  </conditionalFormatting>
  <conditionalFormatting sqref="D13:D31">
    <cfRule type="cellIs" dxfId="4" priority="5" stopIfTrue="1" operator="lessThan">
      <formula>0</formula>
    </cfRule>
  </conditionalFormatting>
  <conditionalFormatting sqref="D7:D12">
    <cfRule type="cellIs" dxfId="3" priority="4" stopIfTrue="1" operator="lessThan">
      <formula>0</formula>
    </cfRule>
  </conditionalFormatting>
  <conditionalFormatting sqref="D5">
    <cfRule type="cellIs" dxfId="2" priority="3" stopIfTrue="1" operator="lessThan">
      <formula>0</formula>
    </cfRule>
  </conditionalFormatting>
  <conditionalFormatting sqref="D6">
    <cfRule type="cellIs" dxfId="1" priority="2" stopIfTrue="1" operator="lessThan">
      <formula>0</formula>
    </cfRule>
  </conditionalFormatting>
  <conditionalFormatting sqref="D4">
    <cfRule type="cellIs" dxfId="0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214AD-AA7B-424D-ABB1-1630124B747F}"/>
</file>

<file path=customXml/itemProps2.xml><?xml version="1.0" encoding="utf-8"?>
<ds:datastoreItem xmlns:ds="http://schemas.openxmlformats.org/officeDocument/2006/customXml" ds:itemID="{138878A3-2814-458C-B89B-16D1CB8AEAAC}"/>
</file>

<file path=customXml/itemProps3.xml><?xml version="1.0" encoding="utf-8"?>
<ds:datastoreItem xmlns:ds="http://schemas.openxmlformats.org/officeDocument/2006/customXml" ds:itemID="{8DE8F16D-5C42-4180-9B0B-83F2994007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2020-11-22T07:19:07Z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</Properties>
</file>