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20640" windowHeight="11760" activeTab="2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K16" i="11"/>
  <c r="G28" i="2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G6" i="9" s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O34" i="1"/>
  <c r="G33" i="9" s="1"/>
  <c r="O35" i="1"/>
  <c r="G34" i="9" s="1"/>
  <c r="M6" i="1"/>
  <c r="E5" i="9" s="1"/>
  <c r="M7" i="1"/>
  <c r="E6" i="9" s="1"/>
  <c r="M8" i="1"/>
  <c r="E7" i="9" s="1"/>
  <c r="M9" i="1"/>
  <c r="M10" i="1"/>
  <c r="M11" i="1"/>
  <c r="E10" i="9" s="1"/>
  <c r="M12" i="1"/>
  <c r="E11" i="9" s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M22" i="1"/>
  <c r="M23" i="1"/>
  <c r="E22" i="9" s="1"/>
  <c r="M24" i="1"/>
  <c r="E23" i="9" s="1"/>
  <c r="M25" i="1"/>
  <c r="E24" i="9" s="1"/>
  <c r="M26" i="1"/>
  <c r="M27" i="1"/>
  <c r="E26" i="9" s="1"/>
  <c r="M28" i="1"/>
  <c r="E27" i="9" s="1"/>
  <c r="M29" i="1"/>
  <c r="E28" i="9" s="1"/>
  <c r="M30" i="1"/>
  <c r="E29" i="9" s="1"/>
  <c r="M31" i="1"/>
  <c r="E30" i="9" s="1"/>
  <c r="M32" i="1"/>
  <c r="E31" i="9" s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H6" i="11"/>
  <c r="D34" i="11"/>
  <c r="J46" i="1"/>
  <c r="A51" i="6" s="1"/>
  <c r="J42" i="6" s="1"/>
  <c r="AJ37" i="9" s="1"/>
  <c r="H11" i="6"/>
  <c r="H27" i="6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C18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5" i="12"/>
  <c r="AE26" i="12"/>
  <c r="AE27" i="12"/>
  <c r="Q479" i="10"/>
  <c r="Q1260" i="10"/>
  <c r="Q576" i="10"/>
  <c r="Q857" i="10"/>
  <c r="Q1258" i="10"/>
  <c r="Q484" i="10"/>
  <c r="Q978" i="10"/>
  <c r="Q1940" i="10"/>
  <c r="Q1651" i="10"/>
  <c r="Q1210" i="10"/>
  <c r="Q926" i="10"/>
  <c r="Q1941" i="10"/>
  <c r="Q2264" i="10"/>
  <c r="Q925" i="10"/>
  <c r="Q1294" i="10"/>
  <c r="Q2129" i="10"/>
  <c r="Q1523" i="10"/>
  <c r="Q312" i="10"/>
  <c r="Q2011" i="10"/>
  <c r="Q806" i="10"/>
  <c r="Q359" i="10"/>
  <c r="G32" i="4"/>
  <c r="G28" i="4"/>
  <c r="G40" i="4"/>
  <c r="G36" i="4"/>
  <c r="G16" i="4"/>
  <c r="G12" i="4"/>
  <c r="L2353" i="10"/>
  <c r="D66" i="10"/>
  <c r="BL39" i="1"/>
  <c r="BL40" i="1" s="1"/>
  <c r="BN40" i="1" s="1"/>
  <c r="Q1554" i="10"/>
  <c r="P15" i="10"/>
  <c r="Q557" i="10"/>
  <c r="Q1502" i="10"/>
  <c r="Q1675" i="10"/>
  <c r="Q2179" i="10"/>
  <c r="Q801" i="10"/>
  <c r="Q1707" i="10"/>
  <c r="Q27" i="10"/>
  <c r="Q734" i="10"/>
  <c r="Q471" i="10"/>
  <c r="Q519" i="10"/>
  <c r="Q1402" i="10"/>
  <c r="Q1914" i="10"/>
  <c r="Q308" i="10"/>
  <c r="Q1487" i="10"/>
  <c r="Q2101" i="10"/>
  <c r="Q2306" i="10"/>
  <c r="Q1009" i="10"/>
  <c r="Q1982" i="10"/>
  <c r="Q580" i="10"/>
  <c r="Q1776" i="10"/>
  <c r="Q2112" i="10"/>
  <c r="Q1057" i="10"/>
  <c r="Q1609" i="10"/>
  <c r="Q933" i="10"/>
  <c r="P52" i="10"/>
  <c r="Q1889" i="10"/>
  <c r="Q1710" i="10"/>
  <c r="Q178" i="10"/>
  <c r="Q1112" i="10"/>
  <c r="E8" i="9"/>
  <c r="BQ41" i="1"/>
  <c r="BQ44" i="1"/>
  <c r="H32" i="2"/>
  <c r="I27" i="13" s="1"/>
  <c r="H33" i="2"/>
  <c r="P31" i="9" s="1"/>
  <c r="Q1264" i="10"/>
  <c r="Q358" i="10"/>
  <c r="Q1143" i="10"/>
  <c r="Q1629" i="10"/>
  <c r="Q1901" i="10"/>
  <c r="P55" i="10"/>
  <c r="Q1012" i="10"/>
  <c r="Q737" i="10"/>
  <c r="Q1446" i="10"/>
  <c r="Q201" i="10"/>
  <c r="Q442" i="10"/>
  <c r="Q1758" i="10"/>
  <c r="Q1100" i="10"/>
  <c r="Q1878" i="10"/>
  <c r="Q10" i="10"/>
  <c r="Q1747" i="10"/>
  <c r="Q968" i="10"/>
  <c r="Q293" i="10"/>
  <c r="Q1389" i="10"/>
  <c r="Q2147" i="10"/>
  <c r="Q577" i="10"/>
  <c r="Q1221" i="10"/>
  <c r="Q2216" i="10"/>
  <c r="P4" i="10"/>
  <c r="Q1669" i="10"/>
  <c r="Q1960" i="10"/>
  <c r="Q1704" i="10"/>
  <c r="G33" i="4"/>
  <c r="G17" i="4"/>
  <c r="BQ5" i="9"/>
  <c r="BE35" i="1"/>
  <c r="BE34" i="1"/>
  <c r="BE33" i="1"/>
  <c r="Y29" i="12" s="1"/>
  <c r="H36" i="6" l="1"/>
  <c r="BS42" i="1"/>
  <c r="BN42" i="1"/>
  <c r="D2353" i="10"/>
  <c r="BQ43" i="1"/>
  <c r="H2353" i="10"/>
  <c r="H31" i="6"/>
  <c r="H30" i="6"/>
  <c r="H24" i="6"/>
  <c r="AH28" i="9"/>
  <c r="G25" i="4"/>
  <c r="BL44" i="1"/>
  <c r="BL43" i="1"/>
  <c r="BN43" i="1" s="1"/>
  <c r="BR42" i="1"/>
  <c r="C15" i="9"/>
  <c r="C37" i="1"/>
  <c r="C38" i="1" s="1"/>
  <c r="C30" i="9"/>
  <c r="K36" i="6"/>
  <c r="G31" i="13" s="1"/>
  <c r="C24" i="9"/>
  <c r="H11" i="2"/>
  <c r="I6" i="13" s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45" i="7"/>
  <c r="E51" i="7" s="1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E38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E37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W11" i="2"/>
  <c r="BN9" i="9" s="1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C5" i="9"/>
  <c r="F66" i="10"/>
  <c r="C2370" i="10"/>
  <c r="AL6" i="1"/>
  <c r="K31" i="1"/>
  <c r="G27" i="12" s="1"/>
  <c r="K11" i="1"/>
  <c r="G7" i="12" s="1"/>
  <c r="BB33" i="1"/>
  <c r="X29" i="12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O2369" i="10"/>
  <c r="BE37" i="1"/>
  <c r="BE38" i="1" s="1"/>
  <c r="BP40" i="1"/>
  <c r="BR43" i="1"/>
  <c r="BS43" i="1"/>
  <c r="Y43" i="2"/>
  <c r="BP38" i="9" s="1"/>
  <c r="I10" i="4"/>
  <c r="Z40" i="2"/>
  <c r="BQ35" i="9" s="1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O2353" i="10" l="1"/>
  <c r="U11" i="2"/>
  <c r="BM9" i="9" s="1"/>
  <c r="O2370" i="10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Z44" i="2"/>
  <c r="BQ39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/>
  <c r="BP26" i="9" s="1"/>
  <c r="BO39" i="9" l="1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<sst xmlns="http://schemas.openxmlformats.org/spreadsheetml/2006/main" count="887" uniqueCount="412">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</sst>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0192"/>
        <c:axId val="1479877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1216"/>
        <c:axId val="177869888"/>
      </c:lineChart>
      <c:catAx>
        <c:axId val="1938001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9877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4798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00192"/>
        <c:crosses val="autoZero"/>
        <c:crossBetween val="between"/>
      </c:valAx>
      <c:catAx>
        <c:axId val="193801216"/>
        <c:scaling>
          <c:orientation val="minMax"/>
        </c:scaling>
        <c:delete val="1"/>
        <c:axPos val="b"/>
        <c:majorTickMark val="out"/>
        <c:minorTickMark val="none"/>
        <c:tickLblPos val="none"/>
        <c:crossAx val="177869888"/>
        <c:crosses val="autoZero"/>
        <c:auto val="0"/>
        <c:lblAlgn val="ctr"/>
        <c:lblOffset val="100"/>
        <c:noMultiLvlLbl val="0"/>
      </c:catAx>
      <c:valAx>
        <c:axId val="17786988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012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62848"/>
        <c:axId val="17787161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63872"/>
        <c:axId val="194281472"/>
      </c:lineChart>
      <c:catAx>
        <c:axId val="154062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16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7871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2848"/>
        <c:crosses val="autoZero"/>
        <c:crossBetween val="between"/>
      </c:valAx>
      <c:catAx>
        <c:axId val="154063872"/>
        <c:scaling>
          <c:orientation val="minMax"/>
        </c:scaling>
        <c:delete val="1"/>
        <c:axPos val="b"/>
        <c:majorTickMark val="out"/>
        <c:minorTickMark val="none"/>
        <c:tickLblPos val="none"/>
        <c:crossAx val="194281472"/>
        <c:crosses val="autoZero"/>
        <c:auto val="0"/>
        <c:lblAlgn val="ctr"/>
        <c:lblOffset val="100"/>
        <c:noMultiLvlLbl val="0"/>
      </c:catAx>
      <c:valAx>
        <c:axId val="19428147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3872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3</v>
      </c>
      <c r="D2" s="958">
        <v>2020</v>
      </c>
      <c r="E2" s="951">
        <f>Elect!BL6</f>
        <v>27329.13</v>
      </c>
      <c r="F2" s="948">
        <f>'Utility Consnsumption'!K13/'Utility Consnsumption'!J13</f>
        <v>1.4558550708323708</v>
      </c>
      <c r="G2" s="949">
        <f>Gas!K7</f>
        <v>1681.52</v>
      </c>
      <c r="H2" s="948">
        <v>3.8</v>
      </c>
      <c r="I2" s="949">
        <f>Water!H7</f>
        <v>201.84</v>
      </c>
      <c r="J2" s="950">
        <v>10</v>
      </c>
      <c r="K2" s="949">
        <f>Elect!BM6</f>
        <v>169</v>
      </c>
    </row>
    <row r="3" spans="1:12">
      <c r="A3" s="959" t="s">
        <v>369</v>
      </c>
      <c r="B3" s="954">
        <f>B2+1</f>
        <v>2</v>
      </c>
      <c r="C3" s="957">
        <v>3</v>
      </c>
      <c r="D3" s="958">
        <v>2020</v>
      </c>
      <c r="E3" s="951">
        <f>Elect!BL7</f>
        <v>26268.53</v>
      </c>
      <c r="F3" s="948">
        <f>F2</f>
        <v>1.4558550708323708</v>
      </c>
      <c r="G3" s="949">
        <f>Gas!K8</f>
        <v>1980.76</v>
      </c>
      <c r="H3" s="948">
        <v>3.8</v>
      </c>
      <c r="I3" s="949">
        <f>Water!H8</f>
        <v>197.2</v>
      </c>
      <c r="J3" s="950">
        <v>10</v>
      </c>
      <c r="K3" s="949">
        <f>Elect!BM7</f>
        <v>160</v>
      </c>
    </row>
    <row r="4" spans="1:12">
      <c r="A4" s="959" t="s">
        <v>369</v>
      </c>
      <c r="B4" s="954">
        <f t="shared" ref="B4:B32" si="0">B3+1</f>
        <v>3</v>
      </c>
      <c r="C4" s="957">
        <v>3</v>
      </c>
      <c r="D4" s="958">
        <v>2020</v>
      </c>
      <c r="E4" s="951">
        <f>Elect!BL8</f>
        <v>24951.526666668844</v>
      </c>
      <c r="F4" s="948">
        <f t="shared" ref="F4:F32" si="1">F3</f>
        <v>1.4558550708323708</v>
      </c>
      <c r="G4" s="949">
        <f>Gas!K9</f>
        <v>1557.7600000000002</v>
      </c>
      <c r="H4" s="948">
        <v>3.8</v>
      </c>
      <c r="I4" s="949">
        <f>Water!H9</f>
        <v>168.2</v>
      </c>
      <c r="J4" s="950">
        <v>10</v>
      </c>
      <c r="K4" s="949">
        <f>Elect!BM8</f>
        <v>162</v>
      </c>
    </row>
    <row r="5" spans="1:12">
      <c r="A5" s="959" t="s">
        <v>369</v>
      </c>
      <c r="B5" s="954">
        <f t="shared" si="0"/>
        <v>4</v>
      </c>
      <c r="C5" s="957">
        <v>3</v>
      </c>
      <c r="D5" s="958">
        <v>2020</v>
      </c>
      <c r="E5" s="951">
        <f>Elect!BL9</f>
        <v>29454.763333331157</v>
      </c>
      <c r="F5" s="948">
        <f t="shared" si="1"/>
        <v>1.4558550708323708</v>
      </c>
      <c r="G5" s="949">
        <f>Gas!K10</f>
        <v>2060.6400000000003</v>
      </c>
      <c r="H5" s="948">
        <v>3.8</v>
      </c>
      <c r="I5" s="949">
        <f>Water!H10</f>
        <v>186.18</v>
      </c>
      <c r="J5" s="950">
        <v>10</v>
      </c>
      <c r="K5" s="949">
        <f>Elect!BM9</f>
        <v>174</v>
      </c>
    </row>
    <row r="6" spans="1:12">
      <c r="A6" s="959" t="s">
        <v>369</v>
      </c>
      <c r="B6" s="954">
        <f t="shared" si="0"/>
        <v>5</v>
      </c>
      <c r="C6" s="957">
        <v>3</v>
      </c>
      <c r="D6" s="958">
        <v>2020</v>
      </c>
      <c r="E6" s="951">
        <f>Elect!BL10</f>
        <v>22207.106000000007</v>
      </c>
      <c r="F6" s="948">
        <f t="shared" si="1"/>
        <v>1.4558550708323708</v>
      </c>
      <c r="G6" s="949">
        <f>Gas!K11</f>
        <v>2338.2800000000002</v>
      </c>
      <c r="H6" s="948">
        <v>3.8</v>
      </c>
      <c r="I6" s="949">
        <f>Water!H11</f>
        <v>133.39999999999998</v>
      </c>
      <c r="J6" s="950">
        <v>10</v>
      </c>
      <c r="K6" s="949">
        <f>Elect!BM10</f>
        <v>169</v>
      </c>
    </row>
    <row r="7" spans="1:12">
      <c r="A7" s="959" t="s">
        <v>369</v>
      </c>
      <c r="B7" s="954">
        <f t="shared" si="0"/>
        <v>6</v>
      </c>
      <c r="C7" s="957">
        <v>3</v>
      </c>
      <c r="D7" s="958">
        <v>2020</v>
      </c>
      <c r="E7" s="951">
        <f>Elect!BL11</f>
        <v>26127.273999999994</v>
      </c>
      <c r="F7" s="948">
        <f t="shared" si="1"/>
        <v>1.4558550708323708</v>
      </c>
      <c r="G7" s="949">
        <f>Gas!K12</f>
        <v>2269.3199999999997</v>
      </c>
      <c r="H7" s="948">
        <v>3.8</v>
      </c>
      <c r="I7" s="949">
        <f>Water!H12</f>
        <v>244.18</v>
      </c>
      <c r="J7" s="950">
        <v>10</v>
      </c>
      <c r="K7" s="949">
        <f>Elect!BM11</f>
        <v>120</v>
      </c>
    </row>
    <row r="8" spans="1:12">
      <c r="A8" s="959" t="s">
        <v>369</v>
      </c>
      <c r="B8" s="954">
        <f t="shared" si="0"/>
        <v>7</v>
      </c>
      <c r="C8" s="957">
        <v>3</v>
      </c>
      <c r="D8" s="958">
        <v>2020</v>
      </c>
      <c r="E8" s="951">
        <f>Elect!BL12</f>
        <v>25733.85</v>
      </c>
      <c r="F8" s="948">
        <f t="shared" si="1"/>
        <v>1.4558550708323708</v>
      </c>
      <c r="G8" s="949">
        <f>Gas!K13</f>
        <v>1377.64</v>
      </c>
      <c r="H8" s="948">
        <v>3.8</v>
      </c>
      <c r="I8" s="949">
        <f>Water!H13</f>
        <v>169.94</v>
      </c>
      <c r="J8" s="950">
        <v>10</v>
      </c>
      <c r="K8" s="949">
        <f>Elect!BM12</f>
        <v>9</v>
      </c>
    </row>
    <row r="9" spans="1:12">
      <c r="A9" s="959" t="s">
        <v>369</v>
      </c>
      <c r="B9" s="954">
        <f t="shared" si="0"/>
        <v>8</v>
      </c>
      <c r="C9" s="957">
        <v>3</v>
      </c>
      <c r="D9" s="958">
        <v>2020</v>
      </c>
      <c r="E9" s="951">
        <f>Elect!BL13</f>
        <v>25635.97</v>
      </c>
      <c r="F9" s="948">
        <f t="shared" si="1"/>
        <v>1.4558550708323708</v>
      </c>
      <c r="G9" s="949">
        <f>Gas!K14</f>
        <v>1027.24</v>
      </c>
      <c r="H9" s="948">
        <v>3.8</v>
      </c>
      <c r="I9" s="949">
        <f>Water!H14</f>
        <v>290</v>
      </c>
      <c r="J9" s="950">
        <v>10</v>
      </c>
      <c r="K9" s="949">
        <f>Elect!BM13</f>
        <v>70</v>
      </c>
    </row>
    <row r="10" spans="1:12">
      <c r="A10" s="959" t="s">
        <v>369</v>
      </c>
      <c r="B10" s="954">
        <f t="shared" si="0"/>
        <v>9</v>
      </c>
      <c r="C10" s="957">
        <v>3</v>
      </c>
      <c r="D10" s="958">
        <v>2020</v>
      </c>
      <c r="E10" s="951">
        <f>Elect!BL14</f>
        <v>25100.84</v>
      </c>
      <c r="F10" s="948">
        <f t="shared" si="1"/>
        <v>1.4558550708323708</v>
      </c>
      <c r="G10" s="949">
        <f>Gas!K15</f>
        <v>1350.98</v>
      </c>
      <c r="H10" s="948">
        <v>3.8</v>
      </c>
      <c r="I10" s="949">
        <f>Water!H15</f>
        <v>169.35999999999999</v>
      </c>
      <c r="J10" s="950">
        <v>10</v>
      </c>
      <c r="K10" s="949">
        <f>Elect!BM14</f>
        <v>89</v>
      </c>
    </row>
    <row r="11" spans="1:12">
      <c r="A11" s="959" t="s">
        <v>369</v>
      </c>
      <c r="B11" s="954">
        <f t="shared" si="0"/>
        <v>10</v>
      </c>
      <c r="C11" s="957">
        <v>3</v>
      </c>
      <c r="D11" s="958">
        <v>2020</v>
      </c>
      <c r="E11" s="951">
        <f>Elect!BL15</f>
        <v>22104.55</v>
      </c>
      <c r="F11" s="948">
        <f t="shared" si="1"/>
        <v>1.4558550708323708</v>
      </c>
      <c r="G11" s="949">
        <f>Gas!K16</f>
        <v>1531.42</v>
      </c>
      <c r="H11" s="948">
        <v>3.8</v>
      </c>
      <c r="I11" s="949">
        <f>Water!H16</f>
        <v>272.60000000000002</v>
      </c>
      <c r="J11" s="950">
        <v>10</v>
      </c>
      <c r="K11" s="949">
        <f>Elect!BM15</f>
        <v>101</v>
      </c>
    </row>
    <row r="12" spans="1:12">
      <c r="A12" s="959" t="s">
        <v>369</v>
      </c>
      <c r="B12" s="954">
        <f t="shared" si="0"/>
        <v>11</v>
      </c>
      <c r="C12" s="957">
        <v>3</v>
      </c>
      <c r="D12" s="958">
        <v>2020</v>
      </c>
      <c r="E12" s="951">
        <f>Elect!BL16</f>
        <v>23232.7</v>
      </c>
      <c r="F12" s="948">
        <f t="shared" si="1"/>
        <v>1.4558550708323708</v>
      </c>
      <c r="G12" s="949">
        <f>Gas!K17</f>
        <v>1262.92</v>
      </c>
      <c r="H12" s="948">
        <v>3.8</v>
      </c>
      <c r="I12" s="949">
        <f>Water!H17</f>
        <v>196.62</v>
      </c>
      <c r="J12" s="950">
        <v>10</v>
      </c>
      <c r="K12" s="949">
        <f>Elect!BM16</f>
        <v>71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3</v>
      </c>
      <c r="D13" s="958">
        <v>2020</v>
      </c>
      <c r="E13" s="951">
        <f>Elect!BL17</f>
        <v>16322.18</v>
      </c>
      <c r="F13" s="948">
        <f t="shared" si="1"/>
        <v>1.4558550708323708</v>
      </c>
      <c r="G13" s="949">
        <f>Gas!K18</f>
        <v>1389.08</v>
      </c>
      <c r="H13" s="948">
        <v>3.8</v>
      </c>
      <c r="I13" s="949">
        <f>Water!H18</f>
        <v>103.24</v>
      </c>
      <c r="J13" s="950">
        <v>10</v>
      </c>
      <c r="K13" s="949">
        <f>Elect!BM17</f>
        <v>89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3</v>
      </c>
      <c r="D14" s="958">
        <v>2020</v>
      </c>
      <c r="E14" s="951">
        <f>Elect!BL18</f>
        <v>18998.97</v>
      </c>
      <c r="F14" s="948">
        <f t="shared" si="1"/>
        <v>1.4558550708323708</v>
      </c>
      <c r="G14" s="949">
        <f>Gas!K19</f>
        <v>1324.94</v>
      </c>
      <c r="H14" s="948">
        <v>3.8</v>
      </c>
      <c r="I14" s="949">
        <f>Water!H19</f>
        <v>145</v>
      </c>
      <c r="J14" s="950">
        <v>10</v>
      </c>
      <c r="K14" s="949">
        <f>Elect!BM18</f>
        <v>83</v>
      </c>
    </row>
    <row r="15" spans="1:12">
      <c r="A15" s="959" t="s">
        <v>369</v>
      </c>
      <c r="B15" s="954">
        <f t="shared" si="0"/>
        <v>14</v>
      </c>
      <c r="C15" s="957">
        <v>3</v>
      </c>
      <c r="D15" s="958">
        <v>2020</v>
      </c>
      <c r="E15" s="951">
        <f>Elect!BL19</f>
        <v>20829.2</v>
      </c>
      <c r="F15" s="948">
        <f t="shared" si="1"/>
        <v>1.4558550708323708</v>
      </c>
      <c r="G15" s="949">
        <f>Gas!K20</f>
        <v>1459.54</v>
      </c>
      <c r="H15" s="948">
        <v>3.8</v>
      </c>
      <c r="I15" s="949">
        <f>Water!H20</f>
        <v>116</v>
      </c>
      <c r="J15" s="950">
        <v>10</v>
      </c>
      <c r="K15" s="949">
        <f>Elect!BM19</f>
        <v>82</v>
      </c>
    </row>
    <row r="16" spans="1:12">
      <c r="A16" s="959" t="s">
        <v>369</v>
      </c>
      <c r="B16" s="954">
        <f t="shared" si="0"/>
        <v>15</v>
      </c>
      <c r="C16" s="957">
        <v>3</v>
      </c>
      <c r="D16" s="958">
        <v>2020</v>
      </c>
      <c r="E16" s="951">
        <f>Elect!BL20</f>
        <v>22944.31</v>
      </c>
      <c r="F16" s="948">
        <f t="shared" si="1"/>
        <v>1.4558550708323708</v>
      </c>
      <c r="G16" s="949">
        <f>Gas!K21</f>
        <v>1281.72</v>
      </c>
      <c r="H16" s="948">
        <v>3.8</v>
      </c>
      <c r="I16" s="949">
        <f>Water!H21</f>
        <v>153.69999999999999</v>
      </c>
      <c r="J16" s="950">
        <v>10</v>
      </c>
      <c r="K16" s="949">
        <f>Elect!BM20</f>
        <v>58</v>
      </c>
    </row>
    <row r="17" spans="1:11">
      <c r="A17" s="959" t="s">
        <v>369</v>
      </c>
      <c r="B17" s="954">
        <f t="shared" si="0"/>
        <v>16</v>
      </c>
      <c r="C17" s="957">
        <v>3</v>
      </c>
      <c r="D17" s="958">
        <v>2020</v>
      </c>
      <c r="E17" s="951">
        <f>Elect!BL21</f>
        <v>18611.099999999999</v>
      </c>
      <c r="F17" s="948">
        <f t="shared" si="1"/>
        <v>1.4558550708323708</v>
      </c>
      <c r="G17" s="949">
        <f>Gas!K22</f>
        <v>1171.26</v>
      </c>
      <c r="H17" s="948">
        <v>3.8</v>
      </c>
      <c r="I17" s="949">
        <f>Water!H22</f>
        <v>123.53999999999999</v>
      </c>
      <c r="J17" s="950">
        <v>10</v>
      </c>
      <c r="K17" s="949">
        <f>Elect!BM21</f>
        <v>12</v>
      </c>
    </row>
    <row r="18" spans="1:11">
      <c r="A18" s="959" t="s">
        <v>369</v>
      </c>
      <c r="B18" s="954">
        <f t="shared" si="0"/>
        <v>17</v>
      </c>
      <c r="C18" s="957">
        <v>3</v>
      </c>
      <c r="D18" s="958">
        <v>2020</v>
      </c>
      <c r="E18" s="951">
        <f>Elect!BL22</f>
        <v>20802.66</v>
      </c>
      <c r="F18" s="948">
        <f t="shared" si="1"/>
        <v>1.4558550708323708</v>
      </c>
      <c r="G18" s="949">
        <f>Gas!K23</f>
        <v>1212.3599999999999</v>
      </c>
      <c r="H18" s="948">
        <v>3.8</v>
      </c>
      <c r="I18" s="949">
        <f>Water!H23</f>
        <v>78.880000000016864</v>
      </c>
      <c r="J18" s="950">
        <v>10</v>
      </c>
      <c r="K18" s="949">
        <f>Elect!BM22</f>
        <v>38</v>
      </c>
    </row>
    <row r="19" spans="1:11">
      <c r="A19" s="959" t="s">
        <v>369</v>
      </c>
      <c r="B19" s="954">
        <f t="shared" si="0"/>
        <v>18</v>
      </c>
      <c r="C19" s="957">
        <v>3</v>
      </c>
      <c r="D19" s="958">
        <v>2020</v>
      </c>
      <c r="E19" s="951">
        <f>Elect!BL23</f>
        <v>15984.27</v>
      </c>
      <c r="F19" s="948">
        <f t="shared" si="1"/>
        <v>1.4558550708323708</v>
      </c>
      <c r="G19" s="949">
        <f>Gas!K24</f>
        <v>1194.06</v>
      </c>
      <c r="H19" s="948">
        <v>3.8</v>
      </c>
      <c r="I19" s="949">
        <f>Water!H24</f>
        <v>79.459999999983111</v>
      </c>
      <c r="J19" s="950">
        <v>10</v>
      </c>
      <c r="K19" s="949">
        <f>Elect!BM23</f>
        <v>25</v>
      </c>
    </row>
    <row r="20" spans="1:11">
      <c r="A20" s="959" t="s">
        <v>369</v>
      </c>
      <c r="B20" s="954">
        <f t="shared" si="0"/>
        <v>19</v>
      </c>
      <c r="C20" s="957">
        <v>3</v>
      </c>
      <c r="D20" s="958">
        <v>2020</v>
      </c>
      <c r="E20" s="951">
        <f>Elect!BL24</f>
        <v>17157.82</v>
      </c>
      <c r="F20" s="948">
        <f t="shared" si="1"/>
        <v>1.4558550708323708</v>
      </c>
      <c r="G20" s="949">
        <f>Gas!K25</f>
        <v>730.96</v>
      </c>
      <c r="H20" s="948">
        <v>3.8</v>
      </c>
      <c r="I20" s="949">
        <f>Water!H25</f>
        <v>86.999999999999986</v>
      </c>
      <c r="J20" s="950">
        <v>10</v>
      </c>
      <c r="K20" s="949">
        <f>Elect!BM24</f>
        <v>18</v>
      </c>
    </row>
    <row r="21" spans="1:11">
      <c r="A21" s="959" t="s">
        <v>369</v>
      </c>
      <c r="B21" s="954">
        <f t="shared" si="0"/>
        <v>20</v>
      </c>
      <c r="C21" s="957">
        <v>3</v>
      </c>
      <c r="D21" s="958">
        <v>2020</v>
      </c>
      <c r="E21" s="951">
        <f>Elect!BL25</f>
        <v>15709.260000000002</v>
      </c>
      <c r="F21" s="948">
        <f t="shared" si="1"/>
        <v>1.4558550708323708</v>
      </c>
      <c r="G21" s="949">
        <f>Gas!K26</f>
        <v>878.56</v>
      </c>
      <c r="H21" s="948">
        <v>3.8</v>
      </c>
      <c r="I21" s="949">
        <f>Water!H26</f>
        <v>115.99999999999999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3</v>
      </c>
      <c r="D22" s="958">
        <v>2020</v>
      </c>
      <c r="E22" s="951">
        <f>Elect!BL26</f>
        <v>15226.94</v>
      </c>
      <c r="F22" s="948">
        <f t="shared" si="1"/>
        <v>1.4558550708323708</v>
      </c>
      <c r="G22" s="949">
        <f>Gas!K27</f>
        <v>788.66000000000008</v>
      </c>
      <c r="H22" s="948">
        <v>3.8</v>
      </c>
      <c r="I22" s="949">
        <f>Water!H27</f>
        <v>121.79999999999998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3</v>
      </c>
      <c r="D23" s="958">
        <v>2020</v>
      </c>
      <c r="E23" s="951">
        <f>Elect!BL27</f>
        <v>12339.52</v>
      </c>
      <c r="F23" s="948">
        <f t="shared" si="1"/>
        <v>1.4558550708323708</v>
      </c>
      <c r="G23" s="949">
        <f>Gas!K28</f>
        <v>754.16</v>
      </c>
      <c r="H23" s="948">
        <v>3.8</v>
      </c>
      <c r="I23" s="949">
        <f>Water!H28</f>
        <v>121.8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3</v>
      </c>
      <c r="D24" s="958">
        <v>2020</v>
      </c>
      <c r="E24" s="951">
        <f>Elect!BL28</f>
        <v>11377.57</v>
      </c>
      <c r="F24" s="948">
        <f t="shared" si="1"/>
        <v>1.4558550708323708</v>
      </c>
      <c r="G24" s="949">
        <f>Gas!K29</f>
        <v>426.94</v>
      </c>
      <c r="H24" s="948">
        <v>3.8</v>
      </c>
      <c r="I24" s="949">
        <f>Water!H29</f>
        <v>110.19999999999999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3</v>
      </c>
      <c r="D25" s="958">
        <v>2020</v>
      </c>
      <c r="E25" s="951">
        <f>Elect!BL29</f>
        <v>11312.46</v>
      </c>
      <c r="F25" s="948">
        <f t="shared" si="1"/>
        <v>1.4558550708323708</v>
      </c>
      <c r="G25" s="949">
        <f>Gas!K30</f>
        <v>316.65999999999997</v>
      </c>
      <c r="H25" s="948">
        <v>3.8</v>
      </c>
      <c r="I25" s="949">
        <f>Water!H30</f>
        <v>139.19999999999999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3</v>
      </c>
      <c r="D26" s="958">
        <v>2020</v>
      </c>
      <c r="E26" s="951">
        <f>Elect!BL30</f>
        <v>12562.92</v>
      </c>
      <c r="F26" s="948">
        <f t="shared" si="1"/>
        <v>1.4558550708323708</v>
      </c>
      <c r="G26" s="949">
        <f>Gas!K31</f>
        <v>376.76</v>
      </c>
      <c r="H26" s="948">
        <v>3.8</v>
      </c>
      <c r="I26" s="949">
        <f>Water!H31</f>
        <v>145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3</v>
      </c>
      <c r="D27" s="958">
        <v>2020</v>
      </c>
      <c r="E27" s="951">
        <f>Elect!BL31</f>
        <v>13619.900000000001</v>
      </c>
      <c r="F27" s="948">
        <f t="shared" si="1"/>
        <v>1.4558550708323708</v>
      </c>
      <c r="G27" s="949">
        <f>Gas!K32</f>
        <v>456.65999999999997</v>
      </c>
      <c r="H27" s="948">
        <v>3.8</v>
      </c>
      <c r="I27" s="949">
        <f>Water!H32</f>
        <v>156.6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3</v>
      </c>
      <c r="D28" s="958">
        <v>2020</v>
      </c>
      <c r="E28" s="951">
        <f>Elect!BL32</f>
        <v>11088.59</v>
      </c>
      <c r="F28" s="948">
        <f t="shared" si="1"/>
        <v>1.4558550708323708</v>
      </c>
      <c r="G28" s="949">
        <f>Gas!K33</f>
        <v>480.46</v>
      </c>
      <c r="H28" s="948">
        <v>3.8</v>
      </c>
      <c r="I28" s="949">
        <f>Water!H33</f>
        <v>156.6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3</v>
      </c>
      <c r="D29" s="958">
        <v>2020</v>
      </c>
      <c r="E29" s="951">
        <f>Elect!BL33</f>
        <v>8492.91</v>
      </c>
      <c r="F29" s="948">
        <f t="shared" si="1"/>
        <v>1.4558550708323708</v>
      </c>
      <c r="G29" s="949">
        <f>Gas!K34</f>
        <v>423.29999999999995</v>
      </c>
      <c r="H29" s="948">
        <v>3.8</v>
      </c>
      <c r="I29" s="949">
        <f>Water!H34</f>
        <v>150.80000000000001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3</v>
      </c>
      <c r="D30" s="958">
        <v>2020</v>
      </c>
      <c r="E30" s="951">
        <f>Elect!BL34</f>
        <v>13036.36</v>
      </c>
      <c r="F30" s="948">
        <f t="shared" si="1"/>
        <v>1.4558550708323708</v>
      </c>
      <c r="G30" s="949">
        <f>Gas!K35</f>
        <v>419.56</v>
      </c>
      <c r="H30" s="948">
        <v>3.8</v>
      </c>
      <c r="I30" s="949">
        <f>Water!H35</f>
        <v>156.6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3</v>
      </c>
      <c r="D31" s="958">
        <v>2020</v>
      </c>
      <c r="E31" s="951">
        <f>Elect!BL35</f>
        <v>11030.3</v>
      </c>
      <c r="F31" s="948">
        <f t="shared" si="1"/>
        <v>1.4558550708323708</v>
      </c>
      <c r="G31" s="949">
        <f>Gas!K36</f>
        <v>436.03999999999996</v>
      </c>
      <c r="H31" s="948">
        <v>3.8</v>
      </c>
      <c r="I31" s="949">
        <f>Water!H36</f>
        <v>133.4</v>
      </c>
      <c r="J31" s="950">
        <v>10</v>
      </c>
      <c r="K31" s="949">
        <f>Elect!BM35</f>
        <v>0</v>
      </c>
    </row>
    <row r="32" spans="1:11">
      <c r="A32" s="960" t="s">
        <v>369</v>
      </c>
      <c r="B32" s="961">
        <f t="shared" si="0"/>
        <v>31</v>
      </c>
      <c r="C32" s="957">
        <v>3</v>
      </c>
      <c r="D32" s="958">
        <v>2020</v>
      </c>
      <c r="E32" s="951">
        <f>Elect!BL36</f>
        <v>11488.01</v>
      </c>
      <c r="F32" s="948">
        <f t="shared" si="1"/>
        <v>1.4558550708323708</v>
      </c>
      <c r="G32" s="949">
        <f>Gas!K37</f>
        <v>431.82</v>
      </c>
      <c r="H32" s="948">
        <v>3.8</v>
      </c>
      <c r="I32" s="949">
        <f>Water!H37</f>
        <v>145</v>
      </c>
      <c r="J32" s="950">
        <v>10</v>
      </c>
      <c r="K32" s="949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F25" sqref="F25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4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3" t="s">
        <v>388</v>
      </c>
      <c r="N1" s="963" t="s">
        <v>389</v>
      </c>
      <c r="O1" s="963" t="s">
        <v>390</v>
      </c>
      <c r="P1" s="963" t="s">
        <v>391</v>
      </c>
      <c r="Q1" s="963" t="s">
        <v>392</v>
      </c>
      <c r="R1" s="963" t="s">
        <v>393</v>
      </c>
      <c r="S1" s="963" t="s">
        <v>394</v>
      </c>
      <c r="T1" s="963" t="s">
        <v>395</v>
      </c>
      <c r="U1" s="963" t="s">
        <v>396</v>
      </c>
      <c r="V1" s="963" t="s">
        <v>397</v>
      </c>
      <c r="W1" s="963" t="s">
        <v>398</v>
      </c>
      <c r="X1" s="963" t="s">
        <v>399</v>
      </c>
      <c r="Y1" s="963" t="s">
        <v>400</v>
      </c>
      <c r="Z1" s="963" t="s">
        <v>401</v>
      </c>
      <c r="AA1" s="963" t="s">
        <v>402</v>
      </c>
      <c r="AB1" s="963" t="s">
        <v>403</v>
      </c>
      <c r="AC1" s="963" t="s">
        <v>410</v>
      </c>
      <c r="AD1" s="963" t="s">
        <v>404</v>
      </c>
      <c r="AE1" s="963" t="s">
        <v>405</v>
      </c>
      <c r="AF1" s="963" t="s">
        <v>406</v>
      </c>
      <c r="AG1" s="963" t="s">
        <v>56</v>
      </c>
      <c r="AH1" s="963" t="s">
        <v>407</v>
      </c>
      <c r="AI1" s="963" t="s">
        <v>408</v>
      </c>
      <c r="AJ1" s="963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3</v>
      </c>
      <c r="D2" s="958">
        <v>2020</v>
      </c>
      <c r="E2" s="965"/>
      <c r="F2" s="942">
        <f>Elect!J6</f>
        <v>6715</v>
      </c>
      <c r="G2" s="942">
        <f>Elect!K6</f>
        <v>4066</v>
      </c>
      <c r="H2" s="942">
        <f>Elect!Q6</f>
        <v>750</v>
      </c>
      <c r="I2" s="942">
        <f>Elect!W6</f>
        <v>149</v>
      </c>
      <c r="J2" s="942">
        <f>Elect!Y6</f>
        <v>213</v>
      </c>
      <c r="K2" s="942">
        <f>Elect!AA6</f>
        <v>0</v>
      </c>
      <c r="L2" s="942">
        <f>Elect!AC6</f>
        <v>0</v>
      </c>
      <c r="M2" s="962">
        <f>Elect!AE6</f>
        <v>1815.25</v>
      </c>
      <c r="N2" s="962">
        <f>Elect!AG6</f>
        <v>0</v>
      </c>
      <c r="O2" s="962">
        <f>Elect!AI6</f>
        <v>302.63</v>
      </c>
      <c r="P2" s="962">
        <f>Elect!AK6</f>
        <v>2515.9100000000003</v>
      </c>
      <c r="Q2" s="962">
        <f>Elect!AN6</f>
        <v>2082</v>
      </c>
      <c r="R2" s="962">
        <f>Elect!AP6</f>
        <v>287</v>
      </c>
      <c r="S2" s="962">
        <f>Elect!AR6</f>
        <v>33.44</v>
      </c>
      <c r="T2" s="962">
        <f>Elect!AT6</f>
        <v>209</v>
      </c>
      <c r="U2" s="962">
        <f>Elect!AV6</f>
        <v>1202</v>
      </c>
      <c r="V2" s="962">
        <f>Elect!AX6</f>
        <v>45</v>
      </c>
      <c r="W2" s="962">
        <f>Elect!AZ6</f>
        <v>5558</v>
      </c>
      <c r="X2" s="962">
        <f>Elect!BB6</f>
        <v>5813.9</v>
      </c>
      <c r="Y2" s="962">
        <f>Elect!BE6</f>
        <v>0</v>
      </c>
      <c r="Z2" s="962">
        <f>Elect!BG6</f>
        <v>1141</v>
      </c>
      <c r="AA2" s="962">
        <f>Elect!BI6</f>
        <v>113</v>
      </c>
      <c r="AB2" s="962">
        <f>Elect!BK6</f>
        <v>191</v>
      </c>
      <c r="AC2" s="962"/>
      <c r="AD2" s="962">
        <f>Water!C7</f>
        <v>179.79999999999998</v>
      </c>
      <c r="AE2" s="962">
        <f>Water!E7</f>
        <v>5.8</v>
      </c>
      <c r="AF2" s="962">
        <f>Water!G7</f>
        <v>16.239999999999998</v>
      </c>
      <c r="AG2" s="962"/>
      <c r="AH2" s="962">
        <f>Gas!C7</f>
        <v>1459.6200000000001</v>
      </c>
      <c r="AI2" s="962">
        <f>Gas!E7</f>
        <v>221.89999999999998</v>
      </c>
      <c r="AJ2" s="962">
        <f>Gas!G7</f>
        <v>138</v>
      </c>
      <c r="AK2" s="949">
        <f>Elect!BM6</f>
        <v>169</v>
      </c>
    </row>
    <row r="3" spans="1:37" ht="12.75" customHeight="1">
      <c r="A3" s="959" t="s">
        <v>369</v>
      </c>
      <c r="B3" s="954">
        <f>B2+1</f>
        <v>2</v>
      </c>
      <c r="C3" s="957">
        <v>3</v>
      </c>
      <c r="D3" s="958">
        <v>2020</v>
      </c>
      <c r="E3" s="965"/>
      <c r="F3" s="942">
        <f>Elect!J7</f>
        <v>6172</v>
      </c>
      <c r="G3" s="942">
        <f>Elect!K7</f>
        <v>4554</v>
      </c>
      <c r="H3" s="942">
        <f>Elect!Q7</f>
        <v>660</v>
      </c>
      <c r="I3" s="942">
        <f>Elect!W7</f>
        <v>144</v>
      </c>
      <c r="J3" s="942">
        <f>Elect!Y7</f>
        <v>229</v>
      </c>
      <c r="K3" s="942">
        <f>Elect!AA7</f>
        <v>0</v>
      </c>
      <c r="L3" s="942">
        <f>Elect!AC7</f>
        <v>0</v>
      </c>
      <c r="M3" s="962">
        <f>Elect!AE7</f>
        <v>2441.71</v>
      </c>
      <c r="N3" s="962">
        <f>Elect!AG7</f>
        <v>0</v>
      </c>
      <c r="O3" s="962">
        <f>Elect!AI7</f>
        <v>249.10000000000002</v>
      </c>
      <c r="P3" s="962">
        <f>Elect!AK7</f>
        <v>2364.86</v>
      </c>
      <c r="Q3" s="962">
        <f>Elect!AN7</f>
        <v>1036</v>
      </c>
      <c r="R3" s="962">
        <f>Elect!AP7</f>
        <v>433</v>
      </c>
      <c r="S3" s="962">
        <f>Elect!AR7</f>
        <v>34.76</v>
      </c>
      <c r="T3" s="962">
        <f>Elect!AT7</f>
        <v>301</v>
      </c>
      <c r="U3" s="962">
        <f>Elect!AV7</f>
        <v>994</v>
      </c>
      <c r="V3" s="962">
        <f>Elect!AX7</f>
        <v>68</v>
      </c>
      <c r="W3" s="962">
        <f>Elect!AZ7</f>
        <v>5754</v>
      </c>
      <c r="X3" s="962">
        <f>Elect!BB7</f>
        <v>5760.1</v>
      </c>
      <c r="Y3" s="962">
        <f>Elect!BE7</f>
        <v>0</v>
      </c>
      <c r="Z3" s="962">
        <f>Elect!BG7</f>
        <v>1009</v>
      </c>
      <c r="AA3" s="962">
        <f>Elect!BI7</f>
        <v>133</v>
      </c>
      <c r="AB3" s="962">
        <f>Elect!BK7</f>
        <v>196</v>
      </c>
      <c r="AC3" s="962"/>
      <c r="AD3" s="962">
        <f>Water!C8</f>
        <v>191.39999999999998</v>
      </c>
      <c r="AE3" s="962">
        <f>Water!E8</f>
        <v>5.8</v>
      </c>
      <c r="AF3" s="962">
        <f>Water!G8</f>
        <v>0</v>
      </c>
      <c r="AG3" s="962"/>
      <c r="AH3" s="962">
        <f>Gas!C8</f>
        <v>1606.96</v>
      </c>
      <c r="AI3" s="962">
        <f>Gas!E8</f>
        <v>373.79999999999995</v>
      </c>
      <c r="AJ3" s="962">
        <f>Gas!G8</f>
        <v>64</v>
      </c>
      <c r="AK3" s="949">
        <f>Elect!BM7</f>
        <v>160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3</v>
      </c>
      <c r="D4" s="958">
        <v>2020</v>
      </c>
      <c r="E4" s="965"/>
      <c r="F4" s="942">
        <f>Elect!J8</f>
        <v>6534</v>
      </c>
      <c r="G4" s="942">
        <f>Elect!K8</f>
        <v>4228.6666666669771</v>
      </c>
      <c r="H4" s="942">
        <f>Elect!Q8</f>
        <v>720</v>
      </c>
      <c r="I4" s="942">
        <f>Elect!W8</f>
        <v>147.33333333329938</v>
      </c>
      <c r="J4" s="942">
        <f>Elect!Y8</f>
        <v>218.33333333299379</v>
      </c>
      <c r="K4" s="942">
        <f>Elect!AA8</f>
        <v>0</v>
      </c>
      <c r="L4" s="942">
        <f>Elect!AC8</f>
        <v>0</v>
      </c>
      <c r="M4" s="962">
        <f>Elect!AE8</f>
        <v>0</v>
      </c>
      <c r="N4" s="962">
        <f>Elect!AG8</f>
        <v>0</v>
      </c>
      <c r="O4" s="962">
        <f>Elect!AI8</f>
        <v>284.78666666648672</v>
      </c>
      <c r="P4" s="962">
        <f>Elect!AK8</f>
        <v>2465.56</v>
      </c>
      <c r="Q4" s="962">
        <f>Elect!AN8</f>
        <v>1733.3333333302289</v>
      </c>
      <c r="R4" s="962">
        <f>Elect!AP8</f>
        <v>335.66666666697711</v>
      </c>
      <c r="S4" s="962">
        <f>Elect!AR8</f>
        <v>33.880000000000003</v>
      </c>
      <c r="T4" s="962">
        <f>Elect!AT8</f>
        <v>239.66666666697711</v>
      </c>
      <c r="U4" s="962">
        <f>Elect!AV8</f>
        <v>1132.6666666697711</v>
      </c>
      <c r="V4" s="962">
        <f>Elect!AX8</f>
        <v>52.666666667006211</v>
      </c>
      <c r="W4" s="962">
        <f>Elect!AZ8</f>
        <v>5623.3333333004266</v>
      </c>
      <c r="X4" s="962">
        <f>Elect!BB8</f>
        <v>5795.9666667009706</v>
      </c>
      <c r="Y4" s="962">
        <f>Elect!BE8</f>
        <v>0</v>
      </c>
      <c r="Z4" s="962">
        <f>Elect!BG8</f>
        <v>1097</v>
      </c>
      <c r="AA4" s="962">
        <f>Elect!BI8</f>
        <v>119.66666666697711</v>
      </c>
      <c r="AB4" s="962">
        <f>Elect!BK8</f>
        <v>192.66666666697711</v>
      </c>
      <c r="AC4" s="962"/>
      <c r="AD4" s="962">
        <f>Water!C9</f>
        <v>168.2</v>
      </c>
      <c r="AE4" s="962">
        <f>Water!E9</f>
        <v>0</v>
      </c>
      <c r="AF4" s="962">
        <f>Water!G9</f>
        <v>0</v>
      </c>
      <c r="AG4" s="962"/>
      <c r="AH4" s="962">
        <f>Gas!C9</f>
        <v>1251.8600000000001</v>
      </c>
      <c r="AI4" s="962">
        <f>Gas!E9</f>
        <v>305.89999999999998</v>
      </c>
      <c r="AJ4" s="962">
        <f>Gas!G9</f>
        <v>11</v>
      </c>
      <c r="AK4" s="949">
        <f>Elect!BM8</f>
        <v>162</v>
      </c>
    </row>
    <row r="5" spans="1:37" ht="12.75" customHeight="1">
      <c r="A5" s="959" t="s">
        <v>369</v>
      </c>
      <c r="B5" s="954">
        <f t="shared" si="0"/>
        <v>4</v>
      </c>
      <c r="C5" s="957">
        <v>3</v>
      </c>
      <c r="D5" s="958">
        <v>2020</v>
      </c>
      <c r="E5" s="965"/>
      <c r="F5" s="942">
        <f>Elect!J9</f>
        <v>7854</v>
      </c>
      <c r="G5" s="942">
        <f>Elect!K9</f>
        <v>4352.3333333330229</v>
      </c>
      <c r="H5" s="942">
        <f>Elect!Q9</f>
        <v>690</v>
      </c>
      <c r="I5" s="942">
        <f>Elect!W9</f>
        <v>147.66666666670062</v>
      </c>
      <c r="J5" s="942">
        <f>Elect!Y9</f>
        <v>264.66666666700621</v>
      </c>
      <c r="K5" s="942">
        <f>Elect!AA9</f>
        <v>0</v>
      </c>
      <c r="L5" s="942">
        <f>Elect!AC9</f>
        <v>3769.8900000000003</v>
      </c>
      <c r="M5" s="962">
        <f>Elect!AE9</f>
        <v>1552.3700000000001</v>
      </c>
      <c r="N5" s="962">
        <f>Elect!AG9</f>
        <v>0</v>
      </c>
      <c r="O5" s="962">
        <f>Elect!AI9</f>
        <v>234.08333333351331</v>
      </c>
      <c r="P5" s="962">
        <f>Elect!AK9</f>
        <v>2017.18</v>
      </c>
      <c r="Q5" s="962">
        <f>Elect!AN9</f>
        <v>622.66666666977108</v>
      </c>
      <c r="R5" s="962">
        <f>Elect!AP9</f>
        <v>518.33333333302289</v>
      </c>
      <c r="S5" s="962">
        <f>Elect!AR9</f>
        <v>24.64</v>
      </c>
      <c r="T5" s="962">
        <f>Elect!AT9</f>
        <v>260.33333333302289</v>
      </c>
      <c r="U5" s="962">
        <f>Elect!AV9</f>
        <v>994.33333333022892</v>
      </c>
      <c r="V5" s="962">
        <f>Elect!AX9</f>
        <v>86.333333332993789</v>
      </c>
      <c r="W5" s="962">
        <f>Elect!AZ9</f>
        <v>5438.6666666995734</v>
      </c>
      <c r="X5" s="962">
        <f>Elect!BB9</f>
        <v>5391.93333329903</v>
      </c>
      <c r="Y5" s="962">
        <f>Elect!BE9</f>
        <v>0</v>
      </c>
      <c r="Z5" s="962">
        <f>Elect!BG9</f>
        <v>1109</v>
      </c>
      <c r="AA5" s="962">
        <f>Elect!BI9</f>
        <v>147.33333333302289</v>
      </c>
      <c r="AB5" s="962">
        <f>Elect!BK9</f>
        <v>197.33333333302289</v>
      </c>
      <c r="AC5" s="962"/>
      <c r="AD5" s="962">
        <f>Water!C10</f>
        <v>185.6</v>
      </c>
      <c r="AE5" s="962">
        <f>Water!E10</f>
        <v>0</v>
      </c>
      <c r="AF5" s="962">
        <f>Water!G10</f>
        <v>0.57999999999999996</v>
      </c>
      <c r="AG5" s="962"/>
      <c r="AH5" s="962">
        <f>Gas!C10</f>
        <v>1838.0400000000002</v>
      </c>
      <c r="AI5" s="962">
        <f>Gas!E10</f>
        <v>222.6</v>
      </c>
      <c r="AJ5" s="962">
        <f>Gas!G10</f>
        <v>118</v>
      </c>
      <c r="AK5" s="949">
        <f>Elect!BM9</f>
        <v>174</v>
      </c>
    </row>
    <row r="6" spans="1:37" ht="12.75" customHeight="1">
      <c r="A6" s="959" t="s">
        <v>369</v>
      </c>
      <c r="B6" s="954">
        <f t="shared" si="0"/>
        <v>5</v>
      </c>
      <c r="C6" s="957">
        <v>3</v>
      </c>
      <c r="D6" s="958">
        <v>2020</v>
      </c>
      <c r="E6" s="965"/>
      <c r="F6" s="942">
        <f>Elect!J10</f>
        <v>4821</v>
      </c>
      <c r="G6" s="942">
        <f>Elect!K10</f>
        <v>3886.8888888889924</v>
      </c>
      <c r="H6" s="942">
        <f>Elect!Q10</f>
        <v>600</v>
      </c>
      <c r="I6" s="942">
        <f>Elect!W10</f>
        <v>111</v>
      </c>
      <c r="J6" s="942">
        <f>Elect!Y10</f>
        <v>187</v>
      </c>
      <c r="K6" s="942">
        <f>Elect!AA10</f>
        <v>0</v>
      </c>
      <c r="L6" s="942">
        <f>Elect!AC10</f>
        <v>2617.67</v>
      </c>
      <c r="M6" s="962">
        <f>Elect!AE10</f>
        <v>0</v>
      </c>
      <c r="N6" s="962">
        <f>Elect!AG10</f>
        <v>0</v>
      </c>
      <c r="O6" s="962">
        <f>Elect!AI10</f>
        <v>241.68</v>
      </c>
      <c r="P6" s="962">
        <f>Elect!AK10</f>
        <v>2525.0260000000062</v>
      </c>
      <c r="Q6" s="962">
        <f>Elect!AN10</f>
        <v>1242</v>
      </c>
      <c r="R6" s="962">
        <f>Elect!AP10</f>
        <v>206</v>
      </c>
      <c r="S6" s="962">
        <f>Elect!AR10</f>
        <v>21.23</v>
      </c>
      <c r="T6" s="962">
        <f>Elect!AT10</f>
        <v>156</v>
      </c>
      <c r="U6" s="962">
        <f>Elect!AV10</f>
        <v>864</v>
      </c>
      <c r="V6" s="962">
        <f>Elect!AX10</f>
        <v>52</v>
      </c>
      <c r="W6" s="962">
        <f>Elect!AZ10</f>
        <v>4685</v>
      </c>
      <c r="X6" s="962">
        <f>Elect!BB10</f>
        <v>4175.5</v>
      </c>
      <c r="Y6" s="962">
        <f>Elect!BE10</f>
        <v>0</v>
      </c>
      <c r="Z6" s="962">
        <f>Elect!BG10</f>
        <v>850</v>
      </c>
      <c r="AA6" s="962">
        <f>Elect!BI10</f>
        <v>97</v>
      </c>
      <c r="AB6" s="962">
        <f>Elect!BK10</f>
        <v>141</v>
      </c>
      <c r="AC6" s="962"/>
      <c r="AD6" s="962">
        <f>Water!C11</f>
        <v>133.39999999999998</v>
      </c>
      <c r="AE6" s="962">
        <f>Water!E11</f>
        <v>0</v>
      </c>
      <c r="AF6" s="962">
        <f>Water!G11</f>
        <v>0</v>
      </c>
      <c r="AG6" s="962"/>
      <c r="AH6" s="962">
        <f>Gas!C11</f>
        <v>1958.88</v>
      </c>
      <c r="AI6" s="962">
        <f>Gas!E11</f>
        <v>379.4</v>
      </c>
      <c r="AJ6" s="962">
        <f>Gas!G11</f>
        <v>118</v>
      </c>
      <c r="AK6" s="949">
        <f>Elect!BM10</f>
        <v>169</v>
      </c>
    </row>
    <row r="7" spans="1:37" ht="12.75" customHeight="1">
      <c r="A7" s="959" t="s">
        <v>369</v>
      </c>
      <c r="B7" s="954">
        <f t="shared" si="0"/>
        <v>6</v>
      </c>
      <c r="C7" s="957">
        <v>3</v>
      </c>
      <c r="D7" s="958">
        <v>2020</v>
      </c>
      <c r="E7" s="965"/>
      <c r="F7" s="942">
        <f>Elect!J11</f>
        <v>6554</v>
      </c>
      <c r="G7" s="942">
        <f>Elect!K11</f>
        <v>4691.1111111110076</v>
      </c>
      <c r="H7" s="942">
        <f>Elect!Q11</f>
        <v>690</v>
      </c>
      <c r="I7" s="942">
        <f>Elect!W11</f>
        <v>146</v>
      </c>
      <c r="J7" s="942">
        <f>Elect!Y11</f>
        <v>248</v>
      </c>
      <c r="K7" s="942">
        <f>Elect!AA11</f>
        <v>0</v>
      </c>
      <c r="L7" s="942">
        <f>Elect!AC11</f>
        <v>2553.0100000000002</v>
      </c>
      <c r="M7" s="962">
        <f>Elect!AE11</f>
        <v>0</v>
      </c>
      <c r="N7" s="962">
        <f>Elect!AG11</f>
        <v>0</v>
      </c>
      <c r="O7" s="962">
        <f>Elect!AI11</f>
        <v>266.59000000000003</v>
      </c>
      <c r="P7" s="962">
        <f>Elect!AK11</f>
        <v>2355.7439999999938</v>
      </c>
      <c r="Q7" s="962">
        <f>Elect!AN11</f>
        <v>1001</v>
      </c>
      <c r="R7" s="962">
        <f>Elect!AP11</f>
        <v>336</v>
      </c>
      <c r="S7" s="962">
        <f>Elect!AR11</f>
        <v>31.13</v>
      </c>
      <c r="T7" s="962">
        <f>Elect!AT11</f>
        <v>225</v>
      </c>
      <c r="U7" s="962">
        <f>Elect!AV11</f>
        <v>1096</v>
      </c>
      <c r="V7" s="962">
        <f>Elect!AX11</f>
        <v>66</v>
      </c>
      <c r="W7" s="962">
        <f>Elect!AZ11</f>
        <v>5579</v>
      </c>
      <c r="X7" s="962">
        <f>Elect!BB11</f>
        <v>5373.8</v>
      </c>
      <c r="Y7" s="962">
        <f>Elect!BE11</f>
        <v>0</v>
      </c>
      <c r="Z7" s="962">
        <f>Elect!BG11</f>
        <v>1122</v>
      </c>
      <c r="AA7" s="962">
        <f>Elect!BI11</f>
        <v>132</v>
      </c>
      <c r="AB7" s="962">
        <f>Elect!BK11</f>
        <v>195</v>
      </c>
      <c r="AC7" s="962"/>
      <c r="AD7" s="962">
        <f>Water!C12</f>
        <v>237.79999999999998</v>
      </c>
      <c r="AE7" s="962">
        <f>Water!E12</f>
        <v>5.8</v>
      </c>
      <c r="AF7" s="962">
        <f>Water!G12</f>
        <v>0.57999999999999996</v>
      </c>
      <c r="AG7" s="962"/>
      <c r="AH7" s="962">
        <f>Gas!C12</f>
        <v>1846.52</v>
      </c>
      <c r="AI7" s="962">
        <f>Gas!E12</f>
        <v>422.79999999999995</v>
      </c>
      <c r="AJ7" s="962">
        <f>Gas!G12</f>
        <v>115</v>
      </c>
      <c r="AK7" s="949">
        <f>Elect!BM11</f>
        <v>120</v>
      </c>
    </row>
    <row r="8" spans="1:37" ht="12.75" customHeight="1">
      <c r="A8" s="959" t="s">
        <v>369</v>
      </c>
      <c r="B8" s="954">
        <f t="shared" si="0"/>
        <v>7</v>
      </c>
      <c r="C8" s="957">
        <v>3</v>
      </c>
      <c r="D8" s="958">
        <v>2020</v>
      </c>
      <c r="E8" s="965"/>
      <c r="F8" s="942">
        <f>Elect!J12</f>
        <v>6414</v>
      </c>
      <c r="G8" s="942">
        <f>Elect!K12</f>
        <v>4048.7777777779847</v>
      </c>
      <c r="H8" s="942">
        <f>Elect!Q12</f>
        <v>630</v>
      </c>
      <c r="I8" s="942">
        <f>Elect!W12</f>
        <v>144</v>
      </c>
      <c r="J8" s="942">
        <f>Elect!Y12</f>
        <v>230</v>
      </c>
      <c r="K8" s="942">
        <f>Elect!AA12</f>
        <v>0</v>
      </c>
      <c r="L8" s="942">
        <f>Elect!AC12</f>
        <v>95.4</v>
      </c>
      <c r="M8" s="962">
        <f>Elect!AE12</f>
        <v>2483.58</v>
      </c>
      <c r="N8" s="962">
        <f>Elect!AG12</f>
        <v>0</v>
      </c>
      <c r="O8" s="962">
        <f>Elect!AI12</f>
        <v>284.61</v>
      </c>
      <c r="P8" s="962">
        <f>Elect!AK12</f>
        <v>1982.73</v>
      </c>
      <c r="Q8" s="962">
        <f>Elect!AN12</f>
        <v>1608</v>
      </c>
      <c r="R8" s="962">
        <f>Elect!AP12</f>
        <v>312</v>
      </c>
      <c r="S8" s="962">
        <f>Elect!AR12</f>
        <v>31.13</v>
      </c>
      <c r="T8" s="962">
        <f>Elect!AT12</f>
        <v>250</v>
      </c>
      <c r="U8" s="962">
        <f>Elect!AV12</f>
        <v>1027</v>
      </c>
      <c r="V8" s="962">
        <f>Elect!AX12</f>
        <v>31</v>
      </c>
      <c r="W8" s="962">
        <f>Elect!AZ12</f>
        <v>5185</v>
      </c>
      <c r="X8" s="962">
        <f>Elect!BB12</f>
        <v>5399.4</v>
      </c>
      <c r="Y8" s="962">
        <f>Elect!BE12</f>
        <v>0</v>
      </c>
      <c r="Z8" s="962">
        <f>Elect!BG12</f>
        <v>1116</v>
      </c>
      <c r="AA8" s="962">
        <f>Elect!BI12</f>
        <v>126</v>
      </c>
      <c r="AB8" s="962">
        <f>Elect!BK12</f>
        <v>192</v>
      </c>
      <c r="AC8" s="962"/>
      <c r="AD8" s="962">
        <f>Water!C13</f>
        <v>75.399999999999991</v>
      </c>
      <c r="AE8" s="962">
        <f>Water!E13</f>
        <v>5.8</v>
      </c>
      <c r="AF8" s="962">
        <f>Water!G13</f>
        <v>88.74</v>
      </c>
      <c r="AG8" s="962"/>
      <c r="AH8" s="962">
        <f>Gas!C13</f>
        <v>1080.1400000000001</v>
      </c>
      <c r="AI8" s="962">
        <f>Gas!E13</f>
        <v>297.5</v>
      </c>
      <c r="AJ8" s="962">
        <f>Gas!G13</f>
        <v>127</v>
      </c>
      <c r="AK8" s="949">
        <f>Elect!BM12</f>
        <v>9</v>
      </c>
    </row>
    <row r="9" spans="1:37" ht="12.75" customHeight="1">
      <c r="A9" s="959" t="s">
        <v>369</v>
      </c>
      <c r="B9" s="954">
        <f t="shared" si="0"/>
        <v>8</v>
      </c>
      <c r="C9" s="957">
        <v>3</v>
      </c>
      <c r="D9" s="958">
        <v>2020</v>
      </c>
      <c r="E9" s="965"/>
      <c r="F9" s="942">
        <f>Elect!J13</f>
        <v>6815</v>
      </c>
      <c r="G9" s="942">
        <f>Elect!K13</f>
        <v>4255.2222222220153</v>
      </c>
      <c r="H9" s="942">
        <f>Elect!Q13</f>
        <v>600</v>
      </c>
      <c r="I9" s="942">
        <f>Elect!W13</f>
        <v>147</v>
      </c>
      <c r="J9" s="942">
        <f>Elect!Y13</f>
        <v>246</v>
      </c>
      <c r="K9" s="942">
        <f>Elect!AA13</f>
        <v>0</v>
      </c>
      <c r="L9" s="942">
        <f>Elect!AC13</f>
        <v>0</v>
      </c>
      <c r="M9" s="962">
        <f>Elect!AE13</f>
        <v>2847.69</v>
      </c>
      <c r="N9" s="962">
        <f>Elect!AG13</f>
        <v>0</v>
      </c>
      <c r="O9" s="962">
        <f>Elect!AI13</f>
        <v>341.32</v>
      </c>
      <c r="P9" s="962">
        <f>Elect!AK13</f>
        <v>1566.15</v>
      </c>
      <c r="Q9" s="962">
        <f>Elect!AN13</f>
        <v>1141</v>
      </c>
      <c r="R9" s="962">
        <f>Elect!AP13</f>
        <v>352</v>
      </c>
      <c r="S9" s="962">
        <f>Elect!AR13</f>
        <v>30.91</v>
      </c>
      <c r="T9" s="962">
        <f>Elect!AT13</f>
        <v>245</v>
      </c>
      <c r="U9" s="962">
        <f>Elect!AV13</f>
        <v>1061</v>
      </c>
      <c r="V9" s="962">
        <f>Elect!AX13</f>
        <v>66</v>
      </c>
      <c r="W9" s="962">
        <f>Elect!AZ13</f>
        <v>5078</v>
      </c>
      <c r="X9" s="962">
        <f>Elect!BB13</f>
        <v>5491.9</v>
      </c>
      <c r="Y9" s="962">
        <f>Elect!BE13</f>
        <v>0</v>
      </c>
      <c r="Z9" s="962">
        <f>Elect!BG13</f>
        <v>1161</v>
      </c>
      <c r="AA9" s="962">
        <f>Elect!BI13</f>
        <v>127</v>
      </c>
      <c r="AB9" s="962">
        <f>Elect!BK13</f>
        <v>198</v>
      </c>
      <c r="AC9" s="962"/>
      <c r="AD9" s="962">
        <f>Water!C14</f>
        <v>214.6</v>
      </c>
      <c r="AE9" s="962">
        <f>Water!E14</f>
        <v>0</v>
      </c>
      <c r="AF9" s="962">
        <f>Water!G14</f>
        <v>75.399999999999991</v>
      </c>
      <c r="AG9" s="962"/>
      <c r="AH9" s="962">
        <f>Gas!C14</f>
        <v>740.94</v>
      </c>
      <c r="AI9" s="962">
        <f>Gas!E14</f>
        <v>286.29999999999995</v>
      </c>
      <c r="AJ9" s="962">
        <f>Gas!G14</f>
        <v>51</v>
      </c>
      <c r="AK9" s="949">
        <f>Elect!BM13</f>
        <v>70</v>
      </c>
    </row>
    <row r="10" spans="1:37" ht="12.75" customHeight="1">
      <c r="A10" s="959" t="s">
        <v>369</v>
      </c>
      <c r="B10" s="954">
        <f t="shared" si="0"/>
        <v>9</v>
      </c>
      <c r="C10" s="957">
        <v>3</v>
      </c>
      <c r="D10" s="958">
        <v>2020</v>
      </c>
      <c r="E10" s="965"/>
      <c r="F10" s="942">
        <f>Elect!J14</f>
        <v>5761</v>
      </c>
      <c r="G10" s="942">
        <f>Elect!K14</f>
        <v>4085.2222222220153</v>
      </c>
      <c r="H10" s="942">
        <f>Elect!Q14</f>
        <v>540</v>
      </c>
      <c r="I10" s="942">
        <f>Elect!W14</f>
        <v>145</v>
      </c>
      <c r="J10" s="942">
        <f>Elect!Y14</f>
        <v>283</v>
      </c>
      <c r="K10" s="942">
        <f>Elect!AA14</f>
        <v>0</v>
      </c>
      <c r="L10" s="942">
        <f>Elect!AC14</f>
        <v>0</v>
      </c>
      <c r="M10" s="962">
        <f>Elect!AE14</f>
        <v>2751.76</v>
      </c>
      <c r="N10" s="962">
        <f>Elect!AG14</f>
        <v>0</v>
      </c>
      <c r="O10" s="962">
        <f>Elect!AI14</f>
        <v>276.66000000000003</v>
      </c>
      <c r="P10" s="962">
        <f>Elect!AK14</f>
        <v>2227.06</v>
      </c>
      <c r="Q10" s="962">
        <f>Elect!AN14</f>
        <v>1730</v>
      </c>
      <c r="R10" s="962">
        <f>Elect!AP14</f>
        <v>345</v>
      </c>
      <c r="S10" s="962">
        <f>Elect!AR14</f>
        <v>30.36</v>
      </c>
      <c r="T10" s="962">
        <f>Elect!AT14</f>
        <v>200</v>
      </c>
      <c r="U10" s="962">
        <f>Elect!AV14</f>
        <v>1060</v>
      </c>
      <c r="V10" s="962">
        <f>Elect!AX14</f>
        <v>66</v>
      </c>
      <c r="W10" s="962">
        <f>Elect!AZ14</f>
        <v>4664</v>
      </c>
      <c r="X10" s="962">
        <f>Elect!BB14</f>
        <v>5449</v>
      </c>
      <c r="Y10" s="962">
        <f>Elect!BE14</f>
        <v>0</v>
      </c>
      <c r="Z10" s="962">
        <f>Elect!BG14</f>
        <v>1160</v>
      </c>
      <c r="AA10" s="962">
        <f>Elect!BI14</f>
        <v>114</v>
      </c>
      <c r="AB10" s="962">
        <f>Elect!BK14</f>
        <v>196</v>
      </c>
      <c r="AC10" s="962"/>
      <c r="AD10" s="962">
        <f>Water!C15</f>
        <v>57.999999999999993</v>
      </c>
      <c r="AE10" s="962">
        <f>Water!E15</f>
        <v>0</v>
      </c>
      <c r="AF10" s="962">
        <f>Water!G15</f>
        <v>111.35999999999999</v>
      </c>
      <c r="AG10" s="962"/>
      <c r="AH10" s="962">
        <f>Gas!C15</f>
        <v>1036.68</v>
      </c>
      <c r="AI10" s="962">
        <f>Gas!E15</f>
        <v>314.29999999999995</v>
      </c>
      <c r="AJ10" s="962">
        <f>Gas!G15</f>
        <v>58</v>
      </c>
      <c r="AK10" s="949">
        <f>Elect!BM14</f>
        <v>89</v>
      </c>
    </row>
    <row r="11" spans="1:37" ht="12.75" customHeight="1">
      <c r="A11" s="959" t="s">
        <v>369</v>
      </c>
      <c r="B11" s="954">
        <f t="shared" si="0"/>
        <v>10</v>
      </c>
      <c r="C11" s="957">
        <v>3</v>
      </c>
      <c r="D11" s="958">
        <v>2020</v>
      </c>
      <c r="E11" s="965"/>
      <c r="F11" s="942">
        <f>Elect!J15</f>
        <v>5120</v>
      </c>
      <c r="G11" s="942">
        <f>Elect!K15</f>
        <v>2633.7777777779847</v>
      </c>
      <c r="H11" s="942">
        <f>Elect!Q15</f>
        <v>570</v>
      </c>
      <c r="I11" s="942">
        <f>Elect!W15</f>
        <v>147</v>
      </c>
      <c r="J11" s="942">
        <f>Elect!Y15</f>
        <v>281</v>
      </c>
      <c r="K11" s="942">
        <f>Elect!AA15</f>
        <v>0</v>
      </c>
      <c r="L11" s="942">
        <f>Elect!AC15</f>
        <v>0</v>
      </c>
      <c r="M11" s="962">
        <f>Elect!AE15</f>
        <v>2094.0300000000002</v>
      </c>
      <c r="N11" s="962">
        <f>Elect!AG15</f>
        <v>0</v>
      </c>
      <c r="O11" s="962">
        <f>Elect!AI15</f>
        <v>233.73000000000002</v>
      </c>
      <c r="P11" s="962">
        <f>Elect!AK15</f>
        <v>2023.5400000000002</v>
      </c>
      <c r="Q11" s="962">
        <f>Elect!AN15</f>
        <v>680</v>
      </c>
      <c r="R11" s="962">
        <f>Elect!AP15</f>
        <v>328</v>
      </c>
      <c r="S11" s="962">
        <f>Elect!AR15</f>
        <v>31.35</v>
      </c>
      <c r="T11" s="962">
        <f>Elect!AT15</f>
        <v>173</v>
      </c>
      <c r="U11" s="962">
        <f>Elect!AV15</f>
        <v>629</v>
      </c>
      <c r="V11" s="962">
        <f>Elect!AX15</f>
        <v>67</v>
      </c>
      <c r="W11" s="962">
        <f>Elect!AZ15</f>
        <v>4773</v>
      </c>
      <c r="X11" s="962">
        <f>Elect!BB15</f>
        <v>5381.9</v>
      </c>
      <c r="Y11" s="962">
        <f>Elect!BE15</f>
        <v>0</v>
      </c>
      <c r="Z11" s="962">
        <f>Elect!BG15</f>
        <v>1086</v>
      </c>
      <c r="AA11" s="962">
        <f>Elect!BI15</f>
        <v>121</v>
      </c>
      <c r="AB11" s="962">
        <f>Elect!BK15</f>
        <v>198</v>
      </c>
      <c r="AC11" s="962"/>
      <c r="AD11" s="962">
        <f>Water!C16</f>
        <v>185.6</v>
      </c>
      <c r="AE11" s="962">
        <f>Water!E16</f>
        <v>0</v>
      </c>
      <c r="AF11" s="962">
        <f>Water!G16</f>
        <v>87</v>
      </c>
      <c r="AG11" s="962"/>
      <c r="AH11" s="962">
        <f>Gas!C16</f>
        <v>1205.22</v>
      </c>
      <c r="AI11" s="962">
        <f>Gas!E16</f>
        <v>326.2</v>
      </c>
      <c r="AJ11" s="962">
        <f>Gas!G16</f>
        <v>114</v>
      </c>
      <c r="AK11" s="949">
        <f>Elect!BM15</f>
        <v>101</v>
      </c>
    </row>
    <row r="12" spans="1:37" ht="12.75" customHeight="1">
      <c r="A12" s="959" t="s">
        <v>369</v>
      </c>
      <c r="B12" s="954">
        <f t="shared" si="0"/>
        <v>11</v>
      </c>
      <c r="C12" s="957">
        <v>3</v>
      </c>
      <c r="D12" s="958">
        <v>2020</v>
      </c>
      <c r="E12" s="965"/>
      <c r="F12" s="942">
        <f>Elect!J16</f>
        <v>5042</v>
      </c>
      <c r="G12" s="942">
        <f>Elect!K16</f>
        <v>3178</v>
      </c>
      <c r="H12" s="942">
        <f>Elect!Q16</f>
        <v>630</v>
      </c>
      <c r="I12" s="942">
        <f>Elect!W16</f>
        <v>154</v>
      </c>
      <c r="J12" s="942">
        <f>Elect!Y16</f>
        <v>300</v>
      </c>
      <c r="K12" s="942">
        <f>Elect!AA16</f>
        <v>0</v>
      </c>
      <c r="L12" s="942">
        <f>Elect!AC16</f>
        <v>0</v>
      </c>
      <c r="M12" s="962">
        <f>Elect!AE16</f>
        <v>2883.73</v>
      </c>
      <c r="N12" s="962">
        <f>Elect!AG16</f>
        <v>0</v>
      </c>
      <c r="O12" s="962">
        <f>Elect!AI16</f>
        <v>278.25</v>
      </c>
      <c r="P12" s="962">
        <f>Elect!AK16</f>
        <v>2262.04</v>
      </c>
      <c r="Q12" s="962">
        <f>Elect!AN16</f>
        <v>626</v>
      </c>
      <c r="R12" s="962">
        <f>Elect!AP16</f>
        <v>378</v>
      </c>
      <c r="S12" s="962">
        <f>Elect!AR16</f>
        <v>27.28</v>
      </c>
      <c r="T12" s="962">
        <f>Elect!AT16</f>
        <v>175</v>
      </c>
      <c r="U12" s="962">
        <f>Elect!AV16</f>
        <v>638</v>
      </c>
      <c r="V12" s="962">
        <f>Elect!AX16</f>
        <v>70</v>
      </c>
      <c r="W12" s="962">
        <f>Elect!AZ16</f>
        <v>4832</v>
      </c>
      <c r="X12" s="962">
        <f>Elect!BB16</f>
        <v>5390.4</v>
      </c>
      <c r="Y12" s="962">
        <f>Elect!BE16</f>
        <v>0</v>
      </c>
      <c r="Z12" s="962">
        <f>Elect!BG16</f>
        <v>1001</v>
      </c>
      <c r="AA12" s="962">
        <f>Elect!BI16</f>
        <v>130</v>
      </c>
      <c r="AB12" s="962">
        <f>Elect!BK16</f>
        <v>209</v>
      </c>
      <c r="AC12" s="962"/>
      <c r="AD12" s="962">
        <f>Water!C17</f>
        <v>104.39999999999999</v>
      </c>
      <c r="AE12" s="962">
        <f>Water!E17</f>
        <v>0</v>
      </c>
      <c r="AF12" s="962">
        <f>Water!G17</f>
        <v>92.22</v>
      </c>
      <c r="AG12" s="962"/>
      <c r="AH12" s="962">
        <f>Gas!C17</f>
        <v>1051.52</v>
      </c>
      <c r="AI12" s="962">
        <f>Gas!E17</f>
        <v>211.39999999999998</v>
      </c>
      <c r="AJ12" s="962">
        <f>Gas!G17</f>
        <v>73</v>
      </c>
      <c r="AK12" s="949">
        <f>Elect!BM16</f>
        <v>71</v>
      </c>
    </row>
    <row r="13" spans="1:37" ht="12.75" customHeight="1">
      <c r="A13" s="959" t="s">
        <v>369</v>
      </c>
      <c r="B13" s="954">
        <f t="shared" si="0"/>
        <v>12</v>
      </c>
      <c r="C13" s="957">
        <v>3</v>
      </c>
      <c r="D13" s="958">
        <v>2020</v>
      </c>
      <c r="E13" s="965"/>
      <c r="F13" s="942">
        <f>Elect!J17</f>
        <v>4121</v>
      </c>
      <c r="G13" s="942">
        <f>Elect!K17</f>
        <v>1761</v>
      </c>
      <c r="H13" s="942">
        <f>Elect!Q17</f>
        <v>330</v>
      </c>
      <c r="I13" s="942">
        <f>Elect!W17</f>
        <v>133</v>
      </c>
      <c r="J13" s="942">
        <f>Elect!Y17</f>
        <v>243</v>
      </c>
      <c r="K13" s="942">
        <f>Elect!AA17</f>
        <v>0</v>
      </c>
      <c r="L13" s="942">
        <f>Elect!AC17</f>
        <v>0</v>
      </c>
      <c r="M13" s="962">
        <f>Elect!AE17</f>
        <v>967.78000000000009</v>
      </c>
      <c r="N13" s="962">
        <f>Elect!AG17</f>
        <v>0</v>
      </c>
      <c r="O13" s="962">
        <f>Elect!AI17</f>
        <v>92.22</v>
      </c>
      <c r="P13" s="962">
        <f>Elect!AK17</f>
        <v>1283.6600000000001</v>
      </c>
      <c r="Q13" s="962">
        <f>Elect!AN17</f>
        <v>400</v>
      </c>
      <c r="R13" s="962">
        <f>Elect!AP17</f>
        <v>147</v>
      </c>
      <c r="S13" s="962">
        <f>Elect!AR17</f>
        <v>23.32</v>
      </c>
      <c r="T13" s="962">
        <f>Elect!AT17</f>
        <v>164</v>
      </c>
      <c r="U13" s="962">
        <f>Elect!AV17</f>
        <v>533</v>
      </c>
      <c r="V13" s="962">
        <f>Elect!AX17</f>
        <v>47</v>
      </c>
      <c r="W13" s="962">
        <f>Elect!AZ17</f>
        <v>4090</v>
      </c>
      <c r="X13" s="962">
        <f>Elect!BB17</f>
        <v>4123.2</v>
      </c>
      <c r="Y13" s="962">
        <f>Elect!BE17</f>
        <v>0</v>
      </c>
      <c r="Z13" s="962">
        <f>Elect!BG17</f>
        <v>733</v>
      </c>
      <c r="AA13" s="962">
        <f>Elect!BI17</f>
        <v>88</v>
      </c>
      <c r="AB13" s="962">
        <f>Elect!BK17</f>
        <v>182</v>
      </c>
      <c r="AC13" s="962"/>
      <c r="AD13" s="962">
        <f>Water!C18</f>
        <v>69.599999999999994</v>
      </c>
      <c r="AE13" s="962">
        <f>Water!E18</f>
        <v>0</v>
      </c>
      <c r="AF13" s="962">
        <f>Water!G18</f>
        <v>33.64</v>
      </c>
      <c r="AG13" s="962"/>
      <c r="AH13" s="962">
        <f>Gas!C18</f>
        <v>994.28000000000009</v>
      </c>
      <c r="AI13" s="962">
        <f>Gas!E18</f>
        <v>394.79999999999995</v>
      </c>
      <c r="AJ13" s="962">
        <f>Gas!G18</f>
        <v>103</v>
      </c>
      <c r="AK13" s="949">
        <f>Elect!BM17</f>
        <v>89</v>
      </c>
    </row>
    <row r="14" spans="1:37" ht="12.75" customHeight="1">
      <c r="A14" s="959" t="s">
        <v>369</v>
      </c>
      <c r="B14" s="954">
        <f t="shared" si="0"/>
        <v>13</v>
      </c>
      <c r="C14" s="957">
        <v>3</v>
      </c>
      <c r="D14" s="958">
        <v>2020</v>
      </c>
      <c r="E14" s="965"/>
      <c r="F14" s="942">
        <f>Elect!J18</f>
        <v>5116</v>
      </c>
      <c r="G14" s="942">
        <f>Elect!K18</f>
        <v>3373</v>
      </c>
      <c r="H14" s="942">
        <f>Elect!Q18</f>
        <v>720</v>
      </c>
      <c r="I14" s="942">
        <f>Elect!W18</f>
        <v>153</v>
      </c>
      <c r="J14" s="942">
        <f>Elect!Y18</f>
        <v>292</v>
      </c>
      <c r="K14" s="942">
        <f>Elect!AA18</f>
        <v>0</v>
      </c>
      <c r="L14" s="942">
        <f>Elect!AC18</f>
        <v>0</v>
      </c>
      <c r="M14" s="962">
        <f>Elect!AE18</f>
        <v>1480.29</v>
      </c>
      <c r="N14" s="962">
        <f>Elect!AG18</f>
        <v>0</v>
      </c>
      <c r="O14" s="962">
        <f>Elect!AI18</f>
        <v>153.70000000000002</v>
      </c>
      <c r="P14" s="962">
        <f>Elect!AK18</f>
        <v>1287.3700000000001</v>
      </c>
      <c r="Q14" s="962">
        <f>Elect!AN18</f>
        <v>441</v>
      </c>
      <c r="R14" s="962">
        <f>Elect!AP18</f>
        <v>201</v>
      </c>
      <c r="S14" s="962">
        <f>Elect!AR18</f>
        <v>25.41</v>
      </c>
      <c r="T14" s="962">
        <f>Elect!AT18</f>
        <v>158</v>
      </c>
      <c r="U14" s="962">
        <f>Elect!AV18</f>
        <v>547</v>
      </c>
      <c r="V14" s="962">
        <f>Elect!AX18</f>
        <v>63</v>
      </c>
      <c r="W14" s="962">
        <f>Elect!AZ18</f>
        <v>4251</v>
      </c>
      <c r="X14" s="962">
        <f>Elect!BB18</f>
        <v>4555.2</v>
      </c>
      <c r="Y14" s="962">
        <f>Elect!BE18</f>
        <v>0</v>
      </c>
      <c r="Z14" s="962">
        <f>Elect!BG18</f>
        <v>938</v>
      </c>
      <c r="AA14" s="962">
        <f>Elect!BI18</f>
        <v>126</v>
      </c>
      <c r="AB14" s="962">
        <f>Elect!BK18</f>
        <v>200</v>
      </c>
      <c r="AC14" s="962"/>
      <c r="AD14" s="962">
        <f>Water!C19</f>
        <v>75.399999999999991</v>
      </c>
      <c r="AE14" s="962">
        <f>Water!E19</f>
        <v>0</v>
      </c>
      <c r="AF14" s="962">
        <f>Water!G19</f>
        <v>69.599999999999994</v>
      </c>
      <c r="AG14" s="962"/>
      <c r="AH14" s="962">
        <f>Gas!C19</f>
        <v>1021.84</v>
      </c>
      <c r="AI14" s="962">
        <f>Gas!E19</f>
        <v>303.09999999999997</v>
      </c>
      <c r="AJ14" s="962">
        <f>Gas!G19</f>
        <v>90</v>
      </c>
      <c r="AK14" s="949">
        <f>Elect!BM18</f>
        <v>83</v>
      </c>
    </row>
    <row r="15" spans="1:37" ht="12.75" customHeight="1">
      <c r="A15" s="959" t="s">
        <v>369</v>
      </c>
      <c r="B15" s="954">
        <f t="shared" si="0"/>
        <v>14</v>
      </c>
      <c r="C15" s="957">
        <v>3</v>
      </c>
      <c r="D15" s="958">
        <v>2020</v>
      </c>
      <c r="E15" s="965"/>
      <c r="F15" s="942">
        <f>Elect!J19</f>
        <v>4819</v>
      </c>
      <c r="G15" s="942">
        <f>Elect!K19</f>
        <v>3094</v>
      </c>
      <c r="H15" s="942">
        <f>Elect!Q19</f>
        <v>510</v>
      </c>
      <c r="I15" s="942">
        <f>Elect!W19</f>
        <v>144</v>
      </c>
      <c r="J15" s="942">
        <f>Elect!Y19</f>
        <v>277</v>
      </c>
      <c r="K15" s="942">
        <f>Elect!AA19</f>
        <v>0</v>
      </c>
      <c r="L15" s="942">
        <f>Elect!AC19</f>
        <v>0</v>
      </c>
      <c r="M15" s="962">
        <f>Elect!AE19</f>
        <v>0</v>
      </c>
      <c r="N15" s="962">
        <f>Elect!AG19</f>
        <v>2219.11</v>
      </c>
      <c r="O15" s="962">
        <f>Elect!AI19</f>
        <v>195.57000000000002</v>
      </c>
      <c r="P15" s="962">
        <f>Elect!AK19</f>
        <v>1944.0400000000002</v>
      </c>
      <c r="Q15" s="962">
        <f>Elect!AN19</f>
        <v>719</v>
      </c>
      <c r="R15" s="962">
        <f>Elect!AP19</f>
        <v>290</v>
      </c>
      <c r="S15" s="962">
        <f>Elect!AR19</f>
        <v>27.28</v>
      </c>
      <c r="T15" s="962">
        <f>Elect!AT19</f>
        <v>158</v>
      </c>
      <c r="U15" s="962">
        <f>Elect!AV19</f>
        <v>559</v>
      </c>
      <c r="V15" s="962">
        <f>Elect!AX19</f>
        <v>55</v>
      </c>
      <c r="W15" s="962">
        <f>Elect!AZ19</f>
        <v>4702</v>
      </c>
      <c r="X15" s="962">
        <f>Elect!BB19</f>
        <v>4631.2</v>
      </c>
      <c r="Y15" s="962">
        <f>Elect!BE19</f>
        <v>0</v>
      </c>
      <c r="Z15" s="962">
        <f>Elect!BG19</f>
        <v>963</v>
      </c>
      <c r="AA15" s="962">
        <f>Elect!BI19</f>
        <v>128</v>
      </c>
      <c r="AB15" s="962">
        <f>Elect!BK19</f>
        <v>194</v>
      </c>
      <c r="AC15" s="962"/>
      <c r="AD15" s="962">
        <f>Water!C20</f>
        <v>69.599999999999994</v>
      </c>
      <c r="AE15" s="962">
        <f>Water!E20</f>
        <v>0</v>
      </c>
      <c r="AF15" s="962">
        <f>Water!G20</f>
        <v>46.4</v>
      </c>
      <c r="AG15" s="962"/>
      <c r="AH15" s="962">
        <f>Gas!C20</f>
        <v>1191.44</v>
      </c>
      <c r="AI15" s="962">
        <f>Gas!E20</f>
        <v>268.09999999999997</v>
      </c>
      <c r="AJ15" s="962">
        <f>Gas!G20</f>
        <v>83</v>
      </c>
      <c r="AK15" s="949">
        <f>Elect!BM19</f>
        <v>82</v>
      </c>
    </row>
    <row r="16" spans="1:37" ht="12.75" customHeight="1">
      <c r="A16" s="959" t="s">
        <v>369</v>
      </c>
      <c r="B16" s="954">
        <f t="shared" si="0"/>
        <v>15</v>
      </c>
      <c r="C16" s="957">
        <v>3</v>
      </c>
      <c r="D16" s="958">
        <v>2020</v>
      </c>
      <c r="E16" s="965"/>
      <c r="F16" s="942">
        <f>Elect!J20</f>
        <v>5520</v>
      </c>
      <c r="G16" s="942">
        <f>Elect!K20</f>
        <v>3435</v>
      </c>
      <c r="H16" s="942">
        <f>Elect!Q20</f>
        <v>540</v>
      </c>
      <c r="I16" s="942">
        <f>Elect!W20</f>
        <v>155</v>
      </c>
      <c r="J16" s="942">
        <f>Elect!Y20</f>
        <v>302</v>
      </c>
      <c r="K16" s="942">
        <f>Elect!AA20</f>
        <v>0</v>
      </c>
      <c r="L16" s="942">
        <f>Elect!AC20</f>
        <v>0</v>
      </c>
      <c r="M16" s="962">
        <f>Elect!AE20</f>
        <v>0</v>
      </c>
      <c r="N16" s="962">
        <f>Elect!AG20</f>
        <v>2574.21</v>
      </c>
      <c r="O16" s="962">
        <f>Elect!AI20</f>
        <v>279.84000000000003</v>
      </c>
      <c r="P16" s="962">
        <f>Elect!AK20</f>
        <v>2182.0100000000002</v>
      </c>
      <c r="Q16" s="962">
        <f>Elect!AN20</f>
        <v>848</v>
      </c>
      <c r="R16" s="962">
        <f>Elect!AP20</f>
        <v>269</v>
      </c>
      <c r="S16" s="962">
        <f>Elect!AR20</f>
        <v>28.05</v>
      </c>
      <c r="T16" s="962">
        <f>Elect!AT20</f>
        <v>152</v>
      </c>
      <c r="U16" s="962">
        <f>Elect!AV20</f>
        <v>615</v>
      </c>
      <c r="V16" s="962">
        <f>Elect!AX20</f>
        <v>57</v>
      </c>
      <c r="W16" s="962">
        <f>Elect!AZ20</f>
        <v>4727</v>
      </c>
      <c r="X16" s="962">
        <f>Elect!BB20</f>
        <v>5152.2</v>
      </c>
      <c r="Y16" s="962">
        <f>Elect!BE20</f>
        <v>0</v>
      </c>
      <c r="Z16" s="962">
        <f>Elect!BG20</f>
        <v>1043</v>
      </c>
      <c r="AA16" s="962">
        <f>Elect!BI20</f>
        <v>118</v>
      </c>
      <c r="AB16" s="962">
        <f>Elect!BK20</f>
        <v>210</v>
      </c>
      <c r="AC16" s="962"/>
      <c r="AD16" s="962">
        <f>Water!C21</f>
        <v>98.6</v>
      </c>
      <c r="AE16" s="962">
        <f>Water!E21</f>
        <v>0</v>
      </c>
      <c r="AF16" s="962">
        <f>Water!G21</f>
        <v>55.099999999999994</v>
      </c>
      <c r="AG16" s="962"/>
      <c r="AH16" s="962">
        <f>Gas!C21</f>
        <v>1115.1200000000001</v>
      </c>
      <c r="AI16" s="962">
        <f>Gas!E21</f>
        <v>166.6</v>
      </c>
      <c r="AJ16" s="962">
        <f>Gas!G21</f>
        <v>98</v>
      </c>
      <c r="AK16" s="949">
        <f>Elect!BM20</f>
        <v>58</v>
      </c>
    </row>
    <row r="17" spans="1:37" ht="12.75" customHeight="1">
      <c r="A17" s="959" t="s">
        <v>369</v>
      </c>
      <c r="B17" s="954">
        <f t="shared" si="0"/>
        <v>16</v>
      </c>
      <c r="C17" s="957">
        <v>3</v>
      </c>
      <c r="D17" s="958">
        <v>2020</v>
      </c>
      <c r="E17" s="965"/>
      <c r="F17" s="942">
        <f>Elect!J21</f>
        <v>4306</v>
      </c>
      <c r="G17" s="942">
        <f>Elect!K21</f>
        <v>2846</v>
      </c>
      <c r="H17" s="942">
        <f>Elect!Q21</f>
        <v>450</v>
      </c>
      <c r="I17" s="942">
        <f>Elect!W21</f>
        <v>131</v>
      </c>
      <c r="J17" s="942">
        <f>Elect!Y21</f>
        <v>259</v>
      </c>
      <c r="K17" s="942">
        <f>Elect!AA21</f>
        <v>0</v>
      </c>
      <c r="L17" s="942">
        <f>Elect!AC21</f>
        <v>0</v>
      </c>
      <c r="M17" s="962">
        <f>Elect!AE21</f>
        <v>0</v>
      </c>
      <c r="N17" s="962">
        <f>Elect!AG21</f>
        <v>2312.92</v>
      </c>
      <c r="O17" s="962">
        <f>Elect!AI21</f>
        <v>208.29000000000002</v>
      </c>
      <c r="P17" s="962">
        <f>Elect!AK21</f>
        <v>1865.6000000000001</v>
      </c>
      <c r="Q17" s="962">
        <f>Elect!AN21</f>
        <v>105</v>
      </c>
      <c r="R17" s="962">
        <f>Elect!AP21</f>
        <v>221</v>
      </c>
      <c r="S17" s="962">
        <f>Elect!AR21</f>
        <v>21.89</v>
      </c>
      <c r="T17" s="962">
        <f>Elect!AT21</f>
        <v>140</v>
      </c>
      <c r="U17" s="962">
        <f>Elect!AV21</f>
        <v>566</v>
      </c>
      <c r="V17" s="962">
        <f>Elect!AX21</f>
        <v>5</v>
      </c>
      <c r="W17" s="962">
        <f>Elect!AZ21</f>
        <v>4063</v>
      </c>
      <c r="X17" s="962">
        <f>Elect!BB21</f>
        <v>4346.3999999999996</v>
      </c>
      <c r="Y17" s="962">
        <f>Elect!BE21</f>
        <v>0</v>
      </c>
      <c r="Z17" s="962">
        <f>Elect!BG21</f>
        <v>916</v>
      </c>
      <c r="AA17" s="962">
        <f>Elect!BI21</f>
        <v>110</v>
      </c>
      <c r="AB17" s="962">
        <f>Elect!BK21</f>
        <v>177</v>
      </c>
      <c r="AC17" s="962"/>
      <c r="AD17" s="962">
        <f>Water!C22</f>
        <v>87</v>
      </c>
      <c r="AE17" s="962">
        <f>Water!E22</f>
        <v>0</v>
      </c>
      <c r="AF17" s="962">
        <f>Water!G22</f>
        <v>36.54</v>
      </c>
      <c r="AG17" s="962"/>
      <c r="AH17" s="962">
        <f>Gas!C22</f>
        <v>907.36</v>
      </c>
      <c r="AI17" s="962">
        <f>Gas!E22</f>
        <v>263.89999999999998</v>
      </c>
      <c r="AJ17" s="962">
        <f>Gas!G22</f>
        <v>83</v>
      </c>
      <c r="AK17" s="949">
        <f>Elect!BM21</f>
        <v>12</v>
      </c>
    </row>
    <row r="18" spans="1:37" ht="12.75" customHeight="1">
      <c r="A18" s="959" t="s">
        <v>369</v>
      </c>
      <c r="B18" s="954">
        <f t="shared" si="0"/>
        <v>17</v>
      </c>
      <c r="C18" s="957">
        <v>3</v>
      </c>
      <c r="D18" s="958">
        <v>2020</v>
      </c>
      <c r="E18" s="965"/>
      <c r="F18" s="942">
        <f>Elect!J22</f>
        <v>6294</v>
      </c>
      <c r="G18" s="942">
        <f>Elect!K22</f>
        <v>3971</v>
      </c>
      <c r="H18" s="942">
        <f>Elect!Q22</f>
        <v>630</v>
      </c>
      <c r="I18" s="942">
        <f>Elect!W22</f>
        <v>168</v>
      </c>
      <c r="J18" s="942">
        <f>Elect!Y22</f>
        <v>329</v>
      </c>
      <c r="K18" s="942">
        <f>Elect!AA22</f>
        <v>0</v>
      </c>
      <c r="L18" s="942">
        <f>Elect!AC22</f>
        <v>0</v>
      </c>
      <c r="M18" s="962">
        <f>Elect!AE22</f>
        <v>0</v>
      </c>
      <c r="N18" s="962">
        <f>Elect!AG22</f>
        <v>1188.26</v>
      </c>
      <c r="O18" s="962">
        <f>Elect!AI22</f>
        <v>138.33000000000001</v>
      </c>
      <c r="P18" s="962">
        <f>Elect!AK22</f>
        <v>2006.5800000000002</v>
      </c>
      <c r="Q18" s="962">
        <f>Elect!AN22</f>
        <v>38</v>
      </c>
      <c r="R18" s="962">
        <f>Elect!AP22</f>
        <v>316</v>
      </c>
      <c r="S18" s="962">
        <f>Elect!AR22</f>
        <v>24.09</v>
      </c>
      <c r="T18" s="962">
        <f>Elect!AT22</f>
        <v>237</v>
      </c>
      <c r="U18" s="962">
        <f>Elect!AV22</f>
        <v>663</v>
      </c>
      <c r="V18" s="962">
        <f>Elect!AX22</f>
        <v>49</v>
      </c>
      <c r="W18" s="962">
        <f>Elect!AZ22</f>
        <v>4156</v>
      </c>
      <c r="X18" s="962">
        <f>Elect!BB22</f>
        <v>5062.3999999999996</v>
      </c>
      <c r="Y18" s="962">
        <f>Elect!BE22</f>
        <v>0</v>
      </c>
      <c r="Z18" s="962">
        <f>Elect!BG22</f>
        <v>941</v>
      </c>
      <c r="AA18" s="962">
        <f>Elect!BI22</f>
        <v>124</v>
      </c>
      <c r="AB18" s="962">
        <f>Elect!BK22</f>
        <v>219</v>
      </c>
      <c r="AC18" s="962"/>
      <c r="AD18" s="962">
        <f>Water!C23</f>
        <v>77.140000000016869</v>
      </c>
      <c r="AE18" s="962">
        <f>Water!E23</f>
        <v>0</v>
      </c>
      <c r="AF18" s="962">
        <f>Water!G23</f>
        <v>1.7399999999999998</v>
      </c>
      <c r="AG18" s="962"/>
      <c r="AH18" s="962">
        <f>Gas!C23</f>
        <v>960.36</v>
      </c>
      <c r="AI18" s="962">
        <f>Gas!E23</f>
        <v>251.99999999999997</v>
      </c>
      <c r="AJ18" s="962">
        <f>Gas!G23</f>
        <v>90</v>
      </c>
      <c r="AK18" s="949">
        <f>Elect!BM22</f>
        <v>38</v>
      </c>
    </row>
    <row r="19" spans="1:37" ht="12.75" customHeight="1">
      <c r="A19" s="959" t="s">
        <v>369</v>
      </c>
      <c r="B19" s="954">
        <f t="shared" si="0"/>
        <v>18</v>
      </c>
      <c r="C19" s="957">
        <v>3</v>
      </c>
      <c r="D19" s="958">
        <v>2020</v>
      </c>
      <c r="E19" s="965"/>
      <c r="F19" s="942">
        <f>Elect!J23</f>
        <v>3292</v>
      </c>
      <c r="G19" s="942">
        <f>Elect!K23</f>
        <v>3023</v>
      </c>
      <c r="H19" s="942">
        <f>Elect!Q23</f>
        <v>450</v>
      </c>
      <c r="I19" s="942">
        <f>Elect!W23</f>
        <v>131</v>
      </c>
      <c r="J19" s="942">
        <f>Elect!Y23</f>
        <v>254</v>
      </c>
      <c r="K19" s="942">
        <f>Elect!AA23</f>
        <v>0</v>
      </c>
      <c r="L19" s="942">
        <f>Elect!AC23</f>
        <v>0</v>
      </c>
      <c r="M19" s="962">
        <f>Elect!AE23</f>
        <v>0</v>
      </c>
      <c r="N19" s="962">
        <f>Elect!AG23</f>
        <v>1323.94</v>
      </c>
      <c r="O19" s="962">
        <f>Elect!AI23</f>
        <v>147.87</v>
      </c>
      <c r="P19" s="962">
        <f>Elect!AK23</f>
        <v>1334.54</v>
      </c>
      <c r="Q19" s="962">
        <f>Elect!AN23</f>
        <v>37</v>
      </c>
      <c r="R19" s="962">
        <f>Elect!AP23</f>
        <v>222</v>
      </c>
      <c r="S19" s="962">
        <f>Elect!AR23</f>
        <v>18.920000000000002</v>
      </c>
      <c r="T19" s="962">
        <f>Elect!AT23</f>
        <v>101</v>
      </c>
      <c r="U19" s="962">
        <f>Elect!AV23</f>
        <v>482</v>
      </c>
      <c r="V19" s="962">
        <f>Elect!AX23</f>
        <v>46</v>
      </c>
      <c r="W19" s="962">
        <f>Elect!AZ23</f>
        <v>4181</v>
      </c>
      <c r="X19" s="962">
        <f>Elect!BB23</f>
        <v>4348</v>
      </c>
      <c r="Y19" s="962">
        <f>Elect!BE23</f>
        <v>0</v>
      </c>
      <c r="Z19" s="962">
        <f>Elect!BG23</f>
        <v>815</v>
      </c>
      <c r="AA19" s="962">
        <f>Elect!BI23</f>
        <v>124</v>
      </c>
      <c r="AB19" s="962">
        <f>Elect!BK23</f>
        <v>194</v>
      </c>
      <c r="AC19" s="962"/>
      <c r="AD19" s="962">
        <f>Water!C24</f>
        <v>79.459999999983111</v>
      </c>
      <c r="AE19" s="962">
        <f>Water!E24</f>
        <v>0</v>
      </c>
      <c r="AF19" s="962">
        <f>Water!G24</f>
        <v>0</v>
      </c>
      <c r="AG19" s="962"/>
      <c r="AH19" s="962">
        <f>Gas!C24</f>
        <v>949.76</v>
      </c>
      <c r="AI19" s="962">
        <f>Gas!E24</f>
        <v>244.29999999999998</v>
      </c>
      <c r="AJ19" s="962">
        <f>Gas!G24</f>
        <v>89</v>
      </c>
      <c r="AK19" s="949">
        <f>Elect!BM23</f>
        <v>25</v>
      </c>
    </row>
    <row r="20" spans="1:37" ht="12.75" customHeight="1">
      <c r="A20" s="959" t="s">
        <v>369</v>
      </c>
      <c r="B20" s="954">
        <f t="shared" si="0"/>
        <v>19</v>
      </c>
      <c r="C20" s="957">
        <v>3</v>
      </c>
      <c r="D20" s="958">
        <v>2020</v>
      </c>
      <c r="E20" s="965"/>
      <c r="F20" s="942">
        <f>Elect!J24</f>
        <v>3889</v>
      </c>
      <c r="G20" s="942">
        <f>Elect!K24</f>
        <v>2327</v>
      </c>
      <c r="H20" s="942">
        <f>Elect!Q24</f>
        <v>510</v>
      </c>
      <c r="I20" s="942">
        <f>Elect!W24</f>
        <v>147</v>
      </c>
      <c r="J20" s="942">
        <f>Elect!Y24</f>
        <v>286</v>
      </c>
      <c r="K20" s="942">
        <f>Elect!AA24</f>
        <v>0</v>
      </c>
      <c r="L20" s="942">
        <f>Elect!AC24</f>
        <v>1397.0800000000002</v>
      </c>
      <c r="M20" s="962">
        <f>Elect!AE24</f>
        <v>0</v>
      </c>
      <c r="N20" s="962">
        <f>Elect!AG24</f>
        <v>0</v>
      </c>
      <c r="O20" s="962">
        <f>Elect!AI24</f>
        <v>186.56</v>
      </c>
      <c r="P20" s="962">
        <f>Elect!AK24</f>
        <v>2179.36</v>
      </c>
      <c r="Q20" s="962">
        <f>Elect!AN24</f>
        <v>28</v>
      </c>
      <c r="R20" s="962">
        <f>Elect!AP24</f>
        <v>162</v>
      </c>
      <c r="S20" s="962">
        <f>Elect!AR24</f>
        <v>21.12</v>
      </c>
      <c r="T20" s="962">
        <f>Elect!AT24</f>
        <v>143</v>
      </c>
      <c r="U20" s="962">
        <f>Elect!AV24</f>
        <v>639</v>
      </c>
      <c r="V20" s="962">
        <f>Elect!AX24</f>
        <v>34</v>
      </c>
      <c r="W20" s="962">
        <f>Elect!AZ24</f>
        <v>3559</v>
      </c>
      <c r="X20" s="962">
        <f>Elect!BB24</f>
        <v>4409.7</v>
      </c>
      <c r="Y20" s="962">
        <f>Elect!BE24</f>
        <v>0</v>
      </c>
      <c r="Z20" s="962">
        <f>Elect!BG24</f>
        <v>883</v>
      </c>
      <c r="AA20" s="962">
        <f>Elect!BI24</f>
        <v>121</v>
      </c>
      <c r="AB20" s="962">
        <f>Elect!BK24</f>
        <v>199</v>
      </c>
      <c r="AC20" s="962"/>
      <c r="AD20" s="962">
        <f>Water!C25</f>
        <v>81.199999999999989</v>
      </c>
      <c r="AE20" s="962">
        <f>Water!E25</f>
        <v>5.8</v>
      </c>
      <c r="AF20" s="962">
        <f>Water!G25</f>
        <v>0</v>
      </c>
      <c r="AG20" s="962"/>
      <c r="AH20" s="962">
        <f>Gas!C25</f>
        <v>536.36</v>
      </c>
      <c r="AI20" s="962">
        <f>Gas!E25</f>
        <v>194.6</v>
      </c>
      <c r="AJ20" s="962">
        <f>Gas!G25</f>
        <v>87</v>
      </c>
      <c r="AK20" s="949">
        <f>Elect!BM24</f>
        <v>18</v>
      </c>
    </row>
    <row r="21" spans="1:37" ht="12.75" customHeight="1">
      <c r="A21" s="959" t="s">
        <v>369</v>
      </c>
      <c r="B21" s="954">
        <f t="shared" si="0"/>
        <v>20</v>
      </c>
      <c r="C21" s="957">
        <v>3</v>
      </c>
      <c r="D21" s="958">
        <v>2020</v>
      </c>
      <c r="E21" s="965"/>
      <c r="F21" s="942">
        <f>Elect!J25</f>
        <v>3720</v>
      </c>
      <c r="G21" s="942">
        <f>Elect!K25</f>
        <v>2205</v>
      </c>
      <c r="H21" s="942">
        <f>Elect!Q25</f>
        <v>420</v>
      </c>
      <c r="I21" s="942">
        <f>Elect!W25</f>
        <v>145</v>
      </c>
      <c r="J21" s="942">
        <f>Elect!Y25</f>
        <v>264</v>
      </c>
      <c r="K21" s="942">
        <f>Elect!AA25</f>
        <v>0</v>
      </c>
      <c r="L21" s="942">
        <f>Elect!AC25</f>
        <v>863.90000000000009</v>
      </c>
      <c r="M21" s="962">
        <f>Elect!AE25</f>
        <v>0</v>
      </c>
      <c r="N21" s="962">
        <f>Elect!AG25</f>
        <v>248.04000000000002</v>
      </c>
      <c r="O21" s="962">
        <f>Elect!AI25</f>
        <v>110.77000000000001</v>
      </c>
      <c r="P21" s="962">
        <f>Elect!AK25</f>
        <v>1697.0600000000002</v>
      </c>
      <c r="Q21" s="962">
        <f>Elect!AN25</f>
        <v>29</v>
      </c>
      <c r="R21" s="962">
        <f>Elect!AP25</f>
        <v>83</v>
      </c>
      <c r="S21" s="962">
        <f>Elect!AR25</f>
        <v>19.690000000000001</v>
      </c>
      <c r="T21" s="962">
        <f>Elect!AT25</f>
        <v>105</v>
      </c>
      <c r="U21" s="962">
        <f>Elect!AV25</f>
        <v>452</v>
      </c>
      <c r="V21" s="962">
        <f>Elect!AX25</f>
        <v>21</v>
      </c>
      <c r="W21" s="962">
        <f>Elect!AZ25</f>
        <v>3419</v>
      </c>
      <c r="X21" s="962">
        <f>Elect!BB25</f>
        <v>4520.8</v>
      </c>
      <c r="Y21" s="962">
        <f>Elect!BE25</f>
        <v>0</v>
      </c>
      <c r="Z21" s="962">
        <f>Elect!BG25</f>
        <v>932</v>
      </c>
      <c r="AA21" s="962">
        <f>Elect!BI25</f>
        <v>110</v>
      </c>
      <c r="AB21" s="962">
        <f>Elect!BK25</f>
        <v>209</v>
      </c>
      <c r="AC21" s="962"/>
      <c r="AD21" s="962">
        <f>Water!C26</f>
        <v>115.99999999999999</v>
      </c>
      <c r="AE21" s="962">
        <f>Water!E26</f>
        <v>0</v>
      </c>
      <c r="AF21" s="962">
        <f>Water!G26</f>
        <v>0</v>
      </c>
      <c r="AG21" s="962"/>
      <c r="AH21" s="962">
        <f>Gas!C26</f>
        <v>599.96</v>
      </c>
      <c r="AI21" s="962">
        <f>Gas!E26</f>
        <v>278.59999999999997</v>
      </c>
      <c r="AJ21" s="962">
        <f>Gas!G26</f>
        <v>91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3</v>
      </c>
      <c r="D22" s="958">
        <v>2020</v>
      </c>
      <c r="E22" s="965"/>
      <c r="F22" s="942">
        <f>Elect!J26</f>
        <v>4409</v>
      </c>
      <c r="G22" s="942">
        <f>Elect!K26</f>
        <v>1977</v>
      </c>
      <c r="H22" s="942">
        <f>Elect!Q26</f>
        <v>270</v>
      </c>
      <c r="I22" s="942">
        <f>Elect!W26</f>
        <v>149</v>
      </c>
      <c r="J22" s="942">
        <f>Elect!Y26</f>
        <v>259</v>
      </c>
      <c r="K22" s="942">
        <f>Elect!AA26</f>
        <v>0</v>
      </c>
      <c r="L22" s="942">
        <f>Elect!AC26</f>
        <v>956.12</v>
      </c>
      <c r="M22" s="962">
        <f>Elect!AE26</f>
        <v>0</v>
      </c>
      <c r="N22" s="962">
        <f>Elect!AG26</f>
        <v>0</v>
      </c>
      <c r="O22" s="962">
        <f>Elect!AI26</f>
        <v>118.19000000000001</v>
      </c>
      <c r="P22" s="962">
        <f>Elect!AK26</f>
        <v>1652.01</v>
      </c>
      <c r="Q22" s="962">
        <f>Elect!AN26</f>
        <v>26</v>
      </c>
      <c r="R22" s="962">
        <f>Elect!AP26</f>
        <v>96</v>
      </c>
      <c r="S22" s="962">
        <f>Elect!AR26</f>
        <v>20.02</v>
      </c>
      <c r="T22" s="962">
        <f>Elect!AT26</f>
        <v>125</v>
      </c>
      <c r="U22" s="962">
        <f>Elect!AV26</f>
        <v>329</v>
      </c>
      <c r="V22" s="962">
        <f>Elect!AX26</f>
        <v>27</v>
      </c>
      <c r="W22" s="962">
        <f>Elect!AZ26</f>
        <v>3072</v>
      </c>
      <c r="X22" s="962">
        <f>Elect!BB26</f>
        <v>4126.6000000000004</v>
      </c>
      <c r="Y22" s="962">
        <f>Elect!BE26</f>
        <v>0</v>
      </c>
      <c r="Z22" s="962">
        <f>Elect!BG26</f>
        <v>859</v>
      </c>
      <c r="AA22" s="962">
        <f>Elect!BI26</f>
        <v>90</v>
      </c>
      <c r="AB22" s="962">
        <f>Elect!BK26</f>
        <v>161</v>
      </c>
      <c r="AC22" s="962"/>
      <c r="AD22" s="962">
        <f>Water!C27</f>
        <v>110.19999999999999</v>
      </c>
      <c r="AE22" s="962">
        <f>Water!E27</f>
        <v>11.6</v>
      </c>
      <c r="AF22" s="962">
        <f>Water!G27</f>
        <v>0</v>
      </c>
      <c r="AG22" s="962"/>
      <c r="AH22" s="962">
        <f>Gas!C27</f>
        <v>531.06000000000006</v>
      </c>
      <c r="AI22" s="962">
        <f>Gas!E27</f>
        <v>257.59999999999997</v>
      </c>
      <c r="AJ22" s="962">
        <f>Gas!G27</f>
        <v>82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3</v>
      </c>
      <c r="D23" s="958">
        <v>2020</v>
      </c>
      <c r="E23" s="965"/>
      <c r="F23" s="942">
        <f>Elect!J27</f>
        <v>2372</v>
      </c>
      <c r="G23" s="942">
        <f>Elect!K27</f>
        <v>1460</v>
      </c>
      <c r="H23" s="942">
        <f>Elect!Q27</f>
        <v>240</v>
      </c>
      <c r="I23" s="942">
        <f>Elect!W27</f>
        <v>137</v>
      </c>
      <c r="J23" s="942">
        <f>Elect!Y27</f>
        <v>268</v>
      </c>
      <c r="K23" s="942">
        <f>Elect!AA27</f>
        <v>0</v>
      </c>
      <c r="L23" s="942">
        <f>Elect!AC27</f>
        <v>949.23</v>
      </c>
      <c r="M23" s="962">
        <f>Elect!AE27</f>
        <v>0</v>
      </c>
      <c r="N23" s="962">
        <f>Elect!AG27</f>
        <v>0</v>
      </c>
      <c r="O23" s="962">
        <f>Elect!AI27</f>
        <v>102.29</v>
      </c>
      <c r="P23" s="962">
        <f>Elect!AK27</f>
        <v>641.83000000000004</v>
      </c>
      <c r="Q23" s="962">
        <f>Elect!AN27</f>
        <v>26</v>
      </c>
      <c r="R23" s="962">
        <f>Elect!AP27</f>
        <v>53</v>
      </c>
      <c r="S23" s="962">
        <f>Elect!AR27</f>
        <v>19.47</v>
      </c>
      <c r="T23" s="962">
        <f>Elect!AT27</f>
        <v>123</v>
      </c>
      <c r="U23" s="962">
        <f>Elect!AV27</f>
        <v>319</v>
      </c>
      <c r="V23" s="962">
        <f>Elect!AX27</f>
        <v>25</v>
      </c>
      <c r="W23" s="962">
        <f>Elect!AZ27</f>
        <v>3992</v>
      </c>
      <c r="X23" s="962">
        <f>Elect!BB27</f>
        <v>3476.7</v>
      </c>
      <c r="Y23" s="962">
        <f>Elect!BE27</f>
        <v>0</v>
      </c>
      <c r="Z23" s="962">
        <f>Elect!BG27</f>
        <v>723</v>
      </c>
      <c r="AA23" s="962">
        <f>Elect!BI27</f>
        <v>101</v>
      </c>
      <c r="AB23" s="962">
        <f>Elect!BK27</f>
        <v>198</v>
      </c>
      <c r="AC23" s="962"/>
      <c r="AD23" s="962">
        <f>Water!C28</f>
        <v>121.8</v>
      </c>
      <c r="AE23" s="962">
        <f>Water!E28</f>
        <v>0</v>
      </c>
      <c r="AF23" s="962">
        <f>Water!G28</f>
        <v>0</v>
      </c>
      <c r="AG23" s="962"/>
      <c r="AH23" s="962">
        <f>Gas!C28</f>
        <v>509.86</v>
      </c>
      <c r="AI23" s="962">
        <f>Gas!E28</f>
        <v>244.29999999999998</v>
      </c>
      <c r="AJ23" s="962">
        <f>Gas!G28</f>
        <v>71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3</v>
      </c>
      <c r="D24" s="958">
        <v>2020</v>
      </c>
      <c r="E24" s="965"/>
      <c r="F24" s="942">
        <f>Elect!J28</f>
        <v>1673</v>
      </c>
      <c r="G24" s="942">
        <f>Elect!K28</f>
        <v>1591</v>
      </c>
      <c r="H24" s="942">
        <f>Elect!Q28</f>
        <v>630</v>
      </c>
      <c r="I24" s="942">
        <f>Elect!W28</f>
        <v>123</v>
      </c>
      <c r="J24" s="942">
        <f>Elect!Y28</f>
        <v>211</v>
      </c>
      <c r="K24" s="942">
        <f>Elect!AA28</f>
        <v>0</v>
      </c>
      <c r="L24" s="942">
        <f>Elect!AC28</f>
        <v>0</v>
      </c>
      <c r="M24" s="962">
        <f>Elect!AE28</f>
        <v>611.62</v>
      </c>
      <c r="N24" s="962">
        <f>Elect!AG28</f>
        <v>0</v>
      </c>
      <c r="O24" s="962">
        <f>Elect!AI28</f>
        <v>104.94000000000001</v>
      </c>
      <c r="P24" s="962">
        <f>Elect!AK28</f>
        <v>1235.43</v>
      </c>
      <c r="Q24" s="962">
        <f>Elect!AN28</f>
        <v>20</v>
      </c>
      <c r="R24" s="962">
        <f>Elect!AP28</f>
        <v>73</v>
      </c>
      <c r="S24" s="962">
        <f>Elect!AR28</f>
        <v>21.78</v>
      </c>
      <c r="T24" s="962">
        <f>Elect!AT28</f>
        <v>110</v>
      </c>
      <c r="U24" s="962">
        <f>Elect!AV28</f>
        <v>378</v>
      </c>
      <c r="V24" s="962">
        <f>Elect!AX28</f>
        <v>33</v>
      </c>
      <c r="W24" s="962">
        <f>Elect!AZ28</f>
        <v>2897</v>
      </c>
      <c r="X24" s="962">
        <f>Elect!BB28</f>
        <v>3589.8</v>
      </c>
      <c r="Y24" s="962">
        <f>Elect!BE28</f>
        <v>0</v>
      </c>
      <c r="Z24" s="962">
        <f>Elect!BG28</f>
        <v>847</v>
      </c>
      <c r="AA24" s="962">
        <f>Elect!BI28</f>
        <v>84</v>
      </c>
      <c r="AB24" s="962">
        <f>Elect!BK28</f>
        <v>187</v>
      </c>
      <c r="AC24" s="962"/>
      <c r="AD24" s="962">
        <f>Water!C29</f>
        <v>110.19999999999999</v>
      </c>
      <c r="AE24" s="962">
        <f>Water!E29</f>
        <v>0</v>
      </c>
      <c r="AF24" s="962">
        <f>Water!G29</f>
        <v>0</v>
      </c>
      <c r="AG24" s="962"/>
      <c r="AH24" s="962">
        <f>Gas!C29</f>
        <v>253.34</v>
      </c>
      <c r="AI24" s="962">
        <f>Gas!E29</f>
        <v>173.6</v>
      </c>
      <c r="AJ24" s="962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3</v>
      </c>
      <c r="D25" s="958">
        <v>2020</v>
      </c>
      <c r="E25" s="965"/>
      <c r="F25" s="942">
        <f>Elect!J29</f>
        <v>2027</v>
      </c>
      <c r="G25" s="942">
        <f>Elect!K29</f>
        <v>1409</v>
      </c>
      <c r="H25" s="942">
        <f>Elect!Q29</f>
        <v>300</v>
      </c>
      <c r="I25" s="942">
        <f>Elect!W29</f>
        <v>122</v>
      </c>
      <c r="J25" s="942">
        <f>Elect!Y29</f>
        <v>217</v>
      </c>
      <c r="K25" s="942">
        <f>Elect!AA29</f>
        <v>0</v>
      </c>
      <c r="L25" s="942">
        <f>Elect!AC29</f>
        <v>1117.77</v>
      </c>
      <c r="M25" s="962">
        <f>Elect!AE29</f>
        <v>0</v>
      </c>
      <c r="N25" s="962">
        <f>Elect!AG29</f>
        <v>0</v>
      </c>
      <c r="O25" s="962">
        <f>Elect!AI29</f>
        <v>179.14000000000001</v>
      </c>
      <c r="P25" s="962">
        <f>Elect!AK29</f>
        <v>1277.3</v>
      </c>
      <c r="Q25" s="962">
        <f>Elect!AN29</f>
        <v>11</v>
      </c>
      <c r="R25" s="962">
        <f>Elect!AP29</f>
        <v>58</v>
      </c>
      <c r="S25" s="962">
        <f>Elect!AR29</f>
        <v>9.35</v>
      </c>
      <c r="T25" s="962">
        <f>Elect!AT29</f>
        <v>47</v>
      </c>
      <c r="U25" s="962">
        <f>Elect!AV29</f>
        <v>322</v>
      </c>
      <c r="V25" s="962">
        <f>Elect!AX29</f>
        <v>29</v>
      </c>
      <c r="W25" s="962">
        <f>Elect!AZ29</f>
        <v>2463</v>
      </c>
      <c r="X25" s="962">
        <f>Elect!BB29</f>
        <v>3471.9</v>
      </c>
      <c r="Y25" s="962">
        <f>Elect!BE29</f>
        <v>0</v>
      </c>
      <c r="Z25" s="962">
        <f>Elect!BG29</f>
        <v>861</v>
      </c>
      <c r="AA25" s="962">
        <f>Elect!BI29</f>
        <v>83</v>
      </c>
      <c r="AB25" s="962">
        <f>Elect!BK29</f>
        <v>192</v>
      </c>
      <c r="AC25" s="962"/>
      <c r="AD25" s="962">
        <f>Water!C30</f>
        <v>127.6</v>
      </c>
      <c r="AE25" s="962">
        <f>Water!E30</f>
        <v>11.6</v>
      </c>
      <c r="AF25" s="962">
        <f>Water!G30</f>
        <v>0</v>
      </c>
      <c r="AG25" s="962"/>
      <c r="AH25" s="962">
        <f>Gas!C30</f>
        <v>213.06</v>
      </c>
      <c r="AI25" s="962">
        <f>Gas!E30</f>
        <v>103.6</v>
      </c>
      <c r="AJ25" s="962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3</v>
      </c>
      <c r="D26" s="958">
        <v>2020</v>
      </c>
      <c r="E26" s="965"/>
      <c r="F26" s="942">
        <f>Elect!J30</f>
        <v>2127</v>
      </c>
      <c r="G26" s="942">
        <f>Elect!K30</f>
        <v>1552</v>
      </c>
      <c r="H26" s="942">
        <f>Elect!Q30</f>
        <v>180</v>
      </c>
      <c r="I26" s="942">
        <f>Elect!W30</f>
        <v>156</v>
      </c>
      <c r="J26" s="942">
        <f>Elect!Y30</f>
        <v>257</v>
      </c>
      <c r="K26" s="942">
        <f>Elect!AA30</f>
        <v>0</v>
      </c>
      <c r="L26" s="942">
        <f>Elect!AC30</f>
        <v>0</v>
      </c>
      <c r="M26" s="962">
        <f>Elect!AE30</f>
        <v>1820.5500000000002</v>
      </c>
      <c r="N26" s="962">
        <f>Elect!AG30</f>
        <v>0</v>
      </c>
      <c r="O26" s="962">
        <f>Elect!AI30</f>
        <v>146.81</v>
      </c>
      <c r="P26" s="962">
        <f>Elect!AK30</f>
        <v>1620.21</v>
      </c>
      <c r="Q26" s="962">
        <f>Elect!AN30</f>
        <v>13</v>
      </c>
      <c r="R26" s="962">
        <f>Elect!AP30</f>
        <v>44</v>
      </c>
      <c r="S26" s="962">
        <f>Elect!AR30</f>
        <v>10.45</v>
      </c>
      <c r="T26" s="962">
        <f>Elect!AT30</f>
        <v>37</v>
      </c>
      <c r="U26" s="962">
        <f>Elect!AV30</f>
        <v>359</v>
      </c>
      <c r="V26" s="962">
        <f>Elect!AX30</f>
        <v>31</v>
      </c>
      <c r="W26" s="962">
        <f>Elect!AZ30</f>
        <v>2752</v>
      </c>
      <c r="X26" s="962">
        <f>Elect!BB30</f>
        <v>3421.9</v>
      </c>
      <c r="Y26" s="962">
        <f>Elect!BE30</f>
        <v>0</v>
      </c>
      <c r="Z26" s="962">
        <f>Elect!BG30</f>
        <v>971</v>
      </c>
      <c r="AA26" s="962">
        <f>Elect!BI30</f>
        <v>93</v>
      </c>
      <c r="AB26" s="962">
        <f>Elect!BK30</f>
        <v>192</v>
      </c>
      <c r="AC26" s="962"/>
      <c r="AD26" s="962">
        <f>Water!C31</f>
        <v>139.19999999999999</v>
      </c>
      <c r="AE26" s="962">
        <f>Water!E31</f>
        <v>5.8</v>
      </c>
      <c r="AF26" s="962">
        <f>Water!G31</f>
        <v>0</v>
      </c>
      <c r="AG26" s="962"/>
      <c r="AH26" s="962">
        <f>Gas!C31</f>
        <v>202.46</v>
      </c>
      <c r="AI26" s="962">
        <f>Gas!E31</f>
        <v>174.29999999999998</v>
      </c>
      <c r="AJ26" s="962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3</v>
      </c>
      <c r="D27" s="958">
        <v>2020</v>
      </c>
      <c r="E27" s="965"/>
      <c r="F27" s="942">
        <f>Elect!J31</f>
        <v>1927</v>
      </c>
      <c r="G27" s="942">
        <f>Elect!K31</f>
        <v>1514</v>
      </c>
      <c r="H27" s="942">
        <f>Elect!Q31</f>
        <v>150</v>
      </c>
      <c r="I27" s="942">
        <f>Elect!W31</f>
        <v>138</v>
      </c>
      <c r="J27" s="942">
        <f>Elect!Y31</f>
        <v>239</v>
      </c>
      <c r="K27" s="942">
        <f>Elect!AA31</f>
        <v>0</v>
      </c>
      <c r="L27" s="942">
        <f>Elect!AC31</f>
        <v>2011.3500000000001</v>
      </c>
      <c r="M27" s="962">
        <f>Elect!AE31</f>
        <v>0</v>
      </c>
      <c r="N27" s="962">
        <f>Elect!AG31</f>
        <v>0</v>
      </c>
      <c r="O27" s="962">
        <f>Elect!AI31</f>
        <v>227.9</v>
      </c>
      <c r="P27" s="962">
        <f>Elect!AK31</f>
        <v>2634.1</v>
      </c>
      <c r="Q27" s="962">
        <f>Elect!AN31</f>
        <v>18</v>
      </c>
      <c r="R27" s="962">
        <f>Elect!AP31</f>
        <v>66</v>
      </c>
      <c r="S27" s="962">
        <f>Elect!AR31</f>
        <v>18.149999999999999</v>
      </c>
      <c r="T27" s="962">
        <f>Elect!AT31</f>
        <v>39</v>
      </c>
      <c r="U27" s="962">
        <f>Elect!AV31</f>
        <v>350</v>
      </c>
      <c r="V27" s="962">
        <f>Elect!AX31</f>
        <v>31</v>
      </c>
      <c r="W27" s="962">
        <f>Elect!AZ31</f>
        <v>2680</v>
      </c>
      <c r="X27" s="962">
        <f>Elect!BB31</f>
        <v>3467.4</v>
      </c>
      <c r="Y27" s="962">
        <f>Elect!BE31</f>
        <v>0</v>
      </c>
      <c r="Z27" s="962">
        <f>Elect!BG31</f>
        <v>851</v>
      </c>
      <c r="AA27" s="962">
        <f>Elect!BI31</f>
        <v>90</v>
      </c>
      <c r="AB27" s="962">
        <f>Elect!BK31</f>
        <v>222</v>
      </c>
      <c r="AC27" s="962"/>
      <c r="AD27" s="962">
        <f>Water!C32</f>
        <v>150.79999999999998</v>
      </c>
      <c r="AE27" s="962">
        <f>Water!E32</f>
        <v>5.8</v>
      </c>
      <c r="AF27" s="962">
        <f>Water!G32</f>
        <v>0</v>
      </c>
      <c r="AG27" s="962"/>
      <c r="AH27" s="962">
        <f>Gas!C32</f>
        <v>213.06</v>
      </c>
      <c r="AI27" s="962">
        <f>Gas!E32</f>
        <v>243.6</v>
      </c>
      <c r="AJ27" s="962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3</v>
      </c>
      <c r="D28" s="958">
        <v>2020</v>
      </c>
      <c r="E28" s="965"/>
      <c r="F28" s="942">
        <f>Elect!J32</f>
        <v>1887</v>
      </c>
      <c r="G28" s="942">
        <f>Elect!K32</f>
        <v>1492</v>
      </c>
      <c r="H28" s="942">
        <f>Elect!Q32</f>
        <v>120</v>
      </c>
      <c r="I28" s="942">
        <f>Elect!W32</f>
        <v>157</v>
      </c>
      <c r="J28" s="942">
        <f>Elect!Y32</f>
        <v>232</v>
      </c>
      <c r="K28" s="942">
        <f>Elect!AA32</f>
        <v>0</v>
      </c>
      <c r="L28" s="942">
        <f>Elect!AC32</f>
        <v>0</v>
      </c>
      <c r="M28" s="962">
        <f>Elect!AE32</f>
        <v>0</v>
      </c>
      <c r="N28" s="962">
        <f>Elect!AG32</f>
        <v>82.15</v>
      </c>
      <c r="O28" s="962">
        <f>Elect!AI32</f>
        <v>299.45</v>
      </c>
      <c r="P28" s="962">
        <f>Elect!AK32</f>
        <v>1472.3400000000001</v>
      </c>
      <c r="Q28" s="962">
        <f>Elect!AN32</f>
        <v>27</v>
      </c>
      <c r="R28" s="962">
        <f>Elect!AP32</f>
        <v>40</v>
      </c>
      <c r="S28" s="962">
        <f>Elect!AR32</f>
        <v>11.55</v>
      </c>
      <c r="T28" s="962">
        <f>Elect!AT32</f>
        <v>33</v>
      </c>
      <c r="U28" s="962">
        <f>Elect!AV32</f>
        <v>278</v>
      </c>
      <c r="V28" s="962">
        <f>Elect!AX32</f>
        <v>24</v>
      </c>
      <c r="W28" s="962">
        <f>Elect!AZ32</f>
        <v>2721</v>
      </c>
      <c r="X28" s="962">
        <f>Elect!BB32</f>
        <v>4093.1000000000004</v>
      </c>
      <c r="Y28" s="962">
        <f>Elect!BE32</f>
        <v>0</v>
      </c>
      <c r="Z28" s="962">
        <f>Elect!BG32</f>
        <v>974</v>
      </c>
      <c r="AA28" s="962">
        <f>Elect!BI32</f>
        <v>95</v>
      </c>
      <c r="AB28" s="962">
        <f>Elect!BK32</f>
        <v>204</v>
      </c>
      <c r="AC28" s="962"/>
      <c r="AD28" s="962">
        <f>Water!C33</f>
        <v>156.6</v>
      </c>
      <c r="AE28" s="962">
        <f>Water!E33</f>
        <v>0</v>
      </c>
      <c r="AF28" s="962">
        <f>Water!G33</f>
        <v>0</v>
      </c>
      <c r="AG28" s="962"/>
      <c r="AH28" s="962">
        <f>Gas!C33</f>
        <v>138.86000000000001</v>
      </c>
      <c r="AI28" s="962">
        <f>Gas!E33</f>
        <v>341.59999999999997</v>
      </c>
      <c r="AJ28" s="962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3</v>
      </c>
      <c r="D29" s="958">
        <v>2020</v>
      </c>
      <c r="E29" s="965"/>
      <c r="F29" s="942">
        <f>Elect!J33</f>
        <v>2027</v>
      </c>
      <c r="G29" s="942">
        <f>Elect!K33</f>
        <v>1511</v>
      </c>
      <c r="H29" s="942">
        <f>Elect!Q33</f>
        <v>120</v>
      </c>
      <c r="I29" s="942">
        <f>Elect!W33</f>
        <v>122</v>
      </c>
      <c r="J29" s="942">
        <f>Elect!Y33</f>
        <v>45</v>
      </c>
      <c r="K29" s="942">
        <f>Elect!AA33</f>
        <v>0</v>
      </c>
      <c r="L29" s="942">
        <f>Elect!AC33</f>
        <v>0</v>
      </c>
      <c r="M29" s="962">
        <f>Elect!AE33</f>
        <v>630.17000000000007</v>
      </c>
      <c r="N29" s="962">
        <f>Elect!AG33</f>
        <v>321.71000000000004</v>
      </c>
      <c r="O29" s="962">
        <f>Elect!AI33</f>
        <v>221.01000000000002</v>
      </c>
      <c r="P29" s="962">
        <f>Elect!AK33</f>
        <v>1366.3400000000001</v>
      </c>
      <c r="Q29" s="962">
        <f>Elect!AN33</f>
        <v>6</v>
      </c>
      <c r="R29" s="962">
        <f>Elect!AP33</f>
        <v>10</v>
      </c>
      <c r="S29" s="962">
        <f>Elect!AR33</f>
        <v>6.38</v>
      </c>
      <c r="T29" s="962">
        <f>Elect!AT33</f>
        <v>23</v>
      </c>
      <c r="U29" s="962">
        <f>Elect!AV33</f>
        <v>197</v>
      </c>
      <c r="V29" s="962">
        <f>Elect!AX33</f>
        <v>16</v>
      </c>
      <c r="W29" s="962">
        <f>Elect!AZ33</f>
        <v>1511</v>
      </c>
      <c r="X29" s="962">
        <f>Elect!BB33</f>
        <v>2037.3000000000002</v>
      </c>
      <c r="Y29" s="962">
        <f>Elect!BE33</f>
        <v>0</v>
      </c>
      <c r="Z29" s="962">
        <f>Elect!BG33</f>
        <v>527</v>
      </c>
      <c r="AA29" s="962">
        <f>Elect!BI33</f>
        <v>45</v>
      </c>
      <c r="AB29" s="962">
        <f>Elect!BK33</f>
        <v>113</v>
      </c>
      <c r="AC29" s="962"/>
      <c r="AD29" s="962">
        <f>Water!C34</f>
        <v>145</v>
      </c>
      <c r="AE29" s="962">
        <f>Water!E34</f>
        <v>5.8</v>
      </c>
      <c r="AF29" s="962">
        <f>Water!G34</f>
        <v>0</v>
      </c>
      <c r="AG29" s="962"/>
      <c r="AH29" s="962">
        <f>Gas!C34</f>
        <v>201.4</v>
      </c>
      <c r="AI29" s="962">
        <f>Gas!E34</f>
        <v>221.89999999999998</v>
      </c>
      <c r="AJ29" s="962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3</v>
      </c>
      <c r="D30" s="958">
        <v>2020</v>
      </c>
      <c r="E30" s="965"/>
      <c r="F30" s="942">
        <f>Elect!J34</f>
        <v>1975</v>
      </c>
      <c r="G30" s="942">
        <f>Elect!K34</f>
        <v>1514</v>
      </c>
      <c r="H30" s="942">
        <f>Elect!Q34</f>
        <v>180</v>
      </c>
      <c r="I30" s="942">
        <f>Elect!W34</f>
        <v>106</v>
      </c>
      <c r="J30" s="942">
        <f>Elect!Y34</f>
        <v>210</v>
      </c>
      <c r="K30" s="942">
        <f>Elect!AA34</f>
        <v>0</v>
      </c>
      <c r="L30" s="942">
        <f>Elect!AC34</f>
        <v>0</v>
      </c>
      <c r="M30" s="962">
        <f>Elect!AE34</f>
        <v>1910.65</v>
      </c>
      <c r="N30" s="962">
        <f>Elect!AG34</f>
        <v>0</v>
      </c>
      <c r="O30" s="962">
        <f>Elect!AI34</f>
        <v>173.31</v>
      </c>
      <c r="P30" s="962">
        <f>Elect!AK34</f>
        <v>2160.2800000000002</v>
      </c>
      <c r="Q30" s="962">
        <f>Elect!AN34</f>
        <v>24</v>
      </c>
      <c r="R30" s="962">
        <f>Elect!AP34</f>
        <v>18</v>
      </c>
      <c r="S30" s="962">
        <f>Elect!AR34</f>
        <v>12.32</v>
      </c>
      <c r="T30" s="962">
        <f>Elect!AT34</f>
        <v>33</v>
      </c>
      <c r="U30" s="962">
        <f>Elect!AV34</f>
        <v>333</v>
      </c>
      <c r="V30" s="962">
        <f>Elect!AX34</f>
        <v>30</v>
      </c>
      <c r="W30" s="962">
        <f>Elect!AZ34</f>
        <v>2385</v>
      </c>
      <c r="X30" s="962">
        <f>Elect!BB34</f>
        <v>3801.8</v>
      </c>
      <c r="Y30" s="962">
        <f>Elect!BE34</f>
        <v>0</v>
      </c>
      <c r="Z30" s="962">
        <f>Elect!BG34</f>
        <v>1012</v>
      </c>
      <c r="AA30" s="962">
        <f>Elect!BI34</f>
        <v>84</v>
      </c>
      <c r="AB30" s="962">
        <f>Elect!BK34</f>
        <v>214</v>
      </c>
      <c r="AC30" s="962"/>
      <c r="AD30" s="962">
        <f>Water!C35</f>
        <v>156.6</v>
      </c>
      <c r="AE30" s="962">
        <f>Water!E35</f>
        <v>0</v>
      </c>
      <c r="AF30" s="962">
        <f>Water!G35</f>
        <v>0</v>
      </c>
      <c r="AG30" s="962"/>
      <c r="AH30" s="962">
        <f>Gas!C35</f>
        <v>175.96</v>
      </c>
      <c r="AI30" s="962">
        <f>Gas!E35</f>
        <v>243.6</v>
      </c>
      <c r="AJ30" s="962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3</v>
      </c>
      <c r="D31" s="958">
        <v>2020</v>
      </c>
      <c r="E31" s="965"/>
      <c r="F31" s="942">
        <f>Elect!J35</f>
        <v>1947</v>
      </c>
      <c r="G31" s="942">
        <f>Elect!K35</f>
        <v>1517</v>
      </c>
      <c r="H31" s="942">
        <f>Elect!Q35</f>
        <v>30</v>
      </c>
      <c r="I31" s="942">
        <f>Elect!W35</f>
        <v>90</v>
      </c>
      <c r="J31" s="942">
        <f>Elect!Y35</f>
        <v>199</v>
      </c>
      <c r="K31" s="942">
        <f>Elect!AA35</f>
        <v>0</v>
      </c>
      <c r="L31" s="942">
        <f>Elect!AC35</f>
        <v>0</v>
      </c>
      <c r="M31" s="962">
        <f>Elect!AE35</f>
        <v>1123.6000000000001</v>
      </c>
      <c r="N31" s="962">
        <f>Elect!AG35</f>
        <v>0</v>
      </c>
      <c r="O31" s="962">
        <f>Elect!AI35</f>
        <v>299.98</v>
      </c>
      <c r="P31" s="962">
        <f>Elect!AK35</f>
        <v>1842.8100000000002</v>
      </c>
      <c r="Q31" s="962">
        <f>Elect!AN35</f>
        <v>48</v>
      </c>
      <c r="R31" s="962">
        <f>Elect!AP35</f>
        <v>16</v>
      </c>
      <c r="S31" s="962">
        <f>Elect!AR35</f>
        <v>7.81</v>
      </c>
      <c r="T31" s="962">
        <f>Elect!AT35</f>
        <v>47</v>
      </c>
      <c r="U31" s="962">
        <f>Elect!AV35</f>
        <v>329</v>
      </c>
      <c r="V31" s="962">
        <f>Elect!AX35</f>
        <v>31</v>
      </c>
      <c r="W31" s="962">
        <f>Elect!AZ35</f>
        <v>1910</v>
      </c>
      <c r="X31" s="962">
        <f>Elect!BB35</f>
        <v>3398.1</v>
      </c>
      <c r="Y31" s="962">
        <f>Elect!BE35</f>
        <v>0</v>
      </c>
      <c r="Z31" s="962">
        <f>Elect!BG35</f>
        <v>974</v>
      </c>
      <c r="AA31" s="962">
        <f>Elect!BI35</f>
        <v>79</v>
      </c>
      <c r="AB31" s="962">
        <f>Elect!BK35</f>
        <v>194</v>
      </c>
      <c r="AC31" s="962"/>
      <c r="AD31" s="962">
        <f>Water!C36</f>
        <v>127.6</v>
      </c>
      <c r="AE31" s="962">
        <f>Water!E36</f>
        <v>5.8</v>
      </c>
      <c r="AF31" s="962">
        <f>Water!G36</f>
        <v>0</v>
      </c>
      <c r="AG31" s="962"/>
      <c r="AH31" s="962">
        <f>Gas!C36</f>
        <v>179.14000000000001</v>
      </c>
      <c r="AI31" s="962">
        <f>Gas!E36</f>
        <v>256.89999999999998</v>
      </c>
      <c r="AJ31" s="962">
        <f>Gas!G36</f>
        <v>0</v>
      </c>
      <c r="AK31" s="949">
        <f>Elect!BM35</f>
        <v>0</v>
      </c>
    </row>
    <row r="32" spans="1:37" ht="12.75" customHeight="1">
      <c r="A32" s="960" t="s">
        <v>369</v>
      </c>
      <c r="B32" s="961">
        <f>B31+1</f>
        <v>31</v>
      </c>
      <c r="C32" s="957">
        <v>3</v>
      </c>
      <c r="D32" s="958">
        <v>2020</v>
      </c>
      <c r="E32" s="966"/>
      <c r="F32" s="942">
        <f>Elect!J36</f>
        <v>1760</v>
      </c>
      <c r="G32" s="942">
        <f>Elect!K36</f>
        <v>391</v>
      </c>
      <c r="H32" s="942">
        <f>Elect!Q36</f>
        <v>30</v>
      </c>
      <c r="I32" s="942">
        <f>Elect!W36</f>
        <v>106</v>
      </c>
      <c r="J32" s="942">
        <f>Elect!Y36</f>
        <v>311</v>
      </c>
      <c r="K32" s="942">
        <f>Elect!AA36</f>
        <v>0</v>
      </c>
      <c r="L32" s="942">
        <f>Elect!AC36</f>
        <v>0</v>
      </c>
      <c r="M32" s="962">
        <f>Elect!AE36</f>
        <v>0</v>
      </c>
      <c r="N32" s="962">
        <f>Elect!AG36</f>
        <v>1097.1000000000001</v>
      </c>
      <c r="O32" s="962">
        <f>Elect!AI36</f>
        <v>372.06</v>
      </c>
      <c r="P32" s="962">
        <f>Elect!AK36</f>
        <v>2212.75</v>
      </c>
      <c r="Q32" s="962">
        <f>Elect!AN36</f>
        <v>22</v>
      </c>
      <c r="R32" s="962">
        <f>Elect!AP36</f>
        <v>6</v>
      </c>
      <c r="S32" s="962">
        <f>Elect!AR36</f>
        <v>4.4000000000000004</v>
      </c>
      <c r="T32" s="962">
        <f>Elect!AT36</f>
        <v>33</v>
      </c>
      <c r="U32" s="962">
        <f>Elect!AV36</f>
        <v>363</v>
      </c>
      <c r="V32" s="962">
        <f>Elect!AX36</f>
        <v>39</v>
      </c>
      <c r="W32" s="962">
        <f>Elect!AZ36</f>
        <v>1855</v>
      </c>
      <c r="X32" s="962">
        <f>Elect!BB36</f>
        <v>3693.7</v>
      </c>
      <c r="Y32" s="962">
        <f>Elect!BE36</f>
        <v>0</v>
      </c>
      <c r="Z32" s="962">
        <f>Elect!BG36</f>
        <v>1073</v>
      </c>
      <c r="AA32" s="962">
        <f>Elect!BI36</f>
        <v>79</v>
      </c>
      <c r="AB32" s="962">
        <f>Elect!BK36</f>
        <v>209</v>
      </c>
      <c r="AC32" s="962"/>
      <c r="AD32" s="962">
        <f>Water!C37</f>
        <v>145</v>
      </c>
      <c r="AE32" s="962">
        <f>Water!E37</f>
        <v>0</v>
      </c>
      <c r="AF32" s="962">
        <f>Water!G37</f>
        <v>0</v>
      </c>
      <c r="AG32" s="962"/>
      <c r="AH32" s="962">
        <f>Gas!C37</f>
        <v>177.02</v>
      </c>
      <c r="AI32" s="962">
        <f>Gas!E37</f>
        <v>254.79999999999998</v>
      </c>
      <c r="AJ32" s="962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tabSelected="1" view="pageBreakPreview" zoomScale="60" zoomScaleNormal="60" workbookViewId="0">
      <pane xSplit="8" ySplit="4" topLeftCell="I32" activePane="bottomRight" state="frozen"/>
      <selection activeCell="G39" sqref="G39"/>
      <selection pane="topRight" activeCell="G39" sqref="G39"/>
      <selection pane="bottomLeft" activeCell="G39" sqref="G39"/>
      <selection pane="bottomRight" activeCell="A36" sqref="A3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7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69" t="s">
        <v>259</v>
      </c>
      <c r="N1" s="969"/>
      <c r="O1" s="969"/>
      <c r="Q1" s="969"/>
      <c r="R1" s="969"/>
      <c r="S1" s="969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68"/>
      <c r="B2" s="118"/>
      <c r="C2" s="30"/>
      <c r="D2" s="30"/>
      <c r="E2" s="198"/>
      <c r="F2" s="198"/>
      <c r="I2" s="199"/>
      <c r="M2" s="970"/>
      <c r="N2" s="970"/>
      <c r="O2" s="970"/>
      <c r="Q2" s="970"/>
      <c r="R2" s="970"/>
      <c r="S2" s="970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9" t="s">
        <v>0</v>
      </c>
      <c r="B3" s="981" t="s">
        <v>1</v>
      </c>
      <c r="C3" s="982"/>
      <c r="D3" s="971" t="s">
        <v>2</v>
      </c>
      <c r="E3" s="971"/>
      <c r="F3" s="971" t="s">
        <v>3</v>
      </c>
      <c r="G3" s="971"/>
      <c r="H3" s="983" t="s">
        <v>4</v>
      </c>
      <c r="I3" s="675" t="s">
        <v>322</v>
      </c>
      <c r="J3" s="603"/>
      <c r="K3" s="604"/>
      <c r="L3" s="971"/>
      <c r="M3" s="971"/>
      <c r="N3" s="971"/>
      <c r="O3" s="971"/>
      <c r="P3" s="971"/>
      <c r="Q3" s="971"/>
      <c r="R3" s="974" t="s">
        <v>324</v>
      </c>
      <c r="S3" s="975"/>
      <c r="T3" s="975"/>
      <c r="U3" s="975"/>
      <c r="V3" s="975"/>
      <c r="W3" s="97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1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0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4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3"/>
      <c r="BM4" s="605" t="s">
        <v>315</v>
      </c>
      <c r="BN4" s="605" t="s">
        <v>316</v>
      </c>
      <c r="BO4" s="605" t="s">
        <v>8</v>
      </c>
      <c r="BP4" s="605" t="s">
        <v>8</v>
      </c>
      <c r="BQ4" s="977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480">
        <v>20770254</v>
      </c>
      <c r="J5" s="760">
        <f>IF(I5&gt;=I4,I5-I4,0)</f>
        <v>0</v>
      </c>
      <c r="K5" s="760">
        <f t="shared" ref="K5:K36" si="0">M5+O5</f>
        <v>0</v>
      </c>
      <c r="L5" s="480">
        <v>593059</v>
      </c>
      <c r="M5" s="760">
        <f t="shared" ref="M5:M36" si="1">IF(L5&gt;=L4,L5-L4,0)</f>
        <v>0</v>
      </c>
      <c r="N5" s="855">
        <v>585857</v>
      </c>
      <c r="O5" s="760">
        <f t="shared" ref="O5:O36" si="2">IF(N5&gt;=N4,N5-N4,0)</f>
        <v>0</v>
      </c>
      <c r="P5" s="855">
        <v>210204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85606</v>
      </c>
      <c r="W5" s="760">
        <f t="shared" si="4"/>
        <v>0</v>
      </c>
      <c r="X5" s="480">
        <v>160013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626791</v>
      </c>
      <c r="AC5" s="760">
        <f t="shared" ref="AC5:AC28" si="7">IF(AB5&gt;=AB4,AB5-AB4,0)*0.53</f>
        <v>0</v>
      </c>
      <c r="AD5" s="480">
        <v>676670</v>
      </c>
      <c r="AE5" s="760">
        <f t="shared" ref="AE5:AE36" si="8">IF(AD5&gt;=AD4,AD5-AD4,0)*0.53</f>
        <v>0</v>
      </c>
      <c r="AF5" s="480">
        <v>683358</v>
      </c>
      <c r="AG5" s="760">
        <f t="shared" ref="AG5:AG36" si="9">IF(AF5&gt;=AF4,AF5-AF4,0)*0.53</f>
        <v>0</v>
      </c>
      <c r="AH5" s="480">
        <v>184038</v>
      </c>
      <c r="AI5" s="760">
        <f t="shared" ref="AI5:AI36" si="10">IF(AH5&gt;=AH4,AH5-AH4,0)*0.53</f>
        <v>0</v>
      </c>
      <c r="AJ5" s="855">
        <v>120223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6867678</v>
      </c>
      <c r="AN5" s="760">
        <f t="shared" ref="AN5:AN36" si="12">IF(AM5&gt;=AM4,AM5-AM4,0)</f>
        <v>0</v>
      </c>
      <c r="AO5" s="480">
        <v>529933</v>
      </c>
      <c r="AP5" s="760">
        <f t="shared" ref="AP5:AP36" si="13">IF(AO5&gt;=AO4,AO5-AO4,0)</f>
        <v>0</v>
      </c>
      <c r="AQ5" s="855">
        <v>874231</v>
      </c>
      <c r="AR5" s="760">
        <f t="shared" ref="AR5:AR36" si="14">IF(AQ5&gt;=AQ4,AQ5-AQ4,0)*0.11</f>
        <v>0</v>
      </c>
      <c r="AS5" s="907">
        <v>777034</v>
      </c>
      <c r="AT5" s="760">
        <f t="shared" ref="AT5:AT36" si="15">IF(AS5&gt;=AS4,AS5-AS4,0)</f>
        <v>0</v>
      </c>
      <c r="AU5" s="855">
        <v>2132131</v>
      </c>
      <c r="AV5" s="760">
        <f t="shared" ref="AV5:AV36" si="16">IF(AU5&gt;=AU4,AU5-AU4,0)</f>
        <v>0</v>
      </c>
      <c r="AW5" s="855">
        <v>193354</v>
      </c>
      <c r="AX5" s="760">
        <v>0</v>
      </c>
      <c r="AY5" s="480">
        <v>16580025</v>
      </c>
      <c r="AZ5" s="760">
        <f t="shared" ref="AZ5:AZ36" si="17">IF(AY5&gt;=AY4,AY5-AY4,0)</f>
        <v>0</v>
      </c>
      <c r="BA5" s="855">
        <v>20032075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3092671</v>
      </c>
      <c r="BG5" s="760">
        <f t="shared" ref="BG5:BG36" si="21">IF(BF5&gt;=BF4,BF5-BF4,0)</f>
        <v>0</v>
      </c>
      <c r="BH5" s="480">
        <v>343460</v>
      </c>
      <c r="BI5" s="760">
        <f t="shared" ref="BI5:BI36" si="22">IF(BH5&gt;=BH4,BH5-BH4,0)</f>
        <v>0</v>
      </c>
      <c r="BJ5" s="480">
        <v>388150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20776969</v>
      </c>
      <c r="J6" s="760">
        <f t="shared" ref="J6:J36" si="23">IF(I6&gt;=I5,I6-I5,0)</f>
        <v>6715</v>
      </c>
      <c r="K6" s="760">
        <f t="shared" si="0"/>
        <v>4066</v>
      </c>
      <c r="L6" s="855">
        <v>595135</v>
      </c>
      <c r="M6" s="760">
        <f t="shared" si="1"/>
        <v>2076</v>
      </c>
      <c r="N6" s="855">
        <v>587847</v>
      </c>
      <c r="O6" s="760">
        <f>IF(N6&gt;=N5,N6-N5,0)</f>
        <v>1990</v>
      </c>
      <c r="P6" s="855">
        <v>210229</v>
      </c>
      <c r="Q6" s="760">
        <f t="shared" si="3"/>
        <v>750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85755</v>
      </c>
      <c r="W6" s="760">
        <f t="shared" si="4"/>
        <v>149</v>
      </c>
      <c r="X6" s="480">
        <v>160226</v>
      </c>
      <c r="Y6" s="760">
        <f t="shared" si="5"/>
        <v>213</v>
      </c>
      <c r="Z6" s="480">
        <v>315108</v>
      </c>
      <c r="AA6" s="760">
        <f t="shared" si="6"/>
        <v>0</v>
      </c>
      <c r="AB6" s="855">
        <v>626791</v>
      </c>
      <c r="AC6" s="760">
        <f t="shared" si="7"/>
        <v>0</v>
      </c>
      <c r="AD6" s="855">
        <v>680095</v>
      </c>
      <c r="AE6" s="760">
        <f t="shared" si="8"/>
        <v>1815.25</v>
      </c>
      <c r="AF6" s="480">
        <v>683358</v>
      </c>
      <c r="AG6" s="760">
        <f t="shared" si="9"/>
        <v>0</v>
      </c>
      <c r="AH6" s="480">
        <v>184609</v>
      </c>
      <c r="AI6" s="760">
        <f t="shared" si="10"/>
        <v>302.63</v>
      </c>
      <c r="AJ6" s="480">
        <v>124970</v>
      </c>
      <c r="AK6" s="760">
        <f>IF(AJ6&gt;=AJ5,AJ6-AJ5,0)*0.53</f>
        <v>2515.9100000000003</v>
      </c>
      <c r="AL6" s="760">
        <f>AA6+AC6+AE6+AG6+AI6+AK6</f>
        <v>4633.7900000000009</v>
      </c>
      <c r="AM6" s="480">
        <v>6869760</v>
      </c>
      <c r="AN6" s="760">
        <f t="shared" si="12"/>
        <v>2082</v>
      </c>
      <c r="AO6" s="855">
        <v>530220</v>
      </c>
      <c r="AP6" s="760">
        <f t="shared" si="13"/>
        <v>287</v>
      </c>
      <c r="AQ6" s="855">
        <v>874535</v>
      </c>
      <c r="AR6" s="760">
        <f t="shared" si="14"/>
        <v>33.44</v>
      </c>
      <c r="AS6" s="855">
        <v>777243</v>
      </c>
      <c r="AT6" s="760">
        <f t="shared" si="15"/>
        <v>209</v>
      </c>
      <c r="AU6" s="480">
        <v>2133333</v>
      </c>
      <c r="AV6" s="760">
        <f t="shared" si="16"/>
        <v>1202</v>
      </c>
      <c r="AW6" s="855">
        <v>193399</v>
      </c>
      <c r="AX6" s="760">
        <f t="shared" ref="AX6:AX18" si="25">IF(AW6&gt;=AW5,AW6-AW5,0)</f>
        <v>45</v>
      </c>
      <c r="AY6" s="855">
        <v>16585583</v>
      </c>
      <c r="AZ6" s="760">
        <f t="shared" si="17"/>
        <v>5558</v>
      </c>
      <c r="BA6" s="855">
        <v>20038821</v>
      </c>
      <c r="BB6" s="760">
        <f t="shared" si="18"/>
        <v>5813.9</v>
      </c>
      <c r="BC6" s="760">
        <f t="shared" si="19"/>
        <v>15230.34</v>
      </c>
      <c r="BD6" s="855">
        <v>1323286</v>
      </c>
      <c r="BE6" s="760">
        <f t="shared" si="20"/>
        <v>0</v>
      </c>
      <c r="BF6" s="855">
        <v>3093812</v>
      </c>
      <c r="BG6" s="760">
        <f t="shared" si="21"/>
        <v>1141</v>
      </c>
      <c r="BH6" s="855">
        <v>343573</v>
      </c>
      <c r="BI6" s="760">
        <f t="shared" si="22"/>
        <v>113</v>
      </c>
      <c r="BJ6" s="855">
        <v>388341</v>
      </c>
      <c r="BK6" s="760">
        <f>IF(BJ6&gt;=BJ5,BJ6-BJ5,0)</f>
        <v>191</v>
      </c>
      <c r="BL6" s="870">
        <f t="shared" ref="BL6:BL36" si="26">J6+Q6+AL6+BC6</f>
        <v>27329.13</v>
      </c>
      <c r="BM6" s="871">
        <v>169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12571.399800000001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20783141</v>
      </c>
      <c r="J7" s="760">
        <f t="shared" si="23"/>
        <v>6172</v>
      </c>
      <c r="K7" s="760">
        <f t="shared" si="0"/>
        <v>4554</v>
      </c>
      <c r="L7" s="855">
        <v>597696</v>
      </c>
      <c r="M7" s="760">
        <f>IF(L7&gt;=L6,L7-L6,0)</f>
        <v>2561</v>
      </c>
      <c r="N7" s="855">
        <v>589840</v>
      </c>
      <c r="O7" s="760">
        <f>IF(N7&gt;=N6,N7-N6,0)</f>
        <v>1993</v>
      </c>
      <c r="P7" s="855">
        <v>210251</v>
      </c>
      <c r="Q7" s="760">
        <f t="shared" si="3"/>
        <v>660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85899</v>
      </c>
      <c r="W7" s="760">
        <f t="shared" si="4"/>
        <v>144</v>
      </c>
      <c r="X7" s="480">
        <v>160455</v>
      </c>
      <c r="Y7" s="760">
        <f t="shared" si="5"/>
        <v>229</v>
      </c>
      <c r="Z7" s="480">
        <v>315108</v>
      </c>
      <c r="AA7" s="760">
        <f t="shared" si="6"/>
        <v>0</v>
      </c>
      <c r="AB7" s="855">
        <v>626791</v>
      </c>
      <c r="AC7" s="760">
        <f t="shared" si="7"/>
        <v>0</v>
      </c>
      <c r="AD7" s="855">
        <v>684702</v>
      </c>
      <c r="AE7" s="760">
        <f t="shared" si="8"/>
        <v>2441.71</v>
      </c>
      <c r="AF7" s="480">
        <v>683358</v>
      </c>
      <c r="AG7" s="760">
        <f t="shared" si="9"/>
        <v>0</v>
      </c>
      <c r="AH7" s="855">
        <v>185079</v>
      </c>
      <c r="AI7" s="760">
        <f t="shared" si="10"/>
        <v>249.10000000000002</v>
      </c>
      <c r="AJ7" s="855">
        <v>129432</v>
      </c>
      <c r="AK7" s="760">
        <f t="shared" ref="AK7:AK36" si="28">IF(AJ7&gt;=AJ6,AJ7-AJ6,0)*0.53</f>
        <v>2364.86</v>
      </c>
      <c r="AL7" s="760">
        <f t="shared" si="11"/>
        <v>5055.67</v>
      </c>
      <c r="AM7" s="480">
        <v>6870796</v>
      </c>
      <c r="AN7" s="760">
        <f t="shared" si="12"/>
        <v>1036</v>
      </c>
      <c r="AO7" s="480">
        <v>530653</v>
      </c>
      <c r="AP7" s="760">
        <f t="shared" si="13"/>
        <v>433</v>
      </c>
      <c r="AQ7" s="480">
        <v>874851</v>
      </c>
      <c r="AR7" s="760">
        <f t="shared" si="14"/>
        <v>34.76</v>
      </c>
      <c r="AS7" s="907">
        <v>777544</v>
      </c>
      <c r="AT7" s="760">
        <f t="shared" si="15"/>
        <v>301</v>
      </c>
      <c r="AU7" s="855">
        <v>2134327</v>
      </c>
      <c r="AV7" s="760">
        <f t="shared" si="16"/>
        <v>994</v>
      </c>
      <c r="AW7" s="480">
        <v>193467</v>
      </c>
      <c r="AX7" s="760">
        <f t="shared" si="25"/>
        <v>68</v>
      </c>
      <c r="AY7" s="855">
        <v>16591337</v>
      </c>
      <c r="AZ7" s="760">
        <f t="shared" si="17"/>
        <v>5754</v>
      </c>
      <c r="BA7" s="855">
        <v>20045449</v>
      </c>
      <c r="BB7" s="760">
        <f t="shared" si="18"/>
        <v>5760.1</v>
      </c>
      <c r="BC7" s="760">
        <f t="shared" si="19"/>
        <v>14380.86</v>
      </c>
      <c r="BD7" s="855">
        <v>1323286</v>
      </c>
      <c r="BE7" s="760">
        <f t="shared" si="20"/>
        <v>0</v>
      </c>
      <c r="BF7" s="855">
        <v>3094821</v>
      </c>
      <c r="BG7" s="760">
        <f t="shared" si="21"/>
        <v>1009</v>
      </c>
      <c r="BH7" s="855">
        <v>343706</v>
      </c>
      <c r="BI7" s="760">
        <f t="shared" si="22"/>
        <v>133</v>
      </c>
      <c r="BJ7" s="480">
        <v>388537</v>
      </c>
      <c r="BK7" s="760">
        <f t="shared" ref="BK7:BK36" si="29">IF(BJ7&gt;=BJ6,BJ7-BJ6,0)</f>
        <v>196</v>
      </c>
      <c r="BL7" s="870">
        <f t="shared" si="26"/>
        <v>26268.53</v>
      </c>
      <c r="BM7" s="871">
        <v>160</v>
      </c>
      <c r="BN7" s="870">
        <f t="shared" ref="BN7:BN12" si="30">IF(BL7&gt;0,BL7/BM6,0)</f>
        <v>155.43508875739644</v>
      </c>
      <c r="BO7" s="871"/>
      <c r="BP7" s="870" t="e">
        <f t="shared" si="27"/>
        <v>#DIV/0!</v>
      </c>
      <c r="BQ7" s="870">
        <f>BL7*BS1</f>
        <v>12083.523800000001</v>
      </c>
      <c r="BR7" s="870">
        <f t="shared" ref="BR7:BR15" si="31">IF(BQ7&gt;0,BQ7/BM6,0)</f>
        <v>71.500140828402365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480">
        <v>20789675</v>
      </c>
      <c r="J8" s="760">
        <f t="shared" si="23"/>
        <v>6534</v>
      </c>
      <c r="K8" s="760">
        <f t="shared" si="0"/>
        <v>4228.6666666669771</v>
      </c>
      <c r="L8" s="480">
        <v>599933.66666666698</v>
      </c>
      <c r="M8" s="760">
        <f>IF(L8&gt;=L7,L8-L7,0)</f>
        <v>2237.6666666669771</v>
      </c>
      <c r="N8" s="855">
        <v>591831</v>
      </c>
      <c r="O8" s="760">
        <f t="shared" si="2"/>
        <v>1991</v>
      </c>
      <c r="P8" s="855">
        <v>210275</v>
      </c>
      <c r="Q8" s="760">
        <f t="shared" si="3"/>
        <v>720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86046.333333333299</v>
      </c>
      <c r="W8" s="760">
        <f t="shared" si="4"/>
        <v>147.33333333329938</v>
      </c>
      <c r="X8" s="480">
        <v>160673.33333333299</v>
      </c>
      <c r="Y8" s="760">
        <f t="shared" si="5"/>
        <v>218.33333333299379</v>
      </c>
      <c r="Z8" s="480">
        <v>315108</v>
      </c>
      <c r="AA8" s="760">
        <f t="shared" si="6"/>
        <v>0</v>
      </c>
      <c r="AB8" s="855">
        <v>626791</v>
      </c>
      <c r="AC8" s="760">
        <f t="shared" si="7"/>
        <v>0</v>
      </c>
      <c r="AD8" s="480">
        <v>684702</v>
      </c>
      <c r="AE8" s="760">
        <f t="shared" si="8"/>
        <v>0</v>
      </c>
      <c r="AF8" s="480">
        <v>683358</v>
      </c>
      <c r="AG8" s="760">
        <f t="shared" si="9"/>
        <v>0</v>
      </c>
      <c r="AH8" s="480">
        <v>185616.33333333299</v>
      </c>
      <c r="AI8" s="760">
        <f t="shared" si="10"/>
        <v>284.78666666648672</v>
      </c>
      <c r="AJ8" s="855">
        <v>134084</v>
      </c>
      <c r="AK8" s="760">
        <f t="shared" si="28"/>
        <v>2465.56</v>
      </c>
      <c r="AL8" s="760">
        <f>AA8+AC8+AE8+AG8+AI8+AK8</f>
        <v>2750.3466666664867</v>
      </c>
      <c r="AM8" s="480">
        <v>6872529.3333333302</v>
      </c>
      <c r="AN8" s="760">
        <f t="shared" si="12"/>
        <v>1733.3333333302289</v>
      </c>
      <c r="AO8" s="480">
        <v>530988.66666666698</v>
      </c>
      <c r="AP8" s="760">
        <f t="shared" si="13"/>
        <v>335.66666666697711</v>
      </c>
      <c r="AQ8" s="855">
        <v>875159</v>
      </c>
      <c r="AR8" s="760">
        <f t="shared" si="14"/>
        <v>33.880000000000003</v>
      </c>
      <c r="AS8" s="907">
        <v>777783.66666666698</v>
      </c>
      <c r="AT8" s="760">
        <f>IF(AS8&gt;=AS7,AS8-AS7,0)</f>
        <v>239.66666666697711</v>
      </c>
      <c r="AU8" s="855">
        <v>2135459.6666666698</v>
      </c>
      <c r="AV8" s="760">
        <f t="shared" si="16"/>
        <v>1132.6666666697711</v>
      </c>
      <c r="AW8" s="855">
        <v>193519.66666666701</v>
      </c>
      <c r="AX8" s="760">
        <f t="shared" si="25"/>
        <v>52.666666667006211</v>
      </c>
      <c r="AY8" s="480">
        <v>16596960.3333333</v>
      </c>
      <c r="AZ8" s="760">
        <f t="shared" si="17"/>
        <v>5623.3333333004266</v>
      </c>
      <c r="BA8" s="855">
        <v>20052155.666666701</v>
      </c>
      <c r="BB8" s="760">
        <f t="shared" si="18"/>
        <v>5795.9666667009706</v>
      </c>
      <c r="BC8" s="760">
        <f t="shared" si="19"/>
        <v>14947.180000002358</v>
      </c>
      <c r="BD8" s="855">
        <v>1323286</v>
      </c>
      <c r="BE8" s="760">
        <f t="shared" si="20"/>
        <v>0</v>
      </c>
      <c r="BF8" s="480">
        <v>3095918</v>
      </c>
      <c r="BG8" s="760">
        <f t="shared" si="21"/>
        <v>1097</v>
      </c>
      <c r="BH8" s="480">
        <v>343825.66666666698</v>
      </c>
      <c r="BI8" s="760">
        <f t="shared" si="22"/>
        <v>119.66666666697711</v>
      </c>
      <c r="BJ8" s="480">
        <v>388729.66666666698</v>
      </c>
      <c r="BK8" s="760">
        <f t="shared" si="29"/>
        <v>192.66666666697711</v>
      </c>
      <c r="BL8" s="870">
        <f t="shared" si="26"/>
        <v>24951.526666668844</v>
      </c>
      <c r="BM8" s="871">
        <v>162</v>
      </c>
      <c r="BN8" s="870">
        <f t="shared" si="30"/>
        <v>155.94704166668026</v>
      </c>
      <c r="BO8" s="871"/>
      <c r="BP8" s="870" t="e">
        <f t="shared" si="27"/>
        <v>#DIV/0!</v>
      </c>
      <c r="BQ8" s="870">
        <f>BL8*BS1</f>
        <v>11477.702266667669</v>
      </c>
      <c r="BR8" s="870">
        <f t="shared" si="31"/>
        <v>71.735639166672939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20797529</v>
      </c>
      <c r="J9" s="760">
        <f>IF(I9&gt;=I8,I9-I8,0)</f>
        <v>7854</v>
      </c>
      <c r="K9" s="760">
        <f t="shared" si="0"/>
        <v>4352.3333333330229</v>
      </c>
      <c r="L9" s="480">
        <v>602283</v>
      </c>
      <c r="M9" s="760">
        <f>IF(L9&gt;=L8,L9-L8,0)</f>
        <v>2349.3333333330229</v>
      </c>
      <c r="N9" s="480">
        <v>593834</v>
      </c>
      <c r="O9" s="760">
        <f t="shared" si="2"/>
        <v>2003</v>
      </c>
      <c r="P9" s="855">
        <v>210298</v>
      </c>
      <c r="Q9" s="760">
        <f t="shared" si="3"/>
        <v>690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86194</v>
      </c>
      <c r="W9" s="760">
        <f t="shared" si="4"/>
        <v>147.66666666670062</v>
      </c>
      <c r="X9" s="480">
        <v>160938</v>
      </c>
      <c r="Y9" s="760">
        <f t="shared" si="5"/>
        <v>264.66666666700621</v>
      </c>
      <c r="Z9" s="480">
        <v>315108</v>
      </c>
      <c r="AA9" s="760">
        <f t="shared" si="6"/>
        <v>0</v>
      </c>
      <c r="AB9" s="855">
        <v>633904</v>
      </c>
      <c r="AC9" s="760">
        <f t="shared" si="7"/>
        <v>3769.8900000000003</v>
      </c>
      <c r="AD9" s="904">
        <v>687631</v>
      </c>
      <c r="AE9" s="760">
        <f t="shared" si="8"/>
        <v>1552.3700000000001</v>
      </c>
      <c r="AF9" s="480">
        <v>683358</v>
      </c>
      <c r="AG9" s="760">
        <f t="shared" si="9"/>
        <v>0</v>
      </c>
      <c r="AH9" s="480">
        <v>186058</v>
      </c>
      <c r="AI9" s="760">
        <f t="shared" si="10"/>
        <v>234.08333333351331</v>
      </c>
      <c r="AJ9" s="480">
        <v>137890</v>
      </c>
      <c r="AK9" s="760">
        <f t="shared" si="28"/>
        <v>2017.18</v>
      </c>
      <c r="AL9" s="760">
        <f t="shared" si="11"/>
        <v>7573.5233333335136</v>
      </c>
      <c r="AM9" s="480">
        <v>6873152</v>
      </c>
      <c r="AN9" s="760">
        <f t="shared" si="12"/>
        <v>622.66666666977108</v>
      </c>
      <c r="AO9" s="855">
        <v>531507</v>
      </c>
      <c r="AP9" s="760">
        <f t="shared" si="13"/>
        <v>518.33333333302289</v>
      </c>
      <c r="AQ9" s="480">
        <v>875383</v>
      </c>
      <c r="AR9" s="760">
        <f t="shared" si="14"/>
        <v>24.64</v>
      </c>
      <c r="AS9" s="480">
        <v>778044</v>
      </c>
      <c r="AT9" s="760">
        <f>IF(AS9&gt;=AS8,AS9-AS8,0)</f>
        <v>260.33333333302289</v>
      </c>
      <c r="AU9" s="480">
        <v>2136454</v>
      </c>
      <c r="AV9" s="760">
        <f t="shared" si="16"/>
        <v>994.33333333022892</v>
      </c>
      <c r="AW9" s="480">
        <v>193606</v>
      </c>
      <c r="AX9" s="760">
        <f t="shared" si="25"/>
        <v>86.333333332993789</v>
      </c>
      <c r="AY9" s="480">
        <v>16602399</v>
      </c>
      <c r="AZ9" s="760">
        <f t="shared" si="17"/>
        <v>5438.6666666995734</v>
      </c>
      <c r="BA9" s="855">
        <v>20058484</v>
      </c>
      <c r="BB9" s="760">
        <f t="shared" si="18"/>
        <v>5391.93333329903</v>
      </c>
      <c r="BC9" s="760">
        <f t="shared" si="19"/>
        <v>13337.239999997644</v>
      </c>
      <c r="BD9" s="855">
        <v>1323286</v>
      </c>
      <c r="BE9" s="760">
        <f t="shared" si="20"/>
        <v>0</v>
      </c>
      <c r="BF9" s="480">
        <v>3097027</v>
      </c>
      <c r="BG9" s="760">
        <f t="shared" si="21"/>
        <v>1109</v>
      </c>
      <c r="BH9" s="480">
        <v>343973</v>
      </c>
      <c r="BI9" s="760">
        <f t="shared" si="22"/>
        <v>147.33333333302289</v>
      </c>
      <c r="BJ9" s="480">
        <v>388927</v>
      </c>
      <c r="BK9" s="760">
        <f t="shared" si="29"/>
        <v>197.33333333302289</v>
      </c>
      <c r="BL9" s="870">
        <f t="shared" si="26"/>
        <v>29454.763333331157</v>
      </c>
      <c r="BM9" s="871">
        <v>174</v>
      </c>
      <c r="BN9" s="870">
        <f t="shared" si="30"/>
        <v>181.81952674895777</v>
      </c>
      <c r="BO9" s="871"/>
      <c r="BP9" s="870" t="e">
        <f t="shared" si="27"/>
        <v>#DIV/0!</v>
      </c>
      <c r="BQ9" s="870">
        <f>BL9*BS1</f>
        <v>13549.191133332333</v>
      </c>
      <c r="BR9" s="870">
        <f t="shared" si="31"/>
        <v>83.636982304520572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20802350</v>
      </c>
      <c r="J10" s="760">
        <f>IF(I10&gt;=I9,I10-I9,0)</f>
        <v>4821</v>
      </c>
      <c r="K10" s="760">
        <f t="shared" si="0"/>
        <v>3886.8888888889924</v>
      </c>
      <c r="L10" s="855">
        <v>604557.88888888899</v>
      </c>
      <c r="M10" s="760">
        <f>IF(L10&gt;=L9,L10-L9,0)</f>
        <v>2274.8888888889924</v>
      </c>
      <c r="N10" s="855">
        <v>595446</v>
      </c>
      <c r="O10" s="760">
        <f t="shared" si="2"/>
        <v>1612</v>
      </c>
      <c r="P10" s="855">
        <v>210318</v>
      </c>
      <c r="Q10" s="760">
        <f t="shared" si="3"/>
        <v>600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86305</v>
      </c>
      <c r="W10" s="760">
        <f t="shared" si="4"/>
        <v>111</v>
      </c>
      <c r="X10" s="480">
        <v>161125</v>
      </c>
      <c r="Y10" s="760">
        <f t="shared" si="5"/>
        <v>187</v>
      </c>
      <c r="Z10" s="480">
        <v>315108</v>
      </c>
      <c r="AA10" s="760">
        <f t="shared" si="6"/>
        <v>0</v>
      </c>
      <c r="AB10" s="855">
        <v>638843</v>
      </c>
      <c r="AC10" s="760">
        <f t="shared" si="7"/>
        <v>2617.67</v>
      </c>
      <c r="AD10" s="480">
        <v>687631</v>
      </c>
      <c r="AE10" s="760">
        <f t="shared" si="8"/>
        <v>0</v>
      </c>
      <c r="AF10" s="480">
        <v>683358</v>
      </c>
      <c r="AG10" s="760">
        <f t="shared" si="9"/>
        <v>0</v>
      </c>
      <c r="AH10" s="855">
        <v>186514</v>
      </c>
      <c r="AI10" s="760">
        <f t="shared" si="10"/>
        <v>241.68</v>
      </c>
      <c r="AJ10" s="855">
        <v>142654.20000000001</v>
      </c>
      <c r="AK10" s="760">
        <f t="shared" si="28"/>
        <v>2525.0260000000062</v>
      </c>
      <c r="AL10" s="760">
        <f t="shared" si="11"/>
        <v>5384.3760000000057</v>
      </c>
      <c r="AM10" s="480">
        <v>6874394</v>
      </c>
      <c r="AN10" s="760">
        <f t="shared" si="12"/>
        <v>1242</v>
      </c>
      <c r="AO10" s="855">
        <v>531713</v>
      </c>
      <c r="AP10" s="760">
        <f t="shared" si="13"/>
        <v>206</v>
      </c>
      <c r="AQ10" s="855">
        <v>875576</v>
      </c>
      <c r="AR10" s="760">
        <f t="shared" si="14"/>
        <v>21.23</v>
      </c>
      <c r="AS10" s="480">
        <v>778200</v>
      </c>
      <c r="AT10" s="760">
        <f>IF(AS10&gt;=AS9,AS10-AS9,0)</f>
        <v>156</v>
      </c>
      <c r="AU10" s="480">
        <v>2137318</v>
      </c>
      <c r="AV10" s="760">
        <f t="shared" si="16"/>
        <v>864</v>
      </c>
      <c r="AW10" s="480">
        <v>193658</v>
      </c>
      <c r="AX10" s="760">
        <f t="shared" si="25"/>
        <v>52</v>
      </c>
      <c r="AY10" s="480">
        <v>16607084</v>
      </c>
      <c r="AZ10" s="760">
        <f t="shared" si="17"/>
        <v>4685</v>
      </c>
      <c r="BA10" s="855">
        <v>20063359</v>
      </c>
      <c r="BB10" s="760">
        <f t="shared" si="18"/>
        <v>4175.5</v>
      </c>
      <c r="BC10" s="760">
        <f t="shared" si="19"/>
        <v>11401.73</v>
      </c>
      <c r="BD10" s="855">
        <v>1323286</v>
      </c>
      <c r="BE10" s="760">
        <f t="shared" si="20"/>
        <v>0</v>
      </c>
      <c r="BF10" s="855">
        <v>3097877</v>
      </c>
      <c r="BG10" s="760">
        <f t="shared" si="21"/>
        <v>850</v>
      </c>
      <c r="BH10" s="855">
        <v>344070</v>
      </c>
      <c r="BI10" s="760">
        <f t="shared" si="22"/>
        <v>97</v>
      </c>
      <c r="BJ10" s="855">
        <v>389068</v>
      </c>
      <c r="BK10" s="760">
        <f t="shared" si="29"/>
        <v>141</v>
      </c>
      <c r="BL10" s="870">
        <f t="shared" si="26"/>
        <v>22207.106000000007</v>
      </c>
      <c r="BM10" s="871">
        <v>169</v>
      </c>
      <c r="BN10" s="870">
        <f t="shared" si="30"/>
        <v>127.62704597701153</v>
      </c>
      <c r="BO10" s="871"/>
      <c r="BP10" s="870" t="e">
        <f t="shared" si="27"/>
        <v>#DIV/0!</v>
      </c>
      <c r="BQ10" s="870">
        <f>BL10*BS1</f>
        <v>10215.268760000004</v>
      </c>
      <c r="BR10" s="870">
        <f t="shared" si="31"/>
        <v>58.708441149425312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20808904</v>
      </c>
      <c r="J11" s="760">
        <f>IF(I11&gt;=I10,I11-I10,0)</f>
        <v>6554</v>
      </c>
      <c r="K11" s="760">
        <f t="shared" si="0"/>
        <v>4691.1111111110076</v>
      </c>
      <c r="L11" s="480">
        <v>607310</v>
      </c>
      <c r="M11" s="760">
        <f>IF(L11&gt;=L10,L11-L10,0)</f>
        <v>2752.1111111110076</v>
      </c>
      <c r="N11" s="480">
        <v>597385</v>
      </c>
      <c r="O11" s="760">
        <f t="shared" si="2"/>
        <v>1939</v>
      </c>
      <c r="P11" s="480">
        <v>210341</v>
      </c>
      <c r="Q11" s="760">
        <f t="shared" si="3"/>
        <v>690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86451</v>
      </c>
      <c r="W11" s="760">
        <f t="shared" si="4"/>
        <v>146</v>
      </c>
      <c r="X11" s="480">
        <v>161373</v>
      </c>
      <c r="Y11" s="760">
        <f t="shared" si="5"/>
        <v>248</v>
      </c>
      <c r="Z11" s="480">
        <v>315108</v>
      </c>
      <c r="AA11" s="760">
        <f t="shared" si="6"/>
        <v>0</v>
      </c>
      <c r="AB11" s="855">
        <v>643660</v>
      </c>
      <c r="AC11" s="760">
        <f t="shared" si="7"/>
        <v>2553.0100000000002</v>
      </c>
      <c r="AD11" s="480">
        <v>687631</v>
      </c>
      <c r="AE11" s="760">
        <f t="shared" si="8"/>
        <v>0</v>
      </c>
      <c r="AF11" s="480">
        <v>683358</v>
      </c>
      <c r="AG11" s="760">
        <f>IF(AF11&gt;=AF10,AF11-AF10,0)*0.53</f>
        <v>0</v>
      </c>
      <c r="AH11" s="480">
        <v>187017</v>
      </c>
      <c r="AI11" s="760">
        <f t="shared" si="10"/>
        <v>266.59000000000003</v>
      </c>
      <c r="AJ11" s="855">
        <v>147099</v>
      </c>
      <c r="AK11" s="760">
        <f t="shared" si="28"/>
        <v>2355.7439999999938</v>
      </c>
      <c r="AL11" s="760">
        <f t="shared" si="11"/>
        <v>5175.3439999999937</v>
      </c>
      <c r="AM11" s="480">
        <v>6875395</v>
      </c>
      <c r="AN11" s="760">
        <f t="shared" si="12"/>
        <v>1001</v>
      </c>
      <c r="AO11" s="480">
        <v>532049</v>
      </c>
      <c r="AP11" s="760">
        <f t="shared" si="13"/>
        <v>336</v>
      </c>
      <c r="AQ11" s="480">
        <v>875859</v>
      </c>
      <c r="AR11" s="760">
        <f t="shared" si="14"/>
        <v>31.13</v>
      </c>
      <c r="AS11" s="480">
        <v>778425</v>
      </c>
      <c r="AT11" s="760">
        <f t="shared" si="15"/>
        <v>225</v>
      </c>
      <c r="AU11" s="855">
        <v>2138414</v>
      </c>
      <c r="AV11" s="760">
        <f t="shared" si="16"/>
        <v>1096</v>
      </c>
      <c r="AW11" s="855">
        <v>193724</v>
      </c>
      <c r="AX11" s="760">
        <f t="shared" si="25"/>
        <v>66</v>
      </c>
      <c r="AY11" s="855">
        <v>16612663</v>
      </c>
      <c r="AZ11" s="760">
        <f t="shared" si="17"/>
        <v>5579</v>
      </c>
      <c r="BA11" s="480">
        <v>20069667</v>
      </c>
      <c r="BB11" s="760">
        <f t="shared" si="18"/>
        <v>5373.8</v>
      </c>
      <c r="BC11" s="760">
        <f t="shared" si="19"/>
        <v>13707.93</v>
      </c>
      <c r="BD11" s="855">
        <v>1323286</v>
      </c>
      <c r="BE11" s="760">
        <f t="shared" si="20"/>
        <v>0</v>
      </c>
      <c r="BF11" s="480">
        <v>3098999</v>
      </c>
      <c r="BG11" s="760">
        <f t="shared" si="21"/>
        <v>1122</v>
      </c>
      <c r="BH11" s="480">
        <v>344202</v>
      </c>
      <c r="BI11" s="938">
        <f t="shared" si="22"/>
        <v>132</v>
      </c>
      <c r="BJ11" s="480">
        <v>389263</v>
      </c>
      <c r="BK11" s="760">
        <f t="shared" si="29"/>
        <v>195</v>
      </c>
      <c r="BL11" s="870">
        <f t="shared" si="26"/>
        <v>26127.273999999994</v>
      </c>
      <c r="BM11" s="871">
        <v>120</v>
      </c>
      <c r="BN11" s="870">
        <f t="shared" si="30"/>
        <v>154.59925443786977</v>
      </c>
      <c r="BO11" s="871"/>
      <c r="BP11" s="870" t="e">
        <f t="shared" si="27"/>
        <v>#DIV/0!</v>
      </c>
      <c r="BQ11" s="870">
        <f>BL11*BS1</f>
        <v>12018.546039999997</v>
      </c>
      <c r="BR11" s="870">
        <f t="shared" si="31"/>
        <v>71.115657041420107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20815318</v>
      </c>
      <c r="J12" s="760">
        <f>IF(I12&gt;=I11,I12-I11,0)</f>
        <v>6414</v>
      </c>
      <c r="K12" s="760">
        <f t="shared" si="0"/>
        <v>4048.7777777779847</v>
      </c>
      <c r="L12" s="855">
        <v>609511.77777777798</v>
      </c>
      <c r="M12" s="760">
        <f t="shared" si="1"/>
        <v>2201.7777777779847</v>
      </c>
      <c r="N12" s="855">
        <v>599232</v>
      </c>
      <c r="O12" s="760">
        <f>IF(N12&gt;=N11,N12-N11,0)</f>
        <v>1847</v>
      </c>
      <c r="P12" s="855">
        <v>210362</v>
      </c>
      <c r="Q12" s="760">
        <f t="shared" si="3"/>
        <v>630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86595</v>
      </c>
      <c r="W12" s="760">
        <f t="shared" si="4"/>
        <v>144</v>
      </c>
      <c r="X12" s="480">
        <v>161603</v>
      </c>
      <c r="Y12" s="760">
        <f t="shared" si="5"/>
        <v>230</v>
      </c>
      <c r="Z12" s="480">
        <v>315108</v>
      </c>
      <c r="AA12" s="760">
        <f t="shared" si="6"/>
        <v>0</v>
      </c>
      <c r="AB12" s="855">
        <v>643840</v>
      </c>
      <c r="AC12" s="760">
        <f t="shared" si="7"/>
        <v>95.4</v>
      </c>
      <c r="AD12" s="855">
        <v>692317</v>
      </c>
      <c r="AE12" s="760">
        <f t="shared" si="8"/>
        <v>2483.58</v>
      </c>
      <c r="AF12" s="480">
        <v>683358</v>
      </c>
      <c r="AG12" s="760">
        <f t="shared" si="9"/>
        <v>0</v>
      </c>
      <c r="AH12" s="480">
        <v>187554</v>
      </c>
      <c r="AI12" s="760">
        <f t="shared" si="10"/>
        <v>284.61</v>
      </c>
      <c r="AJ12" s="480">
        <v>150840</v>
      </c>
      <c r="AK12" s="760">
        <f t="shared" si="28"/>
        <v>1982.73</v>
      </c>
      <c r="AL12" s="760">
        <f t="shared" si="11"/>
        <v>4846.32</v>
      </c>
      <c r="AM12" s="480">
        <v>6877003</v>
      </c>
      <c r="AN12" s="760">
        <f t="shared" si="12"/>
        <v>1608</v>
      </c>
      <c r="AO12" s="855">
        <v>532361</v>
      </c>
      <c r="AP12" s="760">
        <f t="shared" si="13"/>
        <v>312</v>
      </c>
      <c r="AQ12" s="855">
        <v>876142</v>
      </c>
      <c r="AR12" s="760">
        <f t="shared" si="14"/>
        <v>31.13</v>
      </c>
      <c r="AS12" s="855">
        <v>778675</v>
      </c>
      <c r="AT12" s="760">
        <f t="shared" si="15"/>
        <v>250</v>
      </c>
      <c r="AU12" s="480">
        <v>2139441</v>
      </c>
      <c r="AV12" s="760">
        <f t="shared" si="16"/>
        <v>1027</v>
      </c>
      <c r="AW12" s="855">
        <v>193755</v>
      </c>
      <c r="AX12" s="760">
        <f t="shared" si="25"/>
        <v>31</v>
      </c>
      <c r="AY12" s="480">
        <v>16617848</v>
      </c>
      <c r="AZ12" s="760">
        <f t="shared" si="17"/>
        <v>5185</v>
      </c>
      <c r="BA12" s="855">
        <v>20075991</v>
      </c>
      <c r="BB12" s="760">
        <f t="shared" si="18"/>
        <v>5399.4</v>
      </c>
      <c r="BC12" s="760">
        <f t="shared" si="19"/>
        <v>13843.53</v>
      </c>
      <c r="BD12" s="855">
        <v>1323286</v>
      </c>
      <c r="BE12" s="760">
        <f t="shared" si="20"/>
        <v>0</v>
      </c>
      <c r="BF12" s="855">
        <v>3100115</v>
      </c>
      <c r="BG12" s="760">
        <f t="shared" si="21"/>
        <v>1116</v>
      </c>
      <c r="BH12" s="855">
        <v>344328</v>
      </c>
      <c r="BI12" s="760">
        <f t="shared" si="22"/>
        <v>126</v>
      </c>
      <c r="BJ12" s="855">
        <v>389455</v>
      </c>
      <c r="BK12" s="760">
        <f t="shared" si="29"/>
        <v>192</v>
      </c>
      <c r="BL12" s="870">
        <f t="shared" si="26"/>
        <v>25733.85</v>
      </c>
      <c r="BM12" s="871">
        <v>9</v>
      </c>
      <c r="BN12" s="870">
        <f t="shared" si="30"/>
        <v>214.44874999999999</v>
      </c>
      <c r="BO12" s="871"/>
      <c r="BP12" s="870" t="e">
        <f t="shared" si="27"/>
        <v>#DIV/0!</v>
      </c>
      <c r="BQ12" s="870">
        <f>BL12*BS1</f>
        <v>11837.571</v>
      </c>
      <c r="BR12" s="870">
        <f t="shared" si="31"/>
        <v>98.646424999999994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20822133</v>
      </c>
      <c r="J13" s="760">
        <f t="shared" si="23"/>
        <v>6815</v>
      </c>
      <c r="K13" s="760">
        <f t="shared" si="0"/>
        <v>4255.2222222220153</v>
      </c>
      <c r="L13" s="855">
        <v>611897</v>
      </c>
      <c r="M13" s="760">
        <f t="shared" si="1"/>
        <v>2385.2222222220153</v>
      </c>
      <c r="N13" s="855">
        <v>601102</v>
      </c>
      <c r="O13" s="760">
        <f>IF(N13&gt;=N12,N13-N12,0)</f>
        <v>1870</v>
      </c>
      <c r="P13" s="855">
        <v>210382</v>
      </c>
      <c r="Q13" s="760">
        <f t="shared" si="3"/>
        <v>600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86742</v>
      </c>
      <c r="W13" s="760">
        <f t="shared" si="4"/>
        <v>147</v>
      </c>
      <c r="X13" s="480">
        <v>161849</v>
      </c>
      <c r="Y13" s="760">
        <f t="shared" si="5"/>
        <v>246</v>
      </c>
      <c r="Z13" s="480">
        <v>315108</v>
      </c>
      <c r="AA13" s="760">
        <f t="shared" si="6"/>
        <v>0</v>
      </c>
      <c r="AB13" s="855">
        <v>643840</v>
      </c>
      <c r="AC13" s="760">
        <f t="shared" si="7"/>
        <v>0</v>
      </c>
      <c r="AD13" s="855">
        <v>697690</v>
      </c>
      <c r="AE13" s="760">
        <f t="shared" si="8"/>
        <v>2847.69</v>
      </c>
      <c r="AF13" s="480">
        <v>683358</v>
      </c>
      <c r="AG13" s="760">
        <f t="shared" si="9"/>
        <v>0</v>
      </c>
      <c r="AH13" s="855">
        <v>188198</v>
      </c>
      <c r="AI13" s="760">
        <f t="shared" si="10"/>
        <v>341.32</v>
      </c>
      <c r="AJ13" s="855">
        <v>153795</v>
      </c>
      <c r="AK13" s="760">
        <f t="shared" si="28"/>
        <v>1566.15</v>
      </c>
      <c r="AL13" s="760">
        <f t="shared" si="11"/>
        <v>4755.16</v>
      </c>
      <c r="AM13" s="480">
        <v>6878144</v>
      </c>
      <c r="AN13" s="760">
        <f t="shared" si="12"/>
        <v>1141</v>
      </c>
      <c r="AO13" s="480">
        <v>532713</v>
      </c>
      <c r="AP13" s="760">
        <f t="shared" si="13"/>
        <v>352</v>
      </c>
      <c r="AQ13" s="855">
        <v>876423</v>
      </c>
      <c r="AR13" s="760">
        <f t="shared" si="14"/>
        <v>30.91</v>
      </c>
      <c r="AS13" s="480">
        <v>778920</v>
      </c>
      <c r="AT13" s="760">
        <f t="shared" si="15"/>
        <v>245</v>
      </c>
      <c r="AU13" s="855">
        <v>2140502</v>
      </c>
      <c r="AV13" s="760">
        <f t="shared" si="16"/>
        <v>1061</v>
      </c>
      <c r="AW13" s="480">
        <v>193821</v>
      </c>
      <c r="AX13" s="760">
        <f t="shared" si="25"/>
        <v>66</v>
      </c>
      <c r="AY13" s="855">
        <v>16622926</v>
      </c>
      <c r="AZ13" s="760">
        <f t="shared" si="17"/>
        <v>5078</v>
      </c>
      <c r="BA13" s="855">
        <v>20082441</v>
      </c>
      <c r="BB13" s="760">
        <f t="shared" si="18"/>
        <v>5491.9</v>
      </c>
      <c r="BC13" s="760">
        <f t="shared" si="19"/>
        <v>13465.81</v>
      </c>
      <c r="BD13" s="855">
        <v>1323286</v>
      </c>
      <c r="BE13" s="760">
        <f t="shared" si="20"/>
        <v>0</v>
      </c>
      <c r="BF13" s="855">
        <v>3101276</v>
      </c>
      <c r="BG13" s="760">
        <f t="shared" si="21"/>
        <v>1161</v>
      </c>
      <c r="BH13" s="855">
        <v>344455</v>
      </c>
      <c r="BI13" s="760">
        <f t="shared" si="22"/>
        <v>127</v>
      </c>
      <c r="BJ13" s="480">
        <v>389653</v>
      </c>
      <c r="BK13" s="760">
        <f t="shared" si="29"/>
        <v>198</v>
      </c>
      <c r="BL13" s="870">
        <f t="shared" si="26"/>
        <v>25635.97</v>
      </c>
      <c r="BM13" s="871">
        <v>70</v>
      </c>
      <c r="BN13" s="870">
        <f t="shared" ref="BN13:BN19" si="36">IF(BL13&gt;0,BL13/BM12,0)</f>
        <v>2848.4411111111112</v>
      </c>
      <c r="BO13" s="871"/>
      <c r="BP13" s="870" t="e">
        <f t="shared" si="27"/>
        <v>#DIV/0!</v>
      </c>
      <c r="BQ13" s="870">
        <f>BL13*BS1</f>
        <v>11792.546200000001</v>
      </c>
      <c r="BR13" s="870">
        <f t="shared" si="31"/>
        <v>1310.2829111111112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20827894</v>
      </c>
      <c r="J14" s="760">
        <f t="shared" si="23"/>
        <v>5761</v>
      </c>
      <c r="K14" s="760">
        <f t="shared" si="0"/>
        <v>4085.2222222220153</v>
      </c>
      <c r="L14" s="855">
        <v>614282.22222222202</v>
      </c>
      <c r="M14" s="760">
        <f>IF(L14&gt;=L13,L14-L13,0)</f>
        <v>2385.2222222220153</v>
      </c>
      <c r="N14" s="855">
        <v>602802</v>
      </c>
      <c r="O14" s="760">
        <f t="shared" si="2"/>
        <v>1700</v>
      </c>
      <c r="P14" s="855">
        <v>210400</v>
      </c>
      <c r="Q14" s="760">
        <f t="shared" si="3"/>
        <v>540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86887</v>
      </c>
      <c r="W14" s="760">
        <f t="shared" si="4"/>
        <v>145</v>
      </c>
      <c r="X14" s="480">
        <v>162132</v>
      </c>
      <c r="Y14" s="760">
        <f t="shared" si="5"/>
        <v>283</v>
      </c>
      <c r="Z14" s="480">
        <v>315108</v>
      </c>
      <c r="AA14" s="760">
        <f t="shared" si="6"/>
        <v>0</v>
      </c>
      <c r="AB14" s="855">
        <v>643840</v>
      </c>
      <c r="AC14" s="760">
        <f t="shared" si="7"/>
        <v>0</v>
      </c>
      <c r="AD14" s="855">
        <v>702882</v>
      </c>
      <c r="AE14" s="760">
        <f t="shared" si="8"/>
        <v>2751.76</v>
      </c>
      <c r="AF14" s="480">
        <v>683358</v>
      </c>
      <c r="AG14" s="760">
        <f t="shared" si="9"/>
        <v>0</v>
      </c>
      <c r="AH14" s="480">
        <v>188720</v>
      </c>
      <c r="AI14" s="760">
        <f t="shared" si="10"/>
        <v>276.66000000000003</v>
      </c>
      <c r="AJ14" s="855">
        <v>157997</v>
      </c>
      <c r="AK14" s="760">
        <f t="shared" si="28"/>
        <v>2227.06</v>
      </c>
      <c r="AL14" s="760">
        <f t="shared" si="11"/>
        <v>5255.48</v>
      </c>
      <c r="AM14" s="480">
        <v>6879874</v>
      </c>
      <c r="AN14" s="760">
        <f t="shared" si="12"/>
        <v>1730</v>
      </c>
      <c r="AO14" s="855">
        <v>533058</v>
      </c>
      <c r="AP14" s="760">
        <f t="shared" si="13"/>
        <v>345</v>
      </c>
      <c r="AQ14" s="855">
        <v>876699</v>
      </c>
      <c r="AR14" s="760">
        <f t="shared" si="14"/>
        <v>30.36</v>
      </c>
      <c r="AS14" s="855">
        <v>779120</v>
      </c>
      <c r="AT14" s="760">
        <f t="shared" si="15"/>
        <v>200</v>
      </c>
      <c r="AU14" s="480">
        <v>2141562</v>
      </c>
      <c r="AV14" s="760">
        <f t="shared" si="16"/>
        <v>1060</v>
      </c>
      <c r="AW14" s="855">
        <v>193887</v>
      </c>
      <c r="AX14" s="760">
        <f t="shared" si="25"/>
        <v>66</v>
      </c>
      <c r="AY14" s="855">
        <v>16627590</v>
      </c>
      <c r="AZ14" s="760">
        <f t="shared" si="17"/>
        <v>4664</v>
      </c>
      <c r="BA14" s="855">
        <v>20088839</v>
      </c>
      <c r="BB14" s="760">
        <f t="shared" si="18"/>
        <v>5449</v>
      </c>
      <c r="BC14" s="760">
        <f t="shared" si="19"/>
        <v>13544.36</v>
      </c>
      <c r="BD14" s="855">
        <v>1323286</v>
      </c>
      <c r="BE14" s="760">
        <f t="shared" si="20"/>
        <v>0</v>
      </c>
      <c r="BF14" s="855">
        <v>3102436</v>
      </c>
      <c r="BG14" s="760">
        <f t="shared" si="21"/>
        <v>1160</v>
      </c>
      <c r="BH14" s="855">
        <v>344569</v>
      </c>
      <c r="BI14" s="760">
        <f t="shared" si="22"/>
        <v>114</v>
      </c>
      <c r="BJ14" s="855">
        <v>389849</v>
      </c>
      <c r="BK14" s="760">
        <f t="shared" si="29"/>
        <v>196</v>
      </c>
      <c r="BL14" s="870">
        <f t="shared" si="26"/>
        <v>25100.84</v>
      </c>
      <c r="BM14" s="871">
        <v>89</v>
      </c>
      <c r="BN14" s="870">
        <f t="shared" si="36"/>
        <v>358.58342857142856</v>
      </c>
      <c r="BO14" s="871"/>
      <c r="BP14" s="870" t="e">
        <f t="shared" si="27"/>
        <v>#DIV/0!</v>
      </c>
      <c r="BQ14" s="870">
        <f>BL14*BS1</f>
        <v>11546.386400000001</v>
      </c>
      <c r="BR14" s="870">
        <f t="shared" si="31"/>
        <v>164.94837714285717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20833014</v>
      </c>
      <c r="J15" s="760">
        <f t="shared" si="23"/>
        <v>5120</v>
      </c>
      <c r="K15" s="760">
        <f t="shared" si="0"/>
        <v>2633.7777777779847</v>
      </c>
      <c r="L15" s="855">
        <v>615275</v>
      </c>
      <c r="M15" s="760">
        <f>IF(L15&gt;=L14,L15-L14,0)</f>
        <v>992.77777777798474</v>
      </c>
      <c r="N15" s="855">
        <v>604443</v>
      </c>
      <c r="O15" s="760">
        <f t="shared" si="2"/>
        <v>1641</v>
      </c>
      <c r="P15" s="855">
        <v>210419</v>
      </c>
      <c r="Q15" s="760">
        <f t="shared" si="3"/>
        <v>570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87034</v>
      </c>
      <c r="W15" s="760">
        <f t="shared" si="4"/>
        <v>147</v>
      </c>
      <c r="X15" s="480">
        <v>162413</v>
      </c>
      <c r="Y15" s="760">
        <f t="shared" si="5"/>
        <v>281</v>
      </c>
      <c r="Z15" s="480">
        <v>315108</v>
      </c>
      <c r="AA15" s="760">
        <f t="shared" si="6"/>
        <v>0</v>
      </c>
      <c r="AB15" s="855">
        <v>643840</v>
      </c>
      <c r="AC15" s="760">
        <f t="shared" si="7"/>
        <v>0</v>
      </c>
      <c r="AD15" s="855">
        <v>706833</v>
      </c>
      <c r="AE15" s="760">
        <f t="shared" si="8"/>
        <v>2094.0300000000002</v>
      </c>
      <c r="AF15" s="480">
        <v>683358</v>
      </c>
      <c r="AG15" s="760">
        <f t="shared" si="9"/>
        <v>0</v>
      </c>
      <c r="AH15" s="855">
        <v>189161</v>
      </c>
      <c r="AI15" s="760">
        <f t="shared" si="10"/>
        <v>233.73000000000002</v>
      </c>
      <c r="AJ15" s="480">
        <v>161815</v>
      </c>
      <c r="AK15" s="760">
        <f t="shared" si="28"/>
        <v>2023.5400000000002</v>
      </c>
      <c r="AL15" s="760">
        <f t="shared" si="11"/>
        <v>4351.3</v>
      </c>
      <c r="AM15" s="480">
        <v>6880554</v>
      </c>
      <c r="AN15" s="760">
        <f t="shared" si="12"/>
        <v>680</v>
      </c>
      <c r="AO15" s="480">
        <v>533386</v>
      </c>
      <c r="AP15" s="760">
        <f t="shared" si="13"/>
        <v>328</v>
      </c>
      <c r="AQ15" s="855">
        <v>876984</v>
      </c>
      <c r="AR15" s="760">
        <f t="shared" si="14"/>
        <v>31.35</v>
      </c>
      <c r="AS15" s="480">
        <v>779293</v>
      </c>
      <c r="AT15" s="760">
        <f t="shared" si="15"/>
        <v>173</v>
      </c>
      <c r="AU15" s="855">
        <v>2142191</v>
      </c>
      <c r="AV15" s="760">
        <f t="shared" si="16"/>
        <v>629</v>
      </c>
      <c r="AW15" s="855">
        <v>193954</v>
      </c>
      <c r="AX15" s="760">
        <f t="shared" si="25"/>
        <v>67</v>
      </c>
      <c r="AY15" s="855">
        <v>16632363</v>
      </c>
      <c r="AZ15" s="760">
        <f t="shared" si="17"/>
        <v>4773</v>
      </c>
      <c r="BA15" s="855">
        <v>20095131</v>
      </c>
      <c r="BB15" s="760">
        <f t="shared" si="18"/>
        <v>5381.9</v>
      </c>
      <c r="BC15" s="760">
        <f t="shared" si="19"/>
        <v>12063.25</v>
      </c>
      <c r="BD15" s="855">
        <v>1323286</v>
      </c>
      <c r="BE15" s="760">
        <f t="shared" si="20"/>
        <v>0</v>
      </c>
      <c r="BF15" s="855">
        <v>3103522</v>
      </c>
      <c r="BG15" s="760">
        <f t="shared" si="21"/>
        <v>1086</v>
      </c>
      <c r="BH15" s="855">
        <v>344690</v>
      </c>
      <c r="BI15" s="760">
        <f t="shared" si="22"/>
        <v>121</v>
      </c>
      <c r="BJ15" s="855">
        <v>390047</v>
      </c>
      <c r="BK15" s="760">
        <f t="shared" si="29"/>
        <v>198</v>
      </c>
      <c r="BL15" s="870">
        <f t="shared" si="26"/>
        <v>22104.55</v>
      </c>
      <c r="BM15" s="871">
        <v>101</v>
      </c>
      <c r="BN15" s="870">
        <f t="shared" si="36"/>
        <v>248.36573033707865</v>
      </c>
      <c r="BO15" s="871"/>
      <c r="BP15" s="870" t="e">
        <f t="shared" si="27"/>
        <v>#DIV/0!</v>
      </c>
      <c r="BQ15" s="870">
        <f>BL15*BS1</f>
        <v>10168.093000000001</v>
      </c>
      <c r="BR15" s="870">
        <f t="shared" si="31"/>
        <v>114.24823595505619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20838056</v>
      </c>
      <c r="J16" s="760">
        <f t="shared" si="23"/>
        <v>5042</v>
      </c>
      <c r="K16" s="760">
        <f t="shared" si="0"/>
        <v>3178</v>
      </c>
      <c r="L16" s="855">
        <v>616889</v>
      </c>
      <c r="M16" s="760">
        <f>IF(L16&gt;=L15,L16-L15,0)</f>
        <v>1614</v>
      </c>
      <c r="N16" s="480">
        <v>606007</v>
      </c>
      <c r="O16" s="760">
        <f t="shared" si="2"/>
        <v>1564</v>
      </c>
      <c r="P16" s="855">
        <v>210440</v>
      </c>
      <c r="Q16" s="760">
        <f t="shared" si="3"/>
        <v>630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87188</v>
      </c>
      <c r="W16" s="760">
        <f t="shared" si="4"/>
        <v>154</v>
      </c>
      <c r="X16" s="480">
        <v>162713</v>
      </c>
      <c r="Y16" s="760">
        <f t="shared" si="5"/>
        <v>300</v>
      </c>
      <c r="Z16" s="480">
        <v>315108</v>
      </c>
      <c r="AA16" s="760">
        <f t="shared" si="6"/>
        <v>0</v>
      </c>
      <c r="AB16" s="855">
        <v>643840</v>
      </c>
      <c r="AC16" s="760">
        <f t="shared" si="7"/>
        <v>0</v>
      </c>
      <c r="AD16" s="855">
        <v>712274</v>
      </c>
      <c r="AE16" s="760">
        <f t="shared" si="8"/>
        <v>2883.73</v>
      </c>
      <c r="AF16" s="480">
        <v>683358</v>
      </c>
      <c r="AG16" s="760">
        <f t="shared" si="9"/>
        <v>0</v>
      </c>
      <c r="AH16" s="480">
        <v>189686</v>
      </c>
      <c r="AI16" s="760">
        <f t="shared" si="10"/>
        <v>278.25</v>
      </c>
      <c r="AJ16" s="855">
        <v>166083</v>
      </c>
      <c r="AK16" s="760">
        <f t="shared" si="28"/>
        <v>2262.04</v>
      </c>
      <c r="AL16" s="760">
        <f t="shared" si="11"/>
        <v>5424.02</v>
      </c>
      <c r="AM16" s="904">
        <v>6881180</v>
      </c>
      <c r="AN16" s="760">
        <f t="shared" si="12"/>
        <v>626</v>
      </c>
      <c r="AO16" s="480">
        <v>533764</v>
      </c>
      <c r="AP16" s="760">
        <f t="shared" si="13"/>
        <v>378</v>
      </c>
      <c r="AQ16" s="480">
        <v>877232</v>
      </c>
      <c r="AR16" s="760">
        <f t="shared" si="14"/>
        <v>27.28</v>
      </c>
      <c r="AS16" s="480">
        <v>779468</v>
      </c>
      <c r="AT16" s="760">
        <f t="shared" si="15"/>
        <v>175</v>
      </c>
      <c r="AU16" s="480">
        <v>2142829</v>
      </c>
      <c r="AV16" s="760">
        <f t="shared" si="16"/>
        <v>638</v>
      </c>
      <c r="AW16" s="480">
        <v>194024</v>
      </c>
      <c r="AX16" s="760">
        <f t="shared" si="25"/>
        <v>70</v>
      </c>
      <c r="AY16" s="480">
        <v>16637195</v>
      </c>
      <c r="AZ16" s="760">
        <f t="shared" si="17"/>
        <v>4832</v>
      </c>
      <c r="BA16" s="855">
        <v>20101396</v>
      </c>
      <c r="BB16" s="760">
        <f t="shared" si="18"/>
        <v>5390.4</v>
      </c>
      <c r="BC16" s="760">
        <f t="shared" si="19"/>
        <v>12136.68</v>
      </c>
      <c r="BD16" s="855">
        <v>1323286</v>
      </c>
      <c r="BE16" s="760">
        <f t="shared" si="20"/>
        <v>0</v>
      </c>
      <c r="BF16" s="855">
        <v>3104523</v>
      </c>
      <c r="BG16" s="760">
        <f t="shared" si="21"/>
        <v>1001</v>
      </c>
      <c r="BH16" s="480">
        <v>344820</v>
      </c>
      <c r="BI16" s="760">
        <f t="shared" si="22"/>
        <v>130</v>
      </c>
      <c r="BJ16" s="480">
        <v>390256</v>
      </c>
      <c r="BK16" s="760">
        <f t="shared" si="29"/>
        <v>209</v>
      </c>
      <c r="BL16" s="870">
        <f t="shared" si="26"/>
        <v>23232.7</v>
      </c>
      <c r="BM16" s="871">
        <v>71</v>
      </c>
      <c r="BN16" s="870">
        <f t="shared" si="36"/>
        <v>230.02673267326733</v>
      </c>
      <c r="BO16" s="871"/>
      <c r="BP16" s="870" t="e">
        <f t="shared" si="27"/>
        <v>#DIV/0!</v>
      </c>
      <c r="BQ16" s="870">
        <f>BL16*BS1</f>
        <v>10687.042000000001</v>
      </c>
      <c r="BR16" s="870">
        <f>IF(BQ16&gt;0,BQ16/BM15,0)</f>
        <v>105.81229702970299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20842177</v>
      </c>
      <c r="J17" s="760">
        <f t="shared" si="23"/>
        <v>4121</v>
      </c>
      <c r="K17" s="760">
        <f t="shared" si="0"/>
        <v>1761</v>
      </c>
      <c r="L17" s="480">
        <v>617502</v>
      </c>
      <c r="M17" s="760">
        <f>IF(L17&gt;=L16,L17-L16,0)</f>
        <v>613</v>
      </c>
      <c r="N17" s="480">
        <v>607155</v>
      </c>
      <c r="O17" s="760">
        <f t="shared" si="2"/>
        <v>1148</v>
      </c>
      <c r="P17" s="855">
        <v>210451</v>
      </c>
      <c r="Q17" s="760">
        <f t="shared" si="3"/>
        <v>330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87321</v>
      </c>
      <c r="W17" s="760">
        <f t="shared" si="4"/>
        <v>133</v>
      </c>
      <c r="X17" s="855">
        <v>162956</v>
      </c>
      <c r="Y17" s="760">
        <f t="shared" si="5"/>
        <v>243</v>
      </c>
      <c r="Z17" s="480">
        <v>315108</v>
      </c>
      <c r="AA17" s="760">
        <f t="shared" si="6"/>
        <v>0</v>
      </c>
      <c r="AB17" s="480">
        <v>643840</v>
      </c>
      <c r="AC17" s="760">
        <f t="shared" si="7"/>
        <v>0</v>
      </c>
      <c r="AD17" s="904">
        <v>714100</v>
      </c>
      <c r="AE17" s="760">
        <f t="shared" si="8"/>
        <v>967.78000000000009</v>
      </c>
      <c r="AF17" s="480">
        <v>683358</v>
      </c>
      <c r="AG17" s="760">
        <f t="shared" si="9"/>
        <v>0</v>
      </c>
      <c r="AH17" s="480">
        <v>189860</v>
      </c>
      <c r="AI17" s="760">
        <f t="shared" si="10"/>
        <v>92.22</v>
      </c>
      <c r="AJ17" s="480">
        <v>168505</v>
      </c>
      <c r="AK17" s="760">
        <f t="shared" si="28"/>
        <v>1283.6600000000001</v>
      </c>
      <c r="AL17" s="760">
        <f t="shared" si="11"/>
        <v>2343.66</v>
      </c>
      <c r="AM17" s="480">
        <v>6881580</v>
      </c>
      <c r="AN17" s="760">
        <f t="shared" si="12"/>
        <v>400</v>
      </c>
      <c r="AO17" s="480">
        <v>533911</v>
      </c>
      <c r="AP17" s="760">
        <f t="shared" si="13"/>
        <v>147</v>
      </c>
      <c r="AQ17" s="480">
        <v>877444</v>
      </c>
      <c r="AR17" s="760">
        <f t="shared" si="14"/>
        <v>23.32</v>
      </c>
      <c r="AS17" s="480">
        <v>779632</v>
      </c>
      <c r="AT17" s="760">
        <f t="shared" si="15"/>
        <v>164</v>
      </c>
      <c r="AU17" s="480">
        <v>2143362</v>
      </c>
      <c r="AV17" s="760">
        <f t="shared" si="16"/>
        <v>533</v>
      </c>
      <c r="AW17" s="480">
        <v>194071</v>
      </c>
      <c r="AX17" s="760">
        <f t="shared" si="25"/>
        <v>47</v>
      </c>
      <c r="AY17" s="480">
        <v>16641285</v>
      </c>
      <c r="AZ17" s="760">
        <f t="shared" si="17"/>
        <v>4090</v>
      </c>
      <c r="BA17" s="855">
        <v>20106185</v>
      </c>
      <c r="BB17" s="760">
        <f t="shared" si="18"/>
        <v>4123.2</v>
      </c>
      <c r="BC17" s="760">
        <f t="shared" si="19"/>
        <v>9527.52</v>
      </c>
      <c r="BD17" s="855">
        <v>1323286</v>
      </c>
      <c r="BE17" s="760">
        <f>IF(BD17&gt;=BF16,BD17-BF16,0)</f>
        <v>0</v>
      </c>
      <c r="BF17" s="480">
        <v>3105256</v>
      </c>
      <c r="BG17" s="760">
        <f t="shared" si="21"/>
        <v>733</v>
      </c>
      <c r="BH17" s="480">
        <v>344908</v>
      </c>
      <c r="BI17" s="760">
        <f t="shared" si="22"/>
        <v>88</v>
      </c>
      <c r="BJ17" s="480">
        <v>390438</v>
      </c>
      <c r="BK17" s="760">
        <f t="shared" si="29"/>
        <v>182</v>
      </c>
      <c r="BL17" s="870">
        <f t="shared" si="26"/>
        <v>16322.18</v>
      </c>
      <c r="BM17" s="871">
        <v>89</v>
      </c>
      <c r="BN17" s="870">
        <f t="shared" si="36"/>
        <v>229.88985915492958</v>
      </c>
      <c r="BO17" s="871"/>
      <c r="BP17" s="870" t="e">
        <f t="shared" si="27"/>
        <v>#DIV/0!</v>
      </c>
      <c r="BQ17" s="870">
        <f>BL17*BS1</f>
        <v>7508.2028</v>
      </c>
      <c r="BR17" s="870">
        <f>IF(BQ17&gt;0,BQ17/BM16,0)</f>
        <v>105.74933521126761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>
        <v>20847293</v>
      </c>
      <c r="J18" s="760">
        <f t="shared" si="23"/>
        <v>5116</v>
      </c>
      <c r="K18" s="760">
        <f t="shared" si="0"/>
        <v>3373</v>
      </c>
      <c r="L18" s="855">
        <v>619486</v>
      </c>
      <c r="M18" s="760">
        <f>IF(L18&gt;=L17,L18-L17,0)</f>
        <v>1984</v>
      </c>
      <c r="N18" s="855">
        <v>608544</v>
      </c>
      <c r="O18" s="760">
        <f t="shared" si="2"/>
        <v>1389</v>
      </c>
      <c r="P18" s="855">
        <v>210475</v>
      </c>
      <c r="Q18" s="760">
        <f t="shared" si="3"/>
        <v>720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87474</v>
      </c>
      <c r="W18" s="760">
        <f t="shared" si="4"/>
        <v>153</v>
      </c>
      <c r="X18" s="480">
        <v>163248</v>
      </c>
      <c r="Y18" s="760">
        <f t="shared" si="5"/>
        <v>292</v>
      </c>
      <c r="Z18" s="480">
        <v>315108</v>
      </c>
      <c r="AA18" s="760">
        <f t="shared" si="6"/>
        <v>0</v>
      </c>
      <c r="AB18" s="480">
        <v>643840</v>
      </c>
      <c r="AC18" s="760">
        <f t="shared" si="7"/>
        <v>0</v>
      </c>
      <c r="AD18" s="904">
        <v>716893</v>
      </c>
      <c r="AE18" s="760">
        <f t="shared" si="8"/>
        <v>1480.29</v>
      </c>
      <c r="AF18" s="480">
        <v>683358</v>
      </c>
      <c r="AG18" s="760">
        <f t="shared" si="9"/>
        <v>0</v>
      </c>
      <c r="AH18" s="855">
        <v>190150</v>
      </c>
      <c r="AI18" s="760">
        <f t="shared" si="10"/>
        <v>153.70000000000002</v>
      </c>
      <c r="AJ18" s="480">
        <v>170934</v>
      </c>
      <c r="AK18" s="760">
        <f t="shared" si="28"/>
        <v>1287.3700000000001</v>
      </c>
      <c r="AL18" s="760">
        <f t="shared" si="11"/>
        <v>2921.36</v>
      </c>
      <c r="AM18" s="480">
        <v>6882021</v>
      </c>
      <c r="AN18" s="760">
        <f t="shared" si="12"/>
        <v>441</v>
      </c>
      <c r="AO18" s="855">
        <v>534112</v>
      </c>
      <c r="AP18" s="760">
        <f t="shared" si="13"/>
        <v>201</v>
      </c>
      <c r="AQ18" s="480">
        <v>877675</v>
      </c>
      <c r="AR18" s="760">
        <f t="shared" si="14"/>
        <v>25.41</v>
      </c>
      <c r="AS18" s="480">
        <v>779790</v>
      </c>
      <c r="AT18" s="760">
        <f t="shared" si="15"/>
        <v>158</v>
      </c>
      <c r="AU18" s="855">
        <v>2143909</v>
      </c>
      <c r="AV18" s="760">
        <f t="shared" si="16"/>
        <v>547</v>
      </c>
      <c r="AW18" s="855">
        <v>194134</v>
      </c>
      <c r="AX18" s="760">
        <f t="shared" si="25"/>
        <v>63</v>
      </c>
      <c r="AY18" s="855">
        <v>16645536</v>
      </c>
      <c r="AZ18" s="760">
        <f t="shared" si="17"/>
        <v>4251</v>
      </c>
      <c r="BA18" s="855">
        <v>20111566</v>
      </c>
      <c r="BB18" s="760">
        <f t="shared" si="18"/>
        <v>4555.2</v>
      </c>
      <c r="BC18" s="760">
        <f t="shared" si="19"/>
        <v>10241.61</v>
      </c>
      <c r="BD18" s="855">
        <v>1323286</v>
      </c>
      <c r="BE18" s="760">
        <f t="shared" si="20"/>
        <v>0</v>
      </c>
      <c r="BF18" s="480">
        <v>3106194</v>
      </c>
      <c r="BG18" s="760">
        <f t="shared" si="21"/>
        <v>938</v>
      </c>
      <c r="BH18" s="480">
        <v>345034</v>
      </c>
      <c r="BI18" s="760">
        <f t="shared" si="22"/>
        <v>126</v>
      </c>
      <c r="BJ18" s="480">
        <v>390638</v>
      </c>
      <c r="BK18" s="760">
        <f t="shared" si="29"/>
        <v>200</v>
      </c>
      <c r="BL18" s="870">
        <f t="shared" si="26"/>
        <v>18998.97</v>
      </c>
      <c r="BM18" s="871">
        <v>83</v>
      </c>
      <c r="BN18" s="870">
        <f t="shared" si="36"/>
        <v>213.47157303370787</v>
      </c>
      <c r="BO18" s="871"/>
      <c r="BP18" s="870" t="e">
        <f t="shared" si="27"/>
        <v>#DIV/0!</v>
      </c>
      <c r="BQ18" s="870">
        <f>BL18*BS1</f>
        <v>8739.5262000000002</v>
      </c>
      <c r="BR18" s="870">
        <f>IF(BQ18&gt;0,BQ18/BM17,0)</f>
        <v>98.196923595505623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20852112</v>
      </c>
      <c r="J19" s="760">
        <f t="shared" si="23"/>
        <v>4819</v>
      </c>
      <c r="K19" s="760">
        <f t="shared" si="0"/>
        <v>3094</v>
      </c>
      <c r="L19" s="855">
        <v>621256</v>
      </c>
      <c r="M19" s="760">
        <f t="shared" si="1"/>
        <v>1770</v>
      </c>
      <c r="N19" s="855">
        <v>609868</v>
      </c>
      <c r="O19" s="760">
        <f t="shared" si="2"/>
        <v>1324</v>
      </c>
      <c r="P19" s="855">
        <v>210492</v>
      </c>
      <c r="Q19" s="760">
        <f t="shared" ref="Q19:Q36" si="37">IF(P19&gt;=P18,P19-P18,0)*30</f>
        <v>510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87618</v>
      </c>
      <c r="W19" s="760">
        <f t="shared" si="4"/>
        <v>144</v>
      </c>
      <c r="X19" s="480">
        <v>163525</v>
      </c>
      <c r="Y19" s="760">
        <f t="shared" si="5"/>
        <v>277</v>
      </c>
      <c r="Z19" s="480">
        <v>315108</v>
      </c>
      <c r="AA19" s="760">
        <f t="shared" si="6"/>
        <v>0</v>
      </c>
      <c r="AB19" s="480">
        <v>643840</v>
      </c>
      <c r="AC19" s="760">
        <f t="shared" si="7"/>
        <v>0</v>
      </c>
      <c r="AD19" s="855">
        <v>716893</v>
      </c>
      <c r="AE19" s="760">
        <f t="shared" si="8"/>
        <v>0</v>
      </c>
      <c r="AF19" s="480">
        <v>687545</v>
      </c>
      <c r="AG19" s="760">
        <f t="shared" si="9"/>
        <v>2219.11</v>
      </c>
      <c r="AH19" s="855">
        <v>190519</v>
      </c>
      <c r="AI19" s="760">
        <f t="shared" si="10"/>
        <v>195.57000000000002</v>
      </c>
      <c r="AJ19" s="480">
        <v>174602</v>
      </c>
      <c r="AK19" s="760">
        <f t="shared" si="28"/>
        <v>1944.0400000000002</v>
      </c>
      <c r="AL19" s="760">
        <f t="shared" si="11"/>
        <v>4358.72</v>
      </c>
      <c r="AM19" s="904">
        <v>6882740</v>
      </c>
      <c r="AN19" s="760">
        <f t="shared" si="12"/>
        <v>719</v>
      </c>
      <c r="AO19" s="480">
        <v>534402</v>
      </c>
      <c r="AP19" s="760">
        <f t="shared" si="13"/>
        <v>290</v>
      </c>
      <c r="AQ19" s="855">
        <v>877923</v>
      </c>
      <c r="AR19" s="760">
        <f t="shared" si="14"/>
        <v>27.28</v>
      </c>
      <c r="AS19" s="480">
        <v>779948</v>
      </c>
      <c r="AT19" s="760">
        <f t="shared" si="15"/>
        <v>158</v>
      </c>
      <c r="AU19" s="855">
        <v>2144468</v>
      </c>
      <c r="AV19" s="760">
        <f t="shared" si="16"/>
        <v>559</v>
      </c>
      <c r="AW19" s="480">
        <v>194189</v>
      </c>
      <c r="AX19" s="760">
        <f t="shared" ref="AX19:AX36" si="40">IF(AW19&gt;=AW18,AW19-AW18,0)</f>
        <v>55</v>
      </c>
      <c r="AY19" s="855">
        <v>16650238</v>
      </c>
      <c r="AZ19" s="760">
        <f t="shared" si="17"/>
        <v>4702</v>
      </c>
      <c r="BA19" s="855">
        <v>20117033</v>
      </c>
      <c r="BB19" s="760">
        <f t="shared" si="18"/>
        <v>4631.2</v>
      </c>
      <c r="BC19" s="760">
        <f t="shared" si="19"/>
        <v>11141.48</v>
      </c>
      <c r="BD19" s="855">
        <v>1323286</v>
      </c>
      <c r="BE19" s="760">
        <f t="shared" si="20"/>
        <v>0</v>
      </c>
      <c r="BF19" s="480">
        <v>3107157</v>
      </c>
      <c r="BG19" s="760">
        <f t="shared" si="21"/>
        <v>963</v>
      </c>
      <c r="BH19" s="904">
        <v>345162</v>
      </c>
      <c r="BI19" s="760">
        <f t="shared" si="22"/>
        <v>128</v>
      </c>
      <c r="BJ19" s="855">
        <v>390832</v>
      </c>
      <c r="BK19" s="760">
        <f t="shared" si="29"/>
        <v>194</v>
      </c>
      <c r="BL19" s="870">
        <f t="shared" si="26"/>
        <v>20829.2</v>
      </c>
      <c r="BM19" s="904">
        <v>82</v>
      </c>
      <c r="BN19" s="870">
        <f t="shared" si="36"/>
        <v>250.95421686746988</v>
      </c>
      <c r="BO19" s="871"/>
      <c r="BP19" s="870" t="e">
        <f t="shared" si="27"/>
        <v>#DIV/0!</v>
      </c>
      <c r="BQ19" s="870">
        <f>BL19*BS1</f>
        <v>9581.4320000000007</v>
      </c>
      <c r="BR19" s="870">
        <f>IF(BQ19&gt;0,BQ19/BM18,0)</f>
        <v>115.43893975903616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20857632</v>
      </c>
      <c r="J20" s="760">
        <f t="shared" si="23"/>
        <v>5520</v>
      </c>
      <c r="K20" s="760">
        <f t="shared" si="0"/>
        <v>3435</v>
      </c>
      <c r="L20" s="855">
        <v>623127</v>
      </c>
      <c r="M20" s="760">
        <f t="shared" si="1"/>
        <v>1871</v>
      </c>
      <c r="N20" s="480">
        <v>611432</v>
      </c>
      <c r="O20" s="760">
        <f t="shared" si="2"/>
        <v>1564</v>
      </c>
      <c r="P20" s="855">
        <v>210510</v>
      </c>
      <c r="Q20" s="760">
        <f t="shared" si="37"/>
        <v>540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87773</v>
      </c>
      <c r="W20" s="760">
        <f t="shared" si="4"/>
        <v>155</v>
      </c>
      <c r="X20" s="480">
        <v>163827</v>
      </c>
      <c r="Y20" s="760">
        <f t="shared" si="5"/>
        <v>302</v>
      </c>
      <c r="Z20" s="480">
        <v>315108</v>
      </c>
      <c r="AA20" s="760">
        <f t="shared" si="6"/>
        <v>0</v>
      </c>
      <c r="AB20" s="480">
        <v>643840</v>
      </c>
      <c r="AC20" s="760">
        <f t="shared" si="7"/>
        <v>0</v>
      </c>
      <c r="AD20" s="855">
        <v>716893</v>
      </c>
      <c r="AE20" s="760">
        <f t="shared" si="8"/>
        <v>0</v>
      </c>
      <c r="AF20" s="480">
        <v>692402</v>
      </c>
      <c r="AG20" s="760">
        <f t="shared" si="9"/>
        <v>2574.21</v>
      </c>
      <c r="AH20" s="480">
        <v>191047</v>
      </c>
      <c r="AI20" s="760">
        <f t="shared" si="10"/>
        <v>279.84000000000003</v>
      </c>
      <c r="AJ20" s="480">
        <v>178719</v>
      </c>
      <c r="AK20" s="760">
        <f t="shared" si="28"/>
        <v>2182.0100000000002</v>
      </c>
      <c r="AL20" s="760">
        <f t="shared" si="11"/>
        <v>5036.0600000000004</v>
      </c>
      <c r="AM20" s="480">
        <v>6883588</v>
      </c>
      <c r="AN20" s="760">
        <f t="shared" si="12"/>
        <v>848</v>
      </c>
      <c r="AO20" s="480">
        <v>534671</v>
      </c>
      <c r="AP20" s="760">
        <f t="shared" si="13"/>
        <v>269</v>
      </c>
      <c r="AQ20" s="480">
        <v>878178</v>
      </c>
      <c r="AR20" s="760">
        <f t="shared" si="14"/>
        <v>28.05</v>
      </c>
      <c r="AS20" s="480">
        <v>780100</v>
      </c>
      <c r="AT20" s="760">
        <f t="shared" si="15"/>
        <v>152</v>
      </c>
      <c r="AU20" s="480">
        <v>2145083</v>
      </c>
      <c r="AV20" s="760">
        <f t="shared" si="16"/>
        <v>615</v>
      </c>
      <c r="AW20" s="480">
        <v>194246</v>
      </c>
      <c r="AX20" s="760">
        <f t="shared" si="40"/>
        <v>57</v>
      </c>
      <c r="AY20" s="480">
        <v>16654965</v>
      </c>
      <c r="AZ20" s="760">
        <f t="shared" si="17"/>
        <v>4727</v>
      </c>
      <c r="BA20" s="855">
        <v>20123080</v>
      </c>
      <c r="BB20" s="760">
        <f t="shared" si="18"/>
        <v>5152.2</v>
      </c>
      <c r="BC20" s="760">
        <f t="shared" si="19"/>
        <v>11848.25</v>
      </c>
      <c r="BD20" s="855">
        <v>1323286</v>
      </c>
      <c r="BE20" s="760">
        <f t="shared" si="20"/>
        <v>0</v>
      </c>
      <c r="BF20" s="480">
        <v>3108200</v>
      </c>
      <c r="BG20" s="760">
        <f t="shared" si="21"/>
        <v>1043</v>
      </c>
      <c r="BH20" s="480">
        <v>345280</v>
      </c>
      <c r="BI20" s="760">
        <f t="shared" si="22"/>
        <v>118</v>
      </c>
      <c r="BJ20" s="480">
        <v>391042</v>
      </c>
      <c r="BK20" s="760">
        <f t="shared" si="29"/>
        <v>210</v>
      </c>
      <c r="BL20" s="870">
        <f t="shared" si="26"/>
        <v>22944.31</v>
      </c>
      <c r="BM20" s="871">
        <v>58</v>
      </c>
      <c r="BN20" s="870">
        <f t="shared" ref="BN20:BN36" si="41">IF(BL20&gt;0,BL20/BM20,0)</f>
        <v>395.59155172413796</v>
      </c>
      <c r="BO20" s="871"/>
      <c r="BP20" s="870" t="e">
        <f t="shared" si="27"/>
        <v>#DIV/0!</v>
      </c>
      <c r="BQ20" s="870">
        <f>BL20*BS1</f>
        <v>10554.382600000001</v>
      </c>
      <c r="BR20" s="870">
        <f t="shared" ref="BR20:BR36" si="42">IF(BQ20&gt;0,BQ20/BM20,0)</f>
        <v>181.97211379310346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5">
        <v>20861938</v>
      </c>
      <c r="J21" s="760">
        <f t="shared" si="23"/>
        <v>4306</v>
      </c>
      <c r="K21" s="760">
        <f t="shared" si="0"/>
        <v>2846</v>
      </c>
      <c r="L21" s="480">
        <v>624607</v>
      </c>
      <c r="M21" s="760">
        <f t="shared" si="1"/>
        <v>1480</v>
      </c>
      <c r="N21" s="480">
        <v>612798</v>
      </c>
      <c r="O21" s="760">
        <f t="shared" si="2"/>
        <v>1366</v>
      </c>
      <c r="P21" s="855">
        <v>210525</v>
      </c>
      <c r="Q21" s="760">
        <f t="shared" si="37"/>
        <v>450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87904</v>
      </c>
      <c r="W21" s="760">
        <f t="shared" ref="W21:W36" si="43">IF(V21&gt;=V20,V21-V20,0)</f>
        <v>131</v>
      </c>
      <c r="X21" s="855">
        <v>164086</v>
      </c>
      <c r="Y21" s="760">
        <f t="shared" si="5"/>
        <v>259</v>
      </c>
      <c r="Z21" s="480">
        <v>315108</v>
      </c>
      <c r="AA21" s="760">
        <f t="shared" si="6"/>
        <v>0</v>
      </c>
      <c r="AB21" s="855">
        <v>643840</v>
      </c>
      <c r="AC21" s="760">
        <f>IF(AB21&gt;=AB20,AB21-AB20,0)*0.53</f>
        <v>0</v>
      </c>
      <c r="AD21" s="855">
        <v>716893</v>
      </c>
      <c r="AE21" s="760">
        <f t="shared" si="8"/>
        <v>0</v>
      </c>
      <c r="AF21" s="480">
        <v>696766</v>
      </c>
      <c r="AG21" s="760">
        <f t="shared" si="9"/>
        <v>2312.92</v>
      </c>
      <c r="AH21" s="480">
        <v>191440</v>
      </c>
      <c r="AI21" s="760">
        <f t="shared" si="10"/>
        <v>208.29000000000002</v>
      </c>
      <c r="AJ21" s="480">
        <v>182239</v>
      </c>
      <c r="AK21" s="760">
        <f t="shared" si="28"/>
        <v>1865.6000000000001</v>
      </c>
      <c r="AL21" s="760">
        <f t="shared" si="11"/>
        <v>4386.8100000000004</v>
      </c>
      <c r="AM21" s="480">
        <v>6883693</v>
      </c>
      <c r="AN21" s="760">
        <f t="shared" si="12"/>
        <v>105</v>
      </c>
      <c r="AO21" s="480">
        <v>534892</v>
      </c>
      <c r="AP21" s="760">
        <f t="shared" si="13"/>
        <v>221</v>
      </c>
      <c r="AQ21" s="480">
        <v>878377</v>
      </c>
      <c r="AR21" s="760">
        <f t="shared" si="14"/>
        <v>21.89</v>
      </c>
      <c r="AS21" s="480">
        <v>780240</v>
      </c>
      <c r="AT21" s="760">
        <f t="shared" si="15"/>
        <v>140</v>
      </c>
      <c r="AU21" s="480">
        <v>2145649</v>
      </c>
      <c r="AV21" s="760">
        <f t="shared" si="16"/>
        <v>566</v>
      </c>
      <c r="AW21" s="855">
        <v>194251</v>
      </c>
      <c r="AX21" s="760">
        <f t="shared" si="40"/>
        <v>5</v>
      </c>
      <c r="AY21" s="855">
        <v>16659028</v>
      </c>
      <c r="AZ21" s="760">
        <f t="shared" si="17"/>
        <v>4063</v>
      </c>
      <c r="BA21" s="855">
        <v>20128208</v>
      </c>
      <c r="BB21" s="760">
        <f t="shared" si="18"/>
        <v>4346.3999999999996</v>
      </c>
      <c r="BC21" s="760">
        <f t="shared" si="19"/>
        <v>9468.2899999999991</v>
      </c>
      <c r="BD21" s="855">
        <v>1323286</v>
      </c>
      <c r="BE21" s="760">
        <f t="shared" si="20"/>
        <v>0</v>
      </c>
      <c r="BF21" s="480">
        <v>3109116</v>
      </c>
      <c r="BG21" s="760">
        <f t="shared" si="21"/>
        <v>916</v>
      </c>
      <c r="BH21" s="480">
        <v>345390</v>
      </c>
      <c r="BI21" s="760">
        <f t="shared" si="22"/>
        <v>110</v>
      </c>
      <c r="BJ21" s="480">
        <v>391219</v>
      </c>
      <c r="BK21" s="760">
        <f t="shared" si="29"/>
        <v>177</v>
      </c>
      <c r="BL21" s="870">
        <f t="shared" si="26"/>
        <v>18611.099999999999</v>
      </c>
      <c r="BM21" s="871">
        <v>12</v>
      </c>
      <c r="BN21" s="870">
        <f t="shared" si="41"/>
        <v>1550.925</v>
      </c>
      <c r="BO21" s="871"/>
      <c r="BP21" s="870" t="e">
        <f t="shared" si="27"/>
        <v>#DIV/0!</v>
      </c>
      <c r="BQ21" s="870">
        <f>BL21*BS1</f>
        <v>8561.1059999999998</v>
      </c>
      <c r="BR21" s="870">
        <f t="shared" si="42"/>
        <v>713.42549999999994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20868232</v>
      </c>
      <c r="J22" s="760">
        <f t="shared" si="23"/>
        <v>6294</v>
      </c>
      <c r="K22" s="760">
        <f t="shared" si="0"/>
        <v>3971</v>
      </c>
      <c r="L22" s="855">
        <v>626844</v>
      </c>
      <c r="M22" s="760">
        <f t="shared" si="1"/>
        <v>2237</v>
      </c>
      <c r="N22" s="480">
        <v>614532</v>
      </c>
      <c r="O22" s="760">
        <f t="shared" si="2"/>
        <v>1734</v>
      </c>
      <c r="P22" s="855">
        <v>210546</v>
      </c>
      <c r="Q22" s="760">
        <f t="shared" si="37"/>
        <v>630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88072</v>
      </c>
      <c r="W22" s="760">
        <f t="shared" si="43"/>
        <v>168</v>
      </c>
      <c r="X22" s="480">
        <v>164415</v>
      </c>
      <c r="Y22" s="760">
        <f t="shared" si="5"/>
        <v>329</v>
      </c>
      <c r="Z22" s="480">
        <v>315108</v>
      </c>
      <c r="AA22" s="760">
        <f t="shared" si="6"/>
        <v>0</v>
      </c>
      <c r="AB22" s="855">
        <v>643840</v>
      </c>
      <c r="AC22" s="760">
        <f>IF(AB22&gt;=AB21,AB22-AB21,0)*0.53</f>
        <v>0</v>
      </c>
      <c r="AD22" s="904">
        <v>716893</v>
      </c>
      <c r="AE22" s="760">
        <f t="shared" si="8"/>
        <v>0</v>
      </c>
      <c r="AF22" s="480">
        <v>699008</v>
      </c>
      <c r="AG22" s="760">
        <f t="shared" si="9"/>
        <v>1188.26</v>
      </c>
      <c r="AH22" s="855">
        <v>191701</v>
      </c>
      <c r="AI22" s="760">
        <f t="shared" si="10"/>
        <v>138.33000000000001</v>
      </c>
      <c r="AJ22" s="855">
        <v>186025</v>
      </c>
      <c r="AK22" s="760">
        <f t="shared" si="28"/>
        <v>2006.5800000000002</v>
      </c>
      <c r="AL22" s="760">
        <f t="shared" si="11"/>
        <v>3333.17</v>
      </c>
      <c r="AM22" s="480">
        <v>6883731</v>
      </c>
      <c r="AN22" s="760">
        <f t="shared" si="12"/>
        <v>38</v>
      </c>
      <c r="AO22" s="480">
        <v>535208</v>
      </c>
      <c r="AP22" s="760">
        <f t="shared" si="13"/>
        <v>316</v>
      </c>
      <c r="AQ22" s="480">
        <v>878596</v>
      </c>
      <c r="AR22" s="760">
        <f t="shared" si="14"/>
        <v>24.09</v>
      </c>
      <c r="AS22" s="480">
        <v>780477</v>
      </c>
      <c r="AT22" s="760">
        <f t="shared" si="15"/>
        <v>237</v>
      </c>
      <c r="AU22" s="480">
        <v>2146312</v>
      </c>
      <c r="AV22" s="760">
        <f t="shared" si="16"/>
        <v>663</v>
      </c>
      <c r="AW22" s="480">
        <v>194300</v>
      </c>
      <c r="AX22" s="760">
        <f t="shared" si="40"/>
        <v>49</v>
      </c>
      <c r="AY22" s="855">
        <v>16663184</v>
      </c>
      <c r="AZ22" s="760">
        <f t="shared" si="17"/>
        <v>4156</v>
      </c>
      <c r="BA22" s="855">
        <v>20134116</v>
      </c>
      <c r="BB22" s="760">
        <f t="shared" si="18"/>
        <v>5062.3999999999996</v>
      </c>
      <c r="BC22" s="760">
        <f t="shared" si="19"/>
        <v>10545.49</v>
      </c>
      <c r="BD22" s="855">
        <v>1323286</v>
      </c>
      <c r="BE22" s="760">
        <f t="shared" si="20"/>
        <v>0</v>
      </c>
      <c r="BF22" s="480">
        <v>3110057</v>
      </c>
      <c r="BG22" s="760">
        <f t="shared" si="21"/>
        <v>941</v>
      </c>
      <c r="BH22" s="480">
        <v>345514</v>
      </c>
      <c r="BI22" s="760">
        <f t="shared" si="22"/>
        <v>124</v>
      </c>
      <c r="BJ22" s="855">
        <v>391438</v>
      </c>
      <c r="BK22" s="760">
        <f t="shared" si="29"/>
        <v>219</v>
      </c>
      <c r="BL22" s="870">
        <f t="shared" si="26"/>
        <v>20802.66</v>
      </c>
      <c r="BM22" s="871">
        <v>38</v>
      </c>
      <c r="BN22" s="870">
        <f t="shared" si="41"/>
        <v>547.43842105263161</v>
      </c>
      <c r="BO22" s="871"/>
      <c r="BP22" s="870" t="e">
        <f t="shared" si="27"/>
        <v>#DIV/0!</v>
      </c>
      <c r="BQ22" s="870">
        <f>BL22*BS1</f>
        <v>9569.2236000000012</v>
      </c>
      <c r="BR22" s="870">
        <f t="shared" si="42"/>
        <v>251.82167368421057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20871524</v>
      </c>
      <c r="J23" s="760">
        <f t="shared" si="23"/>
        <v>3292</v>
      </c>
      <c r="K23" s="760">
        <f t="shared" si="0"/>
        <v>3023</v>
      </c>
      <c r="L23" s="480">
        <v>628133</v>
      </c>
      <c r="M23" s="760">
        <f t="shared" si="1"/>
        <v>1289</v>
      </c>
      <c r="N23" s="480">
        <v>616266</v>
      </c>
      <c r="O23" s="760">
        <f t="shared" si="2"/>
        <v>1734</v>
      </c>
      <c r="P23" s="855">
        <v>210561</v>
      </c>
      <c r="Q23" s="760">
        <f t="shared" si="37"/>
        <v>450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88203</v>
      </c>
      <c r="W23" s="760">
        <f t="shared" si="43"/>
        <v>131</v>
      </c>
      <c r="X23" s="480">
        <v>164669</v>
      </c>
      <c r="Y23" s="760">
        <f t="shared" si="5"/>
        <v>254</v>
      </c>
      <c r="Z23" s="480">
        <v>315108</v>
      </c>
      <c r="AA23" s="760">
        <f t="shared" si="6"/>
        <v>0</v>
      </c>
      <c r="AB23" s="480">
        <v>643840</v>
      </c>
      <c r="AC23" s="760">
        <f>IF(AB23&gt;=AB22,AB23-AB22,0)*0.53</f>
        <v>0</v>
      </c>
      <c r="AD23" s="904">
        <v>716893</v>
      </c>
      <c r="AE23" s="760">
        <f t="shared" si="8"/>
        <v>0</v>
      </c>
      <c r="AF23" s="480">
        <v>701506</v>
      </c>
      <c r="AG23" s="760">
        <f t="shared" si="9"/>
        <v>1323.94</v>
      </c>
      <c r="AH23" s="480">
        <v>191980</v>
      </c>
      <c r="AI23" s="760">
        <f t="shared" si="10"/>
        <v>147.87</v>
      </c>
      <c r="AJ23" s="480">
        <v>188543</v>
      </c>
      <c r="AK23" s="760">
        <f t="shared" si="28"/>
        <v>1334.54</v>
      </c>
      <c r="AL23" s="760">
        <f t="shared" si="11"/>
        <v>2806.35</v>
      </c>
      <c r="AM23" s="480">
        <v>6883768</v>
      </c>
      <c r="AN23" s="760">
        <f t="shared" si="12"/>
        <v>37</v>
      </c>
      <c r="AO23" s="480">
        <v>535430</v>
      </c>
      <c r="AP23" s="760">
        <f t="shared" si="13"/>
        <v>222</v>
      </c>
      <c r="AQ23" s="480">
        <v>878768</v>
      </c>
      <c r="AR23" s="760">
        <f t="shared" si="14"/>
        <v>18.920000000000002</v>
      </c>
      <c r="AS23" s="480">
        <v>780578</v>
      </c>
      <c r="AT23" s="760">
        <f t="shared" si="15"/>
        <v>101</v>
      </c>
      <c r="AU23" s="480">
        <v>2146794</v>
      </c>
      <c r="AV23" s="760">
        <f t="shared" si="16"/>
        <v>482</v>
      </c>
      <c r="AW23" s="855">
        <v>194346</v>
      </c>
      <c r="AX23" s="760">
        <f t="shared" si="40"/>
        <v>46</v>
      </c>
      <c r="AY23" s="855">
        <v>16667365</v>
      </c>
      <c r="AZ23" s="760">
        <f t="shared" si="17"/>
        <v>4181</v>
      </c>
      <c r="BA23" s="855">
        <v>20139209</v>
      </c>
      <c r="BB23" s="760">
        <f t="shared" si="18"/>
        <v>4348</v>
      </c>
      <c r="BC23" s="760">
        <f t="shared" si="19"/>
        <v>9435.92</v>
      </c>
      <c r="BD23" s="855">
        <v>1323286</v>
      </c>
      <c r="BE23" s="760">
        <f t="shared" si="20"/>
        <v>0</v>
      </c>
      <c r="BF23" s="480">
        <v>3110872</v>
      </c>
      <c r="BG23" s="760">
        <f t="shared" si="21"/>
        <v>815</v>
      </c>
      <c r="BH23" s="480">
        <v>345638</v>
      </c>
      <c r="BI23" s="760">
        <f t="shared" si="22"/>
        <v>124</v>
      </c>
      <c r="BJ23" s="855">
        <v>391632</v>
      </c>
      <c r="BK23" s="760">
        <f t="shared" si="29"/>
        <v>194</v>
      </c>
      <c r="BL23" s="870">
        <f t="shared" si="26"/>
        <v>15984.27</v>
      </c>
      <c r="BM23" s="871">
        <v>25</v>
      </c>
      <c r="BN23" s="870">
        <f t="shared" si="41"/>
        <v>639.37080000000003</v>
      </c>
      <c r="BO23" s="871"/>
      <c r="BP23" s="870" t="e">
        <f t="shared" si="27"/>
        <v>#DIV/0!</v>
      </c>
      <c r="BQ23" s="870">
        <f>BL23*BS1</f>
        <v>7352.7642000000005</v>
      </c>
      <c r="BR23" s="870">
        <f t="shared" si="42"/>
        <v>294.110568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855">
        <v>20875413</v>
      </c>
      <c r="J24" s="760">
        <f t="shared" si="23"/>
        <v>3889</v>
      </c>
      <c r="K24" s="760">
        <f t="shared" si="0"/>
        <v>2327</v>
      </c>
      <c r="L24" s="480">
        <v>629802</v>
      </c>
      <c r="M24" s="760">
        <f t="shared" si="1"/>
        <v>1669</v>
      </c>
      <c r="N24" s="855">
        <v>616924</v>
      </c>
      <c r="O24" s="760">
        <f t="shared" si="2"/>
        <v>658</v>
      </c>
      <c r="P24" s="855">
        <v>210578</v>
      </c>
      <c r="Q24" s="760">
        <f>IF(P24&gt;=P23,P24-P23,0)*30</f>
        <v>510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88350</v>
      </c>
      <c r="W24" s="760">
        <f t="shared" si="43"/>
        <v>147</v>
      </c>
      <c r="X24" s="480">
        <v>164955</v>
      </c>
      <c r="Y24" s="760">
        <f t="shared" si="5"/>
        <v>286</v>
      </c>
      <c r="Z24" s="480">
        <v>315108</v>
      </c>
      <c r="AA24" s="760">
        <f t="shared" si="6"/>
        <v>0</v>
      </c>
      <c r="AB24" s="480">
        <v>646476</v>
      </c>
      <c r="AC24" s="760">
        <f t="shared" si="7"/>
        <v>1397.0800000000002</v>
      </c>
      <c r="AD24" s="480">
        <v>716893</v>
      </c>
      <c r="AE24" s="760">
        <f t="shared" si="8"/>
        <v>0</v>
      </c>
      <c r="AF24" s="480">
        <v>701506</v>
      </c>
      <c r="AG24" s="760">
        <f t="shared" si="9"/>
        <v>0</v>
      </c>
      <c r="AH24" s="480">
        <v>192332</v>
      </c>
      <c r="AI24" s="760">
        <f t="shared" si="10"/>
        <v>186.56</v>
      </c>
      <c r="AJ24" s="480">
        <v>192655</v>
      </c>
      <c r="AK24" s="760">
        <f t="shared" si="28"/>
        <v>2179.36</v>
      </c>
      <c r="AL24" s="760">
        <f t="shared" si="11"/>
        <v>3763</v>
      </c>
      <c r="AM24" s="480">
        <v>6883796</v>
      </c>
      <c r="AN24" s="760">
        <f t="shared" si="12"/>
        <v>28</v>
      </c>
      <c r="AO24" s="480">
        <v>535592</v>
      </c>
      <c r="AP24" s="760">
        <f t="shared" si="13"/>
        <v>162</v>
      </c>
      <c r="AQ24" s="480">
        <v>878960</v>
      </c>
      <c r="AR24" s="760">
        <f t="shared" si="14"/>
        <v>21.12</v>
      </c>
      <c r="AS24" s="480">
        <v>780721</v>
      </c>
      <c r="AT24" s="760">
        <f t="shared" si="15"/>
        <v>143</v>
      </c>
      <c r="AU24" s="480">
        <v>2147433</v>
      </c>
      <c r="AV24" s="760">
        <f t="shared" si="16"/>
        <v>639</v>
      </c>
      <c r="AW24" s="480">
        <v>194380</v>
      </c>
      <c r="AX24" s="760">
        <f t="shared" si="40"/>
        <v>34</v>
      </c>
      <c r="AY24" s="480">
        <v>16670924</v>
      </c>
      <c r="AZ24" s="760">
        <f t="shared" si="17"/>
        <v>3559</v>
      </c>
      <c r="BA24" s="855">
        <v>20144408</v>
      </c>
      <c r="BB24" s="760">
        <f t="shared" si="18"/>
        <v>4409.7</v>
      </c>
      <c r="BC24" s="760">
        <f t="shared" si="19"/>
        <v>8995.82</v>
      </c>
      <c r="BD24" s="855">
        <v>1323286</v>
      </c>
      <c r="BE24" s="760">
        <f t="shared" si="20"/>
        <v>0</v>
      </c>
      <c r="BF24" s="480">
        <v>3111755</v>
      </c>
      <c r="BG24" s="760">
        <f t="shared" si="21"/>
        <v>883</v>
      </c>
      <c r="BH24" s="480">
        <v>345759</v>
      </c>
      <c r="BI24" s="760">
        <f t="shared" si="22"/>
        <v>121</v>
      </c>
      <c r="BJ24" s="480">
        <v>391831</v>
      </c>
      <c r="BK24" s="760">
        <f t="shared" si="29"/>
        <v>199</v>
      </c>
      <c r="BL24" s="870">
        <f t="shared" si="26"/>
        <v>17157.82</v>
      </c>
      <c r="BM24" s="871">
        <v>18</v>
      </c>
      <c r="BN24" s="870">
        <f t="shared" si="41"/>
        <v>953.21222222222218</v>
      </c>
      <c r="BO24" s="871"/>
      <c r="BP24" s="870" t="e">
        <f t="shared" si="27"/>
        <v>#DIV/0!</v>
      </c>
      <c r="BQ24" s="870">
        <f>BL24*BS1</f>
        <v>7892.5972000000002</v>
      </c>
      <c r="BR24" s="870">
        <f t="shared" si="42"/>
        <v>438.47762222222224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20879133</v>
      </c>
      <c r="J25" s="760">
        <f t="shared" si="23"/>
        <v>3720</v>
      </c>
      <c r="K25" s="760">
        <f t="shared" si="0"/>
        <v>2205</v>
      </c>
      <c r="L25" s="480">
        <v>631009</v>
      </c>
      <c r="M25" s="760">
        <f t="shared" si="1"/>
        <v>1207</v>
      </c>
      <c r="N25" s="480">
        <v>617922</v>
      </c>
      <c r="O25" s="760">
        <f t="shared" si="2"/>
        <v>998</v>
      </c>
      <c r="P25" s="855">
        <v>210592</v>
      </c>
      <c r="Q25" s="760">
        <f t="shared" si="37"/>
        <v>420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88495</v>
      </c>
      <c r="W25" s="760">
        <f t="shared" si="43"/>
        <v>145</v>
      </c>
      <c r="X25" s="480">
        <v>165219</v>
      </c>
      <c r="Y25" s="760">
        <f t="shared" si="5"/>
        <v>264</v>
      </c>
      <c r="Z25" s="480">
        <v>315108</v>
      </c>
      <c r="AA25" s="760">
        <f t="shared" si="6"/>
        <v>0</v>
      </c>
      <c r="AB25" s="855">
        <v>648106</v>
      </c>
      <c r="AC25" s="760">
        <f t="shared" si="7"/>
        <v>863.90000000000009</v>
      </c>
      <c r="AD25" s="904">
        <v>716893</v>
      </c>
      <c r="AE25" s="760">
        <f t="shared" si="8"/>
        <v>0</v>
      </c>
      <c r="AF25" s="480">
        <v>701974</v>
      </c>
      <c r="AG25" s="760">
        <f t="shared" si="9"/>
        <v>248.04000000000002</v>
      </c>
      <c r="AH25" s="480">
        <v>192541</v>
      </c>
      <c r="AI25" s="760">
        <f t="shared" si="10"/>
        <v>110.77000000000001</v>
      </c>
      <c r="AJ25" s="480">
        <v>195857</v>
      </c>
      <c r="AK25" s="760">
        <f t="shared" si="28"/>
        <v>1697.0600000000002</v>
      </c>
      <c r="AL25" s="760">
        <f t="shared" si="11"/>
        <v>2919.7700000000004</v>
      </c>
      <c r="AM25" s="480">
        <v>6883825</v>
      </c>
      <c r="AN25" s="760">
        <f t="shared" si="12"/>
        <v>29</v>
      </c>
      <c r="AO25" s="855">
        <v>535675</v>
      </c>
      <c r="AP25" s="760">
        <f>IF(AO25&gt;=AO24,AO25-AO24,0)</f>
        <v>83</v>
      </c>
      <c r="AQ25" s="480">
        <v>879139</v>
      </c>
      <c r="AR25" s="760">
        <f t="shared" si="14"/>
        <v>19.690000000000001</v>
      </c>
      <c r="AS25" s="480">
        <v>780826</v>
      </c>
      <c r="AT25" s="760">
        <f t="shared" si="15"/>
        <v>105</v>
      </c>
      <c r="AU25" s="480">
        <v>2147885</v>
      </c>
      <c r="AV25" s="760">
        <f t="shared" si="16"/>
        <v>452</v>
      </c>
      <c r="AW25" s="855">
        <v>194401</v>
      </c>
      <c r="AX25" s="760">
        <f t="shared" si="40"/>
        <v>21</v>
      </c>
      <c r="AY25" s="480">
        <v>16674343</v>
      </c>
      <c r="AZ25" s="760">
        <f t="shared" si="17"/>
        <v>3419</v>
      </c>
      <c r="BA25" s="855">
        <v>20149752</v>
      </c>
      <c r="BB25" s="760">
        <f t="shared" si="18"/>
        <v>4520.8</v>
      </c>
      <c r="BC25" s="760">
        <f t="shared" si="19"/>
        <v>8649.4900000000016</v>
      </c>
      <c r="BD25" s="855">
        <v>1323286</v>
      </c>
      <c r="BE25" s="760">
        <f t="shared" si="20"/>
        <v>0</v>
      </c>
      <c r="BF25" s="480">
        <v>3112687</v>
      </c>
      <c r="BG25" s="760">
        <f t="shared" si="21"/>
        <v>932</v>
      </c>
      <c r="BH25" s="480">
        <v>345869</v>
      </c>
      <c r="BI25" s="760">
        <f t="shared" si="22"/>
        <v>110</v>
      </c>
      <c r="BJ25" s="480">
        <v>392040</v>
      </c>
      <c r="BK25" s="760">
        <f t="shared" si="29"/>
        <v>209</v>
      </c>
      <c r="BL25" s="870">
        <f t="shared" si="26"/>
        <v>15709.260000000002</v>
      </c>
      <c r="BM25" s="871"/>
      <c r="BN25" s="870" t="e">
        <f t="shared" si="41"/>
        <v>#DIV/0!</v>
      </c>
      <c r="BO25" s="871"/>
      <c r="BP25" s="870" t="e">
        <f t="shared" si="27"/>
        <v>#DIV/0!</v>
      </c>
      <c r="BQ25" s="870">
        <f>BL25*BS1</f>
        <v>7226.2596000000012</v>
      </c>
      <c r="BR25" s="870" t="e">
        <f t="shared" si="42"/>
        <v>#DIV/0!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5">
        <v>20883542</v>
      </c>
      <c r="J26" s="760">
        <f t="shared" si="23"/>
        <v>4409</v>
      </c>
      <c r="K26" s="760">
        <f t="shared" si="0"/>
        <v>1977</v>
      </c>
      <c r="L26" s="480">
        <v>631954</v>
      </c>
      <c r="M26" s="760">
        <f t="shared" si="1"/>
        <v>945</v>
      </c>
      <c r="N26" s="855">
        <v>618954</v>
      </c>
      <c r="O26" s="760">
        <f t="shared" si="2"/>
        <v>1032</v>
      </c>
      <c r="P26" s="855">
        <v>210601</v>
      </c>
      <c r="Q26" s="760">
        <f t="shared" si="37"/>
        <v>270</v>
      </c>
      <c r="R26" s="480">
        <v>702925</v>
      </c>
      <c r="S26" s="760">
        <f t="shared" si="38"/>
        <v>0</v>
      </c>
      <c r="T26" s="480">
        <v>344001</v>
      </c>
      <c r="U26" s="760">
        <f t="shared" si="39"/>
        <v>0</v>
      </c>
      <c r="V26" s="480">
        <v>88644</v>
      </c>
      <c r="W26" s="760">
        <f t="shared" si="43"/>
        <v>149</v>
      </c>
      <c r="X26" s="480">
        <v>165478</v>
      </c>
      <c r="Y26" s="760">
        <f t="shared" si="5"/>
        <v>259</v>
      </c>
      <c r="Z26" s="480">
        <v>315108</v>
      </c>
      <c r="AA26" s="760">
        <f t="shared" si="6"/>
        <v>0</v>
      </c>
      <c r="AB26" s="480">
        <v>649910</v>
      </c>
      <c r="AC26" s="760">
        <f t="shared" si="7"/>
        <v>956.12</v>
      </c>
      <c r="AD26" s="480">
        <v>716893</v>
      </c>
      <c r="AE26" s="760">
        <f t="shared" si="8"/>
        <v>0</v>
      </c>
      <c r="AF26" s="480">
        <v>701974</v>
      </c>
      <c r="AG26" s="760">
        <f t="shared" si="9"/>
        <v>0</v>
      </c>
      <c r="AH26" s="480">
        <v>192764</v>
      </c>
      <c r="AI26" s="760">
        <f t="shared" si="10"/>
        <v>118.19000000000001</v>
      </c>
      <c r="AJ26" s="855">
        <v>198974</v>
      </c>
      <c r="AK26" s="760">
        <f t="shared" si="28"/>
        <v>1652.01</v>
      </c>
      <c r="AL26" s="760">
        <f t="shared" si="11"/>
        <v>2726.3199999999997</v>
      </c>
      <c r="AM26" s="480">
        <v>6883851</v>
      </c>
      <c r="AN26" s="760">
        <f t="shared" si="12"/>
        <v>26</v>
      </c>
      <c r="AO26" s="480">
        <v>535771</v>
      </c>
      <c r="AP26" s="760">
        <f>IF(AO26&gt;=AO25,AO26-AO25,0)</f>
        <v>96</v>
      </c>
      <c r="AQ26" s="480">
        <v>879321</v>
      </c>
      <c r="AR26" s="760">
        <f t="shared" si="14"/>
        <v>20.02</v>
      </c>
      <c r="AS26" s="907">
        <v>780951</v>
      </c>
      <c r="AT26" s="760">
        <f t="shared" si="15"/>
        <v>125</v>
      </c>
      <c r="AU26" s="855">
        <v>2148214</v>
      </c>
      <c r="AV26" s="760">
        <f t="shared" si="16"/>
        <v>329</v>
      </c>
      <c r="AW26" s="480">
        <v>194428</v>
      </c>
      <c r="AX26" s="760">
        <f t="shared" si="40"/>
        <v>27</v>
      </c>
      <c r="AY26" s="480">
        <v>16677415</v>
      </c>
      <c r="AZ26" s="760">
        <f t="shared" si="17"/>
        <v>3072</v>
      </c>
      <c r="BA26" s="855">
        <v>20154600</v>
      </c>
      <c r="BB26" s="760">
        <f t="shared" si="18"/>
        <v>4126.6000000000004</v>
      </c>
      <c r="BC26" s="760">
        <f t="shared" si="19"/>
        <v>7821.6200000000008</v>
      </c>
      <c r="BD26" s="855">
        <v>1323286</v>
      </c>
      <c r="BE26" s="760">
        <f t="shared" si="20"/>
        <v>0</v>
      </c>
      <c r="BF26" s="480">
        <v>3113546</v>
      </c>
      <c r="BG26" s="760">
        <f t="shared" si="21"/>
        <v>859</v>
      </c>
      <c r="BH26" s="480">
        <v>345959</v>
      </c>
      <c r="BI26" s="760">
        <f t="shared" si="22"/>
        <v>90</v>
      </c>
      <c r="BJ26" s="480">
        <v>392201</v>
      </c>
      <c r="BK26" s="760">
        <f t="shared" si="29"/>
        <v>161</v>
      </c>
      <c r="BL26" s="870">
        <f t="shared" si="26"/>
        <v>15226.94</v>
      </c>
      <c r="BM26" s="871"/>
      <c r="BN26" s="870" t="e">
        <f t="shared" si="41"/>
        <v>#DIV/0!</v>
      </c>
      <c r="BO26" s="871"/>
      <c r="BP26" s="870" t="e">
        <f t="shared" si="27"/>
        <v>#DIV/0!</v>
      </c>
      <c r="BQ26" s="870">
        <f>BL26*BS1</f>
        <v>7004.3924000000006</v>
      </c>
      <c r="BR26" s="870" t="e">
        <f t="shared" si="42"/>
        <v>#DIV/0!</v>
      </c>
      <c r="BS26" s="872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>
        <v>20885914</v>
      </c>
      <c r="J27" s="760">
        <f t="shared" si="23"/>
        <v>2372</v>
      </c>
      <c r="K27" s="760">
        <f t="shared" si="0"/>
        <v>1460</v>
      </c>
      <c r="L27" s="855">
        <v>632759</v>
      </c>
      <c r="M27" s="760">
        <f t="shared" si="1"/>
        <v>805</v>
      </c>
      <c r="N27" s="855">
        <v>619609</v>
      </c>
      <c r="O27" s="760">
        <f t="shared" si="2"/>
        <v>655</v>
      </c>
      <c r="P27" s="855">
        <v>210609</v>
      </c>
      <c r="Q27" s="760">
        <f>IF(P27&gt;=P26,P27-P26,0)*30</f>
        <v>240</v>
      </c>
      <c r="R27" s="480">
        <v>702925</v>
      </c>
      <c r="S27" s="760">
        <f t="shared" si="38"/>
        <v>0</v>
      </c>
      <c r="T27" s="480">
        <v>344001</v>
      </c>
      <c r="U27" s="760">
        <f t="shared" si="39"/>
        <v>0</v>
      </c>
      <c r="V27" s="480">
        <v>88781</v>
      </c>
      <c r="W27" s="760">
        <f t="shared" si="43"/>
        <v>137</v>
      </c>
      <c r="X27" s="480">
        <v>165746</v>
      </c>
      <c r="Y27" s="760">
        <f t="shared" si="5"/>
        <v>268</v>
      </c>
      <c r="Z27" s="480">
        <v>315108</v>
      </c>
      <c r="AA27" s="760">
        <f t="shared" si="6"/>
        <v>0</v>
      </c>
      <c r="AB27" s="855">
        <v>651701</v>
      </c>
      <c r="AC27" s="760">
        <f t="shared" si="7"/>
        <v>949.23</v>
      </c>
      <c r="AD27" s="904">
        <v>716893</v>
      </c>
      <c r="AE27" s="760">
        <f t="shared" si="8"/>
        <v>0</v>
      </c>
      <c r="AF27" s="855">
        <v>701974</v>
      </c>
      <c r="AG27" s="760">
        <f t="shared" si="9"/>
        <v>0</v>
      </c>
      <c r="AH27" s="855">
        <v>192957</v>
      </c>
      <c r="AI27" s="760">
        <f t="shared" si="10"/>
        <v>102.29</v>
      </c>
      <c r="AJ27" s="855">
        <v>200185</v>
      </c>
      <c r="AK27" s="760">
        <f t="shared" si="28"/>
        <v>641.83000000000004</v>
      </c>
      <c r="AL27" s="760">
        <f t="shared" si="11"/>
        <v>1693.35</v>
      </c>
      <c r="AM27" s="480">
        <v>6883877</v>
      </c>
      <c r="AN27" s="760">
        <f t="shared" si="12"/>
        <v>26</v>
      </c>
      <c r="AO27" s="480">
        <v>535824</v>
      </c>
      <c r="AP27" s="760">
        <f>IF(AO27&gt;=AO26,AO27-AO26,0)</f>
        <v>53</v>
      </c>
      <c r="AQ27" s="855">
        <v>879498</v>
      </c>
      <c r="AR27" s="760">
        <f t="shared" si="14"/>
        <v>19.47</v>
      </c>
      <c r="AS27" s="480">
        <v>781074</v>
      </c>
      <c r="AT27" s="760">
        <f t="shared" si="15"/>
        <v>123</v>
      </c>
      <c r="AU27" s="855">
        <v>2148533</v>
      </c>
      <c r="AV27" s="760">
        <f t="shared" si="16"/>
        <v>319</v>
      </c>
      <c r="AW27" s="480">
        <v>194453</v>
      </c>
      <c r="AX27" s="760">
        <f t="shared" si="40"/>
        <v>25</v>
      </c>
      <c r="AY27" s="855">
        <v>16681407</v>
      </c>
      <c r="AZ27" s="760">
        <f t="shared" si="17"/>
        <v>3992</v>
      </c>
      <c r="BA27" s="855">
        <v>20158759</v>
      </c>
      <c r="BB27" s="760">
        <f t="shared" si="18"/>
        <v>3476.7</v>
      </c>
      <c r="BC27" s="760">
        <f t="shared" si="19"/>
        <v>8034.17</v>
      </c>
      <c r="BD27" s="855">
        <v>1323286</v>
      </c>
      <c r="BE27" s="760">
        <f t="shared" si="20"/>
        <v>0</v>
      </c>
      <c r="BF27" s="855">
        <v>3114269</v>
      </c>
      <c r="BG27" s="760">
        <f t="shared" si="21"/>
        <v>723</v>
      </c>
      <c r="BH27" s="855">
        <v>346060</v>
      </c>
      <c r="BI27" s="760">
        <f t="shared" si="22"/>
        <v>101</v>
      </c>
      <c r="BJ27" s="855">
        <v>392399</v>
      </c>
      <c r="BK27" s="760">
        <f t="shared" si="29"/>
        <v>198</v>
      </c>
      <c r="BL27" s="870">
        <f t="shared" si="26"/>
        <v>12339.52</v>
      </c>
      <c r="BM27" s="871"/>
      <c r="BN27" s="870" t="e">
        <f t="shared" si="41"/>
        <v>#DIV/0!</v>
      </c>
      <c r="BO27" s="871"/>
      <c r="BP27" s="870" t="e">
        <f t="shared" si="27"/>
        <v>#DIV/0!</v>
      </c>
      <c r="BQ27" s="870">
        <f>BL27*BS1</f>
        <v>5676.1792000000005</v>
      </c>
      <c r="BR27" s="870" t="e">
        <f t="shared" si="42"/>
        <v>#DIV/0!</v>
      </c>
      <c r="BS27" s="872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20887587</v>
      </c>
      <c r="J28" s="760">
        <f t="shared" si="23"/>
        <v>1673</v>
      </c>
      <c r="K28" s="760">
        <f t="shared" si="0"/>
        <v>1591</v>
      </c>
      <c r="L28" s="480">
        <v>633587</v>
      </c>
      <c r="M28" s="760">
        <f t="shared" si="1"/>
        <v>828</v>
      </c>
      <c r="N28" s="480">
        <v>620372</v>
      </c>
      <c r="O28" s="760">
        <f t="shared" si="2"/>
        <v>763</v>
      </c>
      <c r="P28" s="855">
        <v>210630</v>
      </c>
      <c r="Q28" s="760">
        <f t="shared" si="37"/>
        <v>630</v>
      </c>
      <c r="R28" s="480">
        <v>702925</v>
      </c>
      <c r="S28" s="760">
        <f t="shared" si="38"/>
        <v>0</v>
      </c>
      <c r="T28" s="480">
        <v>344001</v>
      </c>
      <c r="U28" s="760">
        <f t="shared" si="39"/>
        <v>0</v>
      </c>
      <c r="V28" s="480">
        <v>88904</v>
      </c>
      <c r="W28" s="760">
        <f t="shared" si="43"/>
        <v>123</v>
      </c>
      <c r="X28" s="480">
        <v>165957</v>
      </c>
      <c r="Y28" s="760">
        <f t="shared" si="5"/>
        <v>211</v>
      </c>
      <c r="Z28" s="480">
        <v>315108</v>
      </c>
      <c r="AA28" s="760">
        <f t="shared" si="6"/>
        <v>0</v>
      </c>
      <c r="AB28" s="855">
        <v>651701</v>
      </c>
      <c r="AC28" s="760">
        <f t="shared" si="7"/>
        <v>0</v>
      </c>
      <c r="AD28" s="480">
        <v>718047</v>
      </c>
      <c r="AE28" s="760">
        <f t="shared" si="8"/>
        <v>611.62</v>
      </c>
      <c r="AF28" s="480">
        <v>701974</v>
      </c>
      <c r="AG28" s="760">
        <f t="shared" si="9"/>
        <v>0</v>
      </c>
      <c r="AH28" s="480">
        <v>193155</v>
      </c>
      <c r="AI28" s="760">
        <f t="shared" si="10"/>
        <v>104.94000000000001</v>
      </c>
      <c r="AJ28" s="480">
        <v>202516</v>
      </c>
      <c r="AK28" s="760">
        <f t="shared" si="28"/>
        <v>1235.43</v>
      </c>
      <c r="AL28" s="760">
        <f t="shared" si="11"/>
        <v>1951.9900000000002</v>
      </c>
      <c r="AM28" s="480">
        <v>6883897</v>
      </c>
      <c r="AN28" s="760">
        <f t="shared" si="12"/>
        <v>20</v>
      </c>
      <c r="AO28" s="480">
        <v>535897</v>
      </c>
      <c r="AP28" s="760">
        <f>IF(AO28&gt;=AO27,AO28-AO27,0)</f>
        <v>73</v>
      </c>
      <c r="AQ28" s="855">
        <v>879696</v>
      </c>
      <c r="AR28" s="760">
        <f t="shared" si="14"/>
        <v>21.78</v>
      </c>
      <c r="AS28" s="480">
        <v>781184</v>
      </c>
      <c r="AT28" s="760">
        <f t="shared" si="15"/>
        <v>110</v>
      </c>
      <c r="AU28" s="480">
        <v>2148911</v>
      </c>
      <c r="AV28" s="760">
        <f t="shared" si="16"/>
        <v>378</v>
      </c>
      <c r="AW28" s="480">
        <v>194486</v>
      </c>
      <c r="AX28" s="760">
        <f t="shared" si="40"/>
        <v>33</v>
      </c>
      <c r="AY28" s="480">
        <v>16684304</v>
      </c>
      <c r="AZ28" s="760">
        <f t="shared" si="17"/>
        <v>2897</v>
      </c>
      <c r="BA28" s="480">
        <v>20163086</v>
      </c>
      <c r="BB28" s="760">
        <f t="shared" si="18"/>
        <v>3589.8</v>
      </c>
      <c r="BC28" s="760">
        <f t="shared" si="19"/>
        <v>7122.58</v>
      </c>
      <c r="BD28" s="855">
        <v>1323286</v>
      </c>
      <c r="BE28" s="760">
        <f t="shared" si="20"/>
        <v>0</v>
      </c>
      <c r="BF28" s="480">
        <v>3115116</v>
      </c>
      <c r="BG28" s="760">
        <f t="shared" si="21"/>
        <v>847</v>
      </c>
      <c r="BH28" s="480">
        <v>346144</v>
      </c>
      <c r="BI28" s="760">
        <f t="shared" si="22"/>
        <v>84</v>
      </c>
      <c r="BJ28" s="480">
        <v>392586</v>
      </c>
      <c r="BK28" s="760">
        <f t="shared" si="29"/>
        <v>187</v>
      </c>
      <c r="BL28" s="870">
        <f t="shared" si="26"/>
        <v>11377.57</v>
      </c>
      <c r="BM28" s="871"/>
      <c r="BN28" s="870" t="e">
        <f t="shared" si="41"/>
        <v>#DIV/0!</v>
      </c>
      <c r="BO28" s="871"/>
      <c r="BP28" s="870" t="e">
        <f t="shared" si="27"/>
        <v>#DIV/0!</v>
      </c>
      <c r="BQ28" s="870">
        <f>BL28*BS1</f>
        <v>5233.6822000000002</v>
      </c>
      <c r="BR28" s="870" t="e">
        <f t="shared" si="42"/>
        <v>#DIV/0!</v>
      </c>
      <c r="BS28" s="872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5">
        <v>20889614</v>
      </c>
      <c r="J29" s="760">
        <f t="shared" si="23"/>
        <v>2027</v>
      </c>
      <c r="K29" s="760">
        <f t="shared" si="0"/>
        <v>1409</v>
      </c>
      <c r="L29" s="855">
        <v>634312</v>
      </c>
      <c r="M29" s="760">
        <f t="shared" si="1"/>
        <v>725</v>
      </c>
      <c r="N29" s="855">
        <v>621056</v>
      </c>
      <c r="O29" s="760">
        <f t="shared" si="2"/>
        <v>684</v>
      </c>
      <c r="P29" s="855">
        <v>210640</v>
      </c>
      <c r="Q29" s="760">
        <f t="shared" si="37"/>
        <v>300</v>
      </c>
      <c r="R29" s="480">
        <v>702925</v>
      </c>
      <c r="S29" s="760">
        <f>IF(R29&gt;=R28,R29-R28,0)</f>
        <v>0</v>
      </c>
      <c r="T29" s="480">
        <v>344001</v>
      </c>
      <c r="U29" s="760">
        <f>IF(T29&gt;=T28,T29-T28,0)</f>
        <v>0</v>
      </c>
      <c r="V29" s="480">
        <v>89026</v>
      </c>
      <c r="W29" s="760">
        <f>IF(V29&gt;=V28,V29-V28,0)</f>
        <v>122</v>
      </c>
      <c r="X29" s="480">
        <v>166174</v>
      </c>
      <c r="Y29" s="760">
        <f>IF(X29&gt;=X28,X29-X28,0)</f>
        <v>217</v>
      </c>
      <c r="Z29" s="480">
        <v>315108</v>
      </c>
      <c r="AA29" s="760">
        <f t="shared" si="6"/>
        <v>0</v>
      </c>
      <c r="AB29" s="480">
        <v>653810</v>
      </c>
      <c r="AC29" s="760">
        <f t="shared" ref="AC29:AC36" si="44">IF(AB29&gt;=AB28,AB29-AB28,0)*0.53</f>
        <v>1117.77</v>
      </c>
      <c r="AD29" s="480">
        <v>718047</v>
      </c>
      <c r="AE29" s="760">
        <f t="shared" si="8"/>
        <v>0</v>
      </c>
      <c r="AF29" s="480">
        <v>701974</v>
      </c>
      <c r="AG29" s="760">
        <f t="shared" si="9"/>
        <v>0</v>
      </c>
      <c r="AH29" s="855">
        <v>193493</v>
      </c>
      <c r="AI29" s="760">
        <f t="shared" si="10"/>
        <v>179.14000000000001</v>
      </c>
      <c r="AJ29" s="480">
        <v>204926</v>
      </c>
      <c r="AK29" s="760">
        <f t="shared" si="28"/>
        <v>1277.3</v>
      </c>
      <c r="AL29" s="760">
        <f t="shared" si="11"/>
        <v>2574.21</v>
      </c>
      <c r="AM29" s="904">
        <v>6883908</v>
      </c>
      <c r="AN29" s="760">
        <f t="shared" si="12"/>
        <v>11</v>
      </c>
      <c r="AO29" s="855">
        <v>535955</v>
      </c>
      <c r="AP29" s="760">
        <f t="shared" si="13"/>
        <v>58</v>
      </c>
      <c r="AQ29" s="480">
        <v>879781</v>
      </c>
      <c r="AR29" s="760">
        <f t="shared" si="14"/>
        <v>9.35</v>
      </c>
      <c r="AS29" s="480">
        <v>781231</v>
      </c>
      <c r="AT29" s="760">
        <f t="shared" si="15"/>
        <v>47</v>
      </c>
      <c r="AU29" s="480">
        <v>2149233</v>
      </c>
      <c r="AV29" s="760">
        <f t="shared" si="16"/>
        <v>322</v>
      </c>
      <c r="AW29" s="480">
        <v>194515</v>
      </c>
      <c r="AX29" s="760">
        <f t="shared" si="40"/>
        <v>29</v>
      </c>
      <c r="AY29" s="855">
        <v>16686767</v>
      </c>
      <c r="AZ29" s="760">
        <f t="shared" si="17"/>
        <v>2463</v>
      </c>
      <c r="BA29" s="855">
        <v>20167308</v>
      </c>
      <c r="BB29" s="760">
        <f t="shared" si="18"/>
        <v>3471.9</v>
      </c>
      <c r="BC29" s="760">
        <f t="shared" si="19"/>
        <v>6411.25</v>
      </c>
      <c r="BD29" s="855">
        <v>1323286</v>
      </c>
      <c r="BE29" s="760">
        <f t="shared" si="20"/>
        <v>0</v>
      </c>
      <c r="BF29" s="480">
        <v>3115977</v>
      </c>
      <c r="BG29" s="760">
        <f t="shared" si="21"/>
        <v>861</v>
      </c>
      <c r="BH29" s="480">
        <v>346227</v>
      </c>
      <c r="BI29" s="760">
        <f t="shared" si="22"/>
        <v>83</v>
      </c>
      <c r="BJ29" s="480">
        <v>392778</v>
      </c>
      <c r="BK29" s="760">
        <f t="shared" si="29"/>
        <v>192</v>
      </c>
      <c r="BL29" s="870">
        <f t="shared" si="26"/>
        <v>11312.46</v>
      </c>
      <c r="BM29" s="871"/>
      <c r="BN29" s="870" t="e">
        <f t="shared" si="41"/>
        <v>#DIV/0!</v>
      </c>
      <c r="BO29" s="871"/>
      <c r="BP29" s="870" t="e">
        <f t="shared" si="27"/>
        <v>#DIV/0!</v>
      </c>
      <c r="BQ29" s="870">
        <f>BL29*BS1</f>
        <v>5203.7316000000001</v>
      </c>
      <c r="BR29" s="870" t="e">
        <f t="shared" si="42"/>
        <v>#DIV/0!</v>
      </c>
      <c r="BS29" s="872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>
        <v>20891741</v>
      </c>
      <c r="J30" s="760">
        <f t="shared" si="23"/>
        <v>2127</v>
      </c>
      <c r="K30" s="760">
        <f t="shared" si="0"/>
        <v>1552</v>
      </c>
      <c r="L30" s="480">
        <v>635128</v>
      </c>
      <c r="M30" s="760">
        <f t="shared" si="1"/>
        <v>816</v>
      </c>
      <c r="N30" s="855">
        <v>621792</v>
      </c>
      <c r="O30" s="760">
        <f t="shared" si="2"/>
        <v>736</v>
      </c>
      <c r="P30" s="855">
        <v>210646</v>
      </c>
      <c r="Q30" s="760">
        <f t="shared" si="37"/>
        <v>180</v>
      </c>
      <c r="R30" s="480">
        <v>702925</v>
      </c>
      <c r="S30" s="760">
        <f>IF(R30&gt;=R29,R30-R29,0)</f>
        <v>0</v>
      </c>
      <c r="T30" s="480">
        <v>344001</v>
      </c>
      <c r="U30" s="760">
        <f>IF(T30&gt;=T29,T30-T29,0)</f>
        <v>0</v>
      </c>
      <c r="V30" s="480">
        <v>89182</v>
      </c>
      <c r="W30" s="760">
        <f>IF(V30&gt;=V29,V30-V29,0)</f>
        <v>156</v>
      </c>
      <c r="X30" s="480">
        <v>166431</v>
      </c>
      <c r="Y30" s="760">
        <f>IF(X30&gt;=X29,X30-X29,0)</f>
        <v>257</v>
      </c>
      <c r="Z30" s="480">
        <v>315108</v>
      </c>
      <c r="AA30" s="760">
        <f t="shared" si="6"/>
        <v>0</v>
      </c>
      <c r="AB30" s="480">
        <v>653810</v>
      </c>
      <c r="AC30" s="760">
        <f t="shared" si="44"/>
        <v>0</v>
      </c>
      <c r="AD30" s="480">
        <v>721482</v>
      </c>
      <c r="AE30" s="760">
        <f t="shared" si="8"/>
        <v>1820.5500000000002</v>
      </c>
      <c r="AF30" s="480">
        <v>701974</v>
      </c>
      <c r="AG30" s="760">
        <f t="shared" si="9"/>
        <v>0</v>
      </c>
      <c r="AH30" s="480">
        <v>193770</v>
      </c>
      <c r="AI30" s="760">
        <f t="shared" si="10"/>
        <v>146.81</v>
      </c>
      <c r="AJ30" s="855">
        <v>207983</v>
      </c>
      <c r="AK30" s="760">
        <f t="shared" si="28"/>
        <v>1620.21</v>
      </c>
      <c r="AL30" s="760">
        <f t="shared" si="11"/>
        <v>3587.57</v>
      </c>
      <c r="AM30" s="480">
        <v>6883921</v>
      </c>
      <c r="AN30" s="760">
        <f t="shared" si="12"/>
        <v>13</v>
      </c>
      <c r="AO30" s="480">
        <v>535999</v>
      </c>
      <c r="AP30" s="760">
        <f t="shared" si="13"/>
        <v>44</v>
      </c>
      <c r="AQ30" s="855">
        <v>879876</v>
      </c>
      <c r="AR30" s="760">
        <f t="shared" si="14"/>
        <v>10.45</v>
      </c>
      <c r="AS30" s="480">
        <v>781268</v>
      </c>
      <c r="AT30" s="760">
        <f t="shared" si="15"/>
        <v>37</v>
      </c>
      <c r="AU30" s="855">
        <v>2149592</v>
      </c>
      <c r="AV30" s="760">
        <f t="shared" si="16"/>
        <v>359</v>
      </c>
      <c r="AW30" s="480">
        <v>194546</v>
      </c>
      <c r="AX30" s="760">
        <f t="shared" si="40"/>
        <v>31</v>
      </c>
      <c r="AY30" s="855">
        <v>16689519</v>
      </c>
      <c r="AZ30" s="760">
        <f t="shared" si="17"/>
        <v>2752</v>
      </c>
      <c r="BA30" s="855">
        <v>20171551</v>
      </c>
      <c r="BB30" s="760">
        <f t="shared" si="18"/>
        <v>3421.9</v>
      </c>
      <c r="BC30" s="760">
        <f t="shared" si="19"/>
        <v>6668.35</v>
      </c>
      <c r="BD30" s="855">
        <v>1323286</v>
      </c>
      <c r="BE30" s="760">
        <f t="shared" si="20"/>
        <v>0</v>
      </c>
      <c r="BF30" s="480">
        <v>3116948</v>
      </c>
      <c r="BG30" s="760">
        <f t="shared" si="21"/>
        <v>971</v>
      </c>
      <c r="BH30" s="855">
        <v>346320</v>
      </c>
      <c r="BI30" s="760">
        <f t="shared" si="22"/>
        <v>93</v>
      </c>
      <c r="BJ30" s="480">
        <v>392970</v>
      </c>
      <c r="BK30" s="760">
        <f t="shared" si="29"/>
        <v>192</v>
      </c>
      <c r="BL30" s="870">
        <f t="shared" si="26"/>
        <v>12562.92</v>
      </c>
      <c r="BM30" s="871"/>
      <c r="BN30" s="870" t="e">
        <f t="shared" si="41"/>
        <v>#DIV/0!</v>
      </c>
      <c r="BO30" s="871"/>
      <c r="BP30" s="870" t="e">
        <f t="shared" si="27"/>
        <v>#DIV/0!</v>
      </c>
      <c r="BQ30" s="870">
        <f>BL30*BS1</f>
        <v>5778.9432000000006</v>
      </c>
      <c r="BR30" s="870" t="e">
        <f t="shared" si="42"/>
        <v>#DIV/0!</v>
      </c>
      <c r="BS30" s="872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855">
        <v>20893668</v>
      </c>
      <c r="J31" s="760">
        <f t="shared" si="23"/>
        <v>1927</v>
      </c>
      <c r="K31" s="760">
        <f t="shared" si="0"/>
        <v>1514</v>
      </c>
      <c r="L31" s="855">
        <v>635918</v>
      </c>
      <c r="M31" s="760">
        <f t="shared" si="1"/>
        <v>790</v>
      </c>
      <c r="N31" s="480">
        <v>622516</v>
      </c>
      <c r="O31" s="760">
        <f t="shared" si="2"/>
        <v>724</v>
      </c>
      <c r="P31" s="855">
        <v>210651</v>
      </c>
      <c r="Q31" s="760">
        <f t="shared" si="37"/>
        <v>150</v>
      </c>
      <c r="R31" s="480">
        <v>702925</v>
      </c>
      <c r="S31" s="760">
        <f t="shared" si="38"/>
        <v>0</v>
      </c>
      <c r="T31" s="480">
        <v>344001</v>
      </c>
      <c r="U31" s="760">
        <f t="shared" si="39"/>
        <v>0</v>
      </c>
      <c r="V31" s="480">
        <v>89320</v>
      </c>
      <c r="W31" s="760">
        <f t="shared" si="43"/>
        <v>138</v>
      </c>
      <c r="X31" s="480">
        <v>166670</v>
      </c>
      <c r="Y31" s="760">
        <f t="shared" si="5"/>
        <v>239</v>
      </c>
      <c r="Z31" s="480">
        <v>315108</v>
      </c>
      <c r="AA31" s="760">
        <f t="shared" si="6"/>
        <v>0</v>
      </c>
      <c r="AB31" s="480">
        <v>657605</v>
      </c>
      <c r="AC31" s="760">
        <f t="shared" si="44"/>
        <v>2011.3500000000001</v>
      </c>
      <c r="AD31" s="480">
        <v>721482</v>
      </c>
      <c r="AE31" s="760">
        <f t="shared" si="8"/>
        <v>0</v>
      </c>
      <c r="AF31" s="480">
        <v>701974</v>
      </c>
      <c r="AG31" s="760">
        <f t="shared" si="9"/>
        <v>0</v>
      </c>
      <c r="AH31" s="480">
        <v>194200</v>
      </c>
      <c r="AI31" s="760">
        <f t="shared" si="10"/>
        <v>227.9</v>
      </c>
      <c r="AJ31" s="480">
        <v>212953</v>
      </c>
      <c r="AK31" s="760">
        <f t="shared" si="28"/>
        <v>2634.1</v>
      </c>
      <c r="AL31" s="760">
        <f t="shared" si="11"/>
        <v>4873.3500000000004</v>
      </c>
      <c r="AM31" s="904">
        <v>6883939</v>
      </c>
      <c r="AN31" s="760">
        <f t="shared" si="12"/>
        <v>18</v>
      </c>
      <c r="AO31" s="480">
        <v>536065</v>
      </c>
      <c r="AP31" s="760">
        <f t="shared" si="13"/>
        <v>66</v>
      </c>
      <c r="AQ31" s="480">
        <v>880041</v>
      </c>
      <c r="AR31" s="760">
        <f t="shared" si="14"/>
        <v>18.149999999999999</v>
      </c>
      <c r="AS31" s="480">
        <v>781307</v>
      </c>
      <c r="AT31" s="760">
        <f t="shared" si="15"/>
        <v>39</v>
      </c>
      <c r="AU31" s="480">
        <v>2149942</v>
      </c>
      <c r="AV31" s="760">
        <f t="shared" si="16"/>
        <v>350</v>
      </c>
      <c r="AW31" s="480">
        <v>194577</v>
      </c>
      <c r="AX31" s="760">
        <f t="shared" si="40"/>
        <v>31</v>
      </c>
      <c r="AY31" s="480">
        <v>16692199</v>
      </c>
      <c r="AZ31" s="760">
        <f t="shared" si="17"/>
        <v>2680</v>
      </c>
      <c r="BA31" s="855">
        <v>20175796</v>
      </c>
      <c r="BB31" s="760">
        <f t="shared" si="18"/>
        <v>3467.4</v>
      </c>
      <c r="BC31" s="760">
        <f t="shared" si="19"/>
        <v>6669.55</v>
      </c>
      <c r="BD31" s="855">
        <v>1323286</v>
      </c>
      <c r="BE31" s="760">
        <f t="shared" si="20"/>
        <v>0</v>
      </c>
      <c r="BF31" s="480">
        <v>3117799</v>
      </c>
      <c r="BG31" s="760">
        <f t="shared" si="21"/>
        <v>851</v>
      </c>
      <c r="BH31" s="480">
        <v>346410</v>
      </c>
      <c r="BI31" s="760">
        <f t="shared" si="22"/>
        <v>90</v>
      </c>
      <c r="BJ31" s="480">
        <v>393192</v>
      </c>
      <c r="BK31" s="760">
        <f t="shared" si="29"/>
        <v>222</v>
      </c>
      <c r="BL31" s="870">
        <f t="shared" si="26"/>
        <v>13619.900000000001</v>
      </c>
      <c r="BM31" s="871"/>
      <c r="BN31" s="870" t="e">
        <f t="shared" si="41"/>
        <v>#DIV/0!</v>
      </c>
      <c r="BO31" s="871"/>
      <c r="BP31" s="870" t="e">
        <f t="shared" si="27"/>
        <v>#DIV/0!</v>
      </c>
      <c r="BQ31" s="870">
        <f>BL31*BS1</f>
        <v>6265.1540000000014</v>
      </c>
      <c r="BR31" s="870" t="e">
        <f t="shared" si="42"/>
        <v>#DIV/0!</v>
      </c>
      <c r="BS31" s="872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>
        <v>20895555</v>
      </c>
      <c r="J32" s="760">
        <f t="shared" si="23"/>
        <v>1887</v>
      </c>
      <c r="K32" s="760">
        <f t="shared" si="0"/>
        <v>1492</v>
      </c>
      <c r="L32" s="480">
        <v>636709</v>
      </c>
      <c r="M32" s="760">
        <f t="shared" si="1"/>
        <v>791</v>
      </c>
      <c r="N32" s="480">
        <v>623217</v>
      </c>
      <c r="O32" s="760">
        <f t="shared" si="2"/>
        <v>701</v>
      </c>
      <c r="P32" s="480">
        <v>210655</v>
      </c>
      <c r="Q32" s="760">
        <f t="shared" si="37"/>
        <v>120</v>
      </c>
      <c r="R32" s="480">
        <v>702925</v>
      </c>
      <c r="S32" s="760">
        <f t="shared" si="38"/>
        <v>0</v>
      </c>
      <c r="T32" s="480">
        <v>344001</v>
      </c>
      <c r="U32" s="760">
        <f t="shared" si="39"/>
        <v>0</v>
      </c>
      <c r="V32" s="480">
        <v>89477</v>
      </c>
      <c r="W32" s="760">
        <f t="shared" si="43"/>
        <v>157</v>
      </c>
      <c r="X32" s="480">
        <v>166902</v>
      </c>
      <c r="Y32" s="760">
        <f t="shared" si="5"/>
        <v>232</v>
      </c>
      <c r="Z32" s="480">
        <v>315108</v>
      </c>
      <c r="AA32" s="760">
        <f t="shared" si="6"/>
        <v>0</v>
      </c>
      <c r="AB32" s="480">
        <v>657605</v>
      </c>
      <c r="AC32" s="760">
        <f t="shared" si="44"/>
        <v>0</v>
      </c>
      <c r="AD32" s="480">
        <v>721482</v>
      </c>
      <c r="AE32" s="760">
        <f t="shared" si="8"/>
        <v>0</v>
      </c>
      <c r="AF32" s="480">
        <v>702129</v>
      </c>
      <c r="AG32" s="760">
        <f t="shared" si="9"/>
        <v>82.15</v>
      </c>
      <c r="AH32" s="480">
        <v>194765</v>
      </c>
      <c r="AI32" s="760">
        <f t="shared" si="10"/>
        <v>299.45</v>
      </c>
      <c r="AJ32" s="480">
        <v>215731</v>
      </c>
      <c r="AK32" s="760">
        <f t="shared" si="28"/>
        <v>1472.3400000000001</v>
      </c>
      <c r="AL32" s="760">
        <f t="shared" si="11"/>
        <v>1853.94</v>
      </c>
      <c r="AM32" s="480">
        <v>6883966</v>
      </c>
      <c r="AN32" s="760">
        <f t="shared" si="12"/>
        <v>27</v>
      </c>
      <c r="AO32" s="480">
        <v>536105</v>
      </c>
      <c r="AP32" s="760">
        <f t="shared" si="13"/>
        <v>40</v>
      </c>
      <c r="AQ32" s="480">
        <v>880146</v>
      </c>
      <c r="AR32" s="760">
        <f t="shared" si="14"/>
        <v>11.55</v>
      </c>
      <c r="AS32" s="480">
        <v>781340</v>
      </c>
      <c r="AT32" s="760">
        <f t="shared" si="15"/>
        <v>33</v>
      </c>
      <c r="AU32" s="480">
        <v>2150220</v>
      </c>
      <c r="AV32" s="760">
        <f t="shared" si="16"/>
        <v>278</v>
      </c>
      <c r="AW32" s="855">
        <v>194601</v>
      </c>
      <c r="AX32" s="760">
        <f t="shared" si="40"/>
        <v>24</v>
      </c>
      <c r="AY32" s="855">
        <v>16694920</v>
      </c>
      <c r="AZ32" s="760">
        <f t="shared" si="17"/>
        <v>2721</v>
      </c>
      <c r="BA32" s="855">
        <v>20180725</v>
      </c>
      <c r="BB32" s="760">
        <f t="shared" si="18"/>
        <v>4093.1000000000004</v>
      </c>
      <c r="BC32" s="760">
        <f t="shared" si="19"/>
        <v>7227.6500000000005</v>
      </c>
      <c r="BD32" s="855">
        <v>1323286</v>
      </c>
      <c r="BE32" s="760">
        <f t="shared" si="20"/>
        <v>0</v>
      </c>
      <c r="BF32" s="480">
        <v>3118773</v>
      </c>
      <c r="BG32" s="760">
        <f t="shared" si="21"/>
        <v>974</v>
      </c>
      <c r="BH32" s="480">
        <v>346505</v>
      </c>
      <c r="BI32" s="760">
        <f t="shared" si="22"/>
        <v>95</v>
      </c>
      <c r="BJ32" s="480">
        <v>393396</v>
      </c>
      <c r="BK32" s="760">
        <f t="shared" si="29"/>
        <v>204</v>
      </c>
      <c r="BL32" s="870">
        <f t="shared" si="26"/>
        <v>11088.59</v>
      </c>
      <c r="BM32" s="871"/>
      <c r="BN32" s="870" t="e">
        <f t="shared" si="41"/>
        <v>#DIV/0!</v>
      </c>
      <c r="BO32" s="873"/>
      <c r="BP32" s="870" t="e">
        <f t="shared" si="27"/>
        <v>#DIV/0!</v>
      </c>
      <c r="BQ32" s="870">
        <f>BL32*BS1</f>
        <v>5100.7514000000001</v>
      </c>
      <c r="BR32" s="870" t="e">
        <f t="shared" si="42"/>
        <v>#DIV/0!</v>
      </c>
      <c r="BS32" s="872" t="e">
        <f t="shared" si="32"/>
        <v>#DIV/0!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55">
        <v>20897582</v>
      </c>
      <c r="J33" s="760">
        <f t="shared" si="23"/>
        <v>2027</v>
      </c>
      <c r="K33" s="760">
        <f t="shared" si="0"/>
        <v>1511</v>
      </c>
      <c r="L33" s="480">
        <v>637490</v>
      </c>
      <c r="M33" s="760">
        <f t="shared" si="1"/>
        <v>781</v>
      </c>
      <c r="N33" s="855">
        <v>623947</v>
      </c>
      <c r="O33" s="760">
        <f t="shared" si="2"/>
        <v>730</v>
      </c>
      <c r="P33" s="855">
        <v>210659</v>
      </c>
      <c r="Q33" s="760">
        <f t="shared" si="37"/>
        <v>120</v>
      </c>
      <c r="R33" s="480">
        <v>702925</v>
      </c>
      <c r="S33" s="760">
        <f t="shared" si="38"/>
        <v>0</v>
      </c>
      <c r="T33" s="480">
        <v>344001</v>
      </c>
      <c r="U33" s="760">
        <f t="shared" si="39"/>
        <v>0</v>
      </c>
      <c r="V33" s="480">
        <v>89599</v>
      </c>
      <c r="W33" s="760">
        <f t="shared" si="43"/>
        <v>122</v>
      </c>
      <c r="X33" s="480">
        <v>166947</v>
      </c>
      <c r="Y33" s="760">
        <f t="shared" si="5"/>
        <v>45</v>
      </c>
      <c r="Z33" s="480">
        <v>315108</v>
      </c>
      <c r="AA33" s="760">
        <f t="shared" si="6"/>
        <v>0</v>
      </c>
      <c r="AB33" s="480">
        <v>657605</v>
      </c>
      <c r="AC33" s="760">
        <f t="shared" si="44"/>
        <v>0</v>
      </c>
      <c r="AD33" s="480">
        <v>722671</v>
      </c>
      <c r="AE33" s="760">
        <f t="shared" si="8"/>
        <v>630.17000000000007</v>
      </c>
      <c r="AF33" s="480">
        <v>702736</v>
      </c>
      <c r="AG33" s="760">
        <f t="shared" si="9"/>
        <v>321.71000000000004</v>
      </c>
      <c r="AH33" s="480">
        <v>195182</v>
      </c>
      <c r="AI33" s="760">
        <f t="shared" si="10"/>
        <v>221.01000000000002</v>
      </c>
      <c r="AJ33" s="480">
        <v>218309</v>
      </c>
      <c r="AK33" s="760">
        <f t="shared" si="28"/>
        <v>1366.3400000000001</v>
      </c>
      <c r="AL33" s="760">
        <f t="shared" si="11"/>
        <v>2539.2300000000005</v>
      </c>
      <c r="AM33" s="904">
        <v>6883972</v>
      </c>
      <c r="AN33" s="760">
        <f t="shared" si="12"/>
        <v>6</v>
      </c>
      <c r="AO33" s="855">
        <v>536115</v>
      </c>
      <c r="AP33" s="760">
        <f t="shared" si="13"/>
        <v>10</v>
      </c>
      <c r="AQ33" s="480">
        <v>880204</v>
      </c>
      <c r="AR33" s="760">
        <f t="shared" si="14"/>
        <v>6.38</v>
      </c>
      <c r="AS33" s="480">
        <v>781363</v>
      </c>
      <c r="AT33" s="760">
        <f t="shared" si="15"/>
        <v>23</v>
      </c>
      <c r="AU33" s="480">
        <v>2150417</v>
      </c>
      <c r="AV33" s="760">
        <f t="shared" si="16"/>
        <v>197</v>
      </c>
      <c r="AW33" s="480">
        <v>194617</v>
      </c>
      <c r="AX33" s="760">
        <f t="shared" si="40"/>
        <v>16</v>
      </c>
      <c r="AY33" s="480">
        <v>16696431</v>
      </c>
      <c r="AZ33" s="760">
        <f t="shared" si="17"/>
        <v>1511</v>
      </c>
      <c r="BA33" s="480">
        <v>20183214</v>
      </c>
      <c r="BB33" s="760">
        <f t="shared" si="18"/>
        <v>2037.3000000000002</v>
      </c>
      <c r="BC33" s="760">
        <f t="shared" si="19"/>
        <v>3806.6800000000003</v>
      </c>
      <c r="BD33" s="855">
        <v>1323286</v>
      </c>
      <c r="BE33" s="760">
        <f t="shared" si="20"/>
        <v>0</v>
      </c>
      <c r="BF33" s="480">
        <v>3119300</v>
      </c>
      <c r="BG33" s="760">
        <f t="shared" si="21"/>
        <v>527</v>
      </c>
      <c r="BH33" s="480">
        <v>346550</v>
      </c>
      <c r="BI33" s="760">
        <f t="shared" si="22"/>
        <v>45</v>
      </c>
      <c r="BJ33" s="480">
        <v>393509</v>
      </c>
      <c r="BK33" s="760">
        <f t="shared" si="29"/>
        <v>113</v>
      </c>
      <c r="BL33" s="870">
        <f t="shared" si="26"/>
        <v>8492.91</v>
      </c>
      <c r="BM33" s="871"/>
      <c r="BN33" s="870" t="e">
        <f t="shared" si="41"/>
        <v>#DIV/0!</v>
      </c>
      <c r="BO33" s="871"/>
      <c r="BP33" s="870" t="e">
        <f t="shared" si="27"/>
        <v>#DIV/0!</v>
      </c>
      <c r="BQ33" s="870">
        <f>BL33*BS1</f>
        <v>3906.7386000000001</v>
      </c>
      <c r="BR33" s="870" t="e">
        <f t="shared" si="42"/>
        <v>#DIV/0!</v>
      </c>
      <c r="BS33" s="872" t="e">
        <f t="shared" si="32"/>
        <v>#DIV/0!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>
        <v>20899557</v>
      </c>
      <c r="J34" s="760">
        <f t="shared" si="23"/>
        <v>1975</v>
      </c>
      <c r="K34" s="760">
        <f t="shared" si="0"/>
        <v>1514</v>
      </c>
      <c r="L34" s="855">
        <v>638284</v>
      </c>
      <c r="M34" s="760">
        <f t="shared" si="1"/>
        <v>794</v>
      </c>
      <c r="N34" s="855">
        <v>624667</v>
      </c>
      <c r="O34" s="760">
        <f t="shared" si="2"/>
        <v>720</v>
      </c>
      <c r="P34" s="855">
        <v>210665</v>
      </c>
      <c r="Q34" s="760">
        <f t="shared" si="37"/>
        <v>180</v>
      </c>
      <c r="R34" s="480">
        <v>702925</v>
      </c>
      <c r="S34" s="760">
        <f t="shared" si="38"/>
        <v>0</v>
      </c>
      <c r="T34" s="480">
        <v>344001</v>
      </c>
      <c r="U34" s="760">
        <f t="shared" si="39"/>
        <v>0</v>
      </c>
      <c r="V34" s="480">
        <v>89705</v>
      </c>
      <c r="W34" s="760">
        <f t="shared" si="43"/>
        <v>106</v>
      </c>
      <c r="X34" s="480">
        <v>167157</v>
      </c>
      <c r="Y34" s="760">
        <f t="shared" si="5"/>
        <v>210</v>
      </c>
      <c r="Z34" s="480">
        <v>315108</v>
      </c>
      <c r="AA34" s="760">
        <f t="shared" si="6"/>
        <v>0</v>
      </c>
      <c r="AB34" s="480">
        <v>657605</v>
      </c>
      <c r="AC34" s="760">
        <f t="shared" si="44"/>
        <v>0</v>
      </c>
      <c r="AD34" s="480">
        <v>726276</v>
      </c>
      <c r="AE34" s="760">
        <f t="shared" si="8"/>
        <v>1910.65</v>
      </c>
      <c r="AF34" s="480">
        <v>702736</v>
      </c>
      <c r="AG34" s="760">
        <f t="shared" si="9"/>
        <v>0</v>
      </c>
      <c r="AH34" s="855">
        <v>195509</v>
      </c>
      <c r="AI34" s="760">
        <f t="shared" si="10"/>
        <v>173.31</v>
      </c>
      <c r="AJ34" s="480">
        <v>222385</v>
      </c>
      <c r="AK34" s="760">
        <f t="shared" si="28"/>
        <v>2160.2800000000002</v>
      </c>
      <c r="AL34" s="760">
        <f t="shared" si="11"/>
        <v>4244.24</v>
      </c>
      <c r="AM34" s="480">
        <v>6883996</v>
      </c>
      <c r="AN34" s="760">
        <f t="shared" si="12"/>
        <v>24</v>
      </c>
      <c r="AO34" s="480">
        <v>536133</v>
      </c>
      <c r="AP34" s="760">
        <f t="shared" si="13"/>
        <v>18</v>
      </c>
      <c r="AQ34" s="855">
        <v>880316</v>
      </c>
      <c r="AR34" s="760">
        <f t="shared" si="14"/>
        <v>12.32</v>
      </c>
      <c r="AS34" s="480">
        <v>781396</v>
      </c>
      <c r="AT34" s="760">
        <f t="shared" si="15"/>
        <v>33</v>
      </c>
      <c r="AU34" s="480">
        <v>2150750</v>
      </c>
      <c r="AV34" s="760">
        <f t="shared" si="16"/>
        <v>333</v>
      </c>
      <c r="AW34" s="480">
        <v>194647</v>
      </c>
      <c r="AX34" s="760">
        <f t="shared" si="40"/>
        <v>30</v>
      </c>
      <c r="AY34" s="855">
        <v>16698816</v>
      </c>
      <c r="AZ34" s="760">
        <f t="shared" si="17"/>
        <v>2385</v>
      </c>
      <c r="BA34" s="855">
        <v>20187879</v>
      </c>
      <c r="BB34" s="760">
        <f t="shared" si="18"/>
        <v>3801.8</v>
      </c>
      <c r="BC34" s="760">
        <f t="shared" si="19"/>
        <v>6637.1200000000008</v>
      </c>
      <c r="BD34" s="855">
        <v>1323286</v>
      </c>
      <c r="BE34" s="760">
        <f t="shared" si="20"/>
        <v>0</v>
      </c>
      <c r="BF34" s="480">
        <v>3120312</v>
      </c>
      <c r="BG34" s="760">
        <f t="shared" si="21"/>
        <v>1012</v>
      </c>
      <c r="BH34" s="480">
        <v>346634</v>
      </c>
      <c r="BI34" s="760">
        <f t="shared" si="22"/>
        <v>84</v>
      </c>
      <c r="BJ34" s="480">
        <v>393723</v>
      </c>
      <c r="BK34" s="760">
        <f t="shared" si="29"/>
        <v>214</v>
      </c>
      <c r="BL34" s="870">
        <f t="shared" si="26"/>
        <v>13036.36</v>
      </c>
      <c r="BM34" s="871"/>
      <c r="BN34" s="870" t="e">
        <f t="shared" si="41"/>
        <v>#DIV/0!</v>
      </c>
      <c r="BO34" s="871"/>
      <c r="BP34" s="870" t="e">
        <f t="shared" si="27"/>
        <v>#DIV/0!</v>
      </c>
      <c r="BQ34" s="870">
        <f>BL34*BS1</f>
        <v>5996.7256000000007</v>
      </c>
      <c r="BR34" s="870" t="e">
        <f t="shared" si="42"/>
        <v>#DIV/0!</v>
      </c>
      <c r="BS34" s="872" t="e">
        <f t="shared" si="32"/>
        <v>#DIV/0!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>
        <v>20901504</v>
      </c>
      <c r="J35" s="760">
        <f t="shared" si="23"/>
        <v>1947</v>
      </c>
      <c r="K35" s="760">
        <f t="shared" si="0"/>
        <v>1517</v>
      </c>
      <c r="L35" s="480">
        <v>639080</v>
      </c>
      <c r="M35" s="760">
        <f t="shared" si="1"/>
        <v>796</v>
      </c>
      <c r="N35" s="480">
        <v>625388</v>
      </c>
      <c r="O35" s="760">
        <f t="shared" si="2"/>
        <v>721</v>
      </c>
      <c r="P35" s="480">
        <v>210666</v>
      </c>
      <c r="Q35" s="760">
        <f t="shared" si="37"/>
        <v>30</v>
      </c>
      <c r="R35" s="480">
        <v>702925</v>
      </c>
      <c r="S35" s="760">
        <f t="shared" si="38"/>
        <v>0</v>
      </c>
      <c r="T35" s="480">
        <v>344001</v>
      </c>
      <c r="U35" s="760">
        <f t="shared" si="39"/>
        <v>0</v>
      </c>
      <c r="V35" s="480">
        <v>89795</v>
      </c>
      <c r="W35" s="760">
        <f t="shared" si="43"/>
        <v>90</v>
      </c>
      <c r="X35" s="480">
        <v>167356</v>
      </c>
      <c r="Y35" s="760">
        <f t="shared" si="5"/>
        <v>199</v>
      </c>
      <c r="Z35" s="480">
        <v>315108</v>
      </c>
      <c r="AA35" s="760">
        <f t="shared" si="6"/>
        <v>0</v>
      </c>
      <c r="AB35" s="480">
        <v>657605</v>
      </c>
      <c r="AC35" s="760">
        <f t="shared" si="44"/>
        <v>0</v>
      </c>
      <c r="AD35" s="480">
        <v>728396</v>
      </c>
      <c r="AE35" s="760">
        <f t="shared" si="8"/>
        <v>1123.6000000000001</v>
      </c>
      <c r="AF35" s="480">
        <v>702736</v>
      </c>
      <c r="AG35" s="760">
        <f t="shared" si="9"/>
        <v>0</v>
      </c>
      <c r="AH35" s="480">
        <v>196075</v>
      </c>
      <c r="AI35" s="760">
        <f t="shared" si="10"/>
        <v>299.98</v>
      </c>
      <c r="AJ35" s="855">
        <v>225862</v>
      </c>
      <c r="AK35" s="760">
        <f t="shared" si="28"/>
        <v>1842.8100000000002</v>
      </c>
      <c r="AL35" s="760">
        <f t="shared" si="11"/>
        <v>3266.3900000000003</v>
      </c>
      <c r="AM35" s="904">
        <v>6884044</v>
      </c>
      <c r="AN35" s="760">
        <f t="shared" si="12"/>
        <v>48</v>
      </c>
      <c r="AO35" s="480">
        <v>536149</v>
      </c>
      <c r="AP35" s="760">
        <f t="shared" si="13"/>
        <v>16</v>
      </c>
      <c r="AQ35" s="480">
        <v>880387</v>
      </c>
      <c r="AR35" s="760">
        <f t="shared" si="14"/>
        <v>7.81</v>
      </c>
      <c r="AS35" s="480">
        <v>781443</v>
      </c>
      <c r="AT35" s="760">
        <f t="shared" si="15"/>
        <v>47</v>
      </c>
      <c r="AU35" s="855">
        <v>2151079</v>
      </c>
      <c r="AV35" s="760">
        <f t="shared" si="16"/>
        <v>329</v>
      </c>
      <c r="AW35" s="855">
        <v>194678</v>
      </c>
      <c r="AX35" s="760">
        <f t="shared" si="40"/>
        <v>31</v>
      </c>
      <c r="AY35" s="855">
        <v>16700726</v>
      </c>
      <c r="AZ35" s="760">
        <f t="shared" si="17"/>
        <v>1910</v>
      </c>
      <c r="BA35" s="855">
        <v>20192095</v>
      </c>
      <c r="BB35" s="760">
        <f t="shared" si="18"/>
        <v>3398.1</v>
      </c>
      <c r="BC35" s="760">
        <f t="shared" si="19"/>
        <v>5786.91</v>
      </c>
      <c r="BD35" s="855">
        <v>1323286</v>
      </c>
      <c r="BE35" s="760">
        <f t="shared" si="20"/>
        <v>0</v>
      </c>
      <c r="BF35" s="480">
        <v>3121286</v>
      </c>
      <c r="BG35" s="760">
        <f t="shared" si="21"/>
        <v>974</v>
      </c>
      <c r="BH35" s="855">
        <v>346713</v>
      </c>
      <c r="BI35" s="760">
        <f t="shared" si="22"/>
        <v>79</v>
      </c>
      <c r="BJ35" s="480">
        <v>393917</v>
      </c>
      <c r="BK35" s="760">
        <f t="shared" si="29"/>
        <v>194</v>
      </c>
      <c r="BL35" s="870">
        <f t="shared" si="26"/>
        <v>11030.3</v>
      </c>
      <c r="BM35" s="871"/>
      <c r="BN35" s="870" t="e">
        <f t="shared" si="41"/>
        <v>#DIV/0!</v>
      </c>
      <c r="BO35" s="871"/>
      <c r="BP35" s="870" t="e">
        <f t="shared" si="27"/>
        <v>#DIV/0!</v>
      </c>
      <c r="BQ35" s="870">
        <f>BL35*BS1</f>
        <v>5073.9380000000001</v>
      </c>
      <c r="BR35" s="870" t="e">
        <f t="shared" si="42"/>
        <v>#DIV/0!</v>
      </c>
      <c r="BS35" s="872" t="e">
        <f t="shared" si="32"/>
        <v>#DIV/0!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480">
        <v>20903264</v>
      </c>
      <c r="J36" s="760">
        <f t="shared" si="23"/>
        <v>1760</v>
      </c>
      <c r="K36" s="760">
        <f t="shared" si="0"/>
        <v>391</v>
      </c>
      <c r="L36" s="480">
        <v>639087</v>
      </c>
      <c r="M36" s="760">
        <f t="shared" si="1"/>
        <v>7</v>
      </c>
      <c r="N36" s="480">
        <v>625772</v>
      </c>
      <c r="O36" s="760">
        <f t="shared" si="2"/>
        <v>384</v>
      </c>
      <c r="P36" s="855">
        <v>210667</v>
      </c>
      <c r="Q36" s="760">
        <f t="shared" si="37"/>
        <v>30</v>
      </c>
      <c r="R36" s="480">
        <v>702925</v>
      </c>
      <c r="S36" s="760">
        <f t="shared" si="38"/>
        <v>0</v>
      </c>
      <c r="T36" s="480">
        <v>344001</v>
      </c>
      <c r="U36" s="760">
        <f t="shared" si="39"/>
        <v>0</v>
      </c>
      <c r="V36" s="480">
        <v>89901</v>
      </c>
      <c r="W36" s="760">
        <f t="shared" si="43"/>
        <v>106</v>
      </c>
      <c r="X36" s="480">
        <v>167667</v>
      </c>
      <c r="Y36" s="760">
        <f t="shared" si="5"/>
        <v>311</v>
      </c>
      <c r="Z36" s="480">
        <v>315108</v>
      </c>
      <c r="AA36" s="760">
        <f t="shared" si="6"/>
        <v>0</v>
      </c>
      <c r="AB36" s="480">
        <v>657605</v>
      </c>
      <c r="AC36" s="760">
        <f t="shared" si="44"/>
        <v>0</v>
      </c>
      <c r="AD36" s="480">
        <v>728396</v>
      </c>
      <c r="AE36" s="760">
        <f t="shared" si="8"/>
        <v>0</v>
      </c>
      <c r="AF36" s="480">
        <v>704806</v>
      </c>
      <c r="AG36" s="760">
        <f t="shared" si="9"/>
        <v>1097.1000000000001</v>
      </c>
      <c r="AH36" s="480">
        <v>196777</v>
      </c>
      <c r="AI36" s="760">
        <f t="shared" si="10"/>
        <v>372.06</v>
      </c>
      <c r="AJ36" s="480">
        <v>230037</v>
      </c>
      <c r="AK36" s="760">
        <f t="shared" si="28"/>
        <v>2212.75</v>
      </c>
      <c r="AL36" s="760">
        <f t="shared" si="11"/>
        <v>3681.91</v>
      </c>
      <c r="AM36" s="480">
        <v>6884066</v>
      </c>
      <c r="AN36" s="760">
        <f t="shared" si="12"/>
        <v>22</v>
      </c>
      <c r="AO36" s="480">
        <v>536155</v>
      </c>
      <c r="AP36" s="760">
        <f t="shared" si="13"/>
        <v>6</v>
      </c>
      <c r="AQ36" s="480">
        <v>880427</v>
      </c>
      <c r="AR36" s="760">
        <f t="shared" si="14"/>
        <v>4.4000000000000004</v>
      </c>
      <c r="AS36" s="480">
        <v>781476</v>
      </c>
      <c r="AT36" s="760">
        <f t="shared" si="15"/>
        <v>33</v>
      </c>
      <c r="AU36" s="480">
        <v>2151442</v>
      </c>
      <c r="AV36" s="760">
        <f t="shared" si="16"/>
        <v>363</v>
      </c>
      <c r="AW36" s="480">
        <v>194717</v>
      </c>
      <c r="AX36" s="760">
        <f t="shared" si="40"/>
        <v>39</v>
      </c>
      <c r="AY36" s="480">
        <v>16702581</v>
      </c>
      <c r="AZ36" s="760">
        <f t="shared" si="17"/>
        <v>1855</v>
      </c>
      <c r="BA36" s="855">
        <v>20196681</v>
      </c>
      <c r="BB36" s="760">
        <f t="shared" si="18"/>
        <v>3693.7</v>
      </c>
      <c r="BC36" s="760">
        <f t="shared" si="19"/>
        <v>6016.1</v>
      </c>
      <c r="BD36" s="855">
        <v>1323286</v>
      </c>
      <c r="BE36" s="760">
        <f t="shared" si="20"/>
        <v>0</v>
      </c>
      <c r="BF36" s="480">
        <v>3122359</v>
      </c>
      <c r="BG36" s="760">
        <f t="shared" si="21"/>
        <v>1073</v>
      </c>
      <c r="BH36" s="480">
        <v>346792</v>
      </c>
      <c r="BI36" s="760">
        <f t="shared" si="22"/>
        <v>79</v>
      </c>
      <c r="BJ36" s="480">
        <v>394126</v>
      </c>
      <c r="BK36" s="760">
        <f t="shared" si="29"/>
        <v>209</v>
      </c>
      <c r="BL36" s="870">
        <f t="shared" si="26"/>
        <v>11488.01</v>
      </c>
      <c r="BM36" s="871"/>
      <c r="BN36" s="870" t="e">
        <f t="shared" si="41"/>
        <v>#DIV/0!</v>
      </c>
      <c r="BO36" s="920"/>
      <c r="BP36" s="870" t="e">
        <f t="shared" si="27"/>
        <v>#DIV/0!</v>
      </c>
      <c r="BQ36" s="870">
        <f>BL36*BS1</f>
        <v>5284.4846000000007</v>
      </c>
      <c r="BR36" s="870" t="e">
        <f t="shared" si="42"/>
        <v>#DIV/0!</v>
      </c>
      <c r="BS36" s="872" t="e">
        <f t="shared" si="32"/>
        <v>#DIV/0!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133010</v>
      </c>
      <c r="K37" s="910">
        <f>SUM(K6:K36)</f>
        <v>85943</v>
      </c>
      <c r="L37" s="875"/>
      <c r="M37" s="638">
        <f>SUM(M6:M36)</f>
        <v>46028</v>
      </c>
      <c r="N37" s="875"/>
      <c r="O37" s="638">
        <f>SUM(O6:O36)</f>
        <v>39915</v>
      </c>
      <c r="P37" s="874"/>
      <c r="Q37" s="638">
        <f>SUM(Q6:Q36)</f>
        <v>13890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4295</v>
      </c>
      <c r="X37" s="915"/>
      <c r="Y37" s="638">
        <f>SUM(Y6:Y36)</f>
        <v>7654</v>
      </c>
      <c r="Z37" s="874"/>
      <c r="AA37" s="638">
        <f>SUM(AA6:AA36)</f>
        <v>0</v>
      </c>
      <c r="AB37" s="480"/>
      <c r="AC37" s="638">
        <f>SUM(AC5:AC36)</f>
        <v>16331.42</v>
      </c>
      <c r="AD37" s="911"/>
      <c r="AE37" s="910">
        <f>SUM(AE6:AE36)</f>
        <v>27414.78</v>
      </c>
      <c r="AF37" s="874"/>
      <c r="AG37" s="638">
        <f>SUM(AG6:AG36)</f>
        <v>11367.44</v>
      </c>
      <c r="AH37" s="877"/>
      <c r="AI37" s="638">
        <f>SUM(AI6:AI36)</f>
        <v>6751.670000000001</v>
      </c>
      <c r="AJ37" s="877"/>
      <c r="AK37" s="638">
        <f>SUM(AK6:AK36)</f>
        <v>58201.42</v>
      </c>
      <c r="AL37" s="910">
        <f>SUM(AL6:AL36)</f>
        <v>120066.73000000005</v>
      </c>
      <c r="AM37" s="877"/>
      <c r="AN37" s="638">
        <f>SUM(AN6:AN36)</f>
        <v>16388</v>
      </c>
      <c r="AO37" s="877"/>
      <c r="AP37" s="638">
        <f>SUM(AP6:AP36)</f>
        <v>6222</v>
      </c>
      <c r="AQ37" s="877"/>
      <c r="AR37" s="638">
        <f>SUM(AR6:AR36)</f>
        <v>681.56</v>
      </c>
      <c r="AS37" s="877"/>
      <c r="AT37" s="638">
        <f>SUM(AT6:AT36)</f>
        <v>4442</v>
      </c>
      <c r="AU37" s="877"/>
      <c r="AV37" s="638">
        <f>SUM(AV6:AV36)</f>
        <v>19311</v>
      </c>
      <c r="AW37" s="877"/>
      <c r="AX37" s="638">
        <f>SUM(AX6:AX36)</f>
        <v>1363</v>
      </c>
      <c r="AY37" s="877"/>
      <c r="AZ37" s="638">
        <f>SUM(AZ6:AZ36)</f>
        <v>122556</v>
      </c>
      <c r="BA37" s="877"/>
      <c r="BB37" s="910">
        <f>SUM(BB6:BB36)</f>
        <v>139151.19999999998</v>
      </c>
      <c r="BC37" s="910">
        <f>SUM(BC6:BC36)</f>
        <v>310114.75999999995</v>
      </c>
      <c r="BD37" s="875"/>
      <c r="BE37" s="638">
        <f>SUM(BE6:BE36)</f>
        <v>0</v>
      </c>
      <c r="BF37" s="877"/>
      <c r="BG37" s="638">
        <f>SUM(BG6:BG36)</f>
        <v>29688</v>
      </c>
      <c r="BH37" s="877"/>
      <c r="BI37" s="638">
        <f>SUM(BI6:BI36)</f>
        <v>3332</v>
      </c>
      <c r="BJ37" s="877"/>
      <c r="BK37" s="638">
        <f>SUM(BK6:BK36)</f>
        <v>5976</v>
      </c>
      <c r="BL37" s="638">
        <f>SUM(BL6:BL36)</f>
        <v>577081.49000000011</v>
      </c>
      <c r="BM37" s="878">
        <f>SUM(BM6:BM36)</f>
        <v>1699</v>
      </c>
      <c r="BN37" s="879">
        <f>IF(BL37&gt;0,BL37/BM37,0)</f>
        <v>339.65949970570932</v>
      </c>
      <c r="BO37" s="878">
        <f>SUM(BO6:BO35)</f>
        <v>0</v>
      </c>
      <c r="BP37" s="879" t="e">
        <f>IF(BL37&gt;0,BL37/BO37,0)</f>
        <v>#DIV/0!</v>
      </c>
      <c r="BQ37" s="616">
        <f>SUM(BQ6:BQ35)</f>
        <v>260173.0008000001</v>
      </c>
      <c r="BR37" s="879">
        <f>IF(BQ37&gt;0,BQ37/BM37,0)</f>
        <v>153.13301989405539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4433.666666666667</v>
      </c>
      <c r="K38" s="881">
        <f>K37/J46</f>
        <v>2864.7666666666669</v>
      </c>
      <c r="L38" s="882"/>
      <c r="M38" s="881">
        <f>M37/J46</f>
        <v>1534.2666666666667</v>
      </c>
      <c r="N38" s="882"/>
      <c r="O38" s="881">
        <f>O37/J46</f>
        <v>1330.5</v>
      </c>
      <c r="P38" s="883"/>
      <c r="Q38" s="881">
        <f>Q37/J46</f>
        <v>463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143.16666666666666</v>
      </c>
      <c r="X38" s="916"/>
      <c r="Y38" s="881">
        <f>Y37/J46</f>
        <v>255.13333333333333</v>
      </c>
      <c r="Z38" s="883"/>
      <c r="AA38" s="881">
        <f>AA37/J46</f>
        <v>0</v>
      </c>
      <c r="AB38" s="883"/>
      <c r="AC38" s="760"/>
      <c r="AD38" s="884"/>
      <c r="AE38" s="881">
        <f>AE37/J46</f>
        <v>913.82599999999991</v>
      </c>
      <c r="AF38" s="883"/>
      <c r="AG38" s="881">
        <f>AG37/J46</f>
        <v>378.91466666666668</v>
      </c>
      <c r="AH38" s="885"/>
      <c r="AI38" s="881">
        <f>AI37/J46</f>
        <v>225.0556666666667</v>
      </c>
      <c r="AJ38" s="885"/>
      <c r="AK38" s="881">
        <f>AK37/J46</f>
        <v>1940.0473333333332</v>
      </c>
      <c r="AL38" s="881">
        <f>AL37/J46</f>
        <v>4002.2243333333349</v>
      </c>
      <c r="AM38" s="885"/>
      <c r="AN38" s="881">
        <f>AN37/J46</f>
        <v>546.26666666666665</v>
      </c>
      <c r="AO38" s="885"/>
      <c r="AP38" s="881">
        <f>AP37/J46</f>
        <v>207.4</v>
      </c>
      <c r="AQ38" s="885"/>
      <c r="AR38" s="881">
        <f>AR37/J46</f>
        <v>22.718666666666664</v>
      </c>
      <c r="AS38" s="885"/>
      <c r="AT38" s="881">
        <f>AT37/J46</f>
        <v>148.06666666666666</v>
      </c>
      <c r="AU38" s="885"/>
      <c r="AV38" s="881">
        <f>AV37/J46</f>
        <v>643.70000000000005</v>
      </c>
      <c r="AW38" s="885"/>
      <c r="AX38" s="881">
        <f>AX37/J46</f>
        <v>45.43333333333333</v>
      </c>
      <c r="AY38" s="885"/>
      <c r="AZ38" s="881">
        <f>AZ37/J46</f>
        <v>4085.2</v>
      </c>
      <c r="BA38" s="885"/>
      <c r="BB38" s="881">
        <f>BB37/J46</f>
        <v>4638.373333333333</v>
      </c>
      <c r="BC38" s="881"/>
      <c r="BD38" s="882"/>
      <c r="BE38" s="881">
        <f>BE37/J46</f>
        <v>0</v>
      </c>
      <c r="BF38" s="885"/>
      <c r="BG38" s="881">
        <f>BG37/J46</f>
        <v>989.6</v>
      </c>
      <c r="BH38" s="885"/>
      <c r="BI38" s="881">
        <f>BI37/J46</f>
        <v>111.06666666666666</v>
      </c>
      <c r="BJ38" s="885"/>
      <c r="BK38" s="881">
        <f>BK37/J46</f>
        <v>199.2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20897582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8"/>
      <c r="B52" s="978"/>
      <c r="BM52" s="31"/>
    </row>
    <row r="54" spans="1:65" ht="30.75" customHeight="1">
      <c r="BL54" s="585"/>
    </row>
    <row r="56" spans="1:65" ht="30.75" customHeight="1">
      <c r="I56" s="31">
        <f>-L11</f>
        <v>-607310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algorithmName="SHA-512" hashValue="3JWqGiTsBUgIhdUHQB2QzfKGj4nGGuDJwhOuLqLXLKH4u7vuKjDECoFUO/i/W1v+Uwf+b0gCKf3LPow8AQ4XYQ==" saltValue="c5vKmtRjwrbdhbQI9sFKyQ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16" activePane="bottomRight" state="frozen"/>
      <selection activeCell="G39" sqref="G39"/>
      <selection pane="topRight" activeCell="G39" sqref="G39"/>
      <selection pane="bottomLeft" activeCell="G39" sqref="G39"/>
      <selection pane="bottomRight" activeCell="D29" sqref="D2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2" t="str">
        <f>Elect!A1</f>
        <v>March</v>
      </c>
      <c r="B1" s="694"/>
      <c r="C1" s="695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696"/>
      <c r="P1" s="1014"/>
      <c r="Q1" s="1014"/>
      <c r="R1" s="1014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3"/>
      <c r="B2" s="701"/>
      <c r="C2" s="695"/>
      <c r="O2" s="696"/>
      <c r="P2" s="1015"/>
      <c r="Q2" s="1015"/>
      <c r="R2" s="1015"/>
      <c r="T2" s="702"/>
      <c r="X2" s="703"/>
    </row>
    <row r="3" spans="1:26" s="617" customFormat="1" ht="42" customHeight="1" thickBot="1">
      <c r="A3" s="1007" t="s">
        <v>10</v>
      </c>
      <c r="B3" s="704"/>
      <c r="C3" s="705"/>
      <c r="D3" s="705"/>
      <c r="E3" s="706" t="s">
        <v>11</v>
      </c>
      <c r="F3" s="705"/>
      <c r="G3" s="705"/>
      <c r="H3" s="707"/>
      <c r="I3" s="1001" t="s">
        <v>362</v>
      </c>
      <c r="J3" s="1002"/>
      <c r="K3" s="1002"/>
      <c r="L3" s="1002"/>
      <c r="M3" s="1003"/>
      <c r="N3" s="992" t="s">
        <v>306</v>
      </c>
      <c r="O3" s="993"/>
      <c r="P3" s="1010" t="s">
        <v>307</v>
      </c>
      <c r="Q3" s="1010"/>
      <c r="R3" s="1010" t="s">
        <v>308</v>
      </c>
      <c r="S3" s="1010"/>
      <c r="T3" s="985" t="s">
        <v>14</v>
      </c>
      <c r="U3" s="988" t="s">
        <v>49</v>
      </c>
      <c r="V3" s="988" t="s">
        <v>15</v>
      </c>
      <c r="W3" s="988" t="s">
        <v>16</v>
      </c>
      <c r="X3" s="1018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08"/>
      <c r="B4" s="995" t="s">
        <v>302</v>
      </c>
      <c r="C4" s="996"/>
      <c r="D4" s="997" t="s">
        <v>303</v>
      </c>
      <c r="E4" s="998"/>
      <c r="F4" s="997" t="s">
        <v>304</v>
      </c>
      <c r="G4" s="998"/>
      <c r="H4" s="994" t="s">
        <v>20</v>
      </c>
      <c r="I4" s="999" t="s">
        <v>363</v>
      </c>
      <c r="J4" s="1000"/>
      <c r="K4" s="999" t="s">
        <v>364</v>
      </c>
      <c r="L4" s="1000"/>
      <c r="M4" s="922"/>
      <c r="N4" s="994" t="s">
        <v>305</v>
      </c>
      <c r="O4" s="994" t="s">
        <v>26</v>
      </c>
      <c r="P4" s="989" t="s">
        <v>63</v>
      </c>
      <c r="Q4" s="989" t="s">
        <v>46</v>
      </c>
      <c r="R4" s="989" t="s">
        <v>63</v>
      </c>
      <c r="S4" s="989" t="s">
        <v>46</v>
      </c>
      <c r="T4" s="986"/>
      <c r="U4" s="989"/>
      <c r="V4" s="989"/>
      <c r="W4" s="989"/>
      <c r="X4" s="1019"/>
      <c r="Y4" s="1016" t="s">
        <v>54</v>
      </c>
      <c r="Z4" s="1004" t="s">
        <v>55</v>
      </c>
    </row>
    <row r="5" spans="1:26" s="617" customFormat="1" ht="48.75" customHeight="1" thickBot="1">
      <c r="A5" s="1009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1"/>
      <c r="I5" s="926" t="s">
        <v>22</v>
      </c>
      <c r="J5" s="927"/>
      <c r="K5" s="926" t="s">
        <v>22</v>
      </c>
      <c r="L5" s="927"/>
      <c r="M5" s="925"/>
      <c r="N5" s="990"/>
      <c r="O5" s="990"/>
      <c r="P5" s="990"/>
      <c r="Q5" s="990"/>
      <c r="R5" s="990"/>
      <c r="S5" s="990"/>
      <c r="T5" s="987"/>
      <c r="U5" s="990"/>
      <c r="V5" s="990"/>
      <c r="W5" s="990"/>
      <c r="X5" s="1020"/>
      <c r="Y5" s="1017"/>
      <c r="Z5" s="1005"/>
    </row>
    <row r="6" spans="1:26" s="488" customFormat="1" ht="36.75" customHeight="1">
      <c r="A6" s="713"/>
      <c r="B6" s="113">
        <v>73208</v>
      </c>
      <c r="C6" s="760">
        <f t="shared" ref="C6:C15" si="0">IF(B6&gt;=B5,B6-B5,0)*10*0.58</f>
        <v>0</v>
      </c>
      <c r="D6" s="862">
        <v>145815</v>
      </c>
      <c r="E6" s="760">
        <f>IF(D6&gt;=D5,D6-D5,0)*10*0.58</f>
        <v>0</v>
      </c>
      <c r="F6" s="908">
        <v>14733</v>
      </c>
      <c r="G6" s="760">
        <f>IF(F6&gt;=F5,F6-F5,0)*0.58</f>
        <v>0</v>
      </c>
      <c r="H6" s="905"/>
      <c r="I6" s="908">
        <v>194</v>
      </c>
      <c r="J6" s="924"/>
      <c r="K6" s="908">
        <v>2443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73239</v>
      </c>
      <c r="C7" s="760">
        <f t="shared" si="0"/>
        <v>179.79999999999998</v>
      </c>
      <c r="D7" s="862">
        <v>145816</v>
      </c>
      <c r="E7" s="760">
        <f>IF(D7&gt;=D6,D7-D6,0)*10*0.58</f>
        <v>5.8</v>
      </c>
      <c r="F7" s="908">
        <v>14761</v>
      </c>
      <c r="G7" s="760">
        <f t="shared" ref="G7:G14" si="1">IF(F7&gt;=F6,F7-F6,0)*0.58</f>
        <v>16.239999999999998</v>
      </c>
      <c r="H7" s="760">
        <f>C7+E7+G7</f>
        <v>201.84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117.0672</v>
      </c>
      <c r="R7" s="112"/>
      <c r="S7" s="484">
        <f>IF(R7-R6&gt;0,R7-R6,0)</f>
        <v>0</v>
      </c>
      <c r="T7" s="903">
        <f>Elect!BM6</f>
        <v>169</v>
      </c>
      <c r="U7" s="724">
        <f>H7/T7</f>
        <v>1.1943195266272189</v>
      </c>
      <c r="V7" s="903">
        <f>Elect!BO6</f>
        <v>0</v>
      </c>
      <c r="W7" s="724" t="e">
        <f>H7/V7</f>
        <v>#DIV/0!</v>
      </c>
      <c r="X7" s="727">
        <f>H7*V1</f>
        <v>807.36</v>
      </c>
      <c r="Y7" s="724">
        <f>IF(X7&gt;0,X7/T7,0)</f>
        <v>4.7772781065088754</v>
      </c>
      <c r="Z7" s="728">
        <v>0</v>
      </c>
    </row>
    <row r="8" spans="1:26" s="488" customFormat="1" ht="36.75" customHeight="1">
      <c r="A8" s="713">
        <v>2</v>
      </c>
      <c r="B8" s="113">
        <v>73272</v>
      </c>
      <c r="C8" s="760">
        <f t="shared" si="0"/>
        <v>191.39999999999998</v>
      </c>
      <c r="D8" s="862">
        <v>145817</v>
      </c>
      <c r="E8" s="760">
        <f t="shared" ref="E8:E37" si="2">IF(D8&gt;=D7,D8-D7,0)*10*0.58</f>
        <v>5.8</v>
      </c>
      <c r="F8" s="908">
        <v>14761</v>
      </c>
      <c r="G8" s="760">
        <f t="shared" si="1"/>
        <v>0</v>
      </c>
      <c r="H8" s="760">
        <f t="shared" ref="H8:H37" si="3">C8+E8+G8</f>
        <v>197.2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114.37599999999999</v>
      </c>
      <c r="R8" s="112"/>
      <c r="S8" s="484">
        <f t="shared" ref="S8:S37" si="6">IF(R8-R7&gt;0,R8-R7,0)</f>
        <v>0</v>
      </c>
      <c r="T8" s="903">
        <f>Elect!BM7</f>
        <v>160</v>
      </c>
      <c r="U8" s="724">
        <f t="shared" ref="U8:U37" si="7">H8/T8</f>
        <v>1.2324999999999999</v>
      </c>
      <c r="V8" s="903">
        <f>Elect!BO7</f>
        <v>0</v>
      </c>
      <c r="W8" s="724" t="e">
        <f t="shared" ref="W8:W37" si="8">H8/V8</f>
        <v>#DIV/0!</v>
      </c>
      <c r="X8" s="727">
        <f>H8*V1</f>
        <v>788.8</v>
      </c>
      <c r="Y8" s="724">
        <f>IF(X8&gt;0,X8/T8,0)</f>
        <v>4.93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73301</v>
      </c>
      <c r="C9" s="760">
        <f t="shared" si="0"/>
        <v>168.2</v>
      </c>
      <c r="D9" s="862">
        <v>145817</v>
      </c>
      <c r="E9" s="760">
        <f t="shared" si="2"/>
        <v>0</v>
      </c>
      <c r="F9" s="908">
        <v>14761</v>
      </c>
      <c r="G9" s="760">
        <f t="shared" si="1"/>
        <v>0</v>
      </c>
      <c r="H9" s="760">
        <f t="shared" si="3"/>
        <v>168.2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97.555999999999983</v>
      </c>
      <c r="R9" s="112"/>
      <c r="S9" s="484">
        <f t="shared" si="6"/>
        <v>0</v>
      </c>
      <c r="T9" s="903">
        <f>Elect!BM8</f>
        <v>162</v>
      </c>
      <c r="U9" s="724">
        <f t="shared" si="7"/>
        <v>1.0382716049382716</v>
      </c>
      <c r="V9" s="903">
        <f>Elect!BO8</f>
        <v>0</v>
      </c>
      <c r="W9" s="724" t="e">
        <f t="shared" si="8"/>
        <v>#DIV/0!</v>
      </c>
      <c r="X9" s="727">
        <f>H9*V1</f>
        <v>672.8</v>
      </c>
      <c r="Y9" s="724">
        <f t="shared" ref="Y9:Y37" si="9">IF(X9&gt;0,X9/T9,0)</f>
        <v>4.1530864197530866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73333</v>
      </c>
      <c r="C10" s="760">
        <f t="shared" si="0"/>
        <v>185.6</v>
      </c>
      <c r="D10" s="862">
        <v>145817</v>
      </c>
      <c r="E10" s="760">
        <f t="shared" si="2"/>
        <v>0</v>
      </c>
      <c r="F10" s="908">
        <v>14762</v>
      </c>
      <c r="G10" s="760">
        <f t="shared" si="1"/>
        <v>0.57999999999999996</v>
      </c>
      <c r="H10" s="760">
        <f t="shared" si="3"/>
        <v>186.18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107.98439999999999</v>
      </c>
      <c r="R10" s="112"/>
      <c r="S10" s="484">
        <f t="shared" si="6"/>
        <v>0</v>
      </c>
      <c r="T10" s="903">
        <f>Elect!BM9</f>
        <v>174</v>
      </c>
      <c r="U10" s="724">
        <f t="shared" si="7"/>
        <v>1.07</v>
      </c>
      <c r="V10" s="903">
        <f>Elect!BO9</f>
        <v>0</v>
      </c>
      <c r="W10" s="724" t="e">
        <f t="shared" si="8"/>
        <v>#DIV/0!</v>
      </c>
      <c r="X10" s="727">
        <f>H10*V1</f>
        <v>744.72</v>
      </c>
      <c r="Y10" s="724">
        <f t="shared" si="9"/>
        <v>4.28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73356</v>
      </c>
      <c r="C11" s="760">
        <f t="shared" si="0"/>
        <v>133.39999999999998</v>
      </c>
      <c r="D11" s="862">
        <v>145817</v>
      </c>
      <c r="E11" s="760">
        <f>IF(D11&gt;=D10,D11-D10,0)*10*0.58</f>
        <v>0</v>
      </c>
      <c r="F11" s="908">
        <v>14762</v>
      </c>
      <c r="G11" s="760">
        <f t="shared" si="1"/>
        <v>0</v>
      </c>
      <c r="H11" s="760">
        <f>C11+E11+G11</f>
        <v>133.39999999999998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77.371999999999986</v>
      </c>
      <c r="R11" s="112"/>
      <c r="S11" s="484">
        <f t="shared" si="6"/>
        <v>0</v>
      </c>
      <c r="T11" s="903">
        <f>Elect!BM10</f>
        <v>169</v>
      </c>
      <c r="U11" s="724">
        <f t="shared" si="7"/>
        <v>0.78934911242603534</v>
      </c>
      <c r="V11" s="903">
        <f>Elect!BO10</f>
        <v>0</v>
      </c>
      <c r="W11" s="724" t="e">
        <f t="shared" si="8"/>
        <v>#DIV/0!</v>
      </c>
      <c r="X11" s="727">
        <f>H11*V1</f>
        <v>533.59999999999991</v>
      </c>
      <c r="Y11" s="724">
        <f t="shared" si="9"/>
        <v>3.1573964497041414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73397</v>
      </c>
      <c r="C12" s="760">
        <f t="shared" si="0"/>
        <v>237.79999999999998</v>
      </c>
      <c r="D12" s="862">
        <v>145818</v>
      </c>
      <c r="E12" s="760">
        <f>IF(D12&gt;=D11,D12-D11,0)*10*0.58</f>
        <v>5.8</v>
      </c>
      <c r="F12" s="908">
        <v>14763</v>
      </c>
      <c r="G12" s="760">
        <f t="shared" si="1"/>
        <v>0.57999999999999996</v>
      </c>
      <c r="H12" s="760">
        <f t="shared" si="3"/>
        <v>244.18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141.62439999999998</v>
      </c>
      <c r="R12" s="112"/>
      <c r="S12" s="484">
        <f t="shared" si="6"/>
        <v>0</v>
      </c>
      <c r="T12" s="903">
        <f>Elect!BM11</f>
        <v>120</v>
      </c>
      <c r="U12" s="724">
        <f t="shared" si="7"/>
        <v>2.0348333333333333</v>
      </c>
      <c r="V12" s="903">
        <f>Elect!BO11</f>
        <v>0</v>
      </c>
      <c r="W12" s="724" t="e">
        <f t="shared" si="8"/>
        <v>#DIV/0!</v>
      </c>
      <c r="X12" s="727">
        <f>H12*V1</f>
        <v>976.72</v>
      </c>
      <c r="Y12" s="724">
        <f t="shared" si="9"/>
        <v>8.1393333333333331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73410</v>
      </c>
      <c r="C13" s="760">
        <f t="shared" si="0"/>
        <v>75.399999999999991</v>
      </c>
      <c r="D13" s="862">
        <v>145819</v>
      </c>
      <c r="E13" s="760">
        <f>IF(D13&gt;=D12,D13-D12,0)*10*0.58</f>
        <v>5.8</v>
      </c>
      <c r="F13" s="908">
        <v>14916</v>
      </c>
      <c r="G13" s="760">
        <f t="shared" si="1"/>
        <v>88.74</v>
      </c>
      <c r="H13" s="760">
        <f>C13+E13+G13</f>
        <v>169.94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98.56519999999999</v>
      </c>
      <c r="R13" s="112"/>
      <c r="S13" s="484">
        <f t="shared" si="6"/>
        <v>0</v>
      </c>
      <c r="T13" s="903">
        <f>Elect!BM12</f>
        <v>9</v>
      </c>
      <c r="U13" s="724">
        <f t="shared" si="7"/>
        <v>18.882222222222222</v>
      </c>
      <c r="V13" s="903">
        <f>Elect!BO12</f>
        <v>0</v>
      </c>
      <c r="W13" s="724" t="e">
        <f t="shared" si="8"/>
        <v>#DIV/0!</v>
      </c>
      <c r="X13" s="727">
        <f>H13*V1</f>
        <v>679.76</v>
      </c>
      <c r="Y13" s="724">
        <f t="shared" si="9"/>
        <v>75.528888888888886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73447</v>
      </c>
      <c r="C14" s="760">
        <f t="shared" si="0"/>
        <v>214.6</v>
      </c>
      <c r="D14" s="862">
        <v>145819</v>
      </c>
      <c r="E14" s="760">
        <f>IF(D14&gt;=D13,D14-D13,0)*10*0.58</f>
        <v>0</v>
      </c>
      <c r="F14" s="908">
        <v>15046</v>
      </c>
      <c r="G14" s="760">
        <f t="shared" si="1"/>
        <v>75.399999999999991</v>
      </c>
      <c r="H14" s="760">
        <f t="shared" si="3"/>
        <v>290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168.2</v>
      </c>
      <c r="R14" s="112"/>
      <c r="S14" s="484">
        <f t="shared" si="6"/>
        <v>0</v>
      </c>
      <c r="T14" s="903">
        <f>Elect!BM13</f>
        <v>70</v>
      </c>
      <c r="U14" s="724">
        <f t="shared" si="7"/>
        <v>4.1428571428571432</v>
      </c>
      <c r="V14" s="903">
        <f>Elect!BO13</f>
        <v>0</v>
      </c>
      <c r="W14" s="724" t="e">
        <f t="shared" si="8"/>
        <v>#DIV/0!</v>
      </c>
      <c r="X14" s="727">
        <f>H14*V1</f>
        <v>1160</v>
      </c>
      <c r="Y14" s="724">
        <f t="shared" si="9"/>
        <v>16.571428571428573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73457</v>
      </c>
      <c r="C15" s="760">
        <f t="shared" si="0"/>
        <v>57.999999999999993</v>
      </c>
      <c r="D15" s="862">
        <v>145819</v>
      </c>
      <c r="E15" s="760">
        <f>IF(D15&gt;=D14,D15-D14,0)*10*0.58</f>
        <v>0</v>
      </c>
      <c r="F15" s="908">
        <v>15238</v>
      </c>
      <c r="G15" s="760">
        <f t="shared" ref="G15:G37" si="11">IF(F15&gt;=F14,F15-F14,0)*0.58</f>
        <v>111.35999999999999</v>
      </c>
      <c r="H15" s="760">
        <f t="shared" si="3"/>
        <v>169.35999999999999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98.228799999999978</v>
      </c>
      <c r="R15" s="112"/>
      <c r="S15" s="484">
        <f t="shared" si="6"/>
        <v>0</v>
      </c>
      <c r="T15" s="903">
        <f>Elect!BM14</f>
        <v>89</v>
      </c>
      <c r="U15" s="724">
        <f t="shared" si="7"/>
        <v>1.9029213483146066</v>
      </c>
      <c r="V15" s="903">
        <f>Elect!BO14</f>
        <v>0</v>
      </c>
      <c r="W15" s="724" t="e">
        <f t="shared" si="8"/>
        <v>#DIV/0!</v>
      </c>
      <c r="X15" s="727">
        <f>H15*V1</f>
        <v>677.43999999999994</v>
      </c>
      <c r="Y15" s="724">
        <f t="shared" si="9"/>
        <v>7.6116853932584263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73489</v>
      </c>
      <c r="C16" s="760">
        <f t="shared" ref="C16:C35" si="12">IF(B16&gt;=B15,B16-B15,0)*10*0.58</f>
        <v>185.6</v>
      </c>
      <c r="D16" s="862">
        <v>145819</v>
      </c>
      <c r="E16" s="760">
        <f t="shared" si="2"/>
        <v>0</v>
      </c>
      <c r="F16" s="908">
        <v>15388</v>
      </c>
      <c r="G16" s="760">
        <f t="shared" si="11"/>
        <v>87</v>
      </c>
      <c r="H16" s="760">
        <f t="shared" si="3"/>
        <v>272.60000000000002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158.108</v>
      </c>
      <c r="R16" s="112"/>
      <c r="S16" s="484">
        <f t="shared" si="6"/>
        <v>0</v>
      </c>
      <c r="T16" s="903">
        <f>Elect!BM15</f>
        <v>101</v>
      </c>
      <c r="U16" s="724">
        <f t="shared" si="7"/>
        <v>2.6990099009900992</v>
      </c>
      <c r="V16" s="903">
        <f>Elect!BO15</f>
        <v>0</v>
      </c>
      <c r="W16" s="724" t="e">
        <f t="shared" si="8"/>
        <v>#DIV/0!</v>
      </c>
      <c r="X16" s="727">
        <f>H16*V1</f>
        <v>1090.4000000000001</v>
      </c>
      <c r="Y16" s="724">
        <f t="shared" si="9"/>
        <v>10.796039603960397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73507</v>
      </c>
      <c r="C17" s="760">
        <f t="shared" si="12"/>
        <v>104.39999999999999</v>
      </c>
      <c r="D17" s="862">
        <v>145819</v>
      </c>
      <c r="E17" s="760">
        <f t="shared" si="2"/>
        <v>0</v>
      </c>
      <c r="F17" s="908">
        <v>15547</v>
      </c>
      <c r="G17" s="760">
        <f t="shared" si="11"/>
        <v>92.22</v>
      </c>
      <c r="H17" s="760">
        <f t="shared" si="3"/>
        <v>196.62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114.03959999999999</v>
      </c>
      <c r="R17" s="112"/>
      <c r="S17" s="484">
        <f t="shared" si="6"/>
        <v>0</v>
      </c>
      <c r="T17" s="903">
        <f>Elect!BM16</f>
        <v>71</v>
      </c>
      <c r="U17" s="724">
        <f t="shared" si="7"/>
        <v>2.7692957746478872</v>
      </c>
      <c r="V17" s="903">
        <f>Elect!BO16</f>
        <v>0</v>
      </c>
      <c r="W17" s="724" t="e">
        <f t="shared" si="8"/>
        <v>#DIV/0!</v>
      </c>
      <c r="X17" s="727">
        <f>H17*V1</f>
        <v>786.48</v>
      </c>
      <c r="Y17" s="724">
        <f t="shared" si="9"/>
        <v>11.077183098591549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73519</v>
      </c>
      <c r="C18" s="760">
        <f t="shared" si="12"/>
        <v>69.599999999999994</v>
      </c>
      <c r="D18" s="862">
        <v>145819</v>
      </c>
      <c r="E18" s="760">
        <f t="shared" si="2"/>
        <v>0</v>
      </c>
      <c r="F18" s="908">
        <v>15605</v>
      </c>
      <c r="G18" s="760">
        <f t="shared" si="11"/>
        <v>33.64</v>
      </c>
      <c r="H18" s="760">
        <f t="shared" si="3"/>
        <v>103.24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59.87919999999999</v>
      </c>
      <c r="R18" s="112"/>
      <c r="S18" s="484">
        <f t="shared" si="6"/>
        <v>0</v>
      </c>
      <c r="T18" s="903">
        <f>Elect!BM17</f>
        <v>89</v>
      </c>
      <c r="U18" s="724">
        <f t="shared" si="7"/>
        <v>1.1599999999999999</v>
      </c>
      <c r="V18" s="903">
        <f>Elect!BO17</f>
        <v>0</v>
      </c>
      <c r="W18" s="724" t="e">
        <f t="shared" si="8"/>
        <v>#DIV/0!</v>
      </c>
      <c r="X18" s="727">
        <f>H18*V1</f>
        <v>412.96</v>
      </c>
      <c r="Y18" s="724">
        <f t="shared" si="9"/>
        <v>4.6399999999999997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73532</v>
      </c>
      <c r="C19" s="760">
        <f t="shared" si="12"/>
        <v>75.399999999999991</v>
      </c>
      <c r="D19" s="862">
        <v>145819</v>
      </c>
      <c r="E19" s="760">
        <f t="shared" si="2"/>
        <v>0</v>
      </c>
      <c r="F19" s="908">
        <v>15725</v>
      </c>
      <c r="G19" s="760">
        <f t="shared" si="11"/>
        <v>69.599999999999994</v>
      </c>
      <c r="H19" s="760">
        <f t="shared" si="3"/>
        <v>145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84.1</v>
      </c>
      <c r="R19" s="112"/>
      <c r="S19" s="484">
        <f t="shared" si="6"/>
        <v>0</v>
      </c>
      <c r="T19" s="903">
        <f>Elect!BM18</f>
        <v>83</v>
      </c>
      <c r="U19" s="724">
        <f t="shared" si="7"/>
        <v>1.7469879518072289</v>
      </c>
      <c r="V19" s="903">
        <f>Elect!BO18</f>
        <v>0</v>
      </c>
      <c r="W19" s="724" t="e">
        <f t="shared" si="8"/>
        <v>#DIV/0!</v>
      </c>
      <c r="X19" s="727">
        <f>H19*V1</f>
        <v>580</v>
      </c>
      <c r="Y19" s="724">
        <f t="shared" si="9"/>
        <v>6.9879518072289155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73544</v>
      </c>
      <c r="C20" s="760">
        <f t="shared" si="12"/>
        <v>69.599999999999994</v>
      </c>
      <c r="D20" s="862">
        <v>145819</v>
      </c>
      <c r="E20" s="760">
        <f t="shared" si="2"/>
        <v>0</v>
      </c>
      <c r="F20" s="908">
        <v>15805</v>
      </c>
      <c r="G20" s="760">
        <f t="shared" si="11"/>
        <v>46.4</v>
      </c>
      <c r="H20" s="760">
        <f t="shared" si="3"/>
        <v>116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67.28</v>
      </c>
      <c r="R20" s="112"/>
      <c r="S20" s="484">
        <f t="shared" si="6"/>
        <v>0</v>
      </c>
      <c r="T20" s="903">
        <f>Elect!BM19</f>
        <v>82</v>
      </c>
      <c r="U20" s="724">
        <f t="shared" si="7"/>
        <v>1.4146341463414633</v>
      </c>
      <c r="V20" s="903">
        <f>Elect!BO19</f>
        <v>0</v>
      </c>
      <c r="W20" s="724" t="e">
        <f t="shared" si="8"/>
        <v>#DIV/0!</v>
      </c>
      <c r="X20" s="727">
        <f>H20*V1</f>
        <v>464</v>
      </c>
      <c r="Y20" s="724">
        <f t="shared" si="9"/>
        <v>5.6585365853658534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73561</v>
      </c>
      <c r="C21" s="760">
        <f t="shared" si="12"/>
        <v>98.6</v>
      </c>
      <c r="D21" s="862">
        <v>145819</v>
      </c>
      <c r="E21" s="760">
        <f t="shared" ref="E21:E27" si="13">IF(D21&gt;=D20,D21-D20,0)*10*0.58</f>
        <v>0</v>
      </c>
      <c r="F21" s="908">
        <v>15900</v>
      </c>
      <c r="G21" s="760">
        <f t="shared" si="11"/>
        <v>55.099999999999994</v>
      </c>
      <c r="H21" s="760">
        <f t="shared" si="3"/>
        <v>153.69999999999999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89.145999999999987</v>
      </c>
      <c r="R21" s="112"/>
      <c r="S21" s="484">
        <f t="shared" si="6"/>
        <v>0</v>
      </c>
      <c r="T21" s="903">
        <f>Elect!BM20</f>
        <v>58</v>
      </c>
      <c r="U21" s="724">
        <f t="shared" si="7"/>
        <v>2.65</v>
      </c>
      <c r="V21" s="903">
        <f>Elect!BO20</f>
        <v>0</v>
      </c>
      <c r="W21" s="724" t="e">
        <f t="shared" si="8"/>
        <v>#DIV/0!</v>
      </c>
      <c r="X21" s="727">
        <f>H21*V1</f>
        <v>614.79999999999995</v>
      </c>
      <c r="Y21" s="724">
        <f t="shared" si="9"/>
        <v>10.6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73576</v>
      </c>
      <c r="C22" s="760">
        <f t="shared" si="12"/>
        <v>87</v>
      </c>
      <c r="D22" s="862">
        <v>145819</v>
      </c>
      <c r="E22" s="760">
        <f t="shared" si="13"/>
        <v>0</v>
      </c>
      <c r="F22" s="908">
        <v>15963</v>
      </c>
      <c r="G22" s="760">
        <f>IF(F22&gt;=F21,F22-F21,0)*0.58</f>
        <v>36.54</v>
      </c>
      <c r="H22" s="760">
        <f t="shared" si="3"/>
        <v>123.53999999999999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71.653199999999984</v>
      </c>
      <c r="R22" s="112"/>
      <c r="S22" s="484">
        <f t="shared" si="6"/>
        <v>0</v>
      </c>
      <c r="T22" s="903">
        <f>Elect!BM21</f>
        <v>12</v>
      </c>
      <c r="U22" s="724">
        <f t="shared" si="7"/>
        <v>10.295</v>
      </c>
      <c r="V22" s="903">
        <f>Elect!BO21</f>
        <v>0</v>
      </c>
      <c r="W22" s="724" t="e">
        <f t="shared" si="8"/>
        <v>#DIV/0!</v>
      </c>
      <c r="X22" s="727">
        <f>H22*V1</f>
        <v>494.15999999999997</v>
      </c>
      <c r="Y22" s="724">
        <f t="shared" si="9"/>
        <v>41.18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73589.3</v>
      </c>
      <c r="C23" s="760">
        <f t="shared" si="12"/>
        <v>77.140000000016869</v>
      </c>
      <c r="D23" s="862">
        <v>145819</v>
      </c>
      <c r="E23" s="760">
        <f t="shared" si="13"/>
        <v>0</v>
      </c>
      <c r="F23" s="908">
        <v>15966</v>
      </c>
      <c r="G23" s="760">
        <f>IF(F23&gt;=F22,F23-F22,0)*0.58</f>
        <v>1.7399999999999998</v>
      </c>
      <c r="H23" s="760">
        <f t="shared" si="3"/>
        <v>78.880000000016864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45.750400000009776</v>
      </c>
      <c r="R23" s="112"/>
      <c r="S23" s="484">
        <f t="shared" si="6"/>
        <v>0</v>
      </c>
      <c r="T23" s="903">
        <f>Elect!BM22</f>
        <v>38</v>
      </c>
      <c r="U23" s="724">
        <f t="shared" si="7"/>
        <v>2.0757894736846545</v>
      </c>
      <c r="V23" s="903">
        <f>Elect!BO22</f>
        <v>0</v>
      </c>
      <c r="W23" s="724" t="e">
        <f t="shared" si="8"/>
        <v>#DIV/0!</v>
      </c>
      <c r="X23" s="727">
        <f>H23*V1</f>
        <v>315.52000000006745</v>
      </c>
      <c r="Y23" s="724">
        <f t="shared" si="9"/>
        <v>8.303157894738618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73603</v>
      </c>
      <c r="C24" s="760">
        <f t="shared" si="12"/>
        <v>79.459999999983111</v>
      </c>
      <c r="D24" s="862">
        <v>145819</v>
      </c>
      <c r="E24" s="760">
        <f t="shared" si="13"/>
        <v>0</v>
      </c>
      <c r="F24" s="908">
        <v>15966</v>
      </c>
      <c r="G24" s="760">
        <f>IF(F24&gt;=F23,F24-F23,0)*0.58</f>
        <v>0</v>
      </c>
      <c r="H24" s="760">
        <f t="shared" si="3"/>
        <v>79.459999999983111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46.086799999990198</v>
      </c>
      <c r="R24" s="112"/>
      <c r="S24" s="484">
        <f t="shared" si="6"/>
        <v>0</v>
      </c>
      <c r="T24" s="903">
        <f>Elect!BM23</f>
        <v>25</v>
      </c>
      <c r="U24" s="724">
        <f t="shared" si="7"/>
        <v>3.1783999999993244</v>
      </c>
      <c r="V24" s="903">
        <f>Elect!BO23</f>
        <v>0</v>
      </c>
      <c r="W24" s="724" t="e">
        <f t="shared" si="8"/>
        <v>#DIV/0!</v>
      </c>
      <c r="X24" s="727">
        <f>H24*V1</f>
        <v>317.83999999993245</v>
      </c>
      <c r="Y24" s="724">
        <f t="shared" si="9"/>
        <v>12.713599999997298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73617</v>
      </c>
      <c r="C25" s="760">
        <f t="shared" si="12"/>
        <v>81.199999999999989</v>
      </c>
      <c r="D25" s="862">
        <v>145820</v>
      </c>
      <c r="E25" s="760">
        <f t="shared" si="13"/>
        <v>5.8</v>
      </c>
      <c r="F25" s="908">
        <v>15966</v>
      </c>
      <c r="G25" s="760">
        <f>IF(F25&gt;=F24,F25-F24,0)*0.58</f>
        <v>0</v>
      </c>
      <c r="H25" s="760">
        <f t="shared" si="3"/>
        <v>86.999999999999986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50.459999999999987</v>
      </c>
      <c r="R25" s="112"/>
      <c r="S25" s="484">
        <f t="shared" si="6"/>
        <v>0</v>
      </c>
      <c r="T25" s="903">
        <f>Elect!BM24</f>
        <v>18</v>
      </c>
      <c r="U25" s="724">
        <f t="shared" si="7"/>
        <v>4.8333333333333321</v>
      </c>
      <c r="V25" s="903">
        <f>Elect!BO24</f>
        <v>0</v>
      </c>
      <c r="W25" s="724" t="e">
        <f t="shared" si="8"/>
        <v>#DIV/0!</v>
      </c>
      <c r="X25" s="727">
        <f>H25*V1</f>
        <v>347.99999999999994</v>
      </c>
      <c r="Y25" s="724">
        <f t="shared" si="9"/>
        <v>19.333333333333329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73637</v>
      </c>
      <c r="C26" s="760">
        <f t="shared" si="12"/>
        <v>115.99999999999999</v>
      </c>
      <c r="D26" s="862">
        <v>145820</v>
      </c>
      <c r="E26" s="760">
        <f t="shared" si="13"/>
        <v>0</v>
      </c>
      <c r="F26" s="908">
        <v>15966</v>
      </c>
      <c r="G26" s="760">
        <f t="shared" si="11"/>
        <v>0</v>
      </c>
      <c r="H26" s="760">
        <f t="shared" si="3"/>
        <v>115.99999999999999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67.279999999999987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463.99999999999994</v>
      </c>
      <c r="Y26" s="724" t="e">
        <f t="shared" si="9"/>
        <v>#DIV/0!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>
        <v>73656</v>
      </c>
      <c r="C27" s="760">
        <f t="shared" si="12"/>
        <v>110.19999999999999</v>
      </c>
      <c r="D27" s="862">
        <v>145822</v>
      </c>
      <c r="E27" s="760">
        <f t="shared" si="13"/>
        <v>11.6</v>
      </c>
      <c r="F27" s="908">
        <v>15966</v>
      </c>
      <c r="G27" s="760">
        <f t="shared" si="11"/>
        <v>0</v>
      </c>
      <c r="H27" s="760">
        <f t="shared" si="3"/>
        <v>121.79999999999998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70.643999999999991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487.19999999999993</v>
      </c>
      <c r="Y27" s="724" t="e">
        <f t="shared" si="9"/>
        <v>#DIV/0!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113">
        <v>73677</v>
      </c>
      <c r="C28" s="760">
        <f t="shared" si="12"/>
        <v>121.8</v>
      </c>
      <c r="D28" s="862">
        <v>145822</v>
      </c>
      <c r="E28" s="760">
        <f t="shared" si="2"/>
        <v>0</v>
      </c>
      <c r="F28" s="908">
        <v>15966</v>
      </c>
      <c r="G28" s="760">
        <f t="shared" si="11"/>
        <v>0</v>
      </c>
      <c r="H28" s="760">
        <f t="shared" si="3"/>
        <v>121.8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70.643999999999991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487.2</v>
      </c>
      <c r="Y28" s="724" t="e">
        <f t="shared" si="9"/>
        <v>#DIV/0!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113">
        <v>73696</v>
      </c>
      <c r="C29" s="760">
        <f t="shared" si="12"/>
        <v>110.19999999999999</v>
      </c>
      <c r="D29" s="862">
        <v>145822</v>
      </c>
      <c r="E29" s="760">
        <f t="shared" si="2"/>
        <v>0</v>
      </c>
      <c r="F29" s="908">
        <v>15966</v>
      </c>
      <c r="G29" s="760">
        <f t="shared" si="11"/>
        <v>0</v>
      </c>
      <c r="H29" s="760">
        <f t="shared" si="3"/>
        <v>110.19999999999999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63.91599999999999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440.79999999999995</v>
      </c>
      <c r="Y29" s="724" t="e">
        <f t="shared" si="9"/>
        <v>#DIV/0!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113">
        <v>73718</v>
      </c>
      <c r="C30" s="760">
        <f t="shared" si="12"/>
        <v>127.6</v>
      </c>
      <c r="D30" s="862">
        <v>145824</v>
      </c>
      <c r="E30" s="760">
        <f t="shared" si="2"/>
        <v>11.6</v>
      </c>
      <c r="F30" s="908">
        <v>15966</v>
      </c>
      <c r="G30" s="760">
        <f t="shared" si="11"/>
        <v>0</v>
      </c>
      <c r="H30" s="760">
        <f t="shared" si="3"/>
        <v>139.19999999999999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80.73599999999999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556.79999999999995</v>
      </c>
      <c r="Y30" s="724" t="e">
        <f t="shared" si="9"/>
        <v>#DIV/0!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113">
        <v>73742</v>
      </c>
      <c r="C31" s="760">
        <f t="shared" si="12"/>
        <v>139.19999999999999</v>
      </c>
      <c r="D31" s="862">
        <v>145825</v>
      </c>
      <c r="E31" s="760">
        <f t="shared" si="2"/>
        <v>5.8</v>
      </c>
      <c r="F31" s="908">
        <v>15966</v>
      </c>
      <c r="G31" s="760">
        <f t="shared" si="11"/>
        <v>0</v>
      </c>
      <c r="H31" s="760">
        <f t="shared" si="3"/>
        <v>145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84.1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580</v>
      </c>
      <c r="Y31" s="724" t="e">
        <f t="shared" si="9"/>
        <v>#DIV/0!</v>
      </c>
      <c r="Z31" s="728" t="e">
        <f t="shared" ref="Z31:Z37" si="14">IF(X31&gt;0,X31/V31,0)</f>
        <v>#DIV/0!</v>
      </c>
    </row>
    <row r="32" spans="1:26" s="488" customFormat="1" ht="36.75" customHeight="1">
      <c r="A32" s="713">
        <v>26</v>
      </c>
      <c r="B32" s="113">
        <v>73768</v>
      </c>
      <c r="C32" s="760">
        <f t="shared" si="12"/>
        <v>150.79999999999998</v>
      </c>
      <c r="D32" s="862">
        <v>145826</v>
      </c>
      <c r="E32" s="760">
        <f t="shared" si="2"/>
        <v>5.8</v>
      </c>
      <c r="F32" s="908">
        <v>15966</v>
      </c>
      <c r="G32" s="760">
        <f>IF(F32&gt;=F31,F32-F31,0)*0.58</f>
        <v>0</v>
      </c>
      <c r="H32" s="760">
        <f t="shared" si="3"/>
        <v>156.6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90.827999999999989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626.4</v>
      </c>
      <c r="Y32" s="724" t="e">
        <f t="shared" si="9"/>
        <v>#DIV/0!</v>
      </c>
      <c r="Z32" s="728" t="e">
        <f t="shared" si="14"/>
        <v>#DIV/0!</v>
      </c>
    </row>
    <row r="33" spans="1:26" s="3" customFormat="1" ht="36.75" customHeight="1">
      <c r="A33" s="715">
        <v>27</v>
      </c>
      <c r="B33" s="113">
        <v>73795</v>
      </c>
      <c r="C33" s="760">
        <f t="shared" si="12"/>
        <v>156.6</v>
      </c>
      <c r="D33" s="862">
        <v>145826</v>
      </c>
      <c r="E33" s="760">
        <f t="shared" si="2"/>
        <v>0</v>
      </c>
      <c r="F33" s="908">
        <v>15966</v>
      </c>
      <c r="G33" s="760">
        <f>IF(F33&gt;=F32,F33-F32,0)*0.58</f>
        <v>0</v>
      </c>
      <c r="H33" s="760">
        <f t="shared" si="3"/>
        <v>156.6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90.827999999999989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626.4</v>
      </c>
      <c r="Y33" s="724" t="e">
        <f t="shared" si="9"/>
        <v>#DIV/0!</v>
      </c>
      <c r="Z33" s="728" t="e">
        <f t="shared" si="14"/>
        <v>#DIV/0!</v>
      </c>
    </row>
    <row r="34" spans="1:26" s="3" customFormat="1" ht="36.75" customHeight="1">
      <c r="A34" s="716">
        <v>28</v>
      </c>
      <c r="B34" s="113">
        <v>73820</v>
      </c>
      <c r="C34" s="760">
        <f t="shared" si="12"/>
        <v>145</v>
      </c>
      <c r="D34" s="862">
        <v>145827</v>
      </c>
      <c r="E34" s="760">
        <f t="shared" si="2"/>
        <v>5.8</v>
      </c>
      <c r="F34" s="908">
        <v>15966</v>
      </c>
      <c r="G34" s="760">
        <f>IF(F34&gt;=F33,F34-F33,0)*0.58</f>
        <v>0</v>
      </c>
      <c r="H34" s="760">
        <f t="shared" si="3"/>
        <v>150.80000000000001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87.463999999999999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603.20000000000005</v>
      </c>
      <c r="Y34" s="724" t="e">
        <f t="shared" si="9"/>
        <v>#DIV/0!</v>
      </c>
      <c r="Z34" s="728" t="e">
        <f t="shared" si="14"/>
        <v>#DIV/0!</v>
      </c>
    </row>
    <row r="35" spans="1:26" s="3" customFormat="1" ht="36.75" customHeight="1">
      <c r="A35" s="713">
        <v>29</v>
      </c>
      <c r="B35" s="113">
        <v>73847</v>
      </c>
      <c r="C35" s="760">
        <f t="shared" si="12"/>
        <v>156.6</v>
      </c>
      <c r="D35" s="862">
        <v>145827</v>
      </c>
      <c r="E35" s="760">
        <f t="shared" si="2"/>
        <v>0</v>
      </c>
      <c r="F35" s="908">
        <v>15966</v>
      </c>
      <c r="G35" s="760">
        <f>IF(F35&gt;=F34,F35-F34,0)*0.58</f>
        <v>0</v>
      </c>
      <c r="H35" s="760">
        <f t="shared" si="3"/>
        <v>156.6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90.827999999999989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626.4</v>
      </c>
      <c r="Y35" s="724" t="e">
        <f t="shared" si="9"/>
        <v>#DIV/0!</v>
      </c>
      <c r="Z35" s="728" t="e">
        <f t="shared" si="14"/>
        <v>#DIV/0!</v>
      </c>
    </row>
    <row r="36" spans="1:26" s="3" customFormat="1" ht="36.75" customHeight="1">
      <c r="A36" s="715">
        <v>30</v>
      </c>
      <c r="B36" s="113">
        <v>73869</v>
      </c>
      <c r="C36" s="760">
        <f t="shared" ref="C36:C37" si="15">IF(B36&gt;=B35,B36-B35,0)*10*0.58</f>
        <v>127.6</v>
      </c>
      <c r="D36" s="862">
        <v>145828</v>
      </c>
      <c r="E36" s="760">
        <f t="shared" si="2"/>
        <v>5.8</v>
      </c>
      <c r="F36" s="908">
        <v>15966</v>
      </c>
      <c r="G36" s="760">
        <f t="shared" si="11"/>
        <v>0</v>
      </c>
      <c r="H36" s="760">
        <f t="shared" si="3"/>
        <v>133.4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77.372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533.6</v>
      </c>
      <c r="Y36" s="724" t="e">
        <f t="shared" si="9"/>
        <v>#DIV/0!</v>
      </c>
      <c r="Z36" s="728" t="e">
        <f t="shared" si="14"/>
        <v>#DIV/0!</v>
      </c>
    </row>
    <row r="37" spans="1:26" s="3" customFormat="1" ht="36.75" customHeight="1" thickBot="1">
      <c r="A37" s="713">
        <v>31</v>
      </c>
      <c r="B37" s="113">
        <v>73894</v>
      </c>
      <c r="C37" s="760">
        <f t="shared" si="15"/>
        <v>145</v>
      </c>
      <c r="D37" s="862">
        <v>145828</v>
      </c>
      <c r="E37" s="760">
        <f t="shared" si="2"/>
        <v>0</v>
      </c>
      <c r="F37" s="908">
        <v>15966</v>
      </c>
      <c r="G37" s="760">
        <f t="shared" si="11"/>
        <v>0</v>
      </c>
      <c r="H37" s="760">
        <f t="shared" si="3"/>
        <v>145</v>
      </c>
      <c r="I37" s="908">
        <v>194</v>
      </c>
      <c r="J37" s="923"/>
      <c r="K37" s="908">
        <v>2443</v>
      </c>
      <c r="L37" s="923"/>
      <c r="M37" s="923"/>
      <c r="N37" s="583"/>
      <c r="O37" s="600">
        <f t="shared" si="4"/>
        <v>0</v>
      </c>
      <c r="P37" s="583"/>
      <c r="Q37" s="484">
        <f t="shared" si="5"/>
        <v>84.1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3978.7999999999988</v>
      </c>
      <c r="D38" s="607"/>
      <c r="E38" s="928">
        <f>SUM(E7:E37)</f>
        <v>75.399999999999991</v>
      </c>
      <c r="F38" s="607"/>
      <c r="G38" s="928">
        <f>SUM(G7:G37)</f>
        <v>715.14</v>
      </c>
      <c r="H38" s="928">
        <f>SUM(H7:H37)</f>
        <v>4769.34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2513.9171999999999</v>
      </c>
      <c r="R38" s="607"/>
      <c r="S38" s="614">
        <f>SUM(S7:S34)</f>
        <v>0</v>
      </c>
      <c r="T38" s="615">
        <f>SUM(T7:T36)</f>
        <v>1699</v>
      </c>
      <c r="U38" s="725">
        <f>IF(H38&gt;0,H38/T38,0)</f>
        <v>2.8071453796350796</v>
      </c>
      <c r="V38" s="794">
        <f>SUM(V7:V36)</f>
        <v>0</v>
      </c>
      <c r="W38" s="725" t="e">
        <f>IF(H38&gt;0,H38/V38,0)</f>
        <v>#DIV/0!</v>
      </c>
      <c r="X38" s="729">
        <f>SUM(X7:X36)</f>
        <v>18497.36</v>
      </c>
      <c r="Y38" s="725">
        <f t="shared" ref="Y38:Y44" si="16">IF(X38&gt;0,X38/T38,0)</f>
        <v>10.887204237786934</v>
      </c>
      <c r="Z38" s="730" t="e">
        <f t="shared" ref="Z38:Z44" si="17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128.34838709677416</v>
      </c>
      <c r="D39" s="608"/>
      <c r="E39" s="620">
        <f>E38/B49</f>
        <v>2.4322580645161289</v>
      </c>
      <c r="F39" s="608"/>
      <c r="G39" s="620">
        <f>G38/B49</f>
        <v>23.069032258064517</v>
      </c>
      <c r="H39" s="620">
        <f>H38/B49</f>
        <v>153.84967741935483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81.09410322580645</v>
      </c>
      <c r="R39" s="608"/>
      <c r="S39" s="620" t="e">
        <f>S38/C49</f>
        <v>#DIV/0!</v>
      </c>
      <c r="T39" s="622">
        <f>T38/B49</f>
        <v>54.806451612903224</v>
      </c>
      <c r="U39" s="726">
        <f>IF(H39&gt;0,H39/T39,0)</f>
        <v>2.8071453796350796</v>
      </c>
      <c r="V39" s="742">
        <f>V38/B49</f>
        <v>0</v>
      </c>
      <c r="W39" s="725" t="e">
        <f>IF(H39&gt;0,H39/V39,0)</f>
        <v>#DIV/0!</v>
      </c>
      <c r="X39" s="731">
        <f>X38/B49</f>
        <v>596.68903225806457</v>
      </c>
      <c r="Y39" s="726">
        <f t="shared" si="16"/>
        <v>10.887204237786936</v>
      </c>
      <c r="Z39" s="732" t="e">
        <f t="shared" si="17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6"/>
        <v>0</v>
      </c>
      <c r="Z40" s="730">
        <f t="shared" si="17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6"/>
        <v>#REF!</v>
      </c>
      <c r="Z41" s="732" t="e">
        <f t="shared" si="17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6"/>
        <v>0</v>
      </c>
      <c r="Z43" s="757">
        <f t="shared" si="17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6"/>
        <v>#VALUE!</v>
      </c>
      <c r="Z44" s="644" t="e">
        <f t="shared" si="17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73820</v>
      </c>
      <c r="C48" s="609"/>
      <c r="D48" s="609">
        <f>D34</f>
        <v>145827</v>
      </c>
      <c r="E48" s="609"/>
      <c r="F48" s="609">
        <f>F34</f>
        <v>15966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1" t="s">
        <v>11</v>
      </c>
      <c r="B150" s="991"/>
      <c r="C150" s="991"/>
      <c r="D150" s="991"/>
      <c r="E150" s="991"/>
      <c r="F150" s="991"/>
      <c r="G150" s="991"/>
      <c r="H150" s="991"/>
      <c r="I150" s="991"/>
      <c r="J150" s="991"/>
      <c r="K150" s="991"/>
      <c r="L150" s="991"/>
      <c r="M150" s="991"/>
      <c r="N150" s="99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5" zoomScaleNormal="55" zoomScaleSheetLayoutView="55" workbookViewId="0">
      <pane xSplit="1" ySplit="5" topLeftCell="B18" activePane="bottomRight" state="frozen"/>
      <selection activeCell="D22" sqref="D22"/>
      <selection pane="topRight" activeCell="D22" sqref="D22"/>
      <selection pane="bottomLeft" activeCell="D22" sqref="D22"/>
      <selection pane="bottomRight" activeCell="G33" sqref="G33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1" t="str">
        <f>Elect!A1</f>
        <v>March</v>
      </c>
      <c r="E1" s="969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1"/>
      <c r="C2" s="29"/>
      <c r="E2" s="969"/>
      <c r="G2" s="29"/>
      <c r="H2" s="29"/>
      <c r="I2" s="29"/>
      <c r="K2" s="588"/>
      <c r="L2" s="587"/>
      <c r="M2" s="483"/>
    </row>
    <row r="3" spans="1:13" ht="21" customHeight="1" thickBot="1">
      <c r="A3" s="1022"/>
      <c r="B3" s="29"/>
      <c r="C3" s="29"/>
      <c r="D3" s="29"/>
      <c r="E3" s="970"/>
      <c r="F3" s="29"/>
      <c r="G3" s="29"/>
      <c r="H3" s="29"/>
      <c r="I3" s="29"/>
    </row>
    <row r="4" spans="1:13" ht="53.25" customHeight="1">
      <c r="A4" s="795" t="s">
        <v>23</v>
      </c>
      <c r="B4" s="1023" t="s">
        <v>311</v>
      </c>
      <c r="C4" s="1024"/>
      <c r="D4" s="1023" t="s">
        <v>312</v>
      </c>
      <c r="E4" s="1024"/>
      <c r="F4" s="1023" t="s">
        <v>313</v>
      </c>
      <c r="G4" s="1024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7808046</v>
      </c>
      <c r="C6" s="760">
        <f t="shared" ref="C6:C14" si="0">IF(B6&gt;=B5,B6-B5,0)*1.06</f>
        <v>0</v>
      </c>
      <c r="D6" s="862">
        <v>219724</v>
      </c>
      <c r="E6" s="760">
        <f>IF(D6&gt;=D5,D6-D5,0)*0.7</f>
        <v>0</v>
      </c>
      <c r="F6" s="862">
        <v>554207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7809423</v>
      </c>
      <c r="C7" s="760">
        <f t="shared" si="0"/>
        <v>1459.6200000000001</v>
      </c>
      <c r="D7" s="862">
        <v>220041</v>
      </c>
      <c r="E7" s="760">
        <f t="shared" ref="E7:E37" si="2">IF(D7&gt;=D6,D7-D6,0)*0.7</f>
        <v>221.89999999999998</v>
      </c>
      <c r="F7" s="862">
        <v>554345</v>
      </c>
      <c r="G7" s="760">
        <f t="shared" si="1"/>
        <v>138</v>
      </c>
      <c r="H7" s="760">
        <f>(E7*0.55)*1.61</f>
        <v>196.49245000000002</v>
      </c>
      <c r="I7" s="760">
        <f>C7*J1</f>
        <v>2349.9882000000002</v>
      </c>
      <c r="J7" s="760">
        <f>G7*J1</f>
        <v>222.18</v>
      </c>
      <c r="K7" s="935">
        <f t="shared" ref="K7:K37" si="3">C7+E7</f>
        <v>1681.52</v>
      </c>
    </row>
    <row r="8" spans="1:13" s="475" customFormat="1" ht="41.25" customHeight="1">
      <c r="A8" s="797">
        <v>2</v>
      </c>
      <c r="B8" s="113">
        <v>7810939</v>
      </c>
      <c r="C8" s="760">
        <f t="shared" si="0"/>
        <v>1606.96</v>
      </c>
      <c r="D8" s="862">
        <v>220575</v>
      </c>
      <c r="E8" s="760">
        <f t="shared" si="2"/>
        <v>373.79999999999995</v>
      </c>
      <c r="F8" s="862">
        <v>554409</v>
      </c>
      <c r="G8" s="760">
        <f t="shared" si="1"/>
        <v>64</v>
      </c>
      <c r="H8" s="760">
        <f t="shared" ref="H8:H37" si="4">(E8*0.55)*1.61</f>
        <v>330.99990000000003</v>
      </c>
      <c r="I8" s="760">
        <f>C8*J1</f>
        <v>2587.2056000000002</v>
      </c>
      <c r="J8" s="760">
        <f>G8*J1</f>
        <v>103.04</v>
      </c>
      <c r="K8" s="935">
        <f t="shared" si="3"/>
        <v>1980.76</v>
      </c>
    </row>
    <row r="9" spans="1:13" s="475" customFormat="1" ht="41.25" customHeight="1">
      <c r="A9" s="797">
        <v>3</v>
      </c>
      <c r="B9" s="113">
        <v>7812120</v>
      </c>
      <c r="C9" s="760">
        <f t="shared" si="0"/>
        <v>1251.8600000000001</v>
      </c>
      <c r="D9" s="862">
        <v>221012</v>
      </c>
      <c r="E9" s="760">
        <f t="shared" si="2"/>
        <v>305.89999999999998</v>
      </c>
      <c r="F9" s="862">
        <v>554420</v>
      </c>
      <c r="G9" s="760">
        <f t="shared" si="1"/>
        <v>11</v>
      </c>
      <c r="H9" s="760">
        <f>(E9*0.55)*1.61</f>
        <v>270.87445000000002</v>
      </c>
      <c r="I9" s="760">
        <f>C9*J1</f>
        <v>2015.4946000000002</v>
      </c>
      <c r="J9" s="760">
        <f>G9*J1</f>
        <v>17.71</v>
      </c>
      <c r="K9" s="935">
        <f>C9+E9</f>
        <v>1557.7600000000002</v>
      </c>
    </row>
    <row r="10" spans="1:13" s="475" customFormat="1" ht="41.25" customHeight="1">
      <c r="A10" s="797">
        <v>4</v>
      </c>
      <c r="B10" s="113">
        <v>7813854</v>
      </c>
      <c r="C10" s="760">
        <f t="shared" si="0"/>
        <v>1838.0400000000002</v>
      </c>
      <c r="D10" s="862">
        <v>221330</v>
      </c>
      <c r="E10" s="760">
        <f t="shared" si="2"/>
        <v>222.6</v>
      </c>
      <c r="F10" s="862">
        <v>554538</v>
      </c>
      <c r="G10" s="760">
        <f t="shared" si="1"/>
        <v>118</v>
      </c>
      <c r="H10" s="760">
        <f>(E10*0.55)*1.61</f>
        <v>197.11230000000003</v>
      </c>
      <c r="I10" s="760">
        <f>C10*J1</f>
        <v>2959.2444000000005</v>
      </c>
      <c r="J10" s="760">
        <f>G10*J1</f>
        <v>189.98000000000002</v>
      </c>
      <c r="K10" s="935">
        <f t="shared" si="3"/>
        <v>2060.6400000000003</v>
      </c>
    </row>
    <row r="11" spans="1:13" s="475" customFormat="1" ht="41.25" customHeight="1">
      <c r="A11" s="797">
        <v>5</v>
      </c>
      <c r="B11" s="113">
        <v>7815702</v>
      </c>
      <c r="C11" s="760">
        <f t="shared" si="0"/>
        <v>1958.88</v>
      </c>
      <c r="D11" s="862">
        <v>221872</v>
      </c>
      <c r="E11" s="760">
        <f t="shared" si="2"/>
        <v>379.4</v>
      </c>
      <c r="F11" s="862">
        <v>554656</v>
      </c>
      <c r="G11" s="760">
        <f t="shared" si="1"/>
        <v>118</v>
      </c>
      <c r="H11" s="760">
        <f t="shared" si="4"/>
        <v>335.95870000000002</v>
      </c>
      <c r="I11" s="760">
        <f>C11*J1</f>
        <v>3153.7968000000005</v>
      </c>
      <c r="J11" s="760">
        <f>G11*J1</f>
        <v>189.98000000000002</v>
      </c>
      <c r="K11" s="935">
        <f t="shared" si="3"/>
        <v>2338.2800000000002</v>
      </c>
    </row>
    <row r="12" spans="1:13" s="475" customFormat="1" ht="41.25" customHeight="1">
      <c r="A12" s="797">
        <v>6</v>
      </c>
      <c r="B12" s="113">
        <v>7817444</v>
      </c>
      <c r="C12" s="760">
        <f t="shared" si="0"/>
        <v>1846.52</v>
      </c>
      <c r="D12" s="862">
        <v>222476</v>
      </c>
      <c r="E12" s="760">
        <f t="shared" si="2"/>
        <v>422.79999999999995</v>
      </c>
      <c r="F12" s="862">
        <v>554771</v>
      </c>
      <c r="G12" s="760">
        <f t="shared" si="1"/>
        <v>115</v>
      </c>
      <c r="H12" s="760">
        <f t="shared" si="4"/>
        <v>374.38940000000002</v>
      </c>
      <c r="I12" s="760">
        <f>C12*J1</f>
        <v>2972.8972000000003</v>
      </c>
      <c r="J12" s="760">
        <f>G12*J1</f>
        <v>185.15</v>
      </c>
      <c r="K12" s="935">
        <f t="shared" si="3"/>
        <v>2269.3199999999997</v>
      </c>
    </row>
    <row r="13" spans="1:13" s="475" customFormat="1" ht="41.25" customHeight="1">
      <c r="A13" s="797">
        <v>7</v>
      </c>
      <c r="B13" s="113">
        <v>7818463</v>
      </c>
      <c r="C13" s="760">
        <f t="shared" si="0"/>
        <v>1080.1400000000001</v>
      </c>
      <c r="D13" s="862">
        <v>222901</v>
      </c>
      <c r="E13" s="760">
        <f t="shared" si="2"/>
        <v>297.5</v>
      </c>
      <c r="F13" s="862">
        <v>554898</v>
      </c>
      <c r="G13" s="760">
        <f t="shared" si="1"/>
        <v>127</v>
      </c>
      <c r="H13" s="760">
        <f t="shared" si="4"/>
        <v>263.43625000000003</v>
      </c>
      <c r="I13" s="760">
        <f>C13*J1</f>
        <v>1739.0254000000002</v>
      </c>
      <c r="J13" s="760">
        <f>G13*J1</f>
        <v>204.47</v>
      </c>
      <c r="K13" s="935">
        <f t="shared" si="3"/>
        <v>1377.64</v>
      </c>
    </row>
    <row r="14" spans="1:13" s="475" customFormat="1" ht="41.25" customHeight="1">
      <c r="A14" s="797">
        <v>8</v>
      </c>
      <c r="B14" s="113">
        <v>7819162</v>
      </c>
      <c r="C14" s="760">
        <f t="shared" si="0"/>
        <v>740.94</v>
      </c>
      <c r="D14" s="862">
        <v>223310</v>
      </c>
      <c r="E14" s="760">
        <f t="shared" si="2"/>
        <v>286.29999999999995</v>
      </c>
      <c r="F14" s="862">
        <v>554949</v>
      </c>
      <c r="G14" s="760">
        <f t="shared" si="1"/>
        <v>51</v>
      </c>
      <c r="H14" s="760">
        <f t="shared" si="4"/>
        <v>253.51864999999998</v>
      </c>
      <c r="I14" s="760">
        <f>C14*J1</f>
        <v>1192.9134000000001</v>
      </c>
      <c r="J14" s="760">
        <f>G14*J1</f>
        <v>82.11</v>
      </c>
      <c r="K14" s="935">
        <f t="shared" si="3"/>
        <v>1027.24</v>
      </c>
    </row>
    <row r="15" spans="1:13" s="475" customFormat="1" ht="41.25" customHeight="1">
      <c r="A15" s="797">
        <v>9</v>
      </c>
      <c r="B15" s="113">
        <v>7820140</v>
      </c>
      <c r="C15" s="760">
        <f t="shared" ref="C15:C32" si="5">IF(B15&gt;=B14,B15-B14,0)*1.06</f>
        <v>1036.68</v>
      </c>
      <c r="D15" s="862">
        <v>223759</v>
      </c>
      <c r="E15" s="760">
        <f t="shared" si="2"/>
        <v>314.29999999999995</v>
      </c>
      <c r="F15" s="862">
        <v>555007</v>
      </c>
      <c r="G15" s="760">
        <f t="shared" ref="G15:G37" si="6">IF(F15&gt;=F14,F15-F14,0)</f>
        <v>58</v>
      </c>
      <c r="H15" s="760">
        <f t="shared" si="4"/>
        <v>278.31264999999996</v>
      </c>
      <c r="I15" s="760">
        <f>C15*J1</f>
        <v>1669.0548000000001</v>
      </c>
      <c r="J15" s="760">
        <f>G15*J1</f>
        <v>93.38000000000001</v>
      </c>
      <c r="K15" s="935">
        <f t="shared" si="3"/>
        <v>1350.98</v>
      </c>
    </row>
    <row r="16" spans="1:13" s="475" customFormat="1" ht="41.25" customHeight="1">
      <c r="A16" s="797">
        <v>10</v>
      </c>
      <c r="B16" s="113">
        <v>7821277</v>
      </c>
      <c r="C16" s="760">
        <f t="shared" si="5"/>
        <v>1205.22</v>
      </c>
      <c r="D16" s="862">
        <v>224225</v>
      </c>
      <c r="E16" s="760">
        <f t="shared" si="2"/>
        <v>326.2</v>
      </c>
      <c r="F16" s="862">
        <v>555121</v>
      </c>
      <c r="G16" s="760">
        <f>IF(F16&gt;=F15,F16-F15,0)</f>
        <v>114</v>
      </c>
      <c r="H16" s="760">
        <f t="shared" si="4"/>
        <v>288.8501</v>
      </c>
      <c r="I16" s="760">
        <f>C16*J1</f>
        <v>1940.4042000000002</v>
      </c>
      <c r="J16" s="760">
        <f>G16*J1</f>
        <v>183.54000000000002</v>
      </c>
      <c r="K16" s="935">
        <f t="shared" si="3"/>
        <v>1531.42</v>
      </c>
    </row>
    <row r="17" spans="1:11" s="475" customFormat="1" ht="41.25" customHeight="1">
      <c r="A17" s="797">
        <v>11</v>
      </c>
      <c r="B17" s="113">
        <v>7822269</v>
      </c>
      <c r="C17" s="760">
        <f t="shared" si="5"/>
        <v>1051.52</v>
      </c>
      <c r="D17" s="862">
        <v>224527</v>
      </c>
      <c r="E17" s="760">
        <f t="shared" si="2"/>
        <v>211.39999999999998</v>
      </c>
      <c r="F17" s="862">
        <v>555194</v>
      </c>
      <c r="G17" s="760">
        <f t="shared" si="6"/>
        <v>73</v>
      </c>
      <c r="H17" s="760">
        <f t="shared" si="4"/>
        <v>187.19470000000001</v>
      </c>
      <c r="I17" s="760">
        <f>C17*J1</f>
        <v>1692.9472000000001</v>
      </c>
      <c r="J17" s="760">
        <f>G17*J1</f>
        <v>117.53</v>
      </c>
      <c r="K17" s="935">
        <f t="shared" si="3"/>
        <v>1262.92</v>
      </c>
    </row>
    <row r="18" spans="1:11" s="475" customFormat="1" ht="41.25" customHeight="1">
      <c r="A18" s="797">
        <v>12</v>
      </c>
      <c r="B18" s="113">
        <v>7823207</v>
      </c>
      <c r="C18" s="760">
        <f t="shared" si="5"/>
        <v>994.28000000000009</v>
      </c>
      <c r="D18" s="862">
        <v>225091</v>
      </c>
      <c r="E18" s="760">
        <f t="shared" si="2"/>
        <v>394.79999999999995</v>
      </c>
      <c r="F18" s="862">
        <v>555297</v>
      </c>
      <c r="G18" s="760">
        <f t="shared" si="6"/>
        <v>103</v>
      </c>
      <c r="H18" s="760">
        <f t="shared" si="4"/>
        <v>349.59539999999998</v>
      </c>
      <c r="I18" s="760">
        <f>C18*J1</f>
        <v>1600.7908000000002</v>
      </c>
      <c r="J18" s="760">
        <f>G18*J1</f>
        <v>165.83</v>
      </c>
      <c r="K18" s="935">
        <f t="shared" si="3"/>
        <v>1389.08</v>
      </c>
    </row>
    <row r="19" spans="1:11" s="475" customFormat="1" ht="41.25" customHeight="1">
      <c r="A19" s="797">
        <v>13</v>
      </c>
      <c r="B19" s="113">
        <v>7824171</v>
      </c>
      <c r="C19" s="760">
        <f t="shared" si="5"/>
        <v>1021.84</v>
      </c>
      <c r="D19" s="862">
        <v>225524</v>
      </c>
      <c r="E19" s="760">
        <f t="shared" si="2"/>
        <v>303.09999999999997</v>
      </c>
      <c r="F19" s="862">
        <v>555387</v>
      </c>
      <c r="G19" s="760">
        <f t="shared" si="6"/>
        <v>90</v>
      </c>
      <c r="H19" s="760">
        <f t="shared" si="4"/>
        <v>268.39504999999997</v>
      </c>
      <c r="I19" s="760">
        <f>C19*J1</f>
        <v>1645.1624000000002</v>
      </c>
      <c r="J19" s="760">
        <f>G19*J1</f>
        <v>144.9</v>
      </c>
      <c r="K19" s="935">
        <f t="shared" si="3"/>
        <v>1324.94</v>
      </c>
    </row>
    <row r="20" spans="1:11" s="475" customFormat="1" ht="41.25" customHeight="1">
      <c r="A20" s="797">
        <v>14</v>
      </c>
      <c r="B20" s="113">
        <v>7825295</v>
      </c>
      <c r="C20" s="760">
        <f t="shared" si="5"/>
        <v>1191.44</v>
      </c>
      <c r="D20" s="862">
        <v>225907</v>
      </c>
      <c r="E20" s="760">
        <f t="shared" si="2"/>
        <v>268.09999999999997</v>
      </c>
      <c r="F20" s="862">
        <v>555470</v>
      </c>
      <c r="G20" s="760">
        <f t="shared" si="6"/>
        <v>83</v>
      </c>
      <c r="H20" s="760">
        <f t="shared" si="4"/>
        <v>237.40254999999999</v>
      </c>
      <c r="I20" s="760">
        <f>C20*J1</f>
        <v>1918.2184000000002</v>
      </c>
      <c r="J20" s="760">
        <f>G20*J1</f>
        <v>133.63</v>
      </c>
      <c r="K20" s="935">
        <f t="shared" si="3"/>
        <v>1459.54</v>
      </c>
    </row>
    <row r="21" spans="1:11" s="475" customFormat="1" ht="41.25" customHeight="1">
      <c r="A21" s="797">
        <v>15</v>
      </c>
      <c r="B21" s="113">
        <v>7826347</v>
      </c>
      <c r="C21" s="760">
        <f t="shared" si="5"/>
        <v>1115.1200000000001</v>
      </c>
      <c r="D21" s="862">
        <v>226145</v>
      </c>
      <c r="E21" s="760">
        <f t="shared" si="2"/>
        <v>166.6</v>
      </c>
      <c r="F21" s="862">
        <v>555568</v>
      </c>
      <c r="G21" s="760">
        <f t="shared" ref="G21:G27" si="7">IF(F21&gt;=F20,F21-F20,0)</f>
        <v>98</v>
      </c>
      <c r="H21" s="760">
        <f t="shared" si="4"/>
        <v>147.52430000000001</v>
      </c>
      <c r="I21" s="760">
        <f>C21*J1</f>
        <v>1795.3432000000003</v>
      </c>
      <c r="J21" s="760">
        <f>G21*J1</f>
        <v>157.78</v>
      </c>
      <c r="K21" s="935">
        <f t="shared" si="3"/>
        <v>1281.72</v>
      </c>
    </row>
    <row r="22" spans="1:11" s="475" customFormat="1" ht="41.25" customHeight="1">
      <c r="A22" s="797">
        <v>16</v>
      </c>
      <c r="B22" s="864">
        <v>7827203</v>
      </c>
      <c r="C22" s="760">
        <f t="shared" si="5"/>
        <v>907.36</v>
      </c>
      <c r="D22" s="862">
        <v>226522</v>
      </c>
      <c r="E22" s="760">
        <f t="shared" si="2"/>
        <v>263.89999999999998</v>
      </c>
      <c r="F22" s="862">
        <v>555651</v>
      </c>
      <c r="G22" s="760">
        <f t="shared" si="7"/>
        <v>83</v>
      </c>
      <c r="H22" s="760">
        <f t="shared" si="4"/>
        <v>233.68345000000002</v>
      </c>
      <c r="I22" s="760">
        <f>C22*J1</f>
        <v>1460.8496</v>
      </c>
      <c r="J22" s="760">
        <f>G22*J1</f>
        <v>133.63</v>
      </c>
      <c r="K22" s="935">
        <f t="shared" si="3"/>
        <v>1171.26</v>
      </c>
    </row>
    <row r="23" spans="1:11" s="475" customFormat="1" ht="41.25" customHeight="1">
      <c r="A23" s="797">
        <v>17</v>
      </c>
      <c r="B23" s="113">
        <v>7828109</v>
      </c>
      <c r="C23" s="760">
        <f t="shared" si="5"/>
        <v>960.36</v>
      </c>
      <c r="D23" s="862">
        <v>226882</v>
      </c>
      <c r="E23" s="760">
        <f t="shared" si="2"/>
        <v>251.99999999999997</v>
      </c>
      <c r="F23" s="862">
        <v>555741</v>
      </c>
      <c r="G23" s="760">
        <f t="shared" si="7"/>
        <v>90</v>
      </c>
      <c r="H23" s="760">
        <f t="shared" si="4"/>
        <v>223.14600000000002</v>
      </c>
      <c r="I23" s="760">
        <f>C23*J1</f>
        <v>1546.1796000000002</v>
      </c>
      <c r="J23" s="760">
        <f>G23*J1</f>
        <v>144.9</v>
      </c>
      <c r="K23" s="935">
        <f t="shared" si="3"/>
        <v>1212.3599999999999</v>
      </c>
    </row>
    <row r="24" spans="1:11" s="475" customFormat="1" ht="41.25" customHeight="1">
      <c r="A24" s="797">
        <v>18</v>
      </c>
      <c r="B24" s="864">
        <v>7829005</v>
      </c>
      <c r="C24" s="760">
        <f t="shared" si="5"/>
        <v>949.76</v>
      </c>
      <c r="D24" s="862">
        <v>227231</v>
      </c>
      <c r="E24" s="760">
        <f t="shared" si="2"/>
        <v>244.29999999999998</v>
      </c>
      <c r="F24" s="862">
        <v>555830</v>
      </c>
      <c r="G24" s="760">
        <f t="shared" si="7"/>
        <v>89</v>
      </c>
      <c r="H24" s="760">
        <f t="shared" si="4"/>
        <v>216.32765000000003</v>
      </c>
      <c r="I24" s="760">
        <f>C24*J1</f>
        <v>1529.1136000000001</v>
      </c>
      <c r="J24" s="760">
        <f>G24*J1</f>
        <v>143.29000000000002</v>
      </c>
      <c r="K24" s="935">
        <f t="shared" si="3"/>
        <v>1194.06</v>
      </c>
    </row>
    <row r="25" spans="1:11" s="475" customFormat="1" ht="41.25" customHeight="1">
      <c r="A25" s="797">
        <v>19</v>
      </c>
      <c r="B25" s="113">
        <v>7829511</v>
      </c>
      <c r="C25" s="760">
        <f t="shared" si="5"/>
        <v>536.36</v>
      </c>
      <c r="D25" s="862">
        <v>227509</v>
      </c>
      <c r="E25" s="760">
        <f t="shared" si="2"/>
        <v>194.6</v>
      </c>
      <c r="F25" s="862">
        <v>555917</v>
      </c>
      <c r="G25" s="760">
        <f t="shared" si="7"/>
        <v>87</v>
      </c>
      <c r="H25" s="760">
        <f t="shared" si="4"/>
        <v>172.31830000000002</v>
      </c>
      <c r="I25" s="760">
        <f>C25*J1</f>
        <v>863.53960000000006</v>
      </c>
      <c r="J25" s="760">
        <f>G25*J1</f>
        <v>140.07000000000002</v>
      </c>
      <c r="K25" s="935">
        <f t="shared" si="3"/>
        <v>730.96</v>
      </c>
    </row>
    <row r="26" spans="1:11" s="475" customFormat="1" ht="41.25" customHeight="1">
      <c r="A26" s="797">
        <v>20</v>
      </c>
      <c r="B26" s="113">
        <v>7830077</v>
      </c>
      <c r="C26" s="760">
        <f t="shared" si="5"/>
        <v>599.96</v>
      </c>
      <c r="D26" s="862">
        <v>227907</v>
      </c>
      <c r="E26" s="760">
        <f t="shared" si="2"/>
        <v>278.59999999999997</v>
      </c>
      <c r="F26" s="862">
        <v>556008</v>
      </c>
      <c r="G26" s="760">
        <f t="shared" si="7"/>
        <v>91</v>
      </c>
      <c r="H26" s="760">
        <f t="shared" si="4"/>
        <v>246.7003</v>
      </c>
      <c r="I26" s="760">
        <f>C26*J1</f>
        <v>965.93560000000014</v>
      </c>
      <c r="J26" s="760">
        <f>G26*J1</f>
        <v>146.51000000000002</v>
      </c>
      <c r="K26" s="935">
        <f t="shared" si="3"/>
        <v>878.56</v>
      </c>
    </row>
    <row r="27" spans="1:11" s="475" customFormat="1" ht="41.25" customHeight="1">
      <c r="A27" s="797">
        <v>21</v>
      </c>
      <c r="B27" s="113">
        <v>7830578</v>
      </c>
      <c r="C27" s="760">
        <f t="shared" si="5"/>
        <v>531.06000000000006</v>
      </c>
      <c r="D27" s="862">
        <v>228275</v>
      </c>
      <c r="E27" s="760">
        <f t="shared" si="2"/>
        <v>257.59999999999997</v>
      </c>
      <c r="F27" s="862">
        <v>556090</v>
      </c>
      <c r="G27" s="760">
        <f t="shared" si="7"/>
        <v>82</v>
      </c>
      <c r="H27" s="760">
        <f t="shared" si="4"/>
        <v>228.10480000000001</v>
      </c>
      <c r="I27" s="760">
        <f>C27*J1</f>
        <v>855.00660000000016</v>
      </c>
      <c r="J27" s="760">
        <f>G27*J1</f>
        <v>132.02000000000001</v>
      </c>
      <c r="K27" s="935">
        <f t="shared" si="3"/>
        <v>788.66000000000008</v>
      </c>
    </row>
    <row r="28" spans="1:11" s="475" customFormat="1" ht="41.25" customHeight="1">
      <c r="A28" s="797">
        <v>22</v>
      </c>
      <c r="B28" s="113">
        <v>7831059</v>
      </c>
      <c r="C28" s="760">
        <f>IF(B28&gt;=B27,B28-B27,0)*1.06</f>
        <v>509.86</v>
      </c>
      <c r="D28" s="862">
        <v>228624</v>
      </c>
      <c r="E28" s="760">
        <f t="shared" si="2"/>
        <v>244.29999999999998</v>
      </c>
      <c r="F28" s="862">
        <v>556161</v>
      </c>
      <c r="G28" s="760">
        <f t="shared" si="6"/>
        <v>71</v>
      </c>
      <c r="H28" s="760">
        <f>(E28*0.55)*1.61</f>
        <v>216.32765000000003</v>
      </c>
      <c r="I28" s="760">
        <f>C28*J1</f>
        <v>820.8746000000001</v>
      </c>
      <c r="J28" s="760">
        <f>G28*J1</f>
        <v>114.31</v>
      </c>
      <c r="K28" s="935">
        <f t="shared" si="3"/>
        <v>754.16</v>
      </c>
    </row>
    <row r="29" spans="1:11" s="475" customFormat="1" ht="41.25" customHeight="1">
      <c r="A29" s="797">
        <v>23</v>
      </c>
      <c r="B29" s="864">
        <v>7831298</v>
      </c>
      <c r="C29" s="760">
        <f>IF(B29&gt;=B28,B29-B28,0)*1.06</f>
        <v>253.34</v>
      </c>
      <c r="D29" s="862">
        <v>228872</v>
      </c>
      <c r="E29" s="760">
        <f t="shared" si="2"/>
        <v>173.6</v>
      </c>
      <c r="F29" s="862">
        <v>556161</v>
      </c>
      <c r="G29" s="760">
        <f t="shared" si="6"/>
        <v>0</v>
      </c>
      <c r="H29" s="760">
        <f>(E29*0.55)*1.61</f>
        <v>153.72280000000001</v>
      </c>
      <c r="I29" s="760">
        <f>C29*J1</f>
        <v>407.87740000000002</v>
      </c>
      <c r="J29" s="760">
        <f>G29*J1</f>
        <v>0</v>
      </c>
      <c r="K29" s="935">
        <f t="shared" si="3"/>
        <v>426.94</v>
      </c>
    </row>
    <row r="30" spans="1:11" s="475" customFormat="1" ht="41.25" customHeight="1">
      <c r="A30" s="797">
        <v>24</v>
      </c>
      <c r="B30" s="113">
        <v>7831499</v>
      </c>
      <c r="C30" s="760">
        <f>IF(B30&gt;=B29,B30-B29,0)*1.06</f>
        <v>213.06</v>
      </c>
      <c r="D30" s="862">
        <v>229020</v>
      </c>
      <c r="E30" s="760">
        <f t="shared" si="2"/>
        <v>103.6</v>
      </c>
      <c r="F30" s="862">
        <v>556161</v>
      </c>
      <c r="G30" s="760">
        <f t="shared" si="6"/>
        <v>0</v>
      </c>
      <c r="H30" s="760">
        <f>(E30*0.55)*1.61</f>
        <v>91.737800000000007</v>
      </c>
      <c r="I30" s="760">
        <f>C30*J1</f>
        <v>343.02660000000003</v>
      </c>
      <c r="J30" s="760">
        <f>G30*J1</f>
        <v>0</v>
      </c>
      <c r="K30" s="935">
        <f t="shared" si="3"/>
        <v>316.65999999999997</v>
      </c>
    </row>
    <row r="31" spans="1:11" s="475" customFormat="1" ht="41.25" customHeight="1">
      <c r="A31" s="797">
        <v>25</v>
      </c>
      <c r="B31" s="864">
        <v>7831690</v>
      </c>
      <c r="C31" s="760">
        <f t="shared" si="5"/>
        <v>202.46</v>
      </c>
      <c r="D31" s="862">
        <v>229269</v>
      </c>
      <c r="E31" s="760">
        <f t="shared" si="2"/>
        <v>174.29999999999998</v>
      </c>
      <c r="F31" s="862">
        <v>556161</v>
      </c>
      <c r="G31" s="760">
        <f t="shared" si="6"/>
        <v>0</v>
      </c>
      <c r="H31" s="760">
        <f t="shared" si="4"/>
        <v>154.34264999999999</v>
      </c>
      <c r="I31" s="760">
        <f>C31*J1</f>
        <v>325.96060000000006</v>
      </c>
      <c r="J31" s="760">
        <f>G31*J1</f>
        <v>0</v>
      </c>
      <c r="K31" s="935">
        <f t="shared" si="3"/>
        <v>376.76</v>
      </c>
    </row>
    <row r="32" spans="1:11" s="475" customFormat="1" ht="41.25" customHeight="1">
      <c r="A32" s="797">
        <v>26</v>
      </c>
      <c r="B32" s="113">
        <v>7831891</v>
      </c>
      <c r="C32" s="760">
        <f t="shared" si="5"/>
        <v>213.06</v>
      </c>
      <c r="D32" s="862">
        <v>229617</v>
      </c>
      <c r="E32" s="760">
        <f t="shared" si="2"/>
        <v>243.6</v>
      </c>
      <c r="F32" s="862">
        <v>556161</v>
      </c>
      <c r="G32" s="760">
        <f t="shared" si="6"/>
        <v>0</v>
      </c>
      <c r="H32" s="760">
        <f t="shared" si="4"/>
        <v>215.70780000000005</v>
      </c>
      <c r="I32" s="760">
        <f>C32*J1</f>
        <v>343.02660000000003</v>
      </c>
      <c r="J32" s="760">
        <f>G32*J1</f>
        <v>0</v>
      </c>
      <c r="K32" s="935">
        <f t="shared" si="3"/>
        <v>456.65999999999997</v>
      </c>
    </row>
    <row r="33" spans="1:14" s="214" customFormat="1" ht="41.25" customHeight="1">
      <c r="A33" s="798">
        <v>27</v>
      </c>
      <c r="B33" s="864">
        <v>7832022</v>
      </c>
      <c r="C33" s="760">
        <f>IF(B33&gt;=B32,B33-B32,0)*1.06</f>
        <v>138.86000000000001</v>
      </c>
      <c r="D33" s="862">
        <v>230105</v>
      </c>
      <c r="E33" s="760">
        <f t="shared" si="2"/>
        <v>341.59999999999997</v>
      </c>
      <c r="F33" s="862">
        <v>556161</v>
      </c>
      <c r="G33" s="760">
        <f t="shared" si="6"/>
        <v>0</v>
      </c>
      <c r="H33" s="760">
        <f t="shared" si="4"/>
        <v>302.48680000000002</v>
      </c>
      <c r="I33" s="760">
        <f>C33*J1</f>
        <v>223.56460000000004</v>
      </c>
      <c r="J33" s="760">
        <f>G33*J1</f>
        <v>0</v>
      </c>
      <c r="K33" s="935">
        <f t="shared" si="3"/>
        <v>480.46</v>
      </c>
    </row>
    <row r="34" spans="1:14" s="214" customFormat="1" ht="41.25" customHeight="1">
      <c r="A34" s="798">
        <v>28</v>
      </c>
      <c r="B34" s="113">
        <v>7832212</v>
      </c>
      <c r="C34" s="760">
        <f>IF(B34&gt;=B33,B34-B33,0)*1.06</f>
        <v>201.4</v>
      </c>
      <c r="D34" s="862">
        <v>230422</v>
      </c>
      <c r="E34" s="760">
        <f t="shared" si="2"/>
        <v>221.89999999999998</v>
      </c>
      <c r="F34" s="862">
        <v>556161</v>
      </c>
      <c r="G34" s="760">
        <f t="shared" si="6"/>
        <v>0</v>
      </c>
      <c r="H34" s="760">
        <f t="shared" si="4"/>
        <v>196.49245000000002</v>
      </c>
      <c r="I34" s="760">
        <f>C34*J1</f>
        <v>324.25400000000002</v>
      </c>
      <c r="J34" s="760">
        <f>G34*J1</f>
        <v>0</v>
      </c>
      <c r="K34" s="935">
        <f t="shared" si="3"/>
        <v>423.29999999999995</v>
      </c>
    </row>
    <row r="35" spans="1:14" s="214" customFormat="1" ht="41.25" customHeight="1">
      <c r="A35" s="797">
        <v>29</v>
      </c>
      <c r="B35" s="864">
        <v>7832378</v>
      </c>
      <c r="C35" s="760">
        <f>IF(B35&gt;=B34,B35-B34,0)*1.06</f>
        <v>175.96</v>
      </c>
      <c r="D35" s="862">
        <v>230770</v>
      </c>
      <c r="E35" s="760">
        <f t="shared" si="2"/>
        <v>243.6</v>
      </c>
      <c r="F35" s="862">
        <v>556161</v>
      </c>
      <c r="G35" s="760">
        <f t="shared" si="6"/>
        <v>0</v>
      </c>
      <c r="H35" s="760">
        <f t="shared" si="4"/>
        <v>215.70780000000005</v>
      </c>
      <c r="I35" s="760">
        <f>C35*J1</f>
        <v>283.29560000000004</v>
      </c>
      <c r="J35" s="760">
        <f>G35*J1</f>
        <v>0</v>
      </c>
      <c r="K35" s="935">
        <f t="shared" si="3"/>
        <v>419.56</v>
      </c>
    </row>
    <row r="36" spans="1:14" s="214" customFormat="1" ht="41.25" customHeight="1">
      <c r="A36" s="798">
        <v>30</v>
      </c>
      <c r="B36" s="113">
        <v>7832547</v>
      </c>
      <c r="C36" s="760">
        <f>IF(B36&gt;=B35,B36-B35,0)*1.06</f>
        <v>179.14000000000001</v>
      </c>
      <c r="D36" s="862">
        <v>231137</v>
      </c>
      <c r="E36" s="760">
        <f t="shared" si="2"/>
        <v>256.89999999999998</v>
      </c>
      <c r="F36" s="862">
        <v>556161</v>
      </c>
      <c r="G36" s="760">
        <f t="shared" si="6"/>
        <v>0</v>
      </c>
      <c r="H36" s="760">
        <f t="shared" si="4"/>
        <v>227.48495</v>
      </c>
      <c r="I36" s="760">
        <f>C36*J1</f>
        <v>288.41540000000003</v>
      </c>
      <c r="J36" s="760">
        <f>G36*J1</f>
        <v>0</v>
      </c>
      <c r="K36" s="935">
        <f t="shared" si="3"/>
        <v>436.03999999999996</v>
      </c>
    </row>
    <row r="37" spans="1:14" s="214" customFormat="1" ht="41.25" customHeight="1" thickBot="1">
      <c r="A37" s="798">
        <v>31</v>
      </c>
      <c r="B37" s="864">
        <v>7832714</v>
      </c>
      <c r="C37" s="760">
        <f>IF(B37&gt;=B36,B37-B36,0)*1.06</f>
        <v>177.02</v>
      </c>
      <c r="D37" s="862">
        <v>231501</v>
      </c>
      <c r="E37" s="760">
        <f t="shared" si="2"/>
        <v>254.79999999999998</v>
      </c>
      <c r="F37" s="862">
        <v>556161</v>
      </c>
      <c r="G37" s="760">
        <f t="shared" si="6"/>
        <v>0</v>
      </c>
      <c r="H37" s="760">
        <f t="shared" si="4"/>
        <v>225.62540000000004</v>
      </c>
      <c r="I37" s="760">
        <f>C37*J1</f>
        <v>285.00220000000002</v>
      </c>
      <c r="J37" s="760">
        <f>G37*J1</f>
        <v>0</v>
      </c>
      <c r="K37" s="935">
        <f t="shared" si="3"/>
        <v>431.82</v>
      </c>
    </row>
    <row r="38" spans="1:14" s="602" customFormat="1" ht="41.25" customHeight="1">
      <c r="A38" s="799" t="s">
        <v>37</v>
      </c>
      <c r="B38" s="865"/>
      <c r="C38" s="866">
        <f>SUM(C7:C37)</f>
        <v>26148.080000000002</v>
      </c>
      <c r="D38" s="865"/>
      <c r="E38" s="866">
        <f>SUM(E7:E37)</f>
        <v>8243.9000000000015</v>
      </c>
      <c r="F38" s="865"/>
      <c r="G38" s="866">
        <f>SUM(G7:G37)</f>
        <v>1954</v>
      </c>
      <c r="H38" s="867">
        <f>SUM(H6:H37)</f>
        <v>7299.9734499999995</v>
      </c>
      <c r="I38" s="867">
        <f>SUM(I6:I37)</f>
        <v>42098.408799999997</v>
      </c>
      <c r="J38" s="867">
        <f>SUM(J6:J37)</f>
        <v>3145.9400000000005</v>
      </c>
      <c r="K38" s="936">
        <f>SUM(K6:K37)</f>
        <v>34391.979999999996</v>
      </c>
    </row>
    <row r="39" spans="1:14" s="602" customFormat="1" ht="41.25" customHeight="1" thickBot="1">
      <c r="A39" s="800" t="s">
        <v>331</v>
      </c>
      <c r="B39" s="868"/>
      <c r="C39" s="869">
        <f>C38/A51</f>
        <v>871.60266666666678</v>
      </c>
      <c r="D39" s="868"/>
      <c r="E39" s="869">
        <f>E38/A51</f>
        <v>274.79666666666674</v>
      </c>
      <c r="F39" s="868"/>
      <c r="G39" s="869">
        <f>G38/A51</f>
        <v>65.13333333333334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201.4</v>
      </c>
      <c r="D48" s="653"/>
      <c r="E48" s="609">
        <f>IF(E34&gt;0,E34,0)</f>
        <v>221.89999999999998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5" t="str">
        <f>Elect!A1</f>
        <v>March</v>
      </c>
      <c r="B1" s="177"/>
      <c r="C1" s="177"/>
      <c r="H1" s="143"/>
      <c r="I1" s="144"/>
      <c r="J1" s="145"/>
      <c r="K1" s="145"/>
      <c r="L1" s="1027" t="s">
        <v>144</v>
      </c>
      <c r="M1" s="1027"/>
      <c r="N1" s="1027"/>
      <c r="P1" s="1028" t="str">
        <f>Elect!A1</f>
        <v>March</v>
      </c>
      <c r="Q1" s="102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6"/>
      <c r="B2" s="1029" t="s">
        <v>131</v>
      </c>
      <c r="C2" s="1030"/>
      <c r="D2" s="1030"/>
      <c r="E2" s="1030"/>
      <c r="F2" s="1030"/>
      <c r="G2" s="1031"/>
      <c r="H2" s="1029" t="s">
        <v>11</v>
      </c>
      <c r="I2" s="1030"/>
      <c r="J2" s="1030"/>
      <c r="K2" s="1030"/>
      <c r="L2" s="1030"/>
      <c r="M2" s="1030"/>
      <c r="N2" s="1030"/>
      <c r="O2" s="1030"/>
      <c r="P2" s="1031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58" t="s">
        <v>56</v>
      </c>
      <c r="AH2" s="1059"/>
      <c r="AI2" s="1059"/>
      <c r="AJ2" s="395" t="s">
        <v>50</v>
      </c>
      <c r="AK2" s="1062" t="s">
        <v>58</v>
      </c>
      <c r="AL2" s="1064" t="s">
        <v>65</v>
      </c>
      <c r="AM2" s="1064" t="s">
        <v>64</v>
      </c>
      <c r="AN2" s="1056" t="s">
        <v>120</v>
      </c>
      <c r="AO2" s="1046" t="s">
        <v>45</v>
      </c>
      <c r="AP2" s="1048" t="s">
        <v>51</v>
      </c>
      <c r="AQ2" s="1050" t="s">
        <v>66</v>
      </c>
      <c r="AR2" s="1052" t="s">
        <v>44</v>
      </c>
      <c r="AS2" s="1054" t="s">
        <v>51</v>
      </c>
      <c r="AT2" s="1044" t="s">
        <v>269</v>
      </c>
      <c r="AU2" s="1045"/>
      <c r="AV2" s="1029" t="s">
        <v>132</v>
      </c>
      <c r="AW2" s="1030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2" t="s">
        <v>5</v>
      </c>
      <c r="C3" s="1033"/>
      <c r="D3" s="1034" t="s">
        <v>2</v>
      </c>
      <c r="E3" s="1035"/>
      <c r="F3" s="1036" t="s">
        <v>3</v>
      </c>
      <c r="G3" s="1037"/>
      <c r="H3" s="1036" t="s">
        <v>17</v>
      </c>
      <c r="I3" s="1037"/>
      <c r="J3" s="1038" t="s">
        <v>18</v>
      </c>
      <c r="K3" s="1039"/>
      <c r="L3" s="1040" t="s">
        <v>19</v>
      </c>
      <c r="M3" s="1041"/>
      <c r="N3" s="161" t="s">
        <v>272</v>
      </c>
      <c r="O3" s="1042" t="s">
        <v>20</v>
      </c>
      <c r="P3" s="1043"/>
      <c r="Q3" s="1042" t="s">
        <v>114</v>
      </c>
      <c r="R3" s="1043"/>
      <c r="S3" s="1060" t="s">
        <v>121</v>
      </c>
      <c r="T3" s="1061"/>
      <c r="U3" s="1060" t="s">
        <v>122</v>
      </c>
      <c r="V3" s="1061"/>
      <c r="W3" s="1066" t="s">
        <v>123</v>
      </c>
      <c r="X3" s="1067"/>
      <c r="Y3" s="1060" t="s">
        <v>13</v>
      </c>
      <c r="Z3" s="1061"/>
      <c r="AA3" s="1066" t="s">
        <v>12</v>
      </c>
      <c r="AB3" s="1067"/>
      <c r="AC3" s="1060" t="s">
        <v>124</v>
      </c>
      <c r="AD3" s="1061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3"/>
      <c r="AL3" s="1065"/>
      <c r="AM3" s="1065"/>
      <c r="AN3" s="1057"/>
      <c r="AO3" s="1047"/>
      <c r="AP3" s="1049"/>
      <c r="AQ3" s="1051"/>
      <c r="AR3" s="1053"/>
      <c r="AS3" s="1055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6715</v>
      </c>
      <c r="D5" s="512">
        <f>[3]Consp!$E$6</f>
        <v>0</v>
      </c>
      <c r="E5" s="511">
        <f>Elect!M6</f>
        <v>2076</v>
      </c>
      <c r="F5" s="512">
        <f>[3]Consp!G6</f>
        <v>20</v>
      </c>
      <c r="G5" s="511">
        <f>Elect!O6</f>
        <v>1990</v>
      </c>
      <c r="H5" s="512">
        <f>[3]Consp!I6</f>
        <v>800</v>
      </c>
      <c r="I5" s="511">
        <f>Water!C7</f>
        <v>179.79999999999998</v>
      </c>
      <c r="J5" s="512">
        <f>[4]Consp!$K$6</f>
        <v>0</v>
      </c>
      <c r="K5" s="511">
        <f>Water!E7</f>
        <v>5.8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201.84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117.0672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1459.6200000000001</v>
      </c>
      <c r="AI5" s="516" t="e">
        <f>Gas!#REF!</f>
        <v>#REF!</v>
      </c>
      <c r="AJ5" s="517">
        <f>Gas!J7</f>
        <v>222.18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191</v>
      </c>
      <c r="AU5" s="511">
        <f>Elect!BI6</f>
        <v>113</v>
      </c>
      <c r="AV5" s="511" t="e">
        <f>Elect!#REF!</f>
        <v>#REF!</v>
      </c>
      <c r="AW5" s="511">
        <f>Elect!BK6</f>
        <v>191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1.1943195266272189</v>
      </c>
      <c r="BN5" s="528" t="e">
        <f>Water!W7</f>
        <v>#DIV/0!</v>
      </c>
      <c r="BO5" s="523">
        <f>Water!X7</f>
        <v>807.36</v>
      </c>
      <c r="BP5" s="528">
        <f>Water!Y7</f>
        <v>4.7772781065088754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6172</v>
      </c>
      <c r="D6" s="512">
        <f>[3]Consp!$E$6</f>
        <v>0</v>
      </c>
      <c r="E6" s="511">
        <f>Elect!M7</f>
        <v>2561</v>
      </c>
      <c r="F6" s="512">
        <f>[3]Consp!G7</f>
        <v>20</v>
      </c>
      <c r="G6" s="511">
        <f>Elect!O7</f>
        <v>1993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5.8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197.2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114.37599999999999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7809423</v>
      </c>
      <c r="AH6" s="515">
        <f>Gas!C8</f>
        <v>1606.96</v>
      </c>
      <c r="AI6" s="516" t="e">
        <f>Gas!#REF!</f>
        <v>#REF!</v>
      </c>
      <c r="AJ6" s="517">
        <f>Gas!J8</f>
        <v>103.04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196</v>
      </c>
      <c r="AU6" s="511">
        <f>Elect!BI7</f>
        <v>133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388537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1.2324999999999999</v>
      </c>
      <c r="BN6" s="528" t="e">
        <f>Water!W8</f>
        <v>#DIV/0!</v>
      </c>
      <c r="BO6" s="523">
        <f>Water!X8</f>
        <v>788.8</v>
      </c>
      <c r="BP6" s="528">
        <f>Water!Y8</f>
        <v>4.93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6534</v>
      </c>
      <c r="D7" s="512">
        <f>[3]Consp!$E$6</f>
        <v>0</v>
      </c>
      <c r="E7" s="511">
        <f>Elect!M8</f>
        <v>2237.6666666669771</v>
      </c>
      <c r="F7" s="512">
        <f>[3]Consp!G8</f>
        <v>20</v>
      </c>
      <c r="G7" s="511">
        <f>Elect!O8</f>
        <v>1991</v>
      </c>
      <c r="H7" s="512">
        <f>[3]Consp!I8</f>
        <v>685</v>
      </c>
      <c r="I7" s="511">
        <f>Water!C9</f>
        <v>168.2</v>
      </c>
      <c r="J7" s="512">
        <f>[4]Consp!$K$6</f>
        <v>0</v>
      </c>
      <c r="K7" s="511">
        <f>Water!E9</f>
        <v>0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168.2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97.555999999999983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7812120</v>
      </c>
      <c r="AH7" s="515">
        <f>Gas!C9</f>
        <v>1251.8600000000001</v>
      </c>
      <c r="AI7" s="516" t="e">
        <f>Gas!#REF!</f>
        <v>#REF!</v>
      </c>
      <c r="AJ7" s="517">
        <f>Gas!J9</f>
        <v>17.71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192.66666666697711</v>
      </c>
      <c r="AU7" s="511">
        <f>Elect!BI8</f>
        <v>119.66666666697711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388729.66666666698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1.0382716049382716</v>
      </c>
      <c r="BN7" s="528" t="e">
        <f>Water!W9</f>
        <v>#DIV/0!</v>
      </c>
      <c r="BO7" s="523">
        <f>Water!X9</f>
        <v>672.8</v>
      </c>
      <c r="BP7" s="528">
        <f>Water!Y9</f>
        <v>4.1530864197530866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7854</v>
      </c>
      <c r="D8" s="512">
        <f>[3]Consp!$E$6</f>
        <v>0</v>
      </c>
      <c r="E8" s="511">
        <f>Elect!M9</f>
        <v>2349.3333333330229</v>
      </c>
      <c r="F8" s="512">
        <f>[3]Consp!G9</f>
        <v>20</v>
      </c>
      <c r="G8" s="511">
        <f>Elect!O9</f>
        <v>2003</v>
      </c>
      <c r="H8" s="512">
        <f>[3]Consp!I9</f>
        <v>786</v>
      </c>
      <c r="I8" s="511">
        <f>Water!C10</f>
        <v>185.6</v>
      </c>
      <c r="J8" s="512">
        <f>[4]Consp!$K$6</f>
        <v>0</v>
      </c>
      <c r="K8" s="511">
        <f>Water!E10</f>
        <v>0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186.18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107.98439999999999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7813854</v>
      </c>
      <c r="AH8" s="515">
        <f>Gas!C10</f>
        <v>1838.0400000000002</v>
      </c>
      <c r="AI8" s="516" t="e">
        <f>Gas!#REF!</f>
        <v>#REF!</v>
      </c>
      <c r="AJ8" s="517">
        <f>Gas!J10</f>
        <v>189.98000000000002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197.33333333302289</v>
      </c>
      <c r="AU8" s="511">
        <f>Elect!BI9</f>
        <v>147.33333333302289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388927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1.07</v>
      </c>
      <c r="BN8" s="528" t="e">
        <f>Water!W10</f>
        <v>#DIV/0!</v>
      </c>
      <c r="BO8" s="523">
        <f>Water!X10</f>
        <v>744.72</v>
      </c>
      <c r="BP8" s="528">
        <f>Water!Y10</f>
        <v>4.28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4821</v>
      </c>
      <c r="D9" s="512">
        <f>[3]Consp!$E$6</f>
        <v>0</v>
      </c>
      <c r="E9" s="511">
        <f>Elect!M10</f>
        <v>2274.8888888889924</v>
      </c>
      <c r="F9" s="512">
        <f>[3]Consp!G10</f>
        <v>20</v>
      </c>
      <c r="G9" s="511">
        <f>Elect!O10</f>
        <v>1612</v>
      </c>
      <c r="H9" s="512">
        <f>[3]Consp!I10</f>
        <v>789</v>
      </c>
      <c r="I9" s="511">
        <f>Water!C11</f>
        <v>133.39999999999998</v>
      </c>
      <c r="J9" s="512">
        <f>[4]Consp!$K$6</f>
        <v>0</v>
      </c>
      <c r="K9" s="511">
        <f>Water!E11</f>
        <v>0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133.39999999999998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77.371999999999986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7815702</v>
      </c>
      <c r="AH9" s="515">
        <f>Gas!C11</f>
        <v>1958.88</v>
      </c>
      <c r="AI9" s="516" t="e">
        <f>Gas!#REF!</f>
        <v>#REF!</v>
      </c>
      <c r="AJ9" s="517">
        <f>Gas!J11</f>
        <v>189.98000000000002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141</v>
      </c>
      <c r="AU9" s="511">
        <f>Elect!BI10</f>
        <v>97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389068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0.78934911242603534</v>
      </c>
      <c r="BN9" s="528" t="e">
        <f>Water!W11</f>
        <v>#DIV/0!</v>
      </c>
      <c r="BO9" s="523">
        <f>Water!X11</f>
        <v>533.59999999999991</v>
      </c>
      <c r="BP9" s="528">
        <f>Water!Y11</f>
        <v>3.1573964497041414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6554</v>
      </c>
      <c r="D10" s="512">
        <f>[3]Consp!$E$6</f>
        <v>0</v>
      </c>
      <c r="E10" s="511">
        <f>Elect!M11</f>
        <v>2752.1111111110076</v>
      </c>
      <c r="F10" s="512">
        <f>[3]Consp!G11</f>
        <v>20</v>
      </c>
      <c r="G10" s="511">
        <f>Elect!O11</f>
        <v>1939</v>
      </c>
      <c r="H10" s="512">
        <f>[3]Consp!I11</f>
        <v>805</v>
      </c>
      <c r="I10" s="511">
        <f>Water!C12</f>
        <v>237.79999999999998</v>
      </c>
      <c r="J10" s="512">
        <f>[4]Consp!$K$6</f>
        <v>0</v>
      </c>
      <c r="K10" s="511">
        <f>Water!E12</f>
        <v>5.8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244.18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141.62439999999998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7817444</v>
      </c>
      <c r="AH10" s="515">
        <f>Gas!C12</f>
        <v>1846.52</v>
      </c>
      <c r="AI10" s="516" t="e">
        <f>Gas!#REF!</f>
        <v>#REF!</v>
      </c>
      <c r="AJ10" s="517">
        <f>Gas!J12</f>
        <v>185.15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195</v>
      </c>
      <c r="AU10" s="511">
        <f>Elect!BI11</f>
        <v>132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389263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2.0348333333333333</v>
      </c>
      <c r="BN10" s="528" t="e">
        <f>Water!W12</f>
        <v>#DIV/0!</v>
      </c>
      <c r="BO10" s="523">
        <f>Water!X12</f>
        <v>976.72</v>
      </c>
      <c r="BP10" s="528">
        <f>Water!Y12</f>
        <v>8.1393333333333331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6414</v>
      </c>
      <c r="D11" s="512">
        <f>[3]Consp!$E$6</f>
        <v>0</v>
      </c>
      <c r="E11" s="511">
        <f>Elect!M12</f>
        <v>2201.7777777779847</v>
      </c>
      <c r="F11" s="512">
        <f>[3]Consp!G12</f>
        <v>20</v>
      </c>
      <c r="G11" s="511">
        <f>Elect!O12</f>
        <v>1847</v>
      </c>
      <c r="H11" s="512">
        <f>[3]Consp!I12</f>
        <v>871</v>
      </c>
      <c r="I11" s="511">
        <f>Water!C13</f>
        <v>75.399999999999991</v>
      </c>
      <c r="J11" s="512">
        <f>[4]Consp!$K$6</f>
        <v>0</v>
      </c>
      <c r="K11" s="511">
        <f>Water!E13</f>
        <v>5.8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169.94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98.56519999999999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7818463</v>
      </c>
      <c r="AH11" s="515">
        <f>Gas!C13</f>
        <v>1080.1400000000001</v>
      </c>
      <c r="AI11" s="516" t="e">
        <f>Gas!#REF!</f>
        <v>#REF!</v>
      </c>
      <c r="AJ11" s="517">
        <f>Gas!J13</f>
        <v>204.47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192</v>
      </c>
      <c r="AU11" s="511">
        <f>Elect!BI12</f>
        <v>126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389455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18.882222222222222</v>
      </c>
      <c r="BN11" s="528" t="e">
        <f>Water!W13</f>
        <v>#DIV/0!</v>
      </c>
      <c r="BO11" s="523">
        <f>Water!X13</f>
        <v>679.76</v>
      </c>
      <c r="BP11" s="528">
        <f>Water!Y13</f>
        <v>75.528888888888886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6815</v>
      </c>
      <c r="D12" s="512">
        <f>[3]Consp!$E$6</f>
        <v>0</v>
      </c>
      <c r="E12" s="511">
        <f>Elect!M13</f>
        <v>2385.2222222220153</v>
      </c>
      <c r="F12" s="512">
        <f>[3]Consp!G13</f>
        <v>20</v>
      </c>
      <c r="G12" s="511">
        <f>Elect!O13</f>
        <v>1870</v>
      </c>
      <c r="H12" s="512">
        <f>[3]Consp!I13</f>
        <v>963</v>
      </c>
      <c r="I12" s="511">
        <f>Water!C14</f>
        <v>214.6</v>
      </c>
      <c r="J12" s="512">
        <f>[4]Consp!$K$6</f>
        <v>0</v>
      </c>
      <c r="K12" s="511">
        <f>Water!E14</f>
        <v>0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290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168.2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7819162</v>
      </c>
      <c r="AH12" s="515">
        <f>Gas!C14</f>
        <v>740.94</v>
      </c>
      <c r="AI12" s="516" t="e">
        <f>Gas!#REF!</f>
        <v>#REF!</v>
      </c>
      <c r="AJ12" s="517">
        <f>Gas!J14</f>
        <v>82.11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198</v>
      </c>
      <c r="AU12" s="511">
        <f>Elect!BI13</f>
        <v>127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389653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4.1428571428571432</v>
      </c>
      <c r="BN12" s="528" t="e">
        <f>Water!W14</f>
        <v>#DIV/0!</v>
      </c>
      <c r="BO12" s="523">
        <f>Water!X14</f>
        <v>1160</v>
      </c>
      <c r="BP12" s="528">
        <f>Water!Y14</f>
        <v>16.571428571428573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5761</v>
      </c>
      <c r="D13" s="512">
        <f>[3]Consp!$E$6</f>
        <v>0</v>
      </c>
      <c r="E13" s="511">
        <f>Elect!M14</f>
        <v>2385.2222222220153</v>
      </c>
      <c r="F13" s="512">
        <f>[3]Consp!G14</f>
        <v>20</v>
      </c>
      <c r="G13" s="511">
        <f>Elect!O14</f>
        <v>1700</v>
      </c>
      <c r="H13" s="512">
        <f>[3]Consp!I14</f>
        <v>790</v>
      </c>
      <c r="I13" s="511">
        <f>Water!C15</f>
        <v>57.999999999999993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169.35999999999999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98.228799999999978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7820140</v>
      </c>
      <c r="AH13" s="515">
        <f>Gas!C15</f>
        <v>1036.68</v>
      </c>
      <c r="AI13" s="516" t="e">
        <f>Gas!#REF!</f>
        <v>#REF!</v>
      </c>
      <c r="AJ13" s="517">
        <f>Gas!J15</f>
        <v>93.38000000000001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196</v>
      </c>
      <c r="AU13" s="511">
        <f>Elect!BI14</f>
        <v>114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389849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1.9029213483146066</v>
      </c>
      <c r="BN13" s="528" t="e">
        <f>Water!W15</f>
        <v>#DIV/0!</v>
      </c>
      <c r="BO13" s="523">
        <f>Water!X15</f>
        <v>677.43999999999994</v>
      </c>
      <c r="BP13" s="528">
        <f>Water!Y15</f>
        <v>7.6116853932584263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5120</v>
      </c>
      <c r="D14" s="512">
        <f>[3]Consp!$E$6</f>
        <v>0</v>
      </c>
      <c r="E14" s="511">
        <f>Elect!M15</f>
        <v>992.77777777798474</v>
      </c>
      <c r="F14" s="512">
        <f>[3]Consp!G15</f>
        <v>20</v>
      </c>
      <c r="G14" s="511">
        <f>Elect!O15</f>
        <v>1641</v>
      </c>
      <c r="H14" s="512">
        <f>[3]Consp!I15</f>
        <v>792</v>
      </c>
      <c r="I14" s="511">
        <f>Water!C16</f>
        <v>185.6</v>
      </c>
      <c r="J14" s="512">
        <f>[4]Consp!$K$6</f>
        <v>0</v>
      </c>
      <c r="K14" s="511">
        <f>Water!E16</f>
        <v>0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272.60000000000002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158.108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7821277</v>
      </c>
      <c r="AH14" s="515">
        <f>Gas!C16</f>
        <v>1205.22</v>
      </c>
      <c r="AI14" s="516" t="e">
        <f>Gas!#REF!</f>
        <v>#REF!</v>
      </c>
      <c r="AJ14" s="517">
        <f>Gas!J16</f>
        <v>183.54000000000002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198</v>
      </c>
      <c r="AU14" s="511">
        <f>Elect!BI15</f>
        <v>121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390047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2.6990099009900992</v>
      </c>
      <c r="BN14" s="528" t="e">
        <f>Water!W16</f>
        <v>#DIV/0!</v>
      </c>
      <c r="BO14" s="523">
        <f>Water!X16</f>
        <v>1090.4000000000001</v>
      </c>
      <c r="BP14" s="528">
        <f>Water!Y16</f>
        <v>10.796039603960397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5042</v>
      </c>
      <c r="D15" s="512">
        <f>[3]Consp!$E$6</f>
        <v>0</v>
      </c>
      <c r="E15" s="511">
        <f>Elect!M16</f>
        <v>1614</v>
      </c>
      <c r="F15" s="512">
        <f>[3]Consp!G16</f>
        <v>20</v>
      </c>
      <c r="G15" s="511">
        <f>Elect!O16</f>
        <v>1564</v>
      </c>
      <c r="H15" s="512">
        <f>[3]Consp!I16</f>
        <v>817</v>
      </c>
      <c r="I15" s="511">
        <f>Water!C17</f>
        <v>104.39999999999999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196.62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114.03959999999999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1051.52</v>
      </c>
      <c r="AI15" s="516" t="e">
        <f>Gas!#REF!</f>
        <v>#REF!</v>
      </c>
      <c r="AJ15" s="517">
        <f>Gas!J17</f>
        <v>117.53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209</v>
      </c>
      <c r="AU15" s="511">
        <f>Elect!BI16</f>
        <v>130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390256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2.7692957746478872</v>
      </c>
      <c r="BN15" s="528" t="e">
        <f>Water!W17</f>
        <v>#DIV/0!</v>
      </c>
      <c r="BO15" s="523">
        <f>Water!X17</f>
        <v>786.48</v>
      </c>
      <c r="BP15" s="528">
        <f>Water!Y17</f>
        <v>11.077183098591549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4121</v>
      </c>
      <c r="D16" s="512">
        <f>[3]Consp!$E$6</f>
        <v>0</v>
      </c>
      <c r="E16" s="511">
        <f>Elect!M17</f>
        <v>613</v>
      </c>
      <c r="F16" s="512">
        <f>[3]Consp!G17</f>
        <v>20</v>
      </c>
      <c r="G16" s="511">
        <f>Elect!O17</f>
        <v>1148</v>
      </c>
      <c r="H16" s="512">
        <f>[3]Consp!I17</f>
        <v>907</v>
      </c>
      <c r="I16" s="511">
        <f>Water!C18</f>
        <v>69.599999999999994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103.24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59.87919999999999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7823207</v>
      </c>
      <c r="AH16" s="515">
        <f>Gas!C18</f>
        <v>994.28000000000009</v>
      </c>
      <c r="AI16" s="516" t="e">
        <f>Gas!#REF!</f>
        <v>#REF!</v>
      </c>
      <c r="AJ16" s="517">
        <f>Gas!J18</f>
        <v>165.83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182</v>
      </c>
      <c r="AU16" s="511">
        <f>Elect!BI17</f>
        <v>88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390438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1.1599999999999999</v>
      </c>
      <c r="BN16" s="528" t="e">
        <f>Water!W18</f>
        <v>#DIV/0!</v>
      </c>
      <c r="BO16" s="523">
        <f>Water!X18</f>
        <v>412.96</v>
      </c>
      <c r="BP16" s="528">
        <f>Water!Y18</f>
        <v>4.6399999999999997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5116</v>
      </c>
      <c r="D17" s="512">
        <f>[3]Consp!$E$6</f>
        <v>0</v>
      </c>
      <c r="E17" s="511">
        <f>Elect!M18</f>
        <v>1984</v>
      </c>
      <c r="F17" s="512">
        <f>[3]Consp!G18</f>
        <v>20</v>
      </c>
      <c r="G17" s="511">
        <f>Elect!O18</f>
        <v>1389</v>
      </c>
      <c r="H17" s="512">
        <f>[3]Consp!I18</f>
        <v>812</v>
      </c>
      <c r="I17" s="511">
        <f>Water!C19</f>
        <v>75.399999999999991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145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84.1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7824171</v>
      </c>
      <c r="AH17" s="515">
        <f>Gas!C19</f>
        <v>1021.84</v>
      </c>
      <c r="AI17" s="516" t="e">
        <f>Gas!#REF!</f>
        <v>#REF!</v>
      </c>
      <c r="AJ17" s="517">
        <f>Gas!J19</f>
        <v>144.9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200</v>
      </c>
      <c r="AU17" s="511">
        <f>Elect!BI18</f>
        <v>126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390638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1.7469879518072289</v>
      </c>
      <c r="BN17" s="528" t="e">
        <f>Water!W19</f>
        <v>#DIV/0!</v>
      </c>
      <c r="BO17" s="523">
        <f>Water!X19</f>
        <v>580</v>
      </c>
      <c r="BP17" s="528">
        <f>Water!Y19</f>
        <v>6.9879518072289155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4819</v>
      </c>
      <c r="D18" s="512">
        <f>[3]Consp!$E$6</f>
        <v>0</v>
      </c>
      <c r="E18" s="511">
        <f>Elect!M19</f>
        <v>1770</v>
      </c>
      <c r="F18" s="512">
        <f>[3]Consp!G19</f>
        <v>30</v>
      </c>
      <c r="G18" s="511">
        <f>Elect!O19</f>
        <v>1324</v>
      </c>
      <c r="H18" s="512">
        <f>[3]Consp!I19</f>
        <v>810</v>
      </c>
      <c r="I18" s="511">
        <f>Water!C20</f>
        <v>69.599999999999994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116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67.28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7825295</v>
      </c>
      <c r="AH18" s="515">
        <f>Gas!C20</f>
        <v>1191.44</v>
      </c>
      <c r="AI18" s="516" t="e">
        <f>Gas!#REF!</f>
        <v>#REF!</v>
      </c>
      <c r="AJ18" s="517">
        <f>Gas!J20</f>
        <v>133.63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194</v>
      </c>
      <c r="AU18" s="511">
        <f>Elect!BI19</f>
        <v>128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388341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1.4146341463414633</v>
      </c>
      <c r="BN18" s="528" t="e">
        <f>Water!W20</f>
        <v>#DIV/0!</v>
      </c>
      <c r="BO18" s="523">
        <f>Water!X20</f>
        <v>464</v>
      </c>
      <c r="BP18" s="528">
        <f>Water!Y20</f>
        <v>5.6585365853658534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5520</v>
      </c>
      <c r="D19" s="512">
        <f>[3]Consp!$E$6</f>
        <v>0</v>
      </c>
      <c r="E19" s="511">
        <f>Elect!M20</f>
        <v>1871</v>
      </c>
      <c r="F19" s="512">
        <f>[3]Consp!G20</f>
        <v>20</v>
      </c>
      <c r="G19" s="511">
        <f>Elect!O20</f>
        <v>1564</v>
      </c>
      <c r="H19" s="512">
        <f>[3]Consp!I20</f>
        <v>841</v>
      </c>
      <c r="I19" s="511">
        <f>Water!C21</f>
        <v>98.6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153.69999999999999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89.145999999999987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7826347</v>
      </c>
      <c r="AH19" s="515">
        <f>Gas!C21</f>
        <v>1115.1200000000001</v>
      </c>
      <c r="AI19" s="516" t="e">
        <f>Gas!#REF!</f>
        <v>#REF!</v>
      </c>
      <c r="AJ19" s="517">
        <f>Gas!J21</f>
        <v>157.78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210</v>
      </c>
      <c r="AU19" s="511">
        <f>Elect!BI20</f>
        <v>118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391042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2.65</v>
      </c>
      <c r="BN19" s="528" t="e">
        <f>Water!W21</f>
        <v>#DIV/0!</v>
      </c>
      <c r="BO19" s="523">
        <f>Water!X21</f>
        <v>614.79999999999995</v>
      </c>
      <c r="BP19" s="528">
        <f>Water!Y21</f>
        <v>10.6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4306</v>
      </c>
      <c r="D20" s="512">
        <f>[3]Consp!$E$6</f>
        <v>0</v>
      </c>
      <c r="E20" s="511">
        <f>Elect!M21</f>
        <v>1480</v>
      </c>
      <c r="F20" s="512">
        <f>[3]Consp!G21</f>
        <v>20</v>
      </c>
      <c r="G20" s="511">
        <f>Elect!O21</f>
        <v>1366</v>
      </c>
      <c r="H20" s="512">
        <f>[3]Consp!I21</f>
        <v>932</v>
      </c>
      <c r="I20" s="511">
        <f>Water!C22</f>
        <v>87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123.53999999999999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71.653199999999984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7827203</v>
      </c>
      <c r="AH20" s="515">
        <f>Gas!C22</f>
        <v>907.36</v>
      </c>
      <c r="AI20" s="516" t="e">
        <f>Gas!#REF!</f>
        <v>#REF!</v>
      </c>
      <c r="AJ20" s="517">
        <f>Gas!J22</f>
        <v>133.63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177</v>
      </c>
      <c r="AU20" s="511">
        <f>Elect!BI21</f>
        <v>110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391219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10.295</v>
      </c>
      <c r="BN20" s="528" t="e">
        <f>Water!W22</f>
        <v>#DIV/0!</v>
      </c>
      <c r="BO20" s="523">
        <f>Water!X22</f>
        <v>494.15999999999997</v>
      </c>
      <c r="BP20" s="528">
        <f>Water!Y22</f>
        <v>41.18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6294</v>
      </c>
      <c r="D21" s="512">
        <f>[3]Consp!$E$6</f>
        <v>0</v>
      </c>
      <c r="E21" s="511">
        <f>Elect!M22</f>
        <v>2237</v>
      </c>
      <c r="F21" s="512">
        <f>[3]Consp!G22</f>
        <v>20</v>
      </c>
      <c r="G21" s="511">
        <f>Elect!O22</f>
        <v>1734</v>
      </c>
      <c r="H21" s="512">
        <f>[3]Consp!I22</f>
        <v>972</v>
      </c>
      <c r="I21" s="511">
        <f>Water!C23</f>
        <v>77.140000000016869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78.880000000016864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45.750400000009776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7828109</v>
      </c>
      <c r="AH21" s="515">
        <f>Gas!C23</f>
        <v>960.36</v>
      </c>
      <c r="AI21" s="516" t="e">
        <f>Gas!#REF!</f>
        <v>#REF!</v>
      </c>
      <c r="AJ21" s="517">
        <f>Gas!J23</f>
        <v>144.9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219</v>
      </c>
      <c r="AU21" s="511">
        <f>Elect!BI22</f>
        <v>124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391438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2.0757894736846545</v>
      </c>
      <c r="BN21" s="528" t="e">
        <f>Water!W23</f>
        <v>#DIV/0!</v>
      </c>
      <c r="BO21" s="523">
        <f>Water!X23</f>
        <v>315.52000000006745</v>
      </c>
      <c r="BP21" s="528">
        <f>Water!Y23</f>
        <v>8.303157894738618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3292</v>
      </c>
      <c r="D22" s="512">
        <f>[3]Consp!$E$6</f>
        <v>0</v>
      </c>
      <c r="E22" s="511">
        <f>Elect!M23</f>
        <v>1289</v>
      </c>
      <c r="F22" s="512">
        <f>[3]Consp!G23</f>
        <v>20</v>
      </c>
      <c r="G22" s="511">
        <f>Elect!O23</f>
        <v>1734</v>
      </c>
      <c r="H22" s="512">
        <f>[3]Consp!I23</f>
        <v>864</v>
      </c>
      <c r="I22" s="511">
        <f>Water!C24</f>
        <v>79.459999999983111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79.459999999983111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46.086799999990198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7829005</v>
      </c>
      <c r="AH22" s="515">
        <f>Gas!C24</f>
        <v>949.76</v>
      </c>
      <c r="AI22" s="516" t="e">
        <f>Gas!#REF!</f>
        <v>#REF!</v>
      </c>
      <c r="AJ22" s="517">
        <f>Gas!J24</f>
        <v>143.29000000000002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194</v>
      </c>
      <c r="AU22" s="511">
        <f>Elect!BI23</f>
        <v>124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391632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3.1783999999993244</v>
      </c>
      <c r="BN22" s="528" t="e">
        <f>Water!W24</f>
        <v>#DIV/0!</v>
      </c>
      <c r="BO22" s="523">
        <f>Water!X24</f>
        <v>317.83999999993245</v>
      </c>
      <c r="BP22" s="528">
        <f>Water!Y24</f>
        <v>12.713599999997298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3889</v>
      </c>
      <c r="D23" s="512">
        <f>[3]Consp!$E$6</f>
        <v>0</v>
      </c>
      <c r="E23" s="511">
        <f>Elect!M24</f>
        <v>1669</v>
      </c>
      <c r="F23" s="512">
        <f>[3]Consp!G24</f>
        <v>30</v>
      </c>
      <c r="G23" s="511">
        <f>Elect!O24</f>
        <v>658</v>
      </c>
      <c r="H23" s="512">
        <f>[3]Consp!I24</f>
        <v>894</v>
      </c>
      <c r="I23" s="511">
        <f>Water!C25</f>
        <v>81.199999999999989</v>
      </c>
      <c r="J23" s="512">
        <f>[4]Consp!$K$6</f>
        <v>0</v>
      </c>
      <c r="K23" s="511">
        <f>Water!E25</f>
        <v>5.8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86.999999999999986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50.459999999999987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7829511</v>
      </c>
      <c r="AH23" s="515">
        <f>Gas!C25</f>
        <v>536.36</v>
      </c>
      <c r="AI23" s="516" t="e">
        <f>Gas!#REF!</f>
        <v>#REF!</v>
      </c>
      <c r="AJ23" s="517">
        <f>Gas!J25</f>
        <v>140.07000000000002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199</v>
      </c>
      <c r="AU23" s="511">
        <f>Elect!BI24</f>
        <v>121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391831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4.8333333333333321</v>
      </c>
      <c r="BN23" s="528" t="e">
        <f>Water!W25</f>
        <v>#DIV/0!</v>
      </c>
      <c r="BO23" s="523">
        <f>Water!X25</f>
        <v>347.99999999999994</v>
      </c>
      <c r="BP23" s="528">
        <f>Water!Y25</f>
        <v>19.333333333333329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3720</v>
      </c>
      <c r="D24" s="512">
        <f>[3]Consp!$E$6</f>
        <v>0</v>
      </c>
      <c r="E24" s="511">
        <f>Elect!M25</f>
        <v>1207</v>
      </c>
      <c r="F24" s="512">
        <f>[3]Consp!G25</f>
        <v>20</v>
      </c>
      <c r="G24" s="511">
        <f>Elect!O25</f>
        <v>998</v>
      </c>
      <c r="H24" s="512">
        <f>[3]Consp!I25</f>
        <v>944</v>
      </c>
      <c r="I24" s="511">
        <f>Water!C26</f>
        <v>115.99999999999999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115.99999999999999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67.279999999999987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7830077</v>
      </c>
      <c r="AH24" s="515">
        <f>Gas!C26</f>
        <v>599.96</v>
      </c>
      <c r="AI24" s="516" t="e">
        <f>Gas!#REF!</f>
        <v>#REF!</v>
      </c>
      <c r="AJ24" s="517">
        <f>Gas!J26</f>
        <v>146.51000000000002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209</v>
      </c>
      <c r="AU24" s="511">
        <f>Elect!BI25</f>
        <v>110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392040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463.99999999999994</v>
      </c>
      <c r="BP24" s="528" t="e">
        <f>Water!Y26</f>
        <v>#DIV/0!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4409</v>
      </c>
      <c r="D25" s="512">
        <f>[3]Consp!$E$6</f>
        <v>0</v>
      </c>
      <c r="E25" s="511">
        <f>Elect!M26</f>
        <v>945</v>
      </c>
      <c r="F25" s="512">
        <f>[3]Consp!G26</f>
        <v>20</v>
      </c>
      <c r="G25" s="511">
        <f>Elect!O26</f>
        <v>1032</v>
      </c>
      <c r="H25" s="512">
        <f>[3]Consp!I26</f>
        <v>916</v>
      </c>
      <c r="I25" s="511">
        <f>Water!C27</f>
        <v>110.19999999999999</v>
      </c>
      <c r="J25" s="512">
        <f>[4]Consp!$K$6</f>
        <v>0</v>
      </c>
      <c r="K25" s="511">
        <f>Water!E27</f>
        <v>11.6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121.79999999999998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70.643999999999991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7830578</v>
      </c>
      <c r="AH25" s="515">
        <f>Gas!C27</f>
        <v>531.06000000000006</v>
      </c>
      <c r="AI25" s="516" t="e">
        <f>Gas!#REF!</f>
        <v>#REF!</v>
      </c>
      <c r="AJ25" s="517">
        <f>Gas!J27</f>
        <v>132.02000000000001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161</v>
      </c>
      <c r="AU25" s="511">
        <f>Elect!BI26</f>
        <v>90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392201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487.19999999999993</v>
      </c>
      <c r="BP25" s="528" t="e">
        <f>Water!Y27</f>
        <v>#DIV/0!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2372</v>
      </c>
      <c r="D26" s="512">
        <f>[3]Consp!$E$6</f>
        <v>0</v>
      </c>
      <c r="E26" s="511">
        <f>Elect!M27</f>
        <v>805</v>
      </c>
      <c r="F26" s="512">
        <f>[3]Consp!G27</f>
        <v>20</v>
      </c>
      <c r="G26" s="511">
        <f>Elect!O27</f>
        <v>655</v>
      </c>
      <c r="H26" s="512">
        <f>[3]Consp!I27</f>
        <v>931</v>
      </c>
      <c r="I26" s="511">
        <f>Water!C28</f>
        <v>121.8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121.8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70.643999999999991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7831059</v>
      </c>
      <c r="AH26" s="515">
        <f>Gas!C28</f>
        <v>509.86</v>
      </c>
      <c r="AI26" s="516" t="e">
        <f>Gas!#REF!</f>
        <v>#REF!</v>
      </c>
      <c r="AJ26" s="517">
        <f>Gas!J28</f>
        <v>114.31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198</v>
      </c>
      <c r="AU26" s="511">
        <f>Elect!BI27</f>
        <v>101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392399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487.2</v>
      </c>
      <c r="BP26" s="528" t="e">
        <f>Water!Y28</f>
        <v>#DIV/0!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1673</v>
      </c>
      <c r="D27" s="512">
        <f>[3]Consp!$E$6</f>
        <v>0</v>
      </c>
      <c r="E27" s="511">
        <f>Elect!M28</f>
        <v>828</v>
      </c>
      <c r="F27" s="512">
        <f>[3]Consp!G28</f>
        <v>30</v>
      </c>
      <c r="G27" s="511">
        <f>Elect!O28</f>
        <v>763</v>
      </c>
      <c r="H27" s="512">
        <f>[3]Consp!I28</f>
        <v>1009</v>
      </c>
      <c r="I27" s="511">
        <f>Water!C29</f>
        <v>110.19999999999999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110.19999999999999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63.91599999999999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7831298</v>
      </c>
      <c r="AH27" s="515">
        <f>Gas!C29</f>
        <v>253.34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187</v>
      </c>
      <c r="AU27" s="511">
        <f>Elect!BI28</f>
        <v>84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392586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440.79999999999995</v>
      </c>
      <c r="BP27" s="528" t="e">
        <f>Water!Y29</f>
        <v>#DIV/0!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2027</v>
      </c>
      <c r="D28" s="512">
        <f>[3]Consp!$E$6</f>
        <v>0</v>
      </c>
      <c r="E28" s="511">
        <f>Elect!M29</f>
        <v>725</v>
      </c>
      <c r="F28" s="512">
        <f>[3]Consp!G29</f>
        <v>20</v>
      </c>
      <c r="G28" s="511">
        <f>Elect!O29</f>
        <v>684</v>
      </c>
      <c r="H28" s="512">
        <f>[3]Consp!I29</f>
        <v>891</v>
      </c>
      <c r="I28" s="511">
        <f>Water!C30</f>
        <v>127.6</v>
      </c>
      <c r="J28" s="512">
        <f>[4]Consp!$K$6</f>
        <v>0</v>
      </c>
      <c r="K28" s="511">
        <f>Water!E30</f>
        <v>11.6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139.19999999999999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80.73599999999999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7831499</v>
      </c>
      <c r="AH28" s="515">
        <f>Gas!C30</f>
        <v>213.06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192</v>
      </c>
      <c r="AU28" s="511">
        <f>Elect!BI29</f>
        <v>83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392778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556.79999999999995</v>
      </c>
      <c r="BP28" s="528" t="e">
        <f>Water!Y30</f>
        <v>#DIV/0!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2127</v>
      </c>
      <c r="D29" s="512">
        <f>[3]Consp!$E$6</f>
        <v>0</v>
      </c>
      <c r="E29" s="511">
        <f>Elect!M30</f>
        <v>816</v>
      </c>
      <c r="F29" s="512">
        <f>[3]Consp!G30</f>
        <v>20</v>
      </c>
      <c r="G29" s="511">
        <f>Elect!O30</f>
        <v>736</v>
      </c>
      <c r="H29" s="512">
        <f>[3]Consp!I30</f>
        <v>1008</v>
      </c>
      <c r="I29" s="511">
        <f>Water!C31</f>
        <v>139.19999999999999</v>
      </c>
      <c r="J29" s="512">
        <f>[4]Consp!$K$6</f>
        <v>0</v>
      </c>
      <c r="K29" s="511">
        <f>Water!E31</f>
        <v>5.8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145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84.1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7831690</v>
      </c>
      <c r="AH29" s="515">
        <f>Gas!C31</f>
        <v>202.46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192</v>
      </c>
      <c r="AU29" s="511">
        <f>Elect!BI30</f>
        <v>93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392970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580</v>
      </c>
      <c r="BP29" s="528" t="e">
        <f>Water!Y31</f>
        <v>#DIV/0!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1927</v>
      </c>
      <c r="D30" s="512">
        <f>[3]Consp!$E$6</f>
        <v>0</v>
      </c>
      <c r="E30" s="511">
        <f>Elect!M31</f>
        <v>790</v>
      </c>
      <c r="F30" s="512">
        <f>[3]Consp!G31</f>
        <v>20</v>
      </c>
      <c r="G30" s="511">
        <f>Elect!O31</f>
        <v>724</v>
      </c>
      <c r="H30" s="512">
        <f>[3]Consp!I31</f>
        <v>760</v>
      </c>
      <c r="I30" s="511">
        <f>Water!C32</f>
        <v>150.79999999999998</v>
      </c>
      <c r="J30" s="512">
        <f>[4]Consp!$K$6</f>
        <v>0</v>
      </c>
      <c r="K30" s="511">
        <f>Water!E32</f>
        <v>5.8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156.6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90.827999999999989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7831891</v>
      </c>
      <c r="AH30" s="515">
        <f>Gas!C32</f>
        <v>213.06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222</v>
      </c>
      <c r="AU30" s="511">
        <f>Elect!BI31</f>
        <v>90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393192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626.4</v>
      </c>
      <c r="BP30" s="528" t="e">
        <f>Water!Y32</f>
        <v>#DIV/0!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1887</v>
      </c>
      <c r="D31" s="512">
        <f>[3]Consp!$E$6</f>
        <v>0</v>
      </c>
      <c r="E31" s="511">
        <f>Elect!M32</f>
        <v>791</v>
      </c>
      <c r="F31" s="512">
        <f>[3]Consp!G32</f>
        <v>30</v>
      </c>
      <c r="G31" s="511">
        <f>Elect!O32</f>
        <v>701</v>
      </c>
      <c r="H31" s="512">
        <f>[3]Consp!I32</f>
        <v>1010</v>
      </c>
      <c r="I31" s="511">
        <f>Water!C33</f>
        <v>156.6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156.6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90.827999999999989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7832022</v>
      </c>
      <c r="AH31" s="515">
        <f>Gas!C33</f>
        <v>138.86000000000001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204</v>
      </c>
      <c r="AU31" s="511">
        <f>Elect!BI32</f>
        <v>95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393396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626.4</v>
      </c>
      <c r="BP31" s="528" t="e">
        <f>Water!Y33</f>
        <v>#DIV/0!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2027</v>
      </c>
      <c r="D32" s="536">
        <f>[3]Consp!$E$6</f>
        <v>0</v>
      </c>
      <c r="E32" s="535">
        <f>Elect!M33</f>
        <v>781</v>
      </c>
      <c r="F32" s="536">
        <f>[3]Consp!G33</f>
        <v>20</v>
      </c>
      <c r="G32" s="535">
        <f>Elect!O33</f>
        <v>730</v>
      </c>
      <c r="H32" s="536">
        <f>[3]Consp!I33</f>
        <v>1008</v>
      </c>
      <c r="I32" s="535">
        <f>Water!C34</f>
        <v>145</v>
      </c>
      <c r="J32" s="536">
        <f>[4]Consp!$K$6</f>
        <v>0</v>
      </c>
      <c r="K32" s="535">
        <f>Water!E34</f>
        <v>5.8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150.80000000000001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87.463999999999999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7832212</v>
      </c>
      <c r="AH32" s="539">
        <f>Gas!C34</f>
        <v>201.4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113</v>
      </c>
      <c r="AU32" s="535">
        <f>Elect!BI33</f>
        <v>45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393509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603.20000000000005</v>
      </c>
      <c r="BP32" s="552" t="e">
        <f>Water!Y34</f>
        <v>#DIV/0!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1975</v>
      </c>
      <c r="D33" s="556">
        <f>[3]Consp!$E$6</f>
        <v>0</v>
      </c>
      <c r="E33" s="555">
        <f>Elect!M34</f>
        <v>794</v>
      </c>
      <c r="F33" s="556">
        <f>[3]Consp!G35</f>
        <v>600</v>
      </c>
      <c r="G33" s="555">
        <f>Elect!O34</f>
        <v>720</v>
      </c>
      <c r="H33" s="556">
        <f>[3]Consp!I35</f>
        <v>24543</v>
      </c>
      <c r="I33" s="555">
        <f>Water!C38</f>
        <v>3978.7999999999988</v>
      </c>
      <c r="J33" s="556">
        <f>[4]Consp!$K$6</f>
        <v>0</v>
      </c>
      <c r="K33" s="555">
        <f>Water!E39</f>
        <v>2.4322580645161289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4769.34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2513.9171999999999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26148.080000000002</v>
      </c>
      <c r="AI33" s="560" t="e">
        <f>Gas!#REF!</f>
        <v>#REF!</v>
      </c>
      <c r="AJ33" s="561">
        <f>Gas!J38</f>
        <v>3145.9400000000005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214</v>
      </c>
      <c r="AU33" s="560">
        <f>Elect!BI34</f>
        <v>84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393723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2.8071453796350796</v>
      </c>
      <c r="BN33" s="572" t="e">
        <f>Water!W38</f>
        <v>#DIV/0!</v>
      </c>
      <c r="BO33" s="567">
        <f>Water!X38</f>
        <v>18497.36</v>
      </c>
      <c r="BP33" s="572">
        <f>Water!Y38</f>
        <v>10.887204237786934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1947</v>
      </c>
      <c r="D34" s="556">
        <f>[3]Consp!$E$6</f>
        <v>0</v>
      </c>
      <c r="E34" s="555">
        <f>Elect!M35</f>
        <v>796</v>
      </c>
      <c r="F34" s="556">
        <f>[3]Consp!G36</f>
        <v>21.428571428571427</v>
      </c>
      <c r="G34" s="555">
        <f>Elect!O35</f>
        <v>721</v>
      </c>
      <c r="H34" s="556">
        <f>[3]Consp!I36</f>
        <v>876.53571428571433</v>
      </c>
      <c r="I34" s="555">
        <f>Water!C39</f>
        <v>128.34838709677416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153.84967741935483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81.09410322580645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871.60266666666678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194</v>
      </c>
      <c r="AU34" s="560">
        <f>Elect!BI35</f>
        <v>79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393917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2.8071453796350796</v>
      </c>
      <c r="BN34" s="572" t="e">
        <f>Water!W39</f>
        <v>#DIV/0!</v>
      </c>
      <c r="BO34" s="567">
        <f>Water!X39</f>
        <v>596.68903225806457</v>
      </c>
      <c r="BP34" s="572">
        <f>Water!Y39</f>
        <v>10.887204237786936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388150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8" t="s">
        <v>30</v>
      </c>
      <c r="B4" s="1068"/>
      <c r="C4" s="1068"/>
      <c r="D4" s="1068"/>
      <c r="E4" s="1068"/>
      <c r="F4" s="1068"/>
      <c r="G4" s="111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9"/>
      <c r="B3" s="1071" t="str">
        <f>Elect!A1</f>
        <v>March</v>
      </c>
      <c r="C3" s="1072"/>
      <c r="D3" s="1072"/>
      <c r="E3" s="1073"/>
    </row>
    <row r="4" spans="1:5" ht="14.25" customHeight="1" thickBot="1">
      <c r="A4" s="1070"/>
      <c r="B4" s="1074" t="s">
        <v>9</v>
      </c>
      <c r="C4" s="1075"/>
      <c r="D4" s="1076" t="s">
        <v>68</v>
      </c>
      <c r="E4" s="1077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1975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4769.34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14502775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256443.34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18497.36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1397108.1500000001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March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84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25156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214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50876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A11" zoomScaleSheetLayoutView="100" workbookViewId="0">
      <selection activeCell="J18" sqref="J18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March</v>
      </c>
      <c r="I6" s="832"/>
      <c r="J6" s="832"/>
      <c r="K6" s="832"/>
    </row>
    <row r="9" spans="2:13" ht="13.5" customHeight="1">
      <c r="B9" s="1084" t="s">
        <v>332</v>
      </c>
      <c r="C9" s="1085"/>
      <c r="D9" s="1085"/>
      <c r="E9" s="1085"/>
      <c r="F9" s="1085"/>
      <c r="G9" s="1085"/>
      <c r="H9" s="1085"/>
      <c r="I9" s="1085"/>
      <c r="J9" s="1085"/>
      <c r="K9" s="1085"/>
      <c r="L9" s="1085"/>
      <c r="M9" s="1085"/>
    </row>
    <row r="10" spans="2:13" ht="13.5" customHeight="1" thickBot="1">
      <c r="B10" s="1091"/>
      <c r="C10" s="1092"/>
      <c r="D10" s="1092"/>
      <c r="E10" s="1092"/>
      <c r="F10" s="1092"/>
      <c r="G10" s="1092"/>
      <c r="H10" s="1092"/>
      <c r="I10" s="1092"/>
      <c r="J10" s="1092"/>
      <c r="K10" s="1092"/>
      <c r="L10" s="1092"/>
      <c r="M10" s="1092"/>
    </row>
    <row r="11" spans="2:13" ht="16.5" thickBot="1">
      <c r="B11" s="1099" t="s">
        <v>333</v>
      </c>
      <c r="C11" s="1099"/>
      <c r="D11" s="1099" t="s">
        <v>334</v>
      </c>
      <c r="E11" s="1099"/>
      <c r="F11" s="1099" t="s">
        <v>335</v>
      </c>
      <c r="G11" s="1099"/>
      <c r="H11" s="1097" t="s">
        <v>336</v>
      </c>
      <c r="I11" s="1098"/>
      <c r="J11" s="1097" t="s">
        <v>337</v>
      </c>
      <c r="K11" s="1098"/>
      <c r="L11" s="1097" t="s">
        <v>355</v>
      </c>
      <c r="M11" s="1098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120066.73000000005</v>
      </c>
      <c r="C13" s="838">
        <f>(B13*1.15)+(2879*60*0.72)</f>
        <v>262449.53950000007</v>
      </c>
      <c r="D13" s="837">
        <f>Elect!J37</f>
        <v>133010</v>
      </c>
      <c r="E13" s="838">
        <f>(D13*1.15)+(573*60)+10000</f>
        <v>197341.5</v>
      </c>
      <c r="F13" s="837">
        <f>Elect!BC37</f>
        <v>310114.75999999995</v>
      </c>
      <c r="G13" s="838">
        <f>(F13*1.15)</f>
        <v>356631.97399999993</v>
      </c>
      <c r="H13" s="837">
        <f>Elect!Q37</f>
        <v>13890</v>
      </c>
      <c r="I13" s="838">
        <f>H13*1.6+1500</f>
        <v>23724</v>
      </c>
      <c r="J13" s="839">
        <f>B13+D13+F13+H13</f>
        <v>577081.49</v>
      </c>
      <c r="K13" s="840">
        <f>G13+E13+C13+I13</f>
        <v>840147.0135</v>
      </c>
      <c r="L13" s="839">
        <f>B13+F13</f>
        <v>430181.49</v>
      </c>
      <c r="M13" s="860">
        <f>C13+G13</f>
        <v>619081.5135</v>
      </c>
    </row>
    <row r="16" spans="2:13" ht="0.75" customHeight="1" thickBot="1">
      <c r="K16" s="833">
        <f>K18</f>
        <v>0</v>
      </c>
    </row>
    <row r="17" spans="4:11" ht="13.5" customHeight="1" thickBot="1">
      <c r="E17" s="1093" t="s">
        <v>340</v>
      </c>
      <c r="F17" s="1094"/>
      <c r="K17" s="840">
        <f>K13/J13</f>
        <v>1.4558550708323708</v>
      </c>
    </row>
    <row r="18" spans="4:11" ht="34.5" customHeight="1" thickBot="1">
      <c r="E18" s="1095"/>
      <c r="F18" s="1096"/>
    </row>
    <row r="19" spans="4:11" ht="13.5" thickBot="1">
      <c r="E19" s="841" t="s">
        <v>341</v>
      </c>
      <c r="F19" s="841" t="s">
        <v>339</v>
      </c>
    </row>
    <row r="20" spans="4:11" ht="13.5" thickBot="1">
      <c r="E20" s="1079">
        <f>Water!H38</f>
        <v>4769.34</v>
      </c>
      <c r="F20" s="1080">
        <f>E20*10</f>
        <v>47693.4</v>
      </c>
    </row>
    <row r="21" spans="4:11" ht="13.5" thickBot="1">
      <c r="E21" s="1079"/>
      <c r="F21" s="1080"/>
    </row>
    <row r="23" spans="4:11" ht="13.5" thickBot="1"/>
    <row r="24" spans="4:11" ht="13.5" thickBot="1">
      <c r="E24" s="1078" t="s">
        <v>342</v>
      </c>
      <c r="F24" s="1078"/>
    </row>
    <row r="25" spans="4:11" ht="11.25" customHeight="1" thickBot="1">
      <c r="E25" s="1078"/>
      <c r="F25" s="1078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79">
        <f>Gas!C38</f>
        <v>26148.080000000002</v>
      </c>
      <c r="F27" s="1080">
        <f>E27*3.8</f>
        <v>99362.703999999998</v>
      </c>
    </row>
    <row r="28" spans="4:11" ht="13.5" thickBot="1">
      <c r="E28" s="1079"/>
      <c r="F28" s="1080"/>
    </row>
    <row r="30" spans="4:11" ht="13.5" thickBot="1"/>
    <row r="31" spans="4:11" ht="20.25">
      <c r="D31" s="1081" t="s">
        <v>343</v>
      </c>
      <c r="E31" s="1082"/>
      <c r="F31" s="1082"/>
      <c r="G31" s="1083"/>
      <c r="H31" s="843"/>
      <c r="I31" s="843"/>
    </row>
    <row r="32" spans="4:11" ht="21" thickBot="1">
      <c r="D32" s="1084"/>
      <c r="E32" s="1085"/>
      <c r="F32" s="1085"/>
      <c r="G32" s="1086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219724</v>
      </c>
      <c r="E34" s="850">
        <f>Gas!D36</f>
        <v>231137</v>
      </c>
      <c r="F34" s="913">
        <f>Gas!E38</f>
        <v>8243.9000000000015</v>
      </c>
      <c r="G34" s="842">
        <f>F34*3.8</f>
        <v>31326.820000000003</v>
      </c>
      <c r="H34" s="847"/>
      <c r="I34" s="847"/>
    </row>
    <row r="35" spans="3:9" ht="18.75" thickBot="1">
      <c r="D35" s="1090" t="s">
        <v>347</v>
      </c>
      <c r="E35" s="1090"/>
      <c r="F35" s="1090"/>
      <c r="G35" s="842">
        <f>G34</f>
        <v>31326.820000000003</v>
      </c>
      <c r="H35" s="849"/>
      <c r="I35" s="849"/>
    </row>
    <row r="37" spans="3:9" ht="13.5" thickBot="1"/>
    <row r="38" spans="3:9" ht="20.25">
      <c r="D38" s="1081" t="s">
        <v>348</v>
      </c>
      <c r="E38" s="1082"/>
      <c r="F38" s="1082"/>
      <c r="G38" s="1083"/>
      <c r="H38" s="843"/>
      <c r="I38" s="843"/>
    </row>
    <row r="39" spans="3:9" ht="21" thickBot="1">
      <c r="D39" s="1084"/>
      <c r="E39" s="1085"/>
      <c r="F39" s="1085"/>
      <c r="G39" s="1086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85606</v>
      </c>
      <c r="E41" s="851">
        <f>Elect!V36</f>
        <v>89901</v>
      </c>
      <c r="F41" s="852">
        <f>E41-D41</f>
        <v>4295</v>
      </c>
      <c r="G41" s="840">
        <f>F41*1.15</f>
        <v>4939.25</v>
      </c>
      <c r="H41" s="853"/>
      <c r="I41" s="853"/>
    </row>
    <row r="42" spans="3:9" ht="13.5" thickBot="1">
      <c r="C42" s="846" t="s">
        <v>361</v>
      </c>
      <c r="D42" s="851">
        <f>Elect!X5</f>
        <v>160013</v>
      </c>
      <c r="E42" s="851">
        <f>Elect!X36</f>
        <v>167667</v>
      </c>
      <c r="F42" s="852">
        <f>E42-D42</f>
        <v>7654</v>
      </c>
      <c r="G42" s="840">
        <f>F42*1.15</f>
        <v>8802.0999999999985</v>
      </c>
      <c r="H42" s="853"/>
      <c r="I42" s="853"/>
    </row>
    <row r="43" spans="3:9" ht="18.75" thickBot="1">
      <c r="D43" s="1087" t="s">
        <v>347</v>
      </c>
      <c r="E43" s="1088"/>
      <c r="F43" s="1089"/>
      <c r="G43" s="848">
        <f>G42+G41</f>
        <v>13741.349999999999</v>
      </c>
      <c r="H43" s="849"/>
      <c r="I43" s="849"/>
    </row>
    <row r="44" spans="3:9">
      <c r="F44" s="854"/>
    </row>
    <row r="48" spans="3:9" ht="13.5" thickBot="1"/>
    <row r="49" spans="3:7">
      <c r="D49" s="1081" t="s">
        <v>378</v>
      </c>
      <c r="E49" s="1082"/>
      <c r="F49" s="1082"/>
      <c r="G49" s="1083"/>
    </row>
    <row r="50" spans="3:7" ht="13.5" thickBot="1">
      <c r="D50" s="1084"/>
      <c r="E50" s="1085"/>
      <c r="F50" s="1085"/>
      <c r="G50" s="1086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194</v>
      </c>
      <c r="E52" s="851">
        <f>Water!I37</f>
        <v>194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2443</v>
      </c>
      <c r="E53" s="851">
        <f>Water!K37</f>
        <v>2443</v>
      </c>
      <c r="F53" s="852">
        <f>E53-D53</f>
        <v>0</v>
      </c>
      <c r="G53" s="840">
        <f>F53*10</f>
        <v>0</v>
      </c>
    </row>
    <row r="54" spans="3:7" ht="18.75" thickBot="1">
      <c r="D54" s="1087" t="s">
        <v>347</v>
      </c>
      <c r="E54" s="1088"/>
      <c r="F54" s="1089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Nader Saed</cp:lastModifiedBy>
  <cp:lastPrinted>2016-08-18T17:18:40Z</cp:lastPrinted>
  <dcterms:created xsi:type="dcterms:W3CDTF">2007-10-20T05:06:40Z</dcterms:created>
  <dcterms:modified xsi:type="dcterms:W3CDTF">2020-04-01T21:32:27Z</dcterms:modified>
</cp:coreProperties>
</file>