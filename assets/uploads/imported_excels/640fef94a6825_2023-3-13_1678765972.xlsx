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L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H34" i="119" l="1"/>
  <c r="I31" i="117" s="1"/>
  <c r="H5" i="119"/>
  <c r="I2" i="117"/>
  <c r="F14" i="119"/>
  <c r="G11" i="117" s="1"/>
  <c r="F16" i="119"/>
  <c r="G13" i="117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 s="1"/>
  <c r="F31" i="119"/>
  <c r="G28" i="117"/>
  <c r="D31" i="119"/>
  <c r="H30" i="119"/>
  <c r="I27" i="117"/>
  <c r="F30" i="119"/>
  <c r="G27" i="117" s="1"/>
  <c r="D30" i="119"/>
  <c r="H29" i="119"/>
  <c r="I26" i="117"/>
  <c r="F29" i="119"/>
  <c r="G26" i="117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 s="1"/>
  <c r="F26" i="119"/>
  <c r="G23" i="117" s="1"/>
  <c r="H25" i="119"/>
  <c r="I22" i="117"/>
  <c r="F25" i="119"/>
  <c r="G22" i="117" s="1"/>
  <c r="D25" i="119"/>
  <c r="H24" i="119"/>
  <c r="I21" i="117" s="1"/>
  <c r="D24" i="119"/>
  <c r="H23" i="119"/>
  <c r="I20" i="117" s="1"/>
  <c r="F23" i="119"/>
  <c r="G20" i="117" s="1"/>
  <c r="D23" i="119"/>
  <c r="H22" i="119"/>
  <c r="I19" i="117"/>
  <c r="D22" i="119"/>
  <c r="H21" i="119"/>
  <c r="I18" i="117"/>
  <c r="F21" i="119"/>
  <c r="G18" i="117" s="1"/>
  <c r="D21" i="119"/>
  <c r="H20" i="119"/>
  <c r="I17" i="117"/>
  <c r="F20" i="119"/>
  <c r="G17" i="117" s="1"/>
  <c r="D20" i="119"/>
  <c r="H19" i="119"/>
  <c r="I16" i="117" s="1"/>
  <c r="F19" i="119"/>
  <c r="G16" i="117" s="1"/>
  <c r="D19" i="119"/>
  <c r="H18" i="119"/>
  <c r="I15" i="117"/>
  <c r="F18" i="119"/>
  <c r="G15" i="117" s="1"/>
  <c r="H17" i="119"/>
  <c r="I14" i="117"/>
  <c r="F17" i="119"/>
  <c r="G14" i="117" s="1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/>
  <c r="F12" i="119"/>
  <c r="G9" i="117" s="1"/>
  <c r="D12" i="119"/>
  <c r="H11" i="119"/>
  <c r="I8" i="117" s="1"/>
  <c r="F11" i="119"/>
  <c r="G8" i="117"/>
  <c r="D11" i="119"/>
  <c r="H10" i="119"/>
  <c r="I7" i="117"/>
  <c r="F10" i="119"/>
  <c r="G7" i="117" s="1"/>
  <c r="D10" i="119"/>
  <c r="H9" i="119"/>
  <c r="I6" i="117"/>
  <c r="F9" i="119"/>
  <c r="G6" i="117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<sst xmlns="http://schemas.openxmlformats.org/spreadsheetml/2006/main" count="55" uniqueCount="25">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</sst>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17" sqref="P16:P1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9</v>
      </c>
      <c r="D2" s="7">
        <v>2022</v>
      </c>
      <c r="E2" s="9">
        <v>26241.999999998916</v>
      </c>
      <c r="F2" s="30">
        <v>0.73329999999999995</v>
      </c>
      <c r="G2" s="9">
        <f>'Shenzhen Daily'!F5</f>
        <v>853</v>
      </c>
      <c r="H2" s="30">
        <v>4.3899999999999997</v>
      </c>
      <c r="I2" s="9">
        <f>'Shenzhen Daily'!H5</f>
        <v>253</v>
      </c>
      <c r="J2" s="30">
        <v>5.09</v>
      </c>
      <c r="K2" s="9">
        <f>'Shenzhen Daily'!I5</f>
        <v>76.581400000000002</v>
      </c>
      <c r="L2" s="9">
        <f>'Shenzhen Daily'!J5</f>
        <v>57</v>
      </c>
    </row>
    <row r="3" spans="1:12" ht="15" x14ac:dyDescent="0.25">
      <c r="A3" s="6" t="s">
        <v>23</v>
      </c>
      <c r="B3" s="7">
        <f>B2+1</f>
        <v>2</v>
      </c>
      <c r="C3" s="8">
        <v>9</v>
      </c>
      <c r="D3" s="7">
        <v>2022</v>
      </c>
      <c r="E3" s="9">
        <v>24384.999999999938</v>
      </c>
      <c r="F3" s="30">
        <v>0.73329999999999995</v>
      </c>
      <c r="G3" s="9">
        <f>'Shenzhen Daily'!F6</f>
        <v>838</v>
      </c>
      <c r="H3" s="30">
        <v>4.3899999999999997</v>
      </c>
      <c r="I3" s="9">
        <f>'Shenzhen Daily'!H6</f>
        <v>413</v>
      </c>
      <c r="J3" s="30">
        <v>5.09</v>
      </c>
      <c r="K3" s="9">
        <f>'Shenzhen Daily'!I6</f>
        <v>49.369599999999998</v>
      </c>
      <c r="L3" s="9">
        <f>'Shenzhen Daily'!J6</f>
        <v>24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9</v>
      </c>
      <c r="D4" s="7">
        <v>2022</v>
      </c>
      <c r="E4" s="9">
        <v>22708.999999999724</v>
      </c>
      <c r="F4" s="30">
        <v>0.73329999999999995</v>
      </c>
      <c r="G4" s="9">
        <f>'Shenzhen Daily'!F7</f>
        <v>722</v>
      </c>
      <c r="H4" s="30">
        <v>4.3899999999999997</v>
      </c>
      <c r="I4" s="9">
        <f>'Shenzhen Daily'!H7</f>
        <v>146</v>
      </c>
      <c r="J4" s="30">
        <v>5.09</v>
      </c>
      <c r="K4" s="9">
        <f>'Shenzhen Daily'!I7</f>
        <v>48.358799999999995</v>
      </c>
      <c r="L4" s="9">
        <f>'Shenzhen Daily'!J7</f>
        <v>39</v>
      </c>
    </row>
    <row r="5" spans="1:12" ht="15" x14ac:dyDescent="0.25">
      <c r="A5" s="6" t="s">
        <v>23</v>
      </c>
      <c r="B5" s="7">
        <f t="shared" si="0"/>
        <v>4</v>
      </c>
      <c r="C5" s="8">
        <v>9</v>
      </c>
      <c r="D5" s="7">
        <v>2022</v>
      </c>
      <c r="E5" s="9">
        <v>22920.000000001019</v>
      </c>
      <c r="F5" s="30">
        <v>0.73329999999999995</v>
      </c>
      <c r="G5" s="9">
        <f>'Shenzhen Daily'!F8</f>
        <v>726</v>
      </c>
      <c r="H5" s="30">
        <v>4.3899999999999997</v>
      </c>
      <c r="I5" s="9">
        <f>'Shenzhen Daily'!H8</f>
        <v>267</v>
      </c>
      <c r="J5" s="30">
        <v>5.09</v>
      </c>
      <c r="K5" s="9">
        <f>'Shenzhen Daily'!I8</f>
        <v>34.260799999999996</v>
      </c>
      <c r="L5" s="9">
        <f>'Shenzhen Daily'!J8</f>
        <v>31</v>
      </c>
    </row>
    <row r="6" spans="1:12" ht="15" x14ac:dyDescent="0.25">
      <c r="A6" s="6" t="s">
        <v>23</v>
      </c>
      <c r="B6" s="7">
        <f t="shared" si="0"/>
        <v>5</v>
      </c>
      <c r="C6" s="8">
        <v>9</v>
      </c>
      <c r="D6" s="7">
        <v>2022</v>
      </c>
      <c r="E6" s="9">
        <v>23992.999999999662</v>
      </c>
      <c r="F6" s="30">
        <v>0.73329999999999995</v>
      </c>
      <c r="G6" s="9">
        <f>'Shenzhen Daily'!F9</f>
        <v>799</v>
      </c>
      <c r="H6" s="30">
        <v>4.3899999999999997</v>
      </c>
      <c r="I6" s="9">
        <f>'Shenzhen Daily'!H9</f>
        <v>308</v>
      </c>
      <c r="J6" s="30">
        <v>5.09</v>
      </c>
      <c r="K6" s="9">
        <f>'Shenzhen Daily'!I9</f>
        <v>27.2118</v>
      </c>
      <c r="L6" s="9">
        <f>'Shenzhen Daily'!J9</f>
        <v>51</v>
      </c>
    </row>
    <row r="7" spans="1:12" ht="15" x14ac:dyDescent="0.25">
      <c r="A7" s="6" t="s">
        <v>23</v>
      </c>
      <c r="B7" s="7">
        <f t="shared" si="0"/>
        <v>6</v>
      </c>
      <c r="C7" s="8">
        <v>9</v>
      </c>
      <c r="D7" s="7">
        <v>2022</v>
      </c>
      <c r="E7" s="9">
        <v>26243.999999998923</v>
      </c>
      <c r="F7" s="30">
        <v>0.73329999999999995</v>
      </c>
      <c r="G7" s="9">
        <f>'Shenzhen Daily'!F10</f>
        <v>845</v>
      </c>
      <c r="H7" s="30">
        <v>4.3899999999999997</v>
      </c>
      <c r="I7" s="9">
        <f>'Shenzhen Daily'!H10</f>
        <v>315</v>
      </c>
      <c r="J7" s="30">
        <v>5.09</v>
      </c>
      <c r="K7" s="9">
        <f>'Shenzhen Daily'!I10</f>
        <v>34.260799999999996</v>
      </c>
      <c r="L7" s="9">
        <f>'Shenzhen Daily'!J10</f>
        <v>90</v>
      </c>
    </row>
    <row r="8" spans="1:12" ht="15" x14ac:dyDescent="0.25">
      <c r="A8" s="6" t="s">
        <v>23</v>
      </c>
      <c r="B8" s="7">
        <f t="shared" si="0"/>
        <v>7</v>
      </c>
      <c r="C8" s="8">
        <v>9</v>
      </c>
      <c r="D8" s="7">
        <v>2022</v>
      </c>
      <c r="E8" s="9">
        <v>26839.000000001237</v>
      </c>
      <c r="F8" s="30">
        <v>0.73329999999999995</v>
      </c>
      <c r="G8" s="9">
        <f>'Shenzhen Daily'!F11</f>
        <v>850</v>
      </c>
      <c r="H8" s="30">
        <v>4.3899999999999997</v>
      </c>
      <c r="I8" s="9">
        <f>'Shenzhen Daily'!H11</f>
        <v>276</v>
      </c>
      <c r="J8" s="30">
        <v>5.09</v>
      </c>
      <c r="K8" s="9">
        <f>'Shenzhen Daily'!I11</f>
        <v>41.309799999999996</v>
      </c>
      <c r="L8" s="9">
        <f>'Shenzhen Daily'!J11</f>
        <v>72</v>
      </c>
    </row>
    <row r="9" spans="1:12" ht="15" x14ac:dyDescent="0.25">
      <c r="A9" s="6" t="s">
        <v>23</v>
      </c>
      <c r="B9" s="7">
        <f t="shared" si="0"/>
        <v>8</v>
      </c>
      <c r="C9" s="8">
        <v>9</v>
      </c>
      <c r="D9" s="7">
        <v>2022</v>
      </c>
      <c r="E9" s="9">
        <v>25821.999999999422</v>
      </c>
      <c r="F9" s="30">
        <v>0.73329999999999995</v>
      </c>
      <c r="G9" s="9">
        <f>'Shenzhen Daily'!F12</f>
        <v>844</v>
      </c>
      <c r="H9" s="30">
        <v>4.3899999999999997</v>
      </c>
      <c r="I9" s="9">
        <f>'Shenzhen Daily'!H12</f>
        <v>337</v>
      </c>
      <c r="J9" s="30">
        <v>5.09</v>
      </c>
      <c r="K9" s="9">
        <f>'Shenzhen Daily'!I12</f>
        <v>44.342199999999998</v>
      </c>
      <c r="L9" s="9">
        <f>'Shenzhen Daily'!J12</f>
        <v>95</v>
      </c>
    </row>
    <row r="10" spans="1:12" ht="15" x14ac:dyDescent="0.25">
      <c r="A10" s="6" t="s">
        <v>23</v>
      </c>
      <c r="B10" s="7">
        <f t="shared" si="0"/>
        <v>9</v>
      </c>
      <c r="C10" s="8">
        <v>9</v>
      </c>
      <c r="D10" s="7">
        <v>2022</v>
      </c>
      <c r="E10" s="9">
        <v>25820.00000000008</v>
      </c>
      <c r="F10" s="30">
        <v>0.73329999999999995</v>
      </c>
      <c r="G10" s="9">
        <f>'Shenzhen Daily'!F13</f>
        <v>830</v>
      </c>
      <c r="H10" s="30">
        <v>4.3899999999999997</v>
      </c>
      <c r="I10" s="9">
        <f>'Shenzhen Daily'!H13</f>
        <v>297</v>
      </c>
      <c r="J10" s="30">
        <v>5.09</v>
      </c>
      <c r="K10" s="9">
        <f>'Shenzhen Daily'!I13</f>
        <v>47.347999999999999</v>
      </c>
      <c r="L10" s="9">
        <f>'Shenzhen Daily'!J13</f>
        <v>170</v>
      </c>
    </row>
    <row r="11" spans="1:12" ht="15" x14ac:dyDescent="0.25">
      <c r="A11" s="6" t="s">
        <v>23</v>
      </c>
      <c r="B11" s="7">
        <f t="shared" si="0"/>
        <v>10</v>
      </c>
      <c r="C11" s="8">
        <v>9</v>
      </c>
      <c r="D11" s="7">
        <v>2022</v>
      </c>
      <c r="E11" s="9">
        <v>26835.000000000891</v>
      </c>
      <c r="F11" s="30">
        <v>0.73329999999999995</v>
      </c>
      <c r="G11" s="9">
        <f>'Shenzhen Daily'!F14</f>
        <v>913</v>
      </c>
      <c r="H11" s="30">
        <v>4.3899999999999997</v>
      </c>
      <c r="I11" s="9">
        <f>'Shenzhen Daily'!H14</f>
        <v>325</v>
      </c>
      <c r="J11" s="30">
        <v>5.09</v>
      </c>
      <c r="K11" s="9">
        <f>'Shenzhen Daily'!I14</f>
        <v>42.320599999999999</v>
      </c>
      <c r="L11" s="9">
        <f>'Shenzhen Daily'!J14</f>
        <v>258</v>
      </c>
    </row>
    <row r="12" spans="1:12" ht="15" x14ac:dyDescent="0.25">
      <c r="A12" s="6" t="s">
        <v>23</v>
      </c>
      <c r="B12" s="7">
        <f t="shared" si="0"/>
        <v>11</v>
      </c>
      <c r="C12" s="8">
        <v>9</v>
      </c>
      <c r="D12" s="7">
        <v>2022</v>
      </c>
      <c r="E12" s="9">
        <v>28410.999999999094</v>
      </c>
      <c r="F12" s="30">
        <v>0.73329999999999995</v>
      </c>
      <c r="G12" s="9">
        <f>'Shenzhen Daily'!F15</f>
        <v>908</v>
      </c>
      <c r="H12" s="30">
        <v>4.3899999999999997</v>
      </c>
      <c r="I12" s="9">
        <f>'Shenzhen Daily'!H15</f>
        <v>316</v>
      </c>
      <c r="J12" s="30">
        <v>5.09</v>
      </c>
      <c r="K12" s="9">
        <f>'Shenzhen Daily'!I15</f>
        <v>36.282399999999996</v>
      </c>
      <c r="L12" s="9">
        <f>'Shenzhen Daily'!J15</f>
        <v>140</v>
      </c>
    </row>
    <row r="13" spans="1:12" ht="15" x14ac:dyDescent="0.25">
      <c r="A13" s="6" t="s">
        <v>23</v>
      </c>
      <c r="B13" s="7">
        <f t="shared" si="0"/>
        <v>12</v>
      </c>
      <c r="C13" s="8">
        <v>9</v>
      </c>
      <c r="D13" s="7">
        <v>2022</v>
      </c>
      <c r="E13" s="9">
        <v>25768.000000000604</v>
      </c>
      <c r="F13" s="30">
        <v>0.73329999999999995</v>
      </c>
      <c r="G13" s="9">
        <f>'Shenzhen Daily'!F16</f>
        <v>992</v>
      </c>
      <c r="H13" s="30">
        <v>4.3899999999999997</v>
      </c>
      <c r="I13" s="9">
        <f>'Shenzhen Daily'!H16</f>
        <v>281</v>
      </c>
      <c r="J13" s="30">
        <v>5.09</v>
      </c>
      <c r="K13" s="9">
        <f>'Shenzhen Daily'!I16</f>
        <v>41.309799999999996</v>
      </c>
      <c r="L13" s="9">
        <f>'Shenzhen Daily'!J16</f>
        <v>195</v>
      </c>
    </row>
    <row r="14" spans="1:12" ht="15" x14ac:dyDescent="0.25">
      <c r="A14" s="6" t="s">
        <v>23</v>
      </c>
      <c r="B14" s="7">
        <f t="shared" si="0"/>
        <v>13</v>
      </c>
      <c r="C14" s="8">
        <v>9</v>
      </c>
      <c r="D14" s="7">
        <v>2022</v>
      </c>
      <c r="E14" s="9">
        <v>26895.999999999411</v>
      </c>
      <c r="F14" s="30">
        <v>0.73329999999999995</v>
      </c>
      <c r="G14" s="9">
        <f>'Shenzhen Daily'!F17</f>
        <v>861</v>
      </c>
      <c r="H14" s="30">
        <v>4.3899999999999997</v>
      </c>
      <c r="I14" s="9">
        <f>'Shenzhen Daily'!H17</f>
        <v>307</v>
      </c>
      <c r="J14" s="30">
        <v>5.09</v>
      </c>
      <c r="K14" s="9">
        <f>'Shenzhen Daily'!I17</f>
        <v>33.25</v>
      </c>
      <c r="L14" s="9">
        <f>'Shenzhen Daily'!J17</f>
        <v>75</v>
      </c>
    </row>
    <row r="15" spans="1:12" ht="15" x14ac:dyDescent="0.25">
      <c r="A15" s="6" t="s">
        <v>23</v>
      </c>
      <c r="B15" s="7">
        <f t="shared" si="0"/>
        <v>14</v>
      </c>
      <c r="C15" s="8">
        <v>9</v>
      </c>
      <c r="D15" s="7">
        <v>2022</v>
      </c>
      <c r="E15" s="9">
        <v>26030.999999999513</v>
      </c>
      <c r="F15" s="30">
        <v>0.73329999999999995</v>
      </c>
      <c r="G15" s="9">
        <f>'Shenzhen Daily'!F18</f>
        <v>897</v>
      </c>
      <c r="H15" s="30">
        <v>4.3899999999999997</v>
      </c>
      <c r="I15" s="9">
        <f>'Shenzhen Daily'!H18</f>
        <v>316</v>
      </c>
      <c r="J15" s="30">
        <v>5.09</v>
      </c>
      <c r="K15" s="9">
        <f>'Shenzhen Daily'!I18</f>
        <v>50.380400000000002</v>
      </c>
      <c r="L15" s="9">
        <f>'Shenzhen Daily'!J18</f>
        <v>121</v>
      </c>
    </row>
    <row r="16" spans="1:12" ht="15" x14ac:dyDescent="0.25">
      <c r="A16" s="6" t="s">
        <v>23</v>
      </c>
      <c r="B16" s="7">
        <f t="shared" si="0"/>
        <v>15</v>
      </c>
      <c r="C16" s="8">
        <v>9</v>
      </c>
      <c r="D16" s="7">
        <v>2022</v>
      </c>
      <c r="E16" s="9">
        <v>26795.000000000859</v>
      </c>
      <c r="F16" s="30">
        <v>0.73329999999999995</v>
      </c>
      <c r="G16" s="9">
        <f>'Shenzhen Daily'!F19</f>
        <v>920</v>
      </c>
      <c r="H16" s="30">
        <v>4.3899999999999997</v>
      </c>
      <c r="I16" s="9">
        <f>'Shenzhen Daily'!H19</f>
        <v>324</v>
      </c>
      <c r="J16" s="30">
        <v>5.09</v>
      </c>
      <c r="K16" s="9">
        <f>'Shenzhen Daily'!I19</f>
        <v>59.451000000000001</v>
      </c>
      <c r="L16" s="9">
        <f>'Shenzhen Daily'!J19</f>
        <v>182</v>
      </c>
    </row>
    <row r="17" spans="1:12" ht="15" x14ac:dyDescent="0.25">
      <c r="A17" s="6" t="s">
        <v>23</v>
      </c>
      <c r="B17" s="7">
        <f t="shared" si="0"/>
        <v>16</v>
      </c>
      <c r="C17" s="8">
        <v>9</v>
      </c>
      <c r="D17" s="7">
        <v>2022</v>
      </c>
      <c r="E17" s="9">
        <v>27992.000000000146</v>
      </c>
      <c r="F17" s="30">
        <v>0.73329999999999995</v>
      </c>
      <c r="G17" s="9">
        <f>'Shenzhen Daily'!F20</f>
        <v>962</v>
      </c>
      <c r="H17" s="30">
        <v>4.3899999999999997</v>
      </c>
      <c r="I17" s="9">
        <f>'Shenzhen Daily'!H20</f>
        <v>307</v>
      </c>
      <c r="J17" s="30">
        <v>5.09</v>
      </c>
      <c r="K17" s="9">
        <f>'Shenzhen Daily'!I20</f>
        <v>71.527399999999986</v>
      </c>
      <c r="L17" s="9">
        <f>'Shenzhen Daily'!J20</f>
        <v>152</v>
      </c>
    </row>
    <row r="18" spans="1:12" ht="15" x14ac:dyDescent="0.25">
      <c r="A18" s="6" t="s">
        <v>23</v>
      </c>
      <c r="B18" s="7">
        <f t="shared" si="0"/>
        <v>17</v>
      </c>
      <c r="C18" s="8">
        <v>9</v>
      </c>
      <c r="D18" s="7">
        <v>2022</v>
      </c>
      <c r="E18" s="9">
        <v>29760.000000000309</v>
      </c>
      <c r="F18" s="30">
        <v>0.73329999999999995</v>
      </c>
      <c r="G18" s="9">
        <f>'Shenzhen Daily'!F21</f>
        <v>977</v>
      </c>
      <c r="H18" s="30">
        <v>4.3899999999999997</v>
      </c>
      <c r="I18" s="9">
        <f>'Shenzhen Daily'!H21</f>
        <v>382</v>
      </c>
      <c r="J18" s="30">
        <v>5.09</v>
      </c>
      <c r="K18" s="9">
        <f>'Shenzhen Daily'!I21</f>
        <v>76.581400000000002</v>
      </c>
      <c r="L18" s="9">
        <f>'Shenzhen Daily'!J21</f>
        <v>202</v>
      </c>
    </row>
    <row r="19" spans="1:12" ht="15" x14ac:dyDescent="0.25">
      <c r="A19" s="6" t="s">
        <v>23</v>
      </c>
      <c r="B19" s="7">
        <f t="shared" si="0"/>
        <v>18</v>
      </c>
      <c r="C19" s="8">
        <v>9</v>
      </c>
      <c r="D19" s="7">
        <v>2022</v>
      </c>
      <c r="E19" s="9">
        <v>27036.999999999673</v>
      </c>
      <c r="F19" s="30">
        <v>0.73329999999999995</v>
      </c>
      <c r="G19" s="9">
        <f>'Shenzhen Daily'!F22</f>
        <v>1009</v>
      </c>
      <c r="H19" s="30">
        <v>4.3899999999999997</v>
      </c>
      <c r="I19" s="9">
        <f>'Shenzhen Daily'!H22</f>
        <v>342</v>
      </c>
      <c r="J19" s="30">
        <v>5.09</v>
      </c>
      <c r="K19" s="9">
        <f>'Shenzhen Daily'!I22</f>
        <v>69.53240000000001</v>
      </c>
      <c r="L19" s="9">
        <f>'Shenzhen Daily'!J22</f>
        <v>133</v>
      </c>
    </row>
    <row r="20" spans="1:12" ht="15" x14ac:dyDescent="0.25">
      <c r="A20" s="6" t="s">
        <v>23</v>
      </c>
      <c r="B20" s="7">
        <f t="shared" si="0"/>
        <v>19</v>
      </c>
      <c r="C20" s="8">
        <v>9</v>
      </c>
      <c r="D20" s="7">
        <v>2022</v>
      </c>
      <c r="E20" s="9">
        <v>31767.999999998803</v>
      </c>
      <c r="F20" s="30">
        <v>0.73329999999999995</v>
      </c>
      <c r="G20" s="9">
        <f>'Shenzhen Daily'!F23</f>
        <v>890</v>
      </c>
      <c r="H20" s="30">
        <v>4.3899999999999997</v>
      </c>
      <c r="I20" s="9">
        <f>'Shenzhen Daily'!H23</f>
        <v>343</v>
      </c>
      <c r="J20" s="30">
        <v>5.09</v>
      </c>
      <c r="K20" s="9">
        <f>'Shenzhen Daily'!I23</f>
        <v>62.456800000000001</v>
      </c>
      <c r="L20" s="9">
        <f>'Shenzhen Daily'!J23</f>
        <v>129</v>
      </c>
    </row>
    <row r="21" spans="1:12" ht="15" x14ac:dyDescent="0.25">
      <c r="A21" s="6" t="s">
        <v>23</v>
      </c>
      <c r="B21" s="7">
        <f t="shared" si="0"/>
        <v>20</v>
      </c>
      <c r="C21" s="8">
        <v>9</v>
      </c>
      <c r="D21" s="7">
        <v>2022</v>
      </c>
      <c r="E21" s="9">
        <v>31985.000000000993</v>
      </c>
      <c r="F21" s="30">
        <v>0.73329999999999995</v>
      </c>
      <c r="G21" s="9">
        <f>'Shenzhen Daily'!F24</f>
        <v>854</v>
      </c>
      <c r="H21" s="30">
        <v>4.3899999999999997</v>
      </c>
      <c r="I21" s="9">
        <f>'Shenzhen Daily'!H24</f>
        <v>343</v>
      </c>
      <c r="J21" s="30">
        <v>5.09</v>
      </c>
      <c r="K21" s="9">
        <f>'Shenzhen Daily'!I24</f>
        <v>78.602999999999994</v>
      </c>
      <c r="L21" s="9">
        <f>'Shenzhen Daily'!J24</f>
        <v>152</v>
      </c>
    </row>
    <row r="22" spans="1:12" ht="15" x14ac:dyDescent="0.25">
      <c r="A22" s="6" t="s">
        <v>23</v>
      </c>
      <c r="B22" s="7">
        <f t="shared" si="0"/>
        <v>21</v>
      </c>
      <c r="C22" s="8">
        <v>9</v>
      </c>
      <c r="D22" s="7">
        <v>2022</v>
      </c>
      <c r="E22" s="9">
        <v>29896.000000000175</v>
      </c>
      <c r="F22" s="30">
        <v>0.73329999999999995</v>
      </c>
      <c r="G22" s="9">
        <f>'Shenzhen Daily'!F25</f>
        <v>965</v>
      </c>
      <c r="H22" s="30">
        <v>4.3899999999999997</v>
      </c>
      <c r="I22" s="9">
        <f>'Shenzhen Daily'!H25</f>
        <v>474</v>
      </c>
      <c r="J22" s="30">
        <v>5.09</v>
      </c>
      <c r="K22" s="9">
        <f>'Shenzhen Daily'!I25</f>
        <v>92.700999999999993</v>
      </c>
      <c r="L22" s="9">
        <f>'Shenzhen Daily'!J25</f>
        <v>173</v>
      </c>
    </row>
    <row r="23" spans="1:12" ht="15" x14ac:dyDescent="0.25">
      <c r="A23" s="6" t="s">
        <v>23</v>
      </c>
      <c r="B23" s="7">
        <f t="shared" si="0"/>
        <v>22</v>
      </c>
      <c r="C23" s="8">
        <v>9</v>
      </c>
      <c r="D23" s="7">
        <v>2022</v>
      </c>
      <c r="E23" s="9">
        <v>31335.999999999414</v>
      </c>
      <c r="F23" s="30">
        <v>0.73329999999999995</v>
      </c>
      <c r="G23" s="9">
        <f>'Shenzhen Daily'!F26</f>
        <v>981</v>
      </c>
      <c r="H23" s="30">
        <v>4.3899999999999997</v>
      </c>
      <c r="I23" s="9">
        <f>'Shenzhen Daily'!H26</f>
        <v>381</v>
      </c>
      <c r="J23" s="30">
        <v>5.09</v>
      </c>
      <c r="K23" s="9">
        <f>'Shenzhen Daily'!I26</f>
        <v>98.739199999999997</v>
      </c>
      <c r="L23" s="9">
        <f>'Shenzhen Daily'!J26</f>
        <v>181</v>
      </c>
    </row>
    <row r="24" spans="1:12" ht="15" x14ac:dyDescent="0.25">
      <c r="A24" s="6" t="s">
        <v>23</v>
      </c>
      <c r="B24" s="7">
        <f t="shared" si="0"/>
        <v>23</v>
      </c>
      <c r="C24" s="8">
        <v>9</v>
      </c>
      <c r="D24" s="7">
        <v>2022</v>
      </c>
      <c r="E24" s="9">
        <v>32990.000000000131</v>
      </c>
      <c r="F24" s="30">
        <v>0.73329999999999995</v>
      </c>
      <c r="G24" s="9">
        <f>'Shenzhen Daily'!F27</f>
        <v>1044</v>
      </c>
      <c r="H24" s="30">
        <v>4.3899999999999997</v>
      </c>
      <c r="I24" s="9">
        <f>'Shenzhen Daily'!H27</f>
        <v>430</v>
      </c>
      <c r="J24" s="30">
        <v>5.09</v>
      </c>
      <c r="K24" s="9">
        <f>'Shenzhen Daily'!I27</f>
        <v>94.722600000000014</v>
      </c>
      <c r="L24" s="9">
        <f>'Shenzhen Daily'!J27</f>
        <v>174</v>
      </c>
    </row>
    <row r="25" spans="1:12" ht="15" x14ac:dyDescent="0.25">
      <c r="A25" s="6" t="s">
        <v>23</v>
      </c>
      <c r="B25" s="7">
        <f t="shared" si="0"/>
        <v>24</v>
      </c>
      <c r="C25" s="8">
        <v>9</v>
      </c>
      <c r="D25" s="7">
        <v>2022</v>
      </c>
      <c r="E25" s="9">
        <v>30710.999999999738</v>
      </c>
      <c r="F25" s="30">
        <v>0.73329999999999995</v>
      </c>
      <c r="G25" s="9">
        <f>'Shenzhen Daily'!F28</f>
        <v>1122</v>
      </c>
      <c r="H25" s="30">
        <v>4.3899999999999997</v>
      </c>
      <c r="I25" s="9">
        <f>'Shenzhen Daily'!H28</f>
        <v>393</v>
      </c>
      <c r="J25" s="30">
        <v>5.09</v>
      </c>
      <c r="K25" s="9">
        <f>'Shenzhen Daily'!I28</f>
        <v>101.77159999999999</v>
      </c>
      <c r="L25" s="9">
        <f>'Shenzhen Daily'!J28</f>
        <v>257</v>
      </c>
    </row>
    <row r="26" spans="1:12" ht="15" x14ac:dyDescent="0.25">
      <c r="A26" s="6" t="s">
        <v>23</v>
      </c>
      <c r="B26" s="7">
        <f>B25+1</f>
        <v>25</v>
      </c>
      <c r="C26" s="8">
        <v>9</v>
      </c>
      <c r="D26" s="7">
        <v>2022</v>
      </c>
      <c r="E26" s="9">
        <v>29388.000000000618</v>
      </c>
      <c r="F26" s="30">
        <v>0.73329999999999995</v>
      </c>
      <c r="G26" s="9">
        <f>'Shenzhen Daily'!F29</f>
        <v>1133</v>
      </c>
      <c r="H26" s="30">
        <v>4.3899999999999997</v>
      </c>
      <c r="I26" s="9">
        <f>'Shenzhen Daily'!H29</f>
        <v>396</v>
      </c>
      <c r="J26" s="30">
        <v>5.09</v>
      </c>
      <c r="K26" s="9">
        <f>'Shenzhen Daily'!I29</f>
        <v>114.8588</v>
      </c>
      <c r="L26" s="9">
        <f>'Shenzhen Daily'!J29</f>
        <v>213</v>
      </c>
    </row>
    <row r="27" spans="1:12" ht="15" x14ac:dyDescent="0.25">
      <c r="A27" s="6" t="s">
        <v>23</v>
      </c>
      <c r="B27" s="7">
        <f t="shared" si="0"/>
        <v>26</v>
      </c>
      <c r="C27" s="8">
        <v>9</v>
      </c>
      <c r="D27" s="7">
        <v>2022</v>
      </c>
      <c r="E27" s="9">
        <v>29869.999999999985</v>
      </c>
      <c r="F27" s="30">
        <v>0.73329999999999995</v>
      </c>
      <c r="G27" s="9">
        <f>'Shenzhen Daily'!F30</f>
        <v>1089</v>
      </c>
      <c r="H27" s="30">
        <v>4.3899999999999997</v>
      </c>
      <c r="I27" s="9">
        <f>'Shenzhen Daily'!H30</f>
        <v>381</v>
      </c>
      <c r="J27" s="30">
        <v>5.09</v>
      </c>
      <c r="K27" s="9">
        <f>'Shenzhen Daily'!I30</f>
        <v>68.521599999999992</v>
      </c>
      <c r="L27" s="9">
        <f>'Shenzhen Daily'!J30</f>
        <v>216</v>
      </c>
    </row>
    <row r="28" spans="1:12" ht="15" x14ac:dyDescent="0.25">
      <c r="A28" s="6" t="s">
        <v>23</v>
      </c>
      <c r="B28" s="7">
        <f t="shared" si="0"/>
        <v>27</v>
      </c>
      <c r="C28" s="8">
        <v>9</v>
      </c>
      <c r="D28" s="7">
        <v>2022</v>
      </c>
      <c r="E28" s="9">
        <v>33698.999999999556</v>
      </c>
      <c r="F28" s="30">
        <v>0.73329999999999995</v>
      </c>
      <c r="G28" s="9">
        <f>'Shenzhen Daily'!F31</f>
        <v>1158</v>
      </c>
      <c r="H28" s="30">
        <v>4.3899999999999997</v>
      </c>
      <c r="I28" s="9">
        <f>'Shenzhen Daily'!H31</f>
        <v>428</v>
      </c>
      <c r="J28" s="30">
        <v>5.09</v>
      </c>
      <c r="K28" s="9">
        <f>'Shenzhen Daily'!I31</f>
        <v>68.521599999999992</v>
      </c>
      <c r="L28" s="9">
        <f>'Shenzhen Daily'!J31</f>
        <v>193</v>
      </c>
    </row>
    <row r="29" spans="1:12" ht="15" x14ac:dyDescent="0.25">
      <c r="A29" s="6" t="s">
        <v>23</v>
      </c>
      <c r="B29" s="7">
        <f t="shared" si="0"/>
        <v>28</v>
      </c>
      <c r="C29" s="8">
        <v>9</v>
      </c>
      <c r="D29" s="7">
        <v>2022</v>
      </c>
      <c r="E29" s="9">
        <v>33074.999999998974</v>
      </c>
      <c r="F29" s="30">
        <v>0.73329999999999995</v>
      </c>
      <c r="G29" s="9">
        <f>'Shenzhen Daily'!F32</f>
        <v>1120</v>
      </c>
      <c r="H29" s="30">
        <v>4.3899999999999997</v>
      </c>
      <c r="I29" s="9">
        <f>'Shenzhen Daily'!H32</f>
        <v>409</v>
      </c>
      <c r="J29" s="30">
        <v>5.09</v>
      </c>
      <c r="K29" s="9">
        <f>'Shenzhen Daily'!I32</f>
        <v>87.647000000000006</v>
      </c>
      <c r="L29" s="9">
        <f>'Shenzhen Daily'!J32</f>
        <v>196</v>
      </c>
    </row>
    <row r="30" spans="1:12" ht="15" x14ac:dyDescent="0.25">
      <c r="A30" s="6" t="s">
        <v>23</v>
      </c>
      <c r="B30" s="7">
        <f t="shared" si="0"/>
        <v>29</v>
      </c>
      <c r="C30" s="8">
        <v>9</v>
      </c>
      <c r="D30" s="7">
        <v>2022</v>
      </c>
      <c r="E30" s="9">
        <v>31252.000000001175</v>
      </c>
      <c r="F30" s="30">
        <v>0.73329999999999995</v>
      </c>
      <c r="G30" s="9">
        <f>'Shenzhen Daily'!F33</f>
        <v>1128</v>
      </c>
      <c r="H30" s="30">
        <v>4.3899999999999997</v>
      </c>
      <c r="I30" s="9">
        <f>'Shenzhen Daily'!H33</f>
        <v>379</v>
      </c>
      <c r="J30" s="30">
        <v>5.09</v>
      </c>
      <c r="K30" s="9">
        <f>'Shenzhen Daily'!I33</f>
        <v>84.641199999999998</v>
      </c>
      <c r="L30" s="9">
        <f>'Shenzhen Daily'!J33</f>
        <v>232</v>
      </c>
    </row>
    <row r="31" spans="1:12" ht="15" x14ac:dyDescent="0.25">
      <c r="A31" s="6" t="s">
        <v>23</v>
      </c>
      <c r="B31" s="7">
        <f t="shared" si="0"/>
        <v>30</v>
      </c>
      <c r="C31" s="8">
        <v>9</v>
      </c>
      <c r="D31" s="7">
        <v>2022</v>
      </c>
      <c r="E31" s="9">
        <v>29464.000000001051</v>
      </c>
      <c r="F31" s="30">
        <v>0.73329999999999995</v>
      </c>
      <c r="G31" s="9">
        <f>'Shenzhen Daily'!F34</f>
        <v>920</v>
      </c>
      <c r="H31" s="30">
        <v>4.3899999999999997</v>
      </c>
      <c r="I31" s="9">
        <f>'Shenzhen Daily'!H34</f>
        <v>345</v>
      </c>
      <c r="J31" s="30">
        <v>5.09</v>
      </c>
      <c r="K31" s="9">
        <f>'Shenzhen Daily'!I34</f>
        <v>69.53240000000001</v>
      </c>
      <c r="L31" s="9">
        <f>'Shenzhen Daily'!J34</f>
        <v>184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2" zoomScale="85" zoomScaleNormal="85" workbookViewId="0">
      <pane xSplit="1" topLeftCell="B1" activePane="topRight" state="frozen"/>
      <selection pane="topRight" activeCell="M27" sqref="M2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44804</v>
      </c>
      <c r="B4" s="51"/>
      <c r="C4" s="40">
        <v>32370.67</v>
      </c>
      <c r="D4" s="41"/>
      <c r="E4" s="40">
        <v>3304415</v>
      </c>
      <c r="F4" s="44"/>
      <c r="G4" s="40">
        <v>636533</v>
      </c>
      <c r="H4" s="46"/>
      <c r="I4" s="23">
        <v>97</v>
      </c>
      <c r="J4" s="23">
        <v>94</v>
      </c>
    </row>
    <row r="5" spans="1:10" ht="33" customHeight="1" x14ac:dyDescent="0.2">
      <c r="A5" s="24">
        <v>44805</v>
      </c>
      <c r="B5" s="51"/>
      <c r="C5" s="40">
        <v>32389.479999999996</v>
      </c>
      <c r="D5" s="42">
        <f t="shared" ref="D5:D22" si="0">IF((C5-C4&lt;0), "0",C5-C4)</f>
        <v>18.809999999997672</v>
      </c>
      <c r="E5" s="40">
        <v>3305268</v>
      </c>
      <c r="F5" s="42">
        <f>IF((E5-E4&lt;0), "0",E5-E4)</f>
        <v>853</v>
      </c>
      <c r="G5" s="40">
        <v>636786</v>
      </c>
      <c r="H5" s="38">
        <f>IF((G5-G4&lt;0), "0",G5-G4)</f>
        <v>253</v>
      </c>
      <c r="I5" s="26">
        <v>76.581400000000002</v>
      </c>
      <c r="J5" s="26">
        <v>57</v>
      </c>
    </row>
    <row r="6" spans="1:10" ht="45" customHeight="1" x14ac:dyDescent="0.2">
      <c r="A6" s="24">
        <v>44806</v>
      </c>
      <c r="B6" s="51"/>
      <c r="C6" s="40">
        <v>32406.559999999994</v>
      </c>
      <c r="D6" s="42">
        <f t="shared" si="0"/>
        <v>17.079999999998108</v>
      </c>
      <c r="E6" s="40">
        <v>3306106</v>
      </c>
      <c r="F6" s="42">
        <f t="shared" ref="F6:F34" si="1">IF((E6-E5&lt;0), "0",E6-E5)</f>
        <v>838</v>
      </c>
      <c r="G6" s="40">
        <v>637199</v>
      </c>
      <c r="H6" s="47">
        <f t="shared" ref="H6:H34" si="2">IF((G6-G5&lt;0), "0",G6-G5)</f>
        <v>413</v>
      </c>
      <c r="I6" s="12">
        <v>49.369599999999998</v>
      </c>
      <c r="J6" s="37">
        <v>24</v>
      </c>
    </row>
    <row r="7" spans="1:10" ht="45" customHeight="1" x14ac:dyDescent="0.2">
      <c r="A7" s="24">
        <v>44807</v>
      </c>
      <c r="B7" s="51"/>
      <c r="C7" s="40">
        <v>32421.87</v>
      </c>
      <c r="D7" s="42">
        <f t="shared" si="0"/>
        <v>15.310000000004948</v>
      </c>
      <c r="E7" s="40">
        <v>3306828</v>
      </c>
      <c r="F7" s="42">
        <f t="shared" si="1"/>
        <v>722</v>
      </c>
      <c r="G7" s="40">
        <v>637345</v>
      </c>
      <c r="H7" s="38">
        <f t="shared" si="2"/>
        <v>146</v>
      </c>
      <c r="I7" s="12">
        <v>48.358799999999995</v>
      </c>
      <c r="J7" s="12">
        <v>39</v>
      </c>
    </row>
    <row r="8" spans="1:10" ht="45" customHeight="1" x14ac:dyDescent="0.2">
      <c r="A8" s="24">
        <v>44808</v>
      </c>
      <c r="B8" s="50"/>
      <c r="C8" s="31">
        <v>32437.230000000007</v>
      </c>
      <c r="D8" s="36">
        <f t="shared" si="0"/>
        <v>15.360000000007858</v>
      </c>
      <c r="E8" s="31">
        <v>3307554</v>
      </c>
      <c r="F8" s="45">
        <f t="shared" si="1"/>
        <v>726</v>
      </c>
      <c r="G8" s="40">
        <v>637612</v>
      </c>
      <c r="H8" s="38">
        <f t="shared" si="2"/>
        <v>267</v>
      </c>
      <c r="I8" s="12">
        <v>34.260799999999996</v>
      </c>
      <c r="J8" s="12">
        <v>31</v>
      </c>
    </row>
    <row r="9" spans="1:10" ht="45" customHeight="1" x14ac:dyDescent="0.2">
      <c r="A9" s="24">
        <v>44809</v>
      </c>
      <c r="B9" s="50"/>
      <c r="C9" s="31">
        <v>32454.820000000003</v>
      </c>
      <c r="D9" s="25">
        <f t="shared" si="0"/>
        <v>17.589999999996508</v>
      </c>
      <c r="E9" s="31">
        <v>3308353</v>
      </c>
      <c r="F9" s="25">
        <f t="shared" si="1"/>
        <v>799</v>
      </c>
      <c r="G9" s="31">
        <v>637920</v>
      </c>
      <c r="H9" s="25">
        <f t="shared" si="2"/>
        <v>308</v>
      </c>
      <c r="I9" s="12">
        <v>27.2118</v>
      </c>
      <c r="J9" s="12">
        <v>51</v>
      </c>
    </row>
    <row r="10" spans="1:10" ht="45" customHeight="1" x14ac:dyDescent="0.2">
      <c r="A10" s="24">
        <v>44810</v>
      </c>
      <c r="B10" s="50"/>
      <c r="C10" s="31">
        <v>32473.999999999996</v>
      </c>
      <c r="D10" s="25">
        <f t="shared" si="0"/>
        <v>19.179999999993015</v>
      </c>
      <c r="E10" s="31">
        <v>3309198</v>
      </c>
      <c r="F10" s="25">
        <f t="shared" si="1"/>
        <v>845</v>
      </c>
      <c r="G10" s="31">
        <v>638235</v>
      </c>
      <c r="H10" s="25">
        <f t="shared" si="2"/>
        <v>315</v>
      </c>
      <c r="I10" s="12">
        <v>34.260799999999996</v>
      </c>
      <c r="J10" s="12">
        <v>90</v>
      </c>
    </row>
    <row r="11" spans="1:10" ht="45" customHeight="1" x14ac:dyDescent="0.2">
      <c r="A11" s="24">
        <v>44811</v>
      </c>
      <c r="B11" s="50"/>
      <c r="C11" s="31">
        <v>32493.48</v>
      </c>
      <c r="D11" s="25">
        <f t="shared" si="0"/>
        <v>19.480000000003201</v>
      </c>
      <c r="E11" s="31">
        <v>3310048</v>
      </c>
      <c r="F11" s="25">
        <f t="shared" si="1"/>
        <v>850</v>
      </c>
      <c r="G11" s="31">
        <v>638511</v>
      </c>
      <c r="H11" s="25">
        <f t="shared" si="2"/>
        <v>276</v>
      </c>
      <c r="I11" s="12">
        <v>41.309799999999996</v>
      </c>
      <c r="J11" s="12">
        <v>72</v>
      </c>
    </row>
    <row r="12" spans="1:10" ht="45" customHeight="1" x14ac:dyDescent="0.2">
      <c r="A12" s="24">
        <v>44812</v>
      </c>
      <c r="B12" s="50"/>
      <c r="C12" s="31">
        <v>32512.54</v>
      </c>
      <c r="D12" s="25">
        <f t="shared" si="0"/>
        <v>19.06000000000131</v>
      </c>
      <c r="E12" s="31">
        <v>3310892</v>
      </c>
      <c r="F12" s="25">
        <f t="shared" si="1"/>
        <v>844</v>
      </c>
      <c r="G12" s="31">
        <v>638848</v>
      </c>
      <c r="H12" s="25">
        <f t="shared" si="2"/>
        <v>337</v>
      </c>
      <c r="I12" s="12">
        <v>44.342199999999998</v>
      </c>
      <c r="J12" s="12">
        <v>95</v>
      </c>
    </row>
    <row r="13" spans="1:10" ht="45" customHeight="1" x14ac:dyDescent="0.2">
      <c r="A13" s="24">
        <v>44813</v>
      </c>
      <c r="B13" s="50"/>
      <c r="C13" s="31">
        <v>32531.130000000005</v>
      </c>
      <c r="D13" s="25">
        <f t="shared" si="0"/>
        <v>18.590000000003783</v>
      </c>
      <c r="E13" s="31">
        <v>3311722</v>
      </c>
      <c r="F13" s="25">
        <f t="shared" si="1"/>
        <v>830</v>
      </c>
      <c r="G13" s="31">
        <v>639145</v>
      </c>
      <c r="H13" s="25">
        <f t="shared" si="2"/>
        <v>297</v>
      </c>
      <c r="I13" s="12">
        <v>47.347999999999999</v>
      </c>
      <c r="J13" s="12">
        <v>170</v>
      </c>
    </row>
    <row r="14" spans="1:10" ht="45" customHeight="1" x14ac:dyDescent="0.2">
      <c r="A14" s="24">
        <v>44814</v>
      </c>
      <c r="B14" s="50"/>
      <c r="C14" s="31">
        <v>32550.899999999998</v>
      </c>
      <c r="D14" s="25">
        <f t="shared" si="0"/>
        <v>19.769999999993161</v>
      </c>
      <c r="E14" s="31">
        <v>3312635</v>
      </c>
      <c r="F14" s="25">
        <f t="shared" si="1"/>
        <v>913</v>
      </c>
      <c r="G14" s="31">
        <v>639470</v>
      </c>
      <c r="H14" s="25">
        <f t="shared" si="2"/>
        <v>325</v>
      </c>
      <c r="I14" s="12">
        <v>42.320599999999999</v>
      </c>
      <c r="J14" s="12">
        <v>258</v>
      </c>
    </row>
    <row r="15" spans="1:10" ht="45" customHeight="1" x14ac:dyDescent="0.2">
      <c r="A15" s="24">
        <v>44815</v>
      </c>
      <c r="B15" s="50"/>
      <c r="C15" s="31">
        <v>32571.690000000002</v>
      </c>
      <c r="D15" s="25">
        <f t="shared" si="0"/>
        <v>20.790000000004511</v>
      </c>
      <c r="E15" s="31">
        <v>3313543</v>
      </c>
      <c r="F15" s="25">
        <f t="shared" si="1"/>
        <v>908</v>
      </c>
      <c r="G15" s="31">
        <v>639786</v>
      </c>
      <c r="H15" s="25">
        <f t="shared" si="2"/>
        <v>316</v>
      </c>
      <c r="I15" s="12">
        <v>36.282399999999996</v>
      </c>
      <c r="J15" s="12">
        <v>140</v>
      </c>
    </row>
    <row r="16" spans="1:10" ht="45" customHeight="1" x14ac:dyDescent="0.2">
      <c r="A16" s="24">
        <v>44816</v>
      </c>
      <c r="B16" s="50"/>
      <c r="C16" s="31">
        <v>32590.409999999996</v>
      </c>
      <c r="D16" s="25">
        <f t="shared" si="0"/>
        <v>18.719999999993888</v>
      </c>
      <c r="E16" s="31">
        <v>3314535</v>
      </c>
      <c r="F16" s="25">
        <f t="shared" si="1"/>
        <v>992</v>
      </c>
      <c r="G16" s="31">
        <v>640067</v>
      </c>
      <c r="H16" s="25">
        <f t="shared" si="2"/>
        <v>281</v>
      </c>
      <c r="I16" s="12">
        <v>41.309799999999996</v>
      </c>
      <c r="J16" s="12">
        <v>195</v>
      </c>
    </row>
    <row r="17" spans="1:15" ht="45" customHeight="1" x14ac:dyDescent="0.2">
      <c r="A17" s="24">
        <v>44817</v>
      </c>
      <c r="B17" s="50"/>
      <c r="C17" s="31">
        <v>32609.619999999995</v>
      </c>
      <c r="D17" s="25">
        <f t="shared" si="0"/>
        <v>19.209999999999127</v>
      </c>
      <c r="E17" s="31">
        <v>3315396</v>
      </c>
      <c r="F17" s="25">
        <f t="shared" si="1"/>
        <v>861</v>
      </c>
      <c r="G17" s="31">
        <v>640374</v>
      </c>
      <c r="H17" s="25">
        <f t="shared" si="2"/>
        <v>307</v>
      </c>
      <c r="I17" s="12">
        <v>33.25</v>
      </c>
      <c r="J17" s="12">
        <v>75</v>
      </c>
    </row>
    <row r="18" spans="1:15" ht="45" customHeight="1" x14ac:dyDescent="0.2">
      <c r="A18" s="24">
        <v>44818</v>
      </c>
      <c r="B18" s="50"/>
      <c r="C18" s="31">
        <v>32628.61</v>
      </c>
      <c r="D18" s="25">
        <f t="shared" si="0"/>
        <v>18.990000000005239</v>
      </c>
      <c r="E18" s="31">
        <v>3316293</v>
      </c>
      <c r="F18" s="25">
        <f t="shared" si="1"/>
        <v>897</v>
      </c>
      <c r="G18" s="31">
        <v>640690</v>
      </c>
      <c r="H18" s="25">
        <f t="shared" si="2"/>
        <v>316</v>
      </c>
      <c r="I18" s="12">
        <v>50.380400000000002</v>
      </c>
      <c r="J18" s="12">
        <v>121</v>
      </c>
    </row>
    <row r="19" spans="1:15" ht="45" customHeight="1" x14ac:dyDescent="0.2">
      <c r="A19" s="24">
        <v>44819</v>
      </c>
      <c r="B19" s="50"/>
      <c r="C19" s="31">
        <v>32648.649999999998</v>
      </c>
      <c r="D19" s="25">
        <f t="shared" si="0"/>
        <v>20.039999999997235</v>
      </c>
      <c r="E19" s="31">
        <v>3317213</v>
      </c>
      <c r="F19" s="25">
        <f t="shared" si="1"/>
        <v>920</v>
      </c>
      <c r="G19" s="31">
        <v>641014</v>
      </c>
      <c r="H19" s="25">
        <f t="shared" si="2"/>
        <v>324</v>
      </c>
      <c r="I19" s="12">
        <v>59.451000000000001</v>
      </c>
      <c r="J19" s="12">
        <v>182</v>
      </c>
    </row>
    <row r="20" spans="1:15" ht="45" customHeight="1" x14ac:dyDescent="0.2">
      <c r="A20" s="24">
        <v>44820</v>
      </c>
      <c r="B20" s="50"/>
      <c r="C20" s="31">
        <v>32670.2</v>
      </c>
      <c r="D20" s="25">
        <f t="shared" si="0"/>
        <v>21.55000000000291</v>
      </c>
      <c r="E20" s="31">
        <v>3318175</v>
      </c>
      <c r="F20" s="25">
        <f t="shared" si="1"/>
        <v>962</v>
      </c>
      <c r="G20" s="31">
        <v>641321</v>
      </c>
      <c r="H20" s="25">
        <f t="shared" si="2"/>
        <v>307</v>
      </c>
      <c r="I20" s="12">
        <v>71.527399999999986</v>
      </c>
      <c r="J20" s="12">
        <v>152</v>
      </c>
    </row>
    <row r="21" spans="1:15" ht="45" customHeight="1" x14ac:dyDescent="0.2">
      <c r="A21" s="24">
        <v>44821</v>
      </c>
      <c r="B21" s="50"/>
      <c r="C21" s="31">
        <v>32691.300000000003</v>
      </c>
      <c r="D21" s="25">
        <f t="shared" si="0"/>
        <v>21.100000000002183</v>
      </c>
      <c r="E21" s="31">
        <v>3319152</v>
      </c>
      <c r="F21" s="25">
        <f t="shared" si="1"/>
        <v>977</v>
      </c>
      <c r="G21" s="31">
        <v>641703</v>
      </c>
      <c r="H21" s="25">
        <f t="shared" si="2"/>
        <v>382</v>
      </c>
      <c r="I21" s="12">
        <v>76.581400000000002</v>
      </c>
      <c r="J21" s="12">
        <v>202</v>
      </c>
    </row>
    <row r="22" spans="1:15" ht="45" customHeight="1" x14ac:dyDescent="0.2">
      <c r="A22" s="24">
        <v>44822</v>
      </c>
      <c r="B22" s="50"/>
      <c r="C22" s="31">
        <v>32711.4</v>
      </c>
      <c r="D22" s="25">
        <f t="shared" si="0"/>
        <v>20.099999999998545</v>
      </c>
      <c r="E22" s="31">
        <v>3320161</v>
      </c>
      <c r="F22" s="25">
        <f t="shared" si="1"/>
        <v>1009</v>
      </c>
      <c r="G22" s="31">
        <v>642045</v>
      </c>
      <c r="H22" s="25">
        <f t="shared" si="2"/>
        <v>342</v>
      </c>
      <c r="I22" s="12">
        <v>69.53240000000001</v>
      </c>
      <c r="J22" s="12">
        <v>133</v>
      </c>
    </row>
    <row r="23" spans="1:15" ht="45" customHeight="1" x14ac:dyDescent="0.2">
      <c r="A23" s="24">
        <v>44823</v>
      </c>
      <c r="B23" s="50"/>
      <c r="C23" s="31">
        <v>32735.01</v>
      </c>
      <c r="D23" s="25">
        <f>IF((C23-C22&lt;0), "0",C23-C22)</f>
        <v>23.609999999996944</v>
      </c>
      <c r="E23" s="31">
        <v>3321051</v>
      </c>
      <c r="F23" s="25">
        <f t="shared" si="1"/>
        <v>890</v>
      </c>
      <c r="G23" s="31">
        <v>642388</v>
      </c>
      <c r="H23" s="25">
        <f t="shared" si="2"/>
        <v>343</v>
      </c>
      <c r="I23" s="12">
        <v>62.456800000000001</v>
      </c>
      <c r="J23" s="12">
        <v>129</v>
      </c>
    </row>
    <row r="24" spans="1:15" ht="45" customHeight="1" x14ac:dyDescent="0.2">
      <c r="A24" s="24">
        <v>44824</v>
      </c>
      <c r="B24" s="50"/>
      <c r="C24" s="31">
        <v>32761.010000000002</v>
      </c>
      <c r="D24" s="25">
        <f t="shared" ref="D24:D34" si="3">IF((C24-C23&lt;0), "0",C24-C23)</f>
        <v>26.000000000003638</v>
      </c>
      <c r="E24" s="31">
        <v>3321905</v>
      </c>
      <c r="F24" s="25">
        <f t="shared" si="1"/>
        <v>854</v>
      </c>
      <c r="G24" s="31">
        <v>642731</v>
      </c>
      <c r="H24" s="25">
        <f t="shared" si="2"/>
        <v>343</v>
      </c>
      <c r="I24" s="12">
        <v>78.602999999999994</v>
      </c>
      <c r="J24" s="12">
        <v>152</v>
      </c>
    </row>
    <row r="25" spans="1:15" ht="45" customHeight="1" x14ac:dyDescent="0.2">
      <c r="A25" s="24">
        <v>44825</v>
      </c>
      <c r="B25" s="50"/>
      <c r="C25" s="31">
        <v>32786.420000000006</v>
      </c>
      <c r="D25" s="25">
        <f t="shared" si="3"/>
        <v>25.410000000003492</v>
      </c>
      <c r="E25" s="31">
        <v>3322870</v>
      </c>
      <c r="F25" s="25">
        <f t="shared" si="1"/>
        <v>965</v>
      </c>
      <c r="G25" s="31">
        <v>643205</v>
      </c>
      <c r="H25" s="25">
        <f t="shared" si="2"/>
        <v>474</v>
      </c>
      <c r="I25" s="12">
        <v>92.700999999999993</v>
      </c>
      <c r="J25" s="12">
        <v>173</v>
      </c>
    </row>
    <row r="26" spans="1:15" ht="45" customHeight="1" x14ac:dyDescent="0.2">
      <c r="A26" s="24">
        <v>44826</v>
      </c>
      <c r="B26" s="50"/>
      <c r="C26" s="31">
        <v>32812.869999999995</v>
      </c>
      <c r="D26" s="25">
        <f t="shared" si="3"/>
        <v>26.449999999989814</v>
      </c>
      <c r="E26" s="31">
        <v>3323851</v>
      </c>
      <c r="F26" s="25">
        <f t="shared" si="1"/>
        <v>981</v>
      </c>
      <c r="G26" s="31">
        <v>643586</v>
      </c>
      <c r="H26" s="25">
        <f t="shared" si="2"/>
        <v>381</v>
      </c>
      <c r="I26" s="12">
        <v>98.739199999999997</v>
      </c>
      <c r="J26" s="12">
        <v>181</v>
      </c>
    </row>
    <row r="27" spans="1:15" ht="45" customHeight="1" x14ac:dyDescent="0.2">
      <c r="A27" s="24">
        <v>44827</v>
      </c>
      <c r="B27" s="50"/>
      <c r="C27" s="31">
        <v>32841.96</v>
      </c>
      <c r="D27" s="25">
        <f t="shared" si="3"/>
        <v>29.090000000003783</v>
      </c>
      <c r="E27" s="31">
        <v>3324895</v>
      </c>
      <c r="F27" s="25">
        <f t="shared" si="1"/>
        <v>1044</v>
      </c>
      <c r="G27" s="31">
        <v>644016</v>
      </c>
      <c r="H27" s="25">
        <f t="shared" si="2"/>
        <v>430</v>
      </c>
      <c r="I27" s="12">
        <v>94.722600000000014</v>
      </c>
      <c r="J27" s="12">
        <v>174</v>
      </c>
    </row>
    <row r="28" spans="1:15" ht="45" customHeight="1" x14ac:dyDescent="0.2">
      <c r="A28" s="24">
        <v>44828</v>
      </c>
      <c r="B28" s="50"/>
      <c r="C28" s="31">
        <v>32868.47</v>
      </c>
      <c r="D28" s="25">
        <f t="shared" si="3"/>
        <v>26.510000000002037</v>
      </c>
      <c r="E28" s="31">
        <v>3326017</v>
      </c>
      <c r="F28" s="25">
        <f t="shared" si="1"/>
        <v>1122</v>
      </c>
      <c r="G28" s="31">
        <v>644409</v>
      </c>
      <c r="H28" s="25">
        <f t="shared" si="2"/>
        <v>393</v>
      </c>
      <c r="I28" s="12">
        <v>101.77159999999999</v>
      </c>
      <c r="J28" s="12">
        <v>257</v>
      </c>
    </row>
    <row r="29" spans="1:15" ht="45" customHeight="1" x14ac:dyDescent="0.2">
      <c r="A29" s="24">
        <v>44829</v>
      </c>
      <c r="B29" s="50"/>
      <c r="C29" s="31">
        <v>32895.089999999997</v>
      </c>
      <c r="D29" s="25">
        <f t="shared" si="3"/>
        <v>26.619999999995343</v>
      </c>
      <c r="E29" s="31">
        <v>3327150</v>
      </c>
      <c r="F29" s="25">
        <f t="shared" si="1"/>
        <v>1133</v>
      </c>
      <c r="G29" s="31">
        <v>644805</v>
      </c>
      <c r="H29" s="25">
        <f t="shared" si="2"/>
        <v>396</v>
      </c>
      <c r="I29" s="12">
        <v>114.8588</v>
      </c>
      <c r="J29" s="12">
        <v>213</v>
      </c>
    </row>
    <row r="30" spans="1:15" ht="45" customHeight="1" x14ac:dyDescent="0.2">
      <c r="A30" s="24">
        <v>44830</v>
      </c>
      <c r="B30" s="50"/>
      <c r="C30" s="31">
        <v>32920.009999999995</v>
      </c>
      <c r="D30" s="25">
        <f t="shared" si="3"/>
        <v>24.919999999998254</v>
      </c>
      <c r="E30" s="31">
        <v>3328239</v>
      </c>
      <c r="F30" s="25">
        <f t="shared" si="1"/>
        <v>1089</v>
      </c>
      <c r="G30" s="31">
        <v>645186</v>
      </c>
      <c r="H30" s="25">
        <f t="shared" si="2"/>
        <v>381</v>
      </c>
      <c r="I30" s="12">
        <v>68.521599999999992</v>
      </c>
      <c r="J30" s="12">
        <v>216</v>
      </c>
      <c r="O30" s="34"/>
    </row>
    <row r="31" spans="1:15" ht="45" customHeight="1" x14ac:dyDescent="0.2">
      <c r="A31" s="24">
        <v>44831</v>
      </c>
      <c r="B31" s="50"/>
      <c r="C31" s="31">
        <v>32948.21</v>
      </c>
      <c r="D31" s="25">
        <f t="shared" si="3"/>
        <v>28.200000000004366</v>
      </c>
      <c r="E31" s="31">
        <v>3329397</v>
      </c>
      <c r="F31" s="25">
        <f t="shared" si="1"/>
        <v>1158</v>
      </c>
      <c r="G31" s="31">
        <v>645614</v>
      </c>
      <c r="H31" s="25">
        <f t="shared" si="2"/>
        <v>428</v>
      </c>
      <c r="I31" s="12">
        <v>68.521599999999992</v>
      </c>
      <c r="J31" s="12">
        <v>193</v>
      </c>
    </row>
    <row r="32" spans="1:15" ht="45" customHeight="1" x14ac:dyDescent="0.2">
      <c r="A32" s="24">
        <v>44832</v>
      </c>
      <c r="B32" s="50"/>
      <c r="C32" s="31">
        <v>32974.93</v>
      </c>
      <c r="D32" s="25">
        <f t="shared" si="3"/>
        <v>26.720000000001164</v>
      </c>
      <c r="E32" s="31">
        <v>3330517</v>
      </c>
      <c r="F32" s="25">
        <f t="shared" si="1"/>
        <v>1120</v>
      </c>
      <c r="G32" s="31">
        <v>646023</v>
      </c>
      <c r="H32" s="25">
        <f t="shared" si="2"/>
        <v>409</v>
      </c>
      <c r="I32" s="12">
        <v>87.647000000000006</v>
      </c>
      <c r="J32" s="12">
        <v>196</v>
      </c>
    </row>
    <row r="33" spans="1:10" ht="36" customHeight="1" x14ac:dyDescent="0.2">
      <c r="A33" s="24">
        <v>44833</v>
      </c>
      <c r="B33" s="35"/>
      <c r="C33" s="31">
        <v>33000.65</v>
      </c>
      <c r="D33" s="25">
        <f t="shared" si="3"/>
        <v>25.720000000001164</v>
      </c>
      <c r="E33" s="31">
        <v>3331645</v>
      </c>
      <c r="F33" s="25">
        <f t="shared" si="1"/>
        <v>1128</v>
      </c>
      <c r="G33" s="31">
        <v>646402</v>
      </c>
      <c r="H33" s="25">
        <f t="shared" si="2"/>
        <v>379</v>
      </c>
      <c r="I33" s="12">
        <v>84.641199999999998</v>
      </c>
      <c r="J33" s="12">
        <v>232</v>
      </c>
    </row>
    <row r="34" spans="1:10" ht="45.6" customHeight="1" x14ac:dyDescent="0.2">
      <c r="A34" s="24">
        <v>44834</v>
      </c>
      <c r="B34" s="48"/>
      <c r="C34" s="40">
        <v>33024.870000000003</v>
      </c>
      <c r="D34" s="49">
        <f t="shared" si="3"/>
        <v>24.220000000001164</v>
      </c>
      <c r="E34" s="31">
        <v>3332565</v>
      </c>
      <c r="F34" s="32">
        <f t="shared" si="1"/>
        <v>920</v>
      </c>
      <c r="G34" s="31">
        <v>646747</v>
      </c>
      <c r="H34" s="25">
        <f t="shared" si="2"/>
        <v>345</v>
      </c>
      <c r="I34" s="12">
        <v>69.53240000000001</v>
      </c>
      <c r="J34" s="33">
        <v>184</v>
      </c>
    </row>
    <row r="35" spans="1:10" x14ac:dyDescent="0.15">
      <c r="E35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2023-03-14T03:39:37Z</dcterms:modified>
</cp:coreProperties>
</file>