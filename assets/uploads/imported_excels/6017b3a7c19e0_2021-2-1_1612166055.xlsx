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5" windowHeight="6855" activeTab="1"/>
  </bookViews>
  <sheets>
    <sheet name="TOTAL" sheetId="1" r:id="rId1"/>
    <sheet name="Submetering" sheetId="3" r:id="rId2"/>
    <sheet name="Geneva Daily" sheetId="2" r:id="rId3"/>
  </sheets>
  <calcPr calcId="162913"/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  <c r="B32" i="3" l="1"/>
  <c r="L32" i="1"/>
  <c r="K32" i="1"/>
  <c r="I32" i="1"/>
  <c r="B32" i="1"/>
  <c r="F4" i="2" l="1"/>
  <c r="F6" i="2"/>
  <c r="F7" i="2"/>
  <c r="F8" i="2"/>
  <c r="F9" i="2"/>
  <c r="F10" i="2"/>
  <c r="F11" i="2"/>
  <c r="M13" i="2"/>
  <c r="K13" i="2"/>
  <c r="L31" i="1"/>
  <c r="L30" i="1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</calcChain>
</file>

<file path=xl/sharedStrings.xml><?xml version="1.0" encoding="utf-8"?>
<sst xmlns="http://schemas.openxmlformats.org/spreadsheetml/2006/main" count="109" uniqueCount="34">
  <si>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</si>
  <si>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</si>
  <si>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</si>
  <si>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</si>
  <si>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</si>
  <si>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</si>
  <si>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</si>
  <si>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</si>
  <si>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</si>
  <si>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</si>
  <si>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</si>
  <si>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</si>
  <si>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</si>
  <si>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</si>
  <si>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</si>
  <si>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</si>
  <si>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</si>
  <si>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</si>
  <si>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</si>
  <si>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</si>
  <si>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</si>
  <si>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</si>
  <si>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</si>
  <si>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</si>
  <si>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</si>
  <si>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</si>
  <si>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</si>
  <si>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</si>
  <si>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</si>
  <si>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</si>
  <si>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</si>
  <si>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</si>
  <si>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</si>
  <si>
    <t>passage 2è allure en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</si>
</sst>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</fonts>
  <fills count="12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B1" workbookViewId="0">
      <selection activeCell="I2" sqref="I2:I31"/>
    </sheetView>
  </sheetViews>
  <sheetFormatPr defaultColWidth="11.5703125" defaultRowHeight="15" x14ac:dyDescent="0.25"/>
  <cols>
    <col min="1" max="1" width="18.140625" style="17" customWidth="1"/>
    <col min="2" max="3" width="11.5703125" style="9"/>
    <col min="4" max="4" width="13.42578125" style="9" customWidth="1"/>
    <col min="5" max="5" width="12.5703125" style="6" customWidth="1"/>
    <col min="6" max="6" width="12.5703125" style="16" customWidth="1"/>
    <col min="7" max="7" width="11.5703125" style="6"/>
    <col min="8" max="8" width="11.5703125" style="16"/>
    <col min="9" max="24" width="11.5703125" style="6"/>
  </cols>
  <sheetData>
    <row r="1" spans="1:24" s="17" customFormat="1" ht="60" x14ac:dyDescent="0.25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25">
      <c r="A2" s="17" t="s">
        <v>32</v>
      </c>
      <c r="B2" s="9">
        <v>1</v>
      </c>
      <c r="C2" s="6">
        <v>1</v>
      </c>
      <c r="D2" s="9">
        <v>2021</v>
      </c>
      <c r="E2" s="20">
        <f>Submetering!E2</f>
        <v>6147</v>
      </c>
      <c r="F2" s="16">
        <v>0.12</v>
      </c>
      <c r="G2" s="20">
        <f>Submetering!F2+Submetering!G2</f>
        <v>652.17109177364489</v>
      </c>
      <c r="H2" s="16">
        <v>0.71</v>
      </c>
      <c r="I2" s="20">
        <f>Submetering!J2+Submetering!I2+Submetering!H2</f>
        <v>56.158686848999999</v>
      </c>
      <c r="J2" s="16">
        <v>2.3196172978505634</v>
      </c>
      <c r="K2" s="20">
        <f>Submetering!K2</f>
        <v>29</v>
      </c>
      <c r="L2" s="20">
        <f>Submetering!L2</f>
        <v>0</v>
      </c>
    </row>
    <row r="3" spans="1:24" x14ac:dyDescent="0.25">
      <c r="A3" s="17" t="s">
        <v>32</v>
      </c>
      <c r="B3" s="9">
        <f>B2+1</f>
        <v>2</v>
      </c>
      <c r="C3" s="6">
        <v>1</v>
      </c>
      <c r="D3" s="9">
        <v>2021</v>
      </c>
      <c r="E3" s="20">
        <f>Submetering!E3</f>
        <v>6084</v>
      </c>
      <c r="F3" s="16">
        <v>0.12</v>
      </c>
      <c r="G3" s="20">
        <f>Submetering!F3+Submetering!G3</f>
        <v>757.18822204887852</v>
      </c>
      <c r="H3" s="16">
        <v>0.71</v>
      </c>
      <c r="I3" s="20">
        <f>Submetering!J3+Submetering!I3+Submetering!H3</f>
        <v>50.783367881300002</v>
      </c>
      <c r="J3" s="16">
        <v>2.3196172978505634</v>
      </c>
      <c r="K3" s="20">
        <f>Submetering!K3</f>
        <v>24</v>
      </c>
      <c r="L3" s="20">
        <f>Submetering!L3</f>
        <v>0</v>
      </c>
    </row>
    <row r="4" spans="1:24" x14ac:dyDescent="0.25">
      <c r="A4" s="17" t="s">
        <v>32</v>
      </c>
      <c r="B4" s="9">
        <f t="shared" ref="B4:B32" si="0">B3+1</f>
        <v>3</v>
      </c>
      <c r="C4" s="6">
        <v>1</v>
      </c>
      <c r="D4" s="9">
        <v>2021</v>
      </c>
      <c r="E4" s="20">
        <f>Submetering!E4</f>
        <v>5836.5</v>
      </c>
      <c r="F4" s="16">
        <v>0.12</v>
      </c>
      <c r="G4" s="20">
        <f>Submetering!F4+Submetering!G4</f>
        <v>763.17243789626173</v>
      </c>
      <c r="H4" s="16">
        <v>0.71</v>
      </c>
      <c r="I4" s="20">
        <f>Submetering!J4+Submetering!I4+Submetering!H4</f>
        <v>40.0770878716</v>
      </c>
      <c r="J4" s="16">
        <v>2.3196172978505634</v>
      </c>
      <c r="K4" s="20">
        <f>Submetering!K4</f>
        <v>13</v>
      </c>
      <c r="L4" s="20">
        <f>Submetering!L4</f>
        <v>0</v>
      </c>
    </row>
    <row r="5" spans="1:24" x14ac:dyDescent="0.25">
      <c r="A5" s="17" t="s">
        <v>32</v>
      </c>
      <c r="B5" s="9">
        <f t="shared" si="0"/>
        <v>4</v>
      </c>
      <c r="C5" s="6">
        <v>1</v>
      </c>
      <c r="D5" s="9">
        <v>2021</v>
      </c>
      <c r="E5" s="20">
        <f>Submetering!E5</f>
        <v>6034.5</v>
      </c>
      <c r="F5" s="16">
        <v>0.12</v>
      </c>
      <c r="G5" s="20">
        <f>Submetering!F5+Submetering!G5</f>
        <v>690.63150064878516</v>
      </c>
      <c r="H5" s="16">
        <v>0.71</v>
      </c>
      <c r="I5" s="20">
        <f>Submetering!J5+Submetering!I5+Submetering!H5</f>
        <v>41.022375628799992</v>
      </c>
      <c r="J5" s="16">
        <v>2.3196172978505634</v>
      </c>
      <c r="K5" s="20">
        <f>Submetering!K5</f>
        <v>14</v>
      </c>
      <c r="L5" s="20">
        <f>Submetering!L5</f>
        <v>0</v>
      </c>
    </row>
    <row r="6" spans="1:24" x14ac:dyDescent="0.25">
      <c r="A6" s="17" t="s">
        <v>32</v>
      </c>
      <c r="B6" s="9">
        <f t="shared" si="0"/>
        <v>5</v>
      </c>
      <c r="C6" s="6">
        <v>1</v>
      </c>
      <c r="D6" s="9">
        <v>2021</v>
      </c>
      <c r="E6" s="20">
        <f>Submetering!E6</f>
        <v>6005.25</v>
      </c>
      <c r="F6" s="16">
        <v>0.12</v>
      </c>
      <c r="G6" s="20">
        <f>Submetering!F6+Submetering!G6</f>
        <v>757.70203395317765</v>
      </c>
      <c r="H6" s="16">
        <v>0.71</v>
      </c>
      <c r="I6" s="20">
        <f>Submetering!J6+Submetering!I6+Submetering!H6</f>
        <v>40.605480836199995</v>
      </c>
      <c r="J6" s="16">
        <v>2.3196172978505634</v>
      </c>
      <c r="K6" s="20">
        <f>Submetering!K6</f>
        <v>17</v>
      </c>
      <c r="L6" s="20">
        <f>Submetering!L6</f>
        <v>0</v>
      </c>
    </row>
    <row r="7" spans="1:24" x14ac:dyDescent="0.25">
      <c r="A7" s="17" t="s">
        <v>32</v>
      </c>
      <c r="B7" s="9">
        <f t="shared" si="0"/>
        <v>6</v>
      </c>
      <c r="C7" s="6">
        <v>1</v>
      </c>
      <c r="D7" s="9">
        <v>2021</v>
      </c>
      <c r="E7" s="20">
        <f>Submetering!E7</f>
        <v>6063.75</v>
      </c>
      <c r="F7" s="16">
        <v>0.12</v>
      </c>
      <c r="G7" s="20">
        <f>Submetering!F7+Submetering!G7</f>
        <v>771.61381991271026</v>
      </c>
      <c r="H7" s="16">
        <v>0.71</v>
      </c>
      <c r="I7" s="20">
        <f>Submetering!J7+Submetering!I7+Submetering!H7</f>
        <v>39.255519163800003</v>
      </c>
      <c r="J7" s="16">
        <v>2.3196172978505634</v>
      </c>
      <c r="K7" s="20">
        <f>Submetering!K7</f>
        <v>27</v>
      </c>
      <c r="L7" s="20">
        <f>Submetering!L7</f>
        <v>0</v>
      </c>
    </row>
    <row r="8" spans="1:24" x14ac:dyDescent="0.25">
      <c r="A8" s="17" t="s">
        <v>32</v>
      </c>
      <c r="B8" s="9">
        <f t="shared" si="0"/>
        <v>7</v>
      </c>
      <c r="C8" s="6">
        <v>1</v>
      </c>
      <c r="D8" s="9">
        <v>2021</v>
      </c>
      <c r="E8" s="20">
        <f>Submetering!E8</f>
        <v>6169.5</v>
      </c>
      <c r="F8" s="16">
        <v>0.12</v>
      </c>
      <c r="G8" s="20">
        <f>Submetering!F8+Submetering!G8</f>
        <v>777.99010479233652</v>
      </c>
      <c r="H8" s="16">
        <v>0.71</v>
      </c>
      <c r="I8" s="20">
        <f>Submetering!J8+Submetering!I8+Submetering!H8</f>
        <v>45.509654465600001</v>
      </c>
      <c r="J8" s="16">
        <v>2.3196172978505634</v>
      </c>
      <c r="K8" s="20">
        <f>Submetering!K8</f>
        <v>31</v>
      </c>
      <c r="L8" s="20">
        <f>Submetering!L8</f>
        <v>0</v>
      </c>
    </row>
    <row r="9" spans="1:24" x14ac:dyDescent="0.25">
      <c r="A9" s="17" t="s">
        <v>32</v>
      </c>
      <c r="B9" s="9">
        <f t="shared" si="0"/>
        <v>8</v>
      </c>
      <c r="C9" s="6">
        <v>1</v>
      </c>
      <c r="D9" s="9">
        <v>2021</v>
      </c>
      <c r="E9" s="20">
        <f>Submetering!E9</f>
        <v>6167.25</v>
      </c>
      <c r="F9" s="16">
        <v>0.12</v>
      </c>
      <c r="G9" s="20">
        <f>Submetering!F9+Submetering!G9</f>
        <v>749.60316915551402</v>
      </c>
      <c r="H9" s="16">
        <v>0.71</v>
      </c>
      <c r="I9" s="20">
        <f>Submetering!J9+Submetering!I9+Submetering!H9</f>
        <v>53.922426354699994</v>
      </c>
      <c r="J9" s="16">
        <v>2.3196172978505634</v>
      </c>
      <c r="K9" s="20">
        <f>Submetering!K9</f>
        <v>37</v>
      </c>
      <c r="L9" s="20">
        <f>Submetering!L9</f>
        <v>0</v>
      </c>
    </row>
    <row r="10" spans="1:24" x14ac:dyDescent="0.25">
      <c r="A10" s="17" t="s">
        <v>32</v>
      </c>
      <c r="B10" s="9">
        <f t="shared" si="0"/>
        <v>9</v>
      </c>
      <c r="C10" s="6">
        <v>1</v>
      </c>
      <c r="D10" s="9">
        <v>2021</v>
      </c>
      <c r="E10" s="20">
        <f>Submetering!E10</f>
        <v>6169.5</v>
      </c>
      <c r="F10" s="16">
        <v>0.12</v>
      </c>
      <c r="G10" s="20">
        <f>Submetering!F10+Submetering!G10</f>
        <v>843.33641841887845</v>
      </c>
      <c r="H10" s="16">
        <v>0.71</v>
      </c>
      <c r="I10" s="20">
        <f>Submetering!J10+Submetering!I10+Submetering!H10</f>
        <v>50.798939707599999</v>
      </c>
      <c r="J10" s="16">
        <v>2.3196172978505634</v>
      </c>
      <c r="K10" s="20">
        <f>Submetering!K10</f>
        <v>37</v>
      </c>
      <c r="L10" s="20">
        <f>Submetering!L10</f>
        <v>0</v>
      </c>
    </row>
    <row r="11" spans="1:24" x14ac:dyDescent="0.25">
      <c r="A11" s="17" t="s">
        <v>32</v>
      </c>
      <c r="B11" s="9">
        <f t="shared" si="0"/>
        <v>10</v>
      </c>
      <c r="C11" s="6">
        <v>1</v>
      </c>
      <c r="D11" s="9">
        <v>2021</v>
      </c>
      <c r="E11" s="20">
        <f>Submetering!E11</f>
        <v>5859</v>
      </c>
      <c r="F11" s="16">
        <v>0.12</v>
      </c>
      <c r="G11" s="20">
        <f>Submetering!F11+Submetering!G11</f>
        <v>839.49811154588792</v>
      </c>
      <c r="H11" s="16">
        <v>0.71</v>
      </c>
      <c r="I11" s="20">
        <f>Submetering!J11+Submetering!I11+Submetering!H11</f>
        <v>39.226208751507997</v>
      </c>
      <c r="J11" s="16">
        <v>2.3196172978505634</v>
      </c>
      <c r="K11" s="20">
        <f>Submetering!K11</f>
        <v>29</v>
      </c>
      <c r="L11" s="20">
        <f>Submetering!L11</f>
        <v>0</v>
      </c>
    </row>
    <row r="12" spans="1:24" x14ac:dyDescent="0.25">
      <c r="A12" s="17" t="s">
        <v>32</v>
      </c>
      <c r="B12" s="9">
        <f t="shared" si="0"/>
        <v>11</v>
      </c>
      <c r="C12" s="6">
        <v>1</v>
      </c>
      <c r="D12" s="9">
        <v>2021</v>
      </c>
      <c r="E12" s="20">
        <f>Submetering!E12</f>
        <v>6196.5</v>
      </c>
      <c r="F12" s="16">
        <v>0.12</v>
      </c>
      <c r="G12" s="20">
        <f>Submetering!F12+Submetering!G12</f>
        <v>892.83776236822439</v>
      </c>
      <c r="H12" s="16">
        <v>0.71</v>
      </c>
      <c r="I12" s="20">
        <f>Submetering!J12+Submetering!I12+Submetering!H12</f>
        <v>56.714187685989998</v>
      </c>
      <c r="J12" s="16">
        <v>2.3196172978505634</v>
      </c>
      <c r="K12" s="20">
        <f>Submetering!K12</f>
        <v>36</v>
      </c>
      <c r="L12" s="20">
        <f>Submetering!L12</f>
        <v>0</v>
      </c>
    </row>
    <row r="13" spans="1:24" x14ac:dyDescent="0.25">
      <c r="A13" s="17" t="s">
        <v>32</v>
      </c>
      <c r="B13" s="9">
        <f t="shared" si="0"/>
        <v>12</v>
      </c>
      <c r="C13" s="6">
        <v>1</v>
      </c>
      <c r="D13" s="9">
        <v>2021</v>
      </c>
      <c r="E13" s="20">
        <f>Submetering!E13</f>
        <v>6084</v>
      </c>
      <c r="F13" s="16">
        <v>0.12</v>
      </c>
      <c r="G13" s="20">
        <f>Submetering!F13+Submetering!G13</f>
        <v>980.01763268971979</v>
      </c>
      <c r="H13" s="16">
        <v>0.71</v>
      </c>
      <c r="I13" s="20">
        <f>Submetering!J13+Submetering!I13+Submetering!H13</f>
        <v>48.063583034600001</v>
      </c>
      <c r="J13" s="16">
        <v>2.3196172978505634</v>
      </c>
      <c r="K13" s="20">
        <f>Submetering!K13</f>
        <v>36</v>
      </c>
      <c r="L13" s="20">
        <f>Submetering!L13</f>
        <v>0</v>
      </c>
    </row>
    <row r="14" spans="1:24" x14ac:dyDescent="0.25">
      <c r="A14" s="17" t="s">
        <v>32</v>
      </c>
      <c r="B14" s="9">
        <f t="shared" si="0"/>
        <v>13</v>
      </c>
      <c r="C14" s="6">
        <v>1</v>
      </c>
      <c r="D14" s="9">
        <v>2021</v>
      </c>
      <c r="E14" s="20">
        <f>Submetering!E14</f>
        <v>6034.5</v>
      </c>
      <c r="F14" s="16">
        <v>0.12</v>
      </c>
      <c r="G14" s="20">
        <f>Submetering!F14+Submetering!G14</f>
        <v>812.8458307621496</v>
      </c>
      <c r="H14" s="16">
        <v>0.71</v>
      </c>
      <c r="I14" s="20">
        <f>Submetering!J14+Submetering!I14+Submetering!H14</f>
        <v>42.500387243700004</v>
      </c>
      <c r="J14" s="16">
        <v>2.3196172978505634</v>
      </c>
      <c r="K14" s="20">
        <f>Submetering!K14</f>
        <v>32</v>
      </c>
      <c r="L14" s="20">
        <f>Submetering!L14</f>
        <v>0</v>
      </c>
    </row>
    <row r="15" spans="1:24" x14ac:dyDescent="0.25">
      <c r="A15" s="17" t="s">
        <v>32</v>
      </c>
      <c r="B15" s="9">
        <f t="shared" si="0"/>
        <v>14</v>
      </c>
      <c r="C15" s="6">
        <v>1</v>
      </c>
      <c r="D15" s="9">
        <v>2021</v>
      </c>
      <c r="E15" s="20">
        <f>Submetering!E15</f>
        <v>6021</v>
      </c>
      <c r="F15" s="16">
        <v>0.12</v>
      </c>
      <c r="G15" s="20">
        <f>Submetering!F15+Submetering!G15</f>
        <v>735.07956442121497</v>
      </c>
      <c r="H15" s="16">
        <v>0.71</v>
      </c>
      <c r="I15" s="20">
        <f>Submetering!J15+Submetering!I15+Submetering!H15</f>
        <v>39.332612756299994</v>
      </c>
      <c r="J15" s="16">
        <v>2.3196172978505634</v>
      </c>
      <c r="K15" s="20">
        <f>Submetering!K15</f>
        <v>24</v>
      </c>
      <c r="L15" s="20">
        <f>Submetering!L15</f>
        <v>0</v>
      </c>
    </row>
    <row r="16" spans="1:24" x14ac:dyDescent="0.25">
      <c r="A16" s="17" t="s">
        <v>32</v>
      </c>
      <c r="B16" s="9">
        <f t="shared" si="0"/>
        <v>15</v>
      </c>
      <c r="C16" s="6">
        <v>1</v>
      </c>
      <c r="D16" s="9">
        <v>2021</v>
      </c>
      <c r="E16" s="20">
        <f>Submetering!E16</f>
        <v>6050.25</v>
      </c>
      <c r="F16" s="16">
        <v>0.12</v>
      </c>
      <c r="G16" s="20">
        <f>Submetering!F16+Submetering!G16</f>
        <v>805.6864246214019</v>
      </c>
      <c r="H16" s="16">
        <v>0.71</v>
      </c>
      <c r="I16" s="20">
        <f>Submetering!J16+Submetering!I16+Submetering!H16</f>
        <v>44.145520375300002</v>
      </c>
      <c r="J16" s="16">
        <v>2.3196172978505634</v>
      </c>
      <c r="K16" s="20">
        <f>Submetering!K16</f>
        <v>32</v>
      </c>
      <c r="L16" s="20">
        <f>Submetering!L16</f>
        <v>0</v>
      </c>
    </row>
    <row r="17" spans="1:12" x14ac:dyDescent="0.25">
      <c r="A17" s="17" t="s">
        <v>32</v>
      </c>
      <c r="B17" s="9">
        <f t="shared" si="0"/>
        <v>16</v>
      </c>
      <c r="C17" s="6">
        <v>1</v>
      </c>
      <c r="D17" s="9">
        <v>2021</v>
      </c>
      <c r="E17" s="20">
        <f>Submetering!E17</f>
        <v>5879.25</v>
      </c>
      <c r="F17" s="16">
        <v>0.12</v>
      </c>
      <c r="G17" s="20">
        <f>Submetering!F17+Submetering!G17</f>
        <v>928.16616139813095</v>
      </c>
      <c r="H17" s="16">
        <v>0.71</v>
      </c>
      <c r="I17" s="20">
        <f>Submetering!J17+Submetering!I17+Submetering!H17</f>
        <v>39.7047163111</v>
      </c>
      <c r="J17" s="16">
        <v>2.3196172978505634</v>
      </c>
      <c r="K17" s="20">
        <f>Submetering!K17</f>
        <v>34</v>
      </c>
      <c r="L17" s="20">
        <f>Submetering!L17</f>
        <v>0</v>
      </c>
    </row>
    <row r="18" spans="1:12" x14ac:dyDescent="0.25">
      <c r="A18" s="17" t="s">
        <v>32</v>
      </c>
      <c r="B18" s="9">
        <f t="shared" si="0"/>
        <v>17</v>
      </c>
      <c r="C18" s="6">
        <v>1</v>
      </c>
      <c r="D18" s="9">
        <v>2021</v>
      </c>
      <c r="E18" s="20">
        <f>Submetering!E18</f>
        <v>5604.75</v>
      </c>
      <c r="F18" s="16">
        <v>0.12</v>
      </c>
      <c r="G18" s="20">
        <f>Submetering!F18+Submetering!G18</f>
        <v>893.4382692923366</v>
      </c>
      <c r="H18" s="16">
        <v>0.71</v>
      </c>
      <c r="I18" s="20">
        <f>Submetering!J18+Submetering!I18+Submetering!H18</f>
        <v>40.783426395999996</v>
      </c>
      <c r="J18" s="16">
        <v>2.3196172978505634</v>
      </c>
      <c r="K18" s="20">
        <f>Submetering!K18</f>
        <v>18</v>
      </c>
      <c r="L18" s="20">
        <f>Submetering!L18</f>
        <v>0</v>
      </c>
    </row>
    <row r="19" spans="1:12" x14ac:dyDescent="0.25">
      <c r="A19" s="17" t="s">
        <v>32</v>
      </c>
      <c r="B19" s="9">
        <f t="shared" si="0"/>
        <v>18</v>
      </c>
      <c r="C19" s="6">
        <v>1</v>
      </c>
      <c r="D19" s="9">
        <v>2021</v>
      </c>
      <c r="E19" s="20">
        <f>Submetering!E19</f>
        <v>5886</v>
      </c>
      <c r="F19" s="16">
        <v>0.12</v>
      </c>
      <c r="G19" s="20">
        <f>Submetering!F19+Submetering!G19</f>
        <v>840.29511416074763</v>
      </c>
      <c r="H19" s="16">
        <v>0.71</v>
      </c>
      <c r="I19" s="20">
        <f>Submetering!J19+Submetering!I19+Submetering!H19</f>
        <v>45.400184143800004</v>
      </c>
      <c r="J19" s="16">
        <v>2.3196172978505634</v>
      </c>
      <c r="K19" s="20">
        <f>Submetering!K19</f>
        <v>23</v>
      </c>
      <c r="L19" s="20">
        <f>Submetering!L19</f>
        <v>0</v>
      </c>
    </row>
    <row r="20" spans="1:12" x14ac:dyDescent="0.25">
      <c r="A20" s="17" t="s">
        <v>32</v>
      </c>
      <c r="B20" s="9">
        <f t="shared" si="0"/>
        <v>19</v>
      </c>
      <c r="C20" s="6">
        <v>1</v>
      </c>
      <c r="D20" s="9">
        <v>2021</v>
      </c>
      <c r="E20" s="20">
        <f>Submetering!E20</f>
        <v>5892.75</v>
      </c>
      <c r="F20" s="16">
        <v>0.12</v>
      </c>
      <c r="G20" s="20">
        <f>Submetering!F20+Submetering!G20</f>
        <v>850.97836755327103</v>
      </c>
      <c r="H20" s="16">
        <v>0.71</v>
      </c>
      <c r="I20" s="20">
        <f>Submetering!J20+Submetering!I20+Submetering!H20</f>
        <v>42.727152773699999</v>
      </c>
      <c r="J20" s="16">
        <v>2.3196172978505634</v>
      </c>
      <c r="K20" s="20">
        <f>Submetering!K20</f>
        <v>22</v>
      </c>
      <c r="L20" s="20">
        <f>Submetering!L20</f>
        <v>0</v>
      </c>
    </row>
    <row r="21" spans="1:12" x14ac:dyDescent="0.25">
      <c r="A21" s="17" t="s">
        <v>32</v>
      </c>
      <c r="B21" s="9">
        <f t="shared" si="0"/>
        <v>20</v>
      </c>
      <c r="C21" s="6">
        <v>1</v>
      </c>
      <c r="D21" s="9">
        <v>2021</v>
      </c>
      <c r="E21" s="20">
        <f>Submetering!E21</f>
        <v>5960.25</v>
      </c>
      <c r="F21" s="16">
        <v>0.12</v>
      </c>
      <c r="G21" s="20">
        <f>Submetering!F21+Submetering!G21</f>
        <v>742.74414158074785</v>
      </c>
      <c r="H21" s="16">
        <v>0.71</v>
      </c>
      <c r="I21" s="20">
        <f>Submetering!J21+Submetering!I21+Submetering!H21</f>
        <v>46.033018757299999</v>
      </c>
      <c r="J21" s="16">
        <v>2.3196172978505634</v>
      </c>
      <c r="K21" s="20">
        <f>Submetering!K21</f>
        <v>23</v>
      </c>
      <c r="L21" s="20">
        <f>Submetering!L21</f>
        <v>0</v>
      </c>
    </row>
    <row r="22" spans="1:12" x14ac:dyDescent="0.25">
      <c r="A22" s="17" t="s">
        <v>32</v>
      </c>
      <c r="B22" s="9">
        <f t="shared" si="0"/>
        <v>21</v>
      </c>
      <c r="C22" s="6">
        <v>1</v>
      </c>
      <c r="D22" s="9">
        <v>2021</v>
      </c>
      <c r="E22" s="20">
        <f>Submetering!E22</f>
        <v>6034.5</v>
      </c>
      <c r="F22" s="16">
        <v>0.12</v>
      </c>
      <c r="G22" s="20">
        <f>Submetering!F22+Submetering!G22</f>
        <v>506.39093189626175</v>
      </c>
      <c r="H22" s="16">
        <v>0.71</v>
      </c>
      <c r="I22" s="20">
        <f>Submetering!J22+Submetering!I22+Submetering!H22</f>
        <v>39.641032524700002</v>
      </c>
      <c r="J22" s="16">
        <v>2.3196172978505634</v>
      </c>
      <c r="K22" s="20">
        <f>Submetering!K22</f>
        <v>31</v>
      </c>
      <c r="L22" s="20">
        <f>Submetering!L22</f>
        <v>0</v>
      </c>
    </row>
    <row r="23" spans="1:12" x14ac:dyDescent="0.25">
      <c r="A23" s="17" t="s">
        <v>32</v>
      </c>
      <c r="B23" s="9">
        <f t="shared" si="0"/>
        <v>22</v>
      </c>
      <c r="C23" s="6">
        <v>1</v>
      </c>
      <c r="D23" s="9">
        <v>2021</v>
      </c>
      <c r="E23" s="20">
        <f>Submetering!E23</f>
        <v>6304.5</v>
      </c>
      <c r="F23" s="16">
        <v>0.12</v>
      </c>
      <c r="G23" s="20">
        <f>Submetering!F23+Submetering!G23</f>
        <v>515.76996571289726</v>
      </c>
      <c r="H23" s="16">
        <v>0.71</v>
      </c>
      <c r="I23" s="20">
        <f>Submetering!J23+Submetering!I23+Submetering!H23</f>
        <v>48.6927575371</v>
      </c>
      <c r="J23" s="16">
        <v>2.3196172978505634</v>
      </c>
      <c r="K23" s="20">
        <f>Submetering!K23</f>
        <v>35</v>
      </c>
      <c r="L23" s="20">
        <f>Submetering!L23</f>
        <v>0</v>
      </c>
    </row>
    <row r="24" spans="1:12" x14ac:dyDescent="0.25">
      <c r="A24" s="17" t="s">
        <v>32</v>
      </c>
      <c r="B24" s="9">
        <f t="shared" si="0"/>
        <v>23</v>
      </c>
      <c r="C24" s="6">
        <v>1</v>
      </c>
      <c r="D24" s="9">
        <v>2021</v>
      </c>
      <c r="E24" s="20">
        <f>Submetering!E24</f>
        <v>5976</v>
      </c>
      <c r="F24" s="16">
        <v>0.12</v>
      </c>
      <c r="G24" s="20">
        <f>Submetering!F24+Submetering!G24</f>
        <v>728.06391407757008</v>
      </c>
      <c r="H24" s="16">
        <v>0.71</v>
      </c>
      <c r="I24" s="20">
        <f>Submetering!J24+Submetering!I24+Submetering!H24</f>
        <v>47.928623133499997</v>
      </c>
      <c r="J24" s="16">
        <v>2.3196172978505634</v>
      </c>
      <c r="K24" s="20">
        <f>Submetering!K24</f>
        <v>29</v>
      </c>
      <c r="L24" s="20">
        <f>Submetering!L24</f>
        <v>0</v>
      </c>
    </row>
    <row r="25" spans="1:12" x14ac:dyDescent="0.25">
      <c r="A25" s="17" t="s">
        <v>32</v>
      </c>
      <c r="B25" s="9">
        <f t="shared" si="0"/>
        <v>24</v>
      </c>
      <c r="C25" s="6">
        <v>1</v>
      </c>
      <c r="D25" s="9">
        <v>2021</v>
      </c>
      <c r="E25" s="20">
        <f>Submetering!E25</f>
        <v>5413.5</v>
      </c>
      <c r="F25" s="16">
        <v>0.12</v>
      </c>
      <c r="G25" s="20">
        <f>Submetering!F25+Submetering!G25</f>
        <v>811.0315447335513</v>
      </c>
      <c r="H25" s="16">
        <v>0.71</v>
      </c>
      <c r="I25" s="20">
        <f>Submetering!J25+Submetering!I25+Submetering!H25</f>
        <v>38.218568047299996</v>
      </c>
      <c r="J25" s="16">
        <v>2.3196172978505634</v>
      </c>
      <c r="K25" s="20">
        <f>Submetering!K25</f>
        <v>20</v>
      </c>
      <c r="L25" s="20">
        <f>Submetering!L25</f>
        <v>0</v>
      </c>
    </row>
    <row r="26" spans="1:12" x14ac:dyDescent="0.25">
      <c r="A26" s="17" t="s">
        <v>32</v>
      </c>
      <c r="B26" s="9">
        <f>B25+1</f>
        <v>25</v>
      </c>
      <c r="C26" s="6">
        <v>1</v>
      </c>
      <c r="D26" s="9">
        <v>2021</v>
      </c>
      <c r="E26" s="20">
        <f>Submetering!E26</f>
        <v>5726.25</v>
      </c>
      <c r="F26" s="16">
        <v>0.12</v>
      </c>
      <c r="G26" s="20">
        <f>Submetering!F26+Submetering!G26</f>
        <v>817.81874858654214</v>
      </c>
      <c r="H26" s="16">
        <v>0.71</v>
      </c>
      <c r="I26" s="20">
        <f>Submetering!J26+Submetering!I26+Submetering!H26</f>
        <v>44.1826109175</v>
      </c>
      <c r="J26" s="16">
        <v>2.3196172978505634</v>
      </c>
      <c r="K26" s="20">
        <f>Submetering!K26</f>
        <v>24</v>
      </c>
      <c r="L26" s="20">
        <f>Submetering!L26</f>
        <v>0</v>
      </c>
    </row>
    <row r="27" spans="1:12" x14ac:dyDescent="0.25">
      <c r="A27" s="17" t="s">
        <v>32</v>
      </c>
      <c r="B27" s="9">
        <f t="shared" si="0"/>
        <v>26</v>
      </c>
      <c r="C27" s="6">
        <v>1</v>
      </c>
      <c r="D27" s="9">
        <v>2021</v>
      </c>
      <c r="E27" s="20">
        <f>Submetering!E27</f>
        <v>5865.75</v>
      </c>
      <c r="F27" s="16">
        <v>0.12</v>
      </c>
      <c r="G27" s="20">
        <f>Submetering!F27+Submetering!G27</f>
        <v>798.41128986766375</v>
      </c>
      <c r="H27" s="16">
        <v>0.71</v>
      </c>
      <c r="I27" s="20">
        <f>Submetering!J27+Submetering!I27+Submetering!H27</f>
        <v>52.656752505699998</v>
      </c>
      <c r="J27" s="16">
        <v>2.3196172978505634</v>
      </c>
      <c r="K27" s="20">
        <f>Submetering!K27</f>
        <v>27</v>
      </c>
      <c r="L27" s="20">
        <f>Submetering!L27</f>
        <v>0</v>
      </c>
    </row>
    <row r="28" spans="1:12" x14ac:dyDescent="0.25">
      <c r="A28" s="17" t="s">
        <v>32</v>
      </c>
      <c r="B28" s="9">
        <f t="shared" si="0"/>
        <v>27</v>
      </c>
      <c r="C28" s="6">
        <v>1</v>
      </c>
      <c r="D28" s="9">
        <v>2021</v>
      </c>
      <c r="E28" s="20">
        <f>Submetering!E28</f>
        <v>5852.25</v>
      </c>
      <c r="F28" s="16">
        <v>0.12</v>
      </c>
      <c r="G28" s="20">
        <f>Submetering!F28+Submetering!G28</f>
        <v>773.28340947448601</v>
      </c>
      <c r="H28" s="16">
        <v>0.71</v>
      </c>
      <c r="I28" s="20">
        <f>Submetering!J28+Submetering!I28+Submetering!H28</f>
        <v>43.673538885799999</v>
      </c>
      <c r="J28" s="16">
        <v>2.3196172978505634</v>
      </c>
      <c r="K28" s="20">
        <f>Submetering!K28</f>
        <v>25</v>
      </c>
      <c r="L28" s="20">
        <f>Submetering!L28</f>
        <v>0</v>
      </c>
    </row>
    <row r="29" spans="1:12" x14ac:dyDescent="0.25">
      <c r="A29" s="17" t="s">
        <v>32</v>
      </c>
      <c r="B29" s="9">
        <f t="shared" si="0"/>
        <v>28</v>
      </c>
      <c r="C29" s="6">
        <v>1</v>
      </c>
      <c r="D29" s="9">
        <v>2021</v>
      </c>
      <c r="E29" s="20">
        <f>Submetering!E29</f>
        <v>6228</v>
      </c>
      <c r="F29" s="16">
        <v>0.12</v>
      </c>
      <c r="G29" s="20">
        <f>Submetering!F29+Submetering!G29</f>
        <v>550.77287000841125</v>
      </c>
      <c r="H29" s="16">
        <v>0.71</v>
      </c>
      <c r="I29" s="20">
        <f>Submetering!J29+Submetering!I29+Submetering!H29</f>
        <v>40.643165679600003</v>
      </c>
      <c r="J29" s="16">
        <v>2.3196172978505634</v>
      </c>
      <c r="K29" s="20">
        <f>Submetering!K29</f>
        <v>31</v>
      </c>
      <c r="L29" s="20">
        <f>Submetering!L29</f>
        <v>0</v>
      </c>
    </row>
    <row r="30" spans="1:12" x14ac:dyDescent="0.25">
      <c r="A30" s="17" t="s">
        <v>32</v>
      </c>
      <c r="B30" s="9">
        <f t="shared" si="0"/>
        <v>29</v>
      </c>
      <c r="C30" s="6">
        <v>1</v>
      </c>
      <c r="D30" s="9">
        <v>2021</v>
      </c>
      <c r="E30" s="20">
        <f>Submetering!E30</f>
        <v>6313.5</v>
      </c>
      <c r="F30" s="16">
        <v>0.12</v>
      </c>
      <c r="G30" s="20">
        <f>Submetering!F30+Submetering!G30</f>
        <v>515.47930878934585</v>
      </c>
      <c r="H30" s="16">
        <v>0.71</v>
      </c>
      <c r="I30" s="20">
        <f>Submetering!J30+Submetering!I30+Submetering!H30</f>
        <v>48.780078572800001</v>
      </c>
      <c r="J30" s="16">
        <v>2.3196172978505634</v>
      </c>
      <c r="K30" s="20">
        <f>Submetering!K30</f>
        <v>46</v>
      </c>
      <c r="L30" s="20">
        <f>Submetering!L30</f>
        <v>0</v>
      </c>
    </row>
    <row r="31" spans="1:12" x14ac:dyDescent="0.25">
      <c r="A31" s="17" t="s">
        <v>32</v>
      </c>
      <c r="B31" s="9">
        <f t="shared" si="0"/>
        <v>30</v>
      </c>
      <c r="C31" s="6">
        <v>1</v>
      </c>
      <c r="D31" s="9">
        <v>2021</v>
      </c>
      <c r="E31" s="20">
        <f>Submetering!E31</f>
        <v>6277.5</v>
      </c>
      <c r="F31" s="16">
        <v>0.12</v>
      </c>
      <c r="G31" s="20">
        <f>Submetering!F31+Submetering!G31</f>
        <v>587.92811220644865</v>
      </c>
      <c r="H31" s="16">
        <v>0.71</v>
      </c>
      <c r="I31" s="20">
        <f>Submetering!J31+Submetering!I31+Submetering!H31</f>
        <v>23.962489115500002</v>
      </c>
      <c r="J31" s="16">
        <v>2.3196172978505634</v>
      </c>
      <c r="K31" s="20">
        <f>Submetering!K31</f>
        <v>30</v>
      </c>
      <c r="L31" s="20">
        <f>Submetering!L31</f>
        <v>0</v>
      </c>
    </row>
    <row r="32" spans="1:12" x14ac:dyDescent="0.25">
      <c r="A32" s="17" t="s">
        <v>32</v>
      </c>
      <c r="B32" s="9">
        <f t="shared" si="0"/>
        <v>31</v>
      </c>
      <c r="C32" s="6">
        <v>1</v>
      </c>
      <c r="D32" s="9">
        <v>2021</v>
      </c>
      <c r="E32" s="20">
        <f>Submetering!E32</f>
        <v>5877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M32"/>
  <sheetViews>
    <sheetView tabSelected="1" workbookViewId="0">
      <pane xSplit="2" ySplit="1" topLeftCell="E14" activePane="bottomRight" state="frozen"/>
      <selection pane="topRight" activeCell="C1" sqref="C1"/>
      <selection pane="bottomLeft" activeCell="A2" sqref="A2"/>
      <selection pane="bottomRight" activeCell="K31" sqref="K31"/>
    </sheetView>
  </sheetViews>
  <sheetFormatPr defaultColWidth="11.5703125" defaultRowHeight="15" x14ac:dyDescent="0.25"/>
  <cols>
    <col min="1" max="1" width="9" style="17" customWidth="1"/>
    <col min="2" max="3" width="11.5703125" style="6" customWidth="1"/>
    <col min="4" max="4" width="13.42578125" style="6" customWidth="1"/>
    <col min="5" max="10" width="12.5703125" style="20" customWidth="1"/>
    <col min="11" max="11" width="11.5703125" style="6"/>
    <col min="12" max="12" width="11.5703125" style="20"/>
  </cols>
  <sheetData>
    <row r="1" spans="1:13" s="17" customFormat="1" ht="47.25" x14ac:dyDescent="0.25">
      <c r="A1" s="29" t="s">
        <v>4</v>
      </c>
      <c r="B1" s="29" t="s">
        <v>5</v>
      </c>
      <c r="C1" s="29" t="s">
        <v>6</v>
      </c>
      <c r="D1" s="29" t="s">
        <v>7</v>
      </c>
      <c r="E1" s="30" t="s">
        <v>22</v>
      </c>
      <c r="F1" s="30" t="s">
        <v>26</v>
      </c>
      <c r="G1" s="30" t="s">
        <v>25</v>
      </c>
      <c r="H1" s="30" t="s">
        <v>30</v>
      </c>
      <c r="I1" s="30" t="s">
        <v>31</v>
      </c>
      <c r="J1" s="30" t="s">
        <v>29</v>
      </c>
      <c r="K1" s="31" t="s">
        <v>12</v>
      </c>
      <c r="L1" s="30" t="s">
        <v>13</v>
      </c>
    </row>
    <row r="2" spans="1:13" x14ac:dyDescent="0.25">
      <c r="A2" s="17" t="s">
        <v>32</v>
      </c>
      <c r="B2" s="6">
        <v>1</v>
      </c>
      <c r="C2" s="6">
        <v>1</v>
      </c>
      <c r="D2" s="6">
        <v>2021</v>
      </c>
      <c r="E2" s="20">
        <v>6147</v>
      </c>
      <c r="F2" s="20">
        <v>624.03627480280375</v>
      </c>
      <c r="G2" s="20">
        <v>28.134816970841126</v>
      </c>
      <c r="H2" s="20">
        <v>1.1479999999999999</v>
      </c>
      <c r="I2" s="20">
        <v>27</v>
      </c>
      <c r="J2" s="20">
        <v>28.010686848999999</v>
      </c>
      <c r="K2" s="20">
        <v>29</v>
      </c>
    </row>
    <row r="3" spans="1:13" x14ac:dyDescent="0.25">
      <c r="A3" s="17" t="s">
        <v>32</v>
      </c>
      <c r="B3" s="6">
        <f>B2+1</f>
        <v>2</v>
      </c>
      <c r="C3" s="6">
        <v>1</v>
      </c>
      <c r="D3" s="6">
        <v>2021</v>
      </c>
      <c r="E3" s="20">
        <v>6084</v>
      </c>
      <c r="F3" s="20">
        <v>730.27687579626172</v>
      </c>
      <c r="G3" s="20">
        <v>26.911346252616827</v>
      </c>
      <c r="H3" s="20">
        <v>0.80200000000000005</v>
      </c>
      <c r="I3" s="20">
        <v>27</v>
      </c>
      <c r="J3" s="20">
        <v>22.981367881299999</v>
      </c>
      <c r="K3" s="20">
        <v>24</v>
      </c>
    </row>
    <row r="4" spans="1:13" x14ac:dyDescent="0.25">
      <c r="A4" s="17" t="s">
        <v>32</v>
      </c>
      <c r="B4" s="6">
        <f t="shared" ref="B4:B32" si="0">B3+1</f>
        <v>3</v>
      </c>
      <c r="C4" s="6">
        <v>1</v>
      </c>
      <c r="D4" s="6">
        <v>2021</v>
      </c>
      <c r="E4" s="20">
        <v>5836.5</v>
      </c>
      <c r="F4" s="20">
        <v>739.19831324672896</v>
      </c>
      <c r="G4" s="20">
        <v>23.974124649532712</v>
      </c>
      <c r="H4" s="20">
        <v>0.8</v>
      </c>
      <c r="I4" s="20">
        <v>19</v>
      </c>
      <c r="J4" s="20">
        <v>20.277087871599999</v>
      </c>
      <c r="K4" s="20">
        <v>13</v>
      </c>
    </row>
    <row r="5" spans="1:13" x14ac:dyDescent="0.25">
      <c r="A5" s="17" t="s">
        <v>32</v>
      </c>
      <c r="B5" s="6">
        <f t="shared" si="0"/>
        <v>4</v>
      </c>
      <c r="C5" s="6">
        <v>1</v>
      </c>
      <c r="D5" s="6">
        <v>2021</v>
      </c>
      <c r="E5" s="20">
        <v>6034.5</v>
      </c>
      <c r="F5" s="20">
        <v>673.69358844112162</v>
      </c>
      <c r="G5" s="20">
        <v>16.937912207663555</v>
      </c>
      <c r="H5" s="20">
        <v>4.7699999999999996</v>
      </c>
      <c r="I5" s="20">
        <v>16</v>
      </c>
      <c r="J5" s="20">
        <v>20.252375628799999</v>
      </c>
      <c r="K5" s="20">
        <v>14</v>
      </c>
    </row>
    <row r="6" spans="1:13" x14ac:dyDescent="0.25">
      <c r="A6" s="17" t="s">
        <v>32</v>
      </c>
      <c r="B6" s="6">
        <f t="shared" si="0"/>
        <v>5</v>
      </c>
      <c r="C6" s="6">
        <v>1</v>
      </c>
      <c r="D6" s="6">
        <v>2021</v>
      </c>
      <c r="E6" s="20">
        <v>6005.25</v>
      </c>
      <c r="F6" s="20">
        <v>739.84422740373839</v>
      </c>
      <c r="G6" s="20">
        <v>17.857806549439253</v>
      </c>
      <c r="H6" s="20">
        <v>3.129</v>
      </c>
      <c r="I6" s="20">
        <v>18</v>
      </c>
      <c r="J6" s="20">
        <v>19.4764808362</v>
      </c>
      <c r="K6" s="20">
        <v>17</v>
      </c>
    </row>
    <row r="7" spans="1:13" x14ac:dyDescent="0.25">
      <c r="A7" s="17" t="s">
        <v>32</v>
      </c>
      <c r="B7" s="6">
        <f t="shared" si="0"/>
        <v>6</v>
      </c>
      <c r="C7" s="6">
        <v>1</v>
      </c>
      <c r="D7" s="6">
        <v>2021</v>
      </c>
      <c r="E7" s="20">
        <v>6063.75</v>
      </c>
      <c r="F7" s="20">
        <v>750.27491459813086</v>
      </c>
      <c r="G7" s="20">
        <v>21.338905314579442</v>
      </c>
      <c r="H7" s="20">
        <v>0.73199999999999998</v>
      </c>
      <c r="I7" s="20">
        <v>18</v>
      </c>
      <c r="J7" s="20">
        <v>20.5235191638</v>
      </c>
      <c r="K7" s="20">
        <v>27</v>
      </c>
    </row>
    <row r="8" spans="1:13" x14ac:dyDescent="0.25">
      <c r="A8" s="17" t="s">
        <v>32</v>
      </c>
      <c r="B8" s="6">
        <f t="shared" si="0"/>
        <v>7</v>
      </c>
      <c r="C8" s="6">
        <v>1</v>
      </c>
      <c r="D8" s="6">
        <v>2021</v>
      </c>
      <c r="E8" s="20">
        <v>6169.5</v>
      </c>
      <c r="F8" s="20">
        <v>758.63786734392534</v>
      </c>
      <c r="G8" s="20">
        <v>19.352237448411216</v>
      </c>
      <c r="H8" s="20">
        <v>1.018</v>
      </c>
      <c r="I8" s="6">
        <v>25</v>
      </c>
      <c r="J8" s="20">
        <v>19.4916544656</v>
      </c>
      <c r="K8" s="20">
        <v>31</v>
      </c>
    </row>
    <row r="9" spans="1:13" x14ac:dyDescent="0.25">
      <c r="A9" s="17" t="s">
        <v>32</v>
      </c>
      <c r="B9" s="6">
        <f t="shared" si="0"/>
        <v>8</v>
      </c>
      <c r="C9" s="6">
        <v>1</v>
      </c>
      <c r="D9" s="6">
        <v>2021</v>
      </c>
      <c r="E9" s="20">
        <v>6167.25</v>
      </c>
      <c r="F9" s="20">
        <v>730.78456127570098</v>
      </c>
      <c r="G9" s="20">
        <v>18.818607879813086</v>
      </c>
      <c r="H9" s="20">
        <v>0.93700000000000006</v>
      </c>
      <c r="I9" s="6">
        <v>30</v>
      </c>
      <c r="J9" s="20">
        <v>22.9854263547</v>
      </c>
      <c r="K9" s="20">
        <v>37</v>
      </c>
    </row>
    <row r="10" spans="1:13" x14ac:dyDescent="0.25">
      <c r="A10" s="17" t="s">
        <v>32</v>
      </c>
      <c r="B10" s="6">
        <f t="shared" si="0"/>
        <v>9</v>
      </c>
      <c r="C10" s="6">
        <v>1</v>
      </c>
      <c r="D10" s="6">
        <v>2021</v>
      </c>
      <c r="E10" s="20">
        <v>6169.5</v>
      </c>
      <c r="F10" s="20">
        <v>823.89649897570087</v>
      </c>
      <c r="G10" s="20">
        <v>19.439919443177573</v>
      </c>
      <c r="H10" s="20">
        <v>0.80300000000000005</v>
      </c>
      <c r="I10" s="6">
        <v>27</v>
      </c>
      <c r="J10" s="20">
        <v>22.995939707600002</v>
      </c>
      <c r="K10" s="20">
        <v>37</v>
      </c>
    </row>
    <row r="11" spans="1:13" x14ac:dyDescent="0.25">
      <c r="A11" s="17" t="s">
        <v>32</v>
      </c>
      <c r="B11" s="6">
        <f t="shared" si="0"/>
        <v>10</v>
      </c>
      <c r="C11" s="6">
        <v>1</v>
      </c>
      <c r="D11" s="6">
        <v>2021</v>
      </c>
      <c r="E11" s="20">
        <v>5859</v>
      </c>
      <c r="F11" s="20">
        <v>819.1189397476636</v>
      </c>
      <c r="G11" s="20">
        <v>20.379171798224299</v>
      </c>
      <c r="H11" s="20">
        <v>0.69922927940799995</v>
      </c>
      <c r="I11" s="6">
        <v>20</v>
      </c>
      <c r="J11" s="20">
        <v>18.526979472099999</v>
      </c>
      <c r="K11" s="20">
        <v>29</v>
      </c>
    </row>
    <row r="12" spans="1:13" x14ac:dyDescent="0.25">
      <c r="A12" s="17" t="s">
        <v>32</v>
      </c>
      <c r="B12" s="6">
        <f t="shared" si="0"/>
        <v>11</v>
      </c>
      <c r="C12" s="6">
        <v>1</v>
      </c>
      <c r="D12" s="6">
        <v>2021</v>
      </c>
      <c r="E12" s="6">
        <v>6196.5</v>
      </c>
      <c r="F12" s="20">
        <v>874.2925233644861</v>
      </c>
      <c r="G12" s="20">
        <v>18.54523900373832</v>
      </c>
      <c r="H12" s="20">
        <v>4.2407707205899996</v>
      </c>
      <c r="I12" s="20">
        <v>31</v>
      </c>
      <c r="J12" s="20">
        <v>21.473416965399998</v>
      </c>
      <c r="K12" s="20">
        <v>36</v>
      </c>
      <c r="M12" t="s">
        <v>33</v>
      </c>
    </row>
    <row r="13" spans="1:13" x14ac:dyDescent="0.25">
      <c r="A13" s="17" t="s">
        <v>32</v>
      </c>
      <c r="B13" s="6">
        <f t="shared" si="0"/>
        <v>12</v>
      </c>
      <c r="C13" s="6">
        <v>1</v>
      </c>
      <c r="D13" s="6">
        <v>2021</v>
      </c>
      <c r="E13" s="20">
        <v>6084</v>
      </c>
      <c r="F13" s="20">
        <v>958.9990654205609</v>
      </c>
      <c r="G13" s="20">
        <v>21.018567269158879</v>
      </c>
      <c r="H13" s="20">
        <v>2.5369999999999999</v>
      </c>
      <c r="I13" s="20">
        <v>26</v>
      </c>
      <c r="J13" s="20">
        <v>19.526583034600002</v>
      </c>
      <c r="K13" s="20">
        <v>36</v>
      </c>
    </row>
    <row r="14" spans="1:13" x14ac:dyDescent="0.25">
      <c r="A14" s="17" t="s">
        <v>32</v>
      </c>
      <c r="B14" s="6">
        <f t="shared" si="0"/>
        <v>13</v>
      </c>
      <c r="C14" s="6">
        <v>1</v>
      </c>
      <c r="D14" s="6">
        <v>2021</v>
      </c>
      <c r="E14" s="20">
        <v>6034.5</v>
      </c>
      <c r="F14" s="20">
        <v>792.38850929626176</v>
      </c>
      <c r="G14" s="20">
        <v>20.457321465887851</v>
      </c>
      <c r="H14" s="20">
        <v>1.03</v>
      </c>
      <c r="I14" s="20">
        <v>24</v>
      </c>
      <c r="J14" s="20">
        <v>17.470387243699999</v>
      </c>
      <c r="K14" s="20">
        <v>32</v>
      </c>
    </row>
    <row r="15" spans="1:13" x14ac:dyDescent="0.25">
      <c r="A15" s="17" t="s">
        <v>32</v>
      </c>
      <c r="B15" s="6">
        <f t="shared" si="0"/>
        <v>14</v>
      </c>
      <c r="C15" s="6">
        <v>1</v>
      </c>
      <c r="D15" s="6">
        <v>2021</v>
      </c>
      <c r="E15" s="20">
        <v>6021</v>
      </c>
      <c r="F15" s="20">
        <v>711.1526121990654</v>
      </c>
      <c r="G15" s="20">
        <v>23.926952222149534</v>
      </c>
      <c r="H15" s="20">
        <v>0.80300000000000005</v>
      </c>
      <c r="I15" s="20">
        <v>20</v>
      </c>
      <c r="J15" s="20">
        <v>18.529612756300001</v>
      </c>
      <c r="K15" s="20">
        <v>24</v>
      </c>
    </row>
    <row r="16" spans="1:13" x14ac:dyDescent="0.25">
      <c r="A16" s="17" t="s">
        <v>32</v>
      </c>
      <c r="B16" s="6">
        <f t="shared" si="0"/>
        <v>15</v>
      </c>
      <c r="C16" s="6">
        <v>1</v>
      </c>
      <c r="D16" s="6">
        <v>2021</v>
      </c>
      <c r="E16" s="20">
        <v>6050.25</v>
      </c>
      <c r="F16" s="20">
        <v>787.56915887850471</v>
      </c>
      <c r="G16" s="20">
        <v>18.117265742897199</v>
      </c>
      <c r="H16" s="20">
        <v>0.67</v>
      </c>
      <c r="I16" s="20">
        <v>21</v>
      </c>
      <c r="J16" s="20">
        <v>22.4755203753</v>
      </c>
      <c r="K16" s="20">
        <v>32</v>
      </c>
    </row>
    <row r="17" spans="1:11" x14ac:dyDescent="0.25">
      <c r="A17" s="17" t="s">
        <v>32</v>
      </c>
      <c r="B17" s="6">
        <f t="shared" si="0"/>
        <v>16</v>
      </c>
      <c r="C17" s="6">
        <v>1</v>
      </c>
      <c r="D17" s="6">
        <v>2021</v>
      </c>
      <c r="E17" s="20">
        <v>5879.25</v>
      </c>
      <c r="F17" s="20">
        <v>903.53644859813096</v>
      </c>
      <c r="G17" s="20">
        <v>24.6297128</v>
      </c>
      <c r="H17" s="20">
        <v>0.69</v>
      </c>
      <c r="I17" s="20">
        <v>22</v>
      </c>
      <c r="J17" s="20">
        <v>17.014716311099999</v>
      </c>
      <c r="K17" s="20">
        <v>34</v>
      </c>
    </row>
    <row r="18" spans="1:11" x14ac:dyDescent="0.25">
      <c r="A18" s="17" t="s">
        <v>32</v>
      </c>
      <c r="B18" s="6">
        <f t="shared" si="0"/>
        <v>17</v>
      </c>
      <c r="C18" s="6">
        <v>1</v>
      </c>
      <c r="D18" s="6">
        <v>2021</v>
      </c>
      <c r="E18" s="20">
        <v>5604.75</v>
      </c>
      <c r="F18" s="20">
        <v>867.06577062243002</v>
      </c>
      <c r="G18" s="20">
        <v>26.372498669906541</v>
      </c>
      <c r="H18" s="20">
        <v>0.78800000000000003</v>
      </c>
      <c r="I18" s="20">
        <v>22</v>
      </c>
      <c r="J18" s="20">
        <v>17.995426395999999</v>
      </c>
      <c r="K18" s="20">
        <v>18</v>
      </c>
    </row>
    <row r="19" spans="1:11" x14ac:dyDescent="0.25">
      <c r="A19" s="17" t="s">
        <v>32</v>
      </c>
      <c r="B19" s="6">
        <f t="shared" si="0"/>
        <v>18</v>
      </c>
      <c r="C19" s="6">
        <v>1</v>
      </c>
      <c r="D19" s="6">
        <v>2021</v>
      </c>
      <c r="E19" s="20">
        <v>5886</v>
      </c>
      <c r="F19" s="20">
        <v>823.15212350654201</v>
      </c>
      <c r="G19" s="20">
        <v>17.142990654205608</v>
      </c>
      <c r="H19" s="20">
        <v>4.4039999999999999</v>
      </c>
      <c r="I19" s="20">
        <v>22</v>
      </c>
      <c r="J19" s="20">
        <v>18.996184143800001</v>
      </c>
      <c r="K19" s="20">
        <v>23</v>
      </c>
    </row>
    <row r="20" spans="1:11" x14ac:dyDescent="0.25">
      <c r="A20" s="17" t="s">
        <v>32</v>
      </c>
      <c r="B20" s="6">
        <f t="shared" si="0"/>
        <v>19</v>
      </c>
      <c r="C20" s="6">
        <v>1</v>
      </c>
      <c r="D20" s="6">
        <v>2021</v>
      </c>
      <c r="E20" s="20">
        <v>5892.75</v>
      </c>
      <c r="F20" s="20">
        <v>833.83537689906541</v>
      </c>
      <c r="G20" s="20">
        <v>17.142990654205608</v>
      </c>
      <c r="H20" s="20">
        <v>3.2090000000000001</v>
      </c>
      <c r="I20" s="20">
        <v>22</v>
      </c>
      <c r="J20" s="20">
        <v>17.518152773699999</v>
      </c>
      <c r="K20" s="20">
        <v>22</v>
      </c>
    </row>
    <row r="21" spans="1:11" x14ac:dyDescent="0.25">
      <c r="A21" s="17" t="s">
        <v>32</v>
      </c>
      <c r="B21" s="6">
        <f t="shared" si="0"/>
        <v>20</v>
      </c>
      <c r="C21" s="6">
        <v>1</v>
      </c>
      <c r="D21" s="6">
        <v>2021</v>
      </c>
      <c r="E21" s="20">
        <v>5960.25</v>
      </c>
      <c r="F21" s="20">
        <v>727.98494067570107</v>
      </c>
      <c r="G21" s="20">
        <v>14.759200905046729</v>
      </c>
      <c r="H21" s="20">
        <v>0.55500000000000005</v>
      </c>
      <c r="I21" s="20">
        <v>27</v>
      </c>
      <c r="J21" s="20">
        <v>18.478018757299999</v>
      </c>
      <c r="K21" s="20">
        <v>23</v>
      </c>
    </row>
    <row r="22" spans="1:11" x14ac:dyDescent="0.25">
      <c r="A22" s="17" t="s">
        <v>32</v>
      </c>
      <c r="B22" s="6">
        <f t="shared" si="0"/>
        <v>21</v>
      </c>
      <c r="C22" s="6">
        <v>1</v>
      </c>
      <c r="D22" s="6">
        <v>2021</v>
      </c>
      <c r="E22" s="20">
        <v>6034.5</v>
      </c>
      <c r="F22" s="20">
        <v>491.18421820280378</v>
      </c>
      <c r="G22" s="20">
        <v>15.206713693457944</v>
      </c>
      <c r="H22" s="20">
        <v>0.63700000000000001</v>
      </c>
      <c r="I22" s="20">
        <v>20</v>
      </c>
      <c r="J22" s="20">
        <v>19.004032524700001</v>
      </c>
      <c r="K22" s="20">
        <v>31</v>
      </c>
    </row>
    <row r="23" spans="1:11" x14ac:dyDescent="0.25">
      <c r="A23" s="17" t="s">
        <v>32</v>
      </c>
      <c r="B23" s="6">
        <f t="shared" si="0"/>
        <v>22</v>
      </c>
      <c r="C23" s="6">
        <v>1</v>
      </c>
      <c r="D23" s="6">
        <v>2021</v>
      </c>
      <c r="E23" s="20">
        <v>6304.5</v>
      </c>
      <c r="F23" s="20">
        <v>497.14672897196266</v>
      </c>
      <c r="G23" s="20">
        <v>18.62323674093458</v>
      </c>
      <c r="H23" s="20">
        <v>0.70099999999999996</v>
      </c>
      <c r="I23" s="20">
        <v>25</v>
      </c>
      <c r="J23" s="20">
        <v>22.9917575371</v>
      </c>
      <c r="K23" s="20">
        <v>35</v>
      </c>
    </row>
    <row r="24" spans="1:11" x14ac:dyDescent="0.25">
      <c r="A24" s="17" t="s">
        <v>32</v>
      </c>
      <c r="B24" s="6">
        <f t="shared" si="0"/>
        <v>23</v>
      </c>
      <c r="C24" s="6">
        <v>1</v>
      </c>
      <c r="D24" s="6">
        <v>2021</v>
      </c>
      <c r="E24" s="20">
        <v>5976</v>
      </c>
      <c r="F24" s="20">
        <v>709.86923373271031</v>
      </c>
      <c r="G24" s="20">
        <v>18.194680344859815</v>
      </c>
      <c r="H24" s="20">
        <v>0.91900000000000004</v>
      </c>
      <c r="I24" s="20">
        <v>27</v>
      </c>
      <c r="J24" s="20">
        <v>20.0096231335</v>
      </c>
      <c r="K24" s="20">
        <v>29</v>
      </c>
    </row>
    <row r="25" spans="1:11" x14ac:dyDescent="0.25">
      <c r="A25" s="17" t="s">
        <v>32</v>
      </c>
      <c r="B25" s="6">
        <f t="shared" si="0"/>
        <v>24</v>
      </c>
      <c r="C25" s="6">
        <v>1</v>
      </c>
      <c r="D25" s="6">
        <v>2021</v>
      </c>
      <c r="E25" s="20">
        <v>5413.5</v>
      </c>
      <c r="F25" s="20">
        <v>794.68029897757003</v>
      </c>
      <c r="G25" s="20">
        <v>16.35124575598131</v>
      </c>
      <c r="H25" s="20">
        <v>0.70199999999999996</v>
      </c>
      <c r="I25" s="20">
        <v>17</v>
      </c>
      <c r="J25" s="20">
        <v>20.516568047300002</v>
      </c>
      <c r="K25" s="20">
        <v>20</v>
      </c>
    </row>
    <row r="26" spans="1:11" x14ac:dyDescent="0.25">
      <c r="A26" s="17" t="s">
        <v>32</v>
      </c>
      <c r="B26" s="6">
        <f>B25+1</f>
        <v>25</v>
      </c>
      <c r="C26" s="6">
        <v>1</v>
      </c>
      <c r="D26" s="6">
        <v>2021</v>
      </c>
      <c r="E26" s="20">
        <v>5726.25</v>
      </c>
      <c r="F26" s="20">
        <v>796.64485981308417</v>
      </c>
      <c r="G26" s="20">
        <v>21.173888773457946</v>
      </c>
      <c r="H26" s="20">
        <v>4.6980000000000004</v>
      </c>
      <c r="I26" s="20">
        <v>19</v>
      </c>
      <c r="J26" s="20">
        <v>20.4846109175</v>
      </c>
      <c r="K26" s="20">
        <v>24</v>
      </c>
    </row>
    <row r="27" spans="1:11" ht="14.25" customHeight="1" x14ac:dyDescent="0.25">
      <c r="A27" s="17" t="s">
        <v>32</v>
      </c>
      <c r="B27" s="6">
        <f t="shared" si="0"/>
        <v>26</v>
      </c>
      <c r="C27" s="6">
        <v>1</v>
      </c>
      <c r="D27" s="6">
        <v>2021</v>
      </c>
      <c r="E27" s="20">
        <v>5865.75</v>
      </c>
      <c r="F27" s="20">
        <v>773.42913130373847</v>
      </c>
      <c r="G27" s="20">
        <v>24.982158563925235</v>
      </c>
      <c r="H27" s="20">
        <v>3.661</v>
      </c>
      <c r="I27" s="20">
        <v>28</v>
      </c>
      <c r="J27" s="20">
        <v>20.995752505700001</v>
      </c>
      <c r="K27" s="20">
        <v>27</v>
      </c>
    </row>
    <row r="28" spans="1:11" x14ac:dyDescent="0.25">
      <c r="A28" s="17" t="s">
        <v>32</v>
      </c>
      <c r="B28" s="6">
        <f t="shared" si="0"/>
        <v>27</v>
      </c>
      <c r="C28" s="6">
        <v>1</v>
      </c>
      <c r="D28" s="6">
        <v>2021</v>
      </c>
      <c r="E28" s="20">
        <v>5852.25</v>
      </c>
      <c r="F28" s="20">
        <v>754.31385935046728</v>
      </c>
      <c r="G28" s="20">
        <v>18.969550124018696</v>
      </c>
      <c r="H28" s="20">
        <v>0.66900000000000004</v>
      </c>
      <c r="I28" s="20">
        <v>22</v>
      </c>
      <c r="J28" s="20">
        <v>21.004538885799999</v>
      </c>
      <c r="K28" s="20">
        <v>25</v>
      </c>
    </row>
    <row r="29" spans="1:11" x14ac:dyDescent="0.25">
      <c r="A29" s="17" t="s">
        <v>32</v>
      </c>
      <c r="B29" s="6">
        <f t="shared" si="0"/>
        <v>28</v>
      </c>
      <c r="C29" s="6">
        <v>1</v>
      </c>
      <c r="D29" s="6">
        <v>2021</v>
      </c>
      <c r="E29" s="20">
        <v>6228</v>
      </c>
      <c r="F29" s="20">
        <v>528.61204958317762</v>
      </c>
      <c r="G29" s="20">
        <v>22.160820425233648</v>
      </c>
      <c r="H29" s="20">
        <v>0.78600000000000003</v>
      </c>
      <c r="I29" s="20">
        <v>21</v>
      </c>
      <c r="J29" s="20">
        <v>18.857165679600001</v>
      </c>
      <c r="K29" s="20">
        <v>31</v>
      </c>
    </row>
    <row r="30" spans="1:11" x14ac:dyDescent="0.25">
      <c r="A30" s="17" t="s">
        <v>32</v>
      </c>
      <c r="B30" s="6">
        <f t="shared" si="0"/>
        <v>29</v>
      </c>
      <c r="C30" s="6">
        <v>1</v>
      </c>
      <c r="D30" s="6">
        <v>2021</v>
      </c>
      <c r="E30" s="20">
        <v>6313.5</v>
      </c>
      <c r="F30" s="47">
        <v>490.00722572803744</v>
      </c>
      <c r="G30" s="47">
        <v>25.472083061308414</v>
      </c>
      <c r="H30" s="20">
        <v>0.61199999999999999</v>
      </c>
      <c r="I30" s="20">
        <v>25</v>
      </c>
      <c r="J30" s="20">
        <v>23.168078572799999</v>
      </c>
      <c r="K30" s="20">
        <v>46</v>
      </c>
    </row>
    <row r="31" spans="1:11" x14ac:dyDescent="0.25">
      <c r="A31" s="17" t="s">
        <v>32</v>
      </c>
      <c r="B31" s="6">
        <f t="shared" si="0"/>
        <v>30</v>
      </c>
      <c r="C31" s="6">
        <v>1</v>
      </c>
      <c r="D31" s="6">
        <v>2021</v>
      </c>
      <c r="E31" s="20">
        <v>6277.5</v>
      </c>
      <c r="F31" s="47">
        <v>560.55268730560749</v>
      </c>
      <c r="G31" s="47">
        <v>27.375424900841121</v>
      </c>
      <c r="H31" s="20">
        <v>0.98599999999999999</v>
      </c>
      <c r="J31" s="20">
        <v>22.976489115500002</v>
      </c>
      <c r="K31" s="20">
        <v>30</v>
      </c>
    </row>
    <row r="32" spans="1:11" x14ac:dyDescent="0.25">
      <c r="A32" s="17" t="s">
        <v>32</v>
      </c>
      <c r="B32" s="6">
        <f t="shared" si="0"/>
        <v>31</v>
      </c>
      <c r="C32" s="6">
        <v>1</v>
      </c>
      <c r="D32" s="6">
        <v>2021</v>
      </c>
      <c r="E32" s="20">
        <v>5877</v>
      </c>
      <c r="K32" s="20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5" x14ac:dyDescent="0.25"/>
  <cols>
    <col min="1" max="1" width="14" customWidth="1"/>
    <col min="2" max="2" width="2" customWidth="1"/>
    <col min="3" max="3" width="11.85546875" style="6" customWidth="1"/>
    <col min="4" max="4" width="13.5703125" style="13" customWidth="1"/>
    <col min="5" max="5" width="13.85546875" customWidth="1"/>
    <col min="6" max="6" width="13.85546875" style="16" customWidth="1"/>
    <col min="7" max="7" width="14.85546875" customWidth="1"/>
    <col min="8" max="8" width="14.85546875" style="6" customWidth="1"/>
    <col min="9" max="9" width="2.140625" style="9" customWidth="1"/>
    <col min="10" max="10" width="10.42578125" style="6" customWidth="1"/>
    <col min="11" max="11" width="14.140625" customWidth="1"/>
    <col min="12" max="12" width="8.85546875" customWidth="1"/>
    <col min="13" max="13" width="13.85546875" customWidth="1"/>
    <col min="14" max="14" width="8.85546875" customWidth="1"/>
    <col min="15" max="15" width="12.5703125" customWidth="1"/>
    <col min="16" max="17" width="13" style="20" customWidth="1"/>
  </cols>
  <sheetData>
    <row r="1" spans="1:17" ht="10.5" customHeight="1" thickBot="1" x14ac:dyDescent="0.55000000000000004">
      <c r="A1" s="1"/>
      <c r="B1" s="42"/>
      <c r="C1" s="1"/>
      <c r="D1" s="11"/>
      <c r="E1" s="1"/>
      <c r="F1" s="14"/>
      <c r="G1" s="1"/>
      <c r="H1" s="1"/>
      <c r="I1" s="43"/>
      <c r="J1" s="32"/>
      <c r="K1" s="33"/>
      <c r="L1" s="33"/>
      <c r="M1" s="33"/>
      <c r="N1" s="33"/>
      <c r="O1" s="33"/>
      <c r="P1" s="21"/>
      <c r="Q1" s="21"/>
    </row>
    <row r="2" spans="1:17" ht="35.25" customHeight="1" thickBot="1" x14ac:dyDescent="0.3">
      <c r="A2" s="19" t="s">
        <v>15</v>
      </c>
      <c r="B2" s="42"/>
      <c r="C2" s="36" t="s">
        <v>22</v>
      </c>
      <c r="D2" s="37"/>
      <c r="E2" s="46" t="s">
        <v>23</v>
      </c>
      <c r="F2" s="46"/>
      <c r="G2" s="46" t="s">
        <v>24</v>
      </c>
      <c r="H2" s="46"/>
      <c r="I2" s="44"/>
      <c r="J2" s="34" t="s">
        <v>27</v>
      </c>
      <c r="K2" s="35"/>
      <c r="L2" s="38" t="s">
        <v>28</v>
      </c>
      <c r="M2" s="38"/>
      <c r="N2" s="38" t="s">
        <v>29</v>
      </c>
      <c r="O2" s="38"/>
      <c r="P2" s="10"/>
      <c r="Q2" s="10"/>
    </row>
    <row r="3" spans="1:17" ht="44.25" customHeight="1" x14ac:dyDescent="0.25">
      <c r="A3" s="2" t="s">
        <v>0</v>
      </c>
      <c r="B3" s="42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44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25">
      <c r="A4" s="7">
        <v>43555</v>
      </c>
      <c r="B4" s="42"/>
      <c r="C4" s="18">
        <v>22342913</v>
      </c>
      <c r="D4" s="39">
        <f>IF((C5-C4&lt;0), "",C5-C4)</f>
        <v>7975</v>
      </c>
      <c r="E4" s="18">
        <v>23837512</v>
      </c>
      <c r="F4" s="40">
        <f>IF((E5-E4&lt;0), "",E5-E4)</f>
        <v>5799</v>
      </c>
      <c r="G4" s="18">
        <v>9975816</v>
      </c>
      <c r="H4" s="39">
        <f>IF((G5-G4&lt;0), "",G5-G4)</f>
        <v>3477</v>
      </c>
      <c r="I4" s="44"/>
      <c r="J4" s="18"/>
      <c r="K4" s="39">
        <v>0</v>
      </c>
      <c r="L4" s="18"/>
      <c r="M4" s="39">
        <v>0</v>
      </c>
      <c r="N4" s="18">
        <v>75776</v>
      </c>
      <c r="O4" s="39">
        <f>IF((N5-N4&lt;0), "",N5-N4)</f>
        <v>33</v>
      </c>
      <c r="P4" s="23"/>
      <c r="Q4" s="23"/>
    </row>
    <row r="5" spans="1:17" ht="33" customHeight="1" x14ac:dyDescent="0.25">
      <c r="A5" s="7">
        <v>43556</v>
      </c>
      <c r="B5" s="42"/>
      <c r="C5" s="18">
        <v>22350888</v>
      </c>
      <c r="D5" s="39"/>
      <c r="E5" s="18">
        <v>23843311</v>
      </c>
      <c r="F5" s="41"/>
      <c r="G5" s="18">
        <v>9979293</v>
      </c>
      <c r="H5" s="39"/>
      <c r="I5" s="44"/>
      <c r="J5" s="18">
        <v>0</v>
      </c>
      <c r="K5" s="39"/>
      <c r="L5" s="18">
        <v>0</v>
      </c>
      <c r="M5" s="39"/>
      <c r="N5" s="18">
        <v>75809</v>
      </c>
      <c r="O5" s="39"/>
      <c r="P5" s="23"/>
      <c r="Q5" s="23"/>
    </row>
    <row r="6" spans="1:17" ht="45" customHeight="1" x14ac:dyDescent="0.3">
      <c r="A6" s="7">
        <v>43557</v>
      </c>
      <c r="B6" s="42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5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">
      <c r="A7" s="7">
        <v>43558</v>
      </c>
      <c r="B7" s="42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44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">
      <c r="A8" s="7">
        <v>43559</v>
      </c>
      <c r="B8" s="42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44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">
      <c r="A9" s="7">
        <v>43560</v>
      </c>
      <c r="B9" s="42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44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">
      <c r="A10" s="7">
        <v>43561</v>
      </c>
      <c r="B10" s="42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44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">
      <c r="A11" s="7">
        <v>43562</v>
      </c>
      <c r="B11" s="42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44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">
      <c r="A12" s="7">
        <v>43563</v>
      </c>
      <c r="B12" s="42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44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">
      <c r="A13" s="7">
        <v>43564</v>
      </c>
      <c r="B13" s="42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44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">
      <c r="A14" s="7">
        <v>43565</v>
      </c>
      <c r="B14" s="42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44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">
      <c r="A15" s="7">
        <v>43566</v>
      </c>
      <c r="B15" s="42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44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">
      <c r="A16" s="7">
        <v>43567</v>
      </c>
      <c r="B16" s="42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44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">
      <c r="A17" s="7">
        <v>43568</v>
      </c>
      <c r="B17" s="42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44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">
      <c r="A18" s="7">
        <v>43569</v>
      </c>
      <c r="B18" s="42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44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">
      <c r="A19" s="7">
        <v>43570</v>
      </c>
      <c r="B19" s="42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44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">
      <c r="A20" s="7">
        <v>43571</v>
      </c>
      <c r="B20" s="42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44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">
      <c r="A21" s="7">
        <v>43572</v>
      </c>
      <c r="B21" s="42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44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">
      <c r="A22" s="7">
        <v>43573</v>
      </c>
      <c r="B22" s="42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44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">
      <c r="A23" s="7">
        <v>43574</v>
      </c>
      <c r="B23" s="42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44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">
      <c r="A24" s="7">
        <v>43575</v>
      </c>
      <c r="B24" s="42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44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">
      <c r="A25" s="7">
        <v>43576</v>
      </c>
      <c r="B25" s="42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44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">
      <c r="A26" s="7">
        <v>43577</v>
      </c>
      <c r="B26" s="42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44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">
      <c r="A27" s="7">
        <v>43578</v>
      </c>
      <c r="B27" s="42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44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">
      <c r="A28" s="7">
        <v>43579</v>
      </c>
      <c r="B28" s="42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44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">
      <c r="A29" s="7">
        <v>43580</v>
      </c>
      <c r="B29" s="42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44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">
      <c r="A30" s="7">
        <v>43581</v>
      </c>
      <c r="B30" s="42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5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">
      <c r="A31" s="7">
        <v>43582</v>
      </c>
      <c r="B31" s="42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5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">
      <c r="A32" s="7">
        <v>43583</v>
      </c>
      <c r="B32" s="42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5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B1:B32"/>
    <mergeCell ref="I1:I32"/>
    <mergeCell ref="E2:F2"/>
    <mergeCell ref="G2:H2"/>
    <mergeCell ref="D4:D5"/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2021-02-01T07:53:20Z</dcterms:modified>
</cp:coreProperties>
</file>