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esktop\"/>
    </mc:Choice>
  </mc:AlternateContent>
  <bookViews>
    <workbookView xWindow="0" yWindow="0" windowWidth="2370" windowHeight="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U34" i="4" l="1"/>
  <c r="B34" i="4"/>
  <c r="Q6" i="1" l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I4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6" i="4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6" i="4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6" i="4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C4" i="1" l="1"/>
  <c r="N94" i="10"/>
  <c r="I5" i="1" l="1"/>
  <c r="H6" i="1"/>
  <c r="B6" i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B7" i="1"/>
  <c r="C6" i="1"/>
  <c r="I6" i="1"/>
  <c r="H7" i="1"/>
  <c r="D31" i="4"/>
  <c r="C32" i="5"/>
  <c r="C31" i="5"/>
  <c r="I7" i="1" l="1"/>
  <c r="H8" i="1"/>
  <c r="B8" i="1"/>
  <c r="C7" i="1"/>
  <c r="J32" i="11"/>
  <c r="J11" i="11"/>
  <c r="K11" i="11" s="1"/>
  <c r="I3" i="11"/>
  <c r="I4" i="11"/>
  <c r="I6" i="11"/>
  <c r="I7" i="11"/>
  <c r="I8" i="11"/>
  <c r="I9" i="11"/>
  <c r="I10" i="11"/>
  <c r="I12" i="11"/>
  <c r="B9" i="1" l="1"/>
  <c r="C8" i="1"/>
  <c r="H9" i="1"/>
  <c r="I8" i="1"/>
  <c r="G25" i="3"/>
  <c r="H10" i="1" l="1"/>
  <c r="I9" i="1"/>
  <c r="B10" i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Q33" i="1"/>
  <c r="R33" i="1" s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H11" i="1" l="1"/>
  <c r="I10" i="1"/>
  <c r="B11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D28" i="4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C33" i="4"/>
  <c r="D32" i="4"/>
  <c r="W25" i="4"/>
  <c r="F25" i="4"/>
  <c r="T30" i="8" l="1"/>
  <c r="J31" i="1"/>
  <c r="H33" i="1"/>
  <c r="I33" i="1" s="1"/>
  <c r="I32" i="1"/>
  <c r="D33" i="4"/>
  <c r="J26" i="1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D15" i="4"/>
  <c r="W14" i="4"/>
  <c r="S14" i="4"/>
  <c r="Q14" i="4"/>
  <c r="O14" i="4"/>
  <c r="M14" i="4"/>
  <c r="K14" i="4"/>
  <c r="H14" i="4"/>
  <c r="F14" i="4"/>
  <c r="D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8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D8" i="1"/>
  <c r="R8" i="8"/>
  <c r="D10" i="1"/>
  <c r="G2" i="9"/>
  <c r="AB2" i="8"/>
  <c r="AC2" i="8"/>
  <c r="S18" i="2"/>
  <c r="S19" i="2"/>
  <c r="D8" i="4"/>
  <c r="Q7" i="8" s="1"/>
  <c r="K8" i="2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K26" i="11" s="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J8" i="1"/>
  <c r="O7" i="1"/>
  <c r="U6" i="8" s="1"/>
  <c r="O6" i="1"/>
  <c r="S8" i="2"/>
  <c r="D7" i="4"/>
  <c r="Q6" i="8" s="1"/>
  <c r="J6" i="8"/>
  <c r="K8" i="4"/>
  <c r="K7" i="8" s="1"/>
  <c r="O8" i="4"/>
  <c r="M7" i="8" s="1"/>
  <c r="O9" i="1"/>
  <c r="P9" i="1" s="1"/>
  <c r="O8" i="1"/>
  <c r="U7" i="8" s="1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H8" i="4"/>
  <c r="L8" i="1"/>
  <c r="G8" i="9"/>
  <c r="G7" i="9"/>
  <c r="W8" i="4"/>
  <c r="P7" i="8" s="1"/>
  <c r="R7" i="1"/>
  <c r="R8" i="1"/>
  <c r="S8" i="1" s="1"/>
  <c r="W9" i="4"/>
  <c r="S8" i="4"/>
  <c r="O7" i="8" s="1"/>
  <c r="Q8" i="4"/>
  <c r="M8" i="4"/>
  <c r="L7" i="8" s="1"/>
  <c r="S9" i="4"/>
  <c r="O8" i="8" s="1"/>
  <c r="M9" i="4"/>
  <c r="L8" i="8" s="1"/>
  <c r="K9" i="4"/>
  <c r="K8" i="8" s="1"/>
  <c r="F8" i="1"/>
  <c r="G8" i="1" s="1"/>
  <c r="F9" i="4"/>
  <c r="I8" i="8" s="1"/>
  <c r="F8" i="4"/>
  <c r="I7" i="8" s="1"/>
  <c r="R9" i="1"/>
  <c r="Q8" i="2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C8" i="2"/>
  <c r="E8" i="2"/>
  <c r="G8" i="2"/>
  <c r="I8" i="2"/>
  <c r="M8" i="2"/>
  <c r="O8" i="2"/>
  <c r="AB7" i="8" s="1"/>
  <c r="C5" i="2"/>
  <c r="E6" i="3"/>
  <c r="E7" i="3"/>
  <c r="F6" i="8" s="1"/>
  <c r="G6" i="3"/>
  <c r="E8" i="3"/>
  <c r="F7" i="8" s="1"/>
  <c r="U6" i="2"/>
  <c r="U7" i="2"/>
  <c r="U9" i="2"/>
  <c r="C9" i="2"/>
  <c r="M10" i="2"/>
  <c r="M9" i="2"/>
  <c r="E9" i="3"/>
  <c r="F8" i="8" s="1"/>
  <c r="I7" i="3"/>
  <c r="H6" i="8" s="1"/>
  <c r="G9" i="3"/>
  <c r="G8" i="8" s="1"/>
  <c r="G8" i="3"/>
  <c r="G7" i="8" s="1"/>
  <c r="G7" i="3"/>
  <c r="G6" i="8" s="1"/>
  <c r="E5" i="8"/>
  <c r="I8" i="3"/>
  <c r="H7" i="8" s="1"/>
  <c r="E6" i="8"/>
  <c r="E7" i="8"/>
  <c r="C10" i="3"/>
  <c r="E9" i="8" s="1"/>
  <c r="C11" i="3"/>
  <c r="E10" i="8" s="1"/>
  <c r="C9" i="3"/>
  <c r="E11" i="3"/>
  <c r="U8" i="2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Q13" i="8"/>
  <c r="K14" i="8"/>
  <c r="Q14" i="8"/>
  <c r="D16" i="4"/>
  <c r="Q15" i="8" s="1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D17" i="4"/>
  <c r="Q16" i="8" s="1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D20" i="4"/>
  <c r="Q19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D29" i="4"/>
  <c r="Q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D30" i="4"/>
  <c r="Q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D21" i="4"/>
  <c r="Q20" i="8" s="1"/>
  <c r="D22" i="4"/>
  <c r="Q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D23" i="4"/>
  <c r="Q22" i="8" s="1"/>
  <c r="O25" i="2"/>
  <c r="AB24" i="8" s="1"/>
  <c r="O24" i="2"/>
  <c r="AB23" i="8" s="1"/>
  <c r="M25" i="2"/>
  <c r="I25" i="2"/>
  <c r="I26" i="2"/>
  <c r="D24" i="4"/>
  <c r="Q23" i="8" s="1"/>
  <c r="D25" i="4"/>
  <c r="Q24" i="8" s="1"/>
  <c r="D26" i="4"/>
  <c r="Q25" i="8" s="1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D27" i="4"/>
  <c r="Q26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Q27" i="8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P8" i="1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8" i="4"/>
  <c r="Z22" i="4"/>
  <c r="X22" i="4"/>
  <c r="X10" i="4"/>
  <c r="I10" i="4"/>
  <c r="I8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D11" i="4"/>
  <c r="Q10" i="8" s="1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D19" i="4"/>
  <c r="Q18" i="8" s="1"/>
  <c r="D18" i="4"/>
  <c r="Q17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I6" i="4"/>
  <c r="K9" i="2"/>
  <c r="Z2" i="8"/>
  <c r="G21" i="1"/>
  <c r="J10" i="8"/>
  <c r="W2" i="8"/>
  <c r="N7" i="8"/>
  <c r="X8" i="4"/>
  <c r="S7" i="1"/>
  <c r="W6" i="8"/>
  <c r="M8" i="1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T8" i="1"/>
  <c r="U8" i="1" s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8" i="3"/>
  <c r="K8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C5" i="11"/>
  <c r="D5" i="11" s="1"/>
  <c r="C6" i="11"/>
  <c r="D6" i="11" s="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E15" i="9" s="1"/>
  <c r="Z12" i="4"/>
  <c r="J17" i="3"/>
  <c r="K17" i="3" s="1"/>
  <c r="Y9" i="4"/>
  <c r="Y8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C7" i="11"/>
  <c r="D7" i="11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34" i="2" s="1"/>
  <c r="I13" i="2"/>
  <c r="D12" i="4"/>
  <c r="D13" i="4"/>
  <c r="Q12" i="8" s="1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8" i="4"/>
  <c r="AA7" i="4"/>
  <c r="Y7" i="8"/>
  <c r="E7" i="9" s="1"/>
  <c r="G11" i="2"/>
  <c r="Y14" i="8"/>
  <c r="E14" i="9" s="1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K34" i="4" l="1"/>
  <c r="D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E16" i="9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Q11" i="8"/>
  <c r="Y11" i="4"/>
  <c r="G12" i="2"/>
  <c r="G34" i="2" s="1"/>
  <c r="G13" i="2"/>
  <c r="Z12" i="8" s="1"/>
  <c r="AA12" i="4"/>
  <c r="K18" i="8"/>
  <c r="X19" i="4"/>
  <c r="M17" i="8"/>
  <c r="Z19" i="4"/>
  <c r="Y13" i="4"/>
  <c r="Y10" i="8"/>
  <c r="V18" i="8"/>
  <c r="M19" i="1"/>
  <c r="M18" i="1"/>
  <c r="M34" i="1" s="1"/>
  <c r="V17" i="8"/>
  <c r="Z34" i="4" l="1"/>
  <c r="C30" i="1"/>
  <c r="R29" i="8" s="1"/>
  <c r="J17" i="8"/>
  <c r="Y17" i="8" s="1"/>
  <c r="E17" i="9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E10" i="9" s="1"/>
  <c r="X34" i="4"/>
  <c r="AA34" i="4" l="1"/>
  <c r="D30" i="1"/>
  <c r="T30" i="1"/>
  <c r="U30" i="1" s="1"/>
  <c r="C31" i="1"/>
  <c r="E11" i="9"/>
  <c r="J18" i="8"/>
  <c r="Y18" i="8" s="1"/>
  <c r="E18" i="9" s="1"/>
  <c r="I19" i="4"/>
  <c r="Y19" i="4" s="1"/>
  <c r="H20" i="4"/>
  <c r="K22" i="2"/>
  <c r="AA21" i="8" s="1"/>
  <c r="K23" i="2"/>
  <c r="AA13" i="8"/>
  <c r="E13" i="9" s="1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E19" i="9" s="1"/>
  <c r="I20" i="4"/>
  <c r="Y20" i="4" s="1"/>
  <c r="H21" i="4"/>
  <c r="AA12" i="8"/>
  <c r="E12" i="9" s="1"/>
  <c r="D33" i="1" l="1"/>
  <c r="T33" i="1"/>
  <c r="U33" i="1" s="1"/>
  <c r="D32" i="1"/>
  <c r="R31" i="8"/>
  <c r="T32" i="1"/>
  <c r="U32" i="1" s="1"/>
  <c r="I21" i="4"/>
  <c r="Y21" i="4" s="1"/>
  <c r="J20" i="8"/>
  <c r="Y20" i="8" s="1"/>
  <c r="E20" i="9" s="1"/>
  <c r="H22" i="4"/>
  <c r="I22" i="4" l="1"/>
  <c r="Y22" i="4" s="1"/>
  <c r="J21" i="8"/>
  <c r="Y21" i="8" s="1"/>
  <c r="E21" i="9" s="1"/>
  <c r="H24" i="4" l="1"/>
  <c r="I23" i="4"/>
  <c r="Y23" i="4" s="1"/>
  <c r="J22" i="8"/>
  <c r="Y22" i="8" s="1"/>
  <c r="E22" i="9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E23" i="9" s="1"/>
  <c r="I25" i="4"/>
  <c r="Y25" i="4" s="1"/>
  <c r="I24" i="8"/>
  <c r="Y24" i="8" s="1"/>
  <c r="E24" i="9" s="1"/>
  <c r="F27" i="4"/>
  <c r="I24" i="4"/>
  <c r="Y24" i="4" s="1"/>
  <c r="F26" i="4"/>
  <c r="I27" i="4" l="1"/>
  <c r="Y27" i="4" s="1"/>
  <c r="I26" i="8"/>
  <c r="Y26" i="8" s="1"/>
  <c r="E26" i="9" s="1"/>
  <c r="I26" i="4"/>
  <c r="Y26" i="4" s="1"/>
  <c r="I25" i="8"/>
  <c r="Y25" i="8" s="1"/>
  <c r="E25" i="9" s="1"/>
  <c r="F28" i="4"/>
  <c r="F29" i="4" l="1"/>
  <c r="F31" i="4"/>
  <c r="I28" i="4"/>
  <c r="Y28" i="4" s="1"/>
  <c r="I27" i="8"/>
  <c r="Y27" i="8" s="1"/>
  <c r="E27" i="9" s="1"/>
  <c r="F30" i="4" l="1"/>
  <c r="F34" i="4" s="1"/>
  <c r="I28" i="8"/>
  <c r="Y28" i="8" s="1"/>
  <c r="E28" i="9" s="1"/>
  <c r="I29" i="4"/>
  <c r="Y29" i="4" s="1"/>
  <c r="I29" i="8" l="1"/>
  <c r="Y29" i="8" s="1"/>
  <c r="E29" i="9" s="1"/>
  <c r="I30" i="4"/>
  <c r="Y30" i="4" s="1"/>
  <c r="I31" i="4" l="1"/>
  <c r="Y31" i="4" l="1"/>
  <c r="Y34" i="4" s="1"/>
  <c r="I34" i="4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<sst xmlns="http://schemas.openxmlformats.org/spreadsheetml/2006/main" count="447" uniqueCount="144">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</sst>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5">
        <v>0</v>
      </c>
      <c r="G5" s="47">
        <f>Gas!C6*0.9147</f>
        <v>0</v>
      </c>
      <c r="H5" s="15">
        <v>0</v>
      </c>
      <c r="I5" s="47">
        <v>0</v>
      </c>
      <c r="J5" s="48">
        <v>0</v>
      </c>
      <c r="K5" s="47">
        <f>ELECT.!B6</f>
        <v>0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5">
        <v>0</v>
      </c>
      <c r="G6" s="47">
        <f>Gas!C7*0.9147</f>
        <v>0</v>
      </c>
      <c r="H6" s="15">
        <v>0</v>
      </c>
      <c r="I6" s="47">
        <v>0</v>
      </c>
      <c r="J6" s="48">
        <v>0</v>
      </c>
      <c r="K6" s="47">
        <f>ELECT.!B7</f>
        <v>0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5">
        <v>0</v>
      </c>
      <c r="G7" s="47">
        <f>Gas!C8*0.9147</f>
        <v>0</v>
      </c>
      <c r="H7" s="15">
        <v>0</v>
      </c>
      <c r="I7" s="47">
        <v>0</v>
      </c>
      <c r="J7" s="48">
        <v>0</v>
      </c>
      <c r="K7" s="47">
        <f>ELECT.!B8</f>
        <v>0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5">
        <v>0</v>
      </c>
      <c r="G8" s="47">
        <f>Gas!C9*0.9147</f>
        <v>0</v>
      </c>
      <c r="H8" s="15">
        <v>0</v>
      </c>
      <c r="I8" s="47">
        <v>0</v>
      </c>
      <c r="J8" s="48">
        <v>0</v>
      </c>
      <c r="K8" s="47">
        <f>ELECT.!B9</f>
        <v>0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5">
        <v>0</v>
      </c>
      <c r="G9" s="47">
        <f>Gas!C10*0.9147</f>
        <v>0</v>
      </c>
      <c r="H9" s="15">
        <v>0</v>
      </c>
      <c r="I9" s="47">
        <v>0</v>
      </c>
      <c r="J9" s="48">
        <v>0</v>
      </c>
      <c r="K9" s="47">
        <f>ELECT.!B10</f>
        <v>0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5">
        <v>0</v>
      </c>
      <c r="G10" s="47">
        <f>Gas!C11*0.9147</f>
        <v>0</v>
      </c>
      <c r="H10" s="15">
        <v>0</v>
      </c>
      <c r="I10" s="47">
        <v>0</v>
      </c>
      <c r="J10" s="48">
        <v>0</v>
      </c>
      <c r="K10" s="47">
        <f>ELECT.!B11</f>
        <v>0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5">
        <v>0</v>
      </c>
      <c r="G11" s="47">
        <f>Gas!C12*0.9147</f>
        <v>0</v>
      </c>
      <c r="H11" s="15">
        <v>0</v>
      </c>
      <c r="I11" s="47">
        <v>0</v>
      </c>
      <c r="J11" s="48">
        <v>0</v>
      </c>
      <c r="K11" s="47">
        <f>ELECT.!B12</f>
        <v>0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0</v>
      </c>
      <c r="F5" s="47">
        <f>Water!E6</f>
        <v>0</v>
      </c>
      <c r="G5" s="47">
        <f>Water!G6</f>
        <v>0</v>
      </c>
      <c r="H5" s="47">
        <f>Water!I6</f>
        <v>0</v>
      </c>
      <c r="I5" s="47">
        <f>ELECT.!F6</f>
        <v>0</v>
      </c>
      <c r="J5" s="47">
        <f>ELECT.!H6</f>
        <v>0</v>
      </c>
      <c r="K5" s="47">
        <f>ELECT.!K6</f>
        <v>0</v>
      </c>
      <c r="L5" s="47">
        <f>ELECT.!M6</f>
        <v>0</v>
      </c>
      <c r="M5" s="47">
        <f>ELECT.!O6</f>
        <v>0</v>
      </c>
      <c r="N5" s="47">
        <f>ELECT.!Q6</f>
        <v>0</v>
      </c>
      <c r="O5" s="47">
        <f>ELECT.!S6</f>
        <v>0</v>
      </c>
      <c r="P5" s="47">
        <f>ELECT.!W6*2</f>
        <v>0</v>
      </c>
      <c r="Q5" s="47">
        <f>ELECT.!D6</f>
        <v>0</v>
      </c>
      <c r="R5" s="48">
        <f>BTU!C6</f>
        <v>0</v>
      </c>
      <c r="S5" s="48">
        <f>BTU!F6</f>
        <v>0</v>
      </c>
      <c r="T5" s="48">
        <f>BTU!I6</f>
        <v>0</v>
      </c>
      <c r="U5" s="48">
        <f>BTU!O6</f>
        <v>0</v>
      </c>
      <c r="V5" s="48">
        <f>BTU!L6</f>
        <v>0</v>
      </c>
      <c r="W5" s="48">
        <f>BTU!R6</f>
        <v>0</v>
      </c>
      <c r="X5" s="45">
        <f>ELECT.!B6</f>
        <v>0</v>
      </c>
      <c r="Y5" s="45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5">
        <f t="shared" si="1"/>
        <v>-25.569199999999999</v>
      </c>
      <c r="AE5" s="45">
        <f t="shared" si="2"/>
        <v>-168.4308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0</v>
      </c>
      <c r="F6" s="47">
        <f>Water!E7</f>
        <v>0</v>
      </c>
      <c r="G6" s="47">
        <f>Water!G7</f>
        <v>0</v>
      </c>
      <c r="H6" s="47">
        <f>Water!I7</f>
        <v>0</v>
      </c>
      <c r="I6" s="47">
        <f>ELECT.!F7</f>
        <v>0</v>
      </c>
      <c r="J6" s="47">
        <f>ELECT.!H7</f>
        <v>0</v>
      </c>
      <c r="K6" s="47">
        <f>ELECT.!K7</f>
        <v>0</v>
      </c>
      <c r="L6" s="47">
        <f>ELECT.!M7</f>
        <v>0</v>
      </c>
      <c r="M6" s="47">
        <f>ELECT.!O7</f>
        <v>0</v>
      </c>
      <c r="N6" s="47">
        <f>ELECT.!Q7</f>
        <v>0</v>
      </c>
      <c r="O6" s="47">
        <f>ELECT.!S7</f>
        <v>0</v>
      </c>
      <c r="P6" s="47">
        <f>ELECT.!W7*2</f>
        <v>0</v>
      </c>
      <c r="Q6" s="47">
        <f>ELECT.!D7</f>
        <v>0</v>
      </c>
      <c r="R6" s="48">
        <f>BTU!C7</f>
        <v>0</v>
      </c>
      <c r="S6" s="48">
        <f>BTU!F7</f>
        <v>0</v>
      </c>
      <c r="T6" s="48">
        <f>BTU!I7</f>
        <v>0</v>
      </c>
      <c r="U6" s="48">
        <f>BTU!O7</f>
        <v>0</v>
      </c>
      <c r="V6" s="48">
        <f>BTU!L7</f>
        <v>0</v>
      </c>
      <c r="W6" s="48">
        <f>BTU!R7</f>
        <v>0</v>
      </c>
      <c r="X6" s="45">
        <f>ELECT.!B7</f>
        <v>0</v>
      </c>
      <c r="Y6" s="45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5">
        <f t="shared" si="1"/>
        <v>-25.569199999999999</v>
      </c>
      <c r="AE6" s="45">
        <f t="shared" si="2"/>
        <v>-168.4308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>
        <f>ELECT.!F8</f>
        <v>0</v>
      </c>
      <c r="J7" s="47">
        <f>ELECT.!H8</f>
        <v>0</v>
      </c>
      <c r="K7" s="47">
        <f>ELECT.!K8</f>
        <v>0</v>
      </c>
      <c r="L7" s="47">
        <f>ELECT.!M8</f>
        <v>0</v>
      </c>
      <c r="M7" s="47">
        <f>ELECT.!O8</f>
        <v>0</v>
      </c>
      <c r="N7" s="47">
        <f>ELECT.!Q8</f>
        <v>0</v>
      </c>
      <c r="O7" s="47">
        <f>ELECT.!S8</f>
        <v>0</v>
      </c>
      <c r="P7" s="47">
        <f>ELECT.!W8*2</f>
        <v>0</v>
      </c>
      <c r="Q7" s="47">
        <f>ELECT.!D8</f>
        <v>0</v>
      </c>
      <c r="R7" s="48">
        <f>BTU!C8</f>
        <v>0</v>
      </c>
      <c r="S7" s="48">
        <f>BTU!F8</f>
        <v>0</v>
      </c>
      <c r="T7" s="48">
        <f>BTU!I8</f>
        <v>0</v>
      </c>
      <c r="U7" s="48">
        <f>BTU!O8</f>
        <v>0</v>
      </c>
      <c r="V7" s="48">
        <f>BTU!L8</f>
        <v>0</v>
      </c>
      <c r="W7" s="48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5" sqref="A5:XFD5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B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f t="shared" si="4"/>
        <v>45057</v>
      </c>
      <c r="C6" s="16">
        <f t="shared" si="0"/>
        <v>0</v>
      </c>
      <c r="D6" s="42">
        <f t="shared" si="4"/>
        <v>39401</v>
      </c>
      <c r="E6" s="16">
        <f t="shared" si="1"/>
        <v>0</v>
      </c>
      <c r="F6" s="42">
        <f t="shared" si="4"/>
        <v>20231</v>
      </c>
      <c r="G6" s="16">
        <f t="shared" si="2"/>
        <v>0</v>
      </c>
      <c r="H6" s="42">
        <f t="shared" si="4"/>
        <v>239941</v>
      </c>
      <c r="I6" s="16">
        <f t="shared" si="3"/>
        <v>0</v>
      </c>
      <c r="J6" s="42">
        <f t="shared" si="4"/>
        <v>303517</v>
      </c>
      <c r="K6" s="16">
        <f t="shared" si="5"/>
        <v>0</v>
      </c>
      <c r="L6" s="42">
        <f t="shared" si="4"/>
        <v>24788</v>
      </c>
      <c r="M6" s="16">
        <f t="shared" si="6"/>
        <v>0</v>
      </c>
      <c r="N6" s="42">
        <f t="shared" si="4"/>
        <v>213282</v>
      </c>
      <c r="O6" s="16">
        <f t="shared" si="7"/>
        <v>0</v>
      </c>
      <c r="P6" s="42">
        <f t="shared" si="4"/>
        <v>98420</v>
      </c>
      <c r="Q6" s="16">
        <f t="shared" si="8"/>
        <v>0</v>
      </c>
      <c r="R6" s="1">
        <f t="shared" si="9"/>
        <v>55047</v>
      </c>
      <c r="S6" s="16">
        <f>R30-R5</f>
        <v>0</v>
      </c>
      <c r="T6" s="42">
        <f t="shared" si="4"/>
        <v>3586</v>
      </c>
      <c r="U6" s="16">
        <f t="shared" si="11"/>
        <v>0</v>
      </c>
    </row>
    <row r="7" spans="1:24" ht="13.5" thickBot="1" x14ac:dyDescent="0.25">
      <c r="A7" s="10">
        <v>44290</v>
      </c>
      <c r="B7" s="42">
        <f t="shared" si="4"/>
        <v>45057</v>
      </c>
      <c r="C7" s="16">
        <f t="shared" si="0"/>
        <v>0</v>
      </c>
      <c r="D7" s="42">
        <f t="shared" si="4"/>
        <v>39401</v>
      </c>
      <c r="E7" s="16">
        <f t="shared" si="1"/>
        <v>0</v>
      </c>
      <c r="F7" s="42">
        <f t="shared" si="4"/>
        <v>20231</v>
      </c>
      <c r="G7" s="16">
        <f t="shared" si="2"/>
        <v>0</v>
      </c>
      <c r="H7" s="42">
        <f t="shared" si="4"/>
        <v>239941</v>
      </c>
      <c r="I7" s="16">
        <f t="shared" si="3"/>
        <v>0</v>
      </c>
      <c r="J7" s="42">
        <f t="shared" si="4"/>
        <v>303517</v>
      </c>
      <c r="K7" s="16">
        <f t="shared" si="5"/>
        <v>0</v>
      </c>
      <c r="L7" s="42">
        <f t="shared" si="4"/>
        <v>24788</v>
      </c>
      <c r="M7" s="16">
        <f t="shared" si="6"/>
        <v>0</v>
      </c>
      <c r="N7" s="42">
        <f t="shared" si="4"/>
        <v>213282</v>
      </c>
      <c r="O7" s="16">
        <f t="shared" si="7"/>
        <v>0</v>
      </c>
      <c r="P7" s="42">
        <f t="shared" si="4"/>
        <v>98420</v>
      </c>
      <c r="Q7" s="16">
        <f t="shared" si="8"/>
        <v>0</v>
      </c>
      <c r="R7" s="1">
        <f t="shared" si="9"/>
        <v>55047</v>
      </c>
      <c r="S7" s="16">
        <f>R7-R30</f>
        <v>0</v>
      </c>
      <c r="T7" s="42">
        <f t="shared" si="4"/>
        <v>3586</v>
      </c>
      <c r="U7" s="16">
        <f t="shared" si="11"/>
        <v>0</v>
      </c>
    </row>
    <row r="8" spans="1:24" ht="13.5" thickBot="1" x14ac:dyDescent="0.25">
      <c r="A8" s="10">
        <v>44291</v>
      </c>
      <c r="B8" s="42">
        <f t="shared" si="4"/>
        <v>45057</v>
      </c>
      <c r="C8" s="16">
        <f t="shared" si="0"/>
        <v>0</v>
      </c>
      <c r="D8" s="42">
        <f t="shared" si="4"/>
        <v>39401</v>
      </c>
      <c r="E8" s="16">
        <f t="shared" si="1"/>
        <v>0</v>
      </c>
      <c r="F8" s="42">
        <f t="shared" si="4"/>
        <v>20231</v>
      </c>
      <c r="G8" s="16">
        <f t="shared" si="2"/>
        <v>0</v>
      </c>
      <c r="H8" s="42">
        <f t="shared" si="4"/>
        <v>239941</v>
      </c>
      <c r="I8" s="16">
        <f t="shared" si="3"/>
        <v>0</v>
      </c>
      <c r="J8" s="42">
        <f t="shared" si="4"/>
        <v>303517</v>
      </c>
      <c r="K8" s="16">
        <f t="shared" si="5"/>
        <v>0</v>
      </c>
      <c r="L8" s="42">
        <f t="shared" si="4"/>
        <v>24788</v>
      </c>
      <c r="M8" s="16">
        <f t="shared" si="6"/>
        <v>0</v>
      </c>
      <c r="N8" s="42">
        <f t="shared" si="4"/>
        <v>213282</v>
      </c>
      <c r="O8" s="16">
        <f t="shared" si="7"/>
        <v>0</v>
      </c>
      <c r="P8" s="42">
        <f t="shared" si="4"/>
        <v>98420</v>
      </c>
      <c r="Q8" s="16">
        <f t="shared" si="8"/>
        <v>0</v>
      </c>
      <c r="R8" s="1">
        <f t="shared" si="9"/>
        <v>55047</v>
      </c>
      <c r="S8" s="16">
        <f t="shared" si="10"/>
        <v>0</v>
      </c>
      <c r="T8" s="42">
        <f t="shared" si="4"/>
        <v>3586</v>
      </c>
      <c r="U8" s="16">
        <f t="shared" si="11"/>
        <v>0</v>
      </c>
    </row>
    <row r="9" spans="1:24" ht="13.5" thickBot="1" x14ac:dyDescent="0.25">
      <c r="A9" s="10">
        <v>44292</v>
      </c>
      <c r="B9" s="42">
        <f t="shared" si="4"/>
        <v>45057</v>
      </c>
      <c r="C9" s="16">
        <f t="shared" si="0"/>
        <v>0</v>
      </c>
      <c r="D9" s="42">
        <f t="shared" si="4"/>
        <v>39401</v>
      </c>
      <c r="E9" s="16">
        <f t="shared" si="1"/>
        <v>0</v>
      </c>
      <c r="F9" s="42">
        <f t="shared" si="4"/>
        <v>20231</v>
      </c>
      <c r="G9" s="16">
        <f t="shared" si="2"/>
        <v>0</v>
      </c>
      <c r="H9" s="42">
        <f t="shared" si="4"/>
        <v>239941</v>
      </c>
      <c r="I9" s="16">
        <f t="shared" si="3"/>
        <v>0</v>
      </c>
      <c r="J9" s="42">
        <f t="shared" si="4"/>
        <v>303517</v>
      </c>
      <c r="K9" s="16">
        <f t="shared" si="5"/>
        <v>0</v>
      </c>
      <c r="L9" s="42">
        <f t="shared" si="4"/>
        <v>24788</v>
      </c>
      <c r="M9" s="16">
        <f t="shared" si="6"/>
        <v>0</v>
      </c>
      <c r="N9" s="42">
        <f t="shared" si="4"/>
        <v>213282</v>
      </c>
      <c r="O9" s="16">
        <f t="shared" si="7"/>
        <v>0</v>
      </c>
      <c r="P9" s="42">
        <f t="shared" si="4"/>
        <v>98420</v>
      </c>
      <c r="Q9" s="16">
        <f>P9-P8</f>
        <v>0</v>
      </c>
      <c r="R9" s="1">
        <f t="shared" si="9"/>
        <v>55047</v>
      </c>
      <c r="S9" s="16">
        <f>R9-R8</f>
        <v>0</v>
      </c>
      <c r="T9" s="42">
        <f t="shared" si="4"/>
        <v>3586</v>
      </c>
      <c r="U9" s="16">
        <f t="shared" si="11"/>
        <v>0</v>
      </c>
    </row>
    <row r="10" spans="1:24" ht="13.5" thickBot="1" x14ac:dyDescent="0.25">
      <c r="A10" s="10">
        <v>44293</v>
      </c>
      <c r="B10" s="42">
        <f t="shared" si="4"/>
        <v>45057</v>
      </c>
      <c r="C10" s="16">
        <f t="shared" si="0"/>
        <v>0</v>
      </c>
      <c r="D10" s="42">
        <f t="shared" si="4"/>
        <v>39401</v>
      </c>
      <c r="E10" s="16">
        <f t="shared" si="1"/>
        <v>0</v>
      </c>
      <c r="F10" s="42">
        <f t="shared" si="4"/>
        <v>20231</v>
      </c>
      <c r="G10" s="16">
        <f t="shared" si="2"/>
        <v>0</v>
      </c>
      <c r="H10" s="42">
        <f t="shared" si="4"/>
        <v>239941</v>
      </c>
      <c r="I10" s="16">
        <f t="shared" si="3"/>
        <v>0</v>
      </c>
      <c r="J10" s="42">
        <f t="shared" si="4"/>
        <v>303517</v>
      </c>
      <c r="K10" s="16">
        <f t="shared" si="5"/>
        <v>0</v>
      </c>
      <c r="L10" s="42">
        <f t="shared" si="4"/>
        <v>24788</v>
      </c>
      <c r="M10" s="16">
        <f t="shared" si="6"/>
        <v>0</v>
      </c>
      <c r="N10" s="42">
        <f t="shared" si="4"/>
        <v>213282</v>
      </c>
      <c r="O10" s="16">
        <f t="shared" si="7"/>
        <v>0</v>
      </c>
      <c r="P10" s="42">
        <f t="shared" si="4"/>
        <v>98420</v>
      </c>
      <c r="Q10" s="16">
        <f>P10-P9</f>
        <v>0</v>
      </c>
      <c r="R10" s="1">
        <f t="shared" si="9"/>
        <v>55047</v>
      </c>
      <c r="S10" s="16">
        <f>R10-R9</f>
        <v>0</v>
      </c>
      <c r="T10" s="42">
        <f t="shared" si="4"/>
        <v>3586</v>
      </c>
      <c r="U10" s="16">
        <f t="shared" si="11"/>
        <v>0</v>
      </c>
    </row>
    <row r="11" spans="1:24" ht="13.5" thickBot="1" x14ac:dyDescent="0.25">
      <c r="A11" s="10">
        <v>44294</v>
      </c>
      <c r="B11" s="42">
        <f t="shared" si="4"/>
        <v>45057</v>
      </c>
      <c r="C11" s="16">
        <f t="shared" si="0"/>
        <v>0</v>
      </c>
      <c r="D11" s="42">
        <f t="shared" si="4"/>
        <v>39401</v>
      </c>
      <c r="E11" s="16">
        <f t="shared" si="1"/>
        <v>0</v>
      </c>
      <c r="F11" s="42">
        <f t="shared" si="4"/>
        <v>20231</v>
      </c>
      <c r="G11" s="16">
        <f t="shared" si="2"/>
        <v>0</v>
      </c>
      <c r="H11" s="42">
        <f t="shared" si="4"/>
        <v>239941</v>
      </c>
      <c r="I11" s="16">
        <f t="shared" si="3"/>
        <v>0</v>
      </c>
      <c r="J11" s="42">
        <f t="shared" si="4"/>
        <v>303517</v>
      </c>
      <c r="K11" s="16">
        <f t="shared" si="5"/>
        <v>0</v>
      </c>
      <c r="L11" s="42">
        <f t="shared" si="4"/>
        <v>24788</v>
      </c>
      <c r="M11" s="16">
        <f t="shared" si="6"/>
        <v>0</v>
      </c>
      <c r="N11" s="42">
        <f t="shared" si="4"/>
        <v>213282</v>
      </c>
      <c r="O11" s="16">
        <f t="shared" si="7"/>
        <v>0</v>
      </c>
      <c r="P11" s="42">
        <f t="shared" si="4"/>
        <v>98420</v>
      </c>
      <c r="Q11" s="16">
        <f t="shared" si="8"/>
        <v>0</v>
      </c>
      <c r="R11" s="1">
        <f t="shared" si="9"/>
        <v>55047</v>
      </c>
      <c r="S11" s="16">
        <f t="shared" si="10"/>
        <v>0</v>
      </c>
      <c r="T11" s="42">
        <f t="shared" si="4"/>
        <v>3586</v>
      </c>
      <c r="U11" s="16">
        <f t="shared" si="11"/>
        <v>0</v>
      </c>
    </row>
    <row r="12" spans="1:24" ht="13.5" thickBot="1" x14ac:dyDescent="0.25">
      <c r="A12" s="10">
        <v>44295</v>
      </c>
      <c r="B12" s="42">
        <f t="shared" si="4"/>
        <v>45057</v>
      </c>
      <c r="C12" s="16">
        <f t="shared" si="0"/>
        <v>0</v>
      </c>
      <c r="D12" s="42">
        <f t="shared" si="4"/>
        <v>39401</v>
      </c>
      <c r="E12" s="16">
        <f t="shared" si="1"/>
        <v>0</v>
      </c>
      <c r="F12" s="42">
        <f t="shared" si="4"/>
        <v>20231</v>
      </c>
      <c r="G12" s="16">
        <f t="shared" si="2"/>
        <v>0</v>
      </c>
      <c r="H12" s="42">
        <f t="shared" si="4"/>
        <v>239941</v>
      </c>
      <c r="I12" s="16">
        <f t="shared" si="3"/>
        <v>0</v>
      </c>
      <c r="J12" s="42">
        <f t="shared" si="4"/>
        <v>303517</v>
      </c>
      <c r="K12" s="16">
        <f t="shared" si="5"/>
        <v>0</v>
      </c>
      <c r="L12" s="42">
        <f t="shared" si="4"/>
        <v>24788</v>
      </c>
      <c r="M12" s="16">
        <f t="shared" si="6"/>
        <v>0</v>
      </c>
      <c r="N12" s="42">
        <f t="shared" si="4"/>
        <v>213282</v>
      </c>
      <c r="O12" s="16">
        <f t="shared" si="7"/>
        <v>0</v>
      </c>
      <c r="P12" s="42">
        <f t="shared" si="4"/>
        <v>98420</v>
      </c>
      <c r="Q12" s="16">
        <f t="shared" si="8"/>
        <v>0</v>
      </c>
      <c r="R12" s="1">
        <f t="shared" si="9"/>
        <v>55047</v>
      </c>
      <c r="S12" s="16">
        <f t="shared" si="10"/>
        <v>0</v>
      </c>
      <c r="T12" s="42">
        <f t="shared" si="4"/>
        <v>3586</v>
      </c>
      <c r="U12" s="16">
        <f t="shared" si="11"/>
        <v>0</v>
      </c>
    </row>
    <row r="13" spans="1:24" ht="13.5" thickBot="1" x14ac:dyDescent="0.25">
      <c r="A13" s="10">
        <v>44296</v>
      </c>
      <c r="B13" s="42">
        <f t="shared" ref="B13:B33" si="12">B12</f>
        <v>45057</v>
      </c>
      <c r="C13" s="16">
        <f t="shared" si="0"/>
        <v>0</v>
      </c>
      <c r="D13" s="42">
        <f t="shared" si="4"/>
        <v>39401</v>
      </c>
      <c r="E13" s="16">
        <f t="shared" si="1"/>
        <v>0</v>
      </c>
      <c r="F13" s="42">
        <f t="shared" si="4"/>
        <v>20231</v>
      </c>
      <c r="G13" s="16">
        <f t="shared" si="2"/>
        <v>0</v>
      </c>
      <c r="H13" s="42">
        <f t="shared" si="4"/>
        <v>239941</v>
      </c>
      <c r="I13" s="16">
        <f t="shared" si="3"/>
        <v>0</v>
      </c>
      <c r="J13" s="42">
        <f t="shared" si="4"/>
        <v>303517</v>
      </c>
      <c r="K13" s="16">
        <f t="shared" si="5"/>
        <v>0</v>
      </c>
      <c r="L13" s="42">
        <f t="shared" si="4"/>
        <v>24788</v>
      </c>
      <c r="M13" s="16">
        <f t="shared" si="6"/>
        <v>0</v>
      </c>
      <c r="N13" s="42">
        <f t="shared" si="4"/>
        <v>213282</v>
      </c>
      <c r="O13" s="16">
        <f t="shared" si="7"/>
        <v>0</v>
      </c>
      <c r="P13" s="42">
        <f t="shared" si="4"/>
        <v>98420</v>
      </c>
      <c r="Q13" s="16">
        <f t="shared" si="8"/>
        <v>0</v>
      </c>
      <c r="R13" s="1">
        <f t="shared" si="9"/>
        <v>55047</v>
      </c>
      <c r="S13" s="16">
        <f t="shared" si="10"/>
        <v>0</v>
      </c>
      <c r="T13" s="42">
        <f t="shared" si="4"/>
        <v>3586</v>
      </c>
      <c r="U13" s="16">
        <f t="shared" si="11"/>
        <v>0</v>
      </c>
    </row>
    <row r="14" spans="1:24" ht="13.5" thickBot="1" x14ac:dyDescent="0.25">
      <c r="A14" s="10">
        <v>44297</v>
      </c>
      <c r="B14" s="42">
        <f t="shared" si="12"/>
        <v>45057</v>
      </c>
      <c r="C14" s="16">
        <f t="shared" si="0"/>
        <v>0</v>
      </c>
      <c r="D14" s="42">
        <f t="shared" si="4"/>
        <v>39401</v>
      </c>
      <c r="E14" s="16">
        <f t="shared" si="1"/>
        <v>0</v>
      </c>
      <c r="F14" s="42">
        <f t="shared" si="4"/>
        <v>20231</v>
      </c>
      <c r="G14" s="16">
        <f t="shared" si="2"/>
        <v>0</v>
      </c>
      <c r="H14" s="42">
        <f t="shared" si="4"/>
        <v>239941</v>
      </c>
      <c r="I14" s="16">
        <f t="shared" si="3"/>
        <v>0</v>
      </c>
      <c r="J14" s="42">
        <f t="shared" si="4"/>
        <v>303517</v>
      </c>
      <c r="K14" s="16">
        <f t="shared" si="5"/>
        <v>0</v>
      </c>
      <c r="L14" s="42">
        <f t="shared" si="4"/>
        <v>24788</v>
      </c>
      <c r="M14" s="16">
        <f t="shared" si="6"/>
        <v>0</v>
      </c>
      <c r="N14" s="42">
        <f t="shared" si="4"/>
        <v>213282</v>
      </c>
      <c r="O14" s="16">
        <f t="shared" si="7"/>
        <v>0</v>
      </c>
      <c r="P14" s="42">
        <f t="shared" si="4"/>
        <v>98420</v>
      </c>
      <c r="Q14" s="16">
        <f t="shared" si="8"/>
        <v>0</v>
      </c>
      <c r="R14" s="1">
        <f t="shared" si="9"/>
        <v>55047</v>
      </c>
      <c r="S14" s="16">
        <f t="shared" si="10"/>
        <v>0</v>
      </c>
      <c r="T14" s="42">
        <f t="shared" si="4"/>
        <v>3586</v>
      </c>
      <c r="U14" s="16">
        <f>(T14-T13)*800/5</f>
        <v>0</v>
      </c>
    </row>
    <row r="15" spans="1:24" ht="13.5" thickBot="1" x14ac:dyDescent="0.25">
      <c r="A15" s="10">
        <v>44298</v>
      </c>
      <c r="B15" s="42">
        <f t="shared" si="12"/>
        <v>45057</v>
      </c>
      <c r="C15" s="16">
        <f t="shared" si="0"/>
        <v>0</v>
      </c>
      <c r="D15" s="42">
        <f t="shared" si="4"/>
        <v>39401</v>
      </c>
      <c r="E15" s="16">
        <f t="shared" si="1"/>
        <v>0</v>
      </c>
      <c r="F15" s="42">
        <f t="shared" si="4"/>
        <v>20231</v>
      </c>
      <c r="G15" s="16">
        <f t="shared" si="2"/>
        <v>0</v>
      </c>
      <c r="H15" s="42">
        <f t="shared" si="4"/>
        <v>239941</v>
      </c>
      <c r="I15" s="16">
        <f t="shared" si="3"/>
        <v>0</v>
      </c>
      <c r="J15" s="42">
        <f t="shared" si="4"/>
        <v>303517</v>
      </c>
      <c r="K15" s="16">
        <f t="shared" si="5"/>
        <v>0</v>
      </c>
      <c r="L15" s="42">
        <f t="shared" si="4"/>
        <v>24788</v>
      </c>
      <c r="M15" s="16">
        <f t="shared" si="6"/>
        <v>0</v>
      </c>
      <c r="N15" s="42">
        <f t="shared" si="4"/>
        <v>213282</v>
      </c>
      <c r="O15" s="16">
        <f t="shared" si="7"/>
        <v>0</v>
      </c>
      <c r="P15" s="42">
        <f t="shared" si="4"/>
        <v>98420</v>
      </c>
      <c r="Q15" s="16">
        <f t="shared" si="8"/>
        <v>0</v>
      </c>
      <c r="R15" s="1">
        <f t="shared" si="9"/>
        <v>55047</v>
      </c>
      <c r="S15" s="16">
        <f t="shared" si="10"/>
        <v>0</v>
      </c>
      <c r="T15" s="42">
        <f t="shared" si="4"/>
        <v>3586</v>
      </c>
      <c r="U15" s="16">
        <f t="shared" ref="U15" si="13">(T15-T14)*800/5</f>
        <v>0</v>
      </c>
      <c r="X15" t="s">
        <v>13</v>
      </c>
    </row>
    <row r="16" spans="1:24" ht="13.5" thickBot="1" x14ac:dyDescent="0.25">
      <c r="A16" s="10">
        <v>44299</v>
      </c>
      <c r="B16" s="42">
        <f t="shared" si="12"/>
        <v>45057</v>
      </c>
      <c r="C16" s="16">
        <f t="shared" si="0"/>
        <v>0</v>
      </c>
      <c r="D16" s="42">
        <f t="shared" si="4"/>
        <v>39401</v>
      </c>
      <c r="E16" s="16">
        <f t="shared" si="1"/>
        <v>0</v>
      </c>
      <c r="F16" s="42">
        <f t="shared" si="4"/>
        <v>20231</v>
      </c>
      <c r="G16" s="16">
        <f t="shared" si="2"/>
        <v>0</v>
      </c>
      <c r="H16" s="42">
        <f t="shared" si="4"/>
        <v>239941</v>
      </c>
      <c r="I16" s="16">
        <f t="shared" si="3"/>
        <v>0</v>
      </c>
      <c r="J16" s="42">
        <f t="shared" si="4"/>
        <v>303517</v>
      </c>
      <c r="K16" s="16">
        <f t="shared" si="5"/>
        <v>0</v>
      </c>
      <c r="L16" s="42">
        <f t="shared" si="4"/>
        <v>24788</v>
      </c>
      <c r="M16" s="16">
        <f t="shared" si="6"/>
        <v>0</v>
      </c>
      <c r="N16" s="42">
        <f t="shared" si="4"/>
        <v>213282</v>
      </c>
      <c r="O16" s="16">
        <f t="shared" si="7"/>
        <v>0</v>
      </c>
      <c r="P16" s="42">
        <f t="shared" si="4"/>
        <v>98420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f t="shared" si="4"/>
        <v>3586</v>
      </c>
      <c r="U16" s="16">
        <f t="shared" si="11"/>
        <v>0</v>
      </c>
      <c r="W16" t="s">
        <v>13</v>
      </c>
    </row>
    <row r="17" spans="1:23" ht="13.5" thickBot="1" x14ac:dyDescent="0.25">
      <c r="A17" s="10">
        <v>44300</v>
      </c>
      <c r="B17" s="42">
        <f t="shared" si="12"/>
        <v>45057</v>
      </c>
      <c r="C17" s="16">
        <f t="shared" si="0"/>
        <v>0</v>
      </c>
      <c r="D17" s="42">
        <f t="shared" si="4"/>
        <v>39401</v>
      </c>
      <c r="E17" s="16">
        <f t="shared" si="1"/>
        <v>0</v>
      </c>
      <c r="F17" s="42">
        <f t="shared" si="4"/>
        <v>20231</v>
      </c>
      <c r="G17" s="16">
        <f t="shared" si="2"/>
        <v>0</v>
      </c>
      <c r="H17" s="42">
        <f t="shared" si="4"/>
        <v>239941</v>
      </c>
      <c r="I17" s="16">
        <f t="shared" si="3"/>
        <v>0</v>
      </c>
      <c r="J17" s="42">
        <f t="shared" si="4"/>
        <v>303517</v>
      </c>
      <c r="K17" s="16">
        <f t="shared" si="5"/>
        <v>0</v>
      </c>
      <c r="L17" s="42">
        <f t="shared" si="4"/>
        <v>24788</v>
      </c>
      <c r="M17" s="16">
        <f t="shared" si="6"/>
        <v>0</v>
      </c>
      <c r="N17" s="42">
        <f t="shared" si="4"/>
        <v>213282</v>
      </c>
      <c r="O17" s="16">
        <f t="shared" si="7"/>
        <v>0</v>
      </c>
      <c r="P17" s="42">
        <f t="shared" si="4"/>
        <v>98420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f t="shared" si="4"/>
        <v>3586</v>
      </c>
      <c r="U17" s="16">
        <f t="shared" si="11"/>
        <v>0</v>
      </c>
    </row>
    <row r="18" spans="1:23" ht="13.5" thickBot="1" x14ac:dyDescent="0.25">
      <c r="A18" s="10">
        <v>44301</v>
      </c>
      <c r="B18" s="42">
        <f t="shared" si="12"/>
        <v>45057</v>
      </c>
      <c r="C18" s="16">
        <f t="shared" si="0"/>
        <v>0</v>
      </c>
      <c r="D18" s="42">
        <f t="shared" si="4"/>
        <v>39401</v>
      </c>
      <c r="E18" s="16">
        <f t="shared" si="1"/>
        <v>0</v>
      </c>
      <c r="F18" s="42">
        <f t="shared" si="4"/>
        <v>20231</v>
      </c>
      <c r="G18" s="16">
        <f t="shared" si="2"/>
        <v>0</v>
      </c>
      <c r="H18" s="42">
        <f t="shared" si="4"/>
        <v>239941</v>
      </c>
      <c r="I18" s="16">
        <f t="shared" si="3"/>
        <v>0</v>
      </c>
      <c r="J18" s="42">
        <f t="shared" si="4"/>
        <v>303517</v>
      </c>
      <c r="K18" s="16">
        <f t="shared" si="5"/>
        <v>0</v>
      </c>
      <c r="L18" s="42">
        <f t="shared" si="4"/>
        <v>24788</v>
      </c>
      <c r="M18" s="16">
        <f t="shared" si="6"/>
        <v>0</v>
      </c>
      <c r="N18" s="42">
        <f t="shared" si="4"/>
        <v>213282</v>
      </c>
      <c r="O18" s="16">
        <f t="shared" si="7"/>
        <v>0</v>
      </c>
      <c r="P18" s="42">
        <f t="shared" si="4"/>
        <v>98420</v>
      </c>
      <c r="Q18" s="16">
        <f t="shared" si="8"/>
        <v>0</v>
      </c>
      <c r="R18" s="1">
        <v>55047</v>
      </c>
      <c r="S18" s="16">
        <f t="shared" si="10"/>
        <v>0</v>
      </c>
      <c r="T18" s="42">
        <f t="shared" si="4"/>
        <v>3586</v>
      </c>
      <c r="U18" s="16">
        <f t="shared" si="11"/>
        <v>0</v>
      </c>
    </row>
    <row r="19" spans="1:23" ht="13.5" thickBot="1" x14ac:dyDescent="0.25">
      <c r="A19" s="10">
        <v>44302</v>
      </c>
      <c r="B19" s="42">
        <f t="shared" si="12"/>
        <v>45057</v>
      </c>
      <c r="C19" s="16">
        <f t="shared" si="0"/>
        <v>0</v>
      </c>
      <c r="D19" s="42">
        <f t="shared" si="4"/>
        <v>39401</v>
      </c>
      <c r="E19" s="16">
        <f t="shared" si="1"/>
        <v>0</v>
      </c>
      <c r="F19" s="42">
        <f t="shared" si="4"/>
        <v>20231</v>
      </c>
      <c r="G19" s="16">
        <f t="shared" si="2"/>
        <v>0</v>
      </c>
      <c r="H19" s="42">
        <f t="shared" si="4"/>
        <v>239941</v>
      </c>
      <c r="I19" s="16">
        <f t="shared" si="3"/>
        <v>0</v>
      </c>
      <c r="J19" s="42">
        <f t="shared" si="4"/>
        <v>303517</v>
      </c>
      <c r="K19" s="16">
        <f t="shared" si="5"/>
        <v>0</v>
      </c>
      <c r="L19" s="42">
        <f t="shared" si="4"/>
        <v>24788</v>
      </c>
      <c r="M19" s="16">
        <f t="shared" si="6"/>
        <v>0</v>
      </c>
      <c r="N19" s="42">
        <f t="shared" si="4"/>
        <v>213282</v>
      </c>
      <c r="O19" s="16">
        <f t="shared" si="7"/>
        <v>0</v>
      </c>
      <c r="P19" s="42">
        <f t="shared" si="4"/>
        <v>98420</v>
      </c>
      <c r="Q19" s="16">
        <f t="shared" si="8"/>
        <v>0</v>
      </c>
      <c r="R19" s="1">
        <f t="shared" si="9"/>
        <v>55047</v>
      </c>
      <c r="S19" s="16">
        <f t="shared" si="10"/>
        <v>0</v>
      </c>
      <c r="T19" s="42">
        <f t="shared" si="4"/>
        <v>3586</v>
      </c>
      <c r="U19" s="16">
        <f t="shared" si="11"/>
        <v>0</v>
      </c>
      <c r="W19" t="s">
        <v>13</v>
      </c>
    </row>
    <row r="20" spans="1:23" ht="13.5" thickBot="1" x14ac:dyDescent="0.25">
      <c r="A20" s="10">
        <v>44303</v>
      </c>
      <c r="B20" s="42">
        <f t="shared" si="12"/>
        <v>45057</v>
      </c>
      <c r="C20" s="16">
        <f t="shared" si="0"/>
        <v>0</v>
      </c>
      <c r="D20" s="42">
        <f t="shared" si="4"/>
        <v>39401</v>
      </c>
      <c r="E20" s="16">
        <f t="shared" si="1"/>
        <v>0</v>
      </c>
      <c r="F20" s="42">
        <f t="shared" si="4"/>
        <v>20231</v>
      </c>
      <c r="G20" s="16">
        <f t="shared" si="2"/>
        <v>0</v>
      </c>
      <c r="H20" s="42">
        <f t="shared" si="4"/>
        <v>239941</v>
      </c>
      <c r="I20" s="16">
        <f t="shared" si="3"/>
        <v>0</v>
      </c>
      <c r="J20" s="42">
        <f t="shared" si="4"/>
        <v>303517</v>
      </c>
      <c r="K20" s="16">
        <v>0</v>
      </c>
      <c r="L20" s="42">
        <f t="shared" si="4"/>
        <v>24788</v>
      </c>
      <c r="M20" s="16">
        <f t="shared" si="6"/>
        <v>0</v>
      </c>
      <c r="N20" s="42">
        <f t="shared" si="4"/>
        <v>213282</v>
      </c>
      <c r="O20" s="16">
        <f t="shared" si="7"/>
        <v>0</v>
      </c>
      <c r="P20" s="42">
        <f t="shared" si="4"/>
        <v>98420</v>
      </c>
      <c r="Q20" s="16">
        <f t="shared" si="8"/>
        <v>0</v>
      </c>
      <c r="R20" s="1">
        <f t="shared" si="9"/>
        <v>55047</v>
      </c>
      <c r="S20" s="16">
        <f t="shared" si="10"/>
        <v>0</v>
      </c>
      <c r="T20" s="42">
        <f t="shared" si="4"/>
        <v>3586</v>
      </c>
      <c r="U20" s="16">
        <f t="shared" si="11"/>
        <v>0</v>
      </c>
    </row>
    <row r="21" spans="1:23" ht="13.5" thickBot="1" x14ac:dyDescent="0.25">
      <c r="A21" s="10">
        <v>44304</v>
      </c>
      <c r="B21" s="42">
        <f t="shared" si="12"/>
        <v>45057</v>
      </c>
      <c r="C21" s="16">
        <f t="shared" si="0"/>
        <v>0</v>
      </c>
      <c r="D21" s="42">
        <f t="shared" si="4"/>
        <v>39401</v>
      </c>
      <c r="E21" s="16">
        <f t="shared" si="1"/>
        <v>0</v>
      </c>
      <c r="F21" s="42">
        <f t="shared" si="4"/>
        <v>20231</v>
      </c>
      <c r="G21" s="16">
        <f t="shared" si="2"/>
        <v>0</v>
      </c>
      <c r="H21" s="42">
        <f t="shared" si="4"/>
        <v>239941</v>
      </c>
      <c r="I21" s="16">
        <f t="shared" si="3"/>
        <v>0</v>
      </c>
      <c r="J21" s="42">
        <f t="shared" si="4"/>
        <v>303517</v>
      </c>
      <c r="K21" s="16">
        <f t="shared" si="5"/>
        <v>0</v>
      </c>
      <c r="L21" s="42">
        <f t="shared" si="4"/>
        <v>24788</v>
      </c>
      <c r="M21" s="16">
        <f t="shared" si="6"/>
        <v>0</v>
      </c>
      <c r="N21" s="42">
        <f t="shared" si="4"/>
        <v>213282</v>
      </c>
      <c r="O21" s="16">
        <f t="shared" si="7"/>
        <v>0</v>
      </c>
      <c r="P21" s="42">
        <f t="shared" si="4"/>
        <v>98420</v>
      </c>
      <c r="Q21" s="16">
        <f t="shared" si="8"/>
        <v>0</v>
      </c>
      <c r="R21" s="1">
        <f t="shared" si="9"/>
        <v>55047</v>
      </c>
      <c r="S21" s="16">
        <f t="shared" si="10"/>
        <v>0</v>
      </c>
      <c r="T21" s="42">
        <f t="shared" si="4"/>
        <v>3586</v>
      </c>
      <c r="U21" s="16">
        <f t="shared" si="11"/>
        <v>0</v>
      </c>
    </row>
    <row r="22" spans="1:23" ht="13.5" thickBot="1" x14ac:dyDescent="0.25">
      <c r="A22" s="10">
        <v>44305</v>
      </c>
      <c r="B22" s="42">
        <f t="shared" si="12"/>
        <v>45057</v>
      </c>
      <c r="C22" s="16">
        <f t="shared" si="0"/>
        <v>0</v>
      </c>
      <c r="D22" s="42">
        <f t="shared" si="4"/>
        <v>39401</v>
      </c>
      <c r="E22" s="16">
        <f t="shared" si="1"/>
        <v>0</v>
      </c>
      <c r="F22" s="42">
        <f t="shared" si="4"/>
        <v>20231</v>
      </c>
      <c r="G22" s="16">
        <f t="shared" si="2"/>
        <v>0</v>
      </c>
      <c r="H22" s="42">
        <f t="shared" si="4"/>
        <v>239941</v>
      </c>
      <c r="I22" s="16">
        <f t="shared" si="3"/>
        <v>0</v>
      </c>
      <c r="J22" s="42">
        <f t="shared" si="4"/>
        <v>303517</v>
      </c>
      <c r="K22" s="16">
        <f t="shared" si="5"/>
        <v>0</v>
      </c>
      <c r="L22" s="42">
        <f t="shared" si="4"/>
        <v>24788</v>
      </c>
      <c r="M22" s="16">
        <f t="shared" si="6"/>
        <v>0</v>
      </c>
      <c r="N22" s="42">
        <f t="shared" si="4"/>
        <v>213282</v>
      </c>
      <c r="O22" s="16">
        <f t="shared" si="7"/>
        <v>0</v>
      </c>
      <c r="P22" s="42">
        <f t="shared" si="4"/>
        <v>98420</v>
      </c>
      <c r="Q22" s="16">
        <f t="shared" si="8"/>
        <v>0</v>
      </c>
      <c r="R22" s="1">
        <f t="shared" si="9"/>
        <v>55047</v>
      </c>
      <c r="S22" s="16">
        <f t="shared" si="10"/>
        <v>0</v>
      </c>
      <c r="T22" s="42">
        <f t="shared" si="4"/>
        <v>3586</v>
      </c>
      <c r="U22" s="16">
        <f t="shared" si="11"/>
        <v>0</v>
      </c>
    </row>
    <row r="23" spans="1:23" ht="13.5" thickBot="1" x14ac:dyDescent="0.25">
      <c r="A23" s="10">
        <v>44306</v>
      </c>
      <c r="B23" s="42">
        <f t="shared" si="12"/>
        <v>45057</v>
      </c>
      <c r="C23" s="16">
        <f t="shared" si="0"/>
        <v>0</v>
      </c>
      <c r="D23" s="42">
        <f t="shared" si="4"/>
        <v>39401</v>
      </c>
      <c r="E23" s="16">
        <f t="shared" si="1"/>
        <v>0</v>
      </c>
      <c r="F23" s="42">
        <f t="shared" si="4"/>
        <v>20231</v>
      </c>
      <c r="G23" s="16">
        <f t="shared" si="2"/>
        <v>0</v>
      </c>
      <c r="H23" s="42">
        <f t="shared" si="4"/>
        <v>239941</v>
      </c>
      <c r="I23" s="16">
        <f t="shared" si="3"/>
        <v>0</v>
      </c>
      <c r="J23" s="42">
        <f t="shared" si="4"/>
        <v>303517</v>
      </c>
      <c r="K23" s="16">
        <f t="shared" si="5"/>
        <v>0</v>
      </c>
      <c r="L23" s="42">
        <f t="shared" si="4"/>
        <v>24788</v>
      </c>
      <c r="M23" s="16">
        <f t="shared" si="6"/>
        <v>0</v>
      </c>
      <c r="N23" s="42">
        <f t="shared" si="4"/>
        <v>213282</v>
      </c>
      <c r="O23" s="16">
        <f t="shared" si="7"/>
        <v>0</v>
      </c>
      <c r="P23" s="42">
        <f t="shared" si="4"/>
        <v>98420</v>
      </c>
      <c r="Q23" s="16">
        <f t="shared" si="8"/>
        <v>0</v>
      </c>
      <c r="R23" s="1">
        <f t="shared" si="9"/>
        <v>55047</v>
      </c>
      <c r="S23" s="16">
        <f t="shared" si="10"/>
        <v>0</v>
      </c>
      <c r="T23" s="42">
        <f t="shared" si="4"/>
        <v>3586</v>
      </c>
      <c r="U23" s="16">
        <f t="shared" si="11"/>
        <v>0</v>
      </c>
    </row>
    <row r="24" spans="1:23" s="156" customFormat="1" ht="13.5" thickBot="1" x14ac:dyDescent="0.25">
      <c r="A24" s="10">
        <v>44307</v>
      </c>
      <c r="B24" s="42">
        <f t="shared" si="12"/>
        <v>45057</v>
      </c>
      <c r="C24" s="16">
        <f t="shared" si="0"/>
        <v>0</v>
      </c>
      <c r="D24" s="42">
        <f t="shared" si="4"/>
        <v>39401</v>
      </c>
      <c r="E24" s="16">
        <f t="shared" si="1"/>
        <v>0</v>
      </c>
      <c r="F24" s="42">
        <f t="shared" si="4"/>
        <v>20231</v>
      </c>
      <c r="G24" s="16">
        <f t="shared" si="2"/>
        <v>0</v>
      </c>
      <c r="H24" s="42">
        <f t="shared" si="4"/>
        <v>239941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24788</v>
      </c>
      <c r="M24" s="16">
        <f t="shared" si="6"/>
        <v>0</v>
      </c>
      <c r="N24" s="42">
        <f t="shared" si="4"/>
        <v>213282</v>
      </c>
      <c r="O24" s="16">
        <f t="shared" si="7"/>
        <v>0</v>
      </c>
      <c r="P24" s="42">
        <f t="shared" si="4"/>
        <v>98420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3586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2"/>
        <v>45057</v>
      </c>
      <c r="C25" s="16">
        <f t="shared" si="0"/>
        <v>0</v>
      </c>
      <c r="D25" s="42">
        <f t="shared" si="4"/>
        <v>39401</v>
      </c>
      <c r="E25" s="16">
        <f t="shared" si="1"/>
        <v>0</v>
      </c>
      <c r="F25" s="42">
        <f t="shared" si="4"/>
        <v>20231</v>
      </c>
      <c r="G25" s="16">
        <f t="shared" si="2"/>
        <v>0</v>
      </c>
      <c r="H25" s="42">
        <f t="shared" si="4"/>
        <v>239941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24788</v>
      </c>
      <c r="M25" s="16">
        <f t="shared" si="6"/>
        <v>0</v>
      </c>
      <c r="N25" s="42">
        <f t="shared" si="4"/>
        <v>213282</v>
      </c>
      <c r="O25" s="16">
        <f t="shared" si="7"/>
        <v>0</v>
      </c>
      <c r="P25" s="42">
        <f t="shared" si="4"/>
        <v>98420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3586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2"/>
        <v>45057</v>
      </c>
      <c r="C26" s="16">
        <f t="shared" si="0"/>
        <v>0</v>
      </c>
      <c r="D26" s="42">
        <f t="shared" si="4"/>
        <v>39401</v>
      </c>
      <c r="E26" s="16">
        <f t="shared" si="1"/>
        <v>0</v>
      </c>
      <c r="F26" s="42">
        <f t="shared" si="4"/>
        <v>20231</v>
      </c>
      <c r="G26" s="16">
        <f t="shared" si="2"/>
        <v>0</v>
      </c>
      <c r="H26" s="42">
        <f t="shared" si="4"/>
        <v>239941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24788</v>
      </c>
      <c r="M26" s="16">
        <f t="shared" si="6"/>
        <v>0</v>
      </c>
      <c r="N26" s="42">
        <f t="shared" si="4"/>
        <v>213282</v>
      </c>
      <c r="O26" s="16">
        <f t="shared" si="7"/>
        <v>0</v>
      </c>
      <c r="P26" s="42">
        <f t="shared" si="4"/>
        <v>98420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3586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2"/>
        <v>45057</v>
      </c>
      <c r="C27" s="16">
        <f t="shared" si="0"/>
        <v>0</v>
      </c>
      <c r="D27" s="42">
        <f t="shared" si="4"/>
        <v>39401</v>
      </c>
      <c r="E27" s="16">
        <f t="shared" si="1"/>
        <v>0</v>
      </c>
      <c r="F27" s="42">
        <f t="shared" si="4"/>
        <v>20231</v>
      </c>
      <c r="G27" s="16">
        <f t="shared" si="2"/>
        <v>0</v>
      </c>
      <c r="H27" s="42">
        <f t="shared" si="4"/>
        <v>239941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24788</v>
      </c>
      <c r="M27" s="16">
        <f t="shared" si="6"/>
        <v>0</v>
      </c>
      <c r="N27" s="42">
        <f t="shared" si="4"/>
        <v>213282</v>
      </c>
      <c r="O27" s="16">
        <f t="shared" si="7"/>
        <v>0</v>
      </c>
      <c r="P27" s="42">
        <f t="shared" si="4"/>
        <v>98420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3586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2"/>
        <v>45057</v>
      </c>
      <c r="C28" s="16">
        <f t="shared" si="0"/>
        <v>0</v>
      </c>
      <c r="D28" s="42">
        <f t="shared" si="4"/>
        <v>39401</v>
      </c>
      <c r="E28" s="16">
        <f t="shared" si="1"/>
        <v>0</v>
      </c>
      <c r="F28" s="42">
        <f t="shared" si="4"/>
        <v>20231</v>
      </c>
      <c r="G28" s="16">
        <f t="shared" si="2"/>
        <v>0</v>
      </c>
      <c r="H28" s="42">
        <f t="shared" si="4"/>
        <v>239941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24788</v>
      </c>
      <c r="M28" s="16">
        <f t="shared" si="6"/>
        <v>0</v>
      </c>
      <c r="N28" s="42">
        <f t="shared" si="4"/>
        <v>213282</v>
      </c>
      <c r="O28" s="16">
        <f t="shared" si="7"/>
        <v>0</v>
      </c>
      <c r="P28" s="42">
        <f t="shared" si="4"/>
        <v>98420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3586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2"/>
        <v>45057</v>
      </c>
      <c r="C29" s="16">
        <f t="shared" si="0"/>
        <v>0</v>
      </c>
      <c r="D29" s="42">
        <f t="shared" si="4"/>
        <v>39401</v>
      </c>
      <c r="E29" s="16">
        <f t="shared" si="1"/>
        <v>0</v>
      </c>
      <c r="F29" s="42">
        <f t="shared" si="4"/>
        <v>20231</v>
      </c>
      <c r="G29" s="16">
        <f t="shared" si="2"/>
        <v>0</v>
      </c>
      <c r="H29" s="42">
        <f t="shared" si="4"/>
        <v>239941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24788</v>
      </c>
      <c r="M29" s="16">
        <f t="shared" si="6"/>
        <v>0</v>
      </c>
      <c r="N29" s="42">
        <f t="shared" si="4"/>
        <v>213282</v>
      </c>
      <c r="O29" s="16">
        <f t="shared" si="7"/>
        <v>0</v>
      </c>
      <c r="P29" s="42">
        <f t="shared" si="4"/>
        <v>98420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3586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2"/>
        <v>45057</v>
      </c>
      <c r="C30" s="16">
        <f t="shared" si="0"/>
        <v>0</v>
      </c>
      <c r="D30" s="42">
        <f t="shared" si="4"/>
        <v>39401</v>
      </c>
      <c r="E30" s="16">
        <f t="shared" si="1"/>
        <v>0</v>
      </c>
      <c r="F30" s="42">
        <f t="shared" si="4"/>
        <v>20231</v>
      </c>
      <c r="G30" s="16">
        <f t="shared" si="2"/>
        <v>0</v>
      </c>
      <c r="H30" s="42">
        <f t="shared" si="4"/>
        <v>239941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24788</v>
      </c>
      <c r="M30" s="16">
        <f t="shared" si="6"/>
        <v>0</v>
      </c>
      <c r="N30" s="42">
        <f t="shared" si="4"/>
        <v>213282</v>
      </c>
      <c r="O30" s="16">
        <f t="shared" si="7"/>
        <v>0</v>
      </c>
      <c r="P30" s="42">
        <f t="shared" si="4"/>
        <v>98420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3586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2"/>
        <v>45057</v>
      </c>
      <c r="C31" s="16">
        <f t="shared" si="0"/>
        <v>0</v>
      </c>
      <c r="D31" s="42">
        <f t="shared" si="4"/>
        <v>39401</v>
      </c>
      <c r="E31" s="16">
        <f t="shared" si="1"/>
        <v>0</v>
      </c>
      <c r="F31" s="42">
        <f t="shared" si="4"/>
        <v>20231</v>
      </c>
      <c r="G31" s="16">
        <f t="shared" si="2"/>
        <v>0</v>
      </c>
      <c r="H31" s="42">
        <f t="shared" si="4"/>
        <v>239941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24788</v>
      </c>
      <c r="M31" s="16">
        <f t="shared" si="6"/>
        <v>0</v>
      </c>
      <c r="N31" s="42">
        <f t="shared" si="4"/>
        <v>213282</v>
      </c>
      <c r="O31" s="16">
        <f t="shared" si="7"/>
        <v>0</v>
      </c>
      <c r="P31" s="42">
        <f t="shared" si="4"/>
        <v>98420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3586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2"/>
        <v>45057</v>
      </c>
      <c r="C32" s="16">
        <f t="shared" si="0"/>
        <v>0</v>
      </c>
      <c r="D32" s="42">
        <f t="shared" si="4"/>
        <v>39401</v>
      </c>
      <c r="E32" s="16">
        <f t="shared" si="1"/>
        <v>0</v>
      </c>
      <c r="F32" s="42">
        <f t="shared" si="4"/>
        <v>20231</v>
      </c>
      <c r="G32" s="16">
        <f t="shared" si="2"/>
        <v>0</v>
      </c>
      <c r="H32" s="42">
        <f t="shared" si="4"/>
        <v>239941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24788</v>
      </c>
      <c r="M32" s="16">
        <f t="shared" si="6"/>
        <v>0</v>
      </c>
      <c r="N32" s="42">
        <f t="shared" si="4"/>
        <v>213282</v>
      </c>
      <c r="O32" s="16">
        <f t="shared" si="7"/>
        <v>0</v>
      </c>
      <c r="P32" s="42">
        <f t="shared" si="4"/>
        <v>98420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3586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2"/>
        <v>45057</v>
      </c>
      <c r="C33" s="16">
        <f t="shared" si="0"/>
        <v>0</v>
      </c>
      <c r="D33" s="42">
        <f t="shared" si="4"/>
        <v>39401</v>
      </c>
      <c r="E33" s="16">
        <f t="shared" si="1"/>
        <v>0</v>
      </c>
      <c r="F33" s="42">
        <f t="shared" si="4"/>
        <v>20231</v>
      </c>
      <c r="G33" s="16">
        <f t="shared" si="2"/>
        <v>0</v>
      </c>
      <c r="H33" s="42">
        <f t="shared" si="4"/>
        <v>239941</v>
      </c>
      <c r="I33" s="16">
        <f t="shared" si="3"/>
        <v>0</v>
      </c>
      <c r="J33" s="42">
        <f t="shared" ref="J33" si="14">J32</f>
        <v>303517</v>
      </c>
      <c r="K33" s="16">
        <f t="shared" si="5"/>
        <v>0</v>
      </c>
      <c r="L33" s="42">
        <f t="shared" ref="L33" si="15">L32</f>
        <v>24788</v>
      </c>
      <c r="M33" s="16">
        <f t="shared" si="6"/>
        <v>0</v>
      </c>
      <c r="N33" s="42">
        <f>N32</f>
        <v>213282</v>
      </c>
      <c r="O33" s="16">
        <f t="shared" si="7"/>
        <v>0</v>
      </c>
      <c r="P33" s="42">
        <f t="shared" ref="P33" si="16">P32</f>
        <v>98420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7">T32</f>
        <v>3586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2880</v>
      </c>
      <c r="D34" s="13"/>
      <c r="E34" s="11">
        <f>SUM(E3:E33)</f>
        <v>1280</v>
      </c>
      <c r="F34" s="13"/>
      <c r="G34" s="11">
        <f>SUM(G3:G33)</f>
        <v>200</v>
      </c>
      <c r="H34" s="13"/>
      <c r="I34" s="11">
        <f>SUM(I3:I33)</f>
        <v>92</v>
      </c>
      <c r="J34" s="13"/>
      <c r="K34" s="11">
        <f>SUM(K3:K33)</f>
        <v>0</v>
      </c>
      <c r="L34" s="13"/>
      <c r="M34" s="11">
        <f>SUM(M3:M33)</f>
        <v>1600</v>
      </c>
      <c r="N34" s="43"/>
      <c r="O34" s="11">
        <f>SUM(O3:O33)</f>
        <v>378</v>
      </c>
      <c r="P34" s="13"/>
      <c r="Q34" s="11">
        <f>SUM(Q3:Q33)</f>
        <v>130</v>
      </c>
      <c r="R34" s="1"/>
      <c r="S34" s="11">
        <f>SUM(S3:S33)</f>
        <v>0</v>
      </c>
      <c r="T34" s="1"/>
      <c r="U34" s="11">
        <f>SUM(U3:U33)</f>
        <v>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5" sqref="A5:XFD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f t="shared" ref="B5:B33" si="6">B5</f>
        <v>407665</v>
      </c>
      <c r="C6" s="49">
        <f t="shared" si="0"/>
        <v>0</v>
      </c>
      <c r="D6" s="3">
        <f t="shared" ref="D5:D33" si="7">D5</f>
        <v>3805600</v>
      </c>
      <c r="E6" s="49">
        <f t="shared" si="1"/>
        <v>0</v>
      </c>
      <c r="F6" s="3">
        <v>2454800</v>
      </c>
      <c r="G6" s="49">
        <f t="shared" si="4"/>
        <v>0</v>
      </c>
      <c r="H6" s="3">
        <f t="shared" ref="H5:H33" si="8">H5</f>
        <v>726473</v>
      </c>
      <c r="I6" s="54">
        <f t="shared" si="5"/>
        <v>0</v>
      </c>
      <c r="J6" s="23">
        <f t="shared" si="2"/>
        <v>0</v>
      </c>
      <c r="K6" s="24">
        <f t="shared" si="3"/>
        <v>0</v>
      </c>
    </row>
    <row r="7" spans="1:14" ht="16.5" thickBot="1" x14ac:dyDescent="0.3">
      <c r="A7" s="10">
        <v>44290</v>
      </c>
      <c r="B7" s="3">
        <f t="shared" si="6"/>
        <v>407665</v>
      </c>
      <c r="C7" s="49">
        <f t="shared" si="0"/>
        <v>0</v>
      </c>
      <c r="D7" s="3">
        <f t="shared" si="7"/>
        <v>3805600</v>
      </c>
      <c r="E7" s="49">
        <f t="shared" si="1"/>
        <v>0</v>
      </c>
      <c r="F7" s="3">
        <v>2454800</v>
      </c>
      <c r="G7" s="49">
        <f t="shared" si="4"/>
        <v>0</v>
      </c>
      <c r="H7" s="3">
        <f t="shared" si="8"/>
        <v>726473</v>
      </c>
      <c r="I7" s="54">
        <f t="shared" si="5"/>
        <v>0</v>
      </c>
      <c r="J7" s="23">
        <f t="shared" si="2"/>
        <v>0</v>
      </c>
      <c r="K7" s="24">
        <f t="shared" si="3"/>
        <v>0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f t="shared" si="6"/>
        <v>407665</v>
      </c>
      <c r="C8" s="49">
        <f t="shared" si="0"/>
        <v>0</v>
      </c>
      <c r="D8" s="3">
        <f t="shared" si="7"/>
        <v>3805600</v>
      </c>
      <c r="E8" s="49">
        <f t="shared" si="1"/>
        <v>0</v>
      </c>
      <c r="F8" s="3">
        <v>2454800</v>
      </c>
      <c r="G8" s="49">
        <f t="shared" si="4"/>
        <v>0</v>
      </c>
      <c r="H8" s="3">
        <f t="shared" si="8"/>
        <v>726473</v>
      </c>
      <c r="I8" s="54">
        <f t="shared" si="5"/>
        <v>0</v>
      </c>
      <c r="J8" s="23">
        <f t="shared" si="2"/>
        <v>0</v>
      </c>
      <c r="K8" s="24">
        <f t="shared" si="3"/>
        <v>0</v>
      </c>
    </row>
    <row r="9" spans="1:14" ht="16.5" thickBot="1" x14ac:dyDescent="0.3">
      <c r="A9" s="10">
        <v>44292</v>
      </c>
      <c r="B9" s="3">
        <f t="shared" si="6"/>
        <v>407665</v>
      </c>
      <c r="C9" s="49">
        <f t="shared" ref="C9:C33" si="9">(IF((B9-B8)&lt;0,"0",(B9-B8)))*10</f>
        <v>0</v>
      </c>
      <c r="D9" s="3">
        <f t="shared" si="7"/>
        <v>3805600</v>
      </c>
      <c r="E9" s="49">
        <f t="shared" si="1"/>
        <v>0</v>
      </c>
      <c r="F9" s="3">
        <v>2454800</v>
      </c>
      <c r="G9" s="49">
        <f t="shared" si="4"/>
        <v>0</v>
      </c>
      <c r="H9" s="3">
        <f t="shared" si="8"/>
        <v>726473</v>
      </c>
      <c r="I9" s="54">
        <f t="shared" si="5"/>
        <v>0</v>
      </c>
      <c r="J9" s="23">
        <f t="shared" si="2"/>
        <v>0</v>
      </c>
      <c r="K9" s="24">
        <f t="shared" si="3"/>
        <v>0</v>
      </c>
    </row>
    <row r="10" spans="1:14" ht="16.5" thickBot="1" x14ac:dyDescent="0.3">
      <c r="A10" s="10">
        <v>44293</v>
      </c>
      <c r="B10" s="3">
        <f t="shared" si="6"/>
        <v>407665</v>
      </c>
      <c r="C10" s="49">
        <f>(IF((B10-B9)&lt;0,"0",(B10-B9)))*10</f>
        <v>0</v>
      </c>
      <c r="D10" s="3">
        <f t="shared" si="7"/>
        <v>3805600</v>
      </c>
      <c r="E10" s="49">
        <f t="shared" si="1"/>
        <v>0</v>
      </c>
      <c r="F10" s="3">
        <v>2454800</v>
      </c>
      <c r="G10" s="49">
        <f t="shared" si="4"/>
        <v>0</v>
      </c>
      <c r="H10" s="3">
        <f t="shared" si="8"/>
        <v>726473</v>
      </c>
      <c r="I10" s="54">
        <f t="shared" si="5"/>
        <v>0</v>
      </c>
      <c r="J10" s="23">
        <f t="shared" si="2"/>
        <v>0</v>
      </c>
      <c r="K10" s="24">
        <f t="shared" si="3"/>
        <v>0</v>
      </c>
    </row>
    <row r="11" spans="1:14" ht="16.5" thickBot="1" x14ac:dyDescent="0.3">
      <c r="A11" s="10">
        <v>44294</v>
      </c>
      <c r="B11" s="3">
        <f t="shared" si="6"/>
        <v>407665</v>
      </c>
      <c r="C11" s="49">
        <f t="shared" si="9"/>
        <v>0</v>
      </c>
      <c r="D11" s="3">
        <f t="shared" si="7"/>
        <v>3805600</v>
      </c>
      <c r="E11" s="49">
        <f t="shared" si="1"/>
        <v>0</v>
      </c>
      <c r="F11" s="3">
        <v>2454800</v>
      </c>
      <c r="G11" s="49">
        <f t="shared" si="4"/>
        <v>0</v>
      </c>
      <c r="H11" s="3">
        <f t="shared" si="8"/>
        <v>726473</v>
      </c>
      <c r="I11" s="54">
        <f t="shared" si="5"/>
        <v>0</v>
      </c>
      <c r="J11" s="23">
        <f t="shared" si="2"/>
        <v>0</v>
      </c>
      <c r="K11" s="24">
        <f t="shared" si="3"/>
        <v>0</v>
      </c>
      <c r="N11" t="s">
        <v>13</v>
      </c>
    </row>
    <row r="12" spans="1:14" ht="16.5" thickBot="1" x14ac:dyDescent="0.3">
      <c r="A12" s="10">
        <v>44295</v>
      </c>
      <c r="B12" s="3">
        <f t="shared" si="6"/>
        <v>407665</v>
      </c>
      <c r="C12" s="49">
        <f t="shared" si="9"/>
        <v>0</v>
      </c>
      <c r="D12" s="3">
        <f t="shared" si="7"/>
        <v>3805600</v>
      </c>
      <c r="E12" s="49">
        <f t="shared" si="1"/>
        <v>0</v>
      </c>
      <c r="F12" s="3">
        <v>2454800</v>
      </c>
      <c r="G12" s="49">
        <f t="shared" si="4"/>
        <v>0</v>
      </c>
      <c r="H12" s="3">
        <f t="shared" si="8"/>
        <v>726473</v>
      </c>
      <c r="I12" s="54">
        <f t="shared" si="5"/>
        <v>0</v>
      </c>
      <c r="J12" s="23">
        <f t="shared" si="2"/>
        <v>0</v>
      </c>
      <c r="K12" s="24">
        <f t="shared" si="3"/>
        <v>0</v>
      </c>
    </row>
    <row r="13" spans="1:14" ht="16.5" thickBot="1" x14ac:dyDescent="0.3">
      <c r="A13" s="10">
        <v>44296</v>
      </c>
      <c r="B13" s="3">
        <f t="shared" si="6"/>
        <v>407665</v>
      </c>
      <c r="C13" s="49">
        <f t="shared" si="9"/>
        <v>0</v>
      </c>
      <c r="D13" s="3">
        <f t="shared" si="7"/>
        <v>3805600</v>
      </c>
      <c r="E13" s="49">
        <f t="shared" si="1"/>
        <v>0</v>
      </c>
      <c r="F13" s="3">
        <v>2454800</v>
      </c>
      <c r="G13" s="49">
        <f t="shared" si="4"/>
        <v>0</v>
      </c>
      <c r="H13" s="3">
        <f t="shared" si="8"/>
        <v>726473</v>
      </c>
      <c r="I13" s="54">
        <f t="shared" si="5"/>
        <v>0</v>
      </c>
      <c r="J13" s="23">
        <f t="shared" si="2"/>
        <v>0</v>
      </c>
      <c r="K13" s="24">
        <f t="shared" si="3"/>
        <v>0</v>
      </c>
    </row>
    <row r="14" spans="1:14" ht="16.5" thickBot="1" x14ac:dyDescent="0.3">
      <c r="A14" s="10">
        <v>44297</v>
      </c>
      <c r="B14" s="3">
        <f t="shared" si="6"/>
        <v>407665</v>
      </c>
      <c r="C14" s="49">
        <f t="shared" si="9"/>
        <v>0</v>
      </c>
      <c r="D14" s="3">
        <f t="shared" si="7"/>
        <v>3805600</v>
      </c>
      <c r="E14" s="49">
        <f t="shared" si="1"/>
        <v>0</v>
      </c>
      <c r="F14" s="3">
        <v>2454800</v>
      </c>
      <c r="G14" s="49">
        <f t="shared" si="4"/>
        <v>0</v>
      </c>
      <c r="H14" s="3">
        <f t="shared" si="8"/>
        <v>726473</v>
      </c>
      <c r="I14" s="54">
        <f t="shared" si="5"/>
        <v>0</v>
      </c>
      <c r="J14" s="23">
        <f t="shared" si="2"/>
        <v>0</v>
      </c>
      <c r="K14" s="24">
        <f t="shared" si="3"/>
        <v>0</v>
      </c>
    </row>
    <row r="15" spans="1:14" ht="16.5" thickBot="1" x14ac:dyDescent="0.3">
      <c r="A15" s="10">
        <v>44298</v>
      </c>
      <c r="B15" s="3">
        <f t="shared" si="6"/>
        <v>407665</v>
      </c>
      <c r="C15" s="49">
        <f t="shared" si="9"/>
        <v>0</v>
      </c>
      <c r="D15" s="3">
        <f t="shared" si="7"/>
        <v>3805600</v>
      </c>
      <c r="E15" s="49">
        <f t="shared" si="1"/>
        <v>0</v>
      </c>
      <c r="F15" s="3">
        <v>2454800</v>
      </c>
      <c r="G15" s="49">
        <f t="shared" si="4"/>
        <v>0</v>
      </c>
      <c r="H15" s="3">
        <f t="shared" si="8"/>
        <v>726473</v>
      </c>
      <c r="I15" s="54">
        <f t="shared" si="5"/>
        <v>0</v>
      </c>
      <c r="J15" s="23">
        <f t="shared" si="2"/>
        <v>0</v>
      </c>
      <c r="K15" s="24">
        <f t="shared" si="3"/>
        <v>0</v>
      </c>
    </row>
    <row r="16" spans="1:14" ht="16.5" thickBot="1" x14ac:dyDescent="0.3">
      <c r="A16" s="10">
        <v>44299</v>
      </c>
      <c r="B16" s="3">
        <f t="shared" si="6"/>
        <v>407665</v>
      </c>
      <c r="C16" s="49">
        <f t="shared" si="9"/>
        <v>0</v>
      </c>
      <c r="D16" s="3">
        <f t="shared" si="7"/>
        <v>3805600</v>
      </c>
      <c r="E16" s="49">
        <f t="shared" si="1"/>
        <v>0</v>
      </c>
      <c r="F16" s="3">
        <v>2454800</v>
      </c>
      <c r="G16" s="49">
        <f t="shared" si="4"/>
        <v>0</v>
      </c>
      <c r="H16" s="3">
        <f t="shared" si="8"/>
        <v>726473</v>
      </c>
      <c r="I16" s="54">
        <f t="shared" si="5"/>
        <v>0</v>
      </c>
      <c r="J16" s="23">
        <f t="shared" si="2"/>
        <v>0</v>
      </c>
      <c r="K16" s="24">
        <f t="shared" si="3"/>
        <v>0</v>
      </c>
    </row>
    <row r="17" spans="1:25" ht="16.5" thickBot="1" x14ac:dyDescent="0.3">
      <c r="A17" s="10">
        <v>44300</v>
      </c>
      <c r="B17" s="3">
        <f t="shared" si="6"/>
        <v>407665</v>
      </c>
      <c r="C17" s="49">
        <f t="shared" si="9"/>
        <v>0</v>
      </c>
      <c r="D17" s="3">
        <f t="shared" si="7"/>
        <v>3805600</v>
      </c>
      <c r="E17" s="49">
        <f t="shared" si="1"/>
        <v>0</v>
      </c>
      <c r="F17" s="3">
        <v>2454800</v>
      </c>
      <c r="G17" s="49">
        <f t="shared" si="4"/>
        <v>0</v>
      </c>
      <c r="H17" s="3">
        <f t="shared" si="8"/>
        <v>726473</v>
      </c>
      <c r="I17" s="54">
        <f t="shared" si="5"/>
        <v>0</v>
      </c>
      <c r="J17" s="23">
        <f t="shared" si="2"/>
        <v>0</v>
      </c>
      <c r="K17" s="24">
        <f t="shared" si="3"/>
        <v>0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f t="shared" si="6"/>
        <v>407665</v>
      </c>
      <c r="C18" s="49">
        <f t="shared" si="9"/>
        <v>0</v>
      </c>
      <c r="D18" s="3">
        <f t="shared" si="7"/>
        <v>3805600</v>
      </c>
      <c r="E18" s="49">
        <f t="shared" si="1"/>
        <v>0</v>
      </c>
      <c r="F18" s="3">
        <v>2454800</v>
      </c>
      <c r="G18" s="49">
        <f t="shared" si="4"/>
        <v>0</v>
      </c>
      <c r="H18" s="3">
        <f t="shared" si="8"/>
        <v>726473</v>
      </c>
      <c r="I18" s="54">
        <f t="shared" si="5"/>
        <v>0</v>
      </c>
      <c r="J18" s="23">
        <f t="shared" si="2"/>
        <v>0</v>
      </c>
      <c r="K18" s="24">
        <f t="shared" si="3"/>
        <v>0</v>
      </c>
      <c r="Q18" t="s">
        <v>44</v>
      </c>
    </row>
    <row r="19" spans="1:25" ht="16.5" thickBot="1" x14ac:dyDescent="0.3">
      <c r="A19" s="10">
        <v>44302</v>
      </c>
      <c r="B19" s="3">
        <f t="shared" si="6"/>
        <v>407665</v>
      </c>
      <c r="C19" s="49">
        <f t="shared" si="9"/>
        <v>0</v>
      </c>
      <c r="D19" s="3">
        <f t="shared" si="7"/>
        <v>3805600</v>
      </c>
      <c r="E19" s="49">
        <f t="shared" si="1"/>
        <v>0</v>
      </c>
      <c r="F19" s="3">
        <v>2454800</v>
      </c>
      <c r="G19" s="49">
        <f t="shared" si="4"/>
        <v>0</v>
      </c>
      <c r="H19" s="3">
        <f t="shared" si="8"/>
        <v>726473</v>
      </c>
      <c r="I19" s="54">
        <f t="shared" si="5"/>
        <v>0</v>
      </c>
      <c r="J19" s="23">
        <f t="shared" si="2"/>
        <v>0</v>
      </c>
      <c r="K19" s="24">
        <f t="shared" si="3"/>
        <v>0</v>
      </c>
      <c r="Q19" t="s">
        <v>13</v>
      </c>
    </row>
    <row r="20" spans="1:25" ht="16.5" thickBot="1" x14ac:dyDescent="0.3">
      <c r="A20" s="10">
        <v>44303</v>
      </c>
      <c r="B20" s="3">
        <f t="shared" si="6"/>
        <v>407665</v>
      </c>
      <c r="C20" s="49">
        <f t="shared" si="9"/>
        <v>0</v>
      </c>
      <c r="D20" s="3">
        <f t="shared" si="7"/>
        <v>3805600</v>
      </c>
      <c r="E20" s="49">
        <f t="shared" si="1"/>
        <v>0</v>
      </c>
      <c r="F20" s="3">
        <v>2454800</v>
      </c>
      <c r="G20" s="49">
        <f t="shared" si="4"/>
        <v>0</v>
      </c>
      <c r="H20" s="3">
        <f t="shared" si="8"/>
        <v>726473</v>
      </c>
      <c r="I20" s="54">
        <f t="shared" si="5"/>
        <v>0</v>
      </c>
      <c r="J20" s="23">
        <f t="shared" si="2"/>
        <v>0</v>
      </c>
      <c r="K20" s="24">
        <f t="shared" si="3"/>
        <v>0</v>
      </c>
    </row>
    <row r="21" spans="1:25" ht="16.5" thickBot="1" x14ac:dyDescent="0.3">
      <c r="A21" s="10">
        <v>44304</v>
      </c>
      <c r="B21" s="3">
        <f t="shared" si="6"/>
        <v>407665</v>
      </c>
      <c r="C21" s="49">
        <f t="shared" si="9"/>
        <v>0</v>
      </c>
      <c r="D21" s="3">
        <f t="shared" si="7"/>
        <v>3805600</v>
      </c>
      <c r="E21" s="49">
        <f t="shared" si="1"/>
        <v>0</v>
      </c>
      <c r="F21" s="3">
        <v>2454800</v>
      </c>
      <c r="G21" s="49">
        <f t="shared" si="4"/>
        <v>0</v>
      </c>
      <c r="H21" s="3">
        <f t="shared" si="8"/>
        <v>726473</v>
      </c>
      <c r="I21" s="54">
        <f t="shared" si="5"/>
        <v>0</v>
      </c>
      <c r="J21" s="23">
        <f t="shared" si="2"/>
        <v>0</v>
      </c>
      <c r="K21" s="24">
        <f t="shared" si="3"/>
        <v>0</v>
      </c>
    </row>
    <row r="22" spans="1:25" ht="16.5" thickBot="1" x14ac:dyDescent="0.3">
      <c r="A22" s="10">
        <v>44305</v>
      </c>
      <c r="B22" s="3">
        <f t="shared" si="6"/>
        <v>407665</v>
      </c>
      <c r="C22" s="49">
        <f t="shared" si="9"/>
        <v>0</v>
      </c>
      <c r="D22" s="3">
        <f t="shared" si="7"/>
        <v>3805600</v>
      </c>
      <c r="E22" s="49">
        <f t="shared" si="1"/>
        <v>0</v>
      </c>
      <c r="F22" s="3">
        <v>2454800</v>
      </c>
      <c r="G22" s="49">
        <f t="shared" si="4"/>
        <v>0</v>
      </c>
      <c r="H22" s="3">
        <f t="shared" si="8"/>
        <v>726473</v>
      </c>
      <c r="I22" s="54">
        <f t="shared" si="5"/>
        <v>0</v>
      </c>
      <c r="J22" s="23">
        <f t="shared" si="2"/>
        <v>0</v>
      </c>
      <c r="K22" s="24">
        <f t="shared" si="3"/>
        <v>0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f t="shared" si="6"/>
        <v>407665</v>
      </c>
      <c r="C23" s="49">
        <f t="shared" si="9"/>
        <v>0</v>
      </c>
      <c r="D23" s="3">
        <f t="shared" si="7"/>
        <v>3805600</v>
      </c>
      <c r="E23" s="49">
        <f t="shared" si="1"/>
        <v>0</v>
      </c>
      <c r="F23" s="3">
        <v>2454800</v>
      </c>
      <c r="G23" s="49">
        <f t="shared" si="4"/>
        <v>0</v>
      </c>
      <c r="H23" s="3">
        <f t="shared" si="8"/>
        <v>726473</v>
      </c>
      <c r="I23" s="54">
        <f t="shared" si="5"/>
        <v>0</v>
      </c>
      <c r="J23" s="23">
        <f t="shared" si="2"/>
        <v>0</v>
      </c>
      <c r="K23" s="24">
        <f t="shared" si="3"/>
        <v>0</v>
      </c>
      <c r="Q23" t="s">
        <v>13</v>
      </c>
    </row>
    <row r="24" spans="1:25" ht="16.5" thickBot="1" x14ac:dyDescent="0.3">
      <c r="A24" s="10">
        <v>44307</v>
      </c>
      <c r="B24" s="3">
        <f t="shared" si="6"/>
        <v>407665</v>
      </c>
      <c r="C24" s="49">
        <f t="shared" si="9"/>
        <v>0</v>
      </c>
      <c r="D24" s="3">
        <f t="shared" si="7"/>
        <v>3805600</v>
      </c>
      <c r="E24" s="49">
        <f t="shared" si="1"/>
        <v>0</v>
      </c>
      <c r="F24" s="3">
        <v>2454800</v>
      </c>
      <c r="G24" s="49">
        <f t="shared" si="4"/>
        <v>0</v>
      </c>
      <c r="H24" s="3">
        <f t="shared" si="8"/>
        <v>726473</v>
      </c>
      <c r="I24" s="54">
        <f t="shared" si="5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6"/>
        <v>407665</v>
      </c>
      <c r="C25" s="49">
        <f t="shared" si="9"/>
        <v>0</v>
      </c>
      <c r="D25" s="3">
        <f t="shared" si="7"/>
        <v>3805600</v>
      </c>
      <c r="E25" s="49">
        <f t="shared" si="1"/>
        <v>0</v>
      </c>
      <c r="F25" s="3">
        <v>2454800</v>
      </c>
      <c r="G25" s="49">
        <f>F25-F24</f>
        <v>0</v>
      </c>
      <c r="H25" s="3">
        <f t="shared" si="8"/>
        <v>726473</v>
      </c>
      <c r="I25" s="54">
        <f t="shared" si="5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6"/>
        <v>407665</v>
      </c>
      <c r="C26" s="49">
        <f t="shared" si="9"/>
        <v>0</v>
      </c>
      <c r="D26" s="3">
        <f t="shared" si="7"/>
        <v>3805600</v>
      </c>
      <c r="E26" s="49">
        <f t="shared" si="1"/>
        <v>0</v>
      </c>
      <c r="F26" s="3">
        <v>2454800</v>
      </c>
      <c r="G26" s="49">
        <f t="shared" si="4"/>
        <v>0</v>
      </c>
      <c r="H26" s="3">
        <f t="shared" si="8"/>
        <v>726473</v>
      </c>
      <c r="I26" s="54">
        <f t="shared" si="5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6"/>
        <v>407665</v>
      </c>
      <c r="C27" s="49">
        <f t="shared" si="9"/>
        <v>0</v>
      </c>
      <c r="D27" s="3">
        <f t="shared" si="7"/>
        <v>3805600</v>
      </c>
      <c r="E27" s="49">
        <f t="shared" si="1"/>
        <v>0</v>
      </c>
      <c r="F27" s="3">
        <v>2454800</v>
      </c>
      <c r="G27" s="49">
        <f t="shared" si="4"/>
        <v>0</v>
      </c>
      <c r="H27" s="3">
        <f t="shared" si="8"/>
        <v>726473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6"/>
        <v>407665</v>
      </c>
      <c r="C28" s="49">
        <f t="shared" si="9"/>
        <v>0</v>
      </c>
      <c r="D28" s="3">
        <f t="shared" si="7"/>
        <v>3805600</v>
      </c>
      <c r="E28" s="49">
        <f t="shared" si="1"/>
        <v>0</v>
      </c>
      <c r="F28" s="3">
        <v>2454800</v>
      </c>
      <c r="G28" s="49">
        <f t="shared" si="4"/>
        <v>0</v>
      </c>
      <c r="H28" s="3">
        <f t="shared" si="8"/>
        <v>726473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6"/>
        <v>407665</v>
      </c>
      <c r="C29" s="49">
        <f t="shared" si="9"/>
        <v>0</v>
      </c>
      <c r="D29" s="3">
        <f t="shared" si="7"/>
        <v>3805600</v>
      </c>
      <c r="E29" s="49">
        <f t="shared" si="1"/>
        <v>0</v>
      </c>
      <c r="F29" s="3">
        <v>2454800</v>
      </c>
      <c r="G29" s="49">
        <f t="shared" si="4"/>
        <v>0</v>
      </c>
      <c r="H29" s="3">
        <f t="shared" si="8"/>
        <v>726473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6"/>
        <v>407665</v>
      </c>
      <c r="C30" s="49">
        <f t="shared" si="9"/>
        <v>0</v>
      </c>
      <c r="D30" s="3">
        <f t="shared" si="7"/>
        <v>3805600</v>
      </c>
      <c r="E30" s="49">
        <f t="shared" si="1"/>
        <v>0</v>
      </c>
      <c r="F30" s="3">
        <v>2454800</v>
      </c>
      <c r="G30" s="49">
        <f t="shared" si="4"/>
        <v>0</v>
      </c>
      <c r="H30" s="3">
        <f t="shared" si="8"/>
        <v>726473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6"/>
        <v>407665</v>
      </c>
      <c r="C31" s="49">
        <f t="shared" si="9"/>
        <v>0</v>
      </c>
      <c r="D31" s="3">
        <f t="shared" si="7"/>
        <v>3805600</v>
      </c>
      <c r="E31" s="49">
        <f t="shared" si="1"/>
        <v>0</v>
      </c>
      <c r="F31" s="3">
        <v>2454800</v>
      </c>
      <c r="G31" s="49">
        <f t="shared" si="4"/>
        <v>0</v>
      </c>
      <c r="H31" s="3">
        <f t="shared" si="8"/>
        <v>726473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6"/>
        <v>407665</v>
      </c>
      <c r="C32" s="49">
        <f t="shared" si="9"/>
        <v>0</v>
      </c>
      <c r="D32" s="3">
        <f t="shared" si="7"/>
        <v>3805600</v>
      </c>
      <c r="E32" s="49">
        <f t="shared" si="1"/>
        <v>0</v>
      </c>
      <c r="F32" s="3">
        <v>2454800</v>
      </c>
      <c r="G32" s="49">
        <f t="shared" si="4"/>
        <v>0</v>
      </c>
      <c r="H32" s="3">
        <f t="shared" si="8"/>
        <v>726473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6"/>
        <v>407665</v>
      </c>
      <c r="C33" s="49">
        <f t="shared" si="9"/>
        <v>0</v>
      </c>
      <c r="D33" s="3">
        <f t="shared" si="7"/>
        <v>3805600</v>
      </c>
      <c r="E33" s="49">
        <f t="shared" si="1"/>
        <v>0</v>
      </c>
      <c r="F33" s="3">
        <v>2454800</v>
      </c>
      <c r="G33" s="49">
        <f t="shared" si="4"/>
        <v>0</v>
      </c>
      <c r="H33" s="3">
        <f t="shared" si="8"/>
        <v>726473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2220</v>
      </c>
      <c r="D34" s="3"/>
      <c r="E34" s="66">
        <f>SUM(E3:E33)</f>
        <v>1020.6</v>
      </c>
      <c r="F34" s="3"/>
      <c r="G34" s="66">
        <f>SUM(G3:G33)</f>
        <v>774.9</v>
      </c>
      <c r="H34" s="3"/>
      <c r="I34" s="66">
        <f>SUM(I3:I33)</f>
        <v>12.123000000000001</v>
      </c>
      <c r="J34" s="66">
        <f>SUM(J3:J33)</f>
        <v>4027.623</v>
      </c>
      <c r="K34" s="66">
        <f>SUM(K3:K33)</f>
        <v>23601.870780000001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H5" sqref="A5:XFD5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/>
      <c r="C6" s="49">
        <f t="shared" ref="C5:C33" si="16">C5</f>
        <v>18074</v>
      </c>
      <c r="D6" s="49">
        <f t="shared" si="3"/>
        <v>0</v>
      </c>
      <c r="E6" s="140">
        <f t="shared" ref="E5:E33" si="17">E5</f>
        <v>25456697</v>
      </c>
      <c r="F6" s="49">
        <f t="shared" si="4"/>
        <v>0</v>
      </c>
      <c r="G6" s="144">
        <f t="shared" ref="G5:G33" si="18">G5</f>
        <v>79961546</v>
      </c>
      <c r="H6" s="49">
        <f t="shared" si="5"/>
        <v>0</v>
      </c>
      <c r="I6" s="141">
        <f t="shared" si="6"/>
        <v>0</v>
      </c>
      <c r="J6" s="140">
        <f t="shared" ref="J5:J33" si="19">J5</f>
        <v>7765202</v>
      </c>
      <c r="K6" s="49">
        <f t="shared" si="7"/>
        <v>0</v>
      </c>
      <c r="L6" s="142">
        <f t="shared" ref="L5:L33" si="20">L5</f>
        <v>7790498</v>
      </c>
      <c r="M6" s="49">
        <f t="shared" si="8"/>
        <v>0</v>
      </c>
      <c r="N6" s="140">
        <f t="shared" ref="N5:N33" si="21">N5</f>
        <v>5012346</v>
      </c>
      <c r="O6" s="49">
        <f t="shared" si="15"/>
        <v>0</v>
      </c>
      <c r="P6" s="142">
        <f t="shared" ref="P5:P33" si="22">P5</f>
        <v>2916393</v>
      </c>
      <c r="Q6" s="49">
        <f t="shared" si="9"/>
        <v>0</v>
      </c>
      <c r="R6" s="140">
        <f t="shared" ref="R5:R33" si="23">R5</f>
        <v>17012586</v>
      </c>
      <c r="S6" s="49">
        <f t="shared" si="10"/>
        <v>0</v>
      </c>
      <c r="T6" s="140">
        <v>0</v>
      </c>
      <c r="U6" s="143"/>
      <c r="V6" s="140">
        <f t="shared" ref="V5:V33" si="24">V5</f>
        <v>4607810</v>
      </c>
      <c r="W6" s="49">
        <f t="shared" si="11"/>
        <v>0</v>
      </c>
      <c r="X6" s="28">
        <f t="shared" si="12"/>
        <v>0</v>
      </c>
      <c r="Y6" s="35">
        <f t="shared" si="13"/>
        <v>0</v>
      </c>
      <c r="Z6" s="27">
        <f t="shared" si="14"/>
        <v>0</v>
      </c>
      <c r="AA6" s="27">
        <f>SUM(Z4:Z6)</f>
        <v>11377.251516799999</v>
      </c>
    </row>
    <row r="7" spans="1:27" ht="16.5" thickBot="1" x14ac:dyDescent="0.25">
      <c r="A7" s="10">
        <v>44290</v>
      </c>
      <c r="B7" s="49"/>
      <c r="C7" s="49">
        <f t="shared" si="16"/>
        <v>18074</v>
      </c>
      <c r="D7" s="49">
        <f t="shared" si="3"/>
        <v>0</v>
      </c>
      <c r="E7" s="140">
        <f t="shared" si="17"/>
        <v>25456697</v>
      </c>
      <c r="F7" s="49">
        <f t="shared" si="4"/>
        <v>0</v>
      </c>
      <c r="G7" s="144">
        <f t="shared" si="18"/>
        <v>79961546</v>
      </c>
      <c r="H7" s="49">
        <f t="shared" si="5"/>
        <v>0</v>
      </c>
      <c r="I7" s="141">
        <f t="shared" si="6"/>
        <v>0</v>
      </c>
      <c r="J7" s="140">
        <f t="shared" si="19"/>
        <v>7765202</v>
      </c>
      <c r="K7" s="49">
        <f t="shared" si="7"/>
        <v>0</v>
      </c>
      <c r="L7" s="142">
        <f t="shared" si="20"/>
        <v>7790498</v>
      </c>
      <c r="M7" s="49">
        <f t="shared" si="8"/>
        <v>0</v>
      </c>
      <c r="N7" s="140">
        <f t="shared" si="21"/>
        <v>5012346</v>
      </c>
      <c r="O7" s="49">
        <f t="shared" si="15"/>
        <v>0</v>
      </c>
      <c r="P7" s="142">
        <f t="shared" si="22"/>
        <v>2916393</v>
      </c>
      <c r="Q7" s="49">
        <f t="shared" si="9"/>
        <v>0</v>
      </c>
      <c r="R7" s="140">
        <f t="shared" si="23"/>
        <v>17012586</v>
      </c>
      <c r="S7" s="49">
        <f t="shared" si="10"/>
        <v>0</v>
      </c>
      <c r="T7" s="140">
        <v>0</v>
      </c>
      <c r="U7" s="143"/>
      <c r="V7" s="140">
        <f t="shared" si="24"/>
        <v>4607810</v>
      </c>
      <c r="W7" s="49">
        <f t="shared" si="11"/>
        <v>0</v>
      </c>
      <c r="X7" s="28">
        <f t="shared" si="12"/>
        <v>0</v>
      </c>
      <c r="Y7" s="35">
        <f t="shared" si="13"/>
        <v>0</v>
      </c>
      <c r="Z7" s="27">
        <f t="shared" si="14"/>
        <v>0</v>
      </c>
      <c r="AA7" s="27">
        <f t="shared" ref="AA7:AA33" si="25">SUM(Z4:Z7)</f>
        <v>11377.251516799999</v>
      </c>
    </row>
    <row r="8" spans="1:27" ht="16.5" thickBot="1" x14ac:dyDescent="0.25">
      <c r="A8" s="10">
        <v>44291</v>
      </c>
      <c r="B8" s="49"/>
      <c r="C8" s="49">
        <f t="shared" si="16"/>
        <v>18074</v>
      </c>
      <c r="D8" s="49">
        <f t="shared" si="3"/>
        <v>0</v>
      </c>
      <c r="E8" s="140">
        <f t="shared" si="17"/>
        <v>25456697</v>
      </c>
      <c r="F8" s="49">
        <f t="shared" si="4"/>
        <v>0</v>
      </c>
      <c r="G8" s="144">
        <f t="shared" si="18"/>
        <v>79961546</v>
      </c>
      <c r="H8" s="49">
        <f t="shared" si="5"/>
        <v>0</v>
      </c>
      <c r="I8" s="141">
        <f t="shared" si="6"/>
        <v>0</v>
      </c>
      <c r="J8" s="140">
        <f t="shared" si="19"/>
        <v>7765202</v>
      </c>
      <c r="K8" s="49">
        <f t="shared" si="7"/>
        <v>0</v>
      </c>
      <c r="L8" s="142">
        <f t="shared" si="20"/>
        <v>7790498</v>
      </c>
      <c r="M8" s="49">
        <f t="shared" si="8"/>
        <v>0</v>
      </c>
      <c r="N8" s="140">
        <f t="shared" si="21"/>
        <v>5012346</v>
      </c>
      <c r="O8" s="49">
        <f t="shared" si="15"/>
        <v>0</v>
      </c>
      <c r="P8" s="142">
        <f t="shared" si="22"/>
        <v>2916393</v>
      </c>
      <c r="Q8" s="49">
        <f t="shared" si="9"/>
        <v>0</v>
      </c>
      <c r="R8" s="140">
        <f t="shared" si="23"/>
        <v>17012586</v>
      </c>
      <c r="S8" s="49">
        <f t="shared" si="10"/>
        <v>0</v>
      </c>
      <c r="T8" s="140">
        <v>0</v>
      </c>
      <c r="U8" s="143"/>
      <c r="V8" s="140">
        <f t="shared" si="24"/>
        <v>4607810</v>
      </c>
      <c r="W8" s="49">
        <f t="shared" si="11"/>
        <v>0</v>
      </c>
      <c r="X8" s="28">
        <f t="shared" si="12"/>
        <v>0</v>
      </c>
      <c r="Y8" s="35">
        <f t="shared" si="13"/>
        <v>0</v>
      </c>
      <c r="Z8" s="27">
        <f t="shared" si="14"/>
        <v>0</v>
      </c>
      <c r="AA8" s="27">
        <f t="shared" si="25"/>
        <v>6967.2910527999993</v>
      </c>
    </row>
    <row r="9" spans="1:27" ht="16.5" thickBot="1" x14ac:dyDescent="0.25">
      <c r="A9" s="10">
        <v>44292</v>
      </c>
      <c r="B9" s="49"/>
      <c r="C9" s="49">
        <f t="shared" si="16"/>
        <v>18074</v>
      </c>
      <c r="D9" s="49">
        <f t="shared" si="3"/>
        <v>0</v>
      </c>
      <c r="E9" s="140">
        <f t="shared" si="17"/>
        <v>25456697</v>
      </c>
      <c r="F9" s="49">
        <f t="shared" si="4"/>
        <v>0</v>
      </c>
      <c r="G9" s="144">
        <f t="shared" si="18"/>
        <v>79961546</v>
      </c>
      <c r="H9" s="49">
        <f t="shared" si="5"/>
        <v>0</v>
      </c>
      <c r="I9" s="141">
        <f t="shared" si="6"/>
        <v>0</v>
      </c>
      <c r="J9" s="140">
        <f t="shared" si="19"/>
        <v>7765202</v>
      </c>
      <c r="K9" s="49">
        <f t="shared" si="7"/>
        <v>0</v>
      </c>
      <c r="L9" s="142">
        <f t="shared" si="20"/>
        <v>7790498</v>
      </c>
      <c r="M9" s="49">
        <f t="shared" si="8"/>
        <v>0</v>
      </c>
      <c r="N9" s="140">
        <f t="shared" si="21"/>
        <v>5012346</v>
      </c>
      <c r="O9" s="49">
        <f t="shared" si="15"/>
        <v>0</v>
      </c>
      <c r="P9" s="142">
        <f t="shared" si="22"/>
        <v>2916393</v>
      </c>
      <c r="Q9" s="49">
        <f t="shared" si="9"/>
        <v>0</v>
      </c>
      <c r="R9" s="140">
        <f t="shared" si="23"/>
        <v>17012586</v>
      </c>
      <c r="S9" s="49">
        <f t="shared" si="10"/>
        <v>0</v>
      </c>
      <c r="T9" s="140">
        <v>0</v>
      </c>
      <c r="U9" s="143"/>
      <c r="V9" s="140">
        <f t="shared" si="24"/>
        <v>4607810</v>
      </c>
      <c r="W9" s="49">
        <f t="shared" si="11"/>
        <v>0</v>
      </c>
      <c r="X9" s="28">
        <f t="shared" si="12"/>
        <v>0</v>
      </c>
      <c r="Y9" s="35">
        <f t="shared" si="13"/>
        <v>0</v>
      </c>
      <c r="Z9" s="27">
        <f t="shared" si="14"/>
        <v>0</v>
      </c>
      <c r="AA9" s="27">
        <f t="shared" si="25"/>
        <v>0</v>
      </c>
    </row>
    <row r="10" spans="1:27" ht="16.5" thickBot="1" x14ac:dyDescent="0.25">
      <c r="A10" s="10">
        <v>44293</v>
      </c>
      <c r="B10" s="49"/>
      <c r="C10" s="49">
        <f t="shared" si="16"/>
        <v>18074</v>
      </c>
      <c r="D10" s="49">
        <f t="shared" si="3"/>
        <v>0</v>
      </c>
      <c r="E10" s="140">
        <f t="shared" si="17"/>
        <v>25456697</v>
      </c>
      <c r="F10" s="49">
        <f t="shared" si="4"/>
        <v>0</v>
      </c>
      <c r="G10" s="144">
        <f t="shared" si="18"/>
        <v>79961546</v>
      </c>
      <c r="H10" s="49">
        <f t="shared" si="5"/>
        <v>0</v>
      </c>
      <c r="I10" s="141">
        <f t="shared" si="6"/>
        <v>0</v>
      </c>
      <c r="J10" s="140">
        <f t="shared" si="19"/>
        <v>7765202</v>
      </c>
      <c r="K10" s="49">
        <f t="shared" si="7"/>
        <v>0</v>
      </c>
      <c r="L10" s="142">
        <f t="shared" si="20"/>
        <v>7790498</v>
      </c>
      <c r="M10" s="49">
        <f t="shared" si="8"/>
        <v>0</v>
      </c>
      <c r="N10" s="140">
        <f t="shared" si="21"/>
        <v>5012346</v>
      </c>
      <c r="O10" s="49">
        <f t="shared" si="15"/>
        <v>0</v>
      </c>
      <c r="P10" s="142">
        <f t="shared" si="22"/>
        <v>2916393</v>
      </c>
      <c r="Q10" s="49">
        <f t="shared" si="9"/>
        <v>0</v>
      </c>
      <c r="R10" s="140">
        <f t="shared" si="23"/>
        <v>17012586</v>
      </c>
      <c r="S10" s="49">
        <f t="shared" si="10"/>
        <v>0</v>
      </c>
      <c r="T10" s="140">
        <v>0</v>
      </c>
      <c r="U10" s="143"/>
      <c r="V10" s="140">
        <f t="shared" si="24"/>
        <v>4607810</v>
      </c>
      <c r="W10" s="49">
        <f t="shared" si="11"/>
        <v>0</v>
      </c>
      <c r="X10" s="28">
        <f t="shared" si="12"/>
        <v>0</v>
      </c>
      <c r="Y10" s="35">
        <f t="shared" si="13"/>
        <v>0</v>
      </c>
      <c r="Z10" s="27">
        <f t="shared" si="14"/>
        <v>0</v>
      </c>
      <c r="AA10" s="27">
        <f t="shared" si="25"/>
        <v>0</v>
      </c>
    </row>
    <row r="11" spans="1:27" ht="16.5" thickBot="1" x14ac:dyDescent="0.25">
      <c r="A11" s="10">
        <v>44294</v>
      </c>
      <c r="B11" s="49"/>
      <c r="C11" s="49">
        <f t="shared" si="16"/>
        <v>18074</v>
      </c>
      <c r="D11" s="49">
        <f t="shared" si="3"/>
        <v>0</v>
      </c>
      <c r="E11" s="140">
        <f t="shared" si="17"/>
        <v>25456697</v>
      </c>
      <c r="F11" s="49">
        <f t="shared" si="4"/>
        <v>0</v>
      </c>
      <c r="G11" s="144">
        <f t="shared" si="18"/>
        <v>79961546</v>
      </c>
      <c r="H11" s="49">
        <f t="shared" si="5"/>
        <v>0</v>
      </c>
      <c r="I11" s="141">
        <f t="shared" si="6"/>
        <v>0</v>
      </c>
      <c r="J11" s="140">
        <f t="shared" si="19"/>
        <v>7765202</v>
      </c>
      <c r="K11" s="49">
        <f t="shared" si="7"/>
        <v>0</v>
      </c>
      <c r="L11" s="142">
        <f t="shared" si="20"/>
        <v>7790498</v>
      </c>
      <c r="M11" s="49">
        <f t="shared" si="8"/>
        <v>0</v>
      </c>
      <c r="N11" s="140">
        <f t="shared" si="21"/>
        <v>5012346</v>
      </c>
      <c r="O11" s="49">
        <f t="shared" si="15"/>
        <v>0</v>
      </c>
      <c r="P11" s="142">
        <f t="shared" si="22"/>
        <v>2916393</v>
      </c>
      <c r="Q11" s="49">
        <f t="shared" si="9"/>
        <v>0</v>
      </c>
      <c r="R11" s="140">
        <f t="shared" si="23"/>
        <v>17012586</v>
      </c>
      <c r="S11" s="49">
        <f t="shared" si="10"/>
        <v>0</v>
      </c>
      <c r="T11" s="140">
        <v>0</v>
      </c>
      <c r="U11" s="143"/>
      <c r="V11" s="140">
        <f t="shared" si="24"/>
        <v>4607810</v>
      </c>
      <c r="W11" s="49">
        <f t="shared" si="11"/>
        <v>0</v>
      </c>
      <c r="X11" s="28">
        <f t="shared" si="12"/>
        <v>0</v>
      </c>
      <c r="Y11" s="35">
        <f t="shared" si="13"/>
        <v>0</v>
      </c>
      <c r="Z11" s="27">
        <f t="shared" si="14"/>
        <v>0</v>
      </c>
      <c r="AA11" s="27">
        <f t="shared" si="25"/>
        <v>0</v>
      </c>
    </row>
    <row r="12" spans="1:27" ht="16.5" thickBot="1" x14ac:dyDescent="0.25">
      <c r="A12" s="10">
        <v>44295</v>
      </c>
      <c r="B12" s="49"/>
      <c r="C12" s="49">
        <f t="shared" si="16"/>
        <v>18074</v>
      </c>
      <c r="D12" s="49">
        <f t="shared" si="3"/>
        <v>0</v>
      </c>
      <c r="E12" s="140">
        <f t="shared" si="17"/>
        <v>25456697</v>
      </c>
      <c r="F12" s="49">
        <f t="shared" si="4"/>
        <v>0</v>
      </c>
      <c r="G12" s="144">
        <f t="shared" si="18"/>
        <v>79961546</v>
      </c>
      <c r="H12" s="49">
        <f t="shared" si="5"/>
        <v>0</v>
      </c>
      <c r="I12" s="141">
        <f t="shared" si="6"/>
        <v>0</v>
      </c>
      <c r="J12" s="140">
        <f t="shared" si="19"/>
        <v>7765202</v>
      </c>
      <c r="K12" s="49">
        <f t="shared" si="7"/>
        <v>0</v>
      </c>
      <c r="L12" s="142">
        <f t="shared" si="20"/>
        <v>7790498</v>
      </c>
      <c r="M12" s="49">
        <f t="shared" si="8"/>
        <v>0</v>
      </c>
      <c r="N12" s="140">
        <f t="shared" si="21"/>
        <v>5012346</v>
      </c>
      <c r="O12" s="49">
        <f t="shared" si="15"/>
        <v>0</v>
      </c>
      <c r="P12" s="142">
        <f t="shared" si="22"/>
        <v>2916393</v>
      </c>
      <c r="Q12" s="49">
        <f t="shared" si="9"/>
        <v>0</v>
      </c>
      <c r="R12" s="140">
        <f t="shared" si="23"/>
        <v>17012586</v>
      </c>
      <c r="S12" s="49">
        <f t="shared" si="10"/>
        <v>0</v>
      </c>
      <c r="T12" s="140">
        <v>0</v>
      </c>
      <c r="U12" s="143"/>
      <c r="V12" s="140">
        <f t="shared" si="24"/>
        <v>4607810</v>
      </c>
      <c r="W12" s="49">
        <f t="shared" si="11"/>
        <v>0</v>
      </c>
      <c r="X12" s="28">
        <f t="shared" si="12"/>
        <v>0</v>
      </c>
      <c r="Y12" s="35">
        <f t="shared" si="13"/>
        <v>0</v>
      </c>
      <c r="Z12" s="27">
        <f t="shared" si="14"/>
        <v>0</v>
      </c>
      <c r="AA12" s="27">
        <f t="shared" si="25"/>
        <v>0</v>
      </c>
    </row>
    <row r="13" spans="1:27" ht="16.5" thickBot="1" x14ac:dyDescent="0.25">
      <c r="A13" s="10">
        <v>44296</v>
      </c>
      <c r="B13" s="49"/>
      <c r="C13" s="49">
        <f t="shared" si="16"/>
        <v>18074</v>
      </c>
      <c r="D13" s="49">
        <f t="shared" si="3"/>
        <v>0</v>
      </c>
      <c r="E13" s="140">
        <f t="shared" si="17"/>
        <v>25456697</v>
      </c>
      <c r="F13" s="49">
        <f t="shared" si="4"/>
        <v>0</v>
      </c>
      <c r="G13" s="144">
        <f t="shared" si="18"/>
        <v>79961546</v>
      </c>
      <c r="H13" s="49">
        <f t="shared" si="5"/>
        <v>0</v>
      </c>
      <c r="I13" s="141">
        <f t="shared" si="6"/>
        <v>0</v>
      </c>
      <c r="J13" s="140">
        <f t="shared" si="19"/>
        <v>7765202</v>
      </c>
      <c r="K13" s="49">
        <f t="shared" si="7"/>
        <v>0</v>
      </c>
      <c r="L13" s="142">
        <f t="shared" si="20"/>
        <v>7790498</v>
      </c>
      <c r="M13" s="49">
        <f t="shared" si="8"/>
        <v>0</v>
      </c>
      <c r="N13" s="140">
        <f t="shared" si="21"/>
        <v>5012346</v>
      </c>
      <c r="O13" s="49">
        <f t="shared" si="15"/>
        <v>0</v>
      </c>
      <c r="P13" s="142">
        <f t="shared" si="22"/>
        <v>2916393</v>
      </c>
      <c r="Q13" s="49">
        <f t="shared" si="9"/>
        <v>0</v>
      </c>
      <c r="R13" s="140">
        <f t="shared" si="23"/>
        <v>17012586</v>
      </c>
      <c r="S13" s="49">
        <f>IF((R13-R12)&lt;0,"0",(R13-R12))</f>
        <v>0</v>
      </c>
      <c r="T13" s="140">
        <v>0</v>
      </c>
      <c r="U13" s="143"/>
      <c r="V13" s="140">
        <f t="shared" si="24"/>
        <v>4607810</v>
      </c>
      <c r="W13" s="49">
        <f t="shared" si="11"/>
        <v>0</v>
      </c>
      <c r="X13" s="28">
        <f t="shared" si="12"/>
        <v>0</v>
      </c>
      <c r="Y13" s="35">
        <f t="shared" si="13"/>
        <v>0</v>
      </c>
      <c r="Z13" s="27">
        <f t="shared" si="14"/>
        <v>0</v>
      </c>
      <c r="AA13" s="27">
        <f t="shared" si="25"/>
        <v>0</v>
      </c>
    </row>
    <row r="14" spans="1:27" ht="16.5" thickBot="1" x14ac:dyDescent="0.25">
      <c r="A14" s="10">
        <v>44297</v>
      </c>
      <c r="B14" s="49"/>
      <c r="C14" s="49">
        <f t="shared" si="16"/>
        <v>18074</v>
      </c>
      <c r="D14" s="49">
        <f t="shared" si="3"/>
        <v>0</v>
      </c>
      <c r="E14" s="140">
        <f t="shared" si="17"/>
        <v>25456697</v>
      </c>
      <c r="F14" s="49">
        <f>IF((E14-E13)&lt;0,"0",(E14-E13))</f>
        <v>0</v>
      </c>
      <c r="G14" s="144">
        <f t="shared" si="18"/>
        <v>79961546</v>
      </c>
      <c r="H14" s="49">
        <f t="shared" si="5"/>
        <v>0</v>
      </c>
      <c r="I14" s="141">
        <f t="shared" si="6"/>
        <v>0</v>
      </c>
      <c r="J14" s="140">
        <f t="shared" si="19"/>
        <v>7765202</v>
      </c>
      <c r="K14" s="49">
        <f t="shared" si="7"/>
        <v>0</v>
      </c>
      <c r="L14" s="142">
        <f t="shared" si="20"/>
        <v>7790498</v>
      </c>
      <c r="M14" s="49">
        <f t="shared" si="8"/>
        <v>0</v>
      </c>
      <c r="N14" s="140">
        <f t="shared" si="21"/>
        <v>5012346</v>
      </c>
      <c r="O14" s="49">
        <f t="shared" si="15"/>
        <v>0</v>
      </c>
      <c r="P14" s="142">
        <f t="shared" si="22"/>
        <v>2916393</v>
      </c>
      <c r="Q14" s="49">
        <f t="shared" si="9"/>
        <v>0</v>
      </c>
      <c r="R14" s="140">
        <f t="shared" si="23"/>
        <v>17012586</v>
      </c>
      <c r="S14" s="49">
        <f>IF((R14-R13)&lt;0,"0",(R14-R13))</f>
        <v>0</v>
      </c>
      <c r="T14" s="140">
        <v>0</v>
      </c>
      <c r="U14" s="143"/>
      <c r="V14" s="140">
        <f t="shared" si="24"/>
        <v>4607810</v>
      </c>
      <c r="W14" s="49">
        <f t="shared" si="11"/>
        <v>0</v>
      </c>
      <c r="X14" s="28">
        <f t="shared" si="12"/>
        <v>0</v>
      </c>
      <c r="Y14" s="35">
        <f t="shared" si="13"/>
        <v>0</v>
      </c>
      <c r="Z14" s="27">
        <f t="shared" si="14"/>
        <v>0</v>
      </c>
      <c r="AA14" s="27">
        <f t="shared" si="25"/>
        <v>0</v>
      </c>
    </row>
    <row r="15" spans="1:27" ht="16.5" thickBot="1" x14ac:dyDescent="0.25">
      <c r="A15" s="10">
        <v>44298</v>
      </c>
      <c r="B15" s="49"/>
      <c r="C15" s="49">
        <f t="shared" si="16"/>
        <v>18074</v>
      </c>
      <c r="D15" s="49">
        <f t="shared" si="3"/>
        <v>0</v>
      </c>
      <c r="E15" s="140">
        <f t="shared" si="17"/>
        <v>25456697</v>
      </c>
      <c r="F15" s="49">
        <f>IF((E15-E14)&lt;0,"0",(E15-E14))</f>
        <v>0</v>
      </c>
      <c r="G15" s="144">
        <f t="shared" si="18"/>
        <v>79961546</v>
      </c>
      <c r="H15" s="49">
        <f t="shared" si="5"/>
        <v>0</v>
      </c>
      <c r="I15" s="141">
        <f t="shared" si="6"/>
        <v>0</v>
      </c>
      <c r="J15" s="140">
        <f t="shared" si="19"/>
        <v>7765202</v>
      </c>
      <c r="K15" s="49">
        <f t="shared" si="7"/>
        <v>0</v>
      </c>
      <c r="L15" s="142">
        <f t="shared" si="20"/>
        <v>7790498</v>
      </c>
      <c r="M15" s="49">
        <f t="shared" si="8"/>
        <v>0</v>
      </c>
      <c r="N15" s="140">
        <f t="shared" si="21"/>
        <v>5012346</v>
      </c>
      <c r="O15" s="49">
        <f t="shared" si="15"/>
        <v>0</v>
      </c>
      <c r="P15" s="142">
        <f t="shared" si="22"/>
        <v>2916393</v>
      </c>
      <c r="Q15" s="49">
        <f t="shared" si="9"/>
        <v>0</v>
      </c>
      <c r="R15" s="140">
        <f t="shared" si="23"/>
        <v>17012586</v>
      </c>
      <c r="S15" s="49">
        <f>IF((R15-R14)&lt;0,"0",(R15-R14))</f>
        <v>0</v>
      </c>
      <c r="T15" s="140">
        <v>0</v>
      </c>
      <c r="U15" s="143"/>
      <c r="V15" s="140">
        <f t="shared" si="24"/>
        <v>4607810</v>
      </c>
      <c r="W15" s="49">
        <f t="shared" si="11"/>
        <v>0</v>
      </c>
      <c r="X15" s="28">
        <f t="shared" si="12"/>
        <v>0</v>
      </c>
      <c r="Y15" s="35">
        <f t="shared" si="13"/>
        <v>0</v>
      </c>
      <c r="Z15" s="27">
        <f t="shared" si="14"/>
        <v>0</v>
      </c>
      <c r="AA15" s="27">
        <f t="shared" si="25"/>
        <v>0</v>
      </c>
    </row>
    <row r="16" spans="1:27" ht="16.5" thickBot="1" x14ac:dyDescent="0.25">
      <c r="A16" s="10">
        <v>44299</v>
      </c>
      <c r="B16" s="49"/>
      <c r="C16" s="49">
        <f t="shared" si="16"/>
        <v>18074</v>
      </c>
      <c r="D16" s="49">
        <f t="shared" si="3"/>
        <v>0</v>
      </c>
      <c r="E16" s="140">
        <f t="shared" si="17"/>
        <v>25456697</v>
      </c>
      <c r="F16" s="49">
        <f>IF((E16-E15)&lt;0,"0",(E16-E15))</f>
        <v>0</v>
      </c>
      <c r="G16" s="144">
        <f t="shared" si="18"/>
        <v>79961546</v>
      </c>
      <c r="H16" s="49">
        <f t="shared" si="5"/>
        <v>0</v>
      </c>
      <c r="I16" s="141">
        <f t="shared" si="6"/>
        <v>0</v>
      </c>
      <c r="J16" s="140">
        <f t="shared" si="19"/>
        <v>7765202</v>
      </c>
      <c r="K16" s="49">
        <f t="shared" si="7"/>
        <v>0</v>
      </c>
      <c r="L16" s="142">
        <f t="shared" si="20"/>
        <v>7790498</v>
      </c>
      <c r="M16" s="49">
        <f t="shared" si="8"/>
        <v>0</v>
      </c>
      <c r="N16" s="140">
        <f t="shared" si="21"/>
        <v>5012346</v>
      </c>
      <c r="O16" s="49">
        <f t="shared" si="15"/>
        <v>0</v>
      </c>
      <c r="P16" s="142">
        <f t="shared" si="22"/>
        <v>2916393</v>
      </c>
      <c r="Q16" s="49">
        <f t="shared" si="9"/>
        <v>0</v>
      </c>
      <c r="R16" s="140">
        <f t="shared" si="23"/>
        <v>17012586</v>
      </c>
      <c r="S16" s="49">
        <f t="shared" si="10"/>
        <v>0</v>
      </c>
      <c r="T16" s="140">
        <v>0</v>
      </c>
      <c r="U16" s="143"/>
      <c r="V16" s="140">
        <f t="shared" si="24"/>
        <v>4607810</v>
      </c>
      <c r="W16" s="49">
        <f t="shared" si="11"/>
        <v>0</v>
      </c>
      <c r="X16" s="28">
        <f t="shared" si="12"/>
        <v>0</v>
      </c>
      <c r="Y16" s="35">
        <f t="shared" si="13"/>
        <v>0</v>
      </c>
      <c r="Z16" s="27">
        <f t="shared" si="14"/>
        <v>0</v>
      </c>
      <c r="AA16" s="27">
        <f t="shared" si="25"/>
        <v>0</v>
      </c>
    </row>
    <row r="17" spans="1:27" s="154" customFormat="1" ht="16.5" thickBot="1" x14ac:dyDescent="0.25">
      <c r="A17" s="10">
        <v>44300</v>
      </c>
      <c r="B17" s="149"/>
      <c r="C17" s="49">
        <f t="shared" si="16"/>
        <v>18074</v>
      </c>
      <c r="D17" s="49">
        <f t="shared" si="3"/>
        <v>0</v>
      </c>
      <c r="E17" s="140">
        <f t="shared" si="17"/>
        <v>25456697</v>
      </c>
      <c r="F17" s="149">
        <f t="shared" si="4"/>
        <v>0</v>
      </c>
      <c r="G17" s="144">
        <f t="shared" si="18"/>
        <v>79961546</v>
      </c>
      <c r="H17" s="49">
        <f t="shared" si="5"/>
        <v>0</v>
      </c>
      <c r="I17" s="151">
        <f t="shared" si="6"/>
        <v>0</v>
      </c>
      <c r="J17" s="140">
        <f t="shared" si="19"/>
        <v>7765202</v>
      </c>
      <c r="K17" s="149">
        <f t="shared" si="7"/>
        <v>0</v>
      </c>
      <c r="L17" s="142">
        <f t="shared" si="20"/>
        <v>7790498</v>
      </c>
      <c r="M17" s="149">
        <f t="shared" si="8"/>
        <v>0</v>
      </c>
      <c r="N17" s="140">
        <f t="shared" si="21"/>
        <v>5012346</v>
      </c>
      <c r="O17" s="149">
        <f t="shared" si="15"/>
        <v>0</v>
      </c>
      <c r="P17" s="142">
        <f t="shared" si="22"/>
        <v>2916393</v>
      </c>
      <c r="Q17" s="149">
        <f t="shared" si="9"/>
        <v>0</v>
      </c>
      <c r="R17" s="140">
        <f t="shared" si="23"/>
        <v>17012586</v>
      </c>
      <c r="S17" s="149">
        <f t="shared" si="10"/>
        <v>0</v>
      </c>
      <c r="T17" s="150">
        <v>0</v>
      </c>
      <c r="U17" s="143"/>
      <c r="V17" s="140">
        <f t="shared" si="24"/>
        <v>4607810</v>
      </c>
      <c r="W17" s="149">
        <f t="shared" si="11"/>
        <v>0</v>
      </c>
      <c r="X17" s="28">
        <f t="shared" si="12"/>
        <v>0</v>
      </c>
      <c r="Y17" s="152">
        <f t="shared" si="13"/>
        <v>0</v>
      </c>
      <c r="Z17" s="153">
        <f t="shared" si="14"/>
        <v>0</v>
      </c>
      <c r="AA17" s="153">
        <f t="shared" si="25"/>
        <v>0</v>
      </c>
    </row>
    <row r="18" spans="1:27" s="154" customFormat="1" ht="16.5" thickBot="1" x14ac:dyDescent="0.25">
      <c r="A18" s="10">
        <v>44301</v>
      </c>
      <c r="B18" s="149"/>
      <c r="C18" s="49">
        <f t="shared" si="16"/>
        <v>18074</v>
      </c>
      <c r="D18" s="49">
        <f t="shared" si="3"/>
        <v>0</v>
      </c>
      <c r="E18" s="140">
        <f t="shared" si="17"/>
        <v>25456697</v>
      </c>
      <c r="F18" s="149">
        <f t="shared" si="4"/>
        <v>0</v>
      </c>
      <c r="G18" s="144">
        <f t="shared" si="18"/>
        <v>79961546</v>
      </c>
      <c r="H18" s="49">
        <f t="shared" si="5"/>
        <v>0</v>
      </c>
      <c r="I18" s="151">
        <f t="shared" si="6"/>
        <v>0</v>
      </c>
      <c r="J18" s="140">
        <f t="shared" si="19"/>
        <v>7765202</v>
      </c>
      <c r="K18" s="149">
        <f t="shared" si="7"/>
        <v>0</v>
      </c>
      <c r="L18" s="142">
        <f t="shared" si="20"/>
        <v>7790498</v>
      </c>
      <c r="M18" s="149">
        <f t="shared" si="8"/>
        <v>0</v>
      </c>
      <c r="N18" s="140">
        <f t="shared" si="21"/>
        <v>5012346</v>
      </c>
      <c r="O18" s="149">
        <f t="shared" si="15"/>
        <v>0</v>
      </c>
      <c r="P18" s="142">
        <f t="shared" si="22"/>
        <v>2916393</v>
      </c>
      <c r="Q18" s="149">
        <f t="shared" si="9"/>
        <v>0</v>
      </c>
      <c r="R18" s="140">
        <f t="shared" si="23"/>
        <v>17012586</v>
      </c>
      <c r="S18" s="149">
        <f t="shared" si="10"/>
        <v>0</v>
      </c>
      <c r="T18" s="150">
        <v>0</v>
      </c>
      <c r="U18" s="143"/>
      <c r="V18" s="140">
        <f t="shared" si="24"/>
        <v>4607810</v>
      </c>
      <c r="W18" s="149">
        <f t="shared" si="11"/>
        <v>0</v>
      </c>
      <c r="X18" s="28">
        <f t="shared" si="12"/>
        <v>0</v>
      </c>
      <c r="Y18" s="152">
        <f t="shared" si="13"/>
        <v>0</v>
      </c>
      <c r="Z18" s="153">
        <f t="shared" si="14"/>
        <v>0</v>
      </c>
      <c r="AA18" s="153">
        <f t="shared" si="25"/>
        <v>0</v>
      </c>
    </row>
    <row r="19" spans="1:27" s="154" customFormat="1" ht="16.5" thickBot="1" x14ac:dyDescent="0.25">
      <c r="A19" s="10">
        <v>44302</v>
      </c>
      <c r="B19" s="149"/>
      <c r="C19" s="49">
        <f t="shared" si="16"/>
        <v>18074</v>
      </c>
      <c r="D19" s="49">
        <f>IF((C19-C18)&lt;0,"0",(C19-C18))*160</f>
        <v>0</v>
      </c>
      <c r="E19" s="140">
        <f t="shared" si="17"/>
        <v>25456697</v>
      </c>
      <c r="F19" s="149">
        <f t="shared" si="4"/>
        <v>0</v>
      </c>
      <c r="G19" s="144">
        <f t="shared" si="18"/>
        <v>79961546</v>
      </c>
      <c r="H19" s="49">
        <f t="shared" si="5"/>
        <v>0</v>
      </c>
      <c r="I19" s="151">
        <f t="shared" si="6"/>
        <v>0</v>
      </c>
      <c r="J19" s="140">
        <f t="shared" si="19"/>
        <v>7765202</v>
      </c>
      <c r="K19" s="149">
        <f t="shared" si="7"/>
        <v>0</v>
      </c>
      <c r="L19" s="142">
        <f t="shared" si="20"/>
        <v>7790498</v>
      </c>
      <c r="M19" s="149">
        <f t="shared" si="8"/>
        <v>0</v>
      </c>
      <c r="N19" s="140">
        <f t="shared" si="21"/>
        <v>5012346</v>
      </c>
      <c r="O19" s="149">
        <f t="shared" si="15"/>
        <v>0</v>
      </c>
      <c r="P19" s="142">
        <f t="shared" si="22"/>
        <v>2916393</v>
      </c>
      <c r="Q19" s="149">
        <f t="shared" si="9"/>
        <v>0</v>
      </c>
      <c r="R19" s="140">
        <f t="shared" si="23"/>
        <v>17012586</v>
      </c>
      <c r="S19" s="149">
        <f t="shared" si="10"/>
        <v>0</v>
      </c>
      <c r="T19" s="150">
        <v>0</v>
      </c>
      <c r="U19" s="143"/>
      <c r="V19" s="140">
        <f t="shared" si="24"/>
        <v>4607810</v>
      </c>
      <c r="W19" s="149">
        <f t="shared" si="11"/>
        <v>0</v>
      </c>
      <c r="X19" s="28">
        <f t="shared" si="12"/>
        <v>0</v>
      </c>
      <c r="Y19" s="152">
        <f t="shared" si="13"/>
        <v>0</v>
      </c>
      <c r="Z19" s="153">
        <f t="shared" si="14"/>
        <v>0</v>
      </c>
      <c r="AA19" s="153">
        <f t="shared" si="25"/>
        <v>0</v>
      </c>
    </row>
    <row r="20" spans="1:27" s="154" customFormat="1" ht="16.5" thickBot="1" x14ac:dyDescent="0.25">
      <c r="A20" s="10">
        <v>44303</v>
      </c>
      <c r="B20" s="149"/>
      <c r="C20" s="49">
        <f t="shared" si="16"/>
        <v>18074</v>
      </c>
      <c r="D20" s="49">
        <f>IF((C20-C19)&lt;0,"0",(C20-C19))*160</f>
        <v>0</v>
      </c>
      <c r="E20" s="140">
        <f t="shared" si="17"/>
        <v>25456697</v>
      </c>
      <c r="F20" s="149">
        <f t="shared" si="4"/>
        <v>0</v>
      </c>
      <c r="G20" s="144">
        <f t="shared" si="18"/>
        <v>79961546</v>
      </c>
      <c r="H20" s="49">
        <f t="shared" si="5"/>
        <v>0</v>
      </c>
      <c r="I20" s="151">
        <f t="shared" si="6"/>
        <v>0</v>
      </c>
      <c r="J20" s="140">
        <f t="shared" si="19"/>
        <v>7765202</v>
      </c>
      <c r="K20" s="149">
        <f t="shared" si="7"/>
        <v>0</v>
      </c>
      <c r="L20" s="142">
        <f t="shared" si="20"/>
        <v>7790498</v>
      </c>
      <c r="M20" s="149">
        <f t="shared" si="8"/>
        <v>0</v>
      </c>
      <c r="N20" s="140">
        <f t="shared" si="21"/>
        <v>5012346</v>
      </c>
      <c r="O20" s="149">
        <f t="shared" si="15"/>
        <v>0</v>
      </c>
      <c r="P20" s="142">
        <f t="shared" si="22"/>
        <v>2916393</v>
      </c>
      <c r="Q20" s="149">
        <f t="shared" si="9"/>
        <v>0</v>
      </c>
      <c r="R20" s="140">
        <f t="shared" si="23"/>
        <v>17012586</v>
      </c>
      <c r="S20" s="149">
        <f t="shared" si="10"/>
        <v>0</v>
      </c>
      <c r="T20" s="150">
        <v>0</v>
      </c>
      <c r="U20" s="143"/>
      <c r="V20" s="140">
        <f t="shared" si="24"/>
        <v>4607810</v>
      </c>
      <c r="W20" s="149">
        <f t="shared" si="11"/>
        <v>0</v>
      </c>
      <c r="X20" s="28">
        <f t="shared" si="12"/>
        <v>0</v>
      </c>
      <c r="Y20" s="152">
        <f t="shared" si="13"/>
        <v>0</v>
      </c>
      <c r="Z20" s="153">
        <f t="shared" si="14"/>
        <v>0</v>
      </c>
      <c r="AA20" s="153">
        <f t="shared" si="25"/>
        <v>0</v>
      </c>
    </row>
    <row r="21" spans="1:27" s="154" customFormat="1" ht="16.5" thickBot="1" x14ac:dyDescent="0.25">
      <c r="A21" s="10">
        <v>44304</v>
      </c>
      <c r="B21" s="149"/>
      <c r="C21" s="49">
        <f t="shared" si="16"/>
        <v>18074</v>
      </c>
      <c r="D21" s="49">
        <f>IF((C21-C20)&lt;0,"0",(C21-C20))*160</f>
        <v>0</v>
      </c>
      <c r="E21" s="140">
        <f t="shared" si="17"/>
        <v>25456697</v>
      </c>
      <c r="F21" s="149">
        <f t="shared" si="4"/>
        <v>0</v>
      </c>
      <c r="G21" s="144">
        <f t="shared" si="18"/>
        <v>79961546</v>
      </c>
      <c r="H21" s="49">
        <f t="shared" si="5"/>
        <v>0</v>
      </c>
      <c r="I21" s="151">
        <f t="shared" si="6"/>
        <v>0</v>
      </c>
      <c r="J21" s="140">
        <f t="shared" si="19"/>
        <v>7765202</v>
      </c>
      <c r="K21" s="149">
        <f t="shared" si="7"/>
        <v>0</v>
      </c>
      <c r="L21" s="142">
        <f t="shared" si="20"/>
        <v>7790498</v>
      </c>
      <c r="M21" s="149">
        <f t="shared" si="8"/>
        <v>0</v>
      </c>
      <c r="N21" s="140">
        <f t="shared" si="21"/>
        <v>5012346</v>
      </c>
      <c r="O21" s="149">
        <f t="shared" si="15"/>
        <v>0</v>
      </c>
      <c r="P21" s="142">
        <f t="shared" si="22"/>
        <v>2916393</v>
      </c>
      <c r="Q21" s="149">
        <f t="shared" si="9"/>
        <v>0</v>
      </c>
      <c r="R21" s="140">
        <f t="shared" si="23"/>
        <v>17012586</v>
      </c>
      <c r="S21" s="149">
        <f t="shared" si="10"/>
        <v>0</v>
      </c>
      <c r="T21" s="150">
        <v>0</v>
      </c>
      <c r="U21" s="143"/>
      <c r="V21" s="140">
        <f t="shared" si="24"/>
        <v>4607810</v>
      </c>
      <c r="W21" s="149">
        <f t="shared" si="11"/>
        <v>0</v>
      </c>
      <c r="X21" s="28">
        <f t="shared" si="12"/>
        <v>0</v>
      </c>
      <c r="Y21" s="152">
        <f t="shared" si="13"/>
        <v>0</v>
      </c>
      <c r="Z21" s="153">
        <f t="shared" si="14"/>
        <v>0</v>
      </c>
      <c r="AA21" s="153">
        <f t="shared" si="25"/>
        <v>0</v>
      </c>
    </row>
    <row r="22" spans="1:27" ht="16.5" thickBot="1" x14ac:dyDescent="0.25">
      <c r="A22" s="10">
        <v>44305</v>
      </c>
      <c r="B22" s="49"/>
      <c r="C22" s="49">
        <f t="shared" si="16"/>
        <v>18074</v>
      </c>
      <c r="D22" s="49">
        <f t="shared" si="3"/>
        <v>0</v>
      </c>
      <c r="E22" s="140">
        <f t="shared" si="17"/>
        <v>25456697</v>
      </c>
      <c r="F22" s="49">
        <f t="shared" si="4"/>
        <v>0</v>
      </c>
      <c r="G22" s="144">
        <f t="shared" si="18"/>
        <v>79961546</v>
      </c>
      <c r="H22" s="49">
        <f t="shared" si="5"/>
        <v>0</v>
      </c>
      <c r="I22" s="141">
        <f t="shared" si="6"/>
        <v>0</v>
      </c>
      <c r="J22" s="140">
        <f t="shared" si="19"/>
        <v>7765202</v>
      </c>
      <c r="K22" s="49">
        <f t="shared" si="7"/>
        <v>0</v>
      </c>
      <c r="L22" s="142">
        <f t="shared" si="20"/>
        <v>7790498</v>
      </c>
      <c r="M22" s="49">
        <f t="shared" si="8"/>
        <v>0</v>
      </c>
      <c r="N22" s="140">
        <f t="shared" si="21"/>
        <v>5012346</v>
      </c>
      <c r="O22" s="49">
        <f t="shared" si="15"/>
        <v>0</v>
      </c>
      <c r="P22" s="142">
        <f t="shared" si="22"/>
        <v>2916393</v>
      </c>
      <c r="Q22" s="49">
        <f t="shared" si="9"/>
        <v>0</v>
      </c>
      <c r="R22" s="140">
        <f t="shared" si="23"/>
        <v>17012586</v>
      </c>
      <c r="S22" s="49">
        <f t="shared" si="10"/>
        <v>0</v>
      </c>
      <c r="T22" s="140">
        <v>0</v>
      </c>
      <c r="U22" s="143"/>
      <c r="V22" s="140">
        <f t="shared" si="24"/>
        <v>4607810</v>
      </c>
      <c r="W22" s="49">
        <f t="shared" si="11"/>
        <v>0</v>
      </c>
      <c r="X22" s="28">
        <f t="shared" si="12"/>
        <v>0</v>
      </c>
      <c r="Y22" s="35">
        <f t="shared" si="13"/>
        <v>0</v>
      </c>
      <c r="Z22" s="27">
        <f t="shared" si="14"/>
        <v>0</v>
      </c>
      <c r="AA22" s="27">
        <f t="shared" si="25"/>
        <v>0</v>
      </c>
    </row>
    <row r="23" spans="1:27" ht="16.5" thickBot="1" x14ac:dyDescent="0.25">
      <c r="A23" s="10">
        <v>44306</v>
      </c>
      <c r="B23" s="49"/>
      <c r="C23" s="49">
        <f t="shared" si="16"/>
        <v>18074</v>
      </c>
      <c r="D23" s="49">
        <f t="shared" si="3"/>
        <v>0</v>
      </c>
      <c r="E23" s="140">
        <f t="shared" si="17"/>
        <v>25456697</v>
      </c>
      <c r="F23" s="49">
        <f t="shared" si="4"/>
        <v>0</v>
      </c>
      <c r="G23" s="144">
        <f t="shared" si="18"/>
        <v>79961546</v>
      </c>
      <c r="H23" s="49">
        <f t="shared" si="5"/>
        <v>0</v>
      </c>
      <c r="I23" s="141">
        <f t="shared" si="6"/>
        <v>0</v>
      </c>
      <c r="J23" s="140">
        <f t="shared" si="19"/>
        <v>7765202</v>
      </c>
      <c r="K23" s="49">
        <f t="shared" si="7"/>
        <v>0</v>
      </c>
      <c r="L23" s="142">
        <f t="shared" si="20"/>
        <v>7790498</v>
      </c>
      <c r="M23" s="49">
        <f t="shared" si="8"/>
        <v>0</v>
      </c>
      <c r="N23" s="140">
        <f t="shared" si="21"/>
        <v>5012346</v>
      </c>
      <c r="O23" s="49">
        <f t="shared" si="15"/>
        <v>0</v>
      </c>
      <c r="P23" s="142">
        <f t="shared" si="22"/>
        <v>2916393</v>
      </c>
      <c r="Q23" s="49">
        <f t="shared" si="9"/>
        <v>0</v>
      </c>
      <c r="R23" s="140">
        <f t="shared" si="23"/>
        <v>17012586</v>
      </c>
      <c r="S23" s="49">
        <f t="shared" si="10"/>
        <v>0</v>
      </c>
      <c r="T23" s="140">
        <v>0</v>
      </c>
      <c r="U23" s="143"/>
      <c r="V23" s="140">
        <f t="shared" si="24"/>
        <v>4607810</v>
      </c>
      <c r="W23" s="49">
        <f t="shared" si="11"/>
        <v>0</v>
      </c>
      <c r="X23" s="28">
        <f t="shared" si="12"/>
        <v>0</v>
      </c>
      <c r="Y23" s="35">
        <f t="shared" si="13"/>
        <v>0</v>
      </c>
      <c r="Z23" s="27">
        <f t="shared" si="14"/>
        <v>0</v>
      </c>
      <c r="AA23" s="27">
        <f t="shared" si="25"/>
        <v>0</v>
      </c>
    </row>
    <row r="24" spans="1:27" ht="16.5" thickBot="1" x14ac:dyDescent="0.25">
      <c r="A24" s="10">
        <v>44307</v>
      </c>
      <c r="B24" s="49"/>
      <c r="C24" s="49">
        <f t="shared" si="16"/>
        <v>18074</v>
      </c>
      <c r="D24" s="49">
        <f t="shared" si="3"/>
        <v>0</v>
      </c>
      <c r="E24" s="140">
        <f t="shared" si="17"/>
        <v>25456697</v>
      </c>
      <c r="F24" s="49">
        <f t="shared" si="4"/>
        <v>0</v>
      </c>
      <c r="G24" s="144">
        <f t="shared" si="18"/>
        <v>79961546</v>
      </c>
      <c r="H24" s="49">
        <f t="shared" si="5"/>
        <v>0</v>
      </c>
      <c r="I24" s="141">
        <f t="shared" si="6"/>
        <v>0</v>
      </c>
      <c r="J24" s="140">
        <f t="shared" si="19"/>
        <v>7765202</v>
      </c>
      <c r="K24" s="49">
        <f t="shared" si="7"/>
        <v>0</v>
      </c>
      <c r="L24" s="142">
        <f t="shared" si="20"/>
        <v>7790498</v>
      </c>
      <c r="M24" s="49">
        <f t="shared" si="8"/>
        <v>0</v>
      </c>
      <c r="N24" s="140">
        <f t="shared" si="21"/>
        <v>5012346</v>
      </c>
      <c r="O24" s="49">
        <f t="shared" si="15"/>
        <v>0</v>
      </c>
      <c r="P24" s="142">
        <f t="shared" si="22"/>
        <v>2916393</v>
      </c>
      <c r="Q24" s="49">
        <f t="shared" si="9"/>
        <v>0</v>
      </c>
      <c r="R24" s="140">
        <f t="shared" si="23"/>
        <v>17012586</v>
      </c>
      <c r="S24" s="49">
        <f t="shared" si="10"/>
        <v>0</v>
      </c>
      <c r="T24" s="140">
        <v>0</v>
      </c>
      <c r="U24" s="143"/>
      <c r="V24" s="140">
        <f t="shared" si="24"/>
        <v>4607810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25"/>
        <v>0</v>
      </c>
    </row>
    <row r="25" spans="1:27" ht="16.5" thickBot="1" x14ac:dyDescent="0.25">
      <c r="A25" s="10">
        <v>44308</v>
      </c>
      <c r="B25" s="49"/>
      <c r="C25" s="49">
        <f t="shared" si="16"/>
        <v>18074</v>
      </c>
      <c r="D25" s="49">
        <f t="shared" si="3"/>
        <v>0</v>
      </c>
      <c r="E25" s="140">
        <f t="shared" si="17"/>
        <v>25456697</v>
      </c>
      <c r="F25" s="49">
        <f t="shared" si="4"/>
        <v>0</v>
      </c>
      <c r="G25" s="144">
        <f t="shared" si="18"/>
        <v>79961546</v>
      </c>
      <c r="H25" s="49">
        <f t="shared" si="5"/>
        <v>0</v>
      </c>
      <c r="I25" s="141">
        <f t="shared" si="6"/>
        <v>0</v>
      </c>
      <c r="J25" s="140">
        <f t="shared" si="19"/>
        <v>7765202</v>
      </c>
      <c r="K25" s="49">
        <f t="shared" si="7"/>
        <v>0</v>
      </c>
      <c r="L25" s="142">
        <f t="shared" si="20"/>
        <v>7790498</v>
      </c>
      <c r="M25" s="49">
        <f t="shared" si="8"/>
        <v>0</v>
      </c>
      <c r="N25" s="140">
        <f t="shared" si="21"/>
        <v>5012346</v>
      </c>
      <c r="O25" s="49">
        <f t="shared" si="15"/>
        <v>0</v>
      </c>
      <c r="P25" s="142">
        <f t="shared" si="22"/>
        <v>2916393</v>
      </c>
      <c r="Q25" s="49">
        <f t="shared" si="9"/>
        <v>0</v>
      </c>
      <c r="R25" s="140">
        <f t="shared" si="23"/>
        <v>17012586</v>
      </c>
      <c r="S25" s="49">
        <f t="shared" si="10"/>
        <v>0</v>
      </c>
      <c r="T25" s="140">
        <v>0</v>
      </c>
      <c r="U25" s="143"/>
      <c r="V25" s="140">
        <f t="shared" si="24"/>
        <v>4607810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25"/>
        <v>0</v>
      </c>
    </row>
    <row r="26" spans="1:27" ht="16.5" thickBot="1" x14ac:dyDescent="0.25">
      <c r="A26" s="10">
        <v>44309</v>
      </c>
      <c r="B26" s="49"/>
      <c r="C26" s="49">
        <f t="shared" si="16"/>
        <v>18074</v>
      </c>
      <c r="D26" s="49">
        <f t="shared" si="3"/>
        <v>0</v>
      </c>
      <c r="E26" s="140">
        <f t="shared" si="17"/>
        <v>25456697</v>
      </c>
      <c r="F26" s="49">
        <f t="shared" si="4"/>
        <v>0</v>
      </c>
      <c r="G26" s="144">
        <f t="shared" si="18"/>
        <v>79961546</v>
      </c>
      <c r="H26" s="49">
        <f t="shared" si="5"/>
        <v>0</v>
      </c>
      <c r="I26" s="141">
        <f t="shared" si="6"/>
        <v>0</v>
      </c>
      <c r="J26" s="140">
        <f t="shared" si="19"/>
        <v>7765202</v>
      </c>
      <c r="K26" s="49">
        <f t="shared" si="7"/>
        <v>0</v>
      </c>
      <c r="L26" s="142">
        <f t="shared" si="20"/>
        <v>7790498</v>
      </c>
      <c r="M26" s="49">
        <f t="shared" si="8"/>
        <v>0</v>
      </c>
      <c r="N26" s="140">
        <f t="shared" si="21"/>
        <v>5012346</v>
      </c>
      <c r="O26" s="49">
        <f t="shared" si="15"/>
        <v>0</v>
      </c>
      <c r="P26" s="142">
        <f t="shared" si="22"/>
        <v>2916393</v>
      </c>
      <c r="Q26" s="49">
        <f t="shared" si="9"/>
        <v>0</v>
      </c>
      <c r="R26" s="140">
        <f t="shared" si="23"/>
        <v>17012586</v>
      </c>
      <c r="S26" s="49">
        <f t="shared" si="10"/>
        <v>0</v>
      </c>
      <c r="T26" s="140">
        <v>0</v>
      </c>
      <c r="U26" s="143"/>
      <c r="V26" s="140">
        <f t="shared" si="24"/>
        <v>4607810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25"/>
        <v>0</v>
      </c>
    </row>
    <row r="27" spans="1:27" ht="16.5" thickBot="1" x14ac:dyDescent="0.25">
      <c r="A27" s="10">
        <v>44310</v>
      </c>
      <c r="B27" s="49"/>
      <c r="C27" s="49">
        <f t="shared" si="16"/>
        <v>18074</v>
      </c>
      <c r="D27" s="49">
        <f t="shared" si="3"/>
        <v>0</v>
      </c>
      <c r="E27" s="140">
        <f t="shared" si="17"/>
        <v>25456697</v>
      </c>
      <c r="F27" s="49">
        <f t="shared" si="4"/>
        <v>0</v>
      </c>
      <c r="G27" s="144">
        <f t="shared" si="18"/>
        <v>79961546</v>
      </c>
      <c r="H27" s="49">
        <f t="shared" si="5"/>
        <v>0</v>
      </c>
      <c r="I27" s="141">
        <f t="shared" si="6"/>
        <v>0</v>
      </c>
      <c r="J27" s="140">
        <f t="shared" si="19"/>
        <v>7765202</v>
      </c>
      <c r="K27" s="49">
        <f t="shared" si="7"/>
        <v>0</v>
      </c>
      <c r="L27" s="142">
        <f t="shared" si="20"/>
        <v>7790498</v>
      </c>
      <c r="M27" s="49">
        <f t="shared" si="8"/>
        <v>0</v>
      </c>
      <c r="N27" s="140">
        <f t="shared" si="21"/>
        <v>5012346</v>
      </c>
      <c r="O27" s="49">
        <f t="shared" si="15"/>
        <v>0</v>
      </c>
      <c r="P27" s="142">
        <f t="shared" si="22"/>
        <v>2916393</v>
      </c>
      <c r="Q27" s="49">
        <f t="shared" si="9"/>
        <v>0</v>
      </c>
      <c r="R27" s="140">
        <f t="shared" si="23"/>
        <v>17012586</v>
      </c>
      <c r="S27" s="49">
        <f t="shared" si="10"/>
        <v>0</v>
      </c>
      <c r="T27" s="140">
        <v>0</v>
      </c>
      <c r="U27" s="143"/>
      <c r="V27" s="140">
        <f t="shared" si="24"/>
        <v>4607810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25"/>
        <v>0</v>
      </c>
    </row>
    <row r="28" spans="1:27" ht="16.5" thickBot="1" x14ac:dyDescent="0.25">
      <c r="A28" s="10">
        <v>44311</v>
      </c>
      <c r="B28" s="49"/>
      <c r="C28" s="49">
        <f t="shared" si="16"/>
        <v>18074</v>
      </c>
      <c r="D28" s="49">
        <f t="shared" si="3"/>
        <v>0</v>
      </c>
      <c r="E28" s="140">
        <f t="shared" si="17"/>
        <v>25456697</v>
      </c>
      <c r="F28" s="49">
        <f t="shared" si="4"/>
        <v>0</v>
      </c>
      <c r="G28" s="144">
        <f t="shared" si="18"/>
        <v>79961546</v>
      </c>
      <c r="H28" s="49">
        <f t="shared" si="5"/>
        <v>0</v>
      </c>
      <c r="I28" s="141">
        <f t="shared" si="6"/>
        <v>0</v>
      </c>
      <c r="J28" s="140">
        <f t="shared" si="19"/>
        <v>7765202</v>
      </c>
      <c r="K28" s="49">
        <f t="shared" si="7"/>
        <v>0</v>
      </c>
      <c r="L28" s="142">
        <f t="shared" si="20"/>
        <v>7790498</v>
      </c>
      <c r="M28" s="49">
        <f t="shared" si="8"/>
        <v>0</v>
      </c>
      <c r="N28" s="140">
        <f t="shared" si="21"/>
        <v>5012346</v>
      </c>
      <c r="O28" s="49">
        <f t="shared" si="15"/>
        <v>0</v>
      </c>
      <c r="P28" s="142">
        <f t="shared" si="22"/>
        <v>2916393</v>
      </c>
      <c r="Q28" s="49">
        <f t="shared" si="9"/>
        <v>0</v>
      </c>
      <c r="R28" s="140">
        <f t="shared" si="23"/>
        <v>17012586</v>
      </c>
      <c r="S28" s="49">
        <f t="shared" si="10"/>
        <v>0</v>
      </c>
      <c r="T28" s="140">
        <v>0</v>
      </c>
      <c r="U28" s="143"/>
      <c r="V28" s="140">
        <f t="shared" si="24"/>
        <v>4607810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25"/>
        <v>0</v>
      </c>
    </row>
    <row r="29" spans="1:27" ht="16.5" thickBot="1" x14ac:dyDescent="0.25">
      <c r="A29" s="10">
        <v>44312</v>
      </c>
      <c r="B29" s="49"/>
      <c r="C29" s="49">
        <f t="shared" si="16"/>
        <v>18074</v>
      </c>
      <c r="D29" s="49">
        <f t="shared" si="3"/>
        <v>0</v>
      </c>
      <c r="E29" s="140">
        <f t="shared" si="17"/>
        <v>25456697</v>
      </c>
      <c r="F29" s="49">
        <f t="shared" si="4"/>
        <v>0</v>
      </c>
      <c r="G29" s="144">
        <f t="shared" si="18"/>
        <v>79961546</v>
      </c>
      <c r="H29" s="49">
        <f t="shared" si="5"/>
        <v>0</v>
      </c>
      <c r="I29" s="141">
        <f t="shared" si="6"/>
        <v>0</v>
      </c>
      <c r="J29" s="140">
        <f t="shared" si="19"/>
        <v>7765202</v>
      </c>
      <c r="K29" s="49">
        <f t="shared" si="7"/>
        <v>0</v>
      </c>
      <c r="L29" s="142">
        <f t="shared" si="20"/>
        <v>7790498</v>
      </c>
      <c r="M29" s="49">
        <f t="shared" si="8"/>
        <v>0</v>
      </c>
      <c r="N29" s="140">
        <f t="shared" si="21"/>
        <v>5012346</v>
      </c>
      <c r="O29" s="49">
        <f t="shared" si="15"/>
        <v>0</v>
      </c>
      <c r="P29" s="142">
        <f t="shared" si="22"/>
        <v>2916393</v>
      </c>
      <c r="Q29" s="49">
        <f t="shared" si="9"/>
        <v>0</v>
      </c>
      <c r="R29" s="140">
        <f t="shared" si="23"/>
        <v>17012586</v>
      </c>
      <c r="S29" s="49">
        <f t="shared" si="10"/>
        <v>0</v>
      </c>
      <c r="T29" s="140">
        <v>0</v>
      </c>
      <c r="U29" s="143"/>
      <c r="V29" s="140">
        <f t="shared" si="24"/>
        <v>4607810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25"/>
        <v>0</v>
      </c>
    </row>
    <row r="30" spans="1:27" ht="16.5" thickBot="1" x14ac:dyDescent="0.25">
      <c r="A30" s="10">
        <v>44313</v>
      </c>
      <c r="B30" s="49"/>
      <c r="C30" s="49">
        <f t="shared" si="16"/>
        <v>18074</v>
      </c>
      <c r="D30" s="49">
        <f t="shared" si="3"/>
        <v>0</v>
      </c>
      <c r="E30" s="140">
        <f t="shared" si="17"/>
        <v>25456697</v>
      </c>
      <c r="F30" s="49">
        <f t="shared" si="4"/>
        <v>0</v>
      </c>
      <c r="G30" s="144">
        <f t="shared" si="18"/>
        <v>79961546</v>
      </c>
      <c r="H30" s="49">
        <f t="shared" si="5"/>
        <v>0</v>
      </c>
      <c r="I30" s="141">
        <f t="shared" si="6"/>
        <v>0</v>
      </c>
      <c r="J30" s="140">
        <f t="shared" si="19"/>
        <v>7765202</v>
      </c>
      <c r="K30" s="49">
        <f t="shared" si="7"/>
        <v>0</v>
      </c>
      <c r="L30" s="142">
        <f t="shared" si="20"/>
        <v>7790498</v>
      </c>
      <c r="M30" s="49">
        <f t="shared" si="8"/>
        <v>0</v>
      </c>
      <c r="N30" s="140">
        <f t="shared" si="21"/>
        <v>5012346</v>
      </c>
      <c r="O30" s="49">
        <f t="shared" si="15"/>
        <v>0</v>
      </c>
      <c r="P30" s="142">
        <f t="shared" si="22"/>
        <v>2916393</v>
      </c>
      <c r="Q30" s="49">
        <f t="shared" si="9"/>
        <v>0</v>
      </c>
      <c r="R30" s="140">
        <f t="shared" si="23"/>
        <v>17012586</v>
      </c>
      <c r="S30" s="49">
        <f t="shared" si="10"/>
        <v>0</v>
      </c>
      <c r="T30" s="140">
        <v>0</v>
      </c>
      <c r="U30" s="143"/>
      <c r="V30" s="140">
        <f t="shared" si="24"/>
        <v>4607810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25"/>
        <v>0</v>
      </c>
    </row>
    <row r="31" spans="1:27" ht="16.5" thickBot="1" x14ac:dyDescent="0.25">
      <c r="A31" s="10">
        <v>44314</v>
      </c>
      <c r="B31" s="49"/>
      <c r="C31" s="49">
        <f t="shared" si="16"/>
        <v>18074</v>
      </c>
      <c r="D31" s="49">
        <f t="shared" si="3"/>
        <v>0</v>
      </c>
      <c r="E31" s="140">
        <f t="shared" si="17"/>
        <v>25456697</v>
      </c>
      <c r="F31" s="49">
        <f t="shared" si="4"/>
        <v>0</v>
      </c>
      <c r="G31" s="144">
        <f t="shared" si="18"/>
        <v>79961546</v>
      </c>
      <c r="H31" s="49">
        <f t="shared" si="5"/>
        <v>0</v>
      </c>
      <c r="I31" s="28">
        <f>F31+H31</f>
        <v>0</v>
      </c>
      <c r="J31" s="140">
        <f t="shared" si="19"/>
        <v>7765202</v>
      </c>
      <c r="K31" s="49">
        <f t="shared" si="7"/>
        <v>0</v>
      </c>
      <c r="L31" s="142">
        <f t="shared" si="20"/>
        <v>7790498</v>
      </c>
      <c r="M31" s="49">
        <f t="shared" si="8"/>
        <v>0</v>
      </c>
      <c r="N31" s="140">
        <f t="shared" si="21"/>
        <v>5012346</v>
      </c>
      <c r="O31" s="49">
        <f t="shared" si="15"/>
        <v>0</v>
      </c>
      <c r="P31" s="142">
        <f t="shared" si="22"/>
        <v>2916393</v>
      </c>
      <c r="Q31" s="49">
        <f t="shared" si="9"/>
        <v>0</v>
      </c>
      <c r="R31" s="140">
        <f t="shared" si="23"/>
        <v>17012586</v>
      </c>
      <c r="S31" s="49">
        <f t="shared" si="10"/>
        <v>0</v>
      </c>
      <c r="T31" s="140">
        <v>0</v>
      </c>
      <c r="U31" s="29"/>
      <c r="V31" s="140">
        <f t="shared" si="24"/>
        <v>4607810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25"/>
        <v>0</v>
      </c>
    </row>
    <row r="32" spans="1:27" ht="16.5" thickBot="1" x14ac:dyDescent="0.25">
      <c r="A32" s="10">
        <v>44315</v>
      </c>
      <c r="B32" s="49"/>
      <c r="C32" s="49">
        <f t="shared" si="16"/>
        <v>18074</v>
      </c>
      <c r="D32" s="49">
        <f t="shared" si="3"/>
        <v>0</v>
      </c>
      <c r="E32" s="140">
        <f t="shared" si="17"/>
        <v>25456697</v>
      </c>
      <c r="F32" s="49">
        <f t="shared" si="4"/>
        <v>0</v>
      </c>
      <c r="G32" s="144">
        <f t="shared" si="18"/>
        <v>79961546</v>
      </c>
      <c r="H32" s="49">
        <f t="shared" si="5"/>
        <v>0</v>
      </c>
      <c r="I32" s="28">
        <f t="shared" ref="I32:I33" si="26">F32+H32</f>
        <v>0</v>
      </c>
      <c r="J32" s="140">
        <f t="shared" si="19"/>
        <v>7765202</v>
      </c>
      <c r="K32" s="49">
        <f t="shared" si="7"/>
        <v>0</v>
      </c>
      <c r="L32" s="142">
        <f t="shared" si="20"/>
        <v>7790498</v>
      </c>
      <c r="M32" s="49">
        <f t="shared" si="8"/>
        <v>0</v>
      </c>
      <c r="N32" s="140">
        <f t="shared" si="21"/>
        <v>5012346</v>
      </c>
      <c r="O32" s="49">
        <f t="shared" si="15"/>
        <v>0</v>
      </c>
      <c r="P32" s="142">
        <f t="shared" si="22"/>
        <v>2916393</v>
      </c>
      <c r="Q32" s="49">
        <f t="shared" si="9"/>
        <v>0</v>
      </c>
      <c r="R32" s="140">
        <f t="shared" si="23"/>
        <v>17012586</v>
      </c>
      <c r="S32" s="49">
        <f t="shared" si="10"/>
        <v>0</v>
      </c>
      <c r="T32" s="140">
        <v>0</v>
      </c>
      <c r="U32" s="29"/>
      <c r="V32" s="140">
        <f t="shared" si="24"/>
        <v>4607810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25"/>
        <v>0</v>
      </c>
    </row>
    <row r="33" spans="1:28" ht="16.5" thickBot="1" x14ac:dyDescent="0.25">
      <c r="A33" s="10">
        <v>44316</v>
      </c>
      <c r="B33" s="49"/>
      <c r="C33" s="49">
        <f t="shared" si="16"/>
        <v>18074</v>
      </c>
      <c r="D33" s="49">
        <f t="shared" si="3"/>
        <v>0</v>
      </c>
      <c r="E33" s="140">
        <f t="shared" si="17"/>
        <v>25456697</v>
      </c>
      <c r="F33" s="49">
        <f t="shared" si="4"/>
        <v>0</v>
      </c>
      <c r="G33" s="144">
        <f t="shared" si="18"/>
        <v>79961546</v>
      </c>
      <c r="H33" s="49">
        <f t="shared" si="5"/>
        <v>0</v>
      </c>
      <c r="I33" s="28">
        <f t="shared" si="26"/>
        <v>0</v>
      </c>
      <c r="J33" s="140">
        <f t="shared" si="19"/>
        <v>7765202</v>
      </c>
      <c r="K33" s="49">
        <f t="shared" si="7"/>
        <v>0</v>
      </c>
      <c r="L33" s="142">
        <f t="shared" si="20"/>
        <v>7790498</v>
      </c>
      <c r="M33" s="49">
        <f t="shared" si="8"/>
        <v>0</v>
      </c>
      <c r="N33" s="140">
        <f t="shared" si="21"/>
        <v>5012346</v>
      </c>
      <c r="O33" s="49">
        <f t="shared" si="15"/>
        <v>0</v>
      </c>
      <c r="P33" s="142">
        <f t="shared" si="22"/>
        <v>2916393</v>
      </c>
      <c r="Q33" s="49">
        <f t="shared" si="9"/>
        <v>0</v>
      </c>
      <c r="R33" s="140">
        <f t="shared" si="23"/>
        <v>17012586</v>
      </c>
      <c r="S33" s="49">
        <f t="shared" si="10"/>
        <v>0</v>
      </c>
      <c r="T33" s="140">
        <v>0</v>
      </c>
      <c r="U33" s="29"/>
      <c r="V33" s="140">
        <f t="shared" si="24"/>
        <v>4607810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25"/>
        <v>0</v>
      </c>
    </row>
    <row r="34" spans="1:28" ht="16.5" thickBot="1" x14ac:dyDescent="0.25">
      <c r="A34" s="6" t="s">
        <v>24</v>
      </c>
      <c r="B34" s="162">
        <f>SUM(B2:B33)</f>
        <v>525</v>
      </c>
      <c r="C34" s="162"/>
      <c r="D34" s="162">
        <f>SUM(D2:D33)</f>
        <v>1120</v>
      </c>
      <c r="E34" s="162">
        <v>0</v>
      </c>
      <c r="F34" s="162">
        <f>SUM(F2:F33)</f>
        <v>23158</v>
      </c>
      <c r="G34" s="162">
        <v>0</v>
      </c>
      <c r="H34" s="162">
        <f>SUM(H2:H33)</f>
        <v>123921</v>
      </c>
      <c r="I34" s="162">
        <f t="shared" ref="I34:X34" si="27">SUM(I5:I33)</f>
        <v>56283</v>
      </c>
      <c r="J34" s="162">
        <v>0</v>
      </c>
      <c r="K34" s="162">
        <f>SUM(K2:K33)</f>
        <v>12967</v>
      </c>
      <c r="L34" s="162">
        <v>0</v>
      </c>
      <c r="M34" s="162">
        <f>SUM(M2:M33)</f>
        <v>15663</v>
      </c>
      <c r="N34" s="162">
        <v>0</v>
      </c>
      <c r="O34" s="162">
        <f>SUM(O2:O33)</f>
        <v>7022</v>
      </c>
      <c r="P34" s="162">
        <v>0</v>
      </c>
      <c r="Q34" s="162">
        <f>SUM(Q2:Q33)</f>
        <v>22999</v>
      </c>
      <c r="R34" s="162">
        <v>0</v>
      </c>
      <c r="S34" s="162">
        <f>SUM(S2:S33)</f>
        <v>26678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29241</v>
      </c>
      <c r="X34" s="162">
        <f t="shared" si="27"/>
        <v>43624</v>
      </c>
      <c r="Y34" s="162">
        <f>SUM(Y2:Y33)</f>
        <v>32509</v>
      </c>
      <c r="Z34" s="162">
        <f>SUM(Z2:Z33)</f>
        <v>17918.4713968</v>
      </c>
      <c r="AA34" s="162">
        <f>SUM(AA2:AA33)</f>
        <v>83124.647049599997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5" sqref="A5:XFD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f t="shared" ref="B5:B32" si="1">B5</f>
        <v>17257153</v>
      </c>
      <c r="C6" s="55">
        <f t="shared" si="0"/>
        <v>0</v>
      </c>
    </row>
    <row r="7" spans="1:9" ht="24" thickBot="1" x14ac:dyDescent="0.4">
      <c r="A7" s="10">
        <v>44290</v>
      </c>
      <c r="B7" s="157">
        <f t="shared" si="1"/>
        <v>17257153</v>
      </c>
      <c r="C7" s="55">
        <f t="shared" si="0"/>
        <v>0</v>
      </c>
    </row>
    <row r="8" spans="1:9" ht="24" thickBot="1" x14ac:dyDescent="0.4">
      <c r="A8" s="10">
        <v>44291</v>
      </c>
      <c r="B8" s="157">
        <f t="shared" si="1"/>
        <v>17257153</v>
      </c>
      <c r="C8" s="55">
        <f t="shared" si="0"/>
        <v>0</v>
      </c>
    </row>
    <row r="9" spans="1:9" ht="24" thickBot="1" x14ac:dyDescent="0.4">
      <c r="A9" s="10">
        <v>44292</v>
      </c>
      <c r="B9" s="157">
        <f t="shared" si="1"/>
        <v>17257153</v>
      </c>
      <c r="C9" s="55">
        <f t="shared" si="0"/>
        <v>0</v>
      </c>
    </row>
    <row r="10" spans="1:9" ht="24" thickBot="1" x14ac:dyDescent="0.4">
      <c r="A10" s="10">
        <v>44293</v>
      </c>
      <c r="B10" s="157">
        <f t="shared" si="1"/>
        <v>17257153</v>
      </c>
      <c r="C10" s="55">
        <f t="shared" si="0"/>
        <v>0</v>
      </c>
    </row>
    <row r="11" spans="1:9" ht="24" thickBot="1" x14ac:dyDescent="0.4">
      <c r="A11" s="10">
        <v>44294</v>
      </c>
      <c r="B11" s="157">
        <f t="shared" si="1"/>
        <v>17257153</v>
      </c>
      <c r="C11" s="55">
        <f t="shared" si="0"/>
        <v>0</v>
      </c>
    </row>
    <row r="12" spans="1:9" ht="24" thickBot="1" x14ac:dyDescent="0.4">
      <c r="A12" s="10">
        <v>44295</v>
      </c>
      <c r="B12" s="157">
        <f t="shared" si="1"/>
        <v>17257153</v>
      </c>
      <c r="C12" s="55">
        <f t="shared" si="0"/>
        <v>0</v>
      </c>
    </row>
    <row r="13" spans="1:9" ht="24" thickBot="1" x14ac:dyDescent="0.4">
      <c r="A13" s="10">
        <v>44296</v>
      </c>
      <c r="B13" s="157">
        <f t="shared" si="1"/>
        <v>17257153</v>
      </c>
      <c r="C13" s="55">
        <f t="shared" si="0"/>
        <v>0</v>
      </c>
    </row>
    <row r="14" spans="1:9" ht="24" thickBot="1" x14ac:dyDescent="0.4">
      <c r="A14" s="10">
        <v>44297</v>
      </c>
      <c r="B14" s="157">
        <f t="shared" si="1"/>
        <v>17257153</v>
      </c>
      <c r="C14" s="55">
        <f t="shared" si="0"/>
        <v>0</v>
      </c>
    </row>
    <row r="15" spans="1:9" ht="24" thickBot="1" x14ac:dyDescent="0.4">
      <c r="A15" s="10">
        <v>44298</v>
      </c>
      <c r="B15" s="157">
        <f t="shared" si="1"/>
        <v>17257153</v>
      </c>
      <c r="C15" s="55">
        <f t="shared" si="0"/>
        <v>0</v>
      </c>
      <c r="I15" t="s">
        <v>13</v>
      </c>
    </row>
    <row r="16" spans="1:9" ht="26.25" customHeight="1" thickBot="1" x14ac:dyDescent="0.4">
      <c r="A16" s="10">
        <v>44299</v>
      </c>
      <c r="B16" s="157">
        <f t="shared" si="1"/>
        <v>17257153</v>
      </c>
      <c r="C16" s="55">
        <f t="shared" si="0"/>
        <v>0</v>
      </c>
    </row>
    <row r="17" spans="1:9" ht="25.5" customHeight="1" thickBot="1" x14ac:dyDescent="0.4">
      <c r="A17" s="10">
        <v>44300</v>
      </c>
      <c r="B17" s="157">
        <f t="shared" si="1"/>
        <v>17257153</v>
      </c>
      <c r="C17" s="55">
        <f t="shared" si="0"/>
        <v>0</v>
      </c>
      <c r="F17" s="155"/>
    </row>
    <row r="18" spans="1:9" ht="24" thickBot="1" x14ac:dyDescent="0.4">
      <c r="A18" s="10">
        <v>44301</v>
      </c>
      <c r="B18" s="157">
        <f t="shared" si="1"/>
        <v>17257153</v>
      </c>
      <c r="C18" s="55">
        <f t="shared" si="0"/>
        <v>0</v>
      </c>
    </row>
    <row r="19" spans="1:9" ht="24" thickBot="1" x14ac:dyDescent="0.4">
      <c r="A19" s="10">
        <v>44302</v>
      </c>
      <c r="B19" s="157">
        <f t="shared" si="1"/>
        <v>17257153</v>
      </c>
      <c r="C19" s="55">
        <f t="shared" si="0"/>
        <v>0</v>
      </c>
    </row>
    <row r="20" spans="1:9" ht="24" thickBot="1" x14ac:dyDescent="0.4">
      <c r="A20" s="10">
        <v>44303</v>
      </c>
      <c r="B20" s="157">
        <f t="shared" si="1"/>
        <v>17257153</v>
      </c>
      <c r="C20" s="55">
        <f t="shared" si="0"/>
        <v>0</v>
      </c>
    </row>
    <row r="21" spans="1:9" ht="24" thickBot="1" x14ac:dyDescent="0.4">
      <c r="A21" s="10">
        <v>44304</v>
      </c>
      <c r="B21" s="157">
        <f t="shared" si="1"/>
        <v>17257153</v>
      </c>
      <c r="C21" s="55">
        <f t="shared" si="0"/>
        <v>0</v>
      </c>
    </row>
    <row r="22" spans="1:9" ht="24" thickBot="1" x14ac:dyDescent="0.4">
      <c r="A22" s="10">
        <v>44305</v>
      </c>
      <c r="B22" s="157">
        <f t="shared" si="1"/>
        <v>17257153</v>
      </c>
      <c r="C22" s="55">
        <f t="shared" si="0"/>
        <v>0</v>
      </c>
    </row>
    <row r="23" spans="1:9" ht="24" thickBot="1" x14ac:dyDescent="0.4">
      <c r="A23" s="10">
        <v>44306</v>
      </c>
      <c r="B23" s="157">
        <f t="shared" si="1"/>
        <v>17257153</v>
      </c>
      <c r="C23" s="55">
        <f t="shared" si="0"/>
        <v>0</v>
      </c>
      <c r="F23" t="s">
        <v>13</v>
      </c>
    </row>
    <row r="24" spans="1:9" ht="24" thickBot="1" x14ac:dyDescent="0.4">
      <c r="A24" s="10">
        <v>44307</v>
      </c>
      <c r="B24" s="157">
        <f t="shared" si="1"/>
        <v>17257153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17257153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17257153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17257153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17257153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17257153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17257153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17257153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17257153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17257153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6692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="98" zoomScaleNormal="98" workbookViewId="0">
      <selection activeCell="E5" sqref="A5:XFD5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f t="shared" ref="B5:B33" si="21">B5</f>
        <v>20289.5</v>
      </c>
      <c r="C6" s="54">
        <f t="shared" si="7"/>
        <v>0</v>
      </c>
      <c r="D6" s="38">
        <f t="shared" si="8"/>
        <v>0</v>
      </c>
      <c r="E6" s="1">
        <f t="shared" ref="E5:E33" si="22">E5</f>
        <v>3512.2170000000001</v>
      </c>
      <c r="F6" s="54">
        <f t="shared" si="9"/>
        <v>0</v>
      </c>
      <c r="G6" s="38">
        <f t="shared" si="10"/>
        <v>0</v>
      </c>
      <c r="H6" s="1">
        <f t="shared" ref="H5:H33" si="23">H5</f>
        <v>2737</v>
      </c>
      <c r="I6" s="54">
        <f t="shared" si="11"/>
        <v>0</v>
      </c>
      <c r="J6" s="38">
        <f t="shared" si="12"/>
        <v>0</v>
      </c>
      <c r="K6" s="7">
        <f t="shared" ref="K5:K33" si="24">K5</f>
        <v>13319.41</v>
      </c>
      <c r="L6" s="54">
        <f t="shared" si="13"/>
        <v>0</v>
      </c>
      <c r="M6" s="38">
        <f t="shared" si="14"/>
        <v>0</v>
      </c>
      <c r="N6" s="7">
        <f t="shared" ref="N5:N32" si="25">N5</f>
        <v>2974.806</v>
      </c>
      <c r="O6" s="54">
        <f t="shared" si="15"/>
        <v>0</v>
      </c>
      <c r="P6" s="38">
        <f t="shared" si="19"/>
        <v>0</v>
      </c>
      <c r="Q6" s="7">
        <f t="shared" ref="Q5:Q33" si="26">Q5</f>
        <v>4725.74</v>
      </c>
      <c r="R6" s="54">
        <f t="shared" si="16"/>
        <v>0</v>
      </c>
      <c r="S6" s="38">
        <f t="shared" si="17"/>
        <v>0</v>
      </c>
      <c r="T6" s="8">
        <f t="shared" si="20"/>
        <v>0</v>
      </c>
      <c r="U6" s="40">
        <f t="shared" si="18"/>
        <v>0</v>
      </c>
    </row>
    <row r="7" spans="1:25" ht="16.5" thickBot="1" x14ac:dyDescent="0.25">
      <c r="A7" s="10">
        <v>44290</v>
      </c>
      <c r="B7" s="1">
        <f t="shared" si="21"/>
        <v>20289.5</v>
      </c>
      <c r="C7" s="54">
        <f t="shared" si="7"/>
        <v>0</v>
      </c>
      <c r="D7" s="38">
        <f t="shared" si="8"/>
        <v>0</v>
      </c>
      <c r="E7" s="1">
        <f t="shared" si="22"/>
        <v>3512.2170000000001</v>
      </c>
      <c r="F7" s="54">
        <f t="shared" si="9"/>
        <v>0</v>
      </c>
      <c r="G7" s="38">
        <f t="shared" si="10"/>
        <v>0</v>
      </c>
      <c r="H7" s="1">
        <f t="shared" si="23"/>
        <v>2737</v>
      </c>
      <c r="I7" s="54">
        <f t="shared" si="11"/>
        <v>0</v>
      </c>
      <c r="J7" s="38">
        <f t="shared" si="12"/>
        <v>0</v>
      </c>
      <c r="K7" s="7">
        <f t="shared" si="24"/>
        <v>13319.41</v>
      </c>
      <c r="L7" s="54">
        <f t="shared" si="13"/>
        <v>0</v>
      </c>
      <c r="M7" s="38">
        <f t="shared" si="14"/>
        <v>0</v>
      </c>
      <c r="N7" s="7">
        <f t="shared" si="25"/>
        <v>2974.806</v>
      </c>
      <c r="O7" s="54">
        <f t="shared" si="15"/>
        <v>0</v>
      </c>
      <c r="P7" s="38">
        <f t="shared" si="19"/>
        <v>0</v>
      </c>
      <c r="Q7" s="7">
        <f t="shared" si="26"/>
        <v>4725.74</v>
      </c>
      <c r="R7" s="54">
        <f t="shared" si="16"/>
        <v>0</v>
      </c>
      <c r="S7" s="38">
        <f t="shared" si="17"/>
        <v>0</v>
      </c>
      <c r="T7" s="8">
        <f t="shared" si="20"/>
        <v>0</v>
      </c>
      <c r="U7" s="40">
        <f t="shared" si="18"/>
        <v>0</v>
      </c>
    </row>
    <row r="8" spans="1:25" ht="16.5" thickBot="1" x14ac:dyDescent="0.25">
      <c r="A8" s="10">
        <v>44291</v>
      </c>
      <c r="B8" s="1">
        <f t="shared" si="21"/>
        <v>20289.5</v>
      </c>
      <c r="C8" s="54">
        <f t="shared" si="7"/>
        <v>0</v>
      </c>
      <c r="D8" s="38">
        <f t="shared" si="8"/>
        <v>0</v>
      </c>
      <c r="E8" s="1">
        <f t="shared" si="22"/>
        <v>3512.2170000000001</v>
      </c>
      <c r="F8" s="54">
        <f t="shared" si="9"/>
        <v>0</v>
      </c>
      <c r="G8" s="38">
        <f t="shared" si="10"/>
        <v>0</v>
      </c>
      <c r="H8" s="1">
        <f t="shared" si="23"/>
        <v>2737</v>
      </c>
      <c r="I8" s="54">
        <f t="shared" si="11"/>
        <v>0</v>
      </c>
      <c r="J8" s="38">
        <f t="shared" si="12"/>
        <v>0</v>
      </c>
      <c r="K8" s="7">
        <f t="shared" si="24"/>
        <v>13319.41</v>
      </c>
      <c r="L8" s="54">
        <f>IF((K8-K7)&lt;0,"0",(K8-K7))</f>
        <v>0</v>
      </c>
      <c r="M8" s="38">
        <f t="shared" si="14"/>
        <v>0</v>
      </c>
      <c r="N8" s="7">
        <f t="shared" si="25"/>
        <v>2974.806</v>
      </c>
      <c r="O8" s="54">
        <f t="shared" si="15"/>
        <v>0</v>
      </c>
      <c r="P8" s="38">
        <f t="shared" si="19"/>
        <v>0</v>
      </c>
      <c r="Q8" s="7">
        <f t="shared" si="26"/>
        <v>4725.74</v>
      </c>
      <c r="R8" s="54">
        <f t="shared" si="16"/>
        <v>0</v>
      </c>
      <c r="S8" s="38">
        <f t="shared" si="17"/>
        <v>0</v>
      </c>
      <c r="T8" s="8">
        <f t="shared" si="20"/>
        <v>0</v>
      </c>
      <c r="U8" s="40">
        <f t="shared" si="18"/>
        <v>0</v>
      </c>
    </row>
    <row r="9" spans="1:25" ht="16.5" thickBot="1" x14ac:dyDescent="0.25">
      <c r="A9" s="10">
        <v>44292</v>
      </c>
      <c r="B9" s="1">
        <f t="shared" si="21"/>
        <v>20289.5</v>
      </c>
      <c r="C9" s="54">
        <f t="shared" si="7"/>
        <v>0</v>
      </c>
      <c r="D9" s="38">
        <f t="shared" si="8"/>
        <v>0</v>
      </c>
      <c r="E9" s="1">
        <f t="shared" si="22"/>
        <v>3512.2170000000001</v>
      </c>
      <c r="F9" s="54">
        <f t="shared" si="9"/>
        <v>0</v>
      </c>
      <c r="G9" s="38">
        <f t="shared" si="10"/>
        <v>0</v>
      </c>
      <c r="H9" s="1">
        <f t="shared" si="23"/>
        <v>2737</v>
      </c>
      <c r="I9" s="54">
        <f t="shared" si="11"/>
        <v>0</v>
      </c>
      <c r="J9" s="38">
        <f t="shared" si="12"/>
        <v>0</v>
      </c>
      <c r="K9" s="7">
        <f t="shared" si="24"/>
        <v>13319.41</v>
      </c>
      <c r="L9" s="54">
        <f t="shared" si="13"/>
        <v>0</v>
      </c>
      <c r="M9" s="38">
        <f t="shared" si="14"/>
        <v>0</v>
      </c>
      <c r="N9" s="7">
        <f t="shared" si="25"/>
        <v>2974.806</v>
      </c>
      <c r="O9" s="54">
        <f t="shared" si="15"/>
        <v>0</v>
      </c>
      <c r="P9" s="38">
        <f t="shared" si="19"/>
        <v>0</v>
      </c>
      <c r="Q9" s="7">
        <f t="shared" si="26"/>
        <v>4725.74</v>
      </c>
      <c r="R9" s="54">
        <f t="shared" si="16"/>
        <v>0</v>
      </c>
      <c r="S9" s="38">
        <f t="shared" si="17"/>
        <v>0</v>
      </c>
      <c r="T9" s="8">
        <f t="shared" si="20"/>
        <v>0</v>
      </c>
      <c r="U9" s="40">
        <f t="shared" si="18"/>
        <v>0</v>
      </c>
    </row>
    <row r="10" spans="1:25" ht="16.5" thickBot="1" x14ac:dyDescent="0.25">
      <c r="A10" s="10">
        <v>44293</v>
      </c>
      <c r="B10" s="1">
        <f t="shared" si="21"/>
        <v>20289.5</v>
      </c>
      <c r="C10" s="54">
        <f t="shared" si="7"/>
        <v>0</v>
      </c>
      <c r="D10" s="38">
        <f t="shared" si="8"/>
        <v>0</v>
      </c>
      <c r="E10" s="1">
        <f t="shared" si="22"/>
        <v>3512.2170000000001</v>
      </c>
      <c r="F10" s="54">
        <f t="shared" si="9"/>
        <v>0</v>
      </c>
      <c r="G10" s="38">
        <f t="shared" si="10"/>
        <v>0</v>
      </c>
      <c r="H10" s="1">
        <f t="shared" si="23"/>
        <v>2737</v>
      </c>
      <c r="I10" s="54">
        <f t="shared" si="11"/>
        <v>0</v>
      </c>
      <c r="J10" s="38">
        <f t="shared" si="12"/>
        <v>0</v>
      </c>
      <c r="K10" s="7">
        <f t="shared" si="24"/>
        <v>13319.41</v>
      </c>
      <c r="L10" s="54">
        <f t="shared" si="13"/>
        <v>0</v>
      </c>
      <c r="M10" s="38">
        <f t="shared" si="14"/>
        <v>0</v>
      </c>
      <c r="N10" s="7">
        <f t="shared" si="25"/>
        <v>2974.806</v>
      </c>
      <c r="O10" s="54">
        <f t="shared" si="15"/>
        <v>0</v>
      </c>
      <c r="P10" s="38">
        <f t="shared" si="19"/>
        <v>0</v>
      </c>
      <c r="Q10" s="7">
        <f t="shared" si="26"/>
        <v>4725.74</v>
      </c>
      <c r="R10" s="54">
        <f t="shared" si="16"/>
        <v>0</v>
      </c>
      <c r="S10" s="38">
        <f t="shared" si="17"/>
        <v>0</v>
      </c>
      <c r="T10" s="8">
        <f t="shared" si="20"/>
        <v>0</v>
      </c>
      <c r="U10" s="40">
        <f t="shared" si="18"/>
        <v>0</v>
      </c>
    </row>
    <row r="11" spans="1:25" ht="16.5" thickBot="1" x14ac:dyDescent="0.25">
      <c r="A11" s="10">
        <v>44294</v>
      </c>
      <c r="B11" s="1">
        <f t="shared" si="21"/>
        <v>20289.5</v>
      </c>
      <c r="C11" s="54">
        <f t="shared" si="7"/>
        <v>0</v>
      </c>
      <c r="D11" s="38">
        <f t="shared" si="8"/>
        <v>0</v>
      </c>
      <c r="E11" s="1">
        <f t="shared" si="22"/>
        <v>3512.2170000000001</v>
      </c>
      <c r="F11" s="54">
        <f t="shared" si="9"/>
        <v>0</v>
      </c>
      <c r="G11" s="38">
        <f t="shared" si="10"/>
        <v>0</v>
      </c>
      <c r="H11" s="1">
        <f t="shared" si="23"/>
        <v>2737</v>
      </c>
      <c r="I11" s="54">
        <f t="shared" si="11"/>
        <v>0</v>
      </c>
      <c r="J11" s="38">
        <f t="shared" si="12"/>
        <v>0</v>
      </c>
      <c r="K11" s="7">
        <f t="shared" si="24"/>
        <v>13319.41</v>
      </c>
      <c r="L11" s="54">
        <f t="shared" si="13"/>
        <v>0</v>
      </c>
      <c r="M11" s="38">
        <f t="shared" si="14"/>
        <v>0</v>
      </c>
      <c r="N11" s="7">
        <f t="shared" si="25"/>
        <v>2974.806</v>
      </c>
      <c r="O11" s="54">
        <f t="shared" si="15"/>
        <v>0</v>
      </c>
      <c r="P11" s="38">
        <f t="shared" si="19"/>
        <v>0</v>
      </c>
      <c r="Q11" s="7">
        <f t="shared" si="26"/>
        <v>4725.74</v>
      </c>
      <c r="R11" s="54">
        <f t="shared" si="16"/>
        <v>0</v>
      </c>
      <c r="S11" s="38">
        <f t="shared" si="17"/>
        <v>0</v>
      </c>
      <c r="T11" s="8">
        <f t="shared" si="20"/>
        <v>0</v>
      </c>
      <c r="U11" s="40">
        <f t="shared" si="18"/>
        <v>0</v>
      </c>
    </row>
    <row r="12" spans="1:25" ht="16.5" thickBot="1" x14ac:dyDescent="0.25">
      <c r="A12" s="10">
        <v>44295</v>
      </c>
      <c r="B12" s="1">
        <f t="shared" si="21"/>
        <v>20289.5</v>
      </c>
      <c r="C12" s="54">
        <f t="shared" si="7"/>
        <v>0</v>
      </c>
      <c r="D12" s="38">
        <f t="shared" si="8"/>
        <v>0</v>
      </c>
      <c r="E12" s="1">
        <f t="shared" si="22"/>
        <v>3512.2170000000001</v>
      </c>
      <c r="F12" s="54">
        <f t="shared" si="9"/>
        <v>0</v>
      </c>
      <c r="G12" s="38">
        <f t="shared" si="10"/>
        <v>0</v>
      </c>
      <c r="H12" s="1">
        <f t="shared" si="23"/>
        <v>2737</v>
      </c>
      <c r="I12" s="54">
        <f t="shared" si="11"/>
        <v>0</v>
      </c>
      <c r="J12" s="38">
        <f t="shared" si="12"/>
        <v>0</v>
      </c>
      <c r="K12" s="7">
        <f t="shared" si="24"/>
        <v>13319.41</v>
      </c>
      <c r="L12" s="54">
        <f t="shared" si="13"/>
        <v>0</v>
      </c>
      <c r="M12" s="38">
        <f t="shared" si="14"/>
        <v>0</v>
      </c>
      <c r="N12" s="7">
        <f t="shared" si="25"/>
        <v>2974.806</v>
      </c>
      <c r="O12" s="54">
        <f t="shared" si="15"/>
        <v>0</v>
      </c>
      <c r="P12" s="38">
        <f t="shared" si="19"/>
        <v>0</v>
      </c>
      <c r="Q12" s="7">
        <f t="shared" si="26"/>
        <v>4725.74</v>
      </c>
      <c r="R12" s="54">
        <f t="shared" si="16"/>
        <v>0</v>
      </c>
      <c r="S12" s="38">
        <f t="shared" si="17"/>
        <v>0</v>
      </c>
      <c r="T12" s="8">
        <f t="shared" si="20"/>
        <v>0</v>
      </c>
      <c r="U12" s="40">
        <f t="shared" si="18"/>
        <v>0</v>
      </c>
    </row>
    <row r="13" spans="1:25" ht="16.5" thickBot="1" x14ac:dyDescent="0.25">
      <c r="A13" s="10">
        <v>44296</v>
      </c>
      <c r="B13" s="1">
        <f t="shared" si="21"/>
        <v>20289.5</v>
      </c>
      <c r="C13" s="54">
        <f t="shared" si="7"/>
        <v>0</v>
      </c>
      <c r="D13" s="38">
        <f t="shared" si="8"/>
        <v>0</v>
      </c>
      <c r="E13" s="1">
        <f t="shared" si="22"/>
        <v>3512.2170000000001</v>
      </c>
      <c r="F13" s="54">
        <f t="shared" si="9"/>
        <v>0</v>
      </c>
      <c r="G13" s="38">
        <f t="shared" si="10"/>
        <v>0</v>
      </c>
      <c r="H13" s="1">
        <f t="shared" si="23"/>
        <v>2737</v>
      </c>
      <c r="I13" s="54">
        <f t="shared" si="11"/>
        <v>0</v>
      </c>
      <c r="J13" s="38">
        <f t="shared" si="12"/>
        <v>0</v>
      </c>
      <c r="K13" s="7">
        <f t="shared" si="24"/>
        <v>13319.41</v>
      </c>
      <c r="L13" s="54">
        <f t="shared" si="13"/>
        <v>0</v>
      </c>
      <c r="M13" s="38">
        <f t="shared" si="14"/>
        <v>0</v>
      </c>
      <c r="N13" s="7">
        <f t="shared" si="25"/>
        <v>2974.806</v>
      </c>
      <c r="O13" s="54">
        <f t="shared" si="15"/>
        <v>0</v>
      </c>
      <c r="P13" s="38">
        <f t="shared" si="19"/>
        <v>0</v>
      </c>
      <c r="Q13" s="7">
        <f t="shared" si="26"/>
        <v>4725.74</v>
      </c>
      <c r="R13" s="54">
        <f t="shared" si="16"/>
        <v>0</v>
      </c>
      <c r="S13" s="38">
        <f t="shared" si="17"/>
        <v>0</v>
      </c>
      <c r="T13" s="8">
        <f t="shared" si="20"/>
        <v>0</v>
      </c>
      <c r="U13" s="40">
        <f t="shared" si="18"/>
        <v>0</v>
      </c>
    </row>
    <row r="14" spans="1:25" ht="16.5" thickBot="1" x14ac:dyDescent="0.25">
      <c r="A14" s="10">
        <v>44297</v>
      </c>
      <c r="B14" s="1">
        <f t="shared" si="21"/>
        <v>20289.5</v>
      </c>
      <c r="C14" s="54">
        <f t="shared" si="7"/>
        <v>0</v>
      </c>
      <c r="D14" s="38">
        <f t="shared" si="8"/>
        <v>0</v>
      </c>
      <c r="E14" s="1">
        <f t="shared" si="22"/>
        <v>3512.2170000000001</v>
      </c>
      <c r="F14" s="54">
        <f t="shared" si="9"/>
        <v>0</v>
      </c>
      <c r="G14" s="38">
        <f t="shared" si="10"/>
        <v>0</v>
      </c>
      <c r="H14" s="1">
        <f t="shared" si="23"/>
        <v>2737</v>
      </c>
      <c r="I14" s="54">
        <f t="shared" si="11"/>
        <v>0</v>
      </c>
      <c r="J14" s="38">
        <f t="shared" si="12"/>
        <v>0</v>
      </c>
      <c r="K14" s="7">
        <f t="shared" si="24"/>
        <v>13319.41</v>
      </c>
      <c r="L14" s="54">
        <f t="shared" si="13"/>
        <v>0</v>
      </c>
      <c r="M14" s="38">
        <f t="shared" si="14"/>
        <v>0</v>
      </c>
      <c r="N14" s="7">
        <f t="shared" si="25"/>
        <v>2974.806</v>
      </c>
      <c r="O14" s="54">
        <f t="shared" si="15"/>
        <v>0</v>
      </c>
      <c r="P14" s="38">
        <f t="shared" si="19"/>
        <v>0</v>
      </c>
      <c r="Q14" s="7">
        <f t="shared" si="26"/>
        <v>4725.74</v>
      </c>
      <c r="R14" s="54">
        <f t="shared" si="16"/>
        <v>0</v>
      </c>
      <c r="S14" s="38">
        <f t="shared" si="17"/>
        <v>0</v>
      </c>
      <c r="T14" s="8">
        <f t="shared" si="20"/>
        <v>0</v>
      </c>
      <c r="U14" s="40">
        <f t="shared" si="18"/>
        <v>0</v>
      </c>
    </row>
    <row r="15" spans="1:25" ht="16.5" thickBot="1" x14ac:dyDescent="0.25">
      <c r="A15" s="10">
        <v>44298</v>
      </c>
      <c r="B15" s="1">
        <f t="shared" si="21"/>
        <v>20289.5</v>
      </c>
      <c r="C15" s="54">
        <f t="shared" si="7"/>
        <v>0</v>
      </c>
      <c r="D15" s="38">
        <f t="shared" si="8"/>
        <v>0</v>
      </c>
      <c r="E15" s="1">
        <f t="shared" si="22"/>
        <v>3512.2170000000001</v>
      </c>
      <c r="F15" s="54">
        <f t="shared" si="9"/>
        <v>0</v>
      </c>
      <c r="G15" s="38">
        <f t="shared" si="10"/>
        <v>0</v>
      </c>
      <c r="H15" s="1">
        <f t="shared" si="23"/>
        <v>2737</v>
      </c>
      <c r="I15" s="54">
        <f t="shared" si="11"/>
        <v>0</v>
      </c>
      <c r="J15" s="38">
        <f t="shared" si="12"/>
        <v>0</v>
      </c>
      <c r="K15" s="7">
        <f t="shared" si="24"/>
        <v>13319.41</v>
      </c>
      <c r="L15" s="54">
        <f t="shared" si="13"/>
        <v>0</v>
      </c>
      <c r="M15" s="38">
        <f t="shared" si="14"/>
        <v>0</v>
      </c>
      <c r="N15" s="7">
        <f t="shared" si="25"/>
        <v>2974.806</v>
      </c>
      <c r="O15" s="54">
        <f t="shared" si="15"/>
        <v>0</v>
      </c>
      <c r="P15" s="38">
        <f t="shared" si="19"/>
        <v>0</v>
      </c>
      <c r="Q15" s="7">
        <f t="shared" si="26"/>
        <v>4725.74</v>
      </c>
      <c r="R15" s="54">
        <f t="shared" si="16"/>
        <v>0</v>
      </c>
      <c r="S15" s="38">
        <f t="shared" si="17"/>
        <v>0</v>
      </c>
      <c r="T15" s="8">
        <f t="shared" si="20"/>
        <v>0</v>
      </c>
      <c r="U15" s="40">
        <f t="shared" si="18"/>
        <v>0</v>
      </c>
      <c r="W15" t="s">
        <v>13</v>
      </c>
    </row>
    <row r="16" spans="1:25" ht="16.5" thickBot="1" x14ac:dyDescent="0.25">
      <c r="A16" s="10">
        <v>44299</v>
      </c>
      <c r="B16" s="1">
        <f t="shared" si="21"/>
        <v>20289.5</v>
      </c>
      <c r="C16" s="54">
        <f t="shared" si="7"/>
        <v>0</v>
      </c>
      <c r="D16" s="38">
        <f t="shared" si="8"/>
        <v>0</v>
      </c>
      <c r="E16" s="1">
        <f t="shared" si="22"/>
        <v>3512.2170000000001</v>
      </c>
      <c r="F16" s="54">
        <f t="shared" si="9"/>
        <v>0</v>
      </c>
      <c r="G16" s="38">
        <f t="shared" si="10"/>
        <v>0</v>
      </c>
      <c r="H16" s="1">
        <f t="shared" si="23"/>
        <v>2737</v>
      </c>
      <c r="I16" s="54">
        <f t="shared" si="11"/>
        <v>0</v>
      </c>
      <c r="J16" s="38">
        <f t="shared" si="12"/>
        <v>0</v>
      </c>
      <c r="K16" s="7">
        <f t="shared" si="24"/>
        <v>13319.41</v>
      </c>
      <c r="L16" s="54">
        <f t="shared" si="13"/>
        <v>0</v>
      </c>
      <c r="M16" s="38">
        <f t="shared" si="14"/>
        <v>0</v>
      </c>
      <c r="N16" s="7">
        <f t="shared" si="25"/>
        <v>2974.806</v>
      </c>
      <c r="O16" s="54">
        <f t="shared" si="15"/>
        <v>0</v>
      </c>
      <c r="P16" s="38">
        <f t="shared" si="19"/>
        <v>0</v>
      </c>
      <c r="Q16" s="7">
        <f t="shared" si="26"/>
        <v>4725.74</v>
      </c>
      <c r="R16" s="54">
        <f t="shared" si="16"/>
        <v>0</v>
      </c>
      <c r="S16" s="38">
        <f t="shared" si="17"/>
        <v>0</v>
      </c>
      <c r="T16" s="8">
        <f t="shared" si="20"/>
        <v>0</v>
      </c>
      <c r="U16" s="40">
        <f t="shared" si="18"/>
        <v>0</v>
      </c>
      <c r="Y16" t="s">
        <v>13</v>
      </c>
    </row>
    <row r="17" spans="1:24" ht="16.5" thickBot="1" x14ac:dyDescent="0.25">
      <c r="A17" s="10">
        <v>44300</v>
      </c>
      <c r="B17" s="1">
        <f t="shared" si="21"/>
        <v>20289.5</v>
      </c>
      <c r="C17" s="54">
        <f>IF((B17-B16)&lt;0,"0",(B17-B16))</f>
        <v>0</v>
      </c>
      <c r="D17" s="38">
        <f t="shared" si="8"/>
        <v>0</v>
      </c>
      <c r="E17" s="1">
        <f t="shared" si="22"/>
        <v>3512.2170000000001</v>
      </c>
      <c r="F17" s="54">
        <f t="shared" si="9"/>
        <v>0</v>
      </c>
      <c r="G17" s="38">
        <f t="shared" si="10"/>
        <v>0</v>
      </c>
      <c r="H17" s="1">
        <f t="shared" si="23"/>
        <v>2737</v>
      </c>
      <c r="I17" s="54">
        <f t="shared" si="11"/>
        <v>0</v>
      </c>
      <c r="J17" s="38">
        <f t="shared" si="12"/>
        <v>0</v>
      </c>
      <c r="K17" s="7">
        <f t="shared" si="24"/>
        <v>13319.41</v>
      </c>
      <c r="L17" s="54">
        <f t="shared" si="13"/>
        <v>0</v>
      </c>
      <c r="M17" s="38">
        <f t="shared" si="14"/>
        <v>0</v>
      </c>
      <c r="N17" s="7">
        <f t="shared" si="25"/>
        <v>2974.806</v>
      </c>
      <c r="O17" s="54">
        <f t="shared" si="15"/>
        <v>0</v>
      </c>
      <c r="P17" s="38">
        <f t="shared" si="19"/>
        <v>0</v>
      </c>
      <c r="Q17" s="7">
        <f t="shared" si="26"/>
        <v>4725.74</v>
      </c>
      <c r="R17" s="54">
        <f t="shared" si="16"/>
        <v>0</v>
      </c>
      <c r="S17" s="38">
        <f t="shared" si="17"/>
        <v>0</v>
      </c>
      <c r="T17" s="8">
        <f t="shared" si="20"/>
        <v>0</v>
      </c>
      <c r="U17" s="40">
        <f t="shared" si="18"/>
        <v>0</v>
      </c>
    </row>
    <row r="18" spans="1:24" ht="16.5" thickBot="1" x14ac:dyDescent="0.25">
      <c r="A18" s="10">
        <v>44301</v>
      </c>
      <c r="B18" s="1">
        <f t="shared" si="21"/>
        <v>20289.5</v>
      </c>
      <c r="C18" s="54">
        <f>IF((B18-B17)&lt;0,"0",(B18-B17))</f>
        <v>0</v>
      </c>
      <c r="D18" s="38">
        <f t="shared" si="8"/>
        <v>0</v>
      </c>
      <c r="E18" s="1">
        <f t="shared" si="22"/>
        <v>3512.2170000000001</v>
      </c>
      <c r="F18" s="54">
        <f t="shared" si="9"/>
        <v>0</v>
      </c>
      <c r="G18" s="38">
        <f t="shared" si="10"/>
        <v>0</v>
      </c>
      <c r="H18" s="1">
        <f t="shared" si="23"/>
        <v>2737</v>
      </c>
      <c r="I18" s="54">
        <f t="shared" si="11"/>
        <v>0</v>
      </c>
      <c r="J18" s="38">
        <f t="shared" si="12"/>
        <v>0</v>
      </c>
      <c r="K18" s="7">
        <f t="shared" si="24"/>
        <v>13319.41</v>
      </c>
      <c r="L18" s="54">
        <f t="shared" si="13"/>
        <v>0</v>
      </c>
      <c r="M18" s="38">
        <f t="shared" si="14"/>
        <v>0</v>
      </c>
      <c r="N18" s="7">
        <f t="shared" si="25"/>
        <v>2974.806</v>
      </c>
      <c r="O18" s="54">
        <f t="shared" si="15"/>
        <v>0</v>
      </c>
      <c r="P18" s="38">
        <f t="shared" si="19"/>
        <v>0</v>
      </c>
      <c r="Q18" s="7">
        <f t="shared" si="26"/>
        <v>4725.74</v>
      </c>
      <c r="R18" s="54">
        <f t="shared" si="16"/>
        <v>0</v>
      </c>
      <c r="S18" s="38">
        <f t="shared" si="17"/>
        <v>0</v>
      </c>
      <c r="T18" s="8">
        <f t="shared" si="20"/>
        <v>0</v>
      </c>
      <c r="U18" s="40">
        <f t="shared" si="18"/>
        <v>0</v>
      </c>
    </row>
    <row r="19" spans="1:24" ht="16.5" thickBot="1" x14ac:dyDescent="0.25">
      <c r="A19" s="10">
        <v>44302</v>
      </c>
      <c r="B19" s="1">
        <f t="shared" si="21"/>
        <v>20289.5</v>
      </c>
      <c r="C19" s="54">
        <f>IF((B19-B18)&lt;0,"0",(B19-B18))</f>
        <v>0</v>
      </c>
      <c r="D19" s="38">
        <f t="shared" si="8"/>
        <v>0</v>
      </c>
      <c r="E19" s="1">
        <f t="shared" si="22"/>
        <v>3512.2170000000001</v>
      </c>
      <c r="F19" s="54">
        <f t="shared" si="9"/>
        <v>0</v>
      </c>
      <c r="G19" s="38">
        <f t="shared" si="10"/>
        <v>0</v>
      </c>
      <c r="H19" s="1">
        <f t="shared" si="23"/>
        <v>2737</v>
      </c>
      <c r="I19" s="54">
        <f t="shared" si="11"/>
        <v>0</v>
      </c>
      <c r="J19" s="38">
        <f t="shared" si="12"/>
        <v>0</v>
      </c>
      <c r="K19" s="7">
        <f t="shared" si="24"/>
        <v>13319.41</v>
      </c>
      <c r="L19" s="54">
        <f t="shared" si="13"/>
        <v>0</v>
      </c>
      <c r="M19" s="38">
        <f t="shared" si="14"/>
        <v>0</v>
      </c>
      <c r="N19" s="7">
        <f t="shared" si="25"/>
        <v>2974.806</v>
      </c>
      <c r="O19" s="54">
        <f t="shared" si="15"/>
        <v>0</v>
      </c>
      <c r="P19" s="38">
        <f t="shared" si="19"/>
        <v>0</v>
      </c>
      <c r="Q19" s="7">
        <f t="shared" si="26"/>
        <v>4725.74</v>
      </c>
      <c r="R19" s="54">
        <f t="shared" si="16"/>
        <v>0</v>
      </c>
      <c r="S19" s="38">
        <f t="shared" si="17"/>
        <v>0</v>
      </c>
      <c r="T19" s="8">
        <f t="shared" si="20"/>
        <v>0</v>
      </c>
      <c r="U19" s="40">
        <f t="shared" si="18"/>
        <v>0</v>
      </c>
    </row>
    <row r="20" spans="1:24" ht="16.5" thickBot="1" x14ac:dyDescent="0.25">
      <c r="A20" s="10">
        <v>44303</v>
      </c>
      <c r="B20" s="1">
        <f t="shared" si="21"/>
        <v>20289.5</v>
      </c>
      <c r="C20" s="54">
        <f t="shared" si="7"/>
        <v>0</v>
      </c>
      <c r="D20" s="38">
        <f t="shared" si="8"/>
        <v>0</v>
      </c>
      <c r="E20" s="1">
        <f t="shared" si="22"/>
        <v>3512.2170000000001</v>
      </c>
      <c r="F20" s="54">
        <f t="shared" si="9"/>
        <v>0</v>
      </c>
      <c r="G20" s="38">
        <f t="shared" si="10"/>
        <v>0</v>
      </c>
      <c r="H20" s="1">
        <f t="shared" si="23"/>
        <v>2737</v>
      </c>
      <c r="I20" s="54">
        <f t="shared" si="11"/>
        <v>0</v>
      </c>
      <c r="J20" s="38">
        <f t="shared" si="12"/>
        <v>0</v>
      </c>
      <c r="K20" s="7">
        <f t="shared" si="24"/>
        <v>13319.41</v>
      </c>
      <c r="L20" s="54">
        <f t="shared" si="13"/>
        <v>0</v>
      </c>
      <c r="M20" s="38">
        <f t="shared" si="14"/>
        <v>0</v>
      </c>
      <c r="N20" s="7">
        <f t="shared" si="25"/>
        <v>2974.806</v>
      </c>
      <c r="O20" s="54">
        <f t="shared" si="15"/>
        <v>0</v>
      </c>
      <c r="P20" s="38">
        <f t="shared" si="19"/>
        <v>0</v>
      </c>
      <c r="Q20" s="7">
        <f t="shared" si="26"/>
        <v>4725.74</v>
      </c>
      <c r="R20" s="54">
        <v>0</v>
      </c>
      <c r="S20" s="38">
        <f t="shared" si="17"/>
        <v>0</v>
      </c>
      <c r="T20" s="8">
        <f t="shared" si="20"/>
        <v>0</v>
      </c>
      <c r="U20" s="40">
        <f t="shared" si="18"/>
        <v>0</v>
      </c>
      <c r="X20" t="s">
        <v>13</v>
      </c>
    </row>
    <row r="21" spans="1:24" ht="16.5" thickBot="1" x14ac:dyDescent="0.25">
      <c r="A21" s="10">
        <v>44304</v>
      </c>
      <c r="B21" s="1">
        <f t="shared" si="21"/>
        <v>20289.5</v>
      </c>
      <c r="C21" s="54">
        <f t="shared" si="7"/>
        <v>0</v>
      </c>
      <c r="D21" s="38">
        <f t="shared" si="8"/>
        <v>0</v>
      </c>
      <c r="E21" s="1">
        <f t="shared" si="22"/>
        <v>3512.2170000000001</v>
      </c>
      <c r="F21" s="54">
        <f t="shared" si="9"/>
        <v>0</v>
      </c>
      <c r="G21" s="38">
        <f t="shared" si="10"/>
        <v>0</v>
      </c>
      <c r="H21" s="1">
        <f t="shared" si="23"/>
        <v>2737</v>
      </c>
      <c r="I21" s="54">
        <f t="shared" si="11"/>
        <v>0</v>
      </c>
      <c r="J21" s="38">
        <f t="shared" si="12"/>
        <v>0</v>
      </c>
      <c r="K21" s="7">
        <f t="shared" si="24"/>
        <v>13319.41</v>
      </c>
      <c r="L21" s="54">
        <f t="shared" si="13"/>
        <v>0</v>
      </c>
      <c r="M21" s="38">
        <f t="shared" si="14"/>
        <v>0</v>
      </c>
      <c r="N21" s="7">
        <f t="shared" si="25"/>
        <v>2974.806</v>
      </c>
      <c r="O21" s="54">
        <f t="shared" si="15"/>
        <v>0</v>
      </c>
      <c r="P21" s="38">
        <f t="shared" si="19"/>
        <v>0</v>
      </c>
      <c r="Q21" s="7">
        <f t="shared" si="26"/>
        <v>4725.74</v>
      </c>
      <c r="R21" s="54">
        <f t="shared" si="16"/>
        <v>0</v>
      </c>
      <c r="S21" s="38">
        <f t="shared" si="17"/>
        <v>0</v>
      </c>
      <c r="T21" s="8">
        <f t="shared" si="20"/>
        <v>0</v>
      </c>
      <c r="U21" s="40">
        <f t="shared" si="18"/>
        <v>0</v>
      </c>
    </row>
    <row r="22" spans="1:24" ht="16.5" thickBot="1" x14ac:dyDescent="0.25">
      <c r="A22" s="10">
        <v>44305</v>
      </c>
      <c r="B22" s="1">
        <f t="shared" si="21"/>
        <v>20289.5</v>
      </c>
      <c r="C22" s="54">
        <f t="shared" si="7"/>
        <v>0</v>
      </c>
      <c r="D22" s="38">
        <f t="shared" si="8"/>
        <v>0</v>
      </c>
      <c r="E22" s="1">
        <f t="shared" si="22"/>
        <v>3512.2170000000001</v>
      </c>
      <c r="F22" s="54">
        <f t="shared" si="9"/>
        <v>0</v>
      </c>
      <c r="G22" s="38">
        <f t="shared" si="10"/>
        <v>0</v>
      </c>
      <c r="H22" s="1">
        <f t="shared" si="23"/>
        <v>2737</v>
      </c>
      <c r="I22" s="54">
        <f t="shared" si="11"/>
        <v>0</v>
      </c>
      <c r="J22" s="38">
        <f t="shared" si="12"/>
        <v>0</v>
      </c>
      <c r="K22" s="7">
        <f t="shared" si="24"/>
        <v>13319.41</v>
      </c>
      <c r="L22" s="54">
        <f t="shared" si="13"/>
        <v>0</v>
      </c>
      <c r="M22" s="38">
        <f t="shared" si="14"/>
        <v>0</v>
      </c>
      <c r="N22" s="7">
        <f t="shared" si="25"/>
        <v>2974.806</v>
      </c>
      <c r="O22" s="54">
        <f t="shared" si="15"/>
        <v>0</v>
      </c>
      <c r="P22" s="38">
        <f t="shared" si="19"/>
        <v>0</v>
      </c>
      <c r="Q22" s="7">
        <f t="shared" si="26"/>
        <v>4725.74</v>
      </c>
      <c r="R22" s="54">
        <f t="shared" si="16"/>
        <v>0</v>
      </c>
      <c r="S22" s="38">
        <f t="shared" si="17"/>
        <v>0</v>
      </c>
      <c r="T22" s="8">
        <f t="shared" si="20"/>
        <v>0</v>
      </c>
      <c r="U22" s="40">
        <f t="shared" si="18"/>
        <v>0</v>
      </c>
    </row>
    <row r="23" spans="1:24" ht="16.5" thickBot="1" x14ac:dyDescent="0.25">
      <c r="A23" s="10">
        <v>44306</v>
      </c>
      <c r="B23" s="1">
        <f t="shared" si="21"/>
        <v>20289.5</v>
      </c>
      <c r="C23" s="54">
        <f t="shared" si="7"/>
        <v>0</v>
      </c>
      <c r="D23" s="38">
        <f t="shared" si="8"/>
        <v>0</v>
      </c>
      <c r="E23" s="1">
        <f t="shared" si="22"/>
        <v>3512.2170000000001</v>
      </c>
      <c r="F23" s="54">
        <f t="shared" si="9"/>
        <v>0</v>
      </c>
      <c r="G23" s="38">
        <f t="shared" si="10"/>
        <v>0</v>
      </c>
      <c r="H23" s="1">
        <f t="shared" si="23"/>
        <v>2737</v>
      </c>
      <c r="I23" s="54">
        <f t="shared" si="11"/>
        <v>0</v>
      </c>
      <c r="J23" s="38">
        <f t="shared" si="12"/>
        <v>0</v>
      </c>
      <c r="K23" s="7">
        <f t="shared" si="24"/>
        <v>13319.41</v>
      </c>
      <c r="L23" s="54">
        <f t="shared" si="13"/>
        <v>0</v>
      </c>
      <c r="M23" s="38">
        <f t="shared" si="14"/>
        <v>0</v>
      </c>
      <c r="N23" s="7">
        <f t="shared" si="25"/>
        <v>2974.806</v>
      </c>
      <c r="O23" s="54">
        <f t="shared" si="15"/>
        <v>0</v>
      </c>
      <c r="P23" s="38">
        <f t="shared" si="19"/>
        <v>0</v>
      </c>
      <c r="Q23" s="7">
        <f t="shared" si="26"/>
        <v>4725.74</v>
      </c>
      <c r="R23" s="54">
        <f t="shared" si="16"/>
        <v>0</v>
      </c>
      <c r="S23" s="38">
        <f t="shared" si="17"/>
        <v>0</v>
      </c>
      <c r="T23" s="8">
        <f t="shared" si="20"/>
        <v>0</v>
      </c>
      <c r="U23" s="40">
        <f t="shared" si="18"/>
        <v>0</v>
      </c>
    </row>
    <row r="24" spans="1:24" ht="16.5" thickBot="1" x14ac:dyDescent="0.25">
      <c r="A24" s="10">
        <v>44307</v>
      </c>
      <c r="B24" s="1">
        <f t="shared" si="21"/>
        <v>20289.5</v>
      </c>
      <c r="C24" s="54">
        <f t="shared" si="7"/>
        <v>0</v>
      </c>
      <c r="D24" s="38">
        <f t="shared" si="8"/>
        <v>0</v>
      </c>
      <c r="E24" s="1">
        <f t="shared" si="22"/>
        <v>3512.2170000000001</v>
      </c>
      <c r="F24" s="54">
        <f t="shared" si="9"/>
        <v>0</v>
      </c>
      <c r="G24" s="38">
        <f t="shared" si="10"/>
        <v>0</v>
      </c>
      <c r="H24" s="1">
        <f t="shared" si="23"/>
        <v>2737</v>
      </c>
      <c r="I24" s="54">
        <f t="shared" si="11"/>
        <v>0</v>
      </c>
      <c r="J24" s="38">
        <f t="shared" si="12"/>
        <v>0</v>
      </c>
      <c r="K24" s="7">
        <f t="shared" si="24"/>
        <v>13319.41</v>
      </c>
      <c r="L24" s="54">
        <f t="shared" si="13"/>
        <v>0</v>
      </c>
      <c r="M24" s="38">
        <f t="shared" si="14"/>
        <v>0</v>
      </c>
      <c r="N24" s="7">
        <f t="shared" si="25"/>
        <v>2974.806</v>
      </c>
      <c r="O24" s="54">
        <f t="shared" si="15"/>
        <v>0</v>
      </c>
      <c r="P24" s="38">
        <f t="shared" si="19"/>
        <v>0</v>
      </c>
      <c r="Q24" s="7">
        <f t="shared" si="26"/>
        <v>4725.74</v>
      </c>
      <c r="R24" s="54">
        <f t="shared" si="16"/>
        <v>0</v>
      </c>
      <c r="S24" s="38">
        <f t="shared" si="17"/>
        <v>0</v>
      </c>
      <c r="T24" s="8">
        <f t="shared" si="20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21"/>
        <v>20289.5</v>
      </c>
      <c r="C25" s="54">
        <f t="shared" si="7"/>
        <v>0</v>
      </c>
      <c r="D25" s="38">
        <f t="shared" si="8"/>
        <v>0</v>
      </c>
      <c r="E25" s="1">
        <f t="shared" si="22"/>
        <v>3512.2170000000001</v>
      </c>
      <c r="F25" s="54">
        <f t="shared" si="9"/>
        <v>0</v>
      </c>
      <c r="G25" s="38">
        <f t="shared" si="10"/>
        <v>0</v>
      </c>
      <c r="H25" s="1">
        <f t="shared" si="23"/>
        <v>2737</v>
      </c>
      <c r="I25" s="54">
        <f t="shared" si="11"/>
        <v>0</v>
      </c>
      <c r="J25" s="38">
        <f t="shared" si="12"/>
        <v>0</v>
      </c>
      <c r="K25" s="7">
        <f t="shared" si="24"/>
        <v>13319.41</v>
      </c>
      <c r="L25" s="54">
        <f t="shared" si="13"/>
        <v>0</v>
      </c>
      <c r="M25" s="38">
        <f t="shared" si="14"/>
        <v>0</v>
      </c>
      <c r="N25" s="7">
        <f t="shared" si="25"/>
        <v>2974.806</v>
      </c>
      <c r="O25" s="54">
        <f t="shared" si="15"/>
        <v>0</v>
      </c>
      <c r="P25" s="38">
        <f t="shared" si="19"/>
        <v>0</v>
      </c>
      <c r="Q25" s="7">
        <f t="shared" si="26"/>
        <v>4725.74</v>
      </c>
      <c r="R25" s="54">
        <f t="shared" si="16"/>
        <v>0</v>
      </c>
      <c r="S25" s="38">
        <f t="shared" si="17"/>
        <v>0</v>
      </c>
      <c r="T25" s="8">
        <f t="shared" si="20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21"/>
        <v>20289.5</v>
      </c>
      <c r="C26" s="54">
        <f t="shared" si="7"/>
        <v>0</v>
      </c>
      <c r="D26" s="38">
        <f t="shared" si="8"/>
        <v>0</v>
      </c>
      <c r="E26" s="1">
        <f t="shared" si="22"/>
        <v>3512.2170000000001</v>
      </c>
      <c r="F26" s="54">
        <f t="shared" si="9"/>
        <v>0</v>
      </c>
      <c r="G26" s="38">
        <f t="shared" si="10"/>
        <v>0</v>
      </c>
      <c r="H26" s="1">
        <f t="shared" si="23"/>
        <v>2737</v>
      </c>
      <c r="I26" s="54">
        <f t="shared" si="11"/>
        <v>0</v>
      </c>
      <c r="J26" s="38">
        <f t="shared" si="12"/>
        <v>0</v>
      </c>
      <c r="K26" s="7">
        <f t="shared" si="24"/>
        <v>13319.41</v>
      </c>
      <c r="L26" s="54">
        <f t="shared" si="13"/>
        <v>0</v>
      </c>
      <c r="M26" s="38">
        <f t="shared" si="14"/>
        <v>0</v>
      </c>
      <c r="N26" s="7">
        <f t="shared" si="25"/>
        <v>2974.806</v>
      </c>
      <c r="O26" s="54">
        <f t="shared" si="15"/>
        <v>0</v>
      </c>
      <c r="P26" s="38">
        <f t="shared" si="19"/>
        <v>0</v>
      </c>
      <c r="Q26" s="7">
        <f t="shared" si="26"/>
        <v>4725.74</v>
      </c>
      <c r="R26" s="54">
        <f t="shared" si="16"/>
        <v>0</v>
      </c>
      <c r="S26" s="38">
        <f t="shared" si="17"/>
        <v>0</v>
      </c>
      <c r="T26" s="8">
        <f t="shared" si="20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21"/>
        <v>20289.5</v>
      </c>
      <c r="C27" s="54">
        <f t="shared" si="7"/>
        <v>0</v>
      </c>
      <c r="D27" s="38">
        <f t="shared" si="8"/>
        <v>0</v>
      </c>
      <c r="E27" s="1">
        <f t="shared" si="22"/>
        <v>3512.2170000000001</v>
      </c>
      <c r="F27" s="54">
        <f t="shared" si="9"/>
        <v>0</v>
      </c>
      <c r="G27" s="38">
        <f t="shared" si="10"/>
        <v>0</v>
      </c>
      <c r="H27" s="1">
        <f t="shared" si="23"/>
        <v>2737</v>
      </c>
      <c r="I27" s="54">
        <f t="shared" si="11"/>
        <v>0</v>
      </c>
      <c r="J27" s="38">
        <f t="shared" si="12"/>
        <v>0</v>
      </c>
      <c r="K27" s="7">
        <f t="shared" si="24"/>
        <v>13319.41</v>
      </c>
      <c r="L27" s="54">
        <f t="shared" si="13"/>
        <v>0</v>
      </c>
      <c r="M27" s="38">
        <f t="shared" si="14"/>
        <v>0</v>
      </c>
      <c r="N27" s="7">
        <f t="shared" si="25"/>
        <v>2974.806</v>
      </c>
      <c r="O27" s="54">
        <f t="shared" si="15"/>
        <v>0</v>
      </c>
      <c r="P27" s="38">
        <f t="shared" si="19"/>
        <v>0</v>
      </c>
      <c r="Q27" s="7">
        <f t="shared" si="26"/>
        <v>4725.74</v>
      </c>
      <c r="R27" s="54">
        <f t="shared" si="16"/>
        <v>0</v>
      </c>
      <c r="S27" s="38">
        <f t="shared" si="17"/>
        <v>0</v>
      </c>
      <c r="T27" s="8">
        <f t="shared" si="20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21"/>
        <v>20289.5</v>
      </c>
      <c r="C28" s="54">
        <f t="shared" si="7"/>
        <v>0</v>
      </c>
      <c r="D28" s="38">
        <f t="shared" si="8"/>
        <v>0</v>
      </c>
      <c r="E28" s="1">
        <f t="shared" si="22"/>
        <v>3512.2170000000001</v>
      </c>
      <c r="F28" s="54">
        <f t="shared" si="9"/>
        <v>0</v>
      </c>
      <c r="G28" s="38">
        <f t="shared" si="10"/>
        <v>0</v>
      </c>
      <c r="H28" s="1">
        <f t="shared" si="23"/>
        <v>2737</v>
      </c>
      <c r="I28" s="54">
        <f t="shared" si="11"/>
        <v>0</v>
      </c>
      <c r="J28" s="38">
        <f t="shared" si="12"/>
        <v>0</v>
      </c>
      <c r="K28" s="7">
        <f t="shared" si="24"/>
        <v>13319.41</v>
      </c>
      <c r="L28" s="54">
        <f t="shared" si="13"/>
        <v>0</v>
      </c>
      <c r="M28" s="38">
        <f t="shared" si="14"/>
        <v>0</v>
      </c>
      <c r="N28" s="7">
        <f t="shared" si="25"/>
        <v>2974.806</v>
      </c>
      <c r="O28" s="54">
        <f t="shared" si="15"/>
        <v>0</v>
      </c>
      <c r="P28" s="38">
        <f t="shared" si="19"/>
        <v>0</v>
      </c>
      <c r="Q28" s="7">
        <f t="shared" si="26"/>
        <v>4725.74</v>
      </c>
      <c r="R28" s="54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1"/>
        <v>20289.5</v>
      </c>
      <c r="C29" s="54">
        <f t="shared" si="7"/>
        <v>0</v>
      </c>
      <c r="D29" s="38">
        <f t="shared" si="8"/>
        <v>0</v>
      </c>
      <c r="E29" s="1">
        <f t="shared" si="22"/>
        <v>3512.2170000000001</v>
      </c>
      <c r="F29" s="54">
        <f t="shared" si="9"/>
        <v>0</v>
      </c>
      <c r="G29" s="38">
        <f t="shared" si="10"/>
        <v>0</v>
      </c>
      <c r="H29" s="1">
        <f t="shared" si="23"/>
        <v>2737</v>
      </c>
      <c r="I29" s="54">
        <f t="shared" si="11"/>
        <v>0</v>
      </c>
      <c r="J29" s="38">
        <f t="shared" si="12"/>
        <v>0</v>
      </c>
      <c r="K29" s="7">
        <f t="shared" si="24"/>
        <v>13319.41</v>
      </c>
      <c r="L29" s="54">
        <f t="shared" si="13"/>
        <v>0</v>
      </c>
      <c r="M29" s="38">
        <f t="shared" si="14"/>
        <v>0</v>
      </c>
      <c r="N29" s="7">
        <f t="shared" si="25"/>
        <v>2974.806</v>
      </c>
      <c r="O29" s="54">
        <f t="shared" si="15"/>
        <v>0</v>
      </c>
      <c r="P29" s="38">
        <f t="shared" si="19"/>
        <v>0</v>
      </c>
      <c r="Q29" s="7">
        <f t="shared" si="26"/>
        <v>4725.74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1"/>
        <v>20289.5</v>
      </c>
      <c r="C30" s="54">
        <f t="shared" si="7"/>
        <v>0</v>
      </c>
      <c r="D30" s="38">
        <f t="shared" si="8"/>
        <v>0</v>
      </c>
      <c r="E30" s="1">
        <f t="shared" si="22"/>
        <v>3512.2170000000001</v>
      </c>
      <c r="F30" s="54">
        <f t="shared" si="9"/>
        <v>0</v>
      </c>
      <c r="G30" s="38">
        <f t="shared" si="10"/>
        <v>0</v>
      </c>
      <c r="H30" s="1">
        <f t="shared" si="23"/>
        <v>2737</v>
      </c>
      <c r="I30" s="54">
        <f t="shared" si="11"/>
        <v>0</v>
      </c>
      <c r="J30" s="38">
        <f t="shared" si="12"/>
        <v>0</v>
      </c>
      <c r="K30" s="7">
        <f t="shared" si="24"/>
        <v>13319.41</v>
      </c>
      <c r="L30" s="54">
        <f t="shared" si="13"/>
        <v>0</v>
      </c>
      <c r="M30" s="38">
        <f t="shared" si="14"/>
        <v>0</v>
      </c>
      <c r="N30" s="7">
        <f t="shared" si="25"/>
        <v>2974.806</v>
      </c>
      <c r="O30" s="54">
        <f t="shared" si="15"/>
        <v>0</v>
      </c>
      <c r="P30" s="38">
        <f t="shared" si="19"/>
        <v>0</v>
      </c>
      <c r="Q30" s="7">
        <f t="shared" si="26"/>
        <v>4725.74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1"/>
        <v>20289.5</v>
      </c>
      <c r="C31" s="54">
        <f t="shared" si="7"/>
        <v>0</v>
      </c>
      <c r="D31" s="38">
        <f t="shared" si="8"/>
        <v>0</v>
      </c>
      <c r="E31" s="1">
        <f t="shared" si="22"/>
        <v>3512.2170000000001</v>
      </c>
      <c r="F31" s="54">
        <f t="shared" si="9"/>
        <v>0</v>
      </c>
      <c r="G31" s="38">
        <f t="shared" si="10"/>
        <v>0</v>
      </c>
      <c r="H31" s="1">
        <f t="shared" si="23"/>
        <v>2737</v>
      </c>
      <c r="I31" s="54">
        <f t="shared" si="11"/>
        <v>0</v>
      </c>
      <c r="J31" s="38">
        <f t="shared" si="12"/>
        <v>0</v>
      </c>
      <c r="K31" s="7">
        <f t="shared" si="24"/>
        <v>13319.41</v>
      </c>
      <c r="L31" s="54">
        <f t="shared" si="13"/>
        <v>0</v>
      </c>
      <c r="M31" s="38">
        <f t="shared" si="14"/>
        <v>0</v>
      </c>
      <c r="N31" s="7">
        <f t="shared" si="25"/>
        <v>2974.806</v>
      </c>
      <c r="O31" s="54">
        <f t="shared" si="15"/>
        <v>0</v>
      </c>
      <c r="P31" s="38">
        <f t="shared" si="19"/>
        <v>0</v>
      </c>
      <c r="Q31" s="7">
        <f t="shared" si="26"/>
        <v>4725.74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1"/>
        <v>20289.5</v>
      </c>
      <c r="C32" s="54">
        <f t="shared" si="7"/>
        <v>0</v>
      </c>
      <c r="D32" s="38">
        <f t="shared" si="8"/>
        <v>0</v>
      </c>
      <c r="E32" s="1">
        <f t="shared" si="22"/>
        <v>3512.2170000000001</v>
      </c>
      <c r="F32" s="54">
        <f t="shared" si="9"/>
        <v>0</v>
      </c>
      <c r="G32" s="38">
        <f t="shared" si="10"/>
        <v>0</v>
      </c>
      <c r="H32" s="1">
        <f t="shared" si="23"/>
        <v>2737</v>
      </c>
      <c r="I32" s="54">
        <f t="shared" si="11"/>
        <v>0</v>
      </c>
      <c r="J32" s="38">
        <f t="shared" si="12"/>
        <v>0</v>
      </c>
      <c r="K32" s="7">
        <f t="shared" si="24"/>
        <v>13319.41</v>
      </c>
      <c r="L32" s="54">
        <f t="shared" si="13"/>
        <v>0</v>
      </c>
      <c r="M32" s="38">
        <f t="shared" si="14"/>
        <v>0</v>
      </c>
      <c r="N32" s="7">
        <f t="shared" si="25"/>
        <v>2974.806</v>
      </c>
      <c r="O32" s="54">
        <f t="shared" si="15"/>
        <v>0</v>
      </c>
      <c r="P32" s="38">
        <f t="shared" si="19"/>
        <v>0</v>
      </c>
      <c r="Q32" s="7">
        <f t="shared" si="26"/>
        <v>4725.74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1"/>
        <v>20289.5</v>
      </c>
      <c r="C33" s="54">
        <f t="shared" si="7"/>
        <v>0</v>
      </c>
      <c r="D33" s="38">
        <f t="shared" si="8"/>
        <v>0</v>
      </c>
      <c r="E33" s="1">
        <f t="shared" si="22"/>
        <v>3512.2170000000001</v>
      </c>
      <c r="F33" s="54">
        <f t="shared" si="9"/>
        <v>0</v>
      </c>
      <c r="G33" s="38">
        <f t="shared" si="10"/>
        <v>0</v>
      </c>
      <c r="H33" s="1">
        <f t="shared" si="23"/>
        <v>2737</v>
      </c>
      <c r="I33" s="54">
        <f t="shared" si="11"/>
        <v>0</v>
      </c>
      <c r="J33" s="38">
        <f t="shared" si="12"/>
        <v>0</v>
      </c>
      <c r="K33" s="7">
        <f t="shared" si="24"/>
        <v>13319.41</v>
      </c>
      <c r="L33" s="54">
        <f t="shared" si="13"/>
        <v>0</v>
      </c>
      <c r="M33" s="38">
        <f t="shared" si="14"/>
        <v>0</v>
      </c>
      <c r="N33" s="7">
        <f t="shared" ref="N33" si="27">N32</f>
        <v>2974.806</v>
      </c>
      <c r="O33" s="54">
        <f t="shared" si="15"/>
        <v>0</v>
      </c>
      <c r="P33" s="38">
        <f t="shared" si="19"/>
        <v>0</v>
      </c>
      <c r="Q33" s="7">
        <f t="shared" si="26"/>
        <v>4725.74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25042.000000000553</v>
      </c>
      <c r="E34" s="162">
        <v>0</v>
      </c>
      <c r="F34" s="162">
        <f>SUM(F2:F33)</f>
        <v>2.8769999999999527</v>
      </c>
      <c r="G34" s="162">
        <f>SUM(G2:G33)</f>
        <v>5466.2999999999101</v>
      </c>
      <c r="H34" s="162"/>
      <c r="I34" s="162">
        <f>SUM(I2:I33)</f>
        <v>15</v>
      </c>
      <c r="J34" s="162">
        <f>SUM(J2:J33)</f>
        <v>28500</v>
      </c>
      <c r="K34" s="162"/>
      <c r="L34" s="162">
        <f>SUM(L2:L33)</f>
        <v>1.6599999999998545</v>
      </c>
      <c r="M34" s="162">
        <f>SUM(M2:M33)</f>
        <v>3153.9999999997235</v>
      </c>
      <c r="N34" s="162"/>
      <c r="O34" s="162">
        <f>SUM(O2:O33)</f>
        <v>3.7910000000001673</v>
      </c>
      <c r="P34" s="162">
        <f>SUM(P2:P33)</f>
        <v>6831.8000000000484</v>
      </c>
      <c r="Q34" s="162"/>
      <c r="R34" s="162">
        <v>0</v>
      </c>
      <c r="S34" s="162">
        <f>SUM(S2:S33)</f>
        <v>3277.4999999989632</v>
      </c>
      <c r="T34" s="162">
        <f>SUM(T2:T33)</f>
        <v>25.360000000000127</v>
      </c>
      <c r="U34" s="162">
        <f>SUM(U2:U33)</f>
        <v>48184.00000000024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33269</v>
      </c>
      <c r="D2" s="110">
        <f>C2*1.27</f>
        <v>42251.63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25456697</v>
      </c>
      <c r="K3" s="105">
        <f>J3-I3</f>
        <v>23158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79961546</v>
      </c>
      <c r="K4" s="105">
        <f>J4-I4</f>
        <v>123911</v>
      </c>
    </row>
    <row r="5" spans="1:11" ht="13.5" thickBot="1" x14ac:dyDescent="0.25">
      <c r="A5" s="108"/>
      <c r="B5" s="114" t="s">
        <v>28</v>
      </c>
      <c r="C5" s="118">
        <f>(K10+K12)*0.842284+K26</f>
        <v>72857.328280000002</v>
      </c>
      <c r="D5" s="118">
        <f t="shared" ref="D5:D11" si="0">C5*1.27</f>
        <v>92528.806915599998</v>
      </c>
      <c r="E5" s="119"/>
      <c r="F5" s="108"/>
      <c r="G5" s="108"/>
      <c r="H5" s="114" t="s">
        <v>24</v>
      </c>
      <c r="I5" s="120"/>
      <c r="J5" s="120"/>
      <c r="K5" s="145">
        <f>K3+K4</f>
        <v>147069</v>
      </c>
    </row>
    <row r="6" spans="1:11" ht="13.5" thickBot="1" x14ac:dyDescent="0.25">
      <c r="A6" s="108"/>
      <c r="B6" s="114" t="s">
        <v>100</v>
      </c>
      <c r="C6" s="118">
        <f>(K10+K12+K26)*0.1488</f>
        <v>12839.951999999999</v>
      </c>
      <c r="D6" s="118">
        <f t="shared" si="0"/>
        <v>16306.739039999999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7765202</v>
      </c>
      <c r="K6" s="105">
        <f>J6-I6</f>
        <v>12967</v>
      </c>
    </row>
    <row r="7" spans="1:11" ht="13.5" thickBot="1" x14ac:dyDescent="0.25">
      <c r="A7" s="108"/>
      <c r="B7" s="114" t="s">
        <v>102</v>
      </c>
      <c r="C7" s="118">
        <f>(K6+K7)-(C8+C9+C10+C11+K26)</f>
        <v>20530</v>
      </c>
      <c r="D7" s="118">
        <f t="shared" si="0"/>
        <v>26073.1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7790498</v>
      </c>
      <c r="K7" s="105">
        <f>J7-I7</f>
        <v>15663</v>
      </c>
    </row>
    <row r="8" spans="1:11" ht="13.5" thickBot="1" x14ac:dyDescent="0.25">
      <c r="A8" s="108"/>
      <c r="B8" s="114" t="s">
        <v>104</v>
      </c>
      <c r="C8" s="118">
        <f>K21+K22+K23+K24</f>
        <v>3732</v>
      </c>
      <c r="D8" s="118">
        <f t="shared" si="0"/>
        <v>4739.6400000000003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5012346</v>
      </c>
      <c r="K8" s="105">
        <f>(J8-I8)*2</f>
        <v>7022</v>
      </c>
    </row>
    <row r="9" spans="1:11" ht="13.5" thickBot="1" x14ac:dyDescent="0.25">
      <c r="A9" s="108"/>
      <c r="B9" s="114" t="s">
        <v>138</v>
      </c>
      <c r="C9" s="118">
        <f>K25+K16+K17</f>
        <v>1338</v>
      </c>
      <c r="D9" s="118">
        <f t="shared" si="0"/>
        <v>1699.26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2916393</v>
      </c>
      <c r="K9" s="105">
        <f>J9-I9</f>
        <v>22999</v>
      </c>
    </row>
    <row r="10" spans="1:11" ht="13.5" thickBot="1" x14ac:dyDescent="0.25">
      <c r="A10" s="108"/>
      <c r="B10" s="114" t="s">
        <v>107</v>
      </c>
      <c r="C10" s="118">
        <f>K18</f>
        <v>1600</v>
      </c>
      <c r="D10" s="118">
        <f t="shared" si="0"/>
        <v>2032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17012586</v>
      </c>
      <c r="K10" s="105">
        <f>J10-I10</f>
        <v>26678</v>
      </c>
    </row>
    <row r="11" spans="1:11" ht="13.5" thickBot="1" x14ac:dyDescent="0.25">
      <c r="A11" s="108"/>
      <c r="B11" s="114" t="s">
        <v>109</v>
      </c>
      <c r="C11" s="118">
        <f>K19+K20</f>
        <v>310</v>
      </c>
      <c r="D11" s="118">
        <f t="shared" si="0"/>
        <v>393.7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4607810</v>
      </c>
      <c r="K12" s="105">
        <f>(J12-I12)*2</f>
        <v>58492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143821</v>
      </c>
    </row>
    <row r="14" spans="1:11" ht="13.5" thickBot="1" x14ac:dyDescent="0.25">
      <c r="A14" s="108"/>
      <c r="B14" s="114" t="s">
        <v>43</v>
      </c>
      <c r="C14" s="118">
        <f>K29</f>
        <v>2220</v>
      </c>
      <c r="D14" s="126">
        <f t="shared" ref="D14:D22" si="1">C14*10.03</f>
        <v>22266.6</v>
      </c>
      <c r="E14" s="127"/>
      <c r="F14" s="108"/>
      <c r="G14" s="108"/>
      <c r="H14" s="114" t="s">
        <v>115</v>
      </c>
      <c r="I14" s="123"/>
      <c r="J14" s="124"/>
      <c r="K14" s="106">
        <f>K5-K13</f>
        <v>3248</v>
      </c>
    </row>
    <row r="15" spans="1:11" ht="13.5" thickBot="1" x14ac:dyDescent="0.25">
      <c r="A15" s="108"/>
      <c r="B15" s="114" t="s">
        <v>116</v>
      </c>
      <c r="C15" s="128">
        <f>K30</f>
        <v>12.122999999999999</v>
      </c>
      <c r="D15" s="126">
        <f t="shared" si="1"/>
        <v>121.59368999999998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-476.07781140000003</v>
      </c>
      <c r="D16" s="126">
        <f t="shared" si="1"/>
        <v>-4775.0604483420002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3586</v>
      </c>
      <c r="K16" s="107">
        <f>(J16-I16)*160</f>
        <v>960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24788</v>
      </c>
      <c r="K18" s="107">
        <f>(J18-I18)*160</f>
        <v>1600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98420</v>
      </c>
      <c r="K19" s="107">
        <f>J19-I19</f>
        <v>310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45057</v>
      </c>
      <c r="K21" s="107">
        <f>(J21-I21)*120</f>
        <v>2160</v>
      </c>
    </row>
    <row r="22" spans="1:11" ht="13.5" thickBot="1" x14ac:dyDescent="0.25">
      <c r="A22" s="108"/>
      <c r="B22" s="114" t="s">
        <v>120</v>
      </c>
      <c r="C22" s="126">
        <f>C14-(C15+C16+C17+C18+C19+C20+C21)</f>
        <v>-3136.0451886000001</v>
      </c>
      <c r="D22" s="126">
        <f t="shared" si="1"/>
        <v>-31454.533241657999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39401</v>
      </c>
      <c r="K22" s="107">
        <f>(J22-I22)*160</f>
        <v>1280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20231</v>
      </c>
      <c r="K23" s="107">
        <f>(J23-I23)*20</f>
        <v>200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239941</v>
      </c>
      <c r="K24" s="107">
        <f>J24-I24</f>
        <v>92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213282</v>
      </c>
      <c r="K25" s="107">
        <f>J25-I25</f>
        <v>378</v>
      </c>
    </row>
    <row r="26" spans="1:11" ht="13.5" thickBot="1" x14ac:dyDescent="0.25">
      <c r="A26" s="108"/>
      <c r="B26" s="114" t="s">
        <v>43</v>
      </c>
      <c r="C26" s="132">
        <f>K35</f>
        <v>6692</v>
      </c>
      <c r="D26" s="118">
        <f>C26*3.65</f>
        <v>24425.8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18074</v>
      </c>
      <c r="K26" s="107">
        <f>(J26-I26)*160</f>
        <v>1120</v>
      </c>
    </row>
    <row r="27" spans="1:11" ht="13.5" thickBot="1" x14ac:dyDescent="0.25">
      <c r="A27" s="108"/>
      <c r="B27" s="109" t="s">
        <v>125</v>
      </c>
      <c r="C27" s="132">
        <f>C26</f>
        <v>6692</v>
      </c>
      <c r="D27" s="118">
        <f>C27*3.65</f>
        <v>24425.8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407665</v>
      </c>
      <c r="K29" s="107">
        <f>(J29-I29)*10</f>
        <v>2220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726473</v>
      </c>
      <c r="K30" s="107">
        <f>(J30-I30)*0.027</f>
        <v>12.122999999999999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3805600</v>
      </c>
      <c r="K31" s="107">
        <f>(J31-I31)*0.027</f>
        <v>1020.6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2454800</v>
      </c>
      <c r="K32" s="107">
        <f>(J32-I32)*0.027</f>
        <v>0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17257153</v>
      </c>
      <c r="K35" s="138">
        <f>J35-I35</f>
        <v>6692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8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8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83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83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9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9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8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8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83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83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9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9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8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8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83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83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9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9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8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8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83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83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9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9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8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8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83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83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9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9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8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8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83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83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9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9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8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8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83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83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9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9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8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8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83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83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9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9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8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8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83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83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9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9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8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8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83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83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9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9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8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8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83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83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9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9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8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8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83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83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9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9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8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8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83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83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9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9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8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8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83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83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9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9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8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8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83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83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8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8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83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83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8">
        <v>23</v>
      </c>
      <c r="D49" s="71" t="s">
        <v>84</v>
      </c>
      <c r="E49" s="88"/>
      <c r="F49" s="88"/>
      <c r="G49" s="73">
        <f t="shared" si="0"/>
        <v>0</v>
      </c>
      <c r="H49" s="74"/>
      <c r="J49" s="178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83"/>
      <c r="D50" s="71" t="s">
        <v>83</v>
      </c>
      <c r="E50" s="88"/>
      <c r="F50" s="88"/>
      <c r="G50" s="73">
        <f t="shared" si="0"/>
        <v>0</v>
      </c>
      <c r="H50" s="74"/>
      <c r="J50" s="183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84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84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85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85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6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86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8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8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9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9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8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8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9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9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8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8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9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9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8">
        <v>28</v>
      </c>
      <c r="D62" s="173" t="s">
        <v>87</v>
      </c>
      <c r="E62" s="72"/>
      <c r="F62" s="72"/>
      <c r="G62" s="73"/>
      <c r="H62" s="175" t="s">
        <v>88</v>
      </c>
      <c r="I62" s="78"/>
      <c r="J62" s="178">
        <v>28</v>
      </c>
      <c r="K62" s="173" t="s">
        <v>87</v>
      </c>
      <c r="L62" s="72"/>
      <c r="M62" s="72"/>
      <c r="N62" s="73"/>
      <c r="O62" s="175" t="s">
        <v>88</v>
      </c>
    </row>
    <row r="63" spans="1:15" ht="15" x14ac:dyDescent="0.2">
      <c r="A63" s="78"/>
      <c r="B63" s="67"/>
      <c r="C63" s="179"/>
      <c r="D63" s="174"/>
      <c r="E63" s="72"/>
      <c r="F63" s="72"/>
      <c r="G63" s="73"/>
      <c r="H63" s="176"/>
      <c r="I63" s="78"/>
      <c r="J63" s="179"/>
      <c r="K63" s="174"/>
      <c r="L63" s="72"/>
      <c r="M63" s="72"/>
      <c r="N63" s="73"/>
      <c r="O63" s="176"/>
    </row>
    <row r="64" spans="1:15" x14ac:dyDescent="0.2">
      <c r="A64" s="78"/>
      <c r="B64" s="67"/>
      <c r="C64" s="177" t="s">
        <v>89</v>
      </c>
      <c r="D64" s="177"/>
      <c r="E64" s="177"/>
      <c r="F64" s="177"/>
      <c r="G64" s="93">
        <f>SUM(G2:G63)</f>
        <v>36510</v>
      </c>
      <c r="H64" s="94"/>
      <c r="I64" s="78"/>
      <c r="J64" s="177" t="s">
        <v>89</v>
      </c>
      <c r="K64" s="177"/>
      <c r="L64" s="177"/>
      <c r="M64" s="177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0">
        <v>44228</v>
      </c>
      <c r="C69" s="181"/>
      <c r="D69" s="181"/>
      <c r="E69" s="182"/>
      <c r="F69" s="97"/>
      <c r="G69" s="180">
        <v>44256</v>
      </c>
      <c r="H69" s="181"/>
      <c r="I69" s="181"/>
      <c r="J69" s="182"/>
      <c r="K69" s="97"/>
      <c r="L69" s="170" t="s">
        <v>26</v>
      </c>
      <c r="M69" s="171"/>
      <c r="N69" s="171"/>
      <c r="O69" s="172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2018-07-02T08:24:59Z</cp:lastPrinted>
  <dcterms:created xsi:type="dcterms:W3CDTF">2017-07-31T14:40:49Z</dcterms:created>
  <dcterms:modified xsi:type="dcterms:W3CDTF">2021-04-03T00:41:54Z</dcterms:modified>
</cp:coreProperties>
</file>