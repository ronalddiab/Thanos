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activeTab="1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3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J56"/>
  <c r="D2" i="1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J22" s="1"/>
  <c r="H21"/>
  <c r="I21" s="1"/>
  <c r="H20"/>
  <c r="I20" s="1"/>
  <c r="H19"/>
  <c r="I19" s="1"/>
  <c r="H18"/>
  <c r="I18" s="1"/>
  <c r="H17"/>
  <c r="I17" s="1"/>
  <c r="J17" s="1"/>
  <c r="H16"/>
  <c r="I16" s="1"/>
  <c r="J16" s="1"/>
  <c r="H15"/>
  <c r="I15" s="1"/>
  <c r="H14"/>
  <c r="I14" s="1"/>
  <c r="J14" s="1"/>
  <c r="H13"/>
  <c r="I13" s="1"/>
  <c r="H12"/>
  <c r="I12" s="1"/>
  <c r="H11"/>
  <c r="I11" s="1"/>
  <c r="H10"/>
  <c r="I10" s="1"/>
  <c r="J11" l="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<sst xmlns="http://schemas.openxmlformats.org/spreadsheetml/2006/main" count="534" uniqueCount="321">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</sst>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6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14" xfId="0" applyFill="1" applyBorder="1"/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535488"/>
        <c:axId val="12130790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309440"/>
        <c:axId val="121344000"/>
      </c:lineChart>
      <c:catAx>
        <c:axId val="121535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7904"/>
        <c:crosses val="autoZero"/>
        <c:auto val="1"/>
        <c:lblAlgn val="ctr"/>
        <c:lblOffset val="100"/>
      </c:catAx>
      <c:valAx>
        <c:axId val="12130790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535488"/>
        <c:crosses val="autoZero"/>
        <c:crossBetween val="between"/>
        <c:majorUnit val="200"/>
      </c:valAx>
      <c:catAx>
        <c:axId val="121309440"/>
        <c:scaling>
          <c:orientation val="minMax"/>
        </c:scaling>
        <c:delete val="1"/>
        <c:axPos val="b"/>
        <c:tickLblPos val="none"/>
        <c:crossAx val="121344000"/>
        <c:crosses val="autoZero"/>
        <c:auto val="1"/>
        <c:lblAlgn val="ctr"/>
        <c:lblOffset val="100"/>
      </c:catAx>
      <c:valAx>
        <c:axId val="1213440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309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4060800"/>
        <c:axId val="12406233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24064128"/>
        <c:axId val="124065664"/>
      </c:lineChart>
      <c:catAx>
        <c:axId val="12406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62336"/>
        <c:crosses val="autoZero"/>
        <c:auto val="1"/>
        <c:lblAlgn val="ctr"/>
        <c:lblOffset val="100"/>
      </c:catAx>
      <c:valAx>
        <c:axId val="1240623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60800"/>
        <c:crosses val="autoZero"/>
        <c:crossBetween val="between"/>
        <c:majorUnit val="200"/>
      </c:valAx>
      <c:catAx>
        <c:axId val="124064128"/>
        <c:scaling>
          <c:orientation val="minMax"/>
        </c:scaling>
        <c:delete val="1"/>
        <c:axPos val="b"/>
        <c:tickLblPos val="none"/>
        <c:crossAx val="124065664"/>
        <c:crosses val="autoZero"/>
        <c:auto val="1"/>
        <c:lblAlgn val="ctr"/>
        <c:lblOffset val="100"/>
      </c:catAx>
      <c:valAx>
        <c:axId val="1240656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06412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26257408"/>
        <c:axId val="126271488"/>
      </c:lineChart>
      <c:catAx>
        <c:axId val="12625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71488"/>
        <c:crosses val="autoZero"/>
        <c:auto val="1"/>
        <c:lblAlgn val="ctr"/>
        <c:lblOffset val="200"/>
        <c:tickLblSkip val="1"/>
      </c:catAx>
      <c:valAx>
        <c:axId val="126271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25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26509056"/>
        <c:axId val="126510592"/>
      </c:lineChart>
      <c:catAx>
        <c:axId val="1265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10592"/>
        <c:crosses val="autoZero"/>
        <c:auto val="1"/>
        <c:lblAlgn val="ctr"/>
        <c:lblOffset val="100"/>
      </c:catAx>
      <c:valAx>
        <c:axId val="1265105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26547456"/>
        <c:axId val="126549376"/>
      </c:lineChart>
      <c:catAx>
        <c:axId val="126547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49376"/>
        <c:crosses val="autoZero"/>
        <c:auto val="1"/>
        <c:lblAlgn val="ctr"/>
        <c:lblOffset val="100"/>
      </c:catAx>
      <c:valAx>
        <c:axId val="12654937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547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0805888"/>
        <c:axId val="80807808"/>
      </c:lineChart>
      <c:catAx>
        <c:axId val="8080588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07808"/>
        <c:crosses val="autoZero"/>
        <c:auto val="1"/>
        <c:lblAlgn val="ctr"/>
        <c:lblOffset val="100"/>
      </c:catAx>
      <c:valAx>
        <c:axId val="8080780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0588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-331334.43200000003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0824576"/>
        <c:axId val="80846848"/>
      </c:lineChart>
      <c:catAx>
        <c:axId val="8082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46848"/>
        <c:crosses val="autoZero"/>
        <c:auto val="1"/>
        <c:lblAlgn val="ctr"/>
        <c:lblOffset val="100"/>
      </c:catAx>
      <c:valAx>
        <c:axId val="808468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2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26616320"/>
        <c:axId val="126617856"/>
      </c:lineChart>
      <c:catAx>
        <c:axId val="12661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17856"/>
        <c:crosses val="autoZero"/>
        <c:auto val="1"/>
        <c:lblAlgn val="ctr"/>
        <c:lblOffset val="100"/>
      </c:catAx>
      <c:valAx>
        <c:axId val="12661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61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2454400"/>
        <c:axId val="82455936"/>
      </c:lineChart>
      <c:catAx>
        <c:axId val="82454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55936"/>
        <c:crosses val="autoZero"/>
        <c:auto val="1"/>
        <c:lblAlgn val="ctr"/>
        <c:lblOffset val="100"/>
      </c:catAx>
      <c:valAx>
        <c:axId val="82455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54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314"/>
          <c:y val="7.4713247051119105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2476416"/>
        <c:axId val="82494592"/>
      </c:lineChart>
      <c:catAx>
        <c:axId val="82476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94592"/>
        <c:crosses val="autoZero"/>
        <c:auto val="1"/>
        <c:lblAlgn val="ctr"/>
        <c:lblOffset val="200"/>
        <c:tickLblSkip val="1"/>
      </c:catAx>
      <c:valAx>
        <c:axId val="8249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7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1880576"/>
        <c:axId val="81882112"/>
      </c:lineChart>
      <c:catAx>
        <c:axId val="8188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82112"/>
        <c:crosses val="autoZero"/>
        <c:auto val="1"/>
        <c:lblAlgn val="ctr"/>
        <c:lblOffset val="100"/>
      </c:catAx>
      <c:valAx>
        <c:axId val="8188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8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1894400"/>
        <c:axId val="83063936"/>
      </c:lineChart>
      <c:catAx>
        <c:axId val="818944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63936"/>
        <c:crosses val="autoZero"/>
        <c:auto val="1"/>
        <c:lblAlgn val="ctr"/>
        <c:lblOffset val="100"/>
      </c:catAx>
      <c:valAx>
        <c:axId val="830639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8944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3236352"/>
        <c:axId val="83238272"/>
      </c:lineChart>
      <c:catAx>
        <c:axId val="8323635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38272"/>
        <c:crosses val="autoZero"/>
        <c:auto val="1"/>
        <c:lblAlgn val="ctr"/>
        <c:lblOffset val="100"/>
      </c:catAx>
      <c:valAx>
        <c:axId val="8323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3635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3283968"/>
        <c:axId val="83285504"/>
      </c:lineChart>
      <c:catAx>
        <c:axId val="83283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85504"/>
        <c:crosses val="autoZero"/>
        <c:auto val="1"/>
        <c:lblAlgn val="ctr"/>
        <c:lblOffset val="100"/>
      </c:catAx>
      <c:valAx>
        <c:axId val="83285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83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2794752"/>
        <c:axId val="82821120"/>
      </c:lineChart>
      <c:catAx>
        <c:axId val="82794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21120"/>
        <c:crosses val="autoZero"/>
        <c:auto val="1"/>
        <c:lblAlgn val="ctr"/>
        <c:lblOffset val="100"/>
      </c:catAx>
      <c:valAx>
        <c:axId val="8282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794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2832768"/>
        <c:axId val="83563648"/>
      </c:lineChart>
      <c:catAx>
        <c:axId val="82832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63648"/>
        <c:crosses val="autoZero"/>
        <c:auto val="1"/>
        <c:lblAlgn val="ctr"/>
        <c:lblOffset val="100"/>
      </c:catAx>
      <c:valAx>
        <c:axId val="83563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832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691"/>
          <c:y val="7.471324705111948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4410112"/>
        <c:axId val="12443238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4433920"/>
        <c:axId val="124435456"/>
      </c:lineChart>
      <c:catAx>
        <c:axId val="12441011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2384"/>
        <c:crosses val="autoZero"/>
        <c:lblAlgn val="ctr"/>
        <c:lblOffset val="100"/>
        <c:tickMarkSkip val="1"/>
      </c:catAx>
      <c:valAx>
        <c:axId val="1244323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10112"/>
        <c:crosses val="autoZero"/>
        <c:crossBetween val="between"/>
      </c:valAx>
      <c:catAx>
        <c:axId val="124433920"/>
        <c:scaling>
          <c:orientation val="minMax"/>
        </c:scaling>
        <c:delete val="1"/>
        <c:axPos val="b"/>
        <c:numFmt formatCode="[$-409]d\-mmm\-yy;@" sourceLinked="1"/>
        <c:tickLblPos val="none"/>
        <c:crossAx val="124435456"/>
        <c:crosses val="autoZero"/>
        <c:lblAlgn val="ctr"/>
        <c:lblOffset val="100"/>
      </c:catAx>
      <c:valAx>
        <c:axId val="12443545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4339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5281792"/>
        <c:axId val="85295872"/>
      </c:lineChart>
      <c:catAx>
        <c:axId val="8528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95872"/>
        <c:crosses val="autoZero"/>
        <c:auto val="1"/>
        <c:lblAlgn val="ctr"/>
        <c:lblOffset val="100"/>
      </c:catAx>
      <c:valAx>
        <c:axId val="852958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5316352"/>
        <c:axId val="85317888"/>
      </c:lineChart>
      <c:catAx>
        <c:axId val="8531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17888"/>
        <c:crosses val="autoZero"/>
        <c:auto val="1"/>
        <c:lblAlgn val="ctr"/>
        <c:lblOffset val="100"/>
      </c:catAx>
      <c:valAx>
        <c:axId val="8531788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1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4005632"/>
        <c:axId val="8400716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6122496"/>
        <c:axId val="86124032"/>
      </c:lineChart>
      <c:catAx>
        <c:axId val="8400563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07168"/>
        <c:crosses val="autoZero"/>
        <c:lblAlgn val="ctr"/>
        <c:lblOffset val="100"/>
        <c:tickMarkSkip val="1"/>
      </c:catAx>
      <c:valAx>
        <c:axId val="840071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005632"/>
        <c:crosses val="autoZero"/>
        <c:crossBetween val="between"/>
      </c:valAx>
      <c:catAx>
        <c:axId val="86122496"/>
        <c:scaling>
          <c:orientation val="minMax"/>
        </c:scaling>
        <c:delete val="1"/>
        <c:axPos val="b"/>
        <c:numFmt formatCode="General" sourceLinked="1"/>
        <c:tickLblPos val="none"/>
        <c:crossAx val="86124032"/>
        <c:crosses val="autoZero"/>
        <c:lblAlgn val="ctr"/>
        <c:lblOffset val="100"/>
      </c:catAx>
      <c:valAx>
        <c:axId val="861240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24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6160896"/>
        <c:axId val="86162432"/>
      </c:lineChart>
      <c:catAx>
        <c:axId val="8616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2432"/>
        <c:crosses val="autoZero"/>
        <c:auto val="1"/>
        <c:lblAlgn val="ctr"/>
        <c:lblOffset val="100"/>
      </c:catAx>
      <c:valAx>
        <c:axId val="861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6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6178816"/>
        <c:axId val="86594304"/>
      </c:lineChart>
      <c:catAx>
        <c:axId val="8617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94304"/>
        <c:crosses val="autoZero"/>
        <c:auto val="1"/>
        <c:lblAlgn val="ctr"/>
        <c:lblOffset val="100"/>
      </c:catAx>
      <c:valAx>
        <c:axId val="86594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378752"/>
        <c:axId val="8638464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386176"/>
        <c:axId val="86387712"/>
      </c:lineChart>
      <c:catAx>
        <c:axId val="8637875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4640"/>
        <c:crosses val="autoZero"/>
        <c:lblAlgn val="ctr"/>
        <c:lblOffset val="100"/>
        <c:tickMarkSkip val="1"/>
      </c:catAx>
      <c:valAx>
        <c:axId val="8638464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78752"/>
        <c:crosses val="autoZero"/>
        <c:crossBetween val="between"/>
      </c:valAx>
      <c:catAx>
        <c:axId val="86386176"/>
        <c:scaling>
          <c:orientation val="minMax"/>
        </c:scaling>
        <c:delete val="1"/>
        <c:axPos val="b"/>
        <c:numFmt formatCode="[$-409]d\-mmm\-yy;@" sourceLinked="1"/>
        <c:tickLblPos val="none"/>
        <c:crossAx val="86387712"/>
        <c:crosses val="autoZero"/>
        <c:lblAlgn val="ctr"/>
        <c:lblOffset val="100"/>
      </c:catAx>
      <c:valAx>
        <c:axId val="8638771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8617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6426368"/>
        <c:axId val="8642790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6433792"/>
        <c:axId val="86435328"/>
      </c:lineChart>
      <c:catAx>
        <c:axId val="8642636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7904"/>
        <c:crosses val="autoZero"/>
        <c:lblAlgn val="ctr"/>
        <c:lblOffset val="100"/>
        <c:tickMarkSkip val="1"/>
      </c:catAx>
      <c:valAx>
        <c:axId val="864279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26368"/>
        <c:crosses val="autoZero"/>
        <c:crossBetween val="between"/>
      </c:valAx>
      <c:catAx>
        <c:axId val="86433792"/>
        <c:scaling>
          <c:orientation val="minMax"/>
        </c:scaling>
        <c:delete val="1"/>
        <c:axPos val="b"/>
        <c:numFmt formatCode="General" sourceLinked="1"/>
        <c:tickLblPos val="none"/>
        <c:crossAx val="86435328"/>
        <c:crosses val="autoZero"/>
        <c:lblAlgn val="ctr"/>
        <c:lblOffset val="100"/>
      </c:catAx>
      <c:valAx>
        <c:axId val="864353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33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8301568"/>
        <c:axId val="8830310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8304640"/>
        <c:axId val="88310528"/>
      </c:lineChart>
      <c:catAx>
        <c:axId val="8830156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3104"/>
        <c:crosses val="autoZero"/>
        <c:lblAlgn val="ctr"/>
        <c:lblOffset val="100"/>
        <c:tickMarkSkip val="1"/>
      </c:catAx>
      <c:valAx>
        <c:axId val="883031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1568"/>
        <c:crosses val="autoZero"/>
        <c:crossBetween val="between"/>
      </c:valAx>
      <c:catAx>
        <c:axId val="88304640"/>
        <c:scaling>
          <c:orientation val="minMax"/>
        </c:scaling>
        <c:delete val="1"/>
        <c:axPos val="b"/>
        <c:numFmt formatCode="[$-409]d\-mmm\-yy;@" sourceLinked="1"/>
        <c:tickLblPos val="none"/>
        <c:crossAx val="88310528"/>
        <c:crosses val="autoZero"/>
        <c:lblAlgn val="ctr"/>
        <c:lblOffset val="100"/>
      </c:catAx>
      <c:valAx>
        <c:axId val="8831052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46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8340736"/>
        <c:axId val="12642713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6428672"/>
        <c:axId val="126430208"/>
      </c:lineChart>
      <c:catAx>
        <c:axId val="883407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7136"/>
        <c:crosses val="autoZero"/>
        <c:lblAlgn val="ctr"/>
        <c:lblOffset val="100"/>
        <c:tickMarkSkip val="1"/>
      </c:catAx>
      <c:valAx>
        <c:axId val="1264271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40736"/>
        <c:crosses val="autoZero"/>
        <c:crossBetween val="between"/>
      </c:valAx>
      <c:catAx>
        <c:axId val="126428672"/>
        <c:scaling>
          <c:orientation val="minMax"/>
        </c:scaling>
        <c:delete val="1"/>
        <c:axPos val="b"/>
        <c:numFmt formatCode="General" sourceLinked="1"/>
        <c:tickLblPos val="none"/>
        <c:crossAx val="126430208"/>
        <c:crosses val="autoZero"/>
        <c:lblAlgn val="ctr"/>
        <c:lblOffset val="100"/>
      </c:catAx>
      <c:valAx>
        <c:axId val="1264302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6428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27548800"/>
        <c:axId val="127575552"/>
      </c:lineChart>
      <c:catAx>
        <c:axId val="127548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75552"/>
        <c:crosses val="autoZero"/>
        <c:auto val="1"/>
        <c:lblAlgn val="ctr"/>
        <c:lblOffset val="100"/>
      </c:catAx>
      <c:valAx>
        <c:axId val="127575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488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27563648"/>
        <c:axId val="127741952"/>
      </c:lineChart>
      <c:catAx>
        <c:axId val="1275636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41952"/>
        <c:crosses val="autoZero"/>
        <c:auto val="1"/>
        <c:lblAlgn val="ctr"/>
        <c:lblOffset val="100"/>
      </c:catAx>
      <c:valAx>
        <c:axId val="1277419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56364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27779200"/>
        <c:axId val="127780736"/>
      </c:lineChart>
      <c:catAx>
        <c:axId val="12777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80736"/>
        <c:crosses val="autoZero"/>
        <c:auto val="1"/>
        <c:lblAlgn val="ctr"/>
        <c:lblOffset val="200"/>
        <c:tickLblSkip val="1"/>
      </c:catAx>
      <c:valAx>
        <c:axId val="1277807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77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27817600"/>
        <c:axId val="127819136"/>
      </c:lineChart>
      <c:catAx>
        <c:axId val="127817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19136"/>
        <c:crosses val="autoZero"/>
        <c:auto val="1"/>
        <c:lblAlgn val="ctr"/>
        <c:lblOffset val="100"/>
      </c:catAx>
      <c:valAx>
        <c:axId val="1278191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17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-331334.43200000003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27856000"/>
        <c:axId val="128849024"/>
      </c:lineChart>
      <c:catAx>
        <c:axId val="127856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49024"/>
        <c:crosses val="autoZero"/>
        <c:auto val="1"/>
        <c:lblAlgn val="ctr"/>
        <c:lblOffset val="100"/>
      </c:catAx>
      <c:valAx>
        <c:axId val="1288490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7856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28894080"/>
        <c:axId val="128896000"/>
      </c:lineChart>
      <c:catAx>
        <c:axId val="1288940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6000"/>
        <c:crosses val="autoZero"/>
        <c:auto val="1"/>
        <c:lblAlgn val="ctr"/>
        <c:lblOffset val="100"/>
      </c:catAx>
      <c:valAx>
        <c:axId val="1288960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40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29449344"/>
        <c:axId val="129488384"/>
      </c:lineChart>
      <c:catAx>
        <c:axId val="1294493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88384"/>
        <c:crosses val="autoZero"/>
        <c:auto val="1"/>
        <c:lblAlgn val="ctr"/>
        <c:lblOffset val="100"/>
      </c:catAx>
      <c:valAx>
        <c:axId val="129488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4493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29906560"/>
        <c:axId val="129908096"/>
      </c:lineChart>
      <c:catAx>
        <c:axId val="12990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08096"/>
        <c:crosses val="autoZero"/>
        <c:auto val="1"/>
        <c:lblAlgn val="ctr"/>
        <c:lblOffset val="200"/>
        <c:tickLblSkip val="1"/>
      </c:catAx>
      <c:valAx>
        <c:axId val="1299080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0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29932672"/>
        <c:axId val="129938560"/>
      </c:lineChart>
      <c:catAx>
        <c:axId val="129932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38560"/>
        <c:crosses val="autoZero"/>
        <c:auto val="1"/>
        <c:lblAlgn val="ctr"/>
        <c:lblOffset val="100"/>
      </c:catAx>
      <c:valAx>
        <c:axId val="12993856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32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8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-331334.43200000003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3961600"/>
        <c:axId val="153963136"/>
      </c:lineChart>
      <c:catAx>
        <c:axId val="153961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63136"/>
        <c:crosses val="autoZero"/>
        <c:auto val="1"/>
        <c:lblAlgn val="ctr"/>
        <c:lblOffset val="100"/>
      </c:catAx>
      <c:valAx>
        <c:axId val="153963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61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4405504"/>
        <c:axId val="154428160"/>
      </c:lineChart>
      <c:catAx>
        <c:axId val="1544055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28160"/>
        <c:crosses val="autoZero"/>
        <c:auto val="1"/>
        <c:lblAlgn val="ctr"/>
        <c:lblOffset val="100"/>
      </c:catAx>
      <c:valAx>
        <c:axId val="15442816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0550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4465408"/>
        <c:axId val="154467328"/>
      </c:lineChart>
      <c:catAx>
        <c:axId val="154465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7328"/>
        <c:crosses val="autoZero"/>
        <c:auto val="1"/>
        <c:lblAlgn val="ctr"/>
        <c:lblOffset val="100"/>
      </c:catAx>
      <c:valAx>
        <c:axId val="1544673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654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4692992"/>
        <c:axId val="154711168"/>
      </c:lineChart>
      <c:catAx>
        <c:axId val="1546929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11168"/>
        <c:crosses val="autoZero"/>
        <c:auto val="1"/>
        <c:lblAlgn val="ctr"/>
        <c:lblOffset val="200"/>
        <c:tickLblSkip val="1"/>
      </c:catAx>
      <c:valAx>
        <c:axId val="154711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92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001984"/>
        <c:axId val="155003520"/>
      </c:lineChart>
      <c:catAx>
        <c:axId val="1550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3520"/>
        <c:crosses val="autoZero"/>
        <c:auto val="1"/>
        <c:lblAlgn val="ctr"/>
        <c:lblOffset val="100"/>
      </c:catAx>
      <c:valAx>
        <c:axId val="155003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5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024000"/>
        <c:axId val="155050368"/>
      </c:lineChart>
      <c:catAx>
        <c:axId val="1550240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50368"/>
        <c:crosses val="autoZero"/>
        <c:auto val="1"/>
        <c:lblAlgn val="ctr"/>
        <c:lblOffset val="100"/>
      </c:catAx>
      <c:valAx>
        <c:axId val="15505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40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353472"/>
        <c:axId val="155355392"/>
      </c:lineChart>
      <c:catAx>
        <c:axId val="155353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55392"/>
        <c:crosses val="autoZero"/>
        <c:auto val="1"/>
        <c:lblAlgn val="ctr"/>
        <c:lblOffset val="100"/>
      </c:catAx>
      <c:valAx>
        <c:axId val="1553553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353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5536000"/>
        <c:axId val="155550464"/>
      </c:lineChart>
      <c:catAx>
        <c:axId val="155536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50464"/>
        <c:crosses val="autoZero"/>
        <c:auto val="1"/>
        <c:lblAlgn val="ctr"/>
        <c:lblOffset val="100"/>
      </c:catAx>
      <c:valAx>
        <c:axId val="1555504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36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5571328"/>
        <c:axId val="155572864"/>
      </c:lineChart>
      <c:catAx>
        <c:axId val="155571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72864"/>
        <c:crosses val="autoZero"/>
        <c:auto val="1"/>
        <c:lblAlgn val="ctr"/>
        <c:lblOffset val="200"/>
        <c:tickLblSkip val="1"/>
      </c:catAx>
      <c:valAx>
        <c:axId val="1555728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71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5867776"/>
        <c:axId val="155873664"/>
      </c:lineChart>
      <c:catAx>
        <c:axId val="155867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73664"/>
        <c:crosses val="autoZero"/>
        <c:auto val="1"/>
        <c:lblAlgn val="ctr"/>
        <c:lblOffset val="100"/>
      </c:catAx>
      <c:valAx>
        <c:axId val="1558736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86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052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049792"/>
        <c:axId val="156051328"/>
      </c:lineChart>
      <c:catAx>
        <c:axId val="15604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51328"/>
        <c:crosses val="autoZero"/>
        <c:auto val="1"/>
        <c:lblAlgn val="ctr"/>
        <c:lblOffset val="100"/>
      </c:catAx>
      <c:valAx>
        <c:axId val="156051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130.81199999998208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127.51200000004611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68.947999999992319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65.559999999974394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 t="str">
        <f>IF('Utility summery'!M10&lt;0,"0",'Utility summery'!M10)</f>
        <v>0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 t="str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tabSelected="1"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 t="str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 t="str">
        <f>IF('Kit report'!F9&lt;0,"0",'Kit report'!F9)</f>
        <v>0</v>
      </c>
      <c r="I7" s="456" t="str">
        <f>IF('Kit report'!X9&lt;0,"0",'Kit report'!X9)</f>
        <v>0</v>
      </c>
      <c r="J7" s="456" t="str">
        <f>IF('Utility summery'!H11&lt;0,"0",'Utility summery'!H11)</f>
        <v>0</v>
      </c>
      <c r="K7" s="457" t="str">
        <f>IF('UTILITY REPORT 1'!H8&lt;0,"0",'UTILITY REPORT 1'!H8)</f>
        <v>0</v>
      </c>
      <c r="L7" s="456">
        <f>'Water-Meter'!K11</f>
        <v>-8306</v>
      </c>
      <c r="M7" s="457">
        <f>'Water-Meter'!H11</f>
        <v>0</v>
      </c>
      <c r="N7" s="457" t="str">
        <f>'Water-Meter'!Q11</f>
        <v>0</v>
      </c>
      <c r="O7" s="456" t="e">
        <f>K7*E7+H7*I7+#REF!*#REF!+J7*L7</f>
        <v>#REF!</v>
      </c>
      <c r="P7" s="462" t="str">
        <f>'Water-Meter'!E11</f>
        <v>0</v>
      </c>
      <c r="Q7" s="242" t="str">
        <f>IF('Water-Meter'!U11&lt;0,"0",'Water-Meter'!U11)</f>
        <v>0</v>
      </c>
      <c r="R7" s="242">
        <f>IF('Water-Meter'!X11&lt;0,"0",'Water-Meter'!X11)</f>
        <v>0</v>
      </c>
      <c r="S7" s="242" t="str">
        <f>IF('Water-Meter'!AA11&lt;0,"0",'Water-Meter'!AA11)</f>
        <v>0</v>
      </c>
      <c r="T7" s="242" t="str">
        <f>IF('Water-Meter'!AD11&lt;0,"0",'Water-Meter'!AD11)</f>
        <v>0</v>
      </c>
      <c r="U7" s="242" t="str">
        <f>IF('Water-Meter'!AG11&lt;0,"0",'Water-Meter'!AG11)</f>
        <v>0</v>
      </c>
      <c r="V7" s="242" t="str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314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</v>
      </c>
      <c r="C3" s="405">
        <f>'Summery Report'!E5</f>
        <v>0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 t="str">
        <f>'Water-Meter'!E11</f>
        <v>0</v>
      </c>
      <c r="H8" s="405">
        <f>'Utility report '!AC11</f>
        <v>-47654</v>
      </c>
      <c r="I8" s="405">
        <f>Gen!AJ16</f>
        <v>0</v>
      </c>
    </row>
    <row r="9" spans="1:9" ht="13.5">
      <c r="A9" s="402">
        <f>Gen!A17</f>
        <v>44262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44263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44265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44266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44267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44268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44269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44270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44271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0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28</v>
      </c>
      <c r="K6" s="154">
        <f>'Lpg (2)'!C10</f>
        <v>85</v>
      </c>
      <c r="L6" s="154">
        <f>'Lpg (2)'!D10</f>
        <v>85</v>
      </c>
      <c r="M6" s="449">
        <f>'Lpg (2)'!G10</f>
        <v>130.81199999998208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0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25</v>
      </c>
      <c r="K7" s="154">
        <f>'Lpg (2)'!C11</f>
        <v>85</v>
      </c>
      <c r="L7" s="154">
        <f>'Lpg (2)'!D11</f>
        <v>85</v>
      </c>
      <c r="M7" s="449">
        <f>'Lpg (2)'!G11</f>
        <v>127.51200000004611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0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23</v>
      </c>
      <c r="K8" s="154">
        <f>'Lpg (2)'!C12</f>
        <v>85</v>
      </c>
      <c r="L8" s="154">
        <f>'Lpg (2)'!D12</f>
        <v>85</v>
      </c>
      <c r="M8" s="449">
        <f>'Lpg (2)'!G12</f>
        <v>68.947999999992319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0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20</v>
      </c>
      <c r="K9" s="154">
        <f>'Lpg (2)'!C13</f>
        <v>85</v>
      </c>
      <c r="L9" s="154">
        <f>'Lpg (2)'!D13</f>
        <v>85</v>
      </c>
      <c r="M9" s="449">
        <f>'Lpg (2)'!G13</f>
        <v>65.559999999974394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0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-331334.43200000003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-47654</v>
      </c>
      <c r="H11" s="153">
        <f>'Utility report '!AE11</f>
        <v>-212419</v>
      </c>
      <c r="I11" s="296" t="str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10866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220</v>
      </c>
      <c r="J39" s="453">
        <f t="shared" si="3"/>
        <v>68</v>
      </c>
      <c r="K39" s="453">
        <f t="shared" si="3"/>
        <v>255</v>
      </c>
      <c r="L39" s="453">
        <f t="shared" si="3"/>
        <v>255</v>
      </c>
      <c r="M39" s="453">
        <f t="shared" si="3"/>
        <v>-331072.41200000001</v>
      </c>
      <c r="N39" s="453">
        <f t="shared" si="3"/>
        <v>15212.4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I1" activePane="topRight" state="frozen"/>
      <selection pane="topRight" activeCell="AD12" sqref="AD1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59">
        <f>A6</f>
        <v>44256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1"/>
    </row>
    <row r="2" spans="1:37" ht="61.5" customHeight="1" thickBot="1">
      <c r="A2" s="137" t="s">
        <v>98</v>
      </c>
      <c r="B2" s="862" t="s">
        <v>99</v>
      </c>
      <c r="C2" s="863"/>
      <c r="D2" s="864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4" t="s">
        <v>104</v>
      </c>
      <c r="AB2" s="862" t="s">
        <v>164</v>
      </c>
      <c r="AC2" s="864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65">
        <f>SUM(D3/B3)</f>
        <v>1.3262195121951219</v>
      </c>
      <c r="G3" s="866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0</v>
      </c>
      <c r="C6" s="763">
        <f>Gen!B11</f>
        <v>0</v>
      </c>
      <c r="D6" s="725">
        <f>'Summery Report'!E5</f>
        <v>0</v>
      </c>
      <c r="E6" s="725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658.82352941176475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3317647.0588235296</v>
      </c>
      <c r="AJ6" s="428">
        <f t="shared" ref="AJ6:AJ36" si="4">SUM(AI5-AI6)</f>
        <v>-3317647.0588235296</v>
      </c>
      <c r="AK6" s="132"/>
    </row>
    <row r="7" spans="1:37" ht="18.75">
      <c r="A7" s="758">
        <f>Gen!A12</f>
        <v>44257</v>
      </c>
      <c r="B7" s="425">
        <f>'Summery Report'!E6</f>
        <v>0</v>
      </c>
      <c r="C7" s="763">
        <f>Gen!B12</f>
        <v>0</v>
      </c>
      <c r="D7" s="725">
        <f>'Summery Report'!E6</f>
        <v>0</v>
      </c>
      <c r="E7" s="725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588.23529411764707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3317647.0588235296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0</v>
      </c>
      <c r="C8" s="763">
        <f>Gen!B13</f>
        <v>0</v>
      </c>
      <c r="D8" s="725">
        <f>'Summery Report'!E7</f>
        <v>0</v>
      </c>
      <c r="E8" s="725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541.17647058823525</v>
      </c>
      <c r="AG8" s="266">
        <f>'Lpg (2)'!C12*1000/85</f>
        <v>1000</v>
      </c>
      <c r="AH8" s="737">
        <f>'Lpg (2)'!D12*1000/85</f>
        <v>1000</v>
      </c>
      <c r="AI8" s="727">
        <f t="shared" si="12"/>
        <v>3176470.5882352944</v>
      </c>
      <c r="AJ8" s="428">
        <f t="shared" si="4"/>
        <v>141176.47058823518</v>
      </c>
      <c r="AK8" s="132"/>
    </row>
    <row r="9" spans="1:37" ht="18.75">
      <c r="A9" s="758">
        <f>Gen!A14</f>
        <v>44259</v>
      </c>
      <c r="B9" s="425">
        <f>'Summery Report'!E8</f>
        <v>0</v>
      </c>
      <c r="C9" s="763">
        <f>Gen!B14</f>
        <v>0</v>
      </c>
      <c r="D9" s="725">
        <f>'Summery Report'!E8</f>
        <v>0</v>
      </c>
      <c r="E9" s="725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0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470.58823529411762</v>
      </c>
      <c r="AG9" s="266">
        <f>'Lpg (2)'!C13*1000/85</f>
        <v>1000</v>
      </c>
      <c r="AH9" s="737">
        <f>'Lpg (2)'!D13*1000/85</f>
        <v>1000</v>
      </c>
      <c r="AI9" s="727">
        <f t="shared" si="12"/>
        <v>3082352.9411764704</v>
      </c>
      <c r="AJ9" s="428">
        <f t="shared" si="4"/>
        <v>94117.647058824077</v>
      </c>
      <c r="AK9" s="132"/>
    </row>
    <row r="10" spans="1:37" ht="18.75">
      <c r="A10" s="758">
        <f>Gen!A15</f>
        <v>44260</v>
      </c>
      <c r="B10" s="425">
        <f>'Summery Report'!E9</f>
        <v>0</v>
      </c>
      <c r="C10" s="763">
        <f>Gen!B15</f>
        <v>0</v>
      </c>
      <c r="D10" s="725">
        <f>'Summery Report'!E9</f>
        <v>0</v>
      </c>
      <c r="E10" s="725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0</v>
      </c>
      <c r="AG10" s="266">
        <f>'Lpg (2)'!C14*1000/85</f>
        <v>0</v>
      </c>
      <c r="AH10" s="737">
        <f>'Lpg (2)'!D14*1000/85</f>
        <v>0</v>
      </c>
      <c r="AI10" s="727">
        <f t="shared" si="12"/>
        <v>941176.4705882353</v>
      </c>
      <c r="AJ10" s="428">
        <f t="shared" si="4"/>
        <v>2141176.4705882352</v>
      </c>
      <c r="AK10" s="132"/>
    </row>
    <row r="11" spans="1:37" ht="18.75">
      <c r="A11" s="758">
        <f>Gen!A16</f>
        <v>44261</v>
      </c>
      <c r="B11" s="425">
        <f>'Summery Report'!E10</f>
        <v>0</v>
      </c>
      <c r="C11" s="763">
        <f>Gen!B16</f>
        <v>0</v>
      </c>
      <c r="D11" s="725">
        <f>'Summery Report'!E10</f>
        <v>0</v>
      </c>
      <c r="E11" s="725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5">
        <f>Gen!C16</f>
        <v>38487.83</v>
      </c>
      <c r="I11" s="725">
        <f>Gen!E16</f>
        <v>0</v>
      </c>
      <c r="J11" s="764">
        <f>Gen!T16</f>
        <v>0</v>
      </c>
      <c r="K11" s="769">
        <f>Gen!AK16</f>
        <v>0</v>
      </c>
      <c r="L11" s="760">
        <f t="shared" si="1"/>
        <v>0</v>
      </c>
      <c r="M11" s="448">
        <f>'Water-Meter'!K51</f>
        <v>579.6721895148894</v>
      </c>
      <c r="N11" s="720" t="str">
        <f>'Water-Meter'!E11</f>
        <v>0</v>
      </c>
      <c r="O11" s="711"/>
      <c r="P11" s="718"/>
      <c r="Q11" s="730">
        <f t="shared" si="2"/>
        <v>-19032</v>
      </c>
      <c r="R11" s="426">
        <f t="shared" si="5"/>
        <v>0</v>
      </c>
      <c r="S11" s="706"/>
      <c r="T11" s="707"/>
      <c r="U11" s="730">
        <f t="shared" si="6"/>
        <v>-17691</v>
      </c>
      <c r="V11" s="427">
        <f t="shared" si="16"/>
        <v>0</v>
      </c>
      <c r="W11" s="711"/>
      <c r="X11" s="712"/>
      <c r="Y11" s="730">
        <f t="shared" si="8"/>
        <v>-27430</v>
      </c>
      <c r="Z11" s="710">
        <f t="shared" si="9"/>
        <v>0</v>
      </c>
      <c r="AA11" s="717">
        <f t="shared" si="10"/>
        <v>0</v>
      </c>
      <c r="AB11" s="714"/>
      <c r="AC11" s="695">
        <f t="shared" si="11"/>
        <v>-47654</v>
      </c>
      <c r="AD11" s="697"/>
      <c r="AE11" s="178">
        <f t="shared" si="15"/>
        <v>-212419</v>
      </c>
      <c r="AF11" s="724">
        <f>'Lpg (2)'!B15*2000/85</f>
        <v>0</v>
      </c>
      <c r="AG11" s="266">
        <f>'Lpg (2)'!C15*1000/85</f>
        <v>0</v>
      </c>
      <c r="AH11" s="737">
        <f>'Lpg (2)'!D15*1000/85</f>
        <v>0</v>
      </c>
      <c r="AI11" s="727">
        <f t="shared" si="12"/>
        <v>0</v>
      </c>
      <c r="AJ11" s="428">
        <f t="shared" si="4"/>
        <v>941176.4705882353</v>
      </c>
      <c r="AK11" s="132"/>
    </row>
    <row r="12" spans="1:37" ht="18.75">
      <c r="A12" s="758">
        <f>Gen!A17</f>
        <v>44262</v>
      </c>
      <c r="B12" s="425">
        <f>'Summery Report'!E11</f>
        <v>0</v>
      </c>
      <c r="C12" s="763">
        <f>Gen!B17</f>
        <v>0</v>
      </c>
      <c r="D12" s="725">
        <f>'Summery Report'!E11</f>
        <v>0</v>
      </c>
      <c r="E12" s="725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5">
        <f>Gen!C17</f>
        <v>38487.83</v>
      </c>
      <c r="I12" s="725">
        <f>Gen!E17</f>
        <v>0</v>
      </c>
      <c r="J12" s="764">
        <f>Gen!T17</f>
        <v>0</v>
      </c>
      <c r="K12" s="769">
        <f>Gen!AK17</f>
        <v>0</v>
      </c>
      <c r="L12" s="760">
        <f t="shared" si="1"/>
        <v>0</v>
      </c>
      <c r="M12" s="448">
        <f>'Water-Meter'!K52</f>
        <v>0</v>
      </c>
      <c r="N12" s="720">
        <f>'Water-Meter'!E12</f>
        <v>0</v>
      </c>
      <c r="O12" s="711"/>
      <c r="P12" s="718"/>
      <c r="Q12" s="730">
        <f t="shared" si="2"/>
        <v>0</v>
      </c>
      <c r="R12" s="426">
        <f t="shared" si="5"/>
        <v>0</v>
      </c>
      <c r="S12" s="706"/>
      <c r="T12" s="707"/>
      <c r="U12" s="730">
        <f t="shared" si="6"/>
        <v>0</v>
      </c>
      <c r="V12" s="427">
        <f t="shared" si="16"/>
        <v>0</v>
      </c>
      <c r="W12" s="706"/>
      <c r="X12" s="712"/>
      <c r="Y12" s="730">
        <f t="shared" si="8"/>
        <v>0</v>
      </c>
      <c r="Z12" s="710">
        <f t="shared" si="9"/>
        <v>0</v>
      </c>
      <c r="AA12" s="717">
        <f t="shared" si="10"/>
        <v>0</v>
      </c>
      <c r="AB12" s="714"/>
      <c r="AC12" s="695">
        <f t="shared" si="11"/>
        <v>0</v>
      </c>
      <c r="AD12" s="697"/>
      <c r="AE12" s="178">
        <f t="shared" si="15"/>
        <v>0</v>
      </c>
      <c r="AF12" s="724">
        <f>'Lpg (2)'!B16*2000/85</f>
        <v>0</v>
      </c>
      <c r="AG12" s="266">
        <f>'Lpg (2)'!C16*1000/85</f>
        <v>0</v>
      </c>
      <c r="AH12" s="737">
        <f>'Lpg (2)'!D16*1000/85</f>
        <v>0</v>
      </c>
      <c r="AI12" s="727">
        <f t="shared" si="12"/>
        <v>0</v>
      </c>
      <c r="AJ12" s="428">
        <f t="shared" si="4"/>
        <v>0</v>
      </c>
      <c r="AK12" s="132"/>
    </row>
    <row r="13" spans="1:37" ht="18.75">
      <c r="A13" s="758">
        <f>Gen!A18</f>
        <v>44263</v>
      </c>
      <c r="B13" s="425">
        <f>'Summery Report'!E12</f>
        <v>0</v>
      </c>
      <c r="C13" s="763">
        <f>Gen!B18</f>
        <v>0</v>
      </c>
      <c r="D13" s="725">
        <f>'Summery Report'!E12</f>
        <v>0</v>
      </c>
      <c r="E13" s="725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5">
        <f>Gen!C18</f>
        <v>38487.83</v>
      </c>
      <c r="I13" s="725">
        <f>Gen!E18</f>
        <v>0</v>
      </c>
      <c r="J13" s="764">
        <f>Gen!T18</f>
        <v>0</v>
      </c>
      <c r="K13" s="769">
        <f>Gen!AK18</f>
        <v>0</v>
      </c>
      <c r="L13" s="760">
        <f t="shared" si="1"/>
        <v>0</v>
      </c>
      <c r="M13" s="448">
        <f>'Water-Meter'!K53</f>
        <v>0</v>
      </c>
      <c r="N13" s="720">
        <f>'Water-Meter'!E13</f>
        <v>0</v>
      </c>
      <c r="O13" s="711"/>
      <c r="P13" s="718"/>
      <c r="Q13" s="730">
        <f t="shared" si="2"/>
        <v>0</v>
      </c>
      <c r="R13" s="426">
        <f t="shared" si="5"/>
        <v>0</v>
      </c>
      <c r="S13" s="706"/>
      <c r="T13" s="707"/>
      <c r="U13" s="730">
        <f t="shared" si="6"/>
        <v>0</v>
      </c>
      <c r="V13" s="427">
        <f t="shared" si="16"/>
        <v>0</v>
      </c>
      <c r="W13" s="706"/>
      <c r="X13" s="712"/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/>
      <c r="AC13" s="695">
        <f t="shared" si="11"/>
        <v>0</v>
      </c>
      <c r="AD13" s="697"/>
      <c r="AE13" s="178">
        <f t="shared" si="15"/>
        <v>0</v>
      </c>
      <c r="AF13" s="724">
        <f>'Lpg (2)'!B17*2000/85</f>
        <v>0</v>
      </c>
      <c r="AG13" s="266">
        <f>'Lpg (2)'!C17*1000/85</f>
        <v>0</v>
      </c>
      <c r="AH13" s="737">
        <f>'Lpg (2)'!D17*1000/85</f>
        <v>0</v>
      </c>
      <c r="AI13" s="727">
        <f t="shared" si="12"/>
        <v>0</v>
      </c>
      <c r="AJ13" s="428">
        <f t="shared" si="4"/>
        <v>0</v>
      </c>
      <c r="AK13" s="132"/>
    </row>
    <row r="14" spans="1:37" ht="18.75">
      <c r="A14" s="758">
        <f>Gen!A19</f>
        <v>44264</v>
      </c>
      <c r="B14" s="425">
        <f>'Summery Report'!E13</f>
        <v>0</v>
      </c>
      <c r="C14" s="763">
        <f>Gen!B19</f>
        <v>0</v>
      </c>
      <c r="D14" s="725">
        <f>'Summery Report'!E13</f>
        <v>0</v>
      </c>
      <c r="E14" s="725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5">
        <f>Gen!C19</f>
        <v>38487.83</v>
      </c>
      <c r="I14" s="725">
        <f>Gen!E19</f>
        <v>0</v>
      </c>
      <c r="J14" s="764">
        <f>Gen!T19</f>
        <v>0</v>
      </c>
      <c r="K14" s="769">
        <f>Gen!AK19</f>
        <v>0</v>
      </c>
      <c r="L14" s="760">
        <f t="shared" ref="L14:L37" si="17">SUM(J14:K14)</f>
        <v>0</v>
      </c>
      <c r="M14" s="448">
        <f>'Water-Meter'!K54</f>
        <v>0</v>
      </c>
      <c r="N14" s="720">
        <f>'Water-Meter'!E14</f>
        <v>0</v>
      </c>
      <c r="O14" s="711"/>
      <c r="P14" s="718"/>
      <c r="Q14" s="730">
        <f t="shared" si="2"/>
        <v>0</v>
      </c>
      <c r="R14" s="426">
        <f t="shared" si="5"/>
        <v>0</v>
      </c>
      <c r="S14" s="706"/>
      <c r="T14" s="707"/>
      <c r="U14" s="730">
        <f t="shared" si="6"/>
        <v>0</v>
      </c>
      <c r="V14" s="427">
        <f t="shared" si="16"/>
        <v>0</v>
      </c>
      <c r="W14" s="706"/>
      <c r="X14" s="712"/>
      <c r="Y14" s="730">
        <f t="shared" si="8"/>
        <v>0</v>
      </c>
      <c r="Z14" s="710">
        <f t="shared" si="9"/>
        <v>0</v>
      </c>
      <c r="AA14" s="717">
        <f t="shared" si="10"/>
        <v>0</v>
      </c>
      <c r="AB14" s="714"/>
      <c r="AC14" s="695">
        <f t="shared" si="11"/>
        <v>0</v>
      </c>
      <c r="AD14" s="697"/>
      <c r="AE14" s="178">
        <f t="shared" si="15"/>
        <v>0</v>
      </c>
      <c r="AF14" s="724">
        <f>'Lpg (2)'!B18*2000/85</f>
        <v>0</v>
      </c>
      <c r="AG14" s="266">
        <f>'Lpg (2)'!C18*1000/85</f>
        <v>0</v>
      </c>
      <c r="AH14" s="737">
        <f>'Lpg (2)'!D18*1000/85</f>
        <v>0</v>
      </c>
      <c r="AI14" s="727">
        <f t="shared" si="12"/>
        <v>0</v>
      </c>
      <c r="AJ14" s="428">
        <f t="shared" si="4"/>
        <v>0</v>
      </c>
      <c r="AK14" s="132"/>
    </row>
    <row r="15" spans="1:37" ht="18.75">
      <c r="A15" s="758">
        <f>Gen!A20</f>
        <v>44265</v>
      </c>
      <c r="B15" s="425">
        <f>'Summery Report'!E14</f>
        <v>0</v>
      </c>
      <c r="C15" s="763">
        <f>Gen!B20</f>
        <v>0</v>
      </c>
      <c r="D15" s="725">
        <f>'Summery Report'!E14</f>
        <v>0</v>
      </c>
      <c r="E15" s="725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5">
        <f>Gen!C20</f>
        <v>38487.83</v>
      </c>
      <c r="I15" s="725">
        <f>Gen!E20</f>
        <v>0</v>
      </c>
      <c r="J15" s="764">
        <f>Gen!T20</f>
        <v>0</v>
      </c>
      <c r="K15" s="769">
        <f>Gen!AK20</f>
        <v>0</v>
      </c>
      <c r="L15" s="760">
        <f t="shared" si="17"/>
        <v>0</v>
      </c>
      <c r="M15" s="448">
        <f>'Water-Meter'!K55</f>
        <v>0</v>
      </c>
      <c r="N15" s="720">
        <f>'Water-Meter'!E15</f>
        <v>0</v>
      </c>
      <c r="O15" s="711"/>
      <c r="P15" s="718"/>
      <c r="Q15" s="730">
        <f t="shared" si="2"/>
        <v>0</v>
      </c>
      <c r="R15" s="426">
        <f t="shared" si="5"/>
        <v>0</v>
      </c>
      <c r="S15" s="706"/>
      <c r="T15" s="707"/>
      <c r="U15" s="730">
        <f t="shared" si="6"/>
        <v>0</v>
      </c>
      <c r="V15" s="427">
        <f t="shared" si="16"/>
        <v>0</v>
      </c>
      <c r="W15" s="706"/>
      <c r="X15" s="712"/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/>
      <c r="AC15" s="695">
        <f t="shared" si="11"/>
        <v>0</v>
      </c>
      <c r="AD15" s="697"/>
      <c r="AE15" s="178">
        <f>AD15-AD14</f>
        <v>0</v>
      </c>
      <c r="AF15" s="724">
        <f>'Lpg (2)'!B19*2000/85</f>
        <v>0</v>
      </c>
      <c r="AG15" s="266">
        <f>'Lpg (2)'!C19*1000/85</f>
        <v>0</v>
      </c>
      <c r="AH15" s="737">
        <f>'Lpg (2)'!D19*1000/85</f>
        <v>0</v>
      </c>
      <c r="AI15" s="727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8">
        <f>Gen!A21</f>
        <v>44266</v>
      </c>
      <c r="B16" s="425">
        <f>'Summery Report'!E15</f>
        <v>0</v>
      </c>
      <c r="C16" s="763">
        <f>Gen!B21</f>
        <v>0</v>
      </c>
      <c r="D16" s="725">
        <f>'Summery Report'!E15</f>
        <v>0</v>
      </c>
      <c r="E16" s="725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5">
        <f>Gen!C21</f>
        <v>38487.83</v>
      </c>
      <c r="I16" s="725">
        <f>Gen!E21</f>
        <v>0</v>
      </c>
      <c r="J16" s="764">
        <f>Gen!T21</f>
        <v>0</v>
      </c>
      <c r="K16" s="769">
        <f>Gen!AK21</f>
        <v>0</v>
      </c>
      <c r="L16" s="760">
        <f t="shared" si="17"/>
        <v>0</v>
      </c>
      <c r="M16" s="448">
        <f>'Water-Meter'!K56</f>
        <v>0</v>
      </c>
      <c r="N16" s="720">
        <f>'Water-Meter'!E16</f>
        <v>0</v>
      </c>
      <c r="O16" s="711"/>
      <c r="P16" s="718"/>
      <c r="Q16" s="730">
        <f t="shared" si="2"/>
        <v>0</v>
      </c>
      <c r="R16" s="426">
        <f t="shared" si="5"/>
        <v>0</v>
      </c>
      <c r="S16" s="706"/>
      <c r="T16" s="707"/>
      <c r="U16" s="730">
        <f t="shared" si="6"/>
        <v>0</v>
      </c>
      <c r="V16" s="427">
        <f t="shared" si="16"/>
        <v>0</v>
      </c>
      <c r="W16" s="706"/>
      <c r="X16" s="712"/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/>
      <c r="AC16" s="695">
        <f t="shared" si="11"/>
        <v>0</v>
      </c>
      <c r="AD16" s="697"/>
      <c r="AE16" s="178">
        <f t="shared" si="15"/>
        <v>0</v>
      </c>
      <c r="AF16" s="724">
        <f>'Lpg (2)'!B20*2000/85</f>
        <v>0</v>
      </c>
      <c r="AG16" s="266">
        <f>'Lpg (2)'!C20*1000/85</f>
        <v>0</v>
      </c>
      <c r="AH16" s="737">
        <f>'Lpg (2)'!D20*1000/85</f>
        <v>0</v>
      </c>
      <c r="AI16" s="727">
        <f t="shared" si="18"/>
        <v>0</v>
      </c>
      <c r="AJ16" s="428">
        <f t="shared" si="4"/>
        <v>0</v>
      </c>
      <c r="AK16" s="132"/>
    </row>
    <row r="17" spans="1:37" ht="18.75">
      <c r="A17" s="758">
        <f>Gen!A22</f>
        <v>44267</v>
      </c>
      <c r="B17" s="425">
        <f>'Summery Report'!E16</f>
        <v>0</v>
      </c>
      <c r="C17" s="763">
        <f>Gen!B22</f>
        <v>0</v>
      </c>
      <c r="D17" s="725">
        <f>'Summery Report'!E16</f>
        <v>0</v>
      </c>
      <c r="E17" s="725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5">
        <f>Gen!C22</f>
        <v>38487.83</v>
      </c>
      <c r="I17" s="725">
        <f>Gen!E22</f>
        <v>0</v>
      </c>
      <c r="J17" s="764">
        <f>Gen!T22</f>
        <v>0</v>
      </c>
      <c r="K17" s="769">
        <f>Gen!AK22</f>
        <v>0</v>
      </c>
      <c r="L17" s="760">
        <f t="shared" si="17"/>
        <v>0</v>
      </c>
      <c r="M17" s="448">
        <f>'Water-Meter'!K57</f>
        <v>0</v>
      </c>
      <c r="N17" s="720">
        <f>'Water-Meter'!E17</f>
        <v>0</v>
      </c>
      <c r="O17" s="711"/>
      <c r="P17" s="718"/>
      <c r="Q17" s="730">
        <f>SUM(P18-P16)</f>
        <v>0</v>
      </c>
      <c r="R17" s="426">
        <f t="shared" si="5"/>
        <v>0</v>
      </c>
      <c r="S17" s="706"/>
      <c r="T17" s="707"/>
      <c r="U17" s="730">
        <f t="shared" si="6"/>
        <v>0</v>
      </c>
      <c r="V17" s="427">
        <f t="shared" ref="V17:V36" si="19">SUM(U17*S17)</f>
        <v>0</v>
      </c>
      <c r="W17" s="706"/>
      <c r="X17" s="712"/>
      <c r="Y17" s="730">
        <f t="shared" si="8"/>
        <v>0</v>
      </c>
      <c r="Z17" s="710">
        <f t="shared" si="9"/>
        <v>0</v>
      </c>
      <c r="AA17" s="717">
        <f t="shared" si="10"/>
        <v>0</v>
      </c>
      <c r="AB17" s="714"/>
      <c r="AC17" s="695">
        <f t="shared" si="11"/>
        <v>0</v>
      </c>
      <c r="AD17" s="697"/>
      <c r="AE17" s="178">
        <f t="shared" si="15"/>
        <v>0</v>
      </c>
      <c r="AF17" s="724">
        <f>'Lpg (2)'!B21*2000/85</f>
        <v>0</v>
      </c>
      <c r="AG17" s="266">
        <f>'Lpg (2)'!C21*1000/85</f>
        <v>0</v>
      </c>
      <c r="AH17" s="737">
        <f>'Lpg (2)'!D21*1000/85</f>
        <v>0</v>
      </c>
      <c r="AI17" s="727">
        <f t="shared" si="18"/>
        <v>0</v>
      </c>
      <c r="AJ17" s="428">
        <f t="shared" si="4"/>
        <v>0</v>
      </c>
      <c r="AK17" s="132"/>
    </row>
    <row r="18" spans="1:37" ht="18.75">
      <c r="A18" s="758">
        <f>Gen!A23</f>
        <v>44268</v>
      </c>
      <c r="B18" s="425">
        <f>'Summery Report'!E17</f>
        <v>0</v>
      </c>
      <c r="C18" s="763">
        <f>Gen!B23</f>
        <v>0</v>
      </c>
      <c r="D18" s="725">
        <f>'Summery Report'!E17</f>
        <v>0</v>
      </c>
      <c r="E18" s="725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5">
        <f>Gen!C23</f>
        <v>38487.83</v>
      </c>
      <c r="I18" s="725">
        <f>Gen!E23</f>
        <v>0</v>
      </c>
      <c r="J18" s="764">
        <f>Gen!T23</f>
        <v>0</v>
      </c>
      <c r="K18" s="769">
        <f>Gen!AK23</f>
        <v>0</v>
      </c>
      <c r="L18" s="760">
        <f t="shared" si="17"/>
        <v>0</v>
      </c>
      <c r="M18" s="448">
        <f>'Water-Meter'!K58</f>
        <v>0</v>
      </c>
      <c r="N18" s="720">
        <f>'Water-Meter'!E18</f>
        <v>0</v>
      </c>
      <c r="O18" s="711"/>
      <c r="P18" s="718"/>
      <c r="Q18" s="730"/>
      <c r="R18" s="426">
        <f t="shared" si="5"/>
        <v>0</v>
      </c>
      <c r="S18" s="706"/>
      <c r="T18" s="707"/>
      <c r="U18" s="730">
        <f t="shared" si="6"/>
        <v>0</v>
      </c>
      <c r="V18" s="427">
        <f t="shared" si="19"/>
        <v>0</v>
      </c>
      <c r="W18" s="706"/>
      <c r="X18" s="712"/>
      <c r="Y18" s="730">
        <f t="shared" si="8"/>
        <v>0</v>
      </c>
      <c r="Z18" s="710">
        <f t="shared" si="9"/>
        <v>0</v>
      </c>
      <c r="AA18" s="717">
        <f t="shared" si="10"/>
        <v>0</v>
      </c>
      <c r="AB18" s="714"/>
      <c r="AC18" s="695">
        <f t="shared" si="11"/>
        <v>0</v>
      </c>
      <c r="AD18" s="697"/>
      <c r="AE18" s="178">
        <f t="shared" si="15"/>
        <v>0</v>
      </c>
      <c r="AF18" s="724">
        <f>'Lpg (2)'!B22*2000/85</f>
        <v>0</v>
      </c>
      <c r="AG18" s="266">
        <f>'Lpg (2)'!C22*1000/85</f>
        <v>0</v>
      </c>
      <c r="AH18" s="737">
        <f>'Lpg (2)'!D22*1000/85</f>
        <v>0</v>
      </c>
      <c r="AI18" s="727">
        <f t="shared" si="18"/>
        <v>0</v>
      </c>
      <c r="AJ18" s="428">
        <f t="shared" si="4"/>
        <v>0</v>
      </c>
      <c r="AK18" s="132"/>
    </row>
    <row r="19" spans="1:37" ht="18.75">
      <c r="A19" s="758">
        <f>Gen!A24</f>
        <v>44269</v>
      </c>
      <c r="B19" s="425">
        <f>'Summery Report'!E18</f>
        <v>0</v>
      </c>
      <c r="C19" s="763">
        <f>Gen!B24</f>
        <v>0</v>
      </c>
      <c r="D19" s="725">
        <f>'Summery Report'!E18</f>
        <v>0</v>
      </c>
      <c r="E19" s="725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5">
        <f>Gen!C24</f>
        <v>38487.83</v>
      </c>
      <c r="I19" s="725">
        <f>Gen!E24</f>
        <v>15000</v>
      </c>
      <c r="J19" s="764">
        <f>Gen!T24</f>
        <v>0</v>
      </c>
      <c r="K19" s="769">
        <f>Gen!AK24</f>
        <v>0</v>
      </c>
      <c r="L19" s="760">
        <f t="shared" si="17"/>
        <v>0</v>
      </c>
      <c r="M19" s="448">
        <f>'Water-Meter'!K59</f>
        <v>0</v>
      </c>
      <c r="N19" s="720">
        <f>'Water-Meter'!E19</f>
        <v>0</v>
      </c>
      <c r="O19" s="711"/>
      <c r="P19" s="718"/>
      <c r="Q19" s="730"/>
      <c r="R19" s="426">
        <f t="shared" si="5"/>
        <v>0</v>
      </c>
      <c r="S19" s="706"/>
      <c r="T19" s="707"/>
      <c r="U19" s="730">
        <f t="shared" si="6"/>
        <v>0</v>
      </c>
      <c r="V19" s="427">
        <f t="shared" si="19"/>
        <v>0</v>
      </c>
      <c r="W19" s="706"/>
      <c r="X19" s="712"/>
      <c r="Y19" s="730">
        <f t="shared" si="8"/>
        <v>0</v>
      </c>
      <c r="Z19" s="710">
        <f t="shared" si="9"/>
        <v>0</v>
      </c>
      <c r="AA19" s="717">
        <f t="shared" si="10"/>
        <v>0</v>
      </c>
      <c r="AB19" s="714"/>
      <c r="AC19" s="695">
        <f t="shared" si="11"/>
        <v>0</v>
      </c>
      <c r="AD19" s="697"/>
      <c r="AE19" s="178">
        <f t="shared" si="15"/>
        <v>0</v>
      </c>
      <c r="AF19" s="724">
        <f>'Lpg (2)'!B23*2000/85</f>
        <v>0</v>
      </c>
      <c r="AG19" s="266">
        <f>'Lpg (2)'!C23*1000/85</f>
        <v>0</v>
      </c>
      <c r="AH19" s="737">
        <f>'Lpg (2)'!D23*1000/85</f>
        <v>0</v>
      </c>
      <c r="AI19" s="727">
        <f t="shared" si="18"/>
        <v>0</v>
      </c>
      <c r="AJ19" s="428">
        <f t="shared" si="4"/>
        <v>0</v>
      </c>
      <c r="AK19" s="132"/>
    </row>
    <row r="20" spans="1:37" ht="18.75">
      <c r="A20" s="758">
        <f>Gen!A25</f>
        <v>44270</v>
      </c>
      <c r="B20" s="425">
        <f>'Summery Report'!E19</f>
        <v>0</v>
      </c>
      <c r="C20" s="763">
        <f>Gen!B25</f>
        <v>0</v>
      </c>
      <c r="D20" s="725">
        <f>'Summery Report'!E19</f>
        <v>0</v>
      </c>
      <c r="E20" s="725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5">
        <f>Gen!C25</f>
        <v>38487.83</v>
      </c>
      <c r="I20" s="725">
        <f>Gen!E25</f>
        <v>0</v>
      </c>
      <c r="J20" s="764">
        <f>Gen!T25</f>
        <v>0</v>
      </c>
      <c r="K20" s="769">
        <f>Gen!AK25</f>
        <v>0</v>
      </c>
      <c r="L20" s="760">
        <f t="shared" si="17"/>
        <v>0</v>
      </c>
      <c r="M20" s="448">
        <f>'Water-Meter'!K60</f>
        <v>0</v>
      </c>
      <c r="N20" s="720">
        <f>'Water-Meter'!E20</f>
        <v>0</v>
      </c>
      <c r="O20" s="711"/>
      <c r="P20" s="718"/>
      <c r="Q20" s="730">
        <f t="shared" si="2"/>
        <v>0</v>
      </c>
      <c r="R20" s="426">
        <f t="shared" si="5"/>
        <v>0</v>
      </c>
      <c r="S20" s="706"/>
      <c r="T20" s="707"/>
      <c r="U20" s="730">
        <f t="shared" si="6"/>
        <v>0</v>
      </c>
      <c r="V20" s="427">
        <f t="shared" si="19"/>
        <v>0</v>
      </c>
      <c r="W20" s="706"/>
      <c r="X20" s="712"/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/>
      <c r="AC20" s="695">
        <f t="shared" si="11"/>
        <v>0</v>
      </c>
      <c r="AD20" s="697"/>
      <c r="AE20" s="178">
        <f t="shared" si="15"/>
        <v>0</v>
      </c>
      <c r="AF20" s="724">
        <f>'Lpg (2)'!B24*2000/85</f>
        <v>0</v>
      </c>
      <c r="AG20" s="266">
        <f>'Lpg (2)'!C24*1000/85</f>
        <v>0</v>
      </c>
      <c r="AH20" s="737">
        <f>'Lpg (2)'!D24*1000/85</f>
        <v>0</v>
      </c>
      <c r="AI20" s="727">
        <f t="shared" si="18"/>
        <v>0</v>
      </c>
      <c r="AJ20" s="428">
        <f t="shared" si="4"/>
        <v>0</v>
      </c>
      <c r="AK20" s="132"/>
    </row>
    <row r="21" spans="1:37" ht="18.75">
      <c r="A21" s="758">
        <f>Gen!A26</f>
        <v>44271</v>
      </c>
      <c r="B21" s="425">
        <f>'Summery Report'!E20</f>
        <v>0</v>
      </c>
      <c r="C21" s="763">
        <f>Gen!B26</f>
        <v>0</v>
      </c>
      <c r="D21" s="725">
        <f>'Summery Report'!E20</f>
        <v>0</v>
      </c>
      <c r="E21" s="725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5">
        <f>Gen!C26</f>
        <v>38487.83</v>
      </c>
      <c r="I21" s="725">
        <f>Gen!E26</f>
        <v>0</v>
      </c>
      <c r="J21" s="764">
        <f>Gen!T26</f>
        <v>0</v>
      </c>
      <c r="K21" s="769">
        <f>Gen!AK26</f>
        <v>0</v>
      </c>
      <c r="L21" s="760">
        <f t="shared" si="17"/>
        <v>0</v>
      </c>
      <c r="M21" s="448">
        <f>'Water-Meter'!K61</f>
        <v>0</v>
      </c>
      <c r="N21" s="720">
        <f>'Water-Meter'!E21</f>
        <v>0</v>
      </c>
      <c r="O21" s="711"/>
      <c r="P21" s="718"/>
      <c r="Q21" s="730">
        <f t="shared" si="2"/>
        <v>0</v>
      </c>
      <c r="R21" s="426">
        <f t="shared" si="5"/>
        <v>0</v>
      </c>
      <c r="S21" s="706"/>
      <c r="T21" s="707"/>
      <c r="U21" s="730">
        <f>T22-T20</f>
        <v>0</v>
      </c>
      <c r="V21" s="427">
        <f t="shared" si="19"/>
        <v>0</v>
      </c>
      <c r="W21" s="706"/>
      <c r="X21" s="712"/>
      <c r="Y21" s="730">
        <f t="shared" si="8"/>
        <v>0</v>
      </c>
      <c r="Z21" s="710">
        <f t="shared" si="9"/>
        <v>0</v>
      </c>
      <c r="AA21" s="717">
        <f t="shared" si="10"/>
        <v>0</v>
      </c>
      <c r="AB21" s="714"/>
      <c r="AC21" s="695">
        <f t="shared" si="11"/>
        <v>0</v>
      </c>
      <c r="AD21" s="697"/>
      <c r="AE21" s="178">
        <f t="shared" si="15"/>
        <v>0</v>
      </c>
      <c r="AF21" s="724">
        <f>'Lpg (2)'!B25*2000/85</f>
        <v>0</v>
      </c>
      <c r="AG21" s="266">
        <f>'Lpg (2)'!C25*1000/85</f>
        <v>0</v>
      </c>
      <c r="AH21" s="737">
        <f>'Lpg (2)'!D25*1000/85</f>
        <v>0</v>
      </c>
      <c r="AI21" s="727">
        <f t="shared" si="18"/>
        <v>0</v>
      </c>
      <c r="AJ21" s="428">
        <f t="shared" si="4"/>
        <v>0</v>
      </c>
      <c r="AK21" s="132"/>
    </row>
    <row r="22" spans="1:37" ht="18.75">
      <c r="A22" s="758">
        <f>Gen!A27</f>
        <v>44272</v>
      </c>
      <c r="B22" s="425">
        <f>'Summery Report'!E21</f>
        <v>0</v>
      </c>
      <c r="C22" s="763">
        <f>Gen!B27</f>
        <v>0</v>
      </c>
      <c r="D22" s="725">
        <f>'Summery Report'!E21</f>
        <v>0</v>
      </c>
      <c r="E22" s="725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5">
        <f>Gen!C27</f>
        <v>38487.83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0</v>
      </c>
      <c r="N22" s="720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0</v>
      </c>
      <c r="AD22" s="697"/>
      <c r="AE22" s="178">
        <f t="shared" si="15"/>
        <v>0</v>
      </c>
      <c r="AF22" s="724">
        <f>'Lpg (2)'!B26*2000/85</f>
        <v>0</v>
      </c>
      <c r="AG22" s="266">
        <f>'Lpg (2)'!C26*1000/85</f>
        <v>0</v>
      </c>
      <c r="AH22" s="737">
        <f>'Lpg (2)'!D26*1000/85</f>
        <v>0</v>
      </c>
      <c r="AI22" s="727">
        <f t="shared" si="18"/>
        <v>0</v>
      </c>
      <c r="AJ22" s="428">
        <f t="shared" si="4"/>
        <v>0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38487.83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38487.83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38487.83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38487.83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38487.83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38487.83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38487.83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38487.83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38487.83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38487.83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38487.83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38487.83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38487.83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38487.83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13479</v>
      </c>
      <c r="K37" s="775"/>
      <c r="L37" s="761">
        <f t="shared" si="17"/>
        <v>13479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3" sqref="W1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7" t="s">
        <v>150</v>
      </c>
      <c r="C1" s="868"/>
      <c r="D1" s="868"/>
      <c r="E1" s="868"/>
      <c r="F1" s="869"/>
      <c r="G1" s="157"/>
      <c r="H1" s="867" t="s">
        <v>151</v>
      </c>
      <c r="I1" s="868"/>
      <c r="J1" s="868"/>
      <c r="K1" s="868"/>
      <c r="L1" s="869"/>
      <c r="M1" s="867" t="s">
        <v>170</v>
      </c>
      <c r="N1" s="868"/>
      <c r="O1" s="868"/>
      <c r="P1" s="868"/>
      <c r="Q1" s="869"/>
      <c r="R1" s="157"/>
      <c r="T1" s="867" t="s">
        <v>166</v>
      </c>
      <c r="U1" s="868"/>
      <c r="V1" s="868"/>
      <c r="W1" s="868"/>
      <c r="X1" s="869"/>
      <c r="Y1" s="867" t="s">
        <v>169</v>
      </c>
      <c r="Z1" s="868"/>
      <c r="AA1" s="868"/>
      <c r="AB1" s="868"/>
      <c r="AC1" s="869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0" t="s">
        <v>156</v>
      </c>
      <c r="C3" s="871"/>
      <c r="D3" s="166"/>
      <c r="E3" s="578">
        <v>9136.6</v>
      </c>
      <c r="F3" s="585" t="s">
        <v>157</v>
      </c>
      <c r="G3" s="586"/>
      <c r="H3" s="870" t="s">
        <v>156</v>
      </c>
      <c r="I3" s="871"/>
      <c r="J3" s="612">
        <f>'Water-Meter'!G5</f>
        <v>0</v>
      </c>
      <c r="K3" s="587">
        <f>'Water-Meter'!G5</f>
        <v>0</v>
      </c>
      <c r="L3" s="241"/>
      <c r="M3" s="870" t="s">
        <v>156</v>
      </c>
      <c r="N3" s="871"/>
      <c r="O3" s="166"/>
      <c r="P3" s="588">
        <f>'Water-Meter'!J5</f>
        <v>8294</v>
      </c>
      <c r="Q3" s="165"/>
      <c r="R3" s="241"/>
      <c r="S3" s="641"/>
      <c r="T3" s="870" t="s">
        <v>156</v>
      </c>
      <c r="U3" s="871"/>
      <c r="V3" s="166"/>
      <c r="W3" s="579">
        <v>8028.6</v>
      </c>
      <c r="X3" s="589">
        <f t="shared" ref="X3:X35" si="0">(W3-V3)*200</f>
        <v>1605720</v>
      </c>
      <c r="Y3" s="870" t="s">
        <v>156</v>
      </c>
      <c r="Z3" s="871"/>
      <c r="AA3" s="166"/>
      <c r="AB3" s="169"/>
      <c r="AC3" s="170"/>
    </row>
    <row r="4" spans="1:29" ht="19.5" thickBot="1">
      <c r="A4" s="642">
        <f>Gen!B11</f>
        <v>0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0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0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0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0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0</v>
      </c>
      <c r="B9" s="593">
        <f>Gen!A16</f>
        <v>44261</v>
      </c>
      <c r="C9" s="577"/>
      <c r="D9" s="582">
        <f t="shared" si="1"/>
        <v>9147.5</v>
      </c>
      <c r="E9" s="578"/>
      <c r="F9" s="582">
        <f t="shared" si="2"/>
        <v>-1097700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0</v>
      </c>
      <c r="Q9" s="577">
        <f t="shared" si="8"/>
        <v>0</v>
      </c>
      <c r="R9" s="627">
        <f t="shared" si="4"/>
        <v>0</v>
      </c>
      <c r="S9" s="628">
        <f>Gen!T16</f>
        <v>0</v>
      </c>
      <c r="T9" s="629">
        <f t="shared" si="9"/>
        <v>44261</v>
      </c>
      <c r="U9" s="577"/>
      <c r="V9" s="582">
        <f t="shared" si="5"/>
        <v>8034.8</v>
      </c>
      <c r="W9" s="579"/>
      <c r="X9" s="582">
        <f t="shared" si="0"/>
        <v>-1606960</v>
      </c>
      <c r="Y9" s="624">
        <f t="shared" si="10"/>
        <v>44261</v>
      </c>
      <c r="Z9" s="577"/>
      <c r="AA9" s="577"/>
      <c r="AB9" s="581">
        <f>'Water-Meter'!P11</f>
        <v>0</v>
      </c>
      <c r="AC9" s="634">
        <f t="shared" si="11"/>
        <v>-21014</v>
      </c>
    </row>
    <row r="10" spans="1:29" ht="19.5" thickBot="1">
      <c r="A10" s="643">
        <f>Gen!B17</f>
        <v>0</v>
      </c>
      <c r="B10" s="593">
        <f>Gen!A17</f>
        <v>44262</v>
      </c>
      <c r="C10" s="577"/>
      <c r="D10" s="582">
        <f t="shared" si="1"/>
        <v>0</v>
      </c>
      <c r="E10" s="578"/>
      <c r="F10" s="582">
        <f t="shared" si="2"/>
        <v>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0</v>
      </c>
      <c r="Q10" s="577">
        <f t="shared" si="8"/>
        <v>0</v>
      </c>
      <c r="R10" s="627">
        <f t="shared" si="4"/>
        <v>0</v>
      </c>
      <c r="S10" s="628">
        <f>Gen!T17</f>
        <v>0</v>
      </c>
      <c r="T10" s="629">
        <f t="shared" si="9"/>
        <v>44262</v>
      </c>
      <c r="U10" s="577"/>
      <c r="V10" s="582">
        <f t="shared" si="5"/>
        <v>0</v>
      </c>
      <c r="W10" s="579"/>
      <c r="X10" s="582">
        <f t="shared" si="0"/>
        <v>0</v>
      </c>
      <c r="Y10" s="624">
        <f t="shared" si="10"/>
        <v>44262</v>
      </c>
      <c r="Z10" s="577"/>
      <c r="AA10" s="577"/>
      <c r="AB10" s="581">
        <f>'Water-Meter'!P12</f>
        <v>0</v>
      </c>
      <c r="AC10" s="634">
        <f t="shared" si="11"/>
        <v>0</v>
      </c>
    </row>
    <row r="11" spans="1:29" ht="19.5" thickBot="1">
      <c r="A11" s="643">
        <f>Gen!B18</f>
        <v>0</v>
      </c>
      <c r="B11" s="593">
        <f>Gen!A18</f>
        <v>44263</v>
      </c>
      <c r="C11" s="577"/>
      <c r="D11" s="582">
        <f t="shared" si="1"/>
        <v>0</v>
      </c>
      <c r="E11" s="578"/>
      <c r="F11" s="582">
        <f t="shared" si="2"/>
        <v>0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0</v>
      </c>
      <c r="Q11" s="577">
        <f t="shared" si="8"/>
        <v>0</v>
      </c>
      <c r="R11" s="627">
        <f t="shared" si="4"/>
        <v>0</v>
      </c>
      <c r="S11" s="628">
        <f>Gen!T18</f>
        <v>0</v>
      </c>
      <c r="T11" s="629">
        <f t="shared" si="9"/>
        <v>44263</v>
      </c>
      <c r="U11" s="577"/>
      <c r="V11" s="582">
        <f t="shared" si="5"/>
        <v>0</v>
      </c>
      <c r="W11" s="579"/>
      <c r="X11" s="582">
        <f t="shared" si="0"/>
        <v>0</v>
      </c>
      <c r="Y11" s="624">
        <f t="shared" si="10"/>
        <v>44263</v>
      </c>
      <c r="Z11" s="577"/>
      <c r="AA11" s="577"/>
      <c r="AB11" s="581">
        <f>'Water-Meter'!P13</f>
        <v>0</v>
      </c>
      <c r="AC11" s="634">
        <f t="shared" si="11"/>
        <v>0</v>
      </c>
    </row>
    <row r="12" spans="1:29" ht="19.5" thickBot="1">
      <c r="A12" s="643">
        <f>Gen!B19</f>
        <v>0</v>
      </c>
      <c r="B12" s="593">
        <f>Gen!A19</f>
        <v>44264</v>
      </c>
      <c r="C12" s="577"/>
      <c r="D12" s="582">
        <f t="shared" si="1"/>
        <v>0</v>
      </c>
      <c r="E12" s="578"/>
      <c r="F12" s="582">
        <f t="shared" si="2"/>
        <v>0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0</v>
      </c>
      <c r="Q12" s="577">
        <f t="shared" si="8"/>
        <v>0</v>
      </c>
      <c r="R12" s="627">
        <f t="shared" si="4"/>
        <v>0</v>
      </c>
      <c r="S12" s="628">
        <f>Gen!T19</f>
        <v>0</v>
      </c>
      <c r="T12" s="629">
        <f t="shared" si="9"/>
        <v>44264</v>
      </c>
      <c r="U12" s="577"/>
      <c r="V12" s="582">
        <f t="shared" si="5"/>
        <v>0</v>
      </c>
      <c r="W12" s="579"/>
      <c r="X12" s="582">
        <f t="shared" si="0"/>
        <v>0</v>
      </c>
      <c r="Y12" s="624">
        <f t="shared" si="10"/>
        <v>44264</v>
      </c>
      <c r="Z12" s="577"/>
      <c r="AA12" s="577"/>
      <c r="AB12" s="581">
        <f>'Water-Meter'!P14</f>
        <v>0</v>
      </c>
      <c r="AC12" s="634">
        <f t="shared" si="11"/>
        <v>0</v>
      </c>
    </row>
    <row r="13" spans="1:29" ht="19.5" thickBot="1">
      <c r="A13" s="643">
        <f>Gen!B20</f>
        <v>0</v>
      </c>
      <c r="B13" s="593">
        <f>Gen!A20</f>
        <v>44265</v>
      </c>
      <c r="C13" s="577"/>
      <c r="D13" s="582">
        <f t="shared" si="1"/>
        <v>0</v>
      </c>
      <c r="E13" s="578"/>
      <c r="F13" s="582">
        <f t="shared" si="2"/>
        <v>0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0</v>
      </c>
      <c r="Q13" s="577">
        <f t="shared" si="8"/>
        <v>0</v>
      </c>
      <c r="R13" s="627">
        <f t="shared" si="4"/>
        <v>0</v>
      </c>
      <c r="S13" s="628">
        <f>Gen!T20</f>
        <v>0</v>
      </c>
      <c r="T13" s="629">
        <f t="shared" si="9"/>
        <v>44265</v>
      </c>
      <c r="U13" s="577"/>
      <c r="V13" s="582">
        <f t="shared" si="5"/>
        <v>0</v>
      </c>
      <c r="W13" s="579"/>
      <c r="X13" s="582">
        <f t="shared" si="0"/>
        <v>0</v>
      </c>
      <c r="Y13" s="624">
        <f t="shared" si="10"/>
        <v>44265</v>
      </c>
      <c r="Z13" s="577"/>
      <c r="AA13" s="577"/>
      <c r="AB13" s="581">
        <f>'Water-Meter'!P15</f>
        <v>0</v>
      </c>
      <c r="AC13" s="634">
        <f t="shared" si="11"/>
        <v>0</v>
      </c>
    </row>
    <row r="14" spans="1:29" ht="19.5" thickBot="1">
      <c r="A14" s="643">
        <f>Gen!B21</f>
        <v>0</v>
      </c>
      <c r="B14" s="593">
        <f>Gen!A21</f>
        <v>44266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0</v>
      </c>
      <c r="Q14" s="577">
        <v>8095</v>
      </c>
      <c r="R14" s="627">
        <f t="shared" si="4"/>
        <v>5.0123839009287927</v>
      </c>
      <c r="S14" s="628">
        <f>Gen!T21</f>
        <v>0</v>
      </c>
      <c r="T14" s="629">
        <f t="shared" si="9"/>
        <v>44266</v>
      </c>
      <c r="U14" s="577"/>
      <c r="V14" s="582">
        <f t="shared" si="5"/>
        <v>0</v>
      </c>
      <c r="W14" s="579"/>
      <c r="X14" s="582">
        <f t="shared" si="0"/>
        <v>0</v>
      </c>
      <c r="Y14" s="624">
        <f t="shared" si="10"/>
        <v>44266</v>
      </c>
      <c r="Z14" s="577"/>
      <c r="AA14" s="577"/>
      <c r="AB14" s="581">
        <f>'Water-Meter'!P16</f>
        <v>0</v>
      </c>
      <c r="AC14" s="634">
        <v>20490</v>
      </c>
    </row>
    <row r="15" spans="1:29" ht="19.5" thickBot="1">
      <c r="A15" s="643">
        <f>Gen!B22</f>
        <v>0</v>
      </c>
      <c r="B15" s="593">
        <f>Gen!A22</f>
        <v>44267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0</v>
      </c>
      <c r="Q15" s="577">
        <f t="shared" si="8"/>
        <v>0</v>
      </c>
      <c r="R15" s="627">
        <f t="shared" si="4"/>
        <v>0</v>
      </c>
      <c r="S15" s="628">
        <f>Gen!T22</f>
        <v>0</v>
      </c>
      <c r="T15" s="629">
        <f t="shared" si="9"/>
        <v>44267</v>
      </c>
      <c r="U15" s="577"/>
      <c r="V15" s="582">
        <f t="shared" si="5"/>
        <v>0</v>
      </c>
      <c r="W15" s="579"/>
      <c r="X15" s="582">
        <f t="shared" si="0"/>
        <v>0</v>
      </c>
      <c r="Y15" s="624">
        <f t="shared" si="10"/>
        <v>44267</v>
      </c>
      <c r="Z15" s="577"/>
      <c r="AA15" s="577"/>
      <c r="AB15" s="581">
        <f>'Water-Meter'!P17</f>
        <v>0</v>
      </c>
      <c r="AC15" s="634">
        <f t="shared" si="11"/>
        <v>0</v>
      </c>
    </row>
    <row r="16" spans="1:29" ht="19.5" thickBot="1">
      <c r="A16" s="643">
        <f>Gen!B23</f>
        <v>0</v>
      </c>
      <c r="B16" s="593">
        <f>Gen!A23</f>
        <v>44268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0</v>
      </c>
      <c r="Q16" s="577">
        <f t="shared" si="8"/>
        <v>0</v>
      </c>
      <c r="R16" s="627">
        <f t="shared" si="4"/>
        <v>0</v>
      </c>
      <c r="S16" s="628">
        <f>Gen!T23</f>
        <v>0</v>
      </c>
      <c r="T16" s="629">
        <f t="shared" si="9"/>
        <v>44268</v>
      </c>
      <c r="U16" s="577"/>
      <c r="V16" s="582">
        <f t="shared" si="5"/>
        <v>0</v>
      </c>
      <c r="W16" s="579"/>
      <c r="X16" s="582">
        <f t="shared" si="0"/>
        <v>0</v>
      </c>
      <c r="Y16" s="624">
        <f t="shared" si="10"/>
        <v>44268</v>
      </c>
      <c r="Z16" s="577"/>
      <c r="AA16" s="577"/>
      <c r="AB16" s="581">
        <f>'Water-Meter'!P18</f>
        <v>0</v>
      </c>
      <c r="AC16" s="634">
        <f t="shared" si="11"/>
        <v>0</v>
      </c>
    </row>
    <row r="17" spans="1:29" ht="19.5" thickBot="1">
      <c r="A17" s="643">
        <f>Gen!B24</f>
        <v>0</v>
      </c>
      <c r="B17" s="593">
        <f>Gen!A24</f>
        <v>44269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0</v>
      </c>
      <c r="Q17" s="577">
        <f t="shared" si="8"/>
        <v>0</v>
      </c>
      <c r="R17" s="627">
        <f t="shared" si="4"/>
        <v>0</v>
      </c>
      <c r="S17" s="628">
        <f>Gen!T24</f>
        <v>0</v>
      </c>
      <c r="T17" s="629">
        <f t="shared" si="9"/>
        <v>44269</v>
      </c>
      <c r="U17" s="577"/>
      <c r="V17" s="582">
        <f t="shared" si="5"/>
        <v>0</v>
      </c>
      <c r="W17" s="579"/>
      <c r="X17" s="582">
        <f t="shared" si="0"/>
        <v>0</v>
      </c>
      <c r="Y17" s="624">
        <f t="shared" si="10"/>
        <v>44269</v>
      </c>
      <c r="Z17" s="577"/>
      <c r="AA17" s="577"/>
      <c r="AB17" s="581">
        <f>'Water-Meter'!P19</f>
        <v>0</v>
      </c>
      <c r="AC17" s="634">
        <f t="shared" si="11"/>
        <v>0</v>
      </c>
    </row>
    <row r="18" spans="1:29" ht="19.5" thickBot="1">
      <c r="A18" s="643">
        <f>Gen!B25</f>
        <v>0</v>
      </c>
      <c r="B18" s="593">
        <f>Gen!A25</f>
        <v>44270</v>
      </c>
      <c r="C18" s="577"/>
      <c r="D18" s="582">
        <f t="shared" si="1"/>
        <v>0</v>
      </c>
      <c r="E18" s="578"/>
      <c r="F18" s="582">
        <f t="shared" ref="F18:F22" si="12">SUM(E18-D18)*120</f>
        <v>0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0</v>
      </c>
      <c r="P18" s="581">
        <f>'Water-Meter'!J20</f>
        <v>0</v>
      </c>
      <c r="Q18" s="577">
        <f t="shared" si="8"/>
        <v>0</v>
      </c>
      <c r="R18" s="627">
        <f t="shared" si="4"/>
        <v>0</v>
      </c>
      <c r="S18" s="628">
        <f>Gen!T25</f>
        <v>0</v>
      </c>
      <c r="T18" s="629">
        <f t="shared" si="9"/>
        <v>44270</v>
      </c>
      <c r="U18" s="577"/>
      <c r="V18" s="582">
        <f t="shared" si="5"/>
        <v>0</v>
      </c>
      <c r="W18" s="579"/>
      <c r="X18" s="582">
        <f t="shared" si="0"/>
        <v>0</v>
      </c>
      <c r="Y18" s="624">
        <f t="shared" si="10"/>
        <v>44270</v>
      </c>
      <c r="Z18" s="577"/>
      <c r="AA18" s="577"/>
      <c r="AB18" s="581">
        <f>'Water-Meter'!P20</f>
        <v>0</v>
      </c>
      <c r="AC18" s="634">
        <f t="shared" si="11"/>
        <v>0</v>
      </c>
    </row>
    <row r="19" spans="1:29" ht="19.5" thickBot="1">
      <c r="A19" s="643">
        <f>Gen!B26</f>
        <v>0</v>
      </c>
      <c r="B19" s="593">
        <f>Gen!A26</f>
        <v>44271</v>
      </c>
      <c r="C19" s="580"/>
      <c r="D19" s="582">
        <f t="shared" si="1"/>
        <v>0</v>
      </c>
      <c r="E19" s="578"/>
      <c r="F19" s="582">
        <f t="shared" si="12"/>
        <v>0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0</v>
      </c>
      <c r="P19" s="581">
        <f>'Water-Meter'!J21</f>
        <v>0</v>
      </c>
      <c r="Q19" s="577">
        <f t="shared" si="8"/>
        <v>0</v>
      </c>
      <c r="R19" s="627">
        <f t="shared" si="4"/>
        <v>0</v>
      </c>
      <c r="S19" s="628">
        <f>Gen!T26</f>
        <v>0</v>
      </c>
      <c r="T19" s="629">
        <f t="shared" si="9"/>
        <v>44271</v>
      </c>
      <c r="U19" s="580"/>
      <c r="V19" s="582">
        <f t="shared" si="5"/>
        <v>0</v>
      </c>
      <c r="W19" s="579"/>
      <c r="X19" s="582">
        <f t="shared" si="0"/>
        <v>0</v>
      </c>
      <c r="Y19" s="624">
        <f t="shared" si="10"/>
        <v>44271</v>
      </c>
      <c r="Z19" s="580"/>
      <c r="AA19" s="577"/>
      <c r="AB19" s="581">
        <f>'Water-Meter'!P21</f>
        <v>0</v>
      </c>
      <c r="AC19" s="634">
        <f t="shared" si="11"/>
        <v>0</v>
      </c>
    </row>
    <row r="20" spans="1:29" ht="19.5" thickBot="1">
      <c r="A20" s="643">
        <f>Gen!B27</f>
        <v>0</v>
      </c>
      <c r="B20" s="593">
        <f>Gen!A27</f>
        <v>44272</v>
      </c>
      <c r="C20" s="580"/>
      <c r="D20" s="582">
        <f t="shared" si="1"/>
        <v>0</v>
      </c>
      <c r="E20" s="578"/>
      <c r="F20" s="582">
        <f t="shared" si="12"/>
        <v>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0</v>
      </c>
      <c r="R20" s="627">
        <f t="shared" si="4"/>
        <v>0</v>
      </c>
      <c r="S20" s="628">
        <f>Gen!T27</f>
        <v>0</v>
      </c>
      <c r="T20" s="629">
        <f t="shared" si="9"/>
        <v>44272</v>
      </c>
      <c r="U20" s="580"/>
      <c r="V20" s="582">
        <f t="shared" si="5"/>
        <v>0</v>
      </c>
      <c r="W20" s="579"/>
      <c r="X20" s="582">
        <f t="shared" si="0"/>
        <v>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0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2">
        <f>A5</f>
        <v>44256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  <c r="L1" s="872"/>
    </row>
    <row r="2" spans="1:13">
      <c r="A2" s="873"/>
      <c r="B2" s="873"/>
      <c r="C2" s="873"/>
      <c r="D2" s="873"/>
      <c r="E2" s="873"/>
      <c r="F2" s="873"/>
      <c r="G2" s="873"/>
      <c r="H2" s="873"/>
      <c r="I2" s="873"/>
      <c r="J2" s="873"/>
      <c r="K2" s="873"/>
      <c r="L2" s="873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</v>
      </c>
      <c r="D5" s="647">
        <f t="shared" ref="D5:D36" si="0">E5</f>
        <v>0</v>
      </c>
      <c r="E5" s="648"/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130.81199999998208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0</v>
      </c>
      <c r="D6" s="434">
        <f t="shared" si="0"/>
        <v>0</v>
      </c>
      <c r="E6" s="74"/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127.51200000004611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0</v>
      </c>
      <c r="D7" s="434">
        <f t="shared" si="0"/>
        <v>0</v>
      </c>
      <c r="E7" s="74"/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68.947999999992319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0</v>
      </c>
      <c r="D8" s="434">
        <f>E8</f>
        <v>0</v>
      </c>
      <c r="E8" s="74"/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65.559999999974394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0</v>
      </c>
      <c r="D9" s="434">
        <f t="shared" si="0"/>
        <v>0</v>
      </c>
      <c r="E9" s="74"/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-331334.43200000003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-158282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 t="str">
        <f>'Water-Meter'!E11</f>
        <v>0</v>
      </c>
      <c r="L10" s="654">
        <f>'Lpg (2)'!G15</f>
        <v>0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38487.83</v>
      </c>
      <c r="K11" s="295">
        <f>'Water-Meter'!E12</f>
        <v>0</v>
      </c>
      <c r="L11" s="654">
        <f>'Lpg (2)'!G16</f>
        <v>0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38487.83</v>
      </c>
      <c r="K12" s="295">
        <f>'Water-Meter'!E13</f>
        <v>0</v>
      </c>
      <c r="L12" s="654">
        <f>'Lpg (2)'!G17</f>
        <v>0</v>
      </c>
      <c r="M12" s="79" t="e">
        <f>SUM(#REF!-#REF!)</f>
        <v>#REF!</v>
      </c>
    </row>
    <row r="13" spans="1:13">
      <c r="A13" s="663">
        <f>Gen!A19</f>
        <v>44264</v>
      </c>
      <c r="B13" s="653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38487.83</v>
      </c>
      <c r="K13" s="295">
        <f>'Water-Meter'!E14</f>
        <v>0</v>
      </c>
      <c r="L13" s="654">
        <f>'Lpg (2)'!G18</f>
        <v>0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38487.83</v>
      </c>
      <c r="K14" s="295">
        <f>'Water-Meter'!E15</f>
        <v>0</v>
      </c>
      <c r="L14" s="654">
        <f>'Lpg (2)'!G19</f>
        <v>0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38487.83</v>
      </c>
      <c r="K15" s="295">
        <f>'Water-Meter'!E16</f>
        <v>0</v>
      </c>
      <c r="L15" s="654">
        <f>'Lpg (2)'!G20</f>
        <v>0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38487.83</v>
      </c>
      <c r="K16" s="295">
        <f>'Water-Meter'!E17</f>
        <v>0</v>
      </c>
      <c r="L16" s="654">
        <f>'Lpg (2)'!G21</f>
        <v>0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38487.83</v>
      </c>
      <c r="K17" s="295">
        <f>'Water-Meter'!E18</f>
        <v>0</v>
      </c>
      <c r="L17" s="654">
        <f>'Lpg (2)'!G22</f>
        <v>0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38487.83</v>
      </c>
      <c r="K18" s="295">
        <f>'Water-Meter'!E19</f>
        <v>0</v>
      </c>
      <c r="L18" s="654">
        <f>'Lpg (2)'!G23</f>
        <v>0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38487.83</v>
      </c>
      <c r="K19" s="295">
        <f>'Water-Meter'!E20</f>
        <v>0</v>
      </c>
      <c r="L19" s="654">
        <f>'Lpg (2)'!G24</f>
        <v>0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38487.83</v>
      </c>
      <c r="K20" s="295">
        <f>'Water-Meter'!E21</f>
        <v>0</v>
      </c>
      <c r="L20" s="654">
        <f>'Lpg (2)'!G25</f>
        <v>0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38487.83</v>
      </c>
      <c r="K21" s="295">
        <f>'Water-Meter'!E22</f>
        <v>0</v>
      </c>
      <c r="L21" s="654">
        <f>'Lpg (2)'!G26</f>
        <v>0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38487.83</v>
      </c>
      <c r="K22" s="295">
        <f>'Water-Meter'!E23</f>
        <v>0</v>
      </c>
      <c r="L22" s="654">
        <f>'Lpg (2)'!G27</f>
        <v>0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38487.83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38487.83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38487.83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38487.83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38487.83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38487.83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38487.83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38487.83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38487.83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38487.83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38487.83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38487.83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38487.83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38487.83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4" sqref="AB14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4">
        <f>A6</f>
        <v>44256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  <c r="M1" s="875"/>
      <c r="N1" s="875"/>
      <c r="O1" s="875"/>
      <c r="P1" s="875"/>
      <c r="Q1" s="875"/>
      <c r="R1" s="875"/>
      <c r="S1" s="875"/>
      <c r="T1" s="875"/>
      <c r="U1" s="875"/>
      <c r="V1" s="875"/>
      <c r="W1" s="875"/>
      <c r="X1" s="875"/>
      <c r="Y1" s="875"/>
      <c r="Z1" s="875"/>
      <c r="AA1" s="875"/>
      <c r="AB1" s="875"/>
      <c r="AC1" s="19"/>
    </row>
    <row r="2" spans="1:29" ht="12" customHeight="1" thickBot="1">
      <c r="A2" s="875"/>
      <c r="B2" s="875"/>
      <c r="C2" s="875"/>
      <c r="D2" s="875"/>
      <c r="E2" s="875"/>
      <c r="F2" s="875"/>
      <c r="G2" s="875"/>
      <c r="H2" s="875"/>
      <c r="I2" s="875"/>
      <c r="J2" s="875"/>
      <c r="K2" s="875"/>
      <c r="L2" s="875"/>
      <c r="M2" s="875"/>
      <c r="N2" s="875"/>
      <c r="O2" s="875"/>
      <c r="P2" s="875"/>
      <c r="Q2" s="875"/>
      <c r="R2" s="875"/>
      <c r="S2" s="875"/>
      <c r="T2" s="875"/>
      <c r="U2" s="875"/>
      <c r="V2" s="875"/>
      <c r="W2" s="875"/>
      <c r="X2" s="875"/>
      <c r="Y2" s="875"/>
      <c r="Z2" s="875"/>
      <c r="AA2" s="875"/>
      <c r="AB2" s="875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6" t="s">
        <v>298</v>
      </c>
      <c r="L3" s="877"/>
      <c r="M3" s="878"/>
      <c r="N3" s="876" t="s">
        <v>299</v>
      </c>
      <c r="O3" s="877"/>
      <c r="P3" s="878"/>
      <c r="Q3" s="876" t="s">
        <v>300</v>
      </c>
      <c r="R3" s="877"/>
      <c r="S3" s="878"/>
      <c r="T3" s="876" t="s">
        <v>301</v>
      </c>
      <c r="U3" s="877"/>
      <c r="V3" s="878"/>
      <c r="W3" s="876" t="s">
        <v>302</v>
      </c>
      <c r="X3" s="877"/>
      <c r="Y3" s="878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/>
      <c r="M11" s="304">
        <f t="shared" si="1"/>
        <v>-35923</v>
      </c>
      <c r="N11" s="306">
        <f t="shared" si="2"/>
        <v>30857</v>
      </c>
      <c r="O11" s="125"/>
      <c r="P11" s="304">
        <f t="shared" si="3"/>
        <v>-30857</v>
      </c>
      <c r="Q11" s="304">
        <f t="shared" si="4"/>
        <v>36126</v>
      </c>
      <c r="R11" s="125"/>
      <c r="S11" s="304">
        <f t="shared" si="5"/>
        <v>-36126</v>
      </c>
      <c r="T11" s="304">
        <f t="shared" si="6"/>
        <v>33367</v>
      </c>
      <c r="U11" s="125"/>
      <c r="V11" s="304">
        <f t="shared" si="7"/>
        <v>-33367</v>
      </c>
      <c r="W11" s="306">
        <f t="shared" si="8"/>
        <v>22009</v>
      </c>
      <c r="X11" s="305"/>
      <c r="Y11" s="304">
        <f t="shared" si="9"/>
        <v>-22009</v>
      </c>
      <c r="Z11" s="307">
        <f t="shared" si="10"/>
        <v>-158282</v>
      </c>
      <c r="AA11" s="125"/>
      <c r="AB11" s="125"/>
      <c r="AC11" s="689">
        <f>Gen!AR16</f>
        <v>0</v>
      </c>
    </row>
    <row r="12" spans="1:29" ht="20.100000000000001" customHeight="1">
      <c r="A12" s="682">
        <f>Gen!A17</f>
        <v>44262</v>
      </c>
      <c r="B12" s="677"/>
      <c r="C12" s="793"/>
      <c r="D12" s="794"/>
      <c r="E12" s="491"/>
      <c r="F12" s="305"/>
      <c r="G12" s="305"/>
      <c r="H12" s="305"/>
      <c r="I12" s="305"/>
      <c r="J12" s="678"/>
      <c r="K12" s="688">
        <f t="shared" si="0"/>
        <v>0</v>
      </c>
      <c r="L12" s="305"/>
      <c r="M12" s="304">
        <f t="shared" si="1"/>
        <v>0</v>
      </c>
      <c r="N12" s="306">
        <f t="shared" si="2"/>
        <v>0</v>
      </c>
      <c r="O12" s="125"/>
      <c r="P12" s="304">
        <f t="shared" si="3"/>
        <v>0</v>
      </c>
      <c r="Q12" s="304">
        <f t="shared" si="4"/>
        <v>0</v>
      </c>
      <c r="R12" s="125"/>
      <c r="S12" s="304">
        <f t="shared" si="5"/>
        <v>0</v>
      </c>
      <c r="T12" s="304">
        <f t="shared" si="6"/>
        <v>0</v>
      </c>
      <c r="U12" s="305"/>
      <c r="V12" s="304">
        <f t="shared" si="7"/>
        <v>0</v>
      </c>
      <c r="W12" s="306">
        <f t="shared" si="8"/>
        <v>0</v>
      </c>
      <c r="X12" s="305"/>
      <c r="Y12" s="304">
        <f t="shared" si="9"/>
        <v>0</v>
      </c>
      <c r="Z12" s="307">
        <f t="shared" si="10"/>
        <v>0</v>
      </c>
      <c r="AA12" s="125"/>
      <c r="AB12" s="125"/>
      <c r="AC12" s="689">
        <f>Gen!AR17</f>
        <v>0</v>
      </c>
    </row>
    <row r="13" spans="1:29" ht="20.100000000000001" customHeight="1">
      <c r="A13" s="682">
        <f>Gen!A18</f>
        <v>44263</v>
      </c>
      <c r="B13" s="677"/>
      <c r="C13" s="793"/>
      <c r="D13" s="794"/>
      <c r="E13" s="491"/>
      <c r="F13" s="305"/>
      <c r="G13" s="305"/>
      <c r="H13" s="305"/>
      <c r="I13" s="305"/>
      <c r="J13" s="678"/>
      <c r="K13" s="688">
        <f t="shared" si="0"/>
        <v>0</v>
      </c>
      <c r="L13" s="305"/>
      <c r="M13" s="304">
        <f t="shared" si="1"/>
        <v>0</v>
      </c>
      <c r="N13" s="306">
        <f t="shared" si="2"/>
        <v>0</v>
      </c>
      <c r="O13" s="834"/>
      <c r="P13" s="304">
        <f>O14-N13</f>
        <v>0</v>
      </c>
      <c r="Q13" s="304">
        <f t="shared" si="4"/>
        <v>0</v>
      </c>
      <c r="R13" s="125"/>
      <c r="S13" s="304">
        <f t="shared" si="5"/>
        <v>0</v>
      </c>
      <c r="T13" s="304">
        <f t="shared" si="6"/>
        <v>0</v>
      </c>
      <c r="U13" s="305"/>
      <c r="V13" s="304">
        <f t="shared" si="7"/>
        <v>0</v>
      </c>
      <c r="W13" s="306">
        <f t="shared" si="8"/>
        <v>0</v>
      </c>
      <c r="X13" s="305"/>
      <c r="Y13" s="304">
        <f t="shared" si="9"/>
        <v>0</v>
      </c>
      <c r="Z13" s="307">
        <f t="shared" si="10"/>
        <v>0</v>
      </c>
      <c r="AA13" s="125"/>
      <c r="AB13" s="125"/>
      <c r="AC13" s="689">
        <f>Gen!AR18</f>
        <v>0</v>
      </c>
    </row>
    <row r="14" spans="1:29" ht="20.100000000000001" customHeight="1">
      <c r="A14" s="682">
        <f>Gen!A19</f>
        <v>44264</v>
      </c>
      <c r="B14" s="677"/>
      <c r="C14" s="793"/>
      <c r="D14" s="794"/>
      <c r="E14" s="491"/>
      <c r="F14" s="305"/>
      <c r="G14" s="305"/>
      <c r="H14" s="305"/>
      <c r="I14" s="305"/>
      <c r="J14" s="678"/>
      <c r="K14" s="688">
        <f t="shared" si="0"/>
        <v>0</v>
      </c>
      <c r="L14" s="305"/>
      <c r="M14" s="304">
        <f t="shared" si="1"/>
        <v>0</v>
      </c>
      <c r="N14" s="306">
        <f>O14</f>
        <v>0</v>
      </c>
      <c r="O14" s="125"/>
      <c r="P14" s="304" t="e">
        <f>#REF!-N14</f>
        <v>#REF!</v>
      </c>
      <c r="Q14" s="304">
        <f t="shared" si="4"/>
        <v>0</v>
      </c>
      <c r="R14" s="125"/>
      <c r="S14" s="304">
        <f t="shared" si="5"/>
        <v>0</v>
      </c>
      <c r="T14" s="304">
        <f t="shared" si="6"/>
        <v>0</v>
      </c>
      <c r="U14" s="305"/>
      <c r="V14" s="304">
        <f t="shared" si="7"/>
        <v>0</v>
      </c>
      <c r="W14" s="306">
        <f t="shared" si="8"/>
        <v>0</v>
      </c>
      <c r="X14" s="305"/>
      <c r="Y14" s="304">
        <f t="shared" si="9"/>
        <v>0</v>
      </c>
      <c r="Z14" s="307" t="e">
        <f t="shared" si="10"/>
        <v>#REF!</v>
      </c>
      <c r="AA14" s="125"/>
      <c r="AB14" s="125"/>
      <c r="AC14" s="689">
        <f>Gen!AR19</f>
        <v>0</v>
      </c>
    </row>
    <row r="15" spans="1:29" ht="20.100000000000001" customHeight="1">
      <c r="A15" s="682">
        <f>Gen!A20</f>
        <v>44265</v>
      </c>
      <c r="B15" s="677"/>
      <c r="C15" s="793"/>
      <c r="D15" s="794"/>
      <c r="E15" s="491"/>
      <c r="F15" s="305"/>
      <c r="G15" s="305"/>
      <c r="H15" s="305"/>
      <c r="I15" s="305"/>
      <c r="J15" s="678"/>
      <c r="K15" s="68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3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9">
        <f>Gen!AR20</f>
        <v>0</v>
      </c>
    </row>
    <row r="16" spans="1:29" ht="20.100000000000001" customHeight="1">
      <c r="A16" s="682">
        <f>Gen!A21</f>
        <v>44266</v>
      </c>
      <c r="B16" s="677"/>
      <c r="C16" s="793"/>
      <c r="D16" s="794"/>
      <c r="E16" s="491"/>
      <c r="F16" s="305"/>
      <c r="G16" s="305"/>
      <c r="H16" s="305"/>
      <c r="I16" s="305"/>
      <c r="J16" s="678"/>
      <c r="K16" s="68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9">
        <f>Gen!AR21</f>
        <v>0</v>
      </c>
    </row>
    <row r="17" spans="1:29" ht="20.100000000000001" customHeight="1">
      <c r="A17" s="682">
        <f>Gen!A22</f>
        <v>44267</v>
      </c>
      <c r="B17" s="677"/>
      <c r="C17" s="793"/>
      <c r="D17" s="794"/>
      <c r="E17" s="491"/>
      <c r="F17" s="305"/>
      <c r="G17" s="305"/>
      <c r="H17" s="305"/>
      <c r="I17" s="305"/>
      <c r="J17" s="678"/>
      <c r="K17" s="68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9">
        <f>Gen!AR22</f>
        <v>0</v>
      </c>
    </row>
    <row r="18" spans="1:29" ht="20.100000000000001" customHeight="1">
      <c r="A18" s="682">
        <f>Gen!A23</f>
        <v>44268</v>
      </c>
      <c r="B18" s="677"/>
      <c r="C18" s="793"/>
      <c r="D18" s="794"/>
      <c r="E18" s="305"/>
      <c r="F18" s="305"/>
      <c r="G18" s="305"/>
      <c r="H18" s="305"/>
      <c r="I18" s="305"/>
      <c r="J18" s="678"/>
      <c r="K18" s="68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9">
        <f>Gen!AR23</f>
        <v>0</v>
      </c>
    </row>
    <row r="19" spans="1:29" ht="20.100000000000001" customHeight="1">
      <c r="A19" s="682">
        <f>Gen!A24</f>
        <v>44269</v>
      </c>
      <c r="B19" s="677"/>
      <c r="C19" s="793"/>
      <c r="D19" s="794"/>
      <c r="E19" s="305"/>
      <c r="F19" s="305"/>
      <c r="G19" s="305"/>
      <c r="H19" s="305"/>
      <c r="I19" s="305"/>
      <c r="J19" s="678"/>
      <c r="K19" s="68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9">
        <f>Gen!AR24</f>
        <v>0</v>
      </c>
    </row>
    <row r="20" spans="1:29" ht="20.100000000000001" customHeight="1">
      <c r="A20" s="682">
        <f>Gen!A25</f>
        <v>44270</v>
      </c>
      <c r="B20" s="677"/>
      <c r="C20" s="793"/>
      <c r="D20" s="794"/>
      <c r="E20" s="305"/>
      <c r="F20" s="305"/>
      <c r="G20" s="305"/>
      <c r="H20" s="305"/>
      <c r="I20" s="305"/>
      <c r="J20" s="678"/>
      <c r="K20" s="68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9">
        <f>Gen!AR25</f>
        <v>0</v>
      </c>
    </row>
    <row r="21" spans="1:29" ht="20.100000000000001" customHeight="1">
      <c r="A21" s="682">
        <f>Gen!A26</f>
        <v>44271</v>
      </c>
      <c r="B21" s="677"/>
      <c r="C21" s="793"/>
      <c r="D21" s="794"/>
      <c r="E21" s="305"/>
      <c r="F21" s="305"/>
      <c r="G21" s="305"/>
      <c r="H21" s="305"/>
      <c r="I21" s="305"/>
      <c r="J21" s="678"/>
      <c r="K21" s="68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9">
        <f>Gen!AR26</f>
        <v>0</v>
      </c>
    </row>
    <row r="22" spans="1:29" ht="18.75" customHeight="1">
      <c r="A22" s="682">
        <f>Gen!A27</f>
        <v>44272</v>
      </c>
      <c r="B22" s="677"/>
      <c r="C22" s="793"/>
      <c r="D22" s="794"/>
      <c r="E22" s="305"/>
      <c r="F22" s="305"/>
      <c r="G22" s="305"/>
      <c r="H22" s="305"/>
      <c r="I22" s="305"/>
      <c r="J22" s="678"/>
      <c r="K22" s="68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1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1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1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workbookViewId="0">
      <pane xSplit="1" topLeftCell="B1" activePane="topRight" state="frozen"/>
      <selection pane="topRight" activeCell="AE22" sqref="AE22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88"/>
      <c r="B1" s="888"/>
    </row>
    <row r="2" spans="1:46" ht="26.25">
      <c r="A2" s="888"/>
      <c r="B2" s="888"/>
      <c r="D2" s="889">
        <f>A11</f>
        <v>44256</v>
      </c>
      <c r="E2" s="889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  <c r="W2" s="890"/>
      <c r="X2" s="890"/>
      <c r="Y2" s="890"/>
      <c r="Z2" s="890"/>
      <c r="AA2" s="890"/>
      <c r="AB2" s="890"/>
      <c r="AC2" s="890"/>
      <c r="AD2" s="890"/>
      <c r="AE2" s="890"/>
      <c r="AF2" s="890"/>
      <c r="AG2" s="890"/>
      <c r="AH2" s="890"/>
      <c r="AI2" s="890"/>
      <c r="AJ2" s="890"/>
      <c r="AK2" s="890"/>
      <c r="AL2" s="890"/>
      <c r="AM2" s="890"/>
      <c r="AN2" s="890"/>
      <c r="AO2" s="890"/>
      <c r="AP2" s="890"/>
      <c r="AQ2" s="890"/>
      <c r="AR2" s="890"/>
      <c r="AS2" s="890"/>
      <c r="AT2" s="890"/>
    </row>
    <row r="3" spans="1:46" ht="12.75" customHeight="1">
      <c r="A3" s="888"/>
      <c r="B3" s="888"/>
      <c r="H3" s="891"/>
      <c r="I3" s="891"/>
      <c r="J3" s="891"/>
      <c r="K3" s="181"/>
      <c r="Q3" s="181"/>
    </row>
    <row r="4" spans="1:46" ht="11.25" customHeight="1">
      <c r="A4" s="888"/>
      <c r="B4" s="888"/>
      <c r="H4" s="891"/>
      <c r="I4" s="891"/>
      <c r="J4" s="891"/>
      <c r="K4" s="181"/>
      <c r="Q4" s="181"/>
    </row>
    <row r="5" spans="1:46" ht="12" thickBot="1">
      <c r="A5" s="888"/>
      <c r="B5" s="888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88"/>
      <c r="B6" s="888"/>
      <c r="C6" s="186"/>
      <c r="F6" s="892" t="s">
        <v>57</v>
      </c>
      <c r="G6" s="893"/>
      <c r="H6" s="893"/>
      <c r="I6" s="893"/>
      <c r="J6" s="893"/>
      <c r="K6" s="893"/>
      <c r="L6" s="894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95" t="s">
        <v>201</v>
      </c>
      <c r="G7" s="896"/>
      <c r="H7" s="896"/>
      <c r="I7" s="896"/>
      <c r="J7" s="896"/>
      <c r="K7" s="896"/>
      <c r="L7" s="897"/>
      <c r="M7" s="898" t="s">
        <v>40</v>
      </c>
      <c r="N7" s="899"/>
      <c r="O7" s="899"/>
      <c r="P7" s="899"/>
      <c r="Q7" s="899"/>
      <c r="R7" s="900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/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/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/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/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/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/>
      <c r="C16" s="807">
        <f t="shared" si="6"/>
        <v>38487.83</v>
      </c>
      <c r="D16" s="808"/>
      <c r="E16" s="805"/>
      <c r="F16" s="809"/>
      <c r="G16" s="806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33"/>
      <c r="C17" s="807">
        <f t="shared" si="6"/>
        <v>38487.83</v>
      </c>
      <c r="D17" s="808"/>
      <c r="E17" s="805"/>
      <c r="F17" s="809"/>
      <c r="G17" s="806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38487.83</v>
      </c>
    </row>
    <row r="18" spans="1:46" ht="13.5" customHeight="1">
      <c r="A18" s="576">
        <v>44263</v>
      </c>
      <c r="B18" s="833"/>
      <c r="C18" s="807">
        <f t="shared" si="6"/>
        <v>38487.83</v>
      </c>
      <c r="D18" s="808"/>
      <c r="E18" s="805"/>
      <c r="F18" s="809"/>
      <c r="G18" s="806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38487.83</v>
      </c>
    </row>
    <row r="19" spans="1:46" ht="13.5" customHeight="1">
      <c r="A19" s="576">
        <v>44264</v>
      </c>
      <c r="B19" s="833"/>
      <c r="C19" s="807">
        <f t="shared" si="6"/>
        <v>38487.83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38487.83</v>
      </c>
    </row>
    <row r="20" spans="1:46" ht="15.75">
      <c r="A20" s="576">
        <v>44265</v>
      </c>
      <c r="B20" s="833"/>
      <c r="C20" s="807">
        <f t="shared" si="6"/>
        <v>38487.83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38487.83</v>
      </c>
    </row>
    <row r="21" spans="1:46" ht="15.75">
      <c r="A21" s="576">
        <v>44266</v>
      </c>
      <c r="B21" s="833"/>
      <c r="C21" s="807">
        <f t="shared" si="6"/>
        <v>38487.83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38487.83</v>
      </c>
    </row>
    <row r="22" spans="1:46" ht="15.75">
      <c r="A22" s="576">
        <v>44267</v>
      </c>
      <c r="B22" s="833"/>
      <c r="C22" s="807">
        <f t="shared" si="6"/>
        <v>38487.83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38487.83</v>
      </c>
    </row>
    <row r="23" spans="1:46" ht="13.5" customHeight="1">
      <c r="A23" s="576">
        <v>44268</v>
      </c>
      <c r="B23" s="833"/>
      <c r="C23" s="807">
        <f t="shared" si="6"/>
        <v>38487.83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38487.83</v>
      </c>
    </row>
    <row r="24" spans="1:46" ht="15.75">
      <c r="A24" s="576">
        <v>44269</v>
      </c>
      <c r="B24" s="833"/>
      <c r="C24" s="807">
        <f t="shared" si="6"/>
        <v>38487.83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38487.83</v>
      </c>
    </row>
    <row r="25" spans="1:46" ht="15.75">
      <c r="A25" s="576">
        <v>44270</v>
      </c>
      <c r="B25" s="833"/>
      <c r="C25" s="807">
        <f t="shared" si="6"/>
        <v>38487.83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38487.83</v>
      </c>
    </row>
    <row r="26" spans="1:46" ht="15.75">
      <c r="A26" s="576">
        <v>44271</v>
      </c>
      <c r="B26" s="833"/>
      <c r="C26" s="807">
        <f t="shared" si="6"/>
        <v>38487.83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38487.83</v>
      </c>
    </row>
    <row r="27" spans="1:46" ht="15.75">
      <c r="A27" s="576">
        <v>44272</v>
      </c>
      <c r="B27" s="833"/>
      <c r="C27" s="807">
        <f t="shared" si="6"/>
        <v>38487.83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38487.83</v>
      </c>
    </row>
    <row r="28" spans="1:46" ht="15.75">
      <c r="A28" s="576">
        <v>44273</v>
      </c>
      <c r="B28" s="833"/>
      <c r="C28" s="807">
        <f t="shared" si="6"/>
        <v>38487.83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38487.83</v>
      </c>
    </row>
    <row r="29" spans="1:46" ht="15.75">
      <c r="A29" s="576">
        <v>44274</v>
      </c>
      <c r="B29" s="833"/>
      <c r="C29" s="807">
        <f t="shared" si="6"/>
        <v>38487.83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38487.83</v>
      </c>
    </row>
    <row r="30" spans="1:46" ht="15.75">
      <c r="A30" s="576">
        <v>44275</v>
      </c>
      <c r="B30" s="833"/>
      <c r="C30" s="807">
        <f t="shared" si="6"/>
        <v>38487.83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38487.83</v>
      </c>
    </row>
    <row r="31" spans="1:46" ht="15.75">
      <c r="A31" s="576">
        <v>44276</v>
      </c>
      <c r="B31" s="833"/>
      <c r="C31" s="807">
        <f t="shared" si="6"/>
        <v>38487.83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38487.83</v>
      </c>
    </row>
    <row r="32" spans="1:46" ht="15.75">
      <c r="A32" s="576">
        <v>44277</v>
      </c>
      <c r="B32" s="833"/>
      <c r="C32" s="807">
        <f t="shared" si="6"/>
        <v>38487.83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38487.83</v>
      </c>
    </row>
    <row r="33" spans="1:46" ht="15.75">
      <c r="A33" s="576">
        <v>44278</v>
      </c>
      <c r="B33" s="833"/>
      <c r="C33" s="807">
        <f t="shared" si="6"/>
        <v>38487.83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38487.83</v>
      </c>
    </row>
    <row r="34" spans="1:46" ht="15.75">
      <c r="A34" s="576">
        <v>44279</v>
      </c>
      <c r="B34" s="833"/>
      <c r="C34" s="807">
        <f t="shared" si="6"/>
        <v>38487.83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38487.83</v>
      </c>
    </row>
    <row r="35" spans="1:46" ht="15.75">
      <c r="A35" s="576">
        <v>44280</v>
      </c>
      <c r="B35" s="833"/>
      <c r="C35" s="807">
        <f t="shared" si="6"/>
        <v>38487.83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38487.83</v>
      </c>
    </row>
    <row r="36" spans="1:46" ht="15.75">
      <c r="A36" s="576">
        <v>44281</v>
      </c>
      <c r="B36" s="833"/>
      <c r="C36" s="807">
        <f t="shared" si="6"/>
        <v>38487.83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38487.83</v>
      </c>
    </row>
    <row r="37" spans="1:46" ht="15.75">
      <c r="A37" s="576">
        <v>44282</v>
      </c>
      <c r="B37" s="833"/>
      <c r="C37" s="807">
        <f t="shared" si="6"/>
        <v>38487.83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38487.83</v>
      </c>
    </row>
    <row r="38" spans="1:46" ht="15.75">
      <c r="A38" s="576">
        <v>44283</v>
      </c>
      <c r="B38" s="833"/>
      <c r="C38" s="807">
        <f t="shared" si="6"/>
        <v>38487.83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38487.83</v>
      </c>
    </row>
    <row r="39" spans="1:46" ht="15.75">
      <c r="A39" s="576">
        <v>44284</v>
      </c>
      <c r="B39" s="833"/>
      <c r="C39" s="807">
        <f t="shared" si="6"/>
        <v>38487.83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38487.83</v>
      </c>
    </row>
    <row r="40" spans="1:46" ht="15.75">
      <c r="A40" s="576">
        <v>44285</v>
      </c>
      <c r="B40" s="833"/>
      <c r="C40" s="807">
        <f t="shared" si="6"/>
        <v>38487.83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38487.83</v>
      </c>
    </row>
    <row r="41" spans="1:46" ht="15.75">
      <c r="A41" s="576">
        <v>44286</v>
      </c>
      <c r="B41" s="833"/>
      <c r="C41" s="807">
        <f t="shared" si="6"/>
        <v>38487.83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38487.83</v>
      </c>
    </row>
    <row r="42" spans="1:46" ht="14.25">
      <c r="A42" s="576"/>
      <c r="B42" s="575"/>
      <c r="C42" s="807">
        <f t="shared" si="6"/>
        <v>38487.83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38487.83</v>
      </c>
    </row>
    <row r="43" spans="1:46" ht="14.25">
      <c r="A43" s="496" t="s">
        <v>25</v>
      </c>
      <c r="B43" s="469" t="e">
        <f>AVERAGE(B11:B42)</f>
        <v>#DIV/0!</v>
      </c>
      <c r="C43" s="803">
        <f t="shared" si="6"/>
        <v>38487.83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38487.83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1056.6400000000001</v>
      </c>
      <c r="H45" s="308">
        <f t="shared" si="8"/>
        <v>1147.55</v>
      </c>
      <c r="I45" s="313">
        <f t="shared" si="8"/>
        <v>0</v>
      </c>
      <c r="J45" s="308">
        <f t="shared" si="8"/>
        <v>1057.99</v>
      </c>
      <c r="K45" s="313">
        <f t="shared" si="8"/>
        <v>1018.56</v>
      </c>
      <c r="L45" s="308">
        <f t="shared" si="8"/>
        <v>1146.6099999999999</v>
      </c>
      <c r="M45" s="313">
        <f t="shared" si="8"/>
        <v>2613</v>
      </c>
      <c r="N45" s="554">
        <f t="shared" si="8"/>
        <v>2905</v>
      </c>
      <c r="O45" s="313">
        <f t="shared" si="8"/>
        <v>0</v>
      </c>
      <c r="P45" s="308">
        <f>SUM(P11:P43)</f>
        <v>2601</v>
      </c>
      <c r="Q45" s="313">
        <f>SUM(Q11:Q44)</f>
        <v>2495</v>
      </c>
      <c r="R45" s="308">
        <f>SUM(R11:R44)</f>
        <v>2865</v>
      </c>
      <c r="S45" s="552">
        <f>SUM(G45:L45)</f>
        <v>5427.3499999999995</v>
      </c>
      <c r="T45" s="308">
        <f>SUM(M45:R45)</f>
        <v>13479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59.85</v>
      </c>
      <c r="Y45" s="234">
        <f t="shared" si="9"/>
        <v>0</v>
      </c>
      <c r="Z45" s="547">
        <f t="shared" si="9"/>
        <v>0</v>
      </c>
      <c r="AA45" s="234">
        <f t="shared" si="9"/>
        <v>0</v>
      </c>
      <c r="AB45" s="547">
        <f t="shared" si="9"/>
        <v>34.380000000000003</v>
      </c>
      <c r="AC45" s="234">
        <f>SUM(AC10:AC44)</f>
        <v>56.88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0</v>
      </c>
      <c r="AI45" s="234">
        <f>SUM(AI9:AI39)</f>
        <v>0</v>
      </c>
      <c r="AJ45" s="547">
        <f>SUM(AJ9:AJ44)</f>
        <v>974.33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6401.6799999999994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175.07580645161289</v>
      </c>
      <c r="T47" s="316">
        <f>S45*2315</f>
        <v>12564315.249999998</v>
      </c>
      <c r="U47" s="317" t="s">
        <v>244</v>
      </c>
      <c r="AR47" s="523">
        <f>AR45*2143</f>
        <v>13718800.239999998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5488.9974879860192</v>
      </c>
      <c r="U48" s="317" t="s">
        <v>245</v>
      </c>
      <c r="W48" s="191"/>
      <c r="X48" s="191"/>
      <c r="Y48" s="191"/>
      <c r="Z48" s="191"/>
      <c r="AA48" s="191"/>
      <c r="AR48" s="316">
        <f>AR47/2289</f>
        <v>5993.3596505024025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1" t="s">
        <v>241</v>
      </c>
      <c r="C50" s="902"/>
      <c r="D50" s="902"/>
      <c r="E50" s="902"/>
      <c r="F50" s="903"/>
      <c r="H50" s="879" t="s">
        <v>213</v>
      </c>
      <c r="I50" s="880"/>
      <c r="J50" s="880"/>
      <c r="K50" s="880"/>
      <c r="L50" s="881"/>
      <c r="N50" s="882" t="s">
        <v>309</v>
      </c>
      <c r="O50" s="883"/>
      <c r="P50" s="883"/>
      <c r="Q50" s="883"/>
      <c r="R50" s="884"/>
      <c r="T50" s="885" t="s">
        <v>226</v>
      </c>
      <c r="U50" s="886"/>
      <c r="V50" s="886"/>
      <c r="W50" s="886"/>
      <c r="X50" s="886"/>
      <c r="Y50" s="887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/>
      <c r="C52" s="499"/>
      <c r="D52" s="501"/>
      <c r="E52" s="500"/>
      <c r="F52" s="527"/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/>
      <c r="C53" s="499"/>
      <c r="D53" s="501"/>
      <c r="E53" s="500"/>
      <c r="F53" s="527"/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F18" sqref="F1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06"/>
      <c r="D6" s="907"/>
      <c r="E6" s="908"/>
      <c r="F6" s="908"/>
      <c r="G6" s="48" t="s">
        <v>4</v>
      </c>
      <c r="H6" s="46" t="s">
        <v>14</v>
      </c>
      <c r="I6" s="41"/>
      <c r="J6" s="113"/>
    </row>
    <row r="7" spans="1:15" ht="18" customHeight="1">
      <c r="A7" s="909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0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30</v>
      </c>
      <c r="C9" s="268">
        <v>85</v>
      </c>
      <c r="D9" s="268">
        <v>85</v>
      </c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28</v>
      </c>
      <c r="C10" s="268">
        <v>85</v>
      </c>
      <c r="D10" s="268">
        <v>85</v>
      </c>
      <c r="E10" s="268"/>
      <c r="F10" s="268">
        <v>75243.73</v>
      </c>
      <c r="G10" s="268">
        <f t="shared" ref="G10:G41" si="0">(F10-F9)*4.4</f>
        <v>130.81199999998208</v>
      </c>
      <c r="H10" s="111">
        <f>[4]Gen!B11</f>
        <v>7.6999999999999999E-2</v>
      </c>
      <c r="I10" s="6">
        <f>SUM(F10/H10)</f>
        <v>977191.29870129866</v>
      </c>
      <c r="J10" s="116">
        <f t="shared" ref="J10:J40" si="1">SUM(G10/I10)</f>
        <v>1.338652934935392E-4</v>
      </c>
      <c r="N10" s="156"/>
      <c r="O10" s="156"/>
    </row>
    <row r="11" spans="1:15" ht="18.75">
      <c r="A11" s="94">
        <f>Gen!A12</f>
        <v>44257</v>
      </c>
      <c r="B11" s="268">
        <v>25</v>
      </c>
      <c r="C11" s="268">
        <v>85</v>
      </c>
      <c r="D11" s="268">
        <v>85</v>
      </c>
      <c r="E11" s="268"/>
      <c r="F11" s="268">
        <v>75272.710000000006</v>
      </c>
      <c r="G11" s="268">
        <f t="shared" si="0"/>
        <v>127.51200000004611</v>
      </c>
      <c r="H11" s="111">
        <f>[4]Gen!B12</f>
        <v>9.0999999999999998E-2</v>
      </c>
      <c r="I11" s="6">
        <f t="shared" ref="I11:I41" si="2">SUM(F11/H11)</f>
        <v>827172.63736263744</v>
      </c>
      <c r="J11" s="116">
        <f t="shared" si="1"/>
        <v>1.5415403537356626E-4</v>
      </c>
      <c r="M11" s="156"/>
      <c r="N11" s="156"/>
    </row>
    <row r="12" spans="1:15" ht="18.75">
      <c r="A12" s="94">
        <f>Gen!A13</f>
        <v>44258</v>
      </c>
      <c r="B12" s="268">
        <v>23</v>
      </c>
      <c r="C12" s="268">
        <v>85</v>
      </c>
      <c r="D12" s="268">
        <v>85</v>
      </c>
      <c r="E12" s="268"/>
      <c r="F12" s="268">
        <v>75288.38</v>
      </c>
      <c r="G12" s="268">
        <f t="shared" si="0"/>
        <v>68.947999999992319</v>
      </c>
      <c r="H12" s="111">
        <f>[4]Gen!B13</f>
        <v>1.2999999999999999E-2</v>
      </c>
      <c r="I12" s="6">
        <f t="shared" si="2"/>
        <v>5791413.8461538469</v>
      </c>
      <c r="J12" s="116">
        <f t="shared" si="1"/>
        <v>1.1905210339230303E-5</v>
      </c>
      <c r="M12" s="156"/>
      <c r="N12" s="156"/>
    </row>
    <row r="13" spans="1:15" ht="18.75">
      <c r="A13" s="94">
        <f>Gen!A14</f>
        <v>44259</v>
      </c>
      <c r="B13" s="268">
        <v>20</v>
      </c>
      <c r="C13" s="268">
        <v>85</v>
      </c>
      <c r="D13" s="268">
        <v>85</v>
      </c>
      <c r="E13" s="268"/>
      <c r="F13" s="268">
        <v>75303.28</v>
      </c>
      <c r="G13" s="268">
        <f t="shared" si="0"/>
        <v>65.559999999974394</v>
      </c>
      <c r="H13" s="111">
        <f>[4]Gen!B14</f>
        <v>1.2999999999999999E-2</v>
      </c>
      <c r="I13" s="6">
        <f t="shared" si="2"/>
        <v>5792560</v>
      </c>
      <c r="J13" s="116">
        <f t="shared" si="1"/>
        <v>1.1317966494947725E-5</v>
      </c>
      <c r="M13" s="156"/>
      <c r="N13" s="156"/>
    </row>
    <row r="14" spans="1:15" ht="18.75">
      <c r="A14" s="94">
        <f>Gen!A15</f>
        <v>44260</v>
      </c>
      <c r="B14" s="268"/>
      <c r="C14" s="268"/>
      <c r="D14" s="268"/>
      <c r="E14" s="268"/>
      <c r="F14" s="268"/>
      <c r="G14" s="268">
        <f t="shared" si="0"/>
        <v>-331334.43200000003</v>
      </c>
      <c r="H14" s="111">
        <f>[4]Gen!B15</f>
        <v>0.01</v>
      </c>
      <c r="I14" s="6">
        <f t="shared" si="2"/>
        <v>0</v>
      </c>
      <c r="J14" s="116" t="e">
        <f t="shared" si="1"/>
        <v>#DIV/0!</v>
      </c>
      <c r="M14" s="156"/>
      <c r="N14" s="156"/>
    </row>
    <row r="15" spans="1:15" ht="18.75">
      <c r="A15" s="94">
        <f>Gen!A16</f>
        <v>44261</v>
      </c>
      <c r="B15" s="268"/>
      <c r="C15" s="268"/>
      <c r="D15" s="268"/>
      <c r="E15" s="268"/>
      <c r="F15" s="268"/>
      <c r="G15" s="268">
        <f t="shared" si="0"/>
        <v>0</v>
      </c>
      <c r="H15" s="111">
        <f>[4]Gen!B16</f>
        <v>0.01</v>
      </c>
      <c r="I15" s="6">
        <f t="shared" si="2"/>
        <v>0</v>
      </c>
      <c r="J15" s="116" t="e">
        <f t="shared" si="1"/>
        <v>#DIV/0!</v>
      </c>
      <c r="M15" s="156"/>
      <c r="N15" s="156"/>
    </row>
    <row r="16" spans="1:15" ht="18.75">
      <c r="A16" s="94">
        <f>Gen!A17</f>
        <v>44262</v>
      </c>
      <c r="B16" s="268"/>
      <c r="C16" s="268"/>
      <c r="D16" s="268"/>
      <c r="E16" s="268"/>
      <c r="F16" s="268"/>
      <c r="G16" s="268">
        <f t="shared" si="0"/>
        <v>0</v>
      </c>
      <c r="H16" s="111">
        <f>[4]Gen!B17</f>
        <v>0.01</v>
      </c>
      <c r="I16" s="6">
        <f t="shared" si="2"/>
        <v>0</v>
      </c>
      <c r="J16" s="116" t="e">
        <f t="shared" si="1"/>
        <v>#DIV/0!</v>
      </c>
      <c r="M16" s="156"/>
      <c r="N16" s="156"/>
    </row>
    <row r="17" spans="1:14" ht="18.75">
      <c r="A17" s="94">
        <f>Gen!A18</f>
        <v>44263</v>
      </c>
      <c r="B17" s="268"/>
      <c r="C17" s="268"/>
      <c r="D17" s="268"/>
      <c r="E17" s="268"/>
      <c r="F17" s="268"/>
      <c r="G17" s="268">
        <f t="shared" si="0"/>
        <v>0</v>
      </c>
      <c r="H17" s="111">
        <f>[4]Gen!B18</f>
        <v>0.01</v>
      </c>
      <c r="I17" s="6">
        <f t="shared" si="2"/>
        <v>0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44264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6">
        <f t="shared" si="2"/>
        <v>0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44265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6">
        <f t="shared" si="2"/>
        <v>0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44266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6">
        <f t="shared" si="2"/>
        <v>0</v>
      </c>
      <c r="J20" s="116" t="e">
        <f t="shared" si="1"/>
        <v>#DIV/0!</v>
      </c>
    </row>
    <row r="21" spans="1:14" ht="18.75">
      <c r="A21" s="94">
        <f>Gen!A22</f>
        <v>44267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6">
        <f t="shared" si="2"/>
        <v>0</v>
      </c>
      <c r="J21" s="116" t="e">
        <f t="shared" si="1"/>
        <v>#DIV/0!</v>
      </c>
    </row>
    <row r="22" spans="1:14" ht="18.75">
      <c r="A22" s="94">
        <f>Gen!A23</f>
        <v>44268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6">
        <f t="shared" si="2"/>
        <v>0</v>
      </c>
      <c r="J22" s="116" t="e">
        <f t="shared" si="1"/>
        <v>#DIV/0!</v>
      </c>
    </row>
    <row r="23" spans="1:14" ht="18.75">
      <c r="A23" s="94">
        <f>Gen!A24</f>
        <v>44269</v>
      </c>
      <c r="B23" s="268"/>
      <c r="C23" s="268"/>
      <c r="D23" s="268"/>
      <c r="E23" s="268"/>
      <c r="F23" s="268"/>
      <c r="G23" s="268">
        <f t="shared" si="0"/>
        <v>0</v>
      </c>
      <c r="H23" s="111">
        <f>[4]Gen!B24</f>
        <v>0.23</v>
      </c>
      <c r="I23" s="6">
        <f t="shared" si="2"/>
        <v>0</v>
      </c>
      <c r="J23" s="116" t="e">
        <f t="shared" si="1"/>
        <v>#DIV/0!</v>
      </c>
    </row>
    <row r="24" spans="1:14" ht="18.75">
      <c r="A24" s="94">
        <f>Gen!A25</f>
        <v>44270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Gen!A26</f>
        <v>44271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Gen!A27</f>
        <v>44272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905" t="s">
        <v>6</v>
      </c>
      <c r="D42" s="905"/>
      <c r="E42" s="2">
        <f t="shared" ref="E42" si="3">SUM(E10:E40)</f>
        <v>0</v>
      </c>
      <c r="F42" s="2">
        <f>SUM(F10:F41)</f>
        <v>301108.09999999998</v>
      </c>
      <c r="G42" s="101">
        <f>SUM(G10:G40)</f>
        <v>-330941.60000000003</v>
      </c>
      <c r="H42" s="111">
        <f>[4]Gen!B43</f>
        <v>0.18598064516129031</v>
      </c>
      <c r="I42" s="6"/>
      <c r="J42" s="116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04"/>
      <c r="C45" s="904"/>
      <c r="D45" s="904"/>
      <c r="E45" s="904"/>
      <c r="F45" s="904"/>
      <c r="G45" s="904"/>
      <c r="H45" s="904"/>
      <c r="I45" s="839"/>
      <c r="J45" s="846"/>
    </row>
    <row r="46" spans="1:10">
      <c r="A46" s="19"/>
      <c r="B46" s="904"/>
      <c r="C46" s="904"/>
      <c r="D46" s="904"/>
      <c r="E46" s="904"/>
      <c r="F46" s="904"/>
      <c r="G46" s="904"/>
      <c r="H46" s="904"/>
      <c r="I46" s="839"/>
      <c r="J46" s="846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6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6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6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6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6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6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6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6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5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22" zoomScale="94" zoomScaleNormal="94" workbookViewId="0">
      <pane xSplit="1" topLeftCell="B1" activePane="topRight" state="frozen"/>
      <selection pane="topRight" activeCell="AI14" sqref="AI14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5" t="s">
        <v>315</v>
      </c>
      <c r="B1" s="916"/>
      <c r="C1" s="916"/>
      <c r="D1" s="916"/>
      <c r="E1" s="916"/>
      <c r="F1" s="916"/>
      <c r="G1" s="916"/>
      <c r="H1" s="916"/>
      <c r="I1" s="916"/>
      <c r="J1" s="916"/>
      <c r="K1" s="916"/>
      <c r="L1" s="916"/>
      <c r="M1" s="916"/>
      <c r="N1" s="916"/>
      <c r="O1" s="916"/>
      <c r="P1" s="916"/>
      <c r="Q1" s="916"/>
      <c r="R1" s="916"/>
      <c r="S1" s="916"/>
      <c r="T1" s="916"/>
      <c r="U1" s="916"/>
      <c r="V1" s="916"/>
      <c r="W1" s="916"/>
      <c r="X1" s="916"/>
      <c r="Y1" s="916"/>
      <c r="Z1" s="916"/>
      <c r="AA1" s="916"/>
      <c r="AB1" s="916"/>
      <c r="AC1" s="916"/>
      <c r="AD1" s="916"/>
      <c r="AE1" s="916"/>
      <c r="AF1" s="916"/>
      <c r="AG1" s="916"/>
      <c r="AH1" s="916"/>
      <c r="AI1" s="916"/>
      <c r="AJ1" s="916"/>
      <c r="AK1" s="916"/>
      <c r="AL1" s="916"/>
      <c r="AM1" s="916"/>
      <c r="AN1" s="916"/>
    </row>
    <row r="2" spans="1:40" ht="13.5" customHeight="1" thickTop="1">
      <c r="A2" s="29"/>
      <c r="B2" s="29"/>
      <c r="C2" s="912" t="s">
        <v>52</v>
      </c>
      <c r="D2" s="912"/>
      <c r="E2" s="912"/>
      <c r="F2" s="912" t="s">
        <v>17</v>
      </c>
      <c r="G2" s="912"/>
      <c r="H2" s="912"/>
      <c r="I2" s="912" t="s">
        <v>131</v>
      </c>
      <c r="J2" s="912"/>
      <c r="K2" s="912"/>
      <c r="L2" s="912" t="s">
        <v>134</v>
      </c>
      <c r="M2" s="912"/>
      <c r="N2" s="912"/>
      <c r="O2" s="912" t="s">
        <v>132</v>
      </c>
      <c r="P2" s="912"/>
      <c r="Q2" s="912"/>
      <c r="R2" s="252"/>
      <c r="S2" s="923" t="s">
        <v>181</v>
      </c>
      <c r="T2" s="924"/>
      <c r="U2" s="925"/>
      <c r="V2" s="923" t="s">
        <v>182</v>
      </c>
      <c r="W2" s="924"/>
      <c r="X2" s="925"/>
      <c r="Y2" s="923" t="s">
        <v>183</v>
      </c>
      <c r="Z2" s="924"/>
      <c r="AA2" s="925"/>
      <c r="AB2" s="923" t="s">
        <v>184</v>
      </c>
      <c r="AC2" s="924"/>
      <c r="AD2" s="925"/>
      <c r="AE2" s="917" t="s">
        <v>239</v>
      </c>
      <c r="AF2" s="918"/>
      <c r="AG2" s="929"/>
      <c r="AH2" s="917" t="s">
        <v>243</v>
      </c>
      <c r="AI2" s="918"/>
      <c r="AJ2" s="929"/>
      <c r="AK2" s="917" t="s">
        <v>240</v>
      </c>
      <c r="AL2" s="918"/>
      <c r="AM2" s="918"/>
      <c r="AN2" s="921" t="s">
        <v>189</v>
      </c>
    </row>
    <row r="3" spans="1:40" ht="21.75" customHeight="1" thickBot="1">
      <c r="A3" s="913" t="s">
        <v>7</v>
      </c>
      <c r="B3" s="29"/>
      <c r="C3" s="912" t="s">
        <v>133</v>
      </c>
      <c r="D3" s="912" t="s">
        <v>15</v>
      </c>
      <c r="E3" s="912" t="s">
        <v>16</v>
      </c>
      <c r="F3" s="912" t="s">
        <v>133</v>
      </c>
      <c r="G3" s="912" t="s">
        <v>15</v>
      </c>
      <c r="H3" s="912" t="s">
        <v>16</v>
      </c>
      <c r="I3" s="912" t="s">
        <v>133</v>
      </c>
      <c r="J3" s="912" t="s">
        <v>15</v>
      </c>
      <c r="K3" s="912" t="s">
        <v>16</v>
      </c>
      <c r="L3" s="912" t="s">
        <v>133</v>
      </c>
      <c r="M3" s="912" t="s">
        <v>15</v>
      </c>
      <c r="N3" s="912" t="s">
        <v>16</v>
      </c>
      <c r="O3" s="912" t="s">
        <v>133</v>
      </c>
      <c r="P3" s="912" t="s">
        <v>15</v>
      </c>
      <c r="Q3" s="912" t="s">
        <v>16</v>
      </c>
      <c r="R3" s="931" t="s">
        <v>185</v>
      </c>
      <c r="S3" s="926"/>
      <c r="T3" s="927"/>
      <c r="U3" s="928"/>
      <c r="V3" s="926"/>
      <c r="W3" s="927"/>
      <c r="X3" s="928"/>
      <c r="Y3" s="926"/>
      <c r="Z3" s="927"/>
      <c r="AA3" s="928"/>
      <c r="AB3" s="926"/>
      <c r="AC3" s="927"/>
      <c r="AD3" s="928"/>
      <c r="AE3" s="919"/>
      <c r="AF3" s="920"/>
      <c r="AG3" s="930"/>
      <c r="AH3" s="919"/>
      <c r="AI3" s="920"/>
      <c r="AJ3" s="930"/>
      <c r="AK3" s="919"/>
      <c r="AL3" s="920"/>
      <c r="AM3" s="920"/>
      <c r="AN3" s="922"/>
    </row>
    <row r="4" spans="1:40" ht="15.75" thickTop="1">
      <c r="A4" s="914"/>
      <c r="B4" s="244"/>
      <c r="C4" s="912"/>
      <c r="D4" s="912"/>
      <c r="E4" s="912"/>
      <c r="F4" s="912"/>
      <c r="G4" s="912"/>
      <c r="H4" s="912"/>
      <c r="I4" s="912"/>
      <c r="J4" s="912"/>
      <c r="K4" s="912"/>
      <c r="L4" s="912"/>
      <c r="M4" s="912"/>
      <c r="N4" s="912"/>
      <c r="O4" s="912"/>
      <c r="P4" s="912"/>
      <c r="Q4" s="912"/>
      <c r="R4" s="931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/>
      <c r="X10" s="475" t="str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/>
      <c r="E11" s="58" t="str">
        <f t="shared" si="1"/>
        <v>0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/>
      <c r="K11" s="474">
        <f t="shared" si="26"/>
        <v>-8306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/>
      <c r="Q11" s="474" t="str">
        <f t="shared" si="7"/>
        <v>0</v>
      </c>
      <c r="R11" s="250"/>
      <c r="S11" s="245">
        <f t="shared" si="15"/>
        <v>65650</v>
      </c>
      <c r="T11" s="384"/>
      <c r="U11" s="475" t="str">
        <f t="shared" si="16"/>
        <v>0</v>
      </c>
      <c r="V11" s="245">
        <f t="shared" si="8"/>
        <v>0</v>
      </c>
      <c r="W11" s="384"/>
      <c r="X11" s="475">
        <f t="shared" si="17"/>
        <v>0</v>
      </c>
      <c r="Y11" s="245">
        <f t="shared" si="9"/>
        <v>89838</v>
      </c>
      <c r="Z11" s="384"/>
      <c r="AA11" s="475" t="str">
        <f t="shared" si="18"/>
        <v>0</v>
      </c>
      <c r="AB11" s="607">
        <f t="shared" si="22"/>
        <v>18357</v>
      </c>
      <c r="AC11" s="608"/>
      <c r="AD11" s="610" t="str">
        <f t="shared" si="23"/>
        <v>0</v>
      </c>
      <c r="AE11" s="245">
        <f>AF11</f>
        <v>0</v>
      </c>
      <c r="AF11" s="385"/>
      <c r="AG11" s="475" t="str">
        <f t="shared" si="19"/>
        <v>0</v>
      </c>
      <c r="AH11" s="245">
        <f t="shared" si="11"/>
        <v>29617</v>
      </c>
      <c r="AI11" s="385"/>
      <c r="AJ11" s="475" t="str">
        <f t="shared" si="20"/>
        <v>0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0</v>
      </c>
    </row>
    <row r="12" spans="1:40" ht="23.1" customHeight="1">
      <c r="A12" s="57">
        <f>Gen!A17</f>
        <v>44262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0</v>
      </c>
      <c r="J12" s="1"/>
      <c r="K12" s="474">
        <f t="shared" si="26"/>
        <v>0</v>
      </c>
      <c r="L12" s="95">
        <f t="shared" si="5"/>
        <v>0</v>
      </c>
      <c r="M12" s="1"/>
      <c r="N12" s="474">
        <f t="shared" si="14"/>
        <v>0</v>
      </c>
      <c r="O12" s="95">
        <f t="shared" si="6"/>
        <v>0</v>
      </c>
      <c r="P12" s="383"/>
      <c r="Q12" s="474">
        <f t="shared" si="7"/>
        <v>0</v>
      </c>
      <c r="R12" s="250"/>
      <c r="S12" s="245">
        <f t="shared" si="15"/>
        <v>0</v>
      </c>
      <c r="T12" s="384"/>
      <c r="U12" s="475">
        <f t="shared" si="16"/>
        <v>0</v>
      </c>
      <c r="V12" s="245">
        <f t="shared" si="8"/>
        <v>0</v>
      </c>
      <c r="W12" s="384"/>
      <c r="X12" s="475">
        <f t="shared" si="17"/>
        <v>0</v>
      </c>
      <c r="Y12" s="245">
        <f t="shared" si="9"/>
        <v>0</v>
      </c>
      <c r="Z12" s="384"/>
      <c r="AA12" s="475">
        <f t="shared" si="18"/>
        <v>0</v>
      </c>
      <c r="AB12" s="607">
        <f t="shared" si="22"/>
        <v>0</v>
      </c>
      <c r="AC12" s="608"/>
      <c r="AD12" s="610">
        <f t="shared" si="23"/>
        <v>0</v>
      </c>
      <c r="AE12" s="245">
        <f t="shared" ref="AE12:AE20" si="27">AF12</f>
        <v>0</v>
      </c>
      <c r="AF12" s="385"/>
      <c r="AG12" s="475">
        <f t="shared" si="19"/>
        <v>0</v>
      </c>
      <c r="AH12" s="245">
        <f t="shared" si="11"/>
        <v>0</v>
      </c>
      <c r="AI12" s="385"/>
      <c r="AJ12" s="475">
        <f t="shared" si="20"/>
        <v>0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0</v>
      </c>
    </row>
    <row r="13" spans="1:40" ht="23.1" customHeight="1">
      <c r="A13" s="57">
        <f>Gen!A18</f>
        <v>44263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0</v>
      </c>
      <c r="J13" s="1"/>
      <c r="K13" s="474">
        <f t="shared" si="26"/>
        <v>0</v>
      </c>
      <c r="L13" s="95">
        <f t="shared" si="5"/>
        <v>0</v>
      </c>
      <c r="M13" s="1"/>
      <c r="N13" s="474">
        <f t="shared" si="14"/>
        <v>0</v>
      </c>
      <c r="O13" s="95">
        <f t="shared" si="6"/>
        <v>0</v>
      </c>
      <c r="P13" s="383"/>
      <c r="Q13" s="474">
        <f t="shared" si="7"/>
        <v>0</v>
      </c>
      <c r="R13" s="250"/>
      <c r="S13" s="245">
        <f t="shared" si="15"/>
        <v>0</v>
      </c>
      <c r="T13" s="384"/>
      <c r="U13" s="475">
        <f t="shared" si="16"/>
        <v>0</v>
      </c>
      <c r="V13" s="245">
        <f t="shared" si="8"/>
        <v>0</v>
      </c>
      <c r="W13" s="384"/>
      <c r="X13" s="475">
        <f t="shared" si="17"/>
        <v>0</v>
      </c>
      <c r="Y13" s="245">
        <f t="shared" si="9"/>
        <v>0</v>
      </c>
      <c r="Z13" s="384"/>
      <c r="AA13" s="475">
        <f t="shared" si="18"/>
        <v>0</v>
      </c>
      <c r="AB13" s="607">
        <f t="shared" si="22"/>
        <v>0</v>
      </c>
      <c r="AC13" s="608"/>
      <c r="AD13" s="610">
        <f t="shared" si="23"/>
        <v>0</v>
      </c>
      <c r="AE13" s="245">
        <f t="shared" si="27"/>
        <v>0</v>
      </c>
      <c r="AF13" s="385"/>
      <c r="AG13" s="475">
        <f t="shared" si="19"/>
        <v>0</v>
      </c>
      <c r="AH13" s="245">
        <f t="shared" si="11"/>
        <v>0</v>
      </c>
      <c r="AI13" s="385"/>
      <c r="AJ13" s="475">
        <f t="shared" si="20"/>
        <v>0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0</v>
      </c>
    </row>
    <row r="14" spans="1:40" ht="23.1" customHeight="1">
      <c r="A14" s="57">
        <f>Gen!A19</f>
        <v>44264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0</v>
      </c>
      <c r="J14" s="1"/>
      <c r="K14" s="474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0</v>
      </c>
      <c r="P14" s="383"/>
      <c r="Q14" s="474">
        <f t="shared" si="7"/>
        <v>0</v>
      </c>
      <c r="R14" s="250"/>
      <c r="S14" s="245">
        <f t="shared" si="15"/>
        <v>0</v>
      </c>
      <c r="T14" s="384"/>
      <c r="U14" s="475">
        <f t="shared" si="16"/>
        <v>0</v>
      </c>
      <c r="V14" s="245">
        <f t="shared" si="8"/>
        <v>0</v>
      </c>
      <c r="W14" s="384"/>
      <c r="X14" s="475">
        <f t="shared" si="17"/>
        <v>0</v>
      </c>
      <c r="Y14" s="245">
        <f t="shared" si="9"/>
        <v>0</v>
      </c>
      <c r="Z14" s="384"/>
      <c r="AA14" s="475">
        <f t="shared" si="18"/>
        <v>0</v>
      </c>
      <c r="AB14" s="607">
        <f t="shared" si="22"/>
        <v>0</v>
      </c>
      <c r="AC14" s="611"/>
      <c r="AD14" s="610">
        <f t="shared" si="23"/>
        <v>0</v>
      </c>
      <c r="AE14" s="245">
        <f t="shared" si="27"/>
        <v>0</v>
      </c>
      <c r="AF14" s="385"/>
      <c r="AG14" s="475">
        <f t="shared" si="19"/>
        <v>0</v>
      </c>
      <c r="AH14" s="245">
        <f t="shared" si="11"/>
        <v>0</v>
      </c>
      <c r="AI14" s="385"/>
      <c r="AJ14" s="475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44265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7">
        <f t="shared" si="22"/>
        <v>0</v>
      </c>
      <c r="AC15" s="611"/>
      <c r="AD15" s="610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44266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7">
        <f t="shared" si="22"/>
        <v>0</v>
      </c>
      <c r="AC16" s="611"/>
      <c r="AD16" s="610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44267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7">
        <f t="shared" si="22"/>
        <v>0</v>
      </c>
      <c r="AC17" s="611"/>
      <c r="AD17" s="610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44268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7">
        <f t="shared" si="22"/>
        <v>0</v>
      </c>
      <c r="AC18" s="611"/>
      <c r="AD18" s="610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44269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7">
        <f t="shared" si="22"/>
        <v>0</v>
      </c>
      <c r="AC19" s="611"/>
      <c r="AD19" s="610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44270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7">
        <f t="shared" si="22"/>
        <v>0</v>
      </c>
      <c r="AC20" s="611"/>
      <c r="AD20" s="610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44271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7">
        <f t="shared" si="22"/>
        <v>0</v>
      </c>
      <c r="AC21" s="611"/>
      <c r="AD21" s="610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44272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7">
        <f t="shared" si="22"/>
        <v>0</v>
      </c>
      <c r="AC22" s="611"/>
      <c r="AD22" s="610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338</v>
      </c>
    </row>
    <row r="38" spans="1:41" ht="18.75">
      <c r="A38" s="57"/>
      <c r="B38" s="21"/>
      <c r="C38" s="911" t="s">
        <v>6</v>
      </c>
      <c r="D38" s="911"/>
      <c r="E38" s="22">
        <f>SUM(E6:E36)</f>
        <v>284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-8294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284</v>
      </c>
      <c r="S38" s="247"/>
      <c r="T38" s="247"/>
      <c r="U38" s="257">
        <f>SUM(U6:U37)</f>
        <v>338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338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37"/>
      <c r="B42" s="277"/>
      <c r="C42" s="934" t="s">
        <v>222</v>
      </c>
      <c r="D42" s="935"/>
      <c r="E42" s="935"/>
      <c r="F42" s="935"/>
      <c r="G42" s="935"/>
      <c r="H42" s="935"/>
      <c r="I42" s="935"/>
      <c r="J42" s="935"/>
      <c r="K42" s="936"/>
      <c r="R42" s="19"/>
    </row>
    <row r="43" spans="1:41" ht="24.75" customHeight="1">
      <c r="A43" s="938"/>
      <c r="B43" s="19"/>
      <c r="C43" s="940" t="s">
        <v>216</v>
      </c>
      <c r="D43" s="941"/>
      <c r="E43" s="942" t="s">
        <v>237</v>
      </c>
      <c r="F43" s="943"/>
      <c r="G43" s="944" t="s">
        <v>217</v>
      </c>
      <c r="H43" s="945"/>
      <c r="I43" s="944" t="s">
        <v>238</v>
      </c>
      <c r="J43" s="945"/>
      <c r="K43" s="932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38"/>
      <c r="B44" s="19"/>
      <c r="C44" s="946" t="s">
        <v>218</v>
      </c>
      <c r="D44" s="947"/>
      <c r="E44" s="946" t="s">
        <v>219</v>
      </c>
      <c r="F44" s="947"/>
      <c r="G44" s="946" t="s">
        <v>220</v>
      </c>
      <c r="H44" s="947"/>
      <c r="I44" s="946" t="s">
        <v>221</v>
      </c>
      <c r="J44" s="947"/>
      <c r="K44" s="933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39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/>
      <c r="D52" s="325">
        <f t="shared" si="49"/>
        <v>0</v>
      </c>
      <c r="E52" s="6"/>
      <c r="F52" s="325">
        <f t="shared" si="50"/>
        <v>0</v>
      </c>
      <c r="G52" s="477"/>
      <c r="H52" s="325">
        <f t="shared" si="51"/>
        <v>0</v>
      </c>
      <c r="I52" s="6"/>
      <c r="J52" s="325">
        <f t="shared" si="52"/>
        <v>0</v>
      </c>
      <c r="K52" s="331">
        <f t="shared" si="53"/>
        <v>0</v>
      </c>
    </row>
    <row r="53" spans="1:15" ht="13.5">
      <c r="A53" s="293">
        <f>Gen!A18</f>
        <v>44263</v>
      </c>
      <c r="B53" s="19"/>
      <c r="C53" s="62"/>
      <c r="D53" s="325">
        <f t="shared" si="49"/>
        <v>0</v>
      </c>
      <c r="E53" s="6"/>
      <c r="F53" s="325">
        <f t="shared" si="50"/>
        <v>0</v>
      </c>
      <c r="G53" s="477"/>
      <c r="H53" s="325">
        <f t="shared" si="51"/>
        <v>0</v>
      </c>
      <c r="I53" s="6"/>
      <c r="J53" s="325">
        <f t="shared" si="52"/>
        <v>0</v>
      </c>
      <c r="K53" s="331">
        <f t="shared" si="53"/>
        <v>0</v>
      </c>
    </row>
    <row r="54" spans="1:15" ht="13.5">
      <c r="A54" s="293">
        <f>Gen!A19</f>
        <v>44264</v>
      </c>
      <c r="B54" s="19"/>
      <c r="C54" s="62"/>
      <c r="D54" s="325">
        <f t="shared" si="49"/>
        <v>0</v>
      </c>
      <c r="E54" s="6"/>
      <c r="F54" s="325">
        <f t="shared" si="50"/>
        <v>0</v>
      </c>
      <c r="G54" s="477"/>
      <c r="H54" s="325">
        <f t="shared" si="51"/>
        <v>0</v>
      </c>
      <c r="I54" s="6"/>
      <c r="J54" s="325">
        <f t="shared" si="52"/>
        <v>0</v>
      </c>
      <c r="K54" s="331">
        <f t="shared" si="53"/>
        <v>0</v>
      </c>
    </row>
    <row r="55" spans="1:15" ht="13.5">
      <c r="A55" s="293">
        <f>Gen!A20</f>
        <v>44265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477"/>
      <c r="H55" s="325">
        <f t="shared" si="51"/>
        <v>0</v>
      </c>
      <c r="I55" s="6"/>
      <c r="J55" s="325">
        <f>I56*213/308</f>
        <v>0</v>
      </c>
      <c r="K55" s="331">
        <f t="shared" si="53"/>
        <v>0</v>
      </c>
    </row>
    <row r="56" spans="1:15" ht="13.5">
      <c r="A56" s="293">
        <f>Gen!A21</f>
        <v>44266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477"/>
      <c r="H56" s="325">
        <f t="shared" si="51"/>
        <v>0</v>
      </c>
      <c r="I56" s="6"/>
      <c r="J56" s="325">
        <f>I57*213/308</f>
        <v>0</v>
      </c>
      <c r="K56" s="331">
        <f t="shared" si="53"/>
        <v>0</v>
      </c>
    </row>
    <row r="57" spans="1:15" ht="13.5">
      <c r="A57" s="293">
        <f>Gen!A22</f>
        <v>44267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477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44268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477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44269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477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44270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477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477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477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44273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48" t="s">
        <v>316</v>
      </c>
      <c r="B2" s="949"/>
      <c r="C2" s="949"/>
      <c r="D2" s="949"/>
      <c r="E2" s="950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</v>
      </c>
      <c r="D5" s="434">
        <f>SUM(77*C5)</f>
        <v>0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130.81199999998208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162.11108333331111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127.51200000004611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158.02150000005716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0</v>
      </c>
      <c r="D7" s="434">
        <f t="shared" si="2"/>
        <v>0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68.947999999992319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85.44502777776826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0</v>
      </c>
      <c r="D8" s="434">
        <f t="shared" si="2"/>
        <v>0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65.559999999974394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81.246388888857155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0</v>
      </c>
      <c r="D9" s="434">
        <f t="shared" si="2"/>
        <v>0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-331334.43200000003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 t="e">
        <f t="shared" si="3"/>
        <v>#DIV/0!</v>
      </c>
      <c r="S9" s="438" t="e">
        <f t="shared" si="4"/>
        <v>#DIV/0!</v>
      </c>
      <c r="T9" s="76">
        <f t="shared" si="5"/>
        <v>2.8333333333333335</v>
      </c>
      <c r="U9" s="122">
        <f t="shared" si="6"/>
        <v>-410612.05177777779</v>
      </c>
      <c r="V9" s="17">
        <f t="shared" si="7"/>
        <v>5337210.6315555545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 t="str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284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1" t="s">
        <v>180</v>
      </c>
      <c r="B1" s="952"/>
      <c r="C1" s="952"/>
      <c r="D1" s="952"/>
      <c r="E1" s="952"/>
      <c r="F1" s="952"/>
      <c r="G1" s="953"/>
    </row>
    <row r="2" spans="1:7" ht="13.5" thickBot="1">
      <c r="A2" s="300"/>
      <c r="B2" s="954" t="s">
        <v>175</v>
      </c>
      <c r="C2" s="955"/>
      <c r="D2" s="956"/>
      <c r="E2" s="954" t="s">
        <v>176</v>
      </c>
      <c r="F2" s="955"/>
      <c r="G2" s="956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40"/>
      <c r="C77" s="277"/>
      <c r="D77" s="841"/>
      <c r="E77" s="277"/>
      <c r="F77" s="277"/>
      <c r="G77" s="841"/>
    </row>
    <row r="78" spans="1:7">
      <c r="A78" s="19"/>
      <c r="B78" s="835"/>
      <c r="C78" s="19"/>
      <c r="D78" s="836"/>
      <c r="E78" s="19"/>
      <c r="F78" s="19"/>
      <c r="G78" s="836"/>
    </row>
    <row r="79" spans="1:7">
      <c r="A79" s="19"/>
      <c r="B79" s="835"/>
      <c r="C79" s="19"/>
      <c r="D79" s="836"/>
      <c r="E79" s="19"/>
      <c r="F79" s="19"/>
      <c r="G79" s="836"/>
    </row>
    <row r="80" spans="1:7">
      <c r="A80" s="19"/>
      <c r="B80" s="835"/>
      <c r="C80" s="19"/>
      <c r="D80" s="836"/>
      <c r="E80" s="19"/>
      <c r="F80" s="19"/>
      <c r="G80" s="836"/>
    </row>
    <row r="81" spans="1:7">
      <c r="A81" s="19"/>
      <c r="B81" s="835"/>
      <c r="C81" s="19"/>
      <c r="D81" s="836"/>
      <c r="E81" s="19"/>
      <c r="F81" s="19"/>
      <c r="G81" s="836"/>
    </row>
    <row r="82" spans="1:7">
      <c r="A82" s="19"/>
      <c r="B82" s="835"/>
      <c r="C82" s="19"/>
      <c r="D82" s="836"/>
      <c r="E82" s="19"/>
      <c r="F82" s="19"/>
      <c r="G82" s="836"/>
    </row>
    <row r="83" spans="1:7">
      <c r="A83" s="19"/>
      <c r="B83" s="835"/>
      <c r="C83" s="19"/>
      <c r="D83" s="836"/>
      <c r="E83" s="19"/>
      <c r="F83" s="19"/>
      <c r="G83" s="836"/>
    </row>
    <row r="84" spans="1:7">
      <c r="A84" s="19"/>
      <c r="B84" s="835"/>
      <c r="C84" s="19"/>
      <c r="D84" s="836"/>
      <c r="E84" s="19"/>
      <c r="F84" s="19"/>
      <c r="G84" s="836"/>
    </row>
    <row r="85" spans="1:7">
      <c r="A85" s="19"/>
      <c r="B85" s="835"/>
      <c r="C85" s="19"/>
      <c r="D85" s="836"/>
      <c r="E85" s="19"/>
      <c r="F85" s="19"/>
      <c r="G85" s="836"/>
    </row>
    <row r="86" spans="1:7">
      <c r="A86" s="19"/>
      <c r="B86" s="835"/>
      <c r="C86" s="19"/>
      <c r="D86" s="836"/>
      <c r="E86" s="19"/>
      <c r="F86" s="19"/>
      <c r="G86" s="836"/>
    </row>
    <row r="87" spans="1:7">
      <c r="A87" s="19"/>
      <c r="B87" s="835"/>
      <c r="C87" s="19"/>
      <c r="D87" s="836"/>
      <c r="E87" s="19"/>
      <c r="F87" s="19"/>
      <c r="G87" s="836"/>
    </row>
    <row r="88" spans="1:7" ht="13.5" thickBot="1">
      <c r="B88" s="837"/>
      <c r="C88" s="251"/>
      <c r="D88" s="838"/>
      <c r="E88" s="251"/>
      <c r="F88" s="251"/>
      <c r="G88" s="838"/>
    </row>
    <row r="89" spans="1:7" ht="13.5" thickBot="1">
      <c r="B89" s="842" t="s">
        <v>319</v>
      </c>
      <c r="C89" s="843"/>
      <c r="D89" s="844"/>
      <c r="E89" s="842" t="s">
        <v>320</v>
      </c>
      <c r="F89" s="843"/>
      <c r="G89" s="844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I51" sqref="I51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1" t="s">
        <v>230</v>
      </c>
      <c r="B1" s="952"/>
      <c r="C1" s="952"/>
      <c r="D1" s="952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57"/>
      <c r="C76" s="958"/>
      <c r="D76" s="958"/>
      <c r="E76" s="959"/>
      <c r="H76" s="957"/>
      <c r="I76" s="958"/>
      <c r="J76" s="958"/>
      <c r="K76" s="958"/>
      <c r="L76" s="959"/>
    </row>
    <row r="77" spans="1:12">
      <c r="B77" s="960"/>
      <c r="C77" s="961"/>
      <c r="D77" s="961"/>
      <c r="E77" s="962"/>
      <c r="H77" s="960"/>
      <c r="I77" s="961"/>
      <c r="J77" s="961"/>
      <c r="K77" s="961"/>
      <c r="L77" s="962"/>
    </row>
    <row r="78" spans="1:12">
      <c r="B78" s="960"/>
      <c r="C78" s="961"/>
      <c r="D78" s="961"/>
      <c r="E78" s="962"/>
      <c r="H78" s="960"/>
      <c r="I78" s="961"/>
      <c r="J78" s="961"/>
      <c r="K78" s="961"/>
      <c r="L78" s="962"/>
    </row>
    <row r="79" spans="1:12">
      <c r="B79" s="960"/>
      <c r="C79" s="961"/>
      <c r="D79" s="961"/>
      <c r="E79" s="962"/>
      <c r="H79" s="960"/>
      <c r="I79" s="961"/>
      <c r="J79" s="961"/>
      <c r="K79" s="961"/>
      <c r="L79" s="962"/>
    </row>
    <row r="80" spans="1:12">
      <c r="B80" s="960"/>
      <c r="C80" s="961"/>
      <c r="D80" s="961"/>
      <c r="E80" s="962"/>
      <c r="H80" s="960"/>
      <c r="I80" s="961"/>
      <c r="J80" s="961"/>
      <c r="K80" s="961"/>
      <c r="L80" s="962"/>
    </row>
    <row r="81" spans="2:12">
      <c r="B81" s="960"/>
      <c r="C81" s="961"/>
      <c r="D81" s="961"/>
      <c r="E81" s="962"/>
      <c r="H81" s="960"/>
      <c r="I81" s="961"/>
      <c r="J81" s="961"/>
      <c r="K81" s="961"/>
      <c r="L81" s="962"/>
    </row>
    <row r="82" spans="2:12">
      <c r="B82" s="960"/>
      <c r="C82" s="961"/>
      <c r="D82" s="961"/>
      <c r="E82" s="962"/>
      <c r="H82" s="960"/>
      <c r="I82" s="961"/>
      <c r="J82" s="961"/>
      <c r="K82" s="961"/>
      <c r="L82" s="962"/>
    </row>
    <row r="83" spans="2:12">
      <c r="B83" s="960"/>
      <c r="C83" s="961"/>
      <c r="D83" s="961"/>
      <c r="E83" s="962"/>
      <c r="H83" s="960"/>
      <c r="I83" s="961"/>
      <c r="J83" s="961"/>
      <c r="K83" s="961"/>
      <c r="L83" s="962"/>
    </row>
    <row r="84" spans="2:12">
      <c r="B84" s="960"/>
      <c r="C84" s="961"/>
      <c r="D84" s="961"/>
      <c r="E84" s="962"/>
      <c r="H84" s="960"/>
      <c r="I84" s="961"/>
      <c r="J84" s="961"/>
      <c r="K84" s="961"/>
      <c r="L84" s="962"/>
    </row>
    <row r="85" spans="2:12">
      <c r="B85" s="960"/>
      <c r="C85" s="961"/>
      <c r="D85" s="961"/>
      <c r="E85" s="962"/>
      <c r="H85" s="960"/>
      <c r="I85" s="961"/>
      <c r="J85" s="961"/>
      <c r="K85" s="961"/>
      <c r="L85" s="962"/>
    </row>
    <row r="86" spans="2:12">
      <c r="B86" s="960"/>
      <c r="C86" s="961"/>
      <c r="D86" s="961"/>
      <c r="E86" s="962"/>
      <c r="H86" s="960"/>
      <c r="I86" s="961"/>
      <c r="J86" s="961"/>
      <c r="K86" s="961"/>
      <c r="L86" s="962"/>
    </row>
    <row r="87" spans="2:12">
      <c r="B87" s="960"/>
      <c r="C87" s="961"/>
      <c r="D87" s="961"/>
      <c r="E87" s="962"/>
      <c r="H87" s="960"/>
      <c r="I87" s="961"/>
      <c r="J87" s="961"/>
      <c r="K87" s="961"/>
      <c r="L87" s="962"/>
    </row>
    <row r="88" spans="2:12">
      <c r="B88" s="960"/>
      <c r="C88" s="961"/>
      <c r="D88" s="961"/>
      <c r="E88" s="962"/>
      <c r="H88" s="960"/>
      <c r="I88" s="961"/>
      <c r="J88" s="961"/>
      <c r="K88" s="961"/>
      <c r="L88" s="962"/>
    </row>
    <row r="89" spans="2:12">
      <c r="B89" s="960"/>
      <c r="C89" s="961"/>
      <c r="D89" s="961"/>
      <c r="E89" s="962"/>
      <c r="H89" s="960"/>
      <c r="I89" s="961"/>
      <c r="J89" s="961"/>
      <c r="K89" s="961"/>
      <c r="L89" s="962"/>
    </row>
    <row r="90" spans="2:12" ht="13.5" thickBot="1">
      <c r="B90" s="963"/>
      <c r="C90" s="964"/>
      <c r="D90" s="964"/>
      <c r="E90" s="965"/>
      <c r="H90" s="963"/>
      <c r="I90" s="964"/>
      <c r="J90" s="964"/>
      <c r="K90" s="964"/>
      <c r="L90" s="965"/>
    </row>
    <row r="91" spans="2:12">
      <c r="B91" s="966" t="s">
        <v>312</v>
      </c>
      <c r="C91" s="967"/>
      <c r="D91" s="967"/>
      <c r="E91" s="968"/>
      <c r="H91" s="966" t="s">
        <v>313</v>
      </c>
      <c r="I91" s="967"/>
      <c r="J91" s="967"/>
      <c r="K91" s="967"/>
      <c r="L91" s="968"/>
    </row>
    <row r="92" spans="2:12">
      <c r="B92" s="969"/>
      <c r="C92" s="970"/>
      <c r="D92" s="970"/>
      <c r="E92" s="971"/>
      <c r="H92" s="969"/>
      <c r="I92" s="970"/>
      <c r="J92" s="970"/>
      <c r="K92" s="970"/>
      <c r="L92" s="971"/>
    </row>
    <row r="93" spans="2:12" ht="13.5" thickBot="1">
      <c r="B93" s="972"/>
      <c r="C93" s="973"/>
      <c r="D93" s="973"/>
      <c r="E93" s="974"/>
      <c r="H93" s="972"/>
      <c r="I93" s="973"/>
      <c r="J93" s="973"/>
      <c r="K93" s="973"/>
      <c r="L93" s="974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5" t="s">
        <v>254</v>
      </c>
      <c r="B1" s="975"/>
      <c r="C1" s="975"/>
      <c r="D1" s="975"/>
      <c r="E1" s="975"/>
      <c r="F1" s="975"/>
      <c r="G1" s="975"/>
      <c r="H1" s="975"/>
      <c r="I1" s="975"/>
      <c r="J1" s="975"/>
    </row>
    <row r="2" spans="1:10" ht="19.5" thickBot="1">
      <c r="A2" s="984">
        <f>A5</f>
        <v>44256</v>
      </c>
      <c r="B2" s="985"/>
      <c r="C2" s="985"/>
      <c r="D2" s="985"/>
      <c r="E2" s="985"/>
      <c r="F2" s="985"/>
      <c r="G2" s="985"/>
      <c r="H2" s="985"/>
      <c r="I2" s="985"/>
      <c r="J2" s="985"/>
    </row>
    <row r="3" spans="1:10" ht="15.75" thickBot="1">
      <c r="A3" s="976" t="s">
        <v>7</v>
      </c>
      <c r="B3" s="978" t="s">
        <v>255</v>
      </c>
      <c r="C3" s="440"/>
      <c r="D3" s="980" t="s">
        <v>256</v>
      </c>
      <c r="E3" s="981"/>
      <c r="F3" s="982" t="s">
        <v>257</v>
      </c>
      <c r="G3" s="983"/>
      <c r="H3" s="981"/>
      <c r="I3" s="982" t="s">
        <v>258</v>
      </c>
      <c r="J3" s="981"/>
    </row>
    <row r="4" spans="1:10" ht="30.75" thickBot="1">
      <c r="A4" s="977"/>
      <c r="B4" s="979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0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0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0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0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38487.83</v>
      </c>
      <c r="F10" s="396" t="str">
        <f>'Water-Meter'!E11</f>
        <v>0</v>
      </c>
      <c r="G10" s="397">
        <f>'Water-Meter'!AN11</f>
        <v>0</v>
      </c>
      <c r="H10" s="395">
        <f>'Utility report '!AC11</f>
        <v>-47654</v>
      </c>
      <c r="I10" s="394">
        <f>'Kit report'!F9</f>
        <v>-1097700</v>
      </c>
      <c r="J10" s="395">
        <f>'Kit report'!X9</f>
        <v>-1606960</v>
      </c>
    </row>
    <row r="11" spans="1:10" ht="17.100000000000001" customHeight="1" thickBot="1">
      <c r="A11" s="217">
        <f>Gen!A17</f>
        <v>44262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38487.83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44263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38487.83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44264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38487.83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44265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38487.83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44266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38487.83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44267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38487.83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44268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38487.83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44269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38487.83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44270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38487.83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44271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38487.83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44272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38487.83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38487.83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38487.83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38487.83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38487.83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38487.83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38487.83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38487.83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38487.83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38487.83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38487.83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38487.83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38487.83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38487.83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38487.83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38487.83</v>
      </c>
      <c r="F36" s="396">
        <f>'Water-Meter'!E37</f>
        <v>0</v>
      </c>
      <c r="G36" s="397">
        <f>'Water-Meter'!AN37</f>
        <v>338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2021-03-06T13:52:14Z</dcterms:modified>
</cp:coreProperties>
</file>