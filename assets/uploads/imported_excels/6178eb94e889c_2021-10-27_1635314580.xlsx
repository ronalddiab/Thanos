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279" documentId="13_ncr:1_{76C55D63-F869-4AF5-AAA3-3D809A91432B}" xr6:coauthVersionLast="47" xr6:coauthVersionMax="47" xr10:uidLastSave="{105BDA16-1A83-4513-85A1-C99F36D21699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2" i="27" l="1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G26" i="26" s="1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<sst xmlns="http://schemas.openxmlformats.org/spreadsheetml/2006/main" count="72" uniqueCount="33">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</sst>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2727</v>
      </c>
      <c r="J8" s="98">
        <v>0.1694</v>
      </c>
      <c r="K8" s="11">
        <f>IF('Water, Gas, Diesel'!F13&lt;0,0,'Water, Gas, Diesel'!F13)</f>
        <v>267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3000</v>
      </c>
      <c r="J9" s="98">
        <v>0.1694</v>
      </c>
      <c r="K9" s="11">
        <f>IF('Water, Gas, Diesel'!F14&lt;0,0,'Water, Gas, Diesel'!F14)</f>
        <v>232</v>
      </c>
      <c r="L9" s="98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2727</v>
      </c>
      <c r="J10" s="98">
        <v>0.1694</v>
      </c>
      <c r="K10" s="11">
        <f>IF('Water, Gas, Diesel'!F15&lt;0,0,'Water, Gas, Diesel'!F15)</f>
        <v>232</v>
      </c>
      <c r="L10" s="98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2041</v>
      </c>
      <c r="J11" s="98">
        <v>0.1694</v>
      </c>
      <c r="K11" s="11">
        <f>IF('Water, Gas, Diesel'!F16&lt;0,0,'Water, Gas, Diesel'!F16)</f>
        <v>221</v>
      </c>
      <c r="L11" s="98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18942.500000002838</v>
      </c>
      <c r="F12" s="14">
        <v>0.08</v>
      </c>
      <c r="G12" s="11">
        <f>IF('Water, Gas, Diesel'!K17&lt;0,0,'Water, Gas, Diesel'!K17)</f>
        <v>0</v>
      </c>
      <c r="H12" s="98">
        <v>0.58489999999999998</v>
      </c>
      <c r="I12" s="11">
        <f>IF('Water, Gas, Diesel'!C17&lt;0,0,'Water, Gas, Diesel'!C17)</f>
        <v>1878</v>
      </c>
      <c r="J12" s="98">
        <v>0.1694</v>
      </c>
      <c r="K12" s="11">
        <f>IF('Water, Gas, Diesel'!F17&lt;0,0,'Water, Gas, Diesel'!F17)</f>
        <v>210</v>
      </c>
      <c r="L12" s="98">
        <v>1.6949000000000001</v>
      </c>
      <c r="M12" s="11">
        <f>Electricity!H18</f>
        <v>89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23674.999999998363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2310</v>
      </c>
      <c r="J13" s="98">
        <v>0.1694</v>
      </c>
      <c r="K13" s="11">
        <f>IF('Water, Gas, Diesel'!F18&lt;0,0,'Water, Gas, Diesel'!F18)</f>
        <v>247</v>
      </c>
      <c r="L13" s="98">
        <v>1.6949000000000001</v>
      </c>
      <c r="M13" s="11">
        <f>Electricity!H19</f>
        <v>102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22807.500000003529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3108</v>
      </c>
      <c r="J14" s="98">
        <v>0.1694</v>
      </c>
      <c r="K14" s="11">
        <f>IF('Water, Gas, Diesel'!F19&lt;0,0,'Water, Gas, Diesel'!F19)</f>
        <v>51</v>
      </c>
      <c r="L14" s="98">
        <v>1.6949000000000001</v>
      </c>
      <c r="M14" s="11">
        <f>Electricity!H20</f>
        <v>45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28514.999999993051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2060</v>
      </c>
      <c r="J15" s="98">
        <v>0.1694</v>
      </c>
      <c r="K15" s="11">
        <f>IF('Water, Gas, Diesel'!F20&lt;0,0,'Water, Gas, Diesel'!F20)</f>
        <v>21</v>
      </c>
      <c r="L15" s="98">
        <v>1.6949000000000001</v>
      </c>
      <c r="M15" s="11">
        <f>Electricity!H21</f>
        <v>33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15427.500000000691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2018</v>
      </c>
      <c r="J16" s="98">
        <v>0.1694</v>
      </c>
      <c r="K16" s="11">
        <f>IF('Water, Gas, Diesel'!F21&lt;0,0,'Water, Gas, Diesel'!F21)</f>
        <v>21</v>
      </c>
      <c r="L16" s="98">
        <v>1.6949000000000001</v>
      </c>
      <c r="M16" s="11">
        <f>Electricity!H22</f>
        <v>40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23822.500000001128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2945</v>
      </c>
      <c r="J17" s="98">
        <v>0.1694</v>
      </c>
      <c r="K17" s="11">
        <f>IF('Water, Gas, Diesel'!F22&lt;0,0,'Water, Gas, Diesel'!F22)</f>
        <v>78</v>
      </c>
      <c r="L17" s="98">
        <v>1.6949000000000001</v>
      </c>
      <c r="M17" s="11">
        <f>Electricity!H23</f>
        <v>62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18817.500000000109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1858</v>
      </c>
      <c r="J18" s="98">
        <v>0.1694</v>
      </c>
      <c r="K18" s="11">
        <f>IF('Water, Gas, Diesel'!F23&lt;0,0,'Water, Gas, Diesel'!F23)</f>
        <v>226</v>
      </c>
      <c r="L18" s="98">
        <v>1.6949000000000001</v>
      </c>
      <c r="M18" s="11">
        <f>Electricity!H24</f>
        <v>91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33377.500000001419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2373</v>
      </c>
      <c r="J19" s="98">
        <v>0.1694</v>
      </c>
      <c r="K19" s="11">
        <f>IF('Water, Gas, Diesel'!F24&lt;0,0,'Water, Gas, Diesel'!F24)</f>
        <v>314</v>
      </c>
      <c r="L19" s="98">
        <v>1.6949000000000001</v>
      </c>
      <c r="M19" s="11">
        <f>Electricity!H25</f>
        <v>108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11112.499999999272</v>
      </c>
      <c r="F20" s="14">
        <v>0.08</v>
      </c>
      <c r="G20" s="11">
        <f>IF('Water, Gas, Diesel'!K25&lt;0,0,'Water, Gas, Diesel'!K25)</f>
        <v>120</v>
      </c>
      <c r="H20" s="98">
        <v>0.58489999999999998</v>
      </c>
      <c r="I20" s="11">
        <f>IF('Water, Gas, Diesel'!C25&lt;0,0,'Water, Gas, Diesel'!C25)</f>
        <v>2447</v>
      </c>
      <c r="J20" s="98">
        <v>0.1694</v>
      </c>
      <c r="K20" s="11">
        <f>IF('Water, Gas, Diesel'!F25&lt;0,0,'Water, Gas, Diesel'!F25)</f>
        <v>310</v>
      </c>
      <c r="L20" s="98">
        <v>1.6949000000000001</v>
      </c>
      <c r="M20" s="11">
        <f>Electricity!H26</f>
        <v>111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18452.500000003056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2408</v>
      </c>
      <c r="J21" s="98">
        <v>0.1694</v>
      </c>
      <c r="K21" s="11">
        <f>IF('Water, Gas, Diesel'!F26&lt;0,0,'Water, Gas, Diesel'!F26)</f>
        <v>249</v>
      </c>
      <c r="L21" s="98">
        <v>1.6949000000000001</v>
      </c>
      <c r="M21" s="11">
        <f>Electricity!H27</f>
        <v>108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19357.499999996435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2333</v>
      </c>
      <c r="J22" s="98">
        <v>0.1694</v>
      </c>
      <c r="K22" s="11">
        <f>IF('Water, Gas, Diesel'!F27&lt;0,0,'Water, Gas, Diesel'!F27)</f>
        <v>269</v>
      </c>
      <c r="L22" s="98">
        <v>1.6949000000000001</v>
      </c>
      <c r="M22" s="11">
        <f>Electricity!H28</f>
        <v>106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19027.500000001965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2413</v>
      </c>
      <c r="J23" s="98">
        <v>0.1694</v>
      </c>
      <c r="K23" s="11">
        <f>IF('Water, Gas, Diesel'!F28&lt;0,0,'Water, Gas, Diesel'!F28)</f>
        <v>263</v>
      </c>
      <c r="L23" s="98">
        <v>1.6949000000000001</v>
      </c>
      <c r="M23" s="11">
        <f>Electricity!H29</f>
        <v>77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17119.999999995343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2115</v>
      </c>
      <c r="J24" s="98">
        <v>0.1694</v>
      </c>
      <c r="K24" s="11">
        <f>IF('Water, Gas, Diesel'!F29&lt;0,0,'Water, Gas, Diesel'!F29)</f>
        <v>254</v>
      </c>
      <c r="L24" s="98">
        <v>1.6949000000000001</v>
      </c>
      <c r="M24" s="11">
        <f>Electricity!H30</f>
        <v>118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16462.500000002365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2300</v>
      </c>
      <c r="J25" s="98">
        <v>0.1694</v>
      </c>
      <c r="K25" s="11">
        <f>IF('Water, Gas, Diesel'!F30&lt;0,0,'Water, Gas, Diesel'!F30)</f>
        <v>205</v>
      </c>
      <c r="L25" s="98">
        <v>1.6949000000000001</v>
      </c>
      <c r="M25" s="11">
        <f>Electricity!H31</f>
        <v>49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18659.999999999854</v>
      </c>
      <c r="F26" s="14">
        <v>0.08</v>
      </c>
      <c r="G26" s="11">
        <f>IF('Water, Gas, Diesel'!K31&lt;0,0,'Water, Gas, Diesel'!K31)</f>
        <v>120</v>
      </c>
      <c r="H26" s="98">
        <v>0.58489999999999998</v>
      </c>
      <c r="I26" s="11">
        <f>IF('Water, Gas, Diesel'!C31&lt;0,0,'Water, Gas, Diesel'!C31)</f>
        <v>2527</v>
      </c>
      <c r="J26" s="98">
        <v>0.1694</v>
      </c>
      <c r="K26" s="11">
        <f>IF('Water, Gas, Diesel'!F31&lt;0,0,'Water, Gas, Diesel'!F31)</f>
        <v>212</v>
      </c>
      <c r="L26" s="98">
        <v>1.6949000000000001</v>
      </c>
      <c r="M26" s="11">
        <f>Electricity!H32</f>
        <v>77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13400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100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0" activePane="bottomLeft" state="frozen"/>
      <selection pane="bottomLeft" activeCell="L34" sqref="L34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8">
        <v>51416.46</v>
      </c>
      <c r="C1" s="129"/>
      <c r="D1" s="129"/>
      <c r="E1" s="129"/>
      <c r="F1" s="129"/>
      <c r="G1" s="129"/>
      <c r="H1" s="130"/>
    </row>
    <row r="2" spans="1:8" ht="15.75" customHeight="1">
      <c r="A2" s="133" t="s">
        <v>15</v>
      </c>
      <c r="B2" s="136" t="s">
        <v>16</v>
      </c>
      <c r="C2" s="137"/>
      <c r="D2" s="137"/>
      <c r="E2" s="138"/>
      <c r="F2" s="139" t="s">
        <v>17</v>
      </c>
      <c r="G2" s="131" t="s">
        <v>18</v>
      </c>
      <c r="H2" s="131" t="s">
        <v>19</v>
      </c>
    </row>
    <row r="3" spans="1:8">
      <c r="A3" s="134"/>
      <c r="B3" s="141" t="s">
        <v>20</v>
      </c>
      <c r="C3" s="142"/>
      <c r="D3" s="141" t="s">
        <v>21</v>
      </c>
      <c r="E3" s="142"/>
      <c r="F3" s="139"/>
      <c r="G3" s="131"/>
      <c r="H3" s="131"/>
    </row>
    <row r="4" spans="1:8">
      <c r="A4" s="134"/>
      <c r="B4" s="143"/>
      <c r="C4" s="144"/>
      <c r="D4" s="143"/>
      <c r="E4" s="144"/>
      <c r="F4" s="139"/>
      <c r="G4" s="131"/>
      <c r="H4" s="131"/>
    </row>
    <row r="5" spans="1:8" ht="15.75" thickBot="1">
      <c r="A5" s="135"/>
      <c r="B5" s="17" t="s">
        <v>22</v>
      </c>
      <c r="C5" s="74" t="s">
        <v>23</v>
      </c>
      <c r="D5" s="75" t="s">
        <v>22</v>
      </c>
      <c r="E5" s="74" t="s">
        <v>23</v>
      </c>
      <c r="F5" s="140"/>
      <c r="G5" s="132"/>
      <c r="H5" s="132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7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8352.5000000008731</v>
      </c>
      <c r="D17" s="92">
        <v>14688.9</v>
      </c>
      <c r="E17" s="41">
        <f t="shared" si="1"/>
        <v>11320.000000000618</v>
      </c>
      <c r="F17" s="49">
        <f t="shared" si="2"/>
        <v>19672.500000001492</v>
      </c>
      <c r="G17" s="87">
        <f t="shared" si="3"/>
        <v>1573.8000000001193</v>
      </c>
      <c r="H17" s="87">
        <v>116</v>
      </c>
    </row>
    <row r="18" spans="1:8" ht="30.95" customHeight="1">
      <c r="A18" s="42">
        <v>11</v>
      </c>
      <c r="B18" s="89">
        <v>14480.294</v>
      </c>
      <c r="C18" s="84">
        <f t="shared" si="0"/>
        <v>7727.5000000008731</v>
      </c>
      <c r="D18" s="93">
        <v>14693.428</v>
      </c>
      <c r="E18" s="84">
        <f t="shared" si="1"/>
        <v>11215.000000001965</v>
      </c>
      <c r="F18" s="53">
        <f t="shared" si="2"/>
        <v>18942.500000002838</v>
      </c>
      <c r="G18" s="87">
        <f t="shared" si="3"/>
        <v>1515.400000000227</v>
      </c>
      <c r="H18" s="87">
        <v>89</v>
      </c>
    </row>
    <row r="19" spans="1:8" ht="30.95" customHeight="1">
      <c r="A19" s="47">
        <v>12</v>
      </c>
      <c r="B19" s="91">
        <v>14483.385</v>
      </c>
      <c r="C19" s="41">
        <f t="shared" si="0"/>
        <v>9299.9999999983629</v>
      </c>
      <c r="D19" s="92">
        <v>14697.914000000001</v>
      </c>
      <c r="E19" s="41">
        <f t="shared" si="1"/>
        <v>14375</v>
      </c>
      <c r="F19" s="49">
        <f t="shared" si="2"/>
        <v>23674.999999998363</v>
      </c>
      <c r="G19" s="87">
        <f t="shared" si="3"/>
        <v>1893.999999999869</v>
      </c>
      <c r="H19" s="87">
        <v>102</v>
      </c>
    </row>
    <row r="20" spans="1:8" ht="30.95" customHeight="1">
      <c r="A20" s="42">
        <v>13</v>
      </c>
      <c r="B20" s="89">
        <v>14487.105</v>
      </c>
      <c r="C20" s="84">
        <f t="shared" si="0"/>
        <v>8832.500000003165</v>
      </c>
      <c r="D20" s="96">
        <v>14703.664000000001</v>
      </c>
      <c r="E20" s="84">
        <f t="shared" si="1"/>
        <v>13975.000000000364</v>
      </c>
      <c r="F20" s="53">
        <f t="shared" si="2"/>
        <v>22807.500000003529</v>
      </c>
      <c r="G20" s="87">
        <f t="shared" si="3"/>
        <v>1824.6000000002823</v>
      </c>
      <c r="H20" s="87">
        <v>45</v>
      </c>
    </row>
    <row r="21" spans="1:8" ht="30.95" customHeight="1">
      <c r="A21" s="47">
        <v>14</v>
      </c>
      <c r="B21" s="89">
        <v>14490.638000000001</v>
      </c>
      <c r="C21" s="41">
        <f t="shared" si="0"/>
        <v>8667.499999996835</v>
      </c>
      <c r="D21" s="93">
        <v>14709.254000000001</v>
      </c>
      <c r="E21" s="41">
        <f t="shared" si="1"/>
        <v>19847.499999996217</v>
      </c>
      <c r="F21" s="49">
        <f t="shared" si="2"/>
        <v>28514.999999993051</v>
      </c>
      <c r="G21" s="87">
        <f t="shared" si="3"/>
        <v>2281.1999999994441</v>
      </c>
      <c r="H21" s="87">
        <v>33</v>
      </c>
    </row>
    <row r="22" spans="1:8" ht="30.95" customHeight="1">
      <c r="A22" s="42">
        <v>15</v>
      </c>
      <c r="B22" s="89">
        <v>14494.105</v>
      </c>
      <c r="C22" s="84">
        <f t="shared" si="0"/>
        <v>8842.5000000006548</v>
      </c>
      <c r="D22" s="69">
        <v>14717.192999999999</v>
      </c>
      <c r="E22" s="84">
        <f t="shared" si="1"/>
        <v>6585.0000000000364</v>
      </c>
      <c r="F22" s="53">
        <f t="shared" si="2"/>
        <v>15427.500000000691</v>
      </c>
      <c r="G22" s="87">
        <f t="shared" si="3"/>
        <v>1234.2000000000553</v>
      </c>
      <c r="H22" s="87">
        <v>40</v>
      </c>
    </row>
    <row r="23" spans="1:8" ht="30.95" customHeight="1">
      <c r="A23" s="47">
        <v>16</v>
      </c>
      <c r="B23" s="100">
        <v>14497.642</v>
      </c>
      <c r="C23" s="41">
        <f t="shared" si="0"/>
        <v>9532.5000000002547</v>
      </c>
      <c r="D23" s="101">
        <v>14719.826999999999</v>
      </c>
      <c r="E23" s="41">
        <f t="shared" si="1"/>
        <v>14290.000000000873</v>
      </c>
      <c r="F23" s="49">
        <f t="shared" si="2"/>
        <v>23822.500000001128</v>
      </c>
      <c r="G23" s="87">
        <f t="shared" si="3"/>
        <v>1905.8000000000902</v>
      </c>
      <c r="H23" s="87">
        <v>62</v>
      </c>
    </row>
    <row r="24" spans="1:8" ht="30.95" customHeight="1">
      <c r="A24" s="42">
        <v>17</v>
      </c>
      <c r="B24" s="102">
        <v>14501.455</v>
      </c>
      <c r="C24" s="84">
        <f t="shared" si="0"/>
        <v>8072.4999999983993</v>
      </c>
      <c r="D24" s="92">
        <v>14725.543</v>
      </c>
      <c r="E24" s="84">
        <f t="shared" si="1"/>
        <v>10745.00000000171</v>
      </c>
      <c r="F24" s="53">
        <f t="shared" si="2"/>
        <v>18817.500000000109</v>
      </c>
      <c r="G24" s="87">
        <f t="shared" si="3"/>
        <v>1505.4000000000087</v>
      </c>
      <c r="H24" s="87">
        <v>91</v>
      </c>
    </row>
    <row r="25" spans="1:8" ht="30.95" customHeight="1">
      <c r="A25" s="47">
        <v>18</v>
      </c>
      <c r="B25" s="89">
        <v>14504.683999999999</v>
      </c>
      <c r="C25" s="41">
        <f>(B26-B25)*2500</f>
        <v>9432.5000000026193</v>
      </c>
      <c r="D25" s="93">
        <v>14729.841</v>
      </c>
      <c r="E25" s="41">
        <f>(D26-D25)*2500</f>
        <v>23944.999999998799</v>
      </c>
      <c r="F25" s="49">
        <f t="shared" si="2"/>
        <v>33377.500000001419</v>
      </c>
      <c r="G25" s="87">
        <f t="shared" si="3"/>
        <v>2670.2000000001135</v>
      </c>
      <c r="H25" s="87">
        <v>108</v>
      </c>
    </row>
    <row r="26" spans="1:8" ht="30.95" customHeight="1">
      <c r="A26" s="42">
        <v>19</v>
      </c>
      <c r="B26" s="91">
        <v>14508.457</v>
      </c>
      <c r="C26" s="84">
        <f t="shared" ref="C26:C38" si="4">(B27-B26)*2500</f>
        <v>8769.9999999995271</v>
      </c>
      <c r="D26" s="92">
        <v>14739.419</v>
      </c>
      <c r="E26" s="84">
        <f t="shared" ref="E26:E38" si="5">(D27-D26)*2500</f>
        <v>2342.4999999997453</v>
      </c>
      <c r="F26" s="49">
        <f t="shared" si="2"/>
        <v>11112.499999999272</v>
      </c>
      <c r="G26" s="87">
        <f t="shared" si="3"/>
        <v>888.99999999994179</v>
      </c>
      <c r="H26" s="87">
        <v>111</v>
      </c>
    </row>
    <row r="27" spans="1:8" ht="30.95" customHeight="1">
      <c r="A27" s="47">
        <v>20</v>
      </c>
      <c r="B27" s="89">
        <v>14511.965</v>
      </c>
      <c r="C27" s="41">
        <f t="shared" si="4"/>
        <v>8242.5000000012005</v>
      </c>
      <c r="D27" s="96">
        <v>14740.356</v>
      </c>
      <c r="E27" s="41">
        <f t="shared" si="5"/>
        <v>10210.000000001855</v>
      </c>
      <c r="F27" s="53">
        <f t="shared" si="2"/>
        <v>18452.500000003056</v>
      </c>
      <c r="G27" s="87">
        <f t="shared" si="3"/>
        <v>1476.2000000002445</v>
      </c>
      <c r="H27" s="87">
        <v>108</v>
      </c>
    </row>
    <row r="28" spans="1:8" ht="30.95" customHeight="1">
      <c r="A28" s="42">
        <v>21</v>
      </c>
      <c r="B28" s="91">
        <v>14515.262000000001</v>
      </c>
      <c r="C28" s="84">
        <f t="shared" si="4"/>
        <v>8402.499999997417</v>
      </c>
      <c r="D28" s="92">
        <v>14744.44</v>
      </c>
      <c r="E28" s="84">
        <f t="shared" si="5"/>
        <v>10954.999999999018</v>
      </c>
      <c r="F28" s="49">
        <f t="shared" si="2"/>
        <v>19357.499999996435</v>
      </c>
      <c r="G28" s="87">
        <f t="shared" si="3"/>
        <v>1548.5999999997148</v>
      </c>
      <c r="H28" s="87">
        <v>106</v>
      </c>
    </row>
    <row r="29" spans="1:8" ht="30.95" customHeight="1">
      <c r="A29" s="47">
        <v>22</v>
      </c>
      <c r="B29" s="89">
        <v>14518.623</v>
      </c>
      <c r="C29" s="41">
        <f t="shared" si="4"/>
        <v>8185.0000000031287</v>
      </c>
      <c r="D29" s="93">
        <v>14748.822</v>
      </c>
      <c r="E29" s="41">
        <f t="shared" si="5"/>
        <v>10842.499999998836</v>
      </c>
      <c r="F29" s="53">
        <f t="shared" si="2"/>
        <v>19027.500000001965</v>
      </c>
      <c r="G29" s="87">
        <f t="shared" si="3"/>
        <v>1522.2000000001572</v>
      </c>
      <c r="H29" s="87">
        <v>77</v>
      </c>
    </row>
    <row r="30" spans="1:8" ht="30.95" customHeight="1">
      <c r="A30" s="42">
        <v>23</v>
      </c>
      <c r="B30" s="91">
        <v>14521.897000000001</v>
      </c>
      <c r="C30" s="84">
        <f t="shared" si="4"/>
        <v>7859.9999999960346</v>
      </c>
      <c r="D30" s="92">
        <v>14753.159</v>
      </c>
      <c r="E30" s="84">
        <f t="shared" si="5"/>
        <v>9259.9999999993088</v>
      </c>
      <c r="F30" s="49">
        <f t="shared" si="2"/>
        <v>17119.999999995343</v>
      </c>
      <c r="G30" s="87">
        <f t="shared" si="3"/>
        <v>1369.5999999996275</v>
      </c>
      <c r="H30" s="87">
        <v>118</v>
      </c>
    </row>
    <row r="31" spans="1:8" ht="30.95" customHeight="1">
      <c r="A31" s="47">
        <v>24</v>
      </c>
      <c r="B31" s="89">
        <v>14525.040999999999</v>
      </c>
      <c r="C31" s="41">
        <f t="shared" si="4"/>
        <v>7322.5000000002183</v>
      </c>
      <c r="D31" s="93">
        <v>14756.862999999999</v>
      </c>
      <c r="E31" s="41">
        <f t="shared" si="5"/>
        <v>9140.0000000021464</v>
      </c>
      <c r="F31" s="53">
        <f t="shared" si="2"/>
        <v>16462.500000002365</v>
      </c>
      <c r="G31" s="87">
        <f t="shared" si="3"/>
        <v>1317.0000000001892</v>
      </c>
      <c r="H31" s="87">
        <v>49</v>
      </c>
    </row>
    <row r="32" spans="1:8" ht="30.95" customHeight="1">
      <c r="A32" s="42">
        <v>25</v>
      </c>
      <c r="B32" s="91">
        <v>14527.97</v>
      </c>
      <c r="C32" s="84">
        <f t="shared" si="4"/>
        <v>8400.0000000014552</v>
      </c>
      <c r="D32" s="92">
        <v>14760.519</v>
      </c>
      <c r="E32" s="84">
        <f t="shared" si="5"/>
        <v>10259.999999998399</v>
      </c>
      <c r="F32" s="49">
        <f t="shared" si="2"/>
        <v>18659.999999999854</v>
      </c>
      <c r="G32" s="87">
        <f t="shared" si="3"/>
        <v>1492.7999999999884</v>
      </c>
      <c r="H32" s="87">
        <v>77</v>
      </c>
    </row>
    <row r="33" spans="1:8" ht="30.95" customHeight="1">
      <c r="A33" s="47">
        <v>26</v>
      </c>
      <c r="B33" s="89">
        <v>14531.33</v>
      </c>
      <c r="C33" s="41">
        <f t="shared" si="4"/>
        <v>-36328325</v>
      </c>
      <c r="D33" s="93">
        <v>14764.623</v>
      </c>
      <c r="E33" s="41">
        <f t="shared" si="5"/>
        <v>-36911557.5</v>
      </c>
      <c r="F33" s="53">
        <f t="shared" si="2"/>
        <v>-73239882.5</v>
      </c>
      <c r="G33" s="87">
        <f t="shared" si="3"/>
        <v>-5859190.6000000006</v>
      </c>
      <c r="H33" s="87">
        <v>100</v>
      </c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0">
        <v>30</v>
      </c>
      <c r="B37" s="111"/>
      <c r="C37" s="112">
        <f t="shared" si="4"/>
        <v>0</v>
      </c>
      <c r="D37" s="113"/>
      <c r="E37" s="112">
        <f t="shared" si="5"/>
        <v>0</v>
      </c>
      <c r="F37" s="114">
        <f t="shared" si="2"/>
        <v>0</v>
      </c>
      <c r="G37" s="115">
        <f t="shared" si="3"/>
        <v>0</v>
      </c>
      <c r="H37" s="115"/>
    </row>
    <row r="38" spans="1:8" ht="30.95" customHeight="1">
      <c r="A38" s="104">
        <v>31</v>
      </c>
      <c r="B38" s="104"/>
      <c r="C38" s="116">
        <f t="shared" si="4"/>
        <v>0</v>
      </c>
      <c r="D38" s="117"/>
      <c r="E38" s="116">
        <f t="shared" si="5"/>
        <v>0</v>
      </c>
      <c r="F38" s="118">
        <f t="shared" si="2"/>
        <v>0</v>
      </c>
      <c r="G38" s="109">
        <f t="shared" si="3"/>
        <v>0</v>
      </c>
      <c r="H38" s="109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28" activePane="bottomLeft" state="frozen"/>
      <selection pane="bottomLeft" activeCell="J33" sqref="J33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5" t="s">
        <v>14</v>
      </c>
      <c r="B1" s="141" t="s">
        <v>24</v>
      </c>
      <c r="C1" s="148"/>
      <c r="D1" s="142"/>
      <c r="E1" s="141" t="s">
        <v>25</v>
      </c>
      <c r="F1" s="148"/>
      <c r="G1" s="148"/>
      <c r="H1" s="148"/>
      <c r="I1" s="142"/>
      <c r="J1" s="141" t="s">
        <v>26</v>
      </c>
      <c r="K1" s="148"/>
      <c r="L1" s="142"/>
    </row>
    <row r="2" spans="1:12">
      <c r="A2" s="146"/>
      <c r="B2" s="149"/>
      <c r="C2" s="150"/>
      <c r="D2" s="151"/>
      <c r="E2" s="143"/>
      <c r="F2" s="152"/>
      <c r="G2" s="152"/>
      <c r="H2" s="152"/>
      <c r="I2" s="144"/>
      <c r="J2" s="143"/>
      <c r="K2" s="152"/>
      <c r="L2" s="144"/>
    </row>
    <row r="3" spans="1:12" ht="27" customHeight="1">
      <c r="A3" s="147"/>
      <c r="B3" s="153">
        <v>9815.74</v>
      </c>
      <c r="C3" s="154"/>
      <c r="D3" s="155"/>
      <c r="E3" s="153">
        <v>8313.39</v>
      </c>
      <c r="F3" s="154"/>
      <c r="G3" s="154"/>
      <c r="H3" s="154"/>
      <c r="I3" s="155"/>
      <c r="J3" s="153">
        <v>7224.83</v>
      </c>
      <c r="K3" s="154"/>
      <c r="L3" s="155"/>
    </row>
    <row r="4" spans="1:12" ht="59.25" customHeight="1">
      <c r="A4" s="109" t="s">
        <v>15</v>
      </c>
      <c r="B4" s="17" t="s">
        <v>22</v>
      </c>
      <c r="C4" s="18" t="s">
        <v>27</v>
      </c>
      <c r="D4" s="19" t="s">
        <v>28</v>
      </c>
      <c r="E4" s="106" t="s">
        <v>22</v>
      </c>
      <c r="F4" s="20" t="s">
        <v>23</v>
      </c>
      <c r="G4" s="21" t="s">
        <v>29</v>
      </c>
      <c r="H4" s="21" t="s">
        <v>30</v>
      </c>
      <c r="I4" s="105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7">
        <v>31</v>
      </c>
      <c r="B6" s="107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8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7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>
        <f>7060+6570</f>
        <v>13630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232</v>
      </c>
      <c r="G15" s="50">
        <f t="shared" si="5"/>
        <v>196.61071999999999</v>
      </c>
      <c r="H15" s="45">
        <f t="shared" si="6"/>
        <v>196.61071999999999</v>
      </c>
      <c r="I15" s="51">
        <f t="shared" si="2"/>
        <v>393.22143999999997</v>
      </c>
      <c r="J15" s="52">
        <f>7060+6570</f>
        <v>13630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2041</v>
      </c>
      <c r="D16" s="48">
        <f t="shared" si="7"/>
        <v>345.93221273</v>
      </c>
      <c r="E16" s="49">
        <v>489956</v>
      </c>
      <c r="F16" s="58">
        <f t="shared" si="1"/>
        <v>221</v>
      </c>
      <c r="G16" s="50">
        <f t="shared" si="5"/>
        <v>187.28865999999999</v>
      </c>
      <c r="H16" s="50">
        <f t="shared" si="6"/>
        <v>187.28865999999999</v>
      </c>
      <c r="I16" s="51">
        <f t="shared" si="2"/>
        <v>374.57731999999999</v>
      </c>
      <c r="J16" s="52">
        <f>7060+6570</f>
        <v>13630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6156228</v>
      </c>
      <c r="C17" s="55">
        <f>B18-B17</f>
        <v>1878</v>
      </c>
      <c r="D17" s="48">
        <f t="shared" si="7"/>
        <v>318.30509333999998</v>
      </c>
      <c r="E17" s="49">
        <v>490177</v>
      </c>
      <c r="F17" s="56">
        <f>E18-E17</f>
        <v>210</v>
      </c>
      <c r="G17" s="45">
        <f t="shared" si="5"/>
        <v>177.9666</v>
      </c>
      <c r="H17" s="45">
        <f t="shared" si="6"/>
        <v>177.9666</v>
      </c>
      <c r="I17" s="51">
        <f t="shared" si="2"/>
        <v>355.9332</v>
      </c>
      <c r="J17" s="52">
        <f>7060+6570</f>
        <v>13630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6158106</v>
      </c>
      <c r="C18" s="57">
        <f t="shared" ref="C18:C36" si="8">B19-B18</f>
        <v>2310</v>
      </c>
      <c r="D18" s="48">
        <f t="shared" si="7"/>
        <v>391.52543430000003</v>
      </c>
      <c r="E18" s="49">
        <v>490387</v>
      </c>
      <c r="F18" s="58">
        <f t="shared" ref="F18:F36" si="9">E19-E18</f>
        <v>247</v>
      </c>
      <c r="G18" s="50">
        <f t="shared" si="5"/>
        <v>209.32262</v>
      </c>
      <c r="H18" s="50">
        <f t="shared" si="6"/>
        <v>209.32262</v>
      </c>
      <c r="I18" s="51">
        <f t="shared" si="2"/>
        <v>418.64524</v>
      </c>
      <c r="J18" s="52">
        <f>7060+6570</f>
        <v>13630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6160416</v>
      </c>
      <c r="C19" s="55">
        <f t="shared" si="8"/>
        <v>3108</v>
      </c>
      <c r="D19" s="48">
        <f t="shared" si="7"/>
        <v>526.77967523999996</v>
      </c>
      <c r="E19" s="53">
        <v>490634</v>
      </c>
      <c r="F19" s="56">
        <f t="shared" si="9"/>
        <v>51</v>
      </c>
      <c r="G19" s="45">
        <f t="shared" si="5"/>
        <v>43.220460000000003</v>
      </c>
      <c r="H19" s="45">
        <f t="shared" si="6"/>
        <v>43.220460000000003</v>
      </c>
      <c r="I19" s="51">
        <f t="shared" si="2"/>
        <v>86.440920000000006</v>
      </c>
      <c r="J19" s="52">
        <f>7060+6570</f>
        <v>13630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6163524</v>
      </c>
      <c r="C20" s="57">
        <f t="shared" si="8"/>
        <v>2060</v>
      </c>
      <c r="D20" s="48">
        <f t="shared" si="7"/>
        <v>349.15255180000003</v>
      </c>
      <c r="E20" s="54">
        <v>490685</v>
      </c>
      <c r="F20" s="58">
        <f t="shared" si="9"/>
        <v>21</v>
      </c>
      <c r="G20" s="50">
        <f t="shared" si="5"/>
        <v>17.796659999999999</v>
      </c>
      <c r="H20" s="50">
        <f t="shared" si="6"/>
        <v>17.796659999999999</v>
      </c>
      <c r="I20" s="51">
        <f t="shared" si="2"/>
        <v>35.593319999999999</v>
      </c>
      <c r="J20" s="52">
        <f>7060+6570</f>
        <v>13630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6165584</v>
      </c>
      <c r="C21" s="55">
        <f t="shared" si="8"/>
        <v>2018</v>
      </c>
      <c r="D21" s="48">
        <f t="shared" si="7"/>
        <v>342.03390754000003</v>
      </c>
      <c r="E21" s="53">
        <v>490706</v>
      </c>
      <c r="F21" s="56">
        <f t="shared" si="9"/>
        <v>21</v>
      </c>
      <c r="G21" s="45">
        <f t="shared" si="5"/>
        <v>17.796659999999999</v>
      </c>
      <c r="H21" s="45">
        <f t="shared" si="6"/>
        <v>17.796659999999999</v>
      </c>
      <c r="I21" s="51">
        <f t="shared" si="2"/>
        <v>35.593319999999999</v>
      </c>
      <c r="J21" s="52">
        <f>7060+6570</f>
        <v>13630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>
        <v>6167602</v>
      </c>
      <c r="C22" s="57">
        <f t="shared" si="8"/>
        <v>2945</v>
      </c>
      <c r="D22" s="48">
        <f t="shared" si="7"/>
        <v>499.15255585</v>
      </c>
      <c r="E22" s="103">
        <v>490727</v>
      </c>
      <c r="F22" s="58">
        <f t="shared" si="9"/>
        <v>78</v>
      </c>
      <c r="G22" s="50">
        <f t="shared" si="5"/>
        <v>66.101879999999994</v>
      </c>
      <c r="H22" s="50">
        <f t="shared" si="6"/>
        <v>66.101879999999994</v>
      </c>
      <c r="I22" s="51">
        <f t="shared" si="2"/>
        <v>132.20375999999999</v>
      </c>
      <c r="J22" s="52">
        <f>7060+6570</f>
        <v>13630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6170547</v>
      </c>
      <c r="C23" s="55">
        <f t="shared" si="8"/>
        <v>1858</v>
      </c>
      <c r="D23" s="48">
        <f t="shared" si="7"/>
        <v>314.91526274</v>
      </c>
      <c r="E23" s="54">
        <v>490805</v>
      </c>
      <c r="F23" s="56">
        <f t="shared" si="9"/>
        <v>226</v>
      </c>
      <c r="G23" s="45">
        <f t="shared" si="5"/>
        <v>191.52596</v>
      </c>
      <c r="H23" s="45">
        <f t="shared" si="6"/>
        <v>191.52596</v>
      </c>
      <c r="I23" s="51">
        <f t="shared" si="2"/>
        <v>383.05192</v>
      </c>
      <c r="J23" s="52">
        <f>7060+6570</f>
        <v>13630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6172405</v>
      </c>
      <c r="C24" s="57">
        <f t="shared" si="8"/>
        <v>2373</v>
      </c>
      <c r="D24" s="48">
        <f t="shared" si="7"/>
        <v>402.20340069000002</v>
      </c>
      <c r="E24" s="54">
        <v>491031</v>
      </c>
      <c r="F24" s="58">
        <f t="shared" si="9"/>
        <v>314</v>
      </c>
      <c r="G24" s="50">
        <f t="shared" si="5"/>
        <v>266.10244</v>
      </c>
      <c r="H24" s="50">
        <f t="shared" si="6"/>
        <v>266.10244</v>
      </c>
      <c r="I24" s="51">
        <f t="shared" si="2"/>
        <v>532.20488</v>
      </c>
      <c r="J24" s="52">
        <f>7060+6570</f>
        <v>13630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6174778</v>
      </c>
      <c r="C25" s="55">
        <f t="shared" si="8"/>
        <v>2447</v>
      </c>
      <c r="D25" s="48">
        <f t="shared" si="7"/>
        <v>414.74577391000003</v>
      </c>
      <c r="E25" s="54">
        <v>491345</v>
      </c>
      <c r="F25" s="56">
        <f t="shared" si="9"/>
        <v>310</v>
      </c>
      <c r="G25" s="45">
        <f t="shared" si="5"/>
        <v>262.71260000000001</v>
      </c>
      <c r="H25" s="45">
        <f t="shared" si="6"/>
        <v>262.71260000000001</v>
      </c>
      <c r="I25" s="51">
        <f t="shared" si="2"/>
        <v>525.42520000000002</v>
      </c>
      <c r="J25" s="52">
        <f>7060+6570</f>
        <v>13630</v>
      </c>
      <c r="K25" s="40">
        <f t="shared" si="3"/>
        <v>120</v>
      </c>
      <c r="L25" s="41">
        <f t="shared" si="4"/>
        <v>70.8</v>
      </c>
    </row>
    <row r="26" spans="1:12" ht="32.450000000000003" customHeight="1">
      <c r="A26" s="47">
        <v>20</v>
      </c>
      <c r="B26" s="47">
        <v>6177225</v>
      </c>
      <c r="C26" s="57">
        <f t="shared" si="8"/>
        <v>2408</v>
      </c>
      <c r="D26" s="48">
        <f t="shared" si="7"/>
        <v>408.13560424000002</v>
      </c>
      <c r="E26" s="54">
        <v>491655</v>
      </c>
      <c r="F26" s="58">
        <f t="shared" si="9"/>
        <v>249</v>
      </c>
      <c r="G26" s="50">
        <f t="shared" si="5"/>
        <v>211.01754</v>
      </c>
      <c r="H26" s="50">
        <f t="shared" si="6"/>
        <v>211.01754</v>
      </c>
      <c r="I26" s="51">
        <f t="shared" si="2"/>
        <v>422.03507999999999</v>
      </c>
      <c r="J26" s="52">
        <f>6940+6570</f>
        <v>13510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6179633</v>
      </c>
      <c r="C27" s="55">
        <f t="shared" si="8"/>
        <v>2333</v>
      </c>
      <c r="D27" s="48">
        <f t="shared" si="7"/>
        <v>395.42373949</v>
      </c>
      <c r="E27" s="54">
        <v>491904</v>
      </c>
      <c r="F27" s="56">
        <f t="shared" si="9"/>
        <v>269</v>
      </c>
      <c r="G27" s="45">
        <f t="shared" si="5"/>
        <v>227.96673999999999</v>
      </c>
      <c r="H27" s="45">
        <f t="shared" si="6"/>
        <v>227.96673999999999</v>
      </c>
      <c r="I27" s="51">
        <f t="shared" si="2"/>
        <v>455.93347999999997</v>
      </c>
      <c r="J27" s="52">
        <f>6940+6570</f>
        <v>13510</v>
      </c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>
        <v>6181966</v>
      </c>
      <c r="C28" s="57">
        <f t="shared" si="8"/>
        <v>2413</v>
      </c>
      <c r="D28" s="48">
        <f t="shared" si="7"/>
        <v>408.98306188999999</v>
      </c>
      <c r="E28" s="54">
        <v>492173</v>
      </c>
      <c r="F28" s="58">
        <f t="shared" si="9"/>
        <v>263</v>
      </c>
      <c r="G28" s="50">
        <f t="shared" si="5"/>
        <v>222.88198</v>
      </c>
      <c r="H28" s="50">
        <f t="shared" si="6"/>
        <v>222.88198</v>
      </c>
      <c r="I28" s="51">
        <f t="shared" si="2"/>
        <v>445.76396</v>
      </c>
      <c r="J28" s="52">
        <f>6940+6570</f>
        <v>13510</v>
      </c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>
        <v>6184379</v>
      </c>
      <c r="C29" s="55">
        <f t="shared" si="8"/>
        <v>2115</v>
      </c>
      <c r="D29" s="48">
        <f t="shared" si="7"/>
        <v>358.47458595000001</v>
      </c>
      <c r="E29" s="54">
        <v>492436</v>
      </c>
      <c r="F29" s="56">
        <f t="shared" si="9"/>
        <v>254</v>
      </c>
      <c r="G29" s="45">
        <f t="shared" si="5"/>
        <v>215.25484</v>
      </c>
      <c r="H29" s="45">
        <f t="shared" si="6"/>
        <v>215.25484</v>
      </c>
      <c r="I29" s="51">
        <f t="shared" si="2"/>
        <v>430.50968</v>
      </c>
      <c r="J29" s="52">
        <f>6940+6570</f>
        <v>13510</v>
      </c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>
        <v>6186494</v>
      </c>
      <c r="C30" s="57">
        <f t="shared" si="8"/>
        <v>2300</v>
      </c>
      <c r="D30" s="48">
        <f t="shared" si="7"/>
        <v>389.83051899999998</v>
      </c>
      <c r="E30" s="54">
        <v>492690</v>
      </c>
      <c r="F30" s="58">
        <f t="shared" si="9"/>
        <v>205</v>
      </c>
      <c r="G30" s="50">
        <f t="shared" si="5"/>
        <v>173.72929999999999</v>
      </c>
      <c r="H30" s="50">
        <f t="shared" si="6"/>
        <v>173.72929999999999</v>
      </c>
      <c r="I30" s="51">
        <f t="shared" si="2"/>
        <v>347.45859999999999</v>
      </c>
      <c r="J30" s="52">
        <f>6940+6570</f>
        <v>13510</v>
      </c>
      <c r="K30" s="40">
        <f t="shared" si="3"/>
        <v>-10</v>
      </c>
      <c r="L30" s="41">
        <f t="shared" si="4"/>
        <v>-5.8999999999999995</v>
      </c>
    </row>
    <row r="31" spans="1:12" ht="32.450000000000003" customHeight="1">
      <c r="A31" s="42">
        <v>25</v>
      </c>
      <c r="B31" s="42">
        <v>6188794</v>
      </c>
      <c r="C31" s="55">
        <f t="shared" si="8"/>
        <v>2527</v>
      </c>
      <c r="D31" s="48">
        <f t="shared" si="7"/>
        <v>428.30509631000001</v>
      </c>
      <c r="E31" s="54">
        <v>492895</v>
      </c>
      <c r="F31" s="56">
        <f t="shared" si="9"/>
        <v>212</v>
      </c>
      <c r="G31" s="45">
        <f t="shared" si="5"/>
        <v>179.66152</v>
      </c>
      <c r="H31" s="45">
        <f t="shared" si="6"/>
        <v>179.66152</v>
      </c>
      <c r="I31" s="51">
        <f t="shared" si="2"/>
        <v>359.32303999999999</v>
      </c>
      <c r="J31" s="52">
        <f>6940+6580</f>
        <v>13520</v>
      </c>
      <c r="K31" s="40">
        <f t="shared" si="3"/>
        <v>120</v>
      </c>
      <c r="L31" s="41">
        <f t="shared" si="4"/>
        <v>70.8</v>
      </c>
    </row>
    <row r="32" spans="1:12" ht="32.450000000000003" customHeight="1">
      <c r="A32" s="47">
        <v>26</v>
      </c>
      <c r="B32" s="47">
        <v>6191321</v>
      </c>
      <c r="C32" s="57">
        <f t="shared" si="8"/>
        <v>-6191321</v>
      </c>
      <c r="D32" s="48">
        <f t="shared" si="7"/>
        <v>-1049376.46901113</v>
      </c>
      <c r="E32" s="54">
        <v>493107</v>
      </c>
      <c r="F32" s="58">
        <f t="shared" si="9"/>
        <v>-493107</v>
      </c>
      <c r="G32" s="50">
        <f t="shared" si="5"/>
        <v>-417888.45821999997</v>
      </c>
      <c r="H32" s="50">
        <f t="shared" si="6"/>
        <v>-417888.45821999997</v>
      </c>
      <c r="I32" s="51">
        <f t="shared" si="2"/>
        <v>-835776.91643999994</v>
      </c>
      <c r="J32" s="52">
        <f>6910+6490</f>
        <v>13400</v>
      </c>
      <c r="K32" s="40">
        <f t="shared" si="3"/>
        <v>13400</v>
      </c>
      <c r="L32" s="41">
        <f t="shared" si="4"/>
        <v>7906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19">
        <v>31</v>
      </c>
      <c r="B37" s="119"/>
      <c r="C37" s="120">
        <f t="shared" ref="C37" si="10">B38-B37</f>
        <v>0</v>
      </c>
      <c r="D37" s="121">
        <f t="shared" ref="D37" si="11">C37*0.16949153</f>
        <v>0</v>
      </c>
      <c r="E37" s="122"/>
      <c r="F37" s="120">
        <f t="shared" ref="F37" si="12">E38-E37</f>
        <v>0</v>
      </c>
      <c r="G37" s="123">
        <f t="shared" ref="G37" si="13">F37*0.84746</f>
        <v>0</v>
      </c>
      <c r="H37" s="123">
        <f t="shared" ref="H37" si="14">F37*0.84746</f>
        <v>0</v>
      </c>
      <c r="I37" s="124">
        <f t="shared" ref="I37" si="15">G37+H37</f>
        <v>0</v>
      </c>
      <c r="J37" s="125"/>
      <c r="K37" s="126">
        <f t="shared" ref="K37" si="16">J37-J38</f>
        <v>0</v>
      </c>
      <c r="L37" s="127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2021-10-27T06:02:09Z</dcterms:modified>
  <cp:category/>
  <cp:contentStatus/>
</cp:coreProperties>
</file>