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1\2021\"/>
    </mc:Choice>
  </mc:AlternateContent>
  <xr:revisionPtr revIDLastSave="0" documentId="13_ncr:1_{B6B5D0C8-F170-4765-BD17-2EAF657721AB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December" sheetId="2" r:id="rId2"/>
  </sheets>
  <calcPr calcId="191029"/>
</workbook>
</file>

<file path=xl/calcChain.xml><?xml version="1.0" encoding="utf-8"?>
<calcChain xmlns="http://schemas.openxmlformats.org/spreadsheetml/2006/main">
  <c r="Q38" i="2" l="1"/>
  <c r="O38" i="2"/>
  <c r="M38" i="2"/>
  <c r="K38" i="2"/>
  <c r="I38" i="2"/>
  <c r="G38" i="2"/>
  <c r="E38" i="2"/>
  <c r="C38" i="2"/>
  <c r="R41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9" i="2"/>
  <c r="O39" i="2"/>
  <c r="M39" i="2"/>
  <c r="K39" i="2"/>
  <c r="I39" i="2"/>
  <c r="G39" i="2"/>
  <c r="E39" i="2"/>
  <c r="G31" i="1" s="1"/>
  <c r="C39" i="2"/>
  <c r="E31" i="1" s="1"/>
  <c r="Q37" i="2"/>
  <c r="O37" i="2"/>
  <c r="M37" i="2"/>
  <c r="K37" i="2"/>
  <c r="I37" i="2"/>
  <c r="G37" i="2"/>
  <c r="E37" i="2"/>
  <c r="G30" i="1" s="1"/>
  <c r="C37" i="2"/>
  <c r="E30" i="1" s="1"/>
  <c r="Q36" i="2"/>
  <c r="O36" i="2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E35" i="2"/>
  <c r="G28" i="1" s="1"/>
  <c r="C35" i="2"/>
  <c r="E28" i="1" s="1"/>
  <c r="Q34" i="2"/>
  <c r="O34" i="2"/>
  <c r="M34" i="2"/>
  <c r="K27" i="1" s="1"/>
  <c r="K34" i="2"/>
  <c r="I34" i="2"/>
  <c r="G34" i="2"/>
  <c r="E34" i="2"/>
  <c r="G27" i="1" s="1"/>
  <c r="C34" i="2"/>
  <c r="E27" i="1" s="1"/>
  <c r="Q33" i="2"/>
  <c r="O33" i="2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E29" i="2"/>
  <c r="G22" i="1" s="1"/>
  <c r="C29" i="2"/>
  <c r="E22" i="1" s="1"/>
  <c r="Q28" i="2"/>
  <c r="O28" i="2"/>
  <c r="M28" i="2"/>
  <c r="K28" i="2"/>
  <c r="I28" i="2"/>
  <c r="G28" i="2"/>
  <c r="E28" i="2"/>
  <c r="G21" i="1" s="1"/>
  <c r="C28" i="2"/>
  <c r="E21" i="1" s="1"/>
  <c r="Q27" i="2"/>
  <c r="O27" i="2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K16" i="1" s="1"/>
  <c r="E23" i="2"/>
  <c r="G16" i="1" s="1"/>
  <c r="C23" i="2"/>
  <c r="E16" i="1" s="1"/>
  <c r="Q22" i="2"/>
  <c r="O22" i="2"/>
  <c r="M22" i="2"/>
  <c r="K22" i="2"/>
  <c r="I22" i="2"/>
  <c r="G22" i="2"/>
  <c r="E22" i="2"/>
  <c r="G15" i="1" s="1"/>
  <c r="C22" i="2"/>
  <c r="E15" i="1" s="1"/>
  <c r="Q21" i="2"/>
  <c r="O21" i="2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K13" i="1" s="1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K10" i="1" s="1"/>
  <c r="E17" i="2"/>
  <c r="G10" i="1" s="1"/>
  <c r="C17" i="2"/>
  <c r="E10" i="1" s="1"/>
  <c r="Q16" i="2"/>
  <c r="O16" i="2"/>
  <c r="M16" i="2"/>
  <c r="K16" i="2"/>
  <c r="I16" i="2"/>
  <c r="G16" i="2"/>
  <c r="E16" i="2"/>
  <c r="G9" i="1" s="1"/>
  <c r="C16" i="2"/>
  <c r="E9" i="1" s="1"/>
  <c r="Q15" i="2"/>
  <c r="O15" i="2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K4" i="1" s="1"/>
  <c r="E11" i="2"/>
  <c r="G4" i="1" s="1"/>
  <c r="C11" i="2"/>
  <c r="E4" i="1" s="1"/>
  <c r="Q10" i="2"/>
  <c r="O10" i="2"/>
  <c r="M10" i="2"/>
  <c r="K10" i="2"/>
  <c r="I10" i="2"/>
  <c r="G10" i="2"/>
  <c r="E10" i="2"/>
  <c r="G3" i="1" s="1"/>
  <c r="C10" i="2"/>
  <c r="E3" i="1" s="1"/>
  <c r="Q9" i="2"/>
  <c r="O9" i="2"/>
  <c r="M9" i="2"/>
  <c r="K9" i="2"/>
  <c r="I9" i="2"/>
  <c r="G9" i="2"/>
  <c r="E9" i="2"/>
  <c r="C9" i="2"/>
  <c r="K25" i="1" l="1"/>
  <c r="K28" i="1"/>
  <c r="K22" i="1"/>
  <c r="K21" i="1"/>
  <c r="K15" i="1"/>
  <c r="K3" i="1"/>
  <c r="M41" i="2"/>
  <c r="K9" i="1"/>
  <c r="I4" i="1"/>
  <c r="I10" i="1"/>
  <c r="I13" i="1"/>
  <c r="I16" i="1"/>
  <c r="I19" i="1"/>
  <c r="I22" i="1"/>
  <c r="I28" i="1"/>
  <c r="I31" i="1"/>
  <c r="O41" i="2"/>
  <c r="I5" i="1"/>
  <c r="I8" i="1"/>
  <c r="I11" i="1"/>
  <c r="I14" i="1"/>
  <c r="I17" i="1"/>
  <c r="I20" i="1"/>
  <c r="I23" i="1"/>
  <c r="I26" i="1"/>
  <c r="I29" i="1"/>
  <c r="G41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1" i="2"/>
  <c r="I6" i="1"/>
  <c r="I12" i="1"/>
  <c r="I18" i="1"/>
  <c r="I24" i="1"/>
  <c r="I30" i="1"/>
  <c r="I2" i="1"/>
  <c r="K8" i="1"/>
  <c r="K41" i="2"/>
  <c r="I41" i="2"/>
  <c r="E41" i="2"/>
  <c r="G2" i="1"/>
  <c r="C41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<sst xmlns="http://schemas.openxmlformats.org/spreadsheetml/2006/main" count="72" uniqueCount="35">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</sst>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topLeftCell="E1" workbookViewId="0">
      <selection activeCell="L4" sqref="L4:L3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12</v>
      </c>
      <c r="D2" s="2">
        <v>2021</v>
      </c>
      <c r="E2" s="4">
        <f>IF(December!C9&gt;0,December!C9,0)</f>
        <v>4500</v>
      </c>
      <c r="F2" s="9">
        <v>0.1288</v>
      </c>
      <c r="G2" s="4">
        <f>IF(December!E9&gt;0,December!E9,0)</f>
        <v>6.282</v>
      </c>
      <c r="H2" s="10">
        <v>2.0099999999999998</v>
      </c>
      <c r="I2" s="4">
        <f>IF((December!I9+December!O9)&gt;0,(December!I9+December!O9),0)</f>
        <v>4847</v>
      </c>
      <c r="J2" s="10">
        <v>0.04</v>
      </c>
      <c r="K2" s="4">
        <f>IF((December!G9+December!M9)&gt;0,(December!G9+December!M9),0)</f>
        <v>3.7</v>
      </c>
      <c r="L2" s="10">
        <v>40.909999999999997</v>
      </c>
      <c r="M2" s="4">
        <f>December!R9</f>
        <v>50</v>
      </c>
    </row>
    <row r="3" spans="1:25" x14ac:dyDescent="0.25">
      <c r="A3" s="3" t="s">
        <v>7</v>
      </c>
      <c r="B3" s="2">
        <f>B2+1</f>
        <v>2</v>
      </c>
      <c r="C3" s="14">
        <v>12</v>
      </c>
      <c r="D3" s="14">
        <v>2021</v>
      </c>
      <c r="E3" s="4">
        <f>IF(December!C10&gt;0,December!C10,0)</f>
        <v>6300</v>
      </c>
      <c r="F3" s="9">
        <v>0.1288</v>
      </c>
      <c r="G3" s="4">
        <f>IF(December!E10&gt;0,December!E10,0)</f>
        <v>8.3759999999999994</v>
      </c>
      <c r="H3" s="14">
        <v>2.0099999999999998</v>
      </c>
      <c r="I3" s="4">
        <f>IF((December!I10+December!O10)&gt;0,(December!I10+December!O10),0)</f>
        <v>8330</v>
      </c>
      <c r="J3" s="10">
        <v>0.04</v>
      </c>
      <c r="K3" s="4">
        <f>IF((December!G10+December!M10)&gt;0,(December!G10+December!M10),0)</f>
        <v>5.7</v>
      </c>
      <c r="L3" s="14">
        <v>40.909999999999997</v>
      </c>
      <c r="M3" s="4">
        <f>December!R10</f>
        <v>47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12</v>
      </c>
      <c r="D4" s="14">
        <v>2021</v>
      </c>
      <c r="E4" s="4">
        <f>IF(December!C11&gt;0,December!C11,0)</f>
        <v>6000</v>
      </c>
      <c r="F4" s="9">
        <v>0.1288</v>
      </c>
      <c r="G4" s="4">
        <f>IF(December!E11&gt;0,December!E11,0)</f>
        <v>11.516999999999999</v>
      </c>
      <c r="H4" s="14">
        <v>2.0099999999999998</v>
      </c>
      <c r="I4" s="4">
        <f>IF((December!I11+December!O11)&gt;0,(December!I11+December!O11),0)</f>
        <v>683</v>
      </c>
      <c r="J4" s="10">
        <v>0.04</v>
      </c>
      <c r="K4" s="4">
        <f>IF((December!G11+December!M11)&gt;0,(December!G11+December!M11),0)</f>
        <v>5.3000000000000007</v>
      </c>
      <c r="L4" s="14">
        <v>40.909999999999997</v>
      </c>
      <c r="M4" s="4">
        <f>December!R11</f>
        <v>50</v>
      </c>
    </row>
    <row r="5" spans="1:25" x14ac:dyDescent="0.25">
      <c r="A5" s="3" t="s">
        <v>7</v>
      </c>
      <c r="B5" s="2">
        <f t="shared" si="0"/>
        <v>4</v>
      </c>
      <c r="C5" s="14">
        <v>12</v>
      </c>
      <c r="D5" s="14">
        <v>2021</v>
      </c>
      <c r="E5" s="4">
        <f>IF(December!C12&gt;0,December!C12,0)</f>
        <v>5400</v>
      </c>
      <c r="F5" s="9">
        <v>0.1288</v>
      </c>
      <c r="G5" s="4">
        <f>IF(December!E12&gt;0,December!E12,0)</f>
        <v>8.3759999999999994</v>
      </c>
      <c r="H5" s="14">
        <v>2.0099999999999998</v>
      </c>
      <c r="I5" s="4">
        <f>IF((December!I12+December!O12)&gt;0,(December!I12+December!O12),0)</f>
        <v>13350</v>
      </c>
      <c r="J5" s="10">
        <v>0.04</v>
      </c>
      <c r="K5" s="4">
        <f>IF((December!G12+December!M12)&gt;0,(December!G12+December!M12),0)</f>
        <v>7.6000000000000005</v>
      </c>
      <c r="L5" s="14">
        <v>40.909999999999997</v>
      </c>
      <c r="M5" s="4">
        <f>December!R12</f>
        <v>50</v>
      </c>
    </row>
    <row r="6" spans="1:25" x14ac:dyDescent="0.25">
      <c r="A6" s="3" t="s">
        <v>7</v>
      </c>
      <c r="B6" s="2">
        <f t="shared" si="0"/>
        <v>5</v>
      </c>
      <c r="C6" s="14">
        <v>12</v>
      </c>
      <c r="D6" s="14">
        <v>2021</v>
      </c>
      <c r="E6" s="4">
        <f>IF(December!C13&gt;0,December!C13,0)</f>
        <v>6600</v>
      </c>
      <c r="F6" s="9">
        <v>0.1288</v>
      </c>
      <c r="G6" s="4">
        <f>IF(December!E13&gt;0,December!E13,0)</f>
        <v>10.469999999999999</v>
      </c>
      <c r="H6" s="14">
        <v>2.0099999999999998</v>
      </c>
      <c r="I6" s="4">
        <f>IF((December!I13+December!O13)&gt;0,(December!I13+December!O13),0)</f>
        <v>8817</v>
      </c>
      <c r="J6" s="10">
        <v>0.04</v>
      </c>
      <c r="K6" s="4">
        <f>IF((December!G13+December!M13)&gt;0,(December!G13+December!M13),0)</f>
        <v>6.5</v>
      </c>
      <c r="L6" s="14">
        <v>40.909999999999997</v>
      </c>
      <c r="M6" s="4">
        <f>December!R13</f>
        <v>51</v>
      </c>
    </row>
    <row r="7" spans="1:25" x14ac:dyDescent="0.25">
      <c r="A7" s="3" t="s">
        <v>7</v>
      </c>
      <c r="B7" s="2">
        <f t="shared" si="0"/>
        <v>6</v>
      </c>
      <c r="C7" s="14">
        <v>12</v>
      </c>
      <c r="D7" s="14">
        <v>2021</v>
      </c>
      <c r="E7" s="4">
        <f>IF(December!C14&gt;0,December!C14,0)</f>
        <v>4200</v>
      </c>
      <c r="F7" s="9">
        <v>0.1288</v>
      </c>
      <c r="G7" s="4">
        <f>IF(December!E14&gt;0,December!E14,0)</f>
        <v>7.3289999999999997</v>
      </c>
      <c r="H7" s="14">
        <v>2.0099999999999998</v>
      </c>
      <c r="I7" s="4">
        <f>IF((December!I14+December!O14)&gt;0,(December!I14+December!O14),0)</f>
        <v>6245</v>
      </c>
      <c r="J7" s="10">
        <v>0.04</v>
      </c>
      <c r="K7" s="4">
        <f>IF((December!G14+December!M14)&gt;0,(December!G14+December!M14),0)</f>
        <v>5.2000000000000011</v>
      </c>
      <c r="L7" s="14">
        <v>40.909999999999997</v>
      </c>
      <c r="M7" s="4">
        <f>December!R14</f>
        <v>55</v>
      </c>
    </row>
    <row r="8" spans="1:25" x14ac:dyDescent="0.25">
      <c r="A8" s="3" t="s">
        <v>7</v>
      </c>
      <c r="B8" s="2">
        <f t="shared" si="0"/>
        <v>7</v>
      </c>
      <c r="C8" s="14">
        <v>12</v>
      </c>
      <c r="D8" s="14">
        <v>2021</v>
      </c>
      <c r="E8" s="4">
        <f>IF(December!C15&gt;0,December!C15,0)</f>
        <v>7200</v>
      </c>
      <c r="F8" s="9">
        <v>0.1288</v>
      </c>
      <c r="G8" s="4">
        <f>IF(December!E15&gt;0,December!E15,0)</f>
        <v>19.892999999999997</v>
      </c>
      <c r="H8" s="14">
        <v>2.0099999999999998</v>
      </c>
      <c r="I8" s="4">
        <f>IF((December!I15+December!O15)&gt;0,(December!I15+December!O15),0)</f>
        <v>11692</v>
      </c>
      <c r="J8" s="10">
        <v>0.04</v>
      </c>
      <c r="K8" s="4">
        <f>IF((December!G15+December!M15)&gt;0,(December!G15+December!M15),0)</f>
        <v>10.5</v>
      </c>
      <c r="L8" s="14">
        <v>40.909999999999997</v>
      </c>
      <c r="M8" s="4">
        <f>December!R15</f>
        <v>58</v>
      </c>
    </row>
    <row r="9" spans="1:25" x14ac:dyDescent="0.25">
      <c r="A9" s="3" t="s">
        <v>7</v>
      </c>
      <c r="B9" s="2">
        <f t="shared" si="0"/>
        <v>8</v>
      </c>
      <c r="C9" s="14">
        <v>12</v>
      </c>
      <c r="D9" s="14">
        <v>2021</v>
      </c>
      <c r="E9" s="4">
        <f>IF(December!C16&gt;0,December!C16,0)</f>
        <v>3900</v>
      </c>
      <c r="F9" s="9">
        <v>0.1288</v>
      </c>
      <c r="G9" s="4">
        <f>IF(December!E16&gt;0,December!E16,0)</f>
        <v>1.0469999999999999</v>
      </c>
      <c r="H9" s="14">
        <v>2.0099999999999998</v>
      </c>
      <c r="I9" s="4">
        <f>IF((December!I16+December!O16)&gt;0,(December!I16+December!O16),0)</f>
        <v>6058</v>
      </c>
      <c r="J9" s="10">
        <v>0.04</v>
      </c>
      <c r="K9" s="4">
        <f>IF((December!G16+December!M16)&gt;0,(December!G16+December!M16),0)</f>
        <v>5.5</v>
      </c>
      <c r="L9" s="14">
        <v>40.909999999999997</v>
      </c>
      <c r="M9" s="4">
        <f>December!R16</f>
        <v>63</v>
      </c>
    </row>
    <row r="10" spans="1:25" x14ac:dyDescent="0.25">
      <c r="A10" s="3" t="s">
        <v>7</v>
      </c>
      <c r="B10" s="2">
        <f t="shared" si="0"/>
        <v>9</v>
      </c>
      <c r="C10" s="14">
        <v>12</v>
      </c>
      <c r="D10" s="14">
        <v>2021</v>
      </c>
      <c r="E10" s="4">
        <f>IF(December!C17&gt;0,December!C17,0)</f>
        <v>5100</v>
      </c>
      <c r="F10" s="9">
        <v>0.1288</v>
      </c>
      <c r="G10" s="4">
        <f>IF(December!E17&gt;0,December!E17,0)</f>
        <v>10.469999999999999</v>
      </c>
      <c r="H10" s="14">
        <v>2.0099999999999998</v>
      </c>
      <c r="I10" s="4">
        <f>IF((December!I17+December!O17)&gt;0,(December!I17+December!O17),0)</f>
        <v>5000</v>
      </c>
      <c r="J10" s="10">
        <v>0.04</v>
      </c>
      <c r="K10" s="4">
        <f>IF((December!G17+December!M17)&gt;0,(December!G17+December!M17),0)</f>
        <v>5.7</v>
      </c>
      <c r="L10" s="14">
        <v>40.909999999999997</v>
      </c>
      <c r="M10" s="4">
        <f>December!R17</f>
        <v>54</v>
      </c>
    </row>
    <row r="11" spans="1:25" x14ac:dyDescent="0.25">
      <c r="A11" s="3" t="s">
        <v>7</v>
      </c>
      <c r="B11" s="2">
        <f t="shared" si="0"/>
        <v>10</v>
      </c>
      <c r="C11" s="14">
        <v>12</v>
      </c>
      <c r="D11" s="14">
        <v>2021</v>
      </c>
      <c r="E11" s="4">
        <f>IF(December!C18&gt;0,December!C18,0)</f>
        <v>0</v>
      </c>
      <c r="F11" s="9">
        <v>0.1288</v>
      </c>
      <c r="G11" s="4">
        <f>IF(December!E18&gt;0,December!E18,0)</f>
        <v>0</v>
      </c>
      <c r="H11" s="14">
        <v>2.0099999999999998</v>
      </c>
      <c r="I11" s="4">
        <f>IF((December!I18+December!O18)&gt;0,(December!I18+December!O18),0)</f>
        <v>0</v>
      </c>
      <c r="J11" s="10">
        <v>0.04</v>
      </c>
      <c r="K11" s="4">
        <f>IF((December!G18+December!M18)&gt;0,(December!G18+December!M18),0)</f>
        <v>0</v>
      </c>
      <c r="L11" s="14">
        <v>40.909999999999997</v>
      </c>
      <c r="M11" s="4">
        <f>December!R18</f>
        <v>52</v>
      </c>
    </row>
    <row r="12" spans="1:25" x14ac:dyDescent="0.25">
      <c r="A12" s="3" t="s">
        <v>7</v>
      </c>
      <c r="B12" s="2">
        <f t="shared" si="0"/>
        <v>11</v>
      </c>
      <c r="C12" s="14">
        <v>12</v>
      </c>
      <c r="D12" s="14">
        <v>2021</v>
      </c>
      <c r="E12" s="4">
        <f>IF(December!C19&gt;0,December!C19,0)</f>
        <v>0</v>
      </c>
      <c r="F12" s="9">
        <v>0.1288</v>
      </c>
      <c r="G12" s="4">
        <f>IF(December!E19&gt;0,December!E19,0)</f>
        <v>0</v>
      </c>
      <c r="H12" s="14">
        <v>2.0099999999999998</v>
      </c>
      <c r="I12" s="4">
        <f>IF((December!I19+December!O19)&gt;0,(December!I19+December!O19),0)</f>
        <v>0</v>
      </c>
      <c r="J12" s="10">
        <v>0.04</v>
      </c>
      <c r="K12" s="4">
        <f>IF((December!G19+December!M19)&gt;0,(December!G19+December!M19),0)</f>
        <v>0</v>
      </c>
      <c r="L12" s="14">
        <v>40.909999999999997</v>
      </c>
      <c r="M12" s="4">
        <f>December!R19</f>
        <v>59</v>
      </c>
    </row>
    <row r="13" spans="1:25" x14ac:dyDescent="0.25">
      <c r="A13" s="3" t="s">
        <v>7</v>
      </c>
      <c r="B13" s="2">
        <f t="shared" si="0"/>
        <v>12</v>
      </c>
      <c r="C13" s="14">
        <v>12</v>
      </c>
      <c r="D13" s="14">
        <v>2021</v>
      </c>
      <c r="E13" s="4">
        <f>IF(December!C20&gt;0,December!C20,0)</f>
        <v>18600</v>
      </c>
      <c r="F13" s="9">
        <v>0.1288</v>
      </c>
      <c r="G13" s="4">
        <f>IF(December!E20&gt;0,December!E20,0)</f>
        <v>38.738999999999997</v>
      </c>
      <c r="H13" s="14">
        <v>2.0099999999999998</v>
      </c>
      <c r="I13" s="4">
        <f>IF((December!I20+December!O20)&gt;0,(December!I20+December!O20),0)</f>
        <v>27243</v>
      </c>
      <c r="J13" s="10">
        <v>0.04</v>
      </c>
      <c r="K13" s="4">
        <f>IF((December!G20+December!M20)&gt;0,(December!G20+December!M20),0)</f>
        <v>26</v>
      </c>
      <c r="L13" s="14">
        <v>40.909999999999997</v>
      </c>
      <c r="M13" s="4">
        <f>December!R20</f>
        <v>53</v>
      </c>
    </row>
    <row r="14" spans="1:25" x14ac:dyDescent="0.25">
      <c r="A14" s="3" t="s">
        <v>7</v>
      </c>
      <c r="B14" s="2">
        <f t="shared" si="0"/>
        <v>13</v>
      </c>
      <c r="C14" s="14">
        <v>12</v>
      </c>
      <c r="D14" s="14">
        <v>2021</v>
      </c>
      <c r="E14" s="4">
        <f>IF(December!C21&gt;0,December!C21,0)</f>
        <v>5100</v>
      </c>
      <c r="F14" s="9">
        <v>0.1288</v>
      </c>
      <c r="G14" s="4">
        <f>IF(December!E21&gt;0,December!E21,0)</f>
        <v>12.564</v>
      </c>
      <c r="H14" s="14">
        <v>2.0099999999999998</v>
      </c>
      <c r="I14" s="4">
        <f>IF((December!I21+December!O21)&gt;0,(December!I21+December!O21),0)</f>
        <v>6028</v>
      </c>
      <c r="J14" s="10">
        <v>0.04</v>
      </c>
      <c r="K14" s="4">
        <f>IF((December!G21+December!M21)&gt;0,(December!G21+December!M21),0)</f>
        <v>8.6</v>
      </c>
      <c r="L14" s="14">
        <v>40.909999999999997</v>
      </c>
      <c r="M14" s="4">
        <f>December!R21</f>
        <v>31</v>
      </c>
    </row>
    <row r="15" spans="1:25" x14ac:dyDescent="0.25">
      <c r="A15" s="3" t="s">
        <v>7</v>
      </c>
      <c r="B15" s="2">
        <f t="shared" si="0"/>
        <v>14</v>
      </c>
      <c r="C15" s="14">
        <v>12</v>
      </c>
      <c r="D15" s="14">
        <v>2021</v>
      </c>
      <c r="E15" s="4">
        <f>IF(December!C22&gt;0,December!C22,0)</f>
        <v>6900</v>
      </c>
      <c r="F15" s="9">
        <v>0.1288</v>
      </c>
      <c r="G15" s="4">
        <f>IF(December!E22&gt;0,December!E22,0)</f>
        <v>16.751999999999999</v>
      </c>
      <c r="H15" s="14">
        <v>2.0099999999999998</v>
      </c>
      <c r="I15" s="4">
        <f>IF((December!I22+December!O22)&gt;0,(December!I22+December!O22),0)</f>
        <v>10933</v>
      </c>
      <c r="J15" s="10">
        <v>0.04</v>
      </c>
      <c r="K15" s="4">
        <f>IF((December!G22+December!M22)&gt;0,(December!G22+December!M22),0)</f>
        <v>12.8</v>
      </c>
      <c r="L15" s="14">
        <v>40.909999999999997</v>
      </c>
      <c r="M15" s="4">
        <f>December!R22</f>
        <v>0</v>
      </c>
    </row>
    <row r="16" spans="1:25" x14ac:dyDescent="0.25">
      <c r="A16" s="3" t="s">
        <v>7</v>
      </c>
      <c r="B16" s="2">
        <f t="shared" si="0"/>
        <v>15</v>
      </c>
      <c r="C16" s="14">
        <v>12</v>
      </c>
      <c r="D16" s="14">
        <v>2021</v>
      </c>
      <c r="E16" s="4">
        <f>IF(December!C23&gt;0,December!C23,0)</f>
        <v>1800</v>
      </c>
      <c r="F16" s="9">
        <v>0.1288</v>
      </c>
      <c r="G16" s="4">
        <f>IF(December!E23&gt;0,December!E23,0)</f>
        <v>3.141</v>
      </c>
      <c r="H16" s="14">
        <v>2.0099999999999998</v>
      </c>
      <c r="I16" s="4">
        <f>IF((December!I23+December!O23)&gt;0,(December!I23+December!O23),0)</f>
        <v>1818</v>
      </c>
      <c r="J16" s="10">
        <v>0.04</v>
      </c>
      <c r="K16" s="4">
        <f>IF((December!G23+December!M23)&gt;0,(December!G23+December!M23),0)</f>
        <v>4.1000000000000005</v>
      </c>
      <c r="L16" s="14">
        <v>40.909999999999997</v>
      </c>
      <c r="M16" s="4">
        <f>December!R23</f>
        <v>45</v>
      </c>
    </row>
    <row r="17" spans="1:13" x14ac:dyDescent="0.25">
      <c r="A17" s="3" t="s">
        <v>7</v>
      </c>
      <c r="B17" s="2">
        <f t="shared" si="0"/>
        <v>16</v>
      </c>
      <c r="C17" s="14">
        <v>12</v>
      </c>
      <c r="D17" s="14">
        <v>2021</v>
      </c>
      <c r="E17" s="4">
        <f>IF(December!C24&gt;0,December!C24,0)</f>
        <v>5400</v>
      </c>
      <c r="F17" s="9">
        <v>0.1288</v>
      </c>
      <c r="G17" s="4">
        <f>IF(December!E24&gt;0,December!E24,0)</f>
        <v>17.798999999999999</v>
      </c>
      <c r="H17" s="14">
        <v>2.0099999999999998</v>
      </c>
      <c r="I17" s="4">
        <f>IF((December!I24+December!O24)&gt;0,(December!I24+December!O24),0)</f>
        <v>6873</v>
      </c>
      <c r="J17" s="10">
        <v>0.04</v>
      </c>
      <c r="K17" s="4">
        <f>IF((December!G24+December!M24)&gt;0,(December!G24+December!M24),0)</f>
        <v>9.6000000000000014</v>
      </c>
      <c r="L17" s="14">
        <v>40.909999999999997</v>
      </c>
      <c r="M17" s="4">
        <f>December!R24</f>
        <v>56</v>
      </c>
    </row>
    <row r="18" spans="1:13" x14ac:dyDescent="0.25">
      <c r="A18" s="3" t="s">
        <v>7</v>
      </c>
      <c r="B18" s="2">
        <f t="shared" si="0"/>
        <v>17</v>
      </c>
      <c r="C18" s="14">
        <v>12</v>
      </c>
      <c r="D18" s="14">
        <v>2021</v>
      </c>
      <c r="E18" s="4">
        <f>IF(December!C25&gt;0,December!C25,0)</f>
        <v>5700</v>
      </c>
      <c r="F18" s="9">
        <v>0.1288</v>
      </c>
      <c r="G18" s="4">
        <f>IF(December!E25&gt;0,December!E25,0)</f>
        <v>15.704999999999998</v>
      </c>
      <c r="H18" s="14">
        <v>2.0099999999999998</v>
      </c>
      <c r="I18" s="4">
        <f>IF((December!I25+December!O25)&gt;0,(December!I25+December!O25),0)</f>
        <v>7400</v>
      </c>
      <c r="J18" s="10">
        <v>0.04</v>
      </c>
      <c r="K18" s="4">
        <f>IF((December!G25+December!M25)&gt;0,(December!G25+December!M25),0)</f>
        <v>7.8000000000000007</v>
      </c>
      <c r="L18" s="14">
        <v>40.909999999999997</v>
      </c>
      <c r="M18" s="4">
        <f>December!R25</f>
        <v>62</v>
      </c>
    </row>
    <row r="19" spans="1:13" x14ac:dyDescent="0.25">
      <c r="A19" s="3" t="s">
        <v>7</v>
      </c>
      <c r="B19" s="2">
        <f t="shared" si="0"/>
        <v>18</v>
      </c>
      <c r="C19" s="14">
        <v>12</v>
      </c>
      <c r="D19" s="14">
        <v>2021</v>
      </c>
      <c r="E19" s="4">
        <f>IF(December!C26&gt;0,December!C26,0)</f>
        <v>5400</v>
      </c>
      <c r="F19" s="9">
        <v>0.1288</v>
      </c>
      <c r="G19" s="4">
        <f>IF(December!E26&gt;0,December!E26,0)</f>
        <v>16.751999999999999</v>
      </c>
      <c r="H19" s="14">
        <v>2.0099999999999998</v>
      </c>
      <c r="I19" s="4">
        <f>IF((December!I26+December!O26)&gt;0,(December!I26+December!O26),0)</f>
        <v>7383</v>
      </c>
      <c r="J19" s="10">
        <v>0.04</v>
      </c>
      <c r="K19" s="4">
        <f>IF((December!G26+December!M26)&gt;0,(December!G26+December!M26),0)</f>
        <v>10.600000000000001</v>
      </c>
      <c r="L19" s="14">
        <v>40.909999999999997</v>
      </c>
      <c r="M19" s="4">
        <f>December!R26</f>
        <v>53</v>
      </c>
    </row>
    <row r="20" spans="1:13" x14ac:dyDescent="0.25">
      <c r="A20" s="3" t="s">
        <v>7</v>
      </c>
      <c r="B20" s="2">
        <f t="shared" si="0"/>
        <v>19</v>
      </c>
      <c r="C20" s="14">
        <v>12</v>
      </c>
      <c r="D20" s="14">
        <v>2021</v>
      </c>
      <c r="E20" s="4">
        <f>IF(December!C27&gt;0,December!C27,0)</f>
        <v>7800</v>
      </c>
      <c r="F20" s="9">
        <v>0.1288</v>
      </c>
      <c r="G20" s="4">
        <f>IF(December!E27&gt;0,December!E27,0)</f>
        <v>23.033999999999999</v>
      </c>
      <c r="H20" s="14">
        <v>2.0099999999999998</v>
      </c>
      <c r="I20" s="4">
        <f>IF((December!I27+December!O27)&gt;0,(December!I27+December!O27),0)</f>
        <v>11382</v>
      </c>
      <c r="J20" s="10">
        <v>0.04</v>
      </c>
      <c r="K20" s="4">
        <f>IF((December!G27+December!M27)&gt;0,(December!G27+December!M27),0)</f>
        <v>12.700000000000001</v>
      </c>
      <c r="L20" s="14">
        <v>40.909999999999997</v>
      </c>
      <c r="M20" s="4">
        <f>December!R27</f>
        <v>52</v>
      </c>
    </row>
    <row r="21" spans="1:13" x14ac:dyDescent="0.25">
      <c r="A21" s="3" t="s">
        <v>7</v>
      </c>
      <c r="B21" s="2">
        <f t="shared" si="0"/>
        <v>20</v>
      </c>
      <c r="C21" s="14">
        <v>12</v>
      </c>
      <c r="D21" s="14">
        <v>2021</v>
      </c>
      <c r="E21" s="4">
        <f>IF(December!C28&gt;0,December!C28,0)</f>
        <v>4200</v>
      </c>
      <c r="F21" s="9">
        <v>0.1288</v>
      </c>
      <c r="G21" s="4">
        <f>IF(December!E28&gt;0,December!E28,0)</f>
        <v>12.564</v>
      </c>
      <c r="H21" s="14">
        <v>2.0099999999999998</v>
      </c>
      <c r="I21" s="4">
        <f>IF((December!I28+December!O28)&gt;0,(December!I28+December!O28),0)</f>
        <v>6909</v>
      </c>
      <c r="J21" s="10">
        <v>0.04</v>
      </c>
      <c r="K21" s="4">
        <f>IF((December!G28+December!M28)&gt;0,(December!G28+December!M28),0)</f>
        <v>8.5</v>
      </c>
      <c r="L21" s="14">
        <v>40.909999999999997</v>
      </c>
      <c r="M21" s="4">
        <f>December!R28</f>
        <v>38</v>
      </c>
    </row>
    <row r="22" spans="1:13" x14ac:dyDescent="0.25">
      <c r="A22" s="3" t="s">
        <v>7</v>
      </c>
      <c r="B22" s="2">
        <f t="shared" si="0"/>
        <v>21</v>
      </c>
      <c r="C22" s="14">
        <v>12</v>
      </c>
      <c r="D22" s="14">
        <v>2021</v>
      </c>
      <c r="E22" s="4">
        <f>IF(December!C29&gt;0,December!C29,0)</f>
        <v>6300</v>
      </c>
      <c r="F22" s="9">
        <v>0.1288</v>
      </c>
      <c r="G22" s="4">
        <f>IF(December!E29&gt;0,December!E29,0)</f>
        <v>18.846</v>
      </c>
      <c r="H22" s="14">
        <v>2.0099999999999998</v>
      </c>
      <c r="I22" s="4">
        <f>IF((December!I29+December!O29)&gt;0,(December!I29+December!O29),0)</f>
        <v>8090</v>
      </c>
      <c r="J22" s="10">
        <v>0.04</v>
      </c>
      <c r="K22" s="4">
        <f>IF((December!G29+December!M29)&gt;0,(December!G29+December!M29),0)</f>
        <v>10.9</v>
      </c>
      <c r="L22" s="14">
        <v>40.909999999999997</v>
      </c>
      <c r="M22" s="4">
        <f>December!R29</f>
        <v>36</v>
      </c>
    </row>
    <row r="23" spans="1:13" x14ac:dyDescent="0.25">
      <c r="A23" s="3" t="s">
        <v>7</v>
      </c>
      <c r="B23" s="2">
        <f t="shared" si="0"/>
        <v>22</v>
      </c>
      <c r="C23" s="14">
        <v>12</v>
      </c>
      <c r="D23" s="14">
        <v>2021</v>
      </c>
      <c r="E23" s="4">
        <f>IF(December!C30&gt;0,December!C30,0)</f>
        <v>3300</v>
      </c>
      <c r="F23" s="9">
        <v>0.1288</v>
      </c>
      <c r="G23" s="4">
        <f>IF(December!E30&gt;0,December!E30,0)</f>
        <v>9.423</v>
      </c>
      <c r="H23" s="14">
        <v>2.0099999999999998</v>
      </c>
      <c r="I23" s="4">
        <f>IF((December!I30+December!O30)&gt;0,(December!I30+December!O30),0)</f>
        <v>8381</v>
      </c>
      <c r="J23" s="10">
        <v>0.04</v>
      </c>
      <c r="K23" s="4">
        <f>IF((December!G30+December!M30)&gt;0,(December!G30+December!M30),0)</f>
        <v>7.1000000000000005</v>
      </c>
      <c r="L23" s="14">
        <v>40.909999999999997</v>
      </c>
      <c r="M23" s="4">
        <f>December!R30</f>
        <v>28</v>
      </c>
    </row>
    <row r="24" spans="1:13" x14ac:dyDescent="0.25">
      <c r="A24" s="3" t="s">
        <v>7</v>
      </c>
      <c r="B24" s="2">
        <f t="shared" si="0"/>
        <v>23</v>
      </c>
      <c r="C24" s="14">
        <v>12</v>
      </c>
      <c r="D24" s="14">
        <v>2021</v>
      </c>
      <c r="E24" s="4">
        <f>IF(December!C31&gt;0,December!C31,0)</f>
        <v>5100</v>
      </c>
      <c r="F24" s="9">
        <v>0.1288</v>
      </c>
      <c r="G24" s="4">
        <f>IF(December!E31&gt;0,December!E31,0)</f>
        <v>16.751999999999999</v>
      </c>
      <c r="H24" s="14">
        <v>2.0099999999999998</v>
      </c>
      <c r="I24" s="4">
        <f>IF((December!I31+December!O31)&gt;0,(December!I31+December!O31),0)</f>
        <v>6585</v>
      </c>
      <c r="J24" s="10">
        <v>0.04</v>
      </c>
      <c r="K24" s="4">
        <f>IF((December!G31+December!M31)&gt;0,(December!G31+December!M31),0)</f>
        <v>8.3000000000000007</v>
      </c>
      <c r="L24" s="14">
        <v>40.909999999999997</v>
      </c>
      <c r="M24" s="4">
        <f>December!R31</f>
        <v>37</v>
      </c>
    </row>
    <row r="25" spans="1:13" x14ac:dyDescent="0.25">
      <c r="A25" s="3" t="s">
        <v>7</v>
      </c>
      <c r="B25" s="2">
        <f t="shared" si="0"/>
        <v>24</v>
      </c>
      <c r="C25" s="14">
        <v>12</v>
      </c>
      <c r="D25" s="14">
        <v>2021</v>
      </c>
      <c r="E25" s="4">
        <f>IF(December!C32&gt;0,December!C32,0)</f>
        <v>5400</v>
      </c>
      <c r="F25" s="9">
        <v>0.1288</v>
      </c>
      <c r="G25" s="4">
        <f>IF(December!E32&gt;0,December!E32,0)</f>
        <v>15.704999999999998</v>
      </c>
      <c r="H25" s="14">
        <v>2.0099999999999998</v>
      </c>
      <c r="I25" s="4">
        <f>IF((December!I32+December!O32)&gt;0,(December!I32+December!O32),0)</f>
        <v>9075</v>
      </c>
      <c r="J25" s="10">
        <v>0.04</v>
      </c>
      <c r="K25" s="4">
        <f>IF((December!G32+December!M32)&gt;0,(December!G32+December!M32),0)</f>
        <v>10.9</v>
      </c>
      <c r="L25" s="14">
        <v>40.909999999999997</v>
      </c>
      <c r="M25" s="4">
        <f>December!R32</f>
        <v>43</v>
      </c>
    </row>
    <row r="26" spans="1:13" x14ac:dyDescent="0.25">
      <c r="A26" s="3" t="s">
        <v>7</v>
      </c>
      <c r="B26" s="2">
        <f>B25+1</f>
        <v>25</v>
      </c>
      <c r="C26" s="14">
        <v>12</v>
      </c>
      <c r="D26" s="14">
        <v>2021</v>
      </c>
      <c r="E26" s="4">
        <f>IF(December!C33&gt;0,December!C33,0)</f>
        <v>6300</v>
      </c>
      <c r="F26" s="9">
        <v>0.1288</v>
      </c>
      <c r="G26" s="4">
        <f>IF(December!E33&gt;0,December!E33,0)</f>
        <v>21.986999999999998</v>
      </c>
      <c r="H26" s="14">
        <v>2.0099999999999998</v>
      </c>
      <c r="I26" s="4">
        <f>IF((December!I33+December!O33)&gt;0,(December!I33+December!O33),0)</f>
        <v>9140</v>
      </c>
      <c r="J26" s="10">
        <v>0.04</v>
      </c>
      <c r="K26" s="4">
        <f>IF((December!G33+December!M33)&gt;0,(December!G33+December!M33),0)</f>
        <v>11.5</v>
      </c>
      <c r="L26" s="14">
        <v>40.909999999999997</v>
      </c>
      <c r="M26" s="4">
        <f>December!R33</f>
        <v>36</v>
      </c>
    </row>
    <row r="27" spans="1:13" x14ac:dyDescent="0.25">
      <c r="A27" s="3" t="s">
        <v>7</v>
      </c>
      <c r="B27" s="2">
        <f t="shared" si="0"/>
        <v>26</v>
      </c>
      <c r="C27" s="14">
        <v>12</v>
      </c>
      <c r="D27" s="14">
        <v>2021</v>
      </c>
      <c r="E27" s="4">
        <f>IF(December!C34&gt;0,December!C34,0)</f>
        <v>4800</v>
      </c>
      <c r="F27" s="9">
        <v>0.1288</v>
      </c>
      <c r="G27" s="4">
        <f>IF(December!E34&gt;0,December!E34,0)</f>
        <v>16.751999999999999</v>
      </c>
      <c r="H27" s="14">
        <v>2.0099999999999998</v>
      </c>
      <c r="I27" s="4">
        <f>IF((December!I34+December!O34)&gt;0,(December!I34+December!O34),0)</f>
        <v>3787</v>
      </c>
      <c r="J27" s="10">
        <v>0.04</v>
      </c>
      <c r="K27" s="4">
        <f>IF((December!G34+December!M34)&gt;0,(December!G34+December!M34),0)</f>
        <v>5.7</v>
      </c>
      <c r="L27" s="14">
        <v>40.909999999999997</v>
      </c>
      <c r="M27" s="4">
        <f>December!R34</f>
        <v>34</v>
      </c>
    </row>
    <row r="28" spans="1:13" x14ac:dyDescent="0.25">
      <c r="A28" s="3" t="s">
        <v>7</v>
      </c>
      <c r="B28" s="2">
        <f t="shared" si="0"/>
        <v>27</v>
      </c>
      <c r="C28" s="14">
        <v>12</v>
      </c>
      <c r="D28" s="14">
        <v>2021</v>
      </c>
      <c r="E28" s="4">
        <f>IF(December!C35&gt;0,December!C35,0)</f>
        <v>5700</v>
      </c>
      <c r="F28" s="9">
        <v>0.1288</v>
      </c>
      <c r="G28" s="4">
        <f>IF(December!E35&gt;0,December!E35,0)</f>
        <v>17.798999999999999</v>
      </c>
      <c r="H28" s="14">
        <v>2.0099999999999998</v>
      </c>
      <c r="I28" s="4">
        <f>IF((December!I35+December!O35)&gt;0,(December!I35+December!O35),0)</f>
        <v>7551</v>
      </c>
      <c r="J28" s="10">
        <v>0.04</v>
      </c>
      <c r="K28" s="4">
        <f>IF((December!G35+December!M35)&gt;0,(December!G35+December!M35),0)</f>
        <v>10.5</v>
      </c>
      <c r="L28" s="14">
        <v>40.909999999999997</v>
      </c>
      <c r="M28" s="4">
        <f>December!R35</f>
        <v>28</v>
      </c>
    </row>
    <row r="29" spans="1:13" x14ac:dyDescent="0.25">
      <c r="A29" s="3" t="s">
        <v>7</v>
      </c>
      <c r="B29" s="2">
        <f t="shared" si="0"/>
        <v>28</v>
      </c>
      <c r="C29" s="14">
        <v>12</v>
      </c>
      <c r="D29" s="14">
        <v>2021</v>
      </c>
      <c r="E29" s="4">
        <f>IF(December!C36&gt;0,December!C36,0)</f>
        <v>5700</v>
      </c>
      <c r="F29" s="9">
        <v>0.1288</v>
      </c>
      <c r="G29" s="4">
        <f>IF(December!E36&gt;0,December!E36,0)</f>
        <v>16.751999999999999</v>
      </c>
      <c r="H29" s="14">
        <v>2.0099999999999998</v>
      </c>
      <c r="I29" s="4">
        <f>IF((December!I36+December!O36)&gt;0,(December!I36+December!O36),0)</f>
        <v>8194</v>
      </c>
      <c r="J29" s="10">
        <v>0.04</v>
      </c>
      <c r="K29" s="4">
        <f>IF((December!G36+December!M36)&gt;0,(December!G36+December!M36),0)</f>
        <v>11.9</v>
      </c>
      <c r="L29" s="14">
        <v>40.909999999999997</v>
      </c>
      <c r="M29" s="4">
        <f>December!R36</f>
        <v>41</v>
      </c>
    </row>
    <row r="30" spans="1:13" x14ac:dyDescent="0.25">
      <c r="A30" s="3" t="s">
        <v>7</v>
      </c>
      <c r="B30" s="2">
        <f t="shared" si="0"/>
        <v>29</v>
      </c>
      <c r="C30" s="14">
        <v>12</v>
      </c>
      <c r="D30" s="14">
        <v>2021</v>
      </c>
      <c r="E30" s="4">
        <f>IF(December!C37&gt;0,December!C37,0)</f>
        <v>3600</v>
      </c>
      <c r="F30" s="9">
        <v>0.1288</v>
      </c>
      <c r="G30" s="4">
        <f>IF(December!E37&gt;0,December!E37,0)</f>
        <v>10.469999999999999</v>
      </c>
      <c r="H30" s="14">
        <v>2.0099999999999998</v>
      </c>
      <c r="I30" s="4">
        <f>IF((December!I37+December!O37)&gt;0,(December!I37+December!O37),0)</f>
        <v>4633</v>
      </c>
      <c r="J30" s="10">
        <v>0.04</v>
      </c>
      <c r="K30" s="4">
        <f>IF((December!G37+December!M37)&gt;0,(December!G37+December!M37),0)</f>
        <v>8.6</v>
      </c>
      <c r="L30" s="14">
        <v>40.909999999999997</v>
      </c>
      <c r="M30" s="4">
        <f>December!R37</f>
        <v>46</v>
      </c>
    </row>
    <row r="31" spans="1:13" x14ac:dyDescent="0.25">
      <c r="A31" s="3" t="s">
        <v>7</v>
      </c>
      <c r="B31" s="2">
        <f t="shared" si="0"/>
        <v>30</v>
      </c>
      <c r="C31" s="14">
        <v>12</v>
      </c>
      <c r="D31" s="14">
        <v>2021</v>
      </c>
      <c r="E31" s="4">
        <f>IF(December!C39&gt;0,December!C39,0)</f>
        <v>11400</v>
      </c>
      <c r="F31" s="9">
        <v>0.1288</v>
      </c>
      <c r="G31" s="4">
        <f>IF(December!E39&gt;0,December!E39,0)</f>
        <v>38.738999999999997</v>
      </c>
      <c r="H31" s="14">
        <v>2.0099999999999998</v>
      </c>
      <c r="I31" s="4">
        <f>IF((December!I39+December!O39)&gt;0,(December!I39+December!O39),0)</f>
        <v>20520</v>
      </c>
      <c r="J31" s="10">
        <v>0.04</v>
      </c>
      <c r="K31" s="4">
        <f>IF((December!G39+December!M39)&gt;0,(December!G39+December!M39),0)</f>
        <v>23.700000000000003</v>
      </c>
      <c r="L31" s="14">
        <v>40.909999999999997</v>
      </c>
      <c r="M31" s="4">
        <f>December!R39</f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1"/>
  <sheetViews>
    <sheetView showWhiteSpace="0" topLeftCell="I18" zoomScaleNormal="100" workbookViewId="0">
      <selection activeCell="Y30" sqref="Y30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6" width="13.7109375" style="16" customWidth="1"/>
    <col min="17" max="17" width="12.2851562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17799</v>
      </c>
      <c r="C6" s="21"/>
      <c r="D6" s="21">
        <v>48878</v>
      </c>
      <c r="E6" s="21"/>
      <c r="F6" s="21">
        <v>29549</v>
      </c>
      <c r="G6" s="21"/>
      <c r="H6" s="21">
        <v>10809176</v>
      </c>
      <c r="I6" s="21"/>
      <c r="J6" s="21">
        <v>352992</v>
      </c>
      <c r="K6" s="21"/>
      <c r="L6" s="21">
        <v>16484</v>
      </c>
      <c r="M6" s="21"/>
      <c r="N6" s="22">
        <v>28945097</v>
      </c>
      <c r="O6" s="22"/>
      <c r="P6" s="22">
        <v>6253473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17814</v>
      </c>
      <c r="C9" s="29">
        <f>+(B9-B6)*300</f>
        <v>4500</v>
      </c>
      <c r="D9" s="29">
        <v>48884</v>
      </c>
      <c r="E9" s="29">
        <f>+(D9-D6)*1.047</f>
        <v>6.282</v>
      </c>
      <c r="F9" s="29">
        <v>29555</v>
      </c>
      <c r="G9" s="29">
        <f>+(F9-F6)*0.1</f>
        <v>0.60000000000000009</v>
      </c>
      <c r="H9" s="29">
        <v>10809555</v>
      </c>
      <c r="I9" s="29">
        <f>+H9-H6</f>
        <v>379</v>
      </c>
      <c r="J9" s="29">
        <v>353068</v>
      </c>
      <c r="K9" s="29">
        <f>+J9-J6</f>
        <v>76</v>
      </c>
      <c r="L9" s="29">
        <v>16515</v>
      </c>
      <c r="M9" s="29">
        <f>+(L9-L6)*0.1</f>
        <v>3.1</v>
      </c>
      <c r="N9" s="29">
        <v>28949565</v>
      </c>
      <c r="O9" s="29">
        <f>+N9-N6</f>
        <v>4468</v>
      </c>
      <c r="P9" s="29">
        <v>6253835</v>
      </c>
      <c r="Q9" s="29">
        <f>+P9-P6</f>
        <v>362</v>
      </c>
      <c r="R9" s="29">
        <v>50</v>
      </c>
    </row>
    <row r="10" spans="1:18" ht="20.25" customHeight="1" x14ac:dyDescent="0.25">
      <c r="A10" s="29">
        <v>2</v>
      </c>
      <c r="B10" s="29">
        <v>17835</v>
      </c>
      <c r="C10" s="29">
        <f>+(B10-B9)*300</f>
        <v>6300</v>
      </c>
      <c r="D10" s="29">
        <v>48892</v>
      </c>
      <c r="E10" s="29">
        <f>+(D10-D9)*1.047</f>
        <v>8.3759999999999994</v>
      </c>
      <c r="F10" s="29">
        <v>29563</v>
      </c>
      <c r="G10" s="29">
        <f>+(F10-F9)*0.1</f>
        <v>0.8</v>
      </c>
      <c r="H10" s="29">
        <v>10810250</v>
      </c>
      <c r="I10" s="29">
        <f>+H10-H9</f>
        <v>695</v>
      </c>
      <c r="J10" s="29">
        <v>353251</v>
      </c>
      <c r="K10" s="29">
        <f>+J10-J9</f>
        <v>183</v>
      </c>
      <c r="L10" s="29">
        <v>16564</v>
      </c>
      <c r="M10" s="29">
        <f>+(L10-L9)*0.1</f>
        <v>4.9000000000000004</v>
      </c>
      <c r="N10" s="29">
        <v>28957200</v>
      </c>
      <c r="O10" s="29">
        <f>+N10-N9</f>
        <v>7635</v>
      </c>
      <c r="P10" s="29">
        <v>6254502</v>
      </c>
      <c r="Q10" s="29">
        <f>+P10-P9</f>
        <v>667</v>
      </c>
      <c r="R10" s="29">
        <v>47</v>
      </c>
    </row>
    <row r="11" spans="1:18" ht="20.25" customHeight="1" x14ac:dyDescent="0.25">
      <c r="A11" s="29">
        <v>3</v>
      </c>
      <c r="B11" s="29">
        <v>17855</v>
      </c>
      <c r="C11" s="29">
        <f t="shared" ref="C11:C38" si="0">+(B11-B10)*300</f>
        <v>6000</v>
      </c>
      <c r="D11" s="29">
        <v>48903</v>
      </c>
      <c r="E11" s="29">
        <f t="shared" ref="E11:E38" si="1">+(D11-D10)*1.047</f>
        <v>11.516999999999999</v>
      </c>
      <c r="F11" s="29">
        <v>29570</v>
      </c>
      <c r="G11" s="29">
        <f t="shared" ref="G11:G38" si="2">+(F11-F10)*0.1</f>
        <v>0.70000000000000007</v>
      </c>
      <c r="H11" s="29">
        <v>10810933</v>
      </c>
      <c r="I11" s="29">
        <f>+H11-H10</f>
        <v>683</v>
      </c>
      <c r="J11" s="29">
        <v>353371</v>
      </c>
      <c r="K11" s="29">
        <f>+J11-J10</f>
        <v>120</v>
      </c>
      <c r="L11" s="29">
        <v>16610</v>
      </c>
      <c r="M11" s="29">
        <f t="shared" ref="M11:M38" si="3">+(L11-L10)*0.1</f>
        <v>4.6000000000000005</v>
      </c>
      <c r="N11" s="29">
        <v>28957200</v>
      </c>
      <c r="O11" s="29">
        <f>+N11-N10</f>
        <v>0</v>
      </c>
      <c r="P11" s="29">
        <v>6254502</v>
      </c>
      <c r="Q11" s="29">
        <f>+P11-P10</f>
        <v>0</v>
      </c>
      <c r="R11" s="29">
        <v>50</v>
      </c>
    </row>
    <row r="12" spans="1:18" ht="20.25" customHeight="1" x14ac:dyDescent="0.25">
      <c r="A12" s="29">
        <v>4</v>
      </c>
      <c r="B12" s="29">
        <v>17873</v>
      </c>
      <c r="C12" s="29">
        <f t="shared" si="0"/>
        <v>5400</v>
      </c>
      <c r="D12" s="29">
        <v>48911</v>
      </c>
      <c r="E12" s="29">
        <f t="shared" si="1"/>
        <v>8.3759999999999994</v>
      </c>
      <c r="F12" s="29">
        <v>29578</v>
      </c>
      <c r="G12" s="29">
        <f t="shared" si="2"/>
        <v>0.8</v>
      </c>
      <c r="H12" s="29">
        <v>10811485</v>
      </c>
      <c r="I12" s="29">
        <f t="shared" ref="I12:K38" si="4">+H12-H11</f>
        <v>552</v>
      </c>
      <c r="J12" s="29">
        <v>353501</v>
      </c>
      <c r="K12" s="29">
        <f t="shared" si="4"/>
        <v>130</v>
      </c>
      <c r="L12" s="29">
        <v>16678</v>
      </c>
      <c r="M12" s="29">
        <f t="shared" si="3"/>
        <v>6.8000000000000007</v>
      </c>
      <c r="N12" s="29">
        <v>28969998</v>
      </c>
      <c r="O12" s="29">
        <f t="shared" ref="O12:Q27" si="5">+N12-N11</f>
        <v>12798</v>
      </c>
      <c r="P12" s="29">
        <v>6254715</v>
      </c>
      <c r="Q12" s="29">
        <f t="shared" si="5"/>
        <v>213</v>
      </c>
      <c r="R12" s="29">
        <v>50</v>
      </c>
    </row>
    <row r="13" spans="1:18" ht="20.25" customHeight="1" x14ac:dyDescent="0.25">
      <c r="A13" s="29">
        <v>5</v>
      </c>
      <c r="B13" s="29">
        <v>17895</v>
      </c>
      <c r="C13" s="29">
        <f t="shared" si="0"/>
        <v>6600</v>
      </c>
      <c r="D13" s="29">
        <v>48921</v>
      </c>
      <c r="E13" s="29">
        <f t="shared" si="1"/>
        <v>10.469999999999999</v>
      </c>
      <c r="F13" s="29">
        <v>29588</v>
      </c>
      <c r="G13" s="29">
        <f t="shared" si="2"/>
        <v>1</v>
      </c>
      <c r="H13" s="29">
        <v>10812140</v>
      </c>
      <c r="I13" s="29">
        <f t="shared" si="4"/>
        <v>655</v>
      </c>
      <c r="J13" s="29">
        <v>353510</v>
      </c>
      <c r="K13" s="29">
        <f t="shared" si="4"/>
        <v>9</v>
      </c>
      <c r="L13" s="29">
        <v>16733</v>
      </c>
      <c r="M13" s="29">
        <f t="shared" si="3"/>
        <v>5.5</v>
      </c>
      <c r="N13" s="29">
        <v>28978160</v>
      </c>
      <c r="O13" s="29">
        <f t="shared" si="5"/>
        <v>8162</v>
      </c>
      <c r="P13" s="29">
        <v>6254903</v>
      </c>
      <c r="Q13" s="29">
        <f t="shared" si="5"/>
        <v>188</v>
      </c>
      <c r="R13" s="29">
        <v>51</v>
      </c>
    </row>
    <row r="14" spans="1:18" ht="20.25" customHeight="1" x14ac:dyDescent="0.25">
      <c r="A14" s="29">
        <v>6</v>
      </c>
      <c r="B14" s="29">
        <v>17909</v>
      </c>
      <c r="C14" s="29">
        <f t="shared" si="0"/>
        <v>4200</v>
      </c>
      <c r="D14" s="29">
        <v>48928</v>
      </c>
      <c r="E14" s="29">
        <f t="shared" si="1"/>
        <v>7.3289999999999997</v>
      </c>
      <c r="F14" s="29">
        <v>29594</v>
      </c>
      <c r="G14" s="29">
        <f t="shared" si="2"/>
        <v>0.60000000000000009</v>
      </c>
      <c r="H14" s="29">
        <v>10812655</v>
      </c>
      <c r="I14" s="29">
        <f t="shared" si="4"/>
        <v>515</v>
      </c>
      <c r="J14" s="29">
        <v>353515</v>
      </c>
      <c r="K14" s="29">
        <f t="shared" si="4"/>
        <v>5</v>
      </c>
      <c r="L14" s="29">
        <v>16779</v>
      </c>
      <c r="M14" s="29">
        <f t="shared" si="3"/>
        <v>4.6000000000000005</v>
      </c>
      <c r="N14" s="29">
        <v>28983890</v>
      </c>
      <c r="O14" s="29">
        <f t="shared" si="5"/>
        <v>5730</v>
      </c>
      <c r="P14" s="29">
        <v>6254903</v>
      </c>
      <c r="Q14" s="29">
        <f t="shared" si="5"/>
        <v>0</v>
      </c>
      <c r="R14" s="29">
        <v>55</v>
      </c>
    </row>
    <row r="15" spans="1:18" ht="20.25" customHeight="1" x14ac:dyDescent="0.25">
      <c r="A15" s="29">
        <v>7</v>
      </c>
      <c r="B15" s="29">
        <v>17933</v>
      </c>
      <c r="C15" s="29">
        <f t="shared" si="0"/>
        <v>7200</v>
      </c>
      <c r="D15" s="29">
        <v>48947</v>
      </c>
      <c r="E15" s="29">
        <f t="shared" si="1"/>
        <v>19.892999999999997</v>
      </c>
      <c r="F15" s="29">
        <v>29605</v>
      </c>
      <c r="G15" s="29">
        <f t="shared" si="2"/>
        <v>1.1000000000000001</v>
      </c>
      <c r="H15" s="29">
        <v>10813840</v>
      </c>
      <c r="I15" s="29">
        <f t="shared" si="4"/>
        <v>1185</v>
      </c>
      <c r="J15" s="29">
        <v>353515</v>
      </c>
      <c r="K15" s="29">
        <f t="shared" si="4"/>
        <v>0</v>
      </c>
      <c r="L15" s="29">
        <v>16873</v>
      </c>
      <c r="M15" s="29">
        <f t="shared" si="3"/>
        <v>9.4</v>
      </c>
      <c r="N15" s="29">
        <v>28994397</v>
      </c>
      <c r="O15" s="29">
        <f t="shared" si="5"/>
        <v>10507</v>
      </c>
      <c r="P15" s="29">
        <v>6254903</v>
      </c>
      <c r="Q15" s="29">
        <f t="shared" si="5"/>
        <v>0</v>
      </c>
      <c r="R15" s="29">
        <v>58</v>
      </c>
    </row>
    <row r="16" spans="1:18" ht="20.25" customHeight="1" x14ac:dyDescent="0.25">
      <c r="A16" s="29">
        <v>8</v>
      </c>
      <c r="B16" s="29">
        <v>17946</v>
      </c>
      <c r="C16" s="29">
        <f t="shared" si="0"/>
        <v>3900</v>
      </c>
      <c r="D16" s="29">
        <v>48948</v>
      </c>
      <c r="E16" s="29">
        <f t="shared" si="1"/>
        <v>1.0469999999999999</v>
      </c>
      <c r="F16" s="29">
        <v>29610</v>
      </c>
      <c r="G16" s="29">
        <f t="shared" si="2"/>
        <v>0.5</v>
      </c>
      <c r="H16" s="29">
        <v>10814155</v>
      </c>
      <c r="I16" s="29">
        <f t="shared" si="4"/>
        <v>315</v>
      </c>
      <c r="J16" s="29">
        <v>353515</v>
      </c>
      <c r="K16" s="29">
        <f t="shared" si="4"/>
        <v>0</v>
      </c>
      <c r="L16" s="29">
        <v>16923</v>
      </c>
      <c r="M16" s="29">
        <f t="shared" si="3"/>
        <v>5</v>
      </c>
      <c r="N16" s="29">
        <v>29000140</v>
      </c>
      <c r="O16" s="29">
        <f t="shared" si="5"/>
        <v>5743</v>
      </c>
      <c r="P16" s="29">
        <v>6254903</v>
      </c>
      <c r="Q16" s="29">
        <f t="shared" si="5"/>
        <v>0</v>
      </c>
      <c r="R16" s="29">
        <v>63</v>
      </c>
    </row>
    <row r="17" spans="1:18" ht="20.25" customHeight="1" x14ac:dyDescent="0.25">
      <c r="A17" s="29">
        <v>9</v>
      </c>
      <c r="B17" s="29">
        <v>17963</v>
      </c>
      <c r="C17" s="29">
        <f>+(B17-B16)*300</f>
        <v>5100</v>
      </c>
      <c r="D17" s="29">
        <v>48958</v>
      </c>
      <c r="E17" s="29">
        <f t="shared" si="1"/>
        <v>10.469999999999999</v>
      </c>
      <c r="F17" s="29">
        <v>29618</v>
      </c>
      <c r="G17" s="29">
        <f t="shared" si="2"/>
        <v>0.8</v>
      </c>
      <c r="H17" s="29">
        <v>10814890</v>
      </c>
      <c r="I17" s="29">
        <f t="shared" si="4"/>
        <v>735</v>
      </c>
      <c r="J17" s="29">
        <v>353515</v>
      </c>
      <c r="K17" s="29">
        <f t="shared" si="4"/>
        <v>0</v>
      </c>
      <c r="L17" s="29">
        <v>16972</v>
      </c>
      <c r="M17" s="29">
        <f t="shared" si="3"/>
        <v>4.9000000000000004</v>
      </c>
      <c r="N17" s="29">
        <v>29004405</v>
      </c>
      <c r="O17" s="29">
        <f t="shared" si="5"/>
        <v>4265</v>
      </c>
      <c r="P17" s="29">
        <v>6254903</v>
      </c>
      <c r="Q17" s="29">
        <f t="shared" si="5"/>
        <v>0</v>
      </c>
      <c r="R17" s="29">
        <v>54</v>
      </c>
    </row>
    <row r="18" spans="1:18" ht="20.25" customHeight="1" x14ac:dyDescent="0.25">
      <c r="A18" s="29">
        <v>10</v>
      </c>
      <c r="B18" s="29">
        <v>17963</v>
      </c>
      <c r="C18" s="29">
        <f t="shared" si="0"/>
        <v>0</v>
      </c>
      <c r="D18" s="29">
        <v>48958</v>
      </c>
      <c r="E18" s="29">
        <f t="shared" si="1"/>
        <v>0</v>
      </c>
      <c r="F18" s="29">
        <v>29618</v>
      </c>
      <c r="G18" s="29">
        <f t="shared" si="2"/>
        <v>0</v>
      </c>
      <c r="H18" s="29">
        <v>10814890</v>
      </c>
      <c r="I18" s="29">
        <f t="shared" si="4"/>
        <v>0</v>
      </c>
      <c r="J18" s="29">
        <v>353515</v>
      </c>
      <c r="K18" s="29">
        <f t="shared" si="4"/>
        <v>0</v>
      </c>
      <c r="L18" s="29">
        <v>16972</v>
      </c>
      <c r="M18" s="29">
        <f t="shared" si="3"/>
        <v>0</v>
      </c>
      <c r="N18" s="29">
        <v>29004405</v>
      </c>
      <c r="O18" s="29">
        <f t="shared" si="5"/>
        <v>0</v>
      </c>
      <c r="P18" s="29">
        <v>6254903</v>
      </c>
      <c r="Q18" s="29">
        <f t="shared" si="5"/>
        <v>0</v>
      </c>
      <c r="R18" s="29">
        <v>52</v>
      </c>
    </row>
    <row r="19" spans="1:18" ht="20.25" customHeight="1" x14ac:dyDescent="0.25">
      <c r="A19" s="29">
        <v>11</v>
      </c>
      <c r="B19" s="29">
        <v>17963</v>
      </c>
      <c r="C19" s="29">
        <f t="shared" si="0"/>
        <v>0</v>
      </c>
      <c r="D19" s="29">
        <v>48958</v>
      </c>
      <c r="E19" s="29">
        <f t="shared" si="1"/>
        <v>0</v>
      </c>
      <c r="F19" s="29">
        <v>29618</v>
      </c>
      <c r="G19" s="29">
        <f t="shared" si="2"/>
        <v>0</v>
      </c>
      <c r="H19" s="29">
        <v>10814890</v>
      </c>
      <c r="I19" s="29">
        <f t="shared" si="4"/>
        <v>0</v>
      </c>
      <c r="J19" s="29">
        <v>353515</v>
      </c>
      <c r="K19" s="29">
        <f t="shared" si="4"/>
        <v>0</v>
      </c>
      <c r="L19" s="29">
        <v>16972</v>
      </c>
      <c r="M19" s="29">
        <f t="shared" si="3"/>
        <v>0</v>
      </c>
      <c r="N19" s="29">
        <v>29004405</v>
      </c>
      <c r="O19" s="29">
        <f t="shared" si="5"/>
        <v>0</v>
      </c>
      <c r="P19" s="29">
        <v>6254903</v>
      </c>
      <c r="Q19" s="29">
        <f t="shared" si="5"/>
        <v>0</v>
      </c>
      <c r="R19" s="29">
        <v>59</v>
      </c>
    </row>
    <row r="20" spans="1:18" ht="20.25" customHeight="1" x14ac:dyDescent="0.25">
      <c r="A20" s="29">
        <v>12</v>
      </c>
      <c r="B20" s="29">
        <v>18025</v>
      </c>
      <c r="C20" s="29">
        <f t="shared" si="0"/>
        <v>18600</v>
      </c>
      <c r="D20" s="29">
        <v>48995</v>
      </c>
      <c r="E20" s="29">
        <f t="shared" si="1"/>
        <v>38.738999999999997</v>
      </c>
      <c r="F20" s="29">
        <v>29642</v>
      </c>
      <c r="G20" s="29">
        <f t="shared" si="2"/>
        <v>2.4000000000000004</v>
      </c>
      <c r="H20" s="29">
        <v>10817485</v>
      </c>
      <c r="I20" s="29">
        <f t="shared" si="4"/>
        <v>2595</v>
      </c>
      <c r="J20" s="29">
        <v>353515</v>
      </c>
      <c r="K20" s="29">
        <f t="shared" si="4"/>
        <v>0</v>
      </c>
      <c r="L20" s="29">
        <v>17208</v>
      </c>
      <c r="M20" s="29">
        <f t="shared" si="3"/>
        <v>23.6</v>
      </c>
      <c r="N20" s="29">
        <v>29029053</v>
      </c>
      <c r="O20" s="29">
        <f t="shared" si="5"/>
        <v>24648</v>
      </c>
      <c r="P20" s="29">
        <v>6255189</v>
      </c>
      <c r="Q20" s="29">
        <f t="shared" si="5"/>
        <v>286</v>
      </c>
      <c r="R20" s="29">
        <v>53</v>
      </c>
    </row>
    <row r="21" spans="1:18" ht="20.25" customHeight="1" x14ac:dyDescent="0.25">
      <c r="A21" s="29">
        <v>13</v>
      </c>
      <c r="B21" s="29">
        <v>18042</v>
      </c>
      <c r="C21" s="29">
        <f t="shared" si="0"/>
        <v>5100</v>
      </c>
      <c r="D21" s="29">
        <v>49007</v>
      </c>
      <c r="E21" s="29">
        <f t="shared" si="1"/>
        <v>12.564</v>
      </c>
      <c r="F21" s="29">
        <v>29648</v>
      </c>
      <c r="G21" s="29">
        <f t="shared" si="2"/>
        <v>0.60000000000000009</v>
      </c>
      <c r="H21" s="29">
        <v>10818322</v>
      </c>
      <c r="I21" s="29">
        <f t="shared" si="4"/>
        <v>837</v>
      </c>
      <c r="J21" s="29">
        <v>353515</v>
      </c>
      <c r="K21" s="29">
        <f t="shared" si="4"/>
        <v>0</v>
      </c>
      <c r="L21" s="29">
        <v>17288</v>
      </c>
      <c r="M21" s="29">
        <f t="shared" si="3"/>
        <v>8</v>
      </c>
      <c r="N21" s="29">
        <v>29034244</v>
      </c>
      <c r="O21" s="29">
        <f t="shared" si="5"/>
        <v>5191</v>
      </c>
      <c r="P21" s="29">
        <v>6255191</v>
      </c>
      <c r="Q21" s="29">
        <f t="shared" si="5"/>
        <v>2</v>
      </c>
      <c r="R21" s="29">
        <v>31</v>
      </c>
    </row>
    <row r="22" spans="1:18" ht="20.25" customHeight="1" x14ac:dyDescent="0.25">
      <c r="A22" s="29">
        <v>14</v>
      </c>
      <c r="B22" s="29">
        <v>18065</v>
      </c>
      <c r="C22" s="29">
        <f t="shared" si="0"/>
        <v>6900</v>
      </c>
      <c r="D22" s="29">
        <v>49023</v>
      </c>
      <c r="E22" s="29">
        <f t="shared" si="1"/>
        <v>16.751999999999999</v>
      </c>
      <c r="F22" s="29">
        <v>29659</v>
      </c>
      <c r="G22" s="29">
        <f t="shared" si="2"/>
        <v>1.1000000000000001</v>
      </c>
      <c r="H22" s="29">
        <v>10819650</v>
      </c>
      <c r="I22" s="29">
        <f t="shared" si="4"/>
        <v>1328</v>
      </c>
      <c r="J22" s="29">
        <v>353515</v>
      </c>
      <c r="K22" s="29">
        <f t="shared" si="4"/>
        <v>0</v>
      </c>
      <c r="L22" s="29">
        <v>17405</v>
      </c>
      <c r="M22" s="29">
        <f t="shared" si="3"/>
        <v>11.700000000000001</v>
      </c>
      <c r="N22" s="29">
        <v>29043849</v>
      </c>
      <c r="O22" s="29">
        <f t="shared" si="5"/>
        <v>9605</v>
      </c>
      <c r="P22" s="29">
        <v>6255191</v>
      </c>
      <c r="Q22" s="29">
        <f t="shared" si="5"/>
        <v>0</v>
      </c>
      <c r="R22" s="29">
        <v>0</v>
      </c>
    </row>
    <row r="23" spans="1:18" ht="20.25" customHeight="1" x14ac:dyDescent="0.25">
      <c r="A23" s="29">
        <v>15</v>
      </c>
      <c r="B23" s="29">
        <v>18071</v>
      </c>
      <c r="C23" s="29">
        <f t="shared" si="0"/>
        <v>1800</v>
      </c>
      <c r="D23" s="29">
        <v>49026</v>
      </c>
      <c r="E23" s="29">
        <f t="shared" si="1"/>
        <v>3.141</v>
      </c>
      <c r="F23" s="29">
        <v>29662</v>
      </c>
      <c r="G23" s="29">
        <f t="shared" si="2"/>
        <v>0.30000000000000004</v>
      </c>
      <c r="H23" s="29">
        <v>10819777</v>
      </c>
      <c r="I23" s="29">
        <f t="shared" si="4"/>
        <v>127</v>
      </c>
      <c r="J23" s="29">
        <v>353515</v>
      </c>
      <c r="K23" s="29">
        <f t="shared" si="4"/>
        <v>0</v>
      </c>
      <c r="L23" s="29">
        <v>17443</v>
      </c>
      <c r="M23" s="29">
        <f t="shared" si="3"/>
        <v>3.8000000000000003</v>
      </c>
      <c r="N23" s="29">
        <v>29045540</v>
      </c>
      <c r="O23" s="29">
        <f t="shared" si="5"/>
        <v>1691</v>
      </c>
      <c r="P23" s="29">
        <v>6255191</v>
      </c>
      <c r="Q23" s="29">
        <f t="shared" si="5"/>
        <v>0</v>
      </c>
      <c r="R23" s="29">
        <v>45</v>
      </c>
    </row>
    <row r="24" spans="1:18" ht="20.25" customHeight="1" x14ac:dyDescent="0.25">
      <c r="A24" s="29">
        <v>16</v>
      </c>
      <c r="B24" s="29">
        <v>18089</v>
      </c>
      <c r="C24" s="29">
        <f t="shared" si="0"/>
        <v>5400</v>
      </c>
      <c r="D24" s="29">
        <v>49043</v>
      </c>
      <c r="E24" s="29">
        <f t="shared" si="1"/>
        <v>17.798999999999999</v>
      </c>
      <c r="F24" s="29">
        <v>29670</v>
      </c>
      <c r="G24" s="29">
        <f t="shared" si="2"/>
        <v>0.8</v>
      </c>
      <c r="H24" s="29">
        <v>10820540</v>
      </c>
      <c r="I24" s="29">
        <f t="shared" si="4"/>
        <v>763</v>
      </c>
      <c r="J24" s="29">
        <v>353515</v>
      </c>
      <c r="K24" s="29">
        <f t="shared" si="4"/>
        <v>0</v>
      </c>
      <c r="L24" s="29">
        <v>17531</v>
      </c>
      <c r="M24" s="29">
        <f t="shared" si="3"/>
        <v>8.8000000000000007</v>
      </c>
      <c r="N24" s="29">
        <v>29051650</v>
      </c>
      <c r="O24" s="29">
        <f t="shared" si="5"/>
        <v>6110</v>
      </c>
      <c r="P24" s="29">
        <v>6255192</v>
      </c>
      <c r="Q24" s="29">
        <f t="shared" si="5"/>
        <v>1</v>
      </c>
      <c r="R24" s="29">
        <v>56</v>
      </c>
    </row>
    <row r="25" spans="1:18" ht="20.25" customHeight="1" x14ac:dyDescent="0.25">
      <c r="A25" s="29">
        <v>17</v>
      </c>
      <c r="B25" s="29">
        <v>18108</v>
      </c>
      <c r="C25" s="29">
        <f t="shared" si="0"/>
        <v>5700</v>
      </c>
      <c r="D25" s="29">
        <v>49058</v>
      </c>
      <c r="E25" s="29">
        <f t="shared" si="1"/>
        <v>15.704999999999998</v>
      </c>
      <c r="F25" s="29">
        <v>29679</v>
      </c>
      <c r="G25" s="29">
        <f t="shared" si="2"/>
        <v>0.9</v>
      </c>
      <c r="H25" s="29">
        <v>10821280</v>
      </c>
      <c r="I25" s="29">
        <f t="shared" si="4"/>
        <v>740</v>
      </c>
      <c r="J25" s="29">
        <v>353515</v>
      </c>
      <c r="K25" s="29">
        <f t="shared" si="4"/>
        <v>0</v>
      </c>
      <c r="L25" s="29">
        <v>17600</v>
      </c>
      <c r="M25" s="29">
        <f t="shared" si="3"/>
        <v>6.9</v>
      </c>
      <c r="N25" s="29">
        <v>29058310</v>
      </c>
      <c r="O25" s="29">
        <f t="shared" si="5"/>
        <v>6660</v>
      </c>
      <c r="P25" s="29">
        <v>6255192</v>
      </c>
      <c r="Q25" s="29">
        <f t="shared" si="5"/>
        <v>0</v>
      </c>
      <c r="R25" s="29">
        <v>62</v>
      </c>
    </row>
    <row r="26" spans="1:18" ht="20.25" customHeight="1" x14ac:dyDescent="0.25">
      <c r="A26" s="29">
        <v>18</v>
      </c>
      <c r="B26" s="29">
        <v>18126</v>
      </c>
      <c r="C26" s="29">
        <f t="shared" si="0"/>
        <v>5400</v>
      </c>
      <c r="D26" s="29">
        <v>49074</v>
      </c>
      <c r="E26" s="29">
        <f t="shared" si="1"/>
        <v>16.751999999999999</v>
      </c>
      <c r="F26" s="29">
        <v>29697</v>
      </c>
      <c r="G26" s="29">
        <f t="shared" si="2"/>
        <v>1.8</v>
      </c>
      <c r="H26" s="29">
        <v>10822135</v>
      </c>
      <c r="I26" s="29">
        <f t="shared" si="4"/>
        <v>855</v>
      </c>
      <c r="J26" s="29">
        <v>353515</v>
      </c>
      <c r="K26" s="29">
        <f t="shared" si="4"/>
        <v>0</v>
      </c>
      <c r="L26" s="29">
        <v>17688</v>
      </c>
      <c r="M26" s="29">
        <f t="shared" si="3"/>
        <v>8.8000000000000007</v>
      </c>
      <c r="N26" s="29">
        <v>29064838</v>
      </c>
      <c r="O26" s="29">
        <f t="shared" si="5"/>
        <v>6528</v>
      </c>
      <c r="P26" s="29">
        <v>6255195</v>
      </c>
      <c r="Q26" s="29">
        <f t="shared" si="5"/>
        <v>3</v>
      </c>
      <c r="R26" s="29">
        <v>53</v>
      </c>
    </row>
    <row r="27" spans="1:18" ht="20.25" customHeight="1" x14ac:dyDescent="0.25">
      <c r="A27" s="29">
        <v>19</v>
      </c>
      <c r="B27" s="29">
        <v>18152</v>
      </c>
      <c r="C27" s="29">
        <f t="shared" si="0"/>
        <v>7800</v>
      </c>
      <c r="D27" s="29">
        <v>49096</v>
      </c>
      <c r="E27" s="29">
        <f t="shared" si="1"/>
        <v>23.033999999999999</v>
      </c>
      <c r="F27" s="29">
        <v>29700</v>
      </c>
      <c r="G27" s="29">
        <f t="shared" si="2"/>
        <v>0.30000000000000004</v>
      </c>
      <c r="H27" s="29">
        <v>10823370</v>
      </c>
      <c r="I27" s="29">
        <f t="shared" si="4"/>
        <v>1235</v>
      </c>
      <c r="J27" s="29">
        <v>353515</v>
      </c>
      <c r="K27" s="29">
        <f t="shared" si="4"/>
        <v>0</v>
      </c>
      <c r="L27" s="29">
        <v>17812</v>
      </c>
      <c r="M27" s="29">
        <f t="shared" si="3"/>
        <v>12.4</v>
      </c>
      <c r="N27" s="29">
        <v>29074985</v>
      </c>
      <c r="O27" s="29">
        <f t="shared" si="5"/>
        <v>10147</v>
      </c>
      <c r="P27" s="29">
        <v>6255131</v>
      </c>
      <c r="Q27" s="29">
        <f t="shared" si="5"/>
        <v>-64</v>
      </c>
      <c r="R27" s="29">
        <v>52</v>
      </c>
    </row>
    <row r="28" spans="1:18" ht="20.25" customHeight="1" x14ac:dyDescent="0.25">
      <c r="A28" s="29">
        <v>20</v>
      </c>
      <c r="B28" s="29">
        <v>18166</v>
      </c>
      <c r="C28" s="29">
        <f t="shared" si="0"/>
        <v>4200</v>
      </c>
      <c r="D28" s="29">
        <v>49108</v>
      </c>
      <c r="E28" s="29">
        <f t="shared" si="1"/>
        <v>12.564</v>
      </c>
      <c r="F28" s="29">
        <v>29705</v>
      </c>
      <c r="G28" s="29">
        <f t="shared" si="2"/>
        <v>0.5</v>
      </c>
      <c r="H28" s="29">
        <v>10823870</v>
      </c>
      <c r="I28" s="29">
        <f t="shared" si="4"/>
        <v>500</v>
      </c>
      <c r="J28" s="29">
        <v>353515</v>
      </c>
      <c r="K28" s="29">
        <f t="shared" si="4"/>
        <v>0</v>
      </c>
      <c r="L28" s="29">
        <v>17892</v>
      </c>
      <c r="M28" s="29">
        <f t="shared" si="3"/>
        <v>8</v>
      </c>
      <c r="N28" s="29">
        <v>29081394</v>
      </c>
      <c r="O28" s="29">
        <f t="shared" ref="O28:Q38" si="6">+N28-N27</f>
        <v>6409</v>
      </c>
      <c r="P28" s="29">
        <v>6255131</v>
      </c>
      <c r="Q28" s="29">
        <f t="shared" si="6"/>
        <v>0</v>
      </c>
      <c r="R28" s="29">
        <v>38</v>
      </c>
    </row>
    <row r="29" spans="1:18" ht="20.25" customHeight="1" x14ac:dyDescent="0.25">
      <c r="A29" s="29">
        <v>21</v>
      </c>
      <c r="B29" s="29">
        <v>18187</v>
      </c>
      <c r="C29" s="29">
        <f t="shared" si="0"/>
        <v>6300</v>
      </c>
      <c r="D29" s="29">
        <v>49126</v>
      </c>
      <c r="E29" s="29">
        <f t="shared" si="1"/>
        <v>18.846</v>
      </c>
      <c r="F29" s="29">
        <v>29714</v>
      </c>
      <c r="G29" s="29">
        <f t="shared" si="2"/>
        <v>0.9</v>
      </c>
      <c r="H29" s="29">
        <v>10824939</v>
      </c>
      <c r="I29" s="29">
        <f t="shared" si="4"/>
        <v>1069</v>
      </c>
      <c r="J29" s="29">
        <v>353515</v>
      </c>
      <c r="K29" s="29">
        <f t="shared" si="4"/>
        <v>0</v>
      </c>
      <c r="L29" s="29">
        <v>17992</v>
      </c>
      <c r="M29" s="29">
        <f t="shared" si="3"/>
        <v>10</v>
      </c>
      <c r="N29" s="29">
        <v>29088415</v>
      </c>
      <c r="O29" s="29">
        <f t="shared" si="6"/>
        <v>7021</v>
      </c>
      <c r="P29" s="29">
        <v>6255132</v>
      </c>
      <c r="Q29" s="29">
        <f t="shared" si="6"/>
        <v>1</v>
      </c>
      <c r="R29" s="29">
        <v>36</v>
      </c>
    </row>
    <row r="30" spans="1:18" ht="20.25" customHeight="1" x14ac:dyDescent="0.25">
      <c r="A30" s="29">
        <v>22</v>
      </c>
      <c r="B30" s="29">
        <v>18198</v>
      </c>
      <c r="C30" s="29">
        <f t="shared" si="0"/>
        <v>3300</v>
      </c>
      <c r="D30" s="29">
        <v>49135</v>
      </c>
      <c r="E30" s="29">
        <f t="shared" si="1"/>
        <v>9.423</v>
      </c>
      <c r="F30" s="29">
        <v>29718</v>
      </c>
      <c r="G30" s="29">
        <f t="shared" si="2"/>
        <v>0.4</v>
      </c>
      <c r="H30" s="29">
        <v>10825165</v>
      </c>
      <c r="I30" s="29">
        <f t="shared" si="4"/>
        <v>226</v>
      </c>
      <c r="J30" s="29">
        <v>353515</v>
      </c>
      <c r="K30" s="29">
        <f t="shared" si="4"/>
        <v>0</v>
      </c>
      <c r="L30" s="29">
        <v>18059</v>
      </c>
      <c r="M30" s="29">
        <f t="shared" si="3"/>
        <v>6.7</v>
      </c>
      <c r="N30" s="29">
        <v>29096570</v>
      </c>
      <c r="O30" s="29">
        <f t="shared" si="6"/>
        <v>8155</v>
      </c>
      <c r="P30" s="29">
        <v>6255132</v>
      </c>
      <c r="Q30" s="29">
        <f t="shared" si="6"/>
        <v>0</v>
      </c>
      <c r="R30" s="29">
        <v>28</v>
      </c>
    </row>
    <row r="31" spans="1:18" ht="20.25" customHeight="1" x14ac:dyDescent="0.25">
      <c r="A31" s="29">
        <v>23</v>
      </c>
      <c r="B31" s="29">
        <v>18215</v>
      </c>
      <c r="C31" s="29">
        <f t="shared" si="0"/>
        <v>5100</v>
      </c>
      <c r="D31" s="29">
        <v>49151</v>
      </c>
      <c r="E31" s="29">
        <f t="shared" si="1"/>
        <v>16.751999999999999</v>
      </c>
      <c r="F31" s="29">
        <v>29724</v>
      </c>
      <c r="G31" s="29">
        <f t="shared" si="2"/>
        <v>0.60000000000000009</v>
      </c>
      <c r="H31" s="29">
        <v>10825860</v>
      </c>
      <c r="I31" s="29">
        <f t="shared" si="4"/>
        <v>695</v>
      </c>
      <c r="J31" s="29">
        <v>353515</v>
      </c>
      <c r="K31" s="29">
        <f t="shared" si="4"/>
        <v>0</v>
      </c>
      <c r="L31" s="29">
        <v>18136</v>
      </c>
      <c r="M31" s="29">
        <f t="shared" si="3"/>
        <v>7.7</v>
      </c>
      <c r="N31" s="29">
        <v>29102460</v>
      </c>
      <c r="O31" s="29">
        <f t="shared" si="6"/>
        <v>5890</v>
      </c>
      <c r="P31" s="29">
        <v>6255132</v>
      </c>
      <c r="Q31" s="29">
        <f t="shared" si="6"/>
        <v>0</v>
      </c>
      <c r="R31" s="29">
        <v>37</v>
      </c>
    </row>
    <row r="32" spans="1:18" ht="20.25" customHeight="1" x14ac:dyDescent="0.25">
      <c r="A32" s="29">
        <v>24</v>
      </c>
      <c r="B32" s="29">
        <v>18233</v>
      </c>
      <c r="C32" s="29">
        <f t="shared" si="0"/>
        <v>5400</v>
      </c>
      <c r="D32" s="29">
        <v>49166</v>
      </c>
      <c r="E32" s="29">
        <f t="shared" si="1"/>
        <v>15.704999999999998</v>
      </c>
      <c r="F32" s="29">
        <v>29729</v>
      </c>
      <c r="G32" s="29">
        <f t="shared" si="2"/>
        <v>0.5</v>
      </c>
      <c r="H32" s="29">
        <v>10826510</v>
      </c>
      <c r="I32" s="29">
        <f t="shared" si="4"/>
        <v>650</v>
      </c>
      <c r="J32" s="29">
        <v>353515</v>
      </c>
      <c r="K32" s="29">
        <f t="shared" si="4"/>
        <v>0</v>
      </c>
      <c r="L32" s="29">
        <v>18240</v>
      </c>
      <c r="M32" s="29">
        <f t="shared" si="3"/>
        <v>10.4</v>
      </c>
      <c r="N32" s="29">
        <v>29110885</v>
      </c>
      <c r="O32" s="29">
        <f t="shared" si="6"/>
        <v>8425</v>
      </c>
      <c r="P32" s="29">
        <v>6255133</v>
      </c>
      <c r="Q32" s="29">
        <f t="shared" si="6"/>
        <v>1</v>
      </c>
      <c r="R32" s="29">
        <v>43</v>
      </c>
    </row>
    <row r="33" spans="1:18" ht="20.25" customHeight="1" x14ac:dyDescent="0.25">
      <c r="A33" s="29">
        <v>25</v>
      </c>
      <c r="B33" s="29">
        <v>18254</v>
      </c>
      <c r="C33" s="29">
        <f t="shared" si="0"/>
        <v>6300</v>
      </c>
      <c r="D33" s="29">
        <v>49187</v>
      </c>
      <c r="E33" s="29">
        <f t="shared" si="1"/>
        <v>21.986999999999998</v>
      </c>
      <c r="F33" s="29">
        <v>29736</v>
      </c>
      <c r="G33" s="29">
        <f t="shared" si="2"/>
        <v>0.70000000000000007</v>
      </c>
      <c r="H33" s="29">
        <v>10827220</v>
      </c>
      <c r="I33" s="29">
        <f t="shared" si="4"/>
        <v>710</v>
      </c>
      <c r="J33" s="29">
        <v>353515</v>
      </c>
      <c r="K33" s="29">
        <f t="shared" si="4"/>
        <v>0</v>
      </c>
      <c r="L33" s="29">
        <v>18348</v>
      </c>
      <c r="M33" s="29">
        <f t="shared" si="3"/>
        <v>10.8</v>
      </c>
      <c r="N33" s="29">
        <v>29119315</v>
      </c>
      <c r="O33" s="29">
        <f t="shared" si="6"/>
        <v>8430</v>
      </c>
      <c r="P33" s="29">
        <v>6255133</v>
      </c>
      <c r="Q33" s="29">
        <f t="shared" si="6"/>
        <v>0</v>
      </c>
      <c r="R33" s="29">
        <v>36</v>
      </c>
    </row>
    <row r="34" spans="1:18" ht="20.25" customHeight="1" x14ac:dyDescent="0.25">
      <c r="A34" s="29">
        <v>26</v>
      </c>
      <c r="B34" s="29">
        <v>18270</v>
      </c>
      <c r="C34" s="29">
        <f t="shared" si="0"/>
        <v>4800</v>
      </c>
      <c r="D34" s="29">
        <v>49203</v>
      </c>
      <c r="E34" s="29">
        <f t="shared" si="1"/>
        <v>16.751999999999999</v>
      </c>
      <c r="F34" s="29">
        <v>29746</v>
      </c>
      <c r="G34" s="29">
        <f t="shared" si="2"/>
        <v>1</v>
      </c>
      <c r="H34" s="29">
        <v>10828100</v>
      </c>
      <c r="I34" s="29">
        <f t="shared" si="4"/>
        <v>880</v>
      </c>
      <c r="J34" s="29">
        <v>353515</v>
      </c>
      <c r="K34" s="29">
        <f t="shared" si="4"/>
        <v>0</v>
      </c>
      <c r="L34" s="29">
        <v>18395</v>
      </c>
      <c r="M34" s="29">
        <f t="shared" si="3"/>
        <v>4.7</v>
      </c>
      <c r="N34" s="29">
        <v>29122222</v>
      </c>
      <c r="O34" s="29">
        <f t="shared" si="6"/>
        <v>2907</v>
      </c>
      <c r="P34" s="29">
        <v>6255134</v>
      </c>
      <c r="Q34" s="29">
        <f t="shared" si="6"/>
        <v>1</v>
      </c>
      <c r="R34" s="29">
        <v>34</v>
      </c>
    </row>
    <row r="35" spans="1:18" ht="20.25" customHeight="1" x14ac:dyDescent="0.25">
      <c r="A35" s="29">
        <v>27</v>
      </c>
      <c r="B35" s="29">
        <v>18289</v>
      </c>
      <c r="C35" s="29">
        <f t="shared" si="0"/>
        <v>5700</v>
      </c>
      <c r="D35" s="29">
        <v>49220</v>
      </c>
      <c r="E35" s="29">
        <f t="shared" si="1"/>
        <v>17.798999999999999</v>
      </c>
      <c r="F35" s="29">
        <v>29756</v>
      </c>
      <c r="G35" s="29">
        <f t="shared" si="2"/>
        <v>1</v>
      </c>
      <c r="H35" s="29">
        <v>10828776</v>
      </c>
      <c r="I35" s="29">
        <f t="shared" si="4"/>
        <v>676</v>
      </c>
      <c r="J35" s="29">
        <v>353515</v>
      </c>
      <c r="K35" s="29">
        <f t="shared" si="4"/>
        <v>0</v>
      </c>
      <c r="L35" s="29">
        <v>18490</v>
      </c>
      <c r="M35" s="29">
        <f t="shared" si="3"/>
        <v>9.5</v>
      </c>
      <c r="N35" s="29">
        <v>29129097</v>
      </c>
      <c r="O35" s="29">
        <f t="shared" si="6"/>
        <v>6875</v>
      </c>
      <c r="P35" s="29">
        <v>6255134</v>
      </c>
      <c r="Q35" s="29">
        <f t="shared" si="6"/>
        <v>0</v>
      </c>
      <c r="R35" s="29">
        <v>28</v>
      </c>
    </row>
    <row r="36" spans="1:18" ht="20.25" customHeight="1" x14ac:dyDescent="0.25">
      <c r="A36" s="29">
        <v>28</v>
      </c>
      <c r="B36" s="29">
        <v>18308</v>
      </c>
      <c r="C36" s="29">
        <f t="shared" si="0"/>
        <v>5700</v>
      </c>
      <c r="D36" s="29">
        <v>49236</v>
      </c>
      <c r="E36" s="29">
        <f t="shared" si="1"/>
        <v>16.751999999999999</v>
      </c>
      <c r="F36" s="29">
        <v>29766</v>
      </c>
      <c r="G36" s="29">
        <f t="shared" si="2"/>
        <v>1</v>
      </c>
      <c r="H36" s="29">
        <v>10829507</v>
      </c>
      <c r="I36" s="29">
        <f t="shared" si="4"/>
        <v>731</v>
      </c>
      <c r="J36" s="29">
        <v>353515</v>
      </c>
      <c r="K36" s="29">
        <f t="shared" si="4"/>
        <v>0</v>
      </c>
      <c r="L36" s="29">
        <v>18599</v>
      </c>
      <c r="M36" s="29">
        <f t="shared" si="3"/>
        <v>10.9</v>
      </c>
      <c r="N36" s="29">
        <v>29136560</v>
      </c>
      <c r="O36" s="29">
        <f t="shared" si="6"/>
        <v>7463</v>
      </c>
      <c r="P36" s="29">
        <v>6255135</v>
      </c>
      <c r="Q36" s="29">
        <f t="shared" si="6"/>
        <v>1</v>
      </c>
      <c r="R36" s="29">
        <v>41</v>
      </c>
    </row>
    <row r="37" spans="1:18" ht="20.25" customHeight="1" x14ac:dyDescent="0.25">
      <c r="A37" s="29">
        <v>29</v>
      </c>
      <c r="B37" s="29">
        <v>18320</v>
      </c>
      <c r="C37" s="29">
        <f t="shared" si="0"/>
        <v>3600</v>
      </c>
      <c r="D37" s="29">
        <v>49246</v>
      </c>
      <c r="E37" s="29">
        <f t="shared" si="1"/>
        <v>10.469999999999999</v>
      </c>
      <c r="F37" s="29">
        <v>29773</v>
      </c>
      <c r="G37" s="29">
        <f t="shared" si="2"/>
        <v>0.70000000000000007</v>
      </c>
      <c r="H37" s="29">
        <v>10829912</v>
      </c>
      <c r="I37" s="29">
        <f t="shared" si="4"/>
        <v>405</v>
      </c>
      <c r="J37" s="29">
        <v>353515</v>
      </c>
      <c r="K37" s="29">
        <f t="shared" si="4"/>
        <v>0</v>
      </c>
      <c r="L37" s="29">
        <v>18678</v>
      </c>
      <c r="M37" s="29">
        <f t="shared" si="3"/>
        <v>7.9</v>
      </c>
      <c r="N37" s="29">
        <v>29140788</v>
      </c>
      <c r="O37" s="29">
        <f t="shared" si="6"/>
        <v>4228</v>
      </c>
      <c r="P37" s="29">
        <v>6255135</v>
      </c>
      <c r="Q37" s="29">
        <f t="shared" si="6"/>
        <v>0</v>
      </c>
      <c r="R37" s="29">
        <v>46</v>
      </c>
    </row>
    <row r="38" spans="1:18" ht="20.25" customHeight="1" x14ac:dyDescent="0.25">
      <c r="A38" s="29">
        <v>30</v>
      </c>
      <c r="B38" s="29">
        <v>18339</v>
      </c>
      <c r="C38" s="29">
        <f t="shared" si="0"/>
        <v>5700</v>
      </c>
      <c r="D38" s="29">
        <v>49267</v>
      </c>
      <c r="E38" s="29">
        <f t="shared" si="1"/>
        <v>21.986999999999998</v>
      </c>
      <c r="F38" s="29">
        <v>29783</v>
      </c>
      <c r="G38" s="29">
        <f t="shared" si="2"/>
        <v>1</v>
      </c>
      <c r="H38" s="29">
        <v>10830590</v>
      </c>
      <c r="I38" s="29">
        <f t="shared" si="4"/>
        <v>678</v>
      </c>
      <c r="J38" s="29">
        <v>353515</v>
      </c>
      <c r="K38" s="29">
        <f t="shared" si="4"/>
        <v>0</v>
      </c>
      <c r="L38" s="29">
        <v>18801</v>
      </c>
      <c r="M38" s="29">
        <f t="shared" si="3"/>
        <v>12.3</v>
      </c>
      <c r="N38" s="29">
        <v>29152500</v>
      </c>
      <c r="O38" s="29">
        <f t="shared" si="6"/>
        <v>11712</v>
      </c>
      <c r="P38" s="29">
        <v>6255135</v>
      </c>
      <c r="Q38" s="29">
        <f t="shared" si="6"/>
        <v>0</v>
      </c>
      <c r="R38" s="29">
        <v>41</v>
      </c>
    </row>
    <row r="39" spans="1:18" ht="20.25" customHeight="1" x14ac:dyDescent="0.25">
      <c r="A39" s="29">
        <v>31</v>
      </c>
      <c r="B39" s="29">
        <v>18358</v>
      </c>
      <c r="C39" s="29">
        <f>+(B39-B37)*300</f>
        <v>11400</v>
      </c>
      <c r="D39" s="29">
        <v>49283</v>
      </c>
      <c r="E39" s="29">
        <f>+(D39-D37)*1.047</f>
        <v>38.738999999999997</v>
      </c>
      <c r="F39" s="29">
        <v>29793</v>
      </c>
      <c r="G39" s="29">
        <f>+(F39-F37)*0.1</f>
        <v>2</v>
      </c>
      <c r="H39" s="29">
        <v>10831310</v>
      </c>
      <c r="I39" s="29">
        <f>+H39-H37</f>
        <v>1398</v>
      </c>
      <c r="J39" s="29">
        <v>353515</v>
      </c>
      <c r="K39" s="29">
        <f>+J39-J37</f>
        <v>0</v>
      </c>
      <c r="L39" s="29">
        <v>18895</v>
      </c>
      <c r="M39" s="29">
        <f>+(L39-L37)*0.1</f>
        <v>21.700000000000003</v>
      </c>
      <c r="N39" s="29">
        <v>29159910</v>
      </c>
      <c r="O39" s="29">
        <f>+N39-N37</f>
        <v>19122</v>
      </c>
      <c r="P39" s="29">
        <v>6255135</v>
      </c>
      <c r="Q39" s="29">
        <f>+P39-P37</f>
        <v>0</v>
      </c>
      <c r="R39" s="29">
        <v>48</v>
      </c>
    </row>
    <row r="41" spans="1:18" x14ac:dyDescent="0.25">
      <c r="A41" s="30" t="s">
        <v>26</v>
      </c>
      <c r="C41" s="31">
        <f>SUM(C9:C40)</f>
        <v>173400</v>
      </c>
      <c r="E41" s="31">
        <f>SUM(E9:E40)</f>
        <v>446.02199999999993</v>
      </c>
      <c r="G41" s="31">
        <f>SUM(G9:G40)</f>
        <v>25.400000000000002</v>
      </c>
      <c r="I41" s="31">
        <f>SUM(I9:I40)</f>
        <v>22812</v>
      </c>
      <c r="K41" s="31">
        <f>SUM(K9:K40)</f>
        <v>523</v>
      </c>
      <c r="M41" s="31">
        <f>SUM(M9:M40)</f>
        <v>253.40000000000003</v>
      </c>
      <c r="O41" s="31">
        <f>SUM(O9:O40)</f>
        <v>226525</v>
      </c>
      <c r="Q41" s="31">
        <f>SUM(Q9:Q40)</f>
        <v>1662</v>
      </c>
      <c r="R41" s="16">
        <f>SUM(R9:R40)</f>
        <v>1397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2022-01-27T21:16:44Z</dcterms:modified>
  <cp:category/>
  <cp:contentStatus/>
</cp:coreProperties>
</file>