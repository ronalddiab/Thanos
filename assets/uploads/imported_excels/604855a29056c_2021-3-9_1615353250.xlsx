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3 - 2021" sheetId="1" r:id="rId3"/>
  </sheets>
  <definedNames>
    <definedName name="_xlnm.Print_Area" localSheetId="2">'3 - 2021'!$A$1:$J$35</definedName>
  </definedNames>
  <calcPr calcId="162913"/>
</workbook>
</file>

<file path=xl/calcChain.xml><?xml version="1.0" encoding="utf-8"?>
<calcChain xmlns="http://schemas.openxmlformats.org/spreadsheetml/2006/main"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 l="1"/>
  <c r="I8" i="2"/>
  <c r="H8" i="2"/>
  <c r="F8" i="2"/>
  <c r="E8" i="2"/>
  <c r="L7" i="3" l="1"/>
  <c r="K7" i="3"/>
  <c r="I7" i="3"/>
  <c r="G7" i="3"/>
  <c r="E7" i="3"/>
  <c r="L6" i="3"/>
  <c r="K6" i="3"/>
  <c r="I6" i="3"/>
  <c r="G6" i="3"/>
  <c r="E6" i="3"/>
  <c r="J6" i="2"/>
  <c r="I6" i="2"/>
  <c r="H6" i="2"/>
  <c r="F6" i="2"/>
  <c r="E6" i="2"/>
  <c r="L32" i="3" l="1"/>
  <c r="K32" i="3"/>
  <c r="I32" i="3"/>
  <c r="G32" i="3"/>
  <c r="E32" i="3"/>
  <c r="L31" i="3"/>
  <c r="K31" i="3"/>
  <c r="I31" i="3"/>
  <c r="G31" i="3"/>
  <c r="E31" i="3"/>
  <c r="L30" i="3"/>
  <c r="K30" i="3"/>
  <c r="I30" i="3"/>
  <c r="G30" i="3"/>
  <c r="E30" i="3"/>
  <c r="B30" i="3"/>
  <c r="B31" i="3"/>
  <c r="B32" i="3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J3" i="2" l="1"/>
  <c r="I3" i="2"/>
  <c r="H3" i="2"/>
  <c r="F3" i="2"/>
  <c r="E3" i="2"/>
  <c r="L3" i="3"/>
  <c r="K3" i="3"/>
  <c r="I3" i="3"/>
  <c r="G3" i="3"/>
  <c r="E3" i="3"/>
  <c r="E2" i="2" l="1"/>
  <c r="F2" i="2"/>
  <c r="H2" i="2"/>
  <c r="I2" i="2"/>
  <c r="J2" i="2"/>
  <c r="E2" i="3"/>
  <c r="G2" i="3"/>
  <c r="I2" i="3"/>
  <c r="K2" i="3"/>
  <c r="L2" i="3"/>
  <c r="J32" i="2"/>
  <c r="I32" i="2"/>
  <c r="H32" i="2"/>
  <c r="F32" i="2"/>
  <c r="E32" i="2"/>
  <c r="J31" i="2"/>
  <c r="I31" i="2"/>
  <c r="H31" i="2"/>
  <c r="F31" i="2"/>
  <c r="E31" i="2"/>
  <c r="J30" i="2"/>
  <c r="I30" i="2"/>
  <c r="H30" i="2"/>
  <c r="F30" i="2"/>
  <c r="E30" i="2"/>
  <c r="B30" i="2"/>
  <c r="B31" i="2"/>
  <c r="B32" i="2"/>
  <c r="I40" i="1"/>
  <c r="H40" i="1"/>
  <c r="K39" i="1"/>
  <c r="J39" i="1"/>
  <c r="I39" i="1"/>
  <c r="H39" i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J29" i="2" l="1"/>
  <c r="I29" i="2"/>
  <c r="H29" i="2"/>
  <c r="F29" i="2"/>
  <c r="E29" i="2"/>
  <c r="L29" i="3"/>
  <c r="K29" i="3"/>
  <c r="I29" i="3"/>
  <c r="G29" i="3"/>
  <c r="E29" i="3"/>
  <c r="J27" i="2" l="1"/>
  <c r="I27" i="2"/>
  <c r="F27" i="2"/>
  <c r="E27" i="2"/>
  <c r="L27" i="3"/>
  <c r="K27" i="3"/>
  <c r="I27" i="3"/>
  <c r="E27" i="3"/>
  <c r="L26" i="3" l="1"/>
  <c r="K26" i="3"/>
  <c r="I26" i="3"/>
  <c r="E26" i="3"/>
  <c r="J26" i="2"/>
  <c r="I26" i="2"/>
  <c r="F26" i="2"/>
  <c r="E26" i="2"/>
  <c r="L25" i="3" l="1"/>
  <c r="K25" i="3"/>
  <c r="I25" i="3"/>
  <c r="E25" i="3"/>
  <c r="J25" i="2"/>
  <c r="I25" i="2"/>
  <c r="F25" i="2"/>
  <c r="E25" i="2"/>
  <c r="L24" i="3" l="1"/>
  <c r="K24" i="3"/>
  <c r="I24" i="3"/>
  <c r="E24" i="3"/>
  <c r="J24" i="2"/>
  <c r="I24" i="2"/>
  <c r="F24" i="2"/>
  <c r="E24" i="2"/>
  <c r="L23" i="3" l="1"/>
  <c r="K23" i="3"/>
  <c r="I23" i="3"/>
  <c r="E23" i="3"/>
  <c r="J23" i="2"/>
  <c r="I23" i="2"/>
  <c r="F23" i="2"/>
  <c r="E23" i="2"/>
  <c r="L22" i="3" l="1"/>
  <c r="K22" i="3"/>
  <c r="I22" i="3"/>
  <c r="E22" i="3"/>
  <c r="J22" i="2"/>
  <c r="I22" i="2"/>
  <c r="F22" i="2"/>
  <c r="E22" i="2"/>
  <c r="L20" i="3" l="1"/>
  <c r="K20" i="3"/>
  <c r="I20" i="3"/>
  <c r="E20" i="3"/>
  <c r="J21" i="2"/>
  <c r="I21" i="2"/>
  <c r="F21" i="2"/>
  <c r="E21" i="2"/>
  <c r="J20" i="2"/>
  <c r="I20" i="2"/>
  <c r="F20" i="2"/>
  <c r="E20" i="2"/>
  <c r="L19" i="3" l="1"/>
  <c r="K19" i="3"/>
  <c r="I19" i="3"/>
  <c r="E19" i="3"/>
  <c r="J19" i="2"/>
  <c r="I19" i="2"/>
  <c r="F19" i="2"/>
  <c r="E19" i="2"/>
  <c r="L18" i="3" l="1"/>
  <c r="K18" i="3"/>
  <c r="I18" i="3"/>
  <c r="E18" i="3"/>
  <c r="J18" i="2"/>
  <c r="I18" i="2"/>
  <c r="F18" i="2"/>
  <c r="E18" i="2"/>
  <c r="L17" i="3" l="1"/>
  <c r="K17" i="3"/>
  <c r="I17" i="3"/>
  <c r="E17" i="3"/>
  <c r="J17" i="2"/>
  <c r="I17" i="2"/>
  <c r="F17" i="2"/>
  <c r="E17" i="2"/>
  <c r="L16" i="3" l="1"/>
  <c r="K16" i="3"/>
  <c r="I16" i="3"/>
  <c r="E16" i="3"/>
  <c r="J16" i="2"/>
  <c r="I16" i="2"/>
  <c r="F16" i="2"/>
  <c r="E16" i="2"/>
  <c r="L15" i="3" l="1"/>
  <c r="K15" i="3"/>
  <c r="I15" i="3"/>
  <c r="E15" i="3"/>
  <c r="J15" i="2"/>
  <c r="I15" i="2"/>
  <c r="F15" i="2"/>
  <c r="E15" i="2"/>
  <c r="L13" i="3" l="1"/>
  <c r="K13" i="3"/>
  <c r="I13" i="3"/>
  <c r="E13" i="3"/>
  <c r="J14" i="2"/>
  <c r="I14" i="2"/>
  <c r="F14" i="2"/>
  <c r="E14" i="2"/>
  <c r="J13" i="2"/>
  <c r="I13" i="2"/>
  <c r="F13" i="2"/>
  <c r="E13" i="2"/>
  <c r="H13" i="2" l="1"/>
  <c r="G13" i="3"/>
  <c r="L28" i="3"/>
  <c r="K28" i="3"/>
  <c r="I28" i="3"/>
  <c r="E28" i="3"/>
  <c r="J28" i="2"/>
  <c r="I28" i="2"/>
  <c r="F28" i="2"/>
  <c r="E28" i="2"/>
  <c r="H14" i="2" l="1"/>
  <c r="G15" i="3" l="1"/>
  <c r="H15" i="2"/>
  <c r="L21" i="3"/>
  <c r="K21" i="3"/>
  <c r="I21" i="3"/>
  <c r="E21" i="3"/>
  <c r="G16" i="3" l="1"/>
  <c r="H16" i="2"/>
  <c r="L14" i="3"/>
  <c r="K14" i="3"/>
  <c r="I14" i="3"/>
  <c r="G14" i="3"/>
  <c r="E14" i="3"/>
  <c r="H17" i="2" l="1"/>
  <c r="G17" i="3"/>
  <c r="J7" i="2"/>
  <c r="I7" i="2"/>
  <c r="H7" i="2"/>
  <c r="F7" i="2"/>
  <c r="E7" i="2"/>
  <c r="H18" i="2" l="1"/>
  <c r="G18" i="3"/>
  <c r="H19" i="2" l="1"/>
  <c r="G19" i="3"/>
  <c r="H20" i="2" l="1"/>
  <c r="G20" i="3"/>
  <c r="H21" i="2" l="1"/>
  <c r="G21" i="3"/>
  <c r="H22" i="2" l="1"/>
  <c r="G22" i="3"/>
  <c r="G23" i="3" l="1"/>
  <c r="H2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G24" i="3" l="1"/>
  <c r="H24" i="2"/>
  <c r="G26" i="3" l="1"/>
  <c r="H26" i="2"/>
  <c r="H25" i="2"/>
  <c r="G25" i="3"/>
  <c r="H27" i="2" l="1"/>
  <c r="G27" i="3"/>
  <c r="G28" i="3" l="1"/>
  <c r="H28" i="2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<sst xmlns="http://schemas.openxmlformats.org/spreadsheetml/2006/main" count="107" uniqueCount="38">
  <si>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</si>
  <si>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</si>
  <si>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</si>
  <si>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</si>
  <si>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</si>
  <si>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</si>
  <si>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</si>
  <si>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</si>
  <si>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</si>
  <si>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</si>
  <si>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</si>
  <si>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</si>
  <si>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</si>
  <si>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</si>
  <si>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</si>
  <si>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</si>
  <si>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</si>
  <si>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</si>
  <si>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</si>
  <si>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</si>
  <si>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</si>
  <si>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</si>
  <si>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</si>
  <si>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</si>
  <si>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</si>
  <si>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</si>
  <si>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</si>
  <si>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</si>
  <si>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</si>
  <si>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</si>
  <si>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</si>
  <si>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</si>
  <si>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</si>
  <si>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</si>
  <si>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</si>
  <si>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</si>
  <si>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</si>
  <si>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MARCH'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</si>
</sst>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5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vertical="top"/>
    </xf>
    <xf numFmtId="1" fontId="4" fillId="0" borderId="0" xfId="0" applyNumberFormat="1" applyFont="1" applyAlignment="1">
      <alignment horizontal="center"/>
    </xf>
    <xf numFmtId="1" fontId="5" fillId="0" borderId="1" xfId="0" applyNumberFormat="1" applyFont="1" applyBorder="1" applyAlignment="1" applyProtection="1">
      <alignment horizontal="center"/>
      <protection locked="0"/>
    </xf>
    <xf numFmtId="1" fontId="4" fillId="0" borderId="5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P11" sqref="P11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41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5" t="s">
        <v>19</v>
      </c>
      <c r="L1" s="4" t="s">
        <v>19</v>
      </c>
      <c r="M1" s="7" t="s">
        <v>20</v>
      </c>
      <c r="N1" s="42" t="s">
        <v>21</v>
      </c>
      <c r="O1" s="4"/>
    </row>
    <row r="2" spans="1:15" x14ac:dyDescent="0.25">
      <c r="A2" t="s">
        <v>27</v>
      </c>
      <c r="B2">
        <v>1</v>
      </c>
      <c r="C2" s="22">
        <v>3</v>
      </c>
      <c r="D2">
        <v>2021</v>
      </c>
      <c r="E2" s="24">
        <f>'3 - 2021'!B8-'3 - 2021'!B7+'3 - 2021'!C8-'3 - 2021'!C7</f>
        <v>8985</v>
      </c>
      <c r="F2" s="22">
        <v>0.11799999999999999</v>
      </c>
      <c r="G2" s="24">
        <f>(('3 - 2021'!E8-'3 - 2021'!E7)+('3 - 2021'!F8-'3 - 2021'!F7)+('3 - 2021'!G8-'3 - 2021'!G7))*1.81</f>
        <v>70.028900000000931</v>
      </c>
      <c r="H2" s="22">
        <v>0.99</v>
      </c>
      <c r="I2" s="24">
        <f>'3 - 2021'!J8-'3 - 2021'!J7</f>
        <v>11401</v>
      </c>
      <c r="J2" s="22">
        <v>8.1000000000000003E-2</v>
      </c>
      <c r="K2" s="46">
        <f>'3 - 2021'!H8-'3 - 2021'!H7</f>
        <v>0</v>
      </c>
      <c r="L2" s="24">
        <f>'3 - 2021'!I8-'3 - 2021'!I7</f>
        <v>79</v>
      </c>
      <c r="M2" s="23">
        <v>4.393629424766913</v>
      </c>
      <c r="N2" s="24">
        <v>49</v>
      </c>
    </row>
    <row r="3" spans="1:15" x14ac:dyDescent="0.25">
      <c r="A3" t="s">
        <v>27</v>
      </c>
      <c r="B3">
        <f>B2+1</f>
        <v>2</v>
      </c>
      <c r="C3" s="22">
        <v>3</v>
      </c>
      <c r="D3" s="22">
        <v>2021</v>
      </c>
      <c r="E3" s="24">
        <f>'3 - 2021'!B9-'3 - 2021'!B8+'3 - 2021'!C9-'3 - 2021'!C8</f>
        <v>8425</v>
      </c>
      <c r="F3" s="22">
        <v>0.11799999999999999</v>
      </c>
      <c r="G3" s="24">
        <f>(('3 - 2021'!E9-'3 - 2021'!E8)+('3 - 2021'!F9-'3 - 2021'!F8)+('3 - 2021'!G9-'3 - 2021'!G8))*1.81</f>
        <v>70.264199999999477</v>
      </c>
      <c r="H3" s="22">
        <v>0.99</v>
      </c>
      <c r="I3" s="24">
        <f>'3 - 2021'!J9-'3 - 2021'!J8</f>
        <v>11670</v>
      </c>
      <c r="J3" s="22">
        <v>8.1000000000000003E-2</v>
      </c>
      <c r="K3" s="46">
        <f>'3 - 2021'!H9-'3 - 2021'!H8</f>
        <v>0</v>
      </c>
      <c r="L3" s="24">
        <f>'3 - 2021'!I9-'3 - 2021'!I8</f>
        <v>87</v>
      </c>
      <c r="M3" s="23">
        <v>4.393629424766913</v>
      </c>
      <c r="N3" s="39">
        <v>49</v>
      </c>
    </row>
    <row r="4" spans="1:15" x14ac:dyDescent="0.25">
      <c r="A4" t="s">
        <v>27</v>
      </c>
      <c r="B4">
        <f t="shared" ref="B4:B32" si="0">B3+1</f>
        <v>3</v>
      </c>
      <c r="C4" s="22">
        <v>3</v>
      </c>
      <c r="D4" s="22">
        <v>2021</v>
      </c>
      <c r="E4" s="24">
        <f>'3 - 2021'!B10-'3 - 2021'!B9+'3 - 2021'!C10-'3 - 2021'!C9</f>
        <v>8849</v>
      </c>
      <c r="F4" s="22">
        <v>0.11799999999999999</v>
      </c>
      <c r="G4" s="24">
        <f>(('3 - 2021'!E10-'3 - 2021'!E9)+('3 - 2021'!F10-'3 - 2021'!F9)+('3 - 2021'!G10-'3 - 2021'!G9))*1.81</f>
        <v>78.716899999999612</v>
      </c>
      <c r="H4" s="22">
        <v>0.99</v>
      </c>
      <c r="I4" s="24">
        <f>'3 - 2021'!J10-'3 - 2021'!J9</f>
        <v>13587</v>
      </c>
      <c r="J4" s="22">
        <v>8.1000000000000003E-2</v>
      </c>
      <c r="K4" s="46">
        <f>'3 - 2021'!H10-'3 - 2021'!H9</f>
        <v>0</v>
      </c>
      <c r="L4" s="24">
        <f>'3 - 2021'!I10-'3 - 2021'!I9</f>
        <v>92</v>
      </c>
      <c r="M4" s="23">
        <v>4.393629424766913</v>
      </c>
      <c r="N4" s="39">
        <v>55</v>
      </c>
    </row>
    <row r="5" spans="1:15" x14ac:dyDescent="0.25">
      <c r="A5" t="s">
        <v>27</v>
      </c>
      <c r="B5">
        <f t="shared" si="0"/>
        <v>4</v>
      </c>
      <c r="C5" s="22">
        <v>3</v>
      </c>
      <c r="D5" s="22">
        <v>2021</v>
      </c>
      <c r="E5" s="24">
        <f>'3 - 2021'!B11-'3 - 2021'!B10+'3 - 2021'!C11-'3 - 2021'!C10</f>
        <v>9129</v>
      </c>
      <c r="F5" s="22">
        <v>0.11799999999999999</v>
      </c>
      <c r="G5" s="24">
        <f>(('3 - 2021'!E11-'3 - 2021'!E10)+('3 - 2021'!F11-'3 - 2021'!F10)+('3 - 2021'!G11-'3 - 2021'!G10))*1.81</f>
        <v>77.124099999999416</v>
      </c>
      <c r="H5" s="22">
        <v>0.99</v>
      </c>
      <c r="I5" s="24">
        <f>'3 - 2021'!J11-'3 - 2021'!J10</f>
        <v>16782</v>
      </c>
      <c r="J5" s="22">
        <v>8.1000000000000003E-2</v>
      </c>
      <c r="K5" s="46">
        <f>'3 - 2021'!H11-'3 - 2021'!H10</f>
        <v>0</v>
      </c>
      <c r="L5" s="24">
        <f>'3 - 2021'!I11-'3 - 2021'!I10</f>
        <v>87</v>
      </c>
      <c r="M5" s="23">
        <v>4.393629424766913</v>
      </c>
      <c r="N5" s="39">
        <v>67</v>
      </c>
    </row>
    <row r="6" spans="1:15" x14ac:dyDescent="0.25">
      <c r="A6" t="s">
        <v>27</v>
      </c>
      <c r="B6">
        <f t="shared" si="0"/>
        <v>5</v>
      </c>
      <c r="C6" s="22">
        <v>3</v>
      </c>
      <c r="D6" s="22">
        <v>2021</v>
      </c>
      <c r="E6" s="24">
        <f>'3 - 2021'!B12-'3 - 2021'!B11+'3 - 2021'!C12-'3 - 2021'!C11</f>
        <v>8080</v>
      </c>
      <c r="F6" s="22">
        <v>0.11799999999999999</v>
      </c>
      <c r="G6" s="24">
        <f>(('3 - 2021'!E12-'3 - 2021'!E11)+('3 - 2021'!F12-'3 - 2021'!F11)+('3 - 2021'!G12-'3 - 2021'!G11))*1.81</f>
        <v>77.793800000000857</v>
      </c>
      <c r="H6" s="22">
        <v>0.99</v>
      </c>
      <c r="I6" s="24">
        <f>'3 - 2021'!J12-'3 - 2021'!J11</f>
        <v>14959</v>
      </c>
      <c r="J6" s="22">
        <v>8.1000000000000003E-2</v>
      </c>
      <c r="K6" s="46">
        <f>'3 - 2021'!H12-'3 - 2021'!H11</f>
        <v>0</v>
      </c>
      <c r="L6" s="24">
        <f>'3 - 2021'!I12-'3 - 2021'!I11</f>
        <v>112</v>
      </c>
      <c r="M6" s="23">
        <v>4.393629424766913</v>
      </c>
      <c r="N6" s="39">
        <v>78</v>
      </c>
    </row>
    <row r="7" spans="1:15" x14ac:dyDescent="0.25">
      <c r="A7" t="s">
        <v>27</v>
      </c>
      <c r="B7">
        <f t="shared" si="0"/>
        <v>6</v>
      </c>
      <c r="C7" s="22">
        <v>3</v>
      </c>
      <c r="D7" s="22">
        <v>2021</v>
      </c>
      <c r="E7" s="24">
        <f>'3 - 2021'!B13-'3 - 2021'!B12+'3 - 2021'!C13-'3 - 2021'!C12</f>
        <v>8255</v>
      </c>
      <c r="F7" s="22">
        <v>0.11799999999999999</v>
      </c>
      <c r="G7" s="24">
        <f>(('3 - 2021'!E13-'3 - 2021'!E12)+('3 - 2021'!F13-'3 - 2021'!F12)+('3 - 2021'!G13-'3 - 2021'!G12))*1.81</f>
        <v>74.246199999999149</v>
      </c>
      <c r="H7" s="22">
        <v>0.99</v>
      </c>
      <c r="I7" s="24">
        <f>'3 - 2021'!J13-'3 - 2021'!J12</f>
        <v>16593</v>
      </c>
      <c r="J7" s="22">
        <v>8.1000000000000003E-2</v>
      </c>
      <c r="K7" s="46">
        <f>'3 - 2021'!H13-'3 - 2021'!H12</f>
        <v>0</v>
      </c>
      <c r="L7" s="24">
        <f>'3 - 2021'!I13-'3 - 2021'!I12</f>
        <v>108</v>
      </c>
      <c r="M7" s="23">
        <v>4.393629424766913</v>
      </c>
      <c r="N7" s="39">
        <v>72</v>
      </c>
    </row>
    <row r="8" spans="1:15" x14ac:dyDescent="0.25">
      <c r="A8" t="s">
        <v>27</v>
      </c>
      <c r="B8">
        <f t="shared" si="0"/>
        <v>7</v>
      </c>
      <c r="C8" s="22">
        <v>3</v>
      </c>
      <c r="D8" s="22">
        <v>2021</v>
      </c>
      <c r="E8" s="24">
        <f>'3 - 2021'!B14-'3 - 2021'!B13+'3 - 2021'!C14-'3 - 2021'!C13</f>
        <v>8141</v>
      </c>
      <c r="F8" s="22">
        <v>0.11799999999999999</v>
      </c>
      <c r="G8" s="24">
        <f>(('3 - 2021'!E14-'3 - 2021'!E13)+('3 - 2021'!F14-'3 - 2021'!F13)+('3 - 2021'!G14-'3 - 2021'!G13))*1.81</f>
        <v>65.865900000000593</v>
      </c>
      <c r="H8" s="22">
        <v>0.99</v>
      </c>
      <c r="I8" s="24">
        <f>'3 - 2021'!J14-'3 - 2021'!J13</f>
        <v>15315</v>
      </c>
      <c r="J8" s="22">
        <v>8.1000000000000003E-2</v>
      </c>
      <c r="K8" s="46">
        <f>'3 - 2021'!H14-'3 - 2021'!H13</f>
        <v>0</v>
      </c>
      <c r="L8" s="24">
        <f>'3 - 2021'!I14-'3 - 2021'!I13</f>
        <v>87</v>
      </c>
      <c r="M8" s="23">
        <v>4.393629424766913</v>
      </c>
      <c r="N8" s="41">
        <v>69</v>
      </c>
      <c r="O8" s="24"/>
    </row>
    <row r="9" spans="1:15" x14ac:dyDescent="0.25">
      <c r="A9" t="s">
        <v>27</v>
      </c>
      <c r="B9">
        <f t="shared" si="0"/>
        <v>8</v>
      </c>
      <c r="C9" s="22">
        <v>3</v>
      </c>
      <c r="D9" s="22">
        <v>2021</v>
      </c>
      <c r="E9" s="24">
        <f>'3 - 2021'!B15-'3 - 2021'!B14+'3 - 2021'!C15-'3 - 2021'!C14</f>
        <v>8615</v>
      </c>
      <c r="F9" s="22">
        <v>0.11799999999999999</v>
      </c>
      <c r="G9" s="24">
        <f>(('3 - 2021'!E15-'3 - 2021'!E14)+('3 - 2021'!F15-'3 - 2021'!F14)+('3 - 2021'!G15-'3 - 2021'!G14))*1.81</f>
        <v>72.400000000000006</v>
      </c>
      <c r="H9" s="22">
        <v>0.99</v>
      </c>
      <c r="I9" s="24">
        <f>'3 - 2021'!J15-'3 - 2021'!J14</f>
        <v>13428</v>
      </c>
      <c r="J9" s="22">
        <v>8.1000000000000003E-2</v>
      </c>
      <c r="K9" s="46">
        <f>'3 - 2021'!H15-'3 - 2021'!H14</f>
        <v>0</v>
      </c>
      <c r="L9" s="24">
        <f>'3 - 2021'!I15-'3 - 2021'!I14</f>
        <v>87</v>
      </c>
      <c r="M9" s="23">
        <v>4.393629424766913</v>
      </c>
      <c r="N9" s="39">
        <v>74</v>
      </c>
    </row>
    <row r="10" spans="1:15" x14ac:dyDescent="0.25">
      <c r="A10" t="s">
        <v>27</v>
      </c>
      <c r="B10">
        <f t="shared" si="0"/>
        <v>9</v>
      </c>
      <c r="C10" s="22">
        <v>3</v>
      </c>
      <c r="D10" s="22">
        <v>2021</v>
      </c>
      <c r="E10" s="24">
        <f>'3 - 2021'!B16-'3 - 2021'!B15+'3 - 2021'!C16-'3 - 2021'!C15</f>
        <v>9350</v>
      </c>
      <c r="F10" s="22">
        <v>0.11799999999999999</v>
      </c>
      <c r="G10" s="24">
        <f>(('3 - 2021'!E16-'3 - 2021'!E15)+('3 - 2021'!F16-'3 - 2021'!F15)+('3 - 2021'!G16-'3 - 2021'!G15))*1.81</f>
        <v>75.114999999999185</v>
      </c>
      <c r="H10" s="22">
        <v>0.99</v>
      </c>
      <c r="I10" s="24">
        <f>'3 - 2021'!J16-'3 - 2021'!J15</f>
        <v>13461</v>
      </c>
      <c r="J10" s="22">
        <v>8.1000000000000003E-2</v>
      </c>
      <c r="K10" s="46">
        <f>'3 - 2021'!H16-'3 - 2021'!H15</f>
        <v>0</v>
      </c>
      <c r="L10" s="24">
        <f>'3 - 2021'!I16-'3 - 2021'!I15</f>
        <v>114</v>
      </c>
      <c r="M10" s="23">
        <v>4.393629424766913</v>
      </c>
      <c r="N10" s="39">
        <v>72</v>
      </c>
    </row>
    <row r="11" spans="1:15" x14ac:dyDescent="0.25">
      <c r="A11" t="s">
        <v>27</v>
      </c>
      <c r="B11">
        <f t="shared" si="0"/>
        <v>10</v>
      </c>
      <c r="C11" s="22">
        <v>3</v>
      </c>
      <c r="D11" s="22">
        <v>2021</v>
      </c>
      <c r="E11" s="24">
        <f>'3 - 2021'!B17-'3 - 2021'!B16+'3 - 2021'!C17-'3 - 2021'!C16</f>
        <v>8849</v>
      </c>
      <c r="F11" s="22">
        <v>0.11799999999999999</v>
      </c>
      <c r="G11" s="24">
        <f>(('3 - 2021'!E17-'3 - 2021'!E16)+('3 - 2021'!F17-'3 - 2021'!F16)+('3 - 2021'!G17-'3 - 2021'!G16))*1.81</f>
        <v>81.341400000001741</v>
      </c>
      <c r="H11" s="22">
        <v>0.99</v>
      </c>
      <c r="I11" s="24">
        <f>'3 - 2021'!J17-'3 - 2021'!J16</f>
        <v>13614</v>
      </c>
      <c r="J11" s="22">
        <v>8.1000000000000003E-2</v>
      </c>
      <c r="K11" s="46">
        <f>'3 - 2021'!H17-'3 - 2021'!H16</f>
        <v>0</v>
      </c>
      <c r="L11" s="24">
        <f>'3 - 2021'!I17-'3 - 2021'!I16</f>
        <v>69</v>
      </c>
      <c r="M11" s="23">
        <v>4.393629424766913</v>
      </c>
      <c r="N11" s="39">
        <v>75</v>
      </c>
    </row>
    <row r="12" spans="1:15" x14ac:dyDescent="0.25">
      <c r="A12" t="s">
        <v>27</v>
      </c>
      <c r="B12">
        <f t="shared" si="0"/>
        <v>11</v>
      </c>
      <c r="C12" s="22">
        <v>3</v>
      </c>
      <c r="D12" s="22">
        <v>2021</v>
      </c>
      <c r="E12" s="24">
        <v>0</v>
      </c>
      <c r="F12" s="22">
        <v>0.11799999999999999</v>
      </c>
      <c r="G12" s="24">
        <v>0</v>
      </c>
      <c r="H12" s="22">
        <v>0.99</v>
      </c>
      <c r="I12" s="24">
        <v>0</v>
      </c>
      <c r="J12" s="22">
        <v>8.1000000000000003E-2</v>
      </c>
      <c r="K12" s="46">
        <v>0</v>
      </c>
      <c r="L12" s="24">
        <v>0</v>
      </c>
      <c r="M12" s="23">
        <v>4.393629424766913</v>
      </c>
      <c r="N12" s="24"/>
    </row>
    <row r="13" spans="1:15" x14ac:dyDescent="0.25">
      <c r="A13" t="s">
        <v>27</v>
      </c>
      <c r="B13">
        <f t="shared" si="0"/>
        <v>12</v>
      </c>
      <c r="C13" s="22">
        <v>3</v>
      </c>
      <c r="D13" s="22">
        <v>2021</v>
      </c>
      <c r="E13" s="24">
        <f>'3 - 2021'!B19-'3 - 2021'!B18+'3 - 2021'!C19-'3 - 2021'!C18</f>
        <v>0</v>
      </c>
      <c r="F13" s="22">
        <v>0.11799999999999999</v>
      </c>
      <c r="G13" s="24">
        <f>(('3 - 2021'!E19-'3 - 2021'!E18)+('3 - 2021'!F19-'3 - 2021'!F18)+('3 - 2021'!G19-'3 - 2021'!G18))*1.81</f>
        <v>0</v>
      </c>
      <c r="H13" s="22">
        <v>0.99</v>
      </c>
      <c r="I13" s="24">
        <f>'3 - 2021'!J19-'3 - 2021'!J18</f>
        <v>0</v>
      </c>
      <c r="J13" s="22">
        <v>8.1000000000000003E-2</v>
      </c>
      <c r="K13" s="46">
        <f>'3 - 2021'!H19-'3 - 2021'!H18</f>
        <v>0</v>
      </c>
      <c r="L13" s="24">
        <f>'3 - 2021'!I19-'3 - 2021'!I18</f>
        <v>0</v>
      </c>
      <c r="M13" s="23">
        <v>4.393629424766913</v>
      </c>
      <c r="N13" s="24"/>
    </row>
    <row r="14" spans="1:15" x14ac:dyDescent="0.25">
      <c r="A14" t="s">
        <v>27</v>
      </c>
      <c r="B14">
        <f t="shared" si="0"/>
        <v>13</v>
      </c>
      <c r="C14" s="22">
        <v>3</v>
      </c>
      <c r="D14" s="22">
        <v>2021</v>
      </c>
      <c r="E14" s="24">
        <f>'3 - 2021'!B20-'3 - 2021'!B19+'3 - 2021'!C20-'3 - 2021'!C19</f>
        <v>0</v>
      </c>
      <c r="F14" s="22">
        <v>0.11799999999999999</v>
      </c>
      <c r="G14" s="24">
        <f>(('3 - 2021'!E20-'3 - 2021'!E19)+('3 - 2021'!F20-'3 - 2021'!F19)+('3 - 2021'!G20-'3 - 2021'!G19))*1.81</f>
        <v>0</v>
      </c>
      <c r="H14" s="22">
        <v>0.99</v>
      </c>
      <c r="I14" s="24">
        <f>'3 - 2021'!J20-'3 - 2021'!J19</f>
        <v>0</v>
      </c>
      <c r="J14" s="22">
        <v>8.1000000000000003E-2</v>
      </c>
      <c r="K14" s="46">
        <f>'3 - 2021'!H20-'3 - 2021'!H19</f>
        <v>0</v>
      </c>
      <c r="L14" s="24">
        <f>'3 - 2021'!I20-'3 - 2021'!I19</f>
        <v>0</v>
      </c>
      <c r="M14" s="23">
        <v>4.393629424766913</v>
      </c>
      <c r="N14" s="24"/>
      <c r="O14" s="24"/>
    </row>
    <row r="15" spans="1:15" x14ac:dyDescent="0.25">
      <c r="A15" t="s">
        <v>27</v>
      </c>
      <c r="B15">
        <f t="shared" si="0"/>
        <v>14</v>
      </c>
      <c r="C15" s="22">
        <v>3</v>
      </c>
      <c r="D15" s="22">
        <v>2021</v>
      </c>
      <c r="E15" s="24">
        <f>'3 - 2021'!B21-'3 - 2021'!B20+'3 - 2021'!C21-'3 - 2021'!C20</f>
        <v>0</v>
      </c>
      <c r="F15" s="22">
        <v>0.11799999999999999</v>
      </c>
      <c r="G15" s="24">
        <f>(('3 - 2021'!E21-'3 - 2021'!E20)+('3 - 2021'!F21-'3 - 2021'!F20)+('3 - 2021'!G21-'3 - 2021'!G20))*1.81</f>
        <v>0</v>
      </c>
      <c r="H15" s="22">
        <v>0.99</v>
      </c>
      <c r="I15" s="24">
        <f>'3 - 2021'!J21-'3 - 2021'!J20</f>
        <v>0</v>
      </c>
      <c r="J15" s="22">
        <v>8.1000000000000003E-2</v>
      </c>
      <c r="K15" s="46">
        <f>'3 - 2021'!H21-'3 - 2021'!H20</f>
        <v>0</v>
      </c>
      <c r="L15" s="24">
        <f>'3 - 2021'!I21-'3 - 2021'!I20</f>
        <v>0</v>
      </c>
      <c r="M15" s="23">
        <v>4.393629424766913</v>
      </c>
      <c r="N15" s="24"/>
    </row>
    <row r="16" spans="1:15" x14ac:dyDescent="0.25">
      <c r="A16" t="s">
        <v>27</v>
      </c>
      <c r="B16">
        <f t="shared" si="0"/>
        <v>15</v>
      </c>
      <c r="C16" s="22">
        <v>3</v>
      </c>
      <c r="D16" s="22">
        <v>2021</v>
      </c>
      <c r="E16" s="24">
        <f>'3 - 2021'!B22-'3 - 2021'!B21+'3 - 2021'!C22-'3 - 2021'!C21</f>
        <v>0</v>
      </c>
      <c r="F16" s="22">
        <v>0.11799999999999999</v>
      </c>
      <c r="G16" s="24">
        <f>(('3 - 2021'!E22-'3 - 2021'!E21)+('3 - 2021'!F22-'3 - 2021'!F21)+('3 - 2021'!G22-'3 - 2021'!G21))*1.81</f>
        <v>0</v>
      </c>
      <c r="H16" s="22">
        <v>0.99</v>
      </c>
      <c r="I16" s="24">
        <f>'3 - 2021'!J22-'3 - 2021'!J21</f>
        <v>0</v>
      </c>
      <c r="J16" s="22">
        <v>8.1000000000000003E-2</v>
      </c>
      <c r="K16" s="46">
        <f>'3 - 2021'!H22-'3 - 2021'!H21</f>
        <v>0</v>
      </c>
      <c r="L16" s="24">
        <f>'3 - 2021'!I22-'3 - 2021'!I21</f>
        <v>0</v>
      </c>
      <c r="M16" s="23">
        <v>4.393629424766913</v>
      </c>
      <c r="N16" s="24"/>
    </row>
    <row r="17" spans="1:16" x14ac:dyDescent="0.25">
      <c r="A17" t="s">
        <v>27</v>
      </c>
      <c r="B17">
        <f t="shared" si="0"/>
        <v>16</v>
      </c>
      <c r="C17" s="22">
        <v>3</v>
      </c>
      <c r="D17" s="22">
        <v>2021</v>
      </c>
      <c r="E17" s="24">
        <f>'3 - 2021'!B23-'3 - 2021'!B22+'3 - 2021'!C23-'3 - 2021'!C22</f>
        <v>0</v>
      </c>
      <c r="F17" s="22">
        <v>0.11799999999999999</v>
      </c>
      <c r="G17" s="24">
        <f>(('3 - 2021'!E23-'3 - 2021'!E22)+('3 - 2021'!F23-'3 - 2021'!F22)+('3 - 2021'!G23-'3 - 2021'!G22))*1.81</f>
        <v>0</v>
      </c>
      <c r="H17" s="22">
        <v>0.99</v>
      </c>
      <c r="I17" s="24">
        <f>'3 - 2021'!J23-'3 - 2021'!J22</f>
        <v>0</v>
      </c>
      <c r="J17" s="22">
        <v>8.1000000000000003E-2</v>
      </c>
      <c r="K17" s="46">
        <f>'3 - 2021'!H23-'3 - 2021'!H22</f>
        <v>0</v>
      </c>
      <c r="L17" s="24">
        <f>'3 - 2021'!I23-'3 - 2021'!I22</f>
        <v>0</v>
      </c>
      <c r="M17" s="23">
        <v>4.393629424766913</v>
      </c>
      <c r="N17" s="24"/>
    </row>
    <row r="18" spans="1:16" x14ac:dyDescent="0.25">
      <c r="A18" t="s">
        <v>27</v>
      </c>
      <c r="B18">
        <f t="shared" si="0"/>
        <v>17</v>
      </c>
      <c r="C18" s="22">
        <v>3</v>
      </c>
      <c r="D18" s="22">
        <v>2021</v>
      </c>
      <c r="E18" s="24">
        <f>'3 - 2021'!B24-'3 - 2021'!B23+'3 - 2021'!C24-'3 - 2021'!C23</f>
        <v>0</v>
      </c>
      <c r="F18" s="22">
        <v>0.11799999999999999</v>
      </c>
      <c r="G18" s="24">
        <f>(('3 - 2021'!E24-'3 - 2021'!E23)+('3 - 2021'!F24-'3 - 2021'!F23)+('3 - 2021'!G24-'3 - 2021'!G23))*1.81</f>
        <v>0</v>
      </c>
      <c r="H18" s="22">
        <v>0.99</v>
      </c>
      <c r="I18" s="24">
        <f>'3 - 2021'!J24-'3 - 2021'!J23</f>
        <v>0</v>
      </c>
      <c r="J18" s="22">
        <v>8.1000000000000003E-2</v>
      </c>
      <c r="K18" s="46">
        <f>'3 - 2021'!H24-'3 - 2021'!H23</f>
        <v>0</v>
      </c>
      <c r="L18" s="24">
        <f>'3 - 2021'!I24-'3 - 2021'!I23</f>
        <v>0</v>
      </c>
      <c r="M18" s="23">
        <v>4.393629424766913</v>
      </c>
      <c r="N18" s="24"/>
    </row>
    <row r="19" spans="1:16" x14ac:dyDescent="0.25">
      <c r="A19" t="s">
        <v>27</v>
      </c>
      <c r="B19">
        <f>B18+1</f>
        <v>18</v>
      </c>
      <c r="C19" s="22">
        <v>3</v>
      </c>
      <c r="D19" s="22">
        <v>2021</v>
      </c>
      <c r="E19" s="24">
        <f>'3 - 2021'!B25-'3 - 2021'!B24+'3 - 2021'!C25-'3 - 2021'!C24</f>
        <v>0</v>
      </c>
      <c r="F19" s="22">
        <v>0.11799999999999999</v>
      </c>
      <c r="G19" s="24">
        <f>(('3 - 2021'!E25-'3 - 2021'!E24)+('3 - 2021'!F25-'3 - 2021'!F24)+('3 - 2021'!G25-'3 - 2021'!G24))*1.81</f>
        <v>0</v>
      </c>
      <c r="H19" s="22">
        <v>0.99</v>
      </c>
      <c r="I19" s="24">
        <f>'3 - 2021'!J25-'3 - 2021'!J24</f>
        <v>0</v>
      </c>
      <c r="J19" s="22">
        <v>8.1000000000000003E-2</v>
      </c>
      <c r="K19" s="46">
        <f>'3 - 2021'!H25-'3 - 2021'!H24</f>
        <v>0</v>
      </c>
      <c r="L19" s="24">
        <f>'3 - 2021'!I25-'3 - 2021'!I24</f>
        <v>0</v>
      </c>
      <c r="M19" s="23">
        <v>4.393629424766913</v>
      </c>
      <c r="N19" s="40"/>
    </row>
    <row r="20" spans="1:16" x14ac:dyDescent="0.25">
      <c r="A20" t="s">
        <v>27</v>
      </c>
      <c r="B20">
        <f t="shared" si="0"/>
        <v>19</v>
      </c>
      <c r="C20" s="22">
        <v>3</v>
      </c>
      <c r="D20" s="22">
        <v>2021</v>
      </c>
      <c r="E20" s="24">
        <f>'3 - 2021'!B26-'3 - 2021'!B25+'3 - 2021'!C26-'3 - 2021'!C25</f>
        <v>0</v>
      </c>
      <c r="F20" s="22">
        <v>0.11799999999999999</v>
      </c>
      <c r="G20" s="24">
        <f>(('3 - 2021'!E26-'3 - 2021'!E25)+('3 - 2021'!F26-'3 - 2021'!F25)+('3 - 2021'!G26-'3 - 2021'!G25))*1.81</f>
        <v>0</v>
      </c>
      <c r="H20" s="22">
        <v>0.99</v>
      </c>
      <c r="I20" s="24">
        <f>'3 - 2021'!J26-'3 - 2021'!J25</f>
        <v>0</v>
      </c>
      <c r="J20" s="22">
        <v>8.1000000000000003E-2</v>
      </c>
      <c r="K20" s="46">
        <f>'3 - 2021'!H26-'3 - 2021'!H25</f>
        <v>0</v>
      </c>
      <c r="L20" s="24">
        <f>'3 - 2021'!I26-'3 - 2021'!I25</f>
        <v>0</v>
      </c>
      <c r="M20" s="23">
        <v>4.393629424766913</v>
      </c>
      <c r="N20" s="40"/>
    </row>
    <row r="21" spans="1:16" x14ac:dyDescent="0.25">
      <c r="A21" t="s">
        <v>27</v>
      </c>
      <c r="B21">
        <f t="shared" si="0"/>
        <v>20</v>
      </c>
      <c r="C21" s="22">
        <v>3</v>
      </c>
      <c r="D21" s="22">
        <v>2021</v>
      </c>
      <c r="E21" s="24">
        <f>'3 - 2021'!B27-'3 - 2021'!B26+'3 - 2021'!C27-'3 - 2021'!C26</f>
        <v>0</v>
      </c>
      <c r="F21" s="22">
        <v>0.11799999999999999</v>
      </c>
      <c r="G21" s="24">
        <f>(('3 - 2021'!E27-'3 - 2021'!E26)+('3 - 2021'!F27-'3 - 2021'!F26)+('3 - 2021'!G27-'3 - 2021'!G26))*1.81</f>
        <v>0</v>
      </c>
      <c r="H21" s="22">
        <v>0.99</v>
      </c>
      <c r="I21" s="24">
        <f>'3 - 2021'!J27-'3 - 2021'!J26</f>
        <v>0</v>
      </c>
      <c r="J21" s="22">
        <v>8.1000000000000003E-2</v>
      </c>
      <c r="K21" s="46">
        <f>'3 - 2021'!H27-'3 - 2021'!H26</f>
        <v>0</v>
      </c>
      <c r="L21" s="24">
        <f>'3 - 2021'!I27-'3 - 2021'!I26</f>
        <v>0</v>
      </c>
      <c r="M21" s="23">
        <v>4.393629424766913</v>
      </c>
      <c r="N21" s="40"/>
    </row>
    <row r="22" spans="1:16" x14ac:dyDescent="0.25">
      <c r="A22" t="s">
        <v>27</v>
      </c>
      <c r="B22">
        <f t="shared" si="0"/>
        <v>21</v>
      </c>
      <c r="C22" s="22">
        <v>3</v>
      </c>
      <c r="D22" s="22">
        <v>2021</v>
      </c>
      <c r="E22" s="24">
        <f>'3 - 2021'!B28-'3 - 2021'!B27+'3 - 2021'!C28-'3 - 2021'!C27</f>
        <v>0</v>
      </c>
      <c r="F22" s="22">
        <v>0.11799999999999999</v>
      </c>
      <c r="G22" s="24">
        <f>(('3 - 2021'!E28-'3 - 2021'!E27)+('3 - 2021'!F28-'3 - 2021'!F27)+('3 - 2021'!G28-'3 - 2021'!G27))*1.81</f>
        <v>0</v>
      </c>
      <c r="H22" s="22">
        <v>0.99</v>
      </c>
      <c r="I22" s="24">
        <f>'3 - 2021'!J28-'3 - 2021'!J27</f>
        <v>0</v>
      </c>
      <c r="J22" s="22">
        <v>8.1000000000000003E-2</v>
      </c>
      <c r="K22" s="46">
        <f>'3 - 2021'!H28-'3 - 2021'!H27</f>
        <v>0</v>
      </c>
      <c r="L22" s="24">
        <f>'3 - 2021'!I28-'3 - 2021'!I27</f>
        <v>0</v>
      </c>
      <c r="M22" s="23">
        <v>4.393629424766913</v>
      </c>
      <c r="N22" s="40"/>
    </row>
    <row r="23" spans="1:16" x14ac:dyDescent="0.25">
      <c r="A23" t="s">
        <v>27</v>
      </c>
      <c r="B23">
        <f t="shared" si="0"/>
        <v>22</v>
      </c>
      <c r="C23" s="22">
        <v>3</v>
      </c>
      <c r="D23" s="22">
        <v>2021</v>
      </c>
      <c r="E23" s="24">
        <f>'3 - 2021'!B29-'3 - 2021'!B28+'3 - 2021'!C29-'3 - 2021'!C28</f>
        <v>0</v>
      </c>
      <c r="F23" s="22">
        <v>0.11799999999999999</v>
      </c>
      <c r="G23" s="24">
        <f>(('3 - 2021'!E29-'3 - 2021'!E28)+('3 - 2021'!F29-'3 - 2021'!F28)+('3 - 2021'!G29-'3 - 2021'!G28))*1.81</f>
        <v>0</v>
      </c>
      <c r="H23" s="22">
        <v>0.99</v>
      </c>
      <c r="I23" s="24">
        <f>'3 - 2021'!J29-'3 - 2021'!J28</f>
        <v>0</v>
      </c>
      <c r="J23" s="22">
        <v>8.1000000000000003E-2</v>
      </c>
      <c r="K23" s="46">
        <f>'3 - 2021'!H29-'3 - 2021'!H28</f>
        <v>0</v>
      </c>
      <c r="L23" s="24">
        <f>'3 - 2021'!I29-'3 - 2021'!I28</f>
        <v>0</v>
      </c>
      <c r="M23" s="23">
        <v>4.393629424766913</v>
      </c>
      <c r="N23" s="40"/>
    </row>
    <row r="24" spans="1:16" x14ac:dyDescent="0.25">
      <c r="A24" t="s">
        <v>27</v>
      </c>
      <c r="B24">
        <f t="shared" si="0"/>
        <v>23</v>
      </c>
      <c r="C24" s="22">
        <v>3</v>
      </c>
      <c r="D24" s="22">
        <v>2021</v>
      </c>
      <c r="E24" s="24">
        <f>'3 - 2021'!B30-'3 - 2021'!B29+'3 - 2021'!C30-'3 - 2021'!C29</f>
        <v>0</v>
      </c>
      <c r="F24" s="22">
        <v>0.11799999999999999</v>
      </c>
      <c r="G24" s="24">
        <f>(('3 - 2021'!E30-'3 - 2021'!E29)+('3 - 2021'!F30-'3 - 2021'!F29)+('3 - 2021'!G30-'3 - 2021'!G29))*1.81</f>
        <v>0</v>
      </c>
      <c r="H24" s="22">
        <v>0.99</v>
      </c>
      <c r="I24" s="24">
        <f>'3 - 2021'!J30-'3 - 2021'!J29</f>
        <v>0</v>
      </c>
      <c r="J24" s="22">
        <v>8.1000000000000003E-2</v>
      </c>
      <c r="K24" s="46">
        <f>'3 - 2021'!H30-'3 - 2021'!H29</f>
        <v>0</v>
      </c>
      <c r="L24" s="24">
        <f>'3 - 2021'!I30-'3 - 2021'!I29</f>
        <v>0</v>
      </c>
      <c r="M24" s="23">
        <v>4.393629424766913</v>
      </c>
      <c r="N24" s="40"/>
    </row>
    <row r="25" spans="1:16" x14ac:dyDescent="0.25">
      <c r="A25" t="s">
        <v>27</v>
      </c>
      <c r="B25">
        <f t="shared" si="0"/>
        <v>24</v>
      </c>
      <c r="C25" s="22">
        <v>3</v>
      </c>
      <c r="D25" s="22">
        <v>2021</v>
      </c>
      <c r="E25" s="24">
        <f>'3 - 2021'!B31-'3 - 2021'!B30+'3 - 2021'!C31-'3 - 2021'!C30</f>
        <v>0</v>
      </c>
      <c r="F25" s="22">
        <v>0.11799999999999999</v>
      </c>
      <c r="G25" s="24">
        <f>(('3 - 2021'!E31-'3 - 2021'!E30)+('3 - 2021'!F31-'3 - 2021'!F30)+('3 - 2021'!G31-'3 - 2021'!G30))*1.81</f>
        <v>0</v>
      </c>
      <c r="H25" s="22">
        <v>0.99</v>
      </c>
      <c r="I25" s="24">
        <f>'3 - 2021'!J31-'3 - 2021'!J30</f>
        <v>0</v>
      </c>
      <c r="J25" s="22">
        <v>8.1000000000000003E-2</v>
      </c>
      <c r="K25" s="46">
        <f>'3 - 2021'!H31-'3 - 2021'!H30</f>
        <v>0</v>
      </c>
      <c r="L25" s="24">
        <f>'3 - 2021'!I31-'3 - 2021'!I30</f>
        <v>0</v>
      </c>
      <c r="M25" s="23">
        <v>4.393629424766913</v>
      </c>
      <c r="N25" s="40"/>
      <c r="P25" s="14"/>
    </row>
    <row r="26" spans="1:16" x14ac:dyDescent="0.25">
      <c r="A26" t="s">
        <v>27</v>
      </c>
      <c r="B26">
        <f>B25+1</f>
        <v>25</v>
      </c>
      <c r="C26" s="22">
        <v>3</v>
      </c>
      <c r="D26" s="22">
        <v>2021</v>
      </c>
      <c r="E26" s="24">
        <f>'3 - 2021'!B32-'3 - 2021'!B31+'3 - 2021'!C32-'3 - 2021'!C31</f>
        <v>0</v>
      </c>
      <c r="F26" s="22">
        <v>0.11799999999999999</v>
      </c>
      <c r="G26" s="24">
        <f>(('3 - 2021'!E32-'3 - 2021'!E31)+('3 - 2021'!F32-'3 - 2021'!F31)+('3 - 2021'!G32-'3 - 2021'!G31))*1.81</f>
        <v>0</v>
      </c>
      <c r="H26" s="22">
        <v>0.99</v>
      </c>
      <c r="I26" s="24">
        <f>'3 - 2021'!J32-'3 - 2021'!J31</f>
        <v>0</v>
      </c>
      <c r="J26" s="22">
        <v>8.1000000000000003E-2</v>
      </c>
      <c r="K26" s="46">
        <f>'3 - 2021'!H32-'3 - 2021'!H31</f>
        <v>0</v>
      </c>
      <c r="L26" s="24">
        <f>'3 - 2021'!I32-'3 - 2021'!I31</f>
        <v>0</v>
      </c>
      <c r="M26" s="23">
        <v>4.393629424766913</v>
      </c>
      <c r="N26" s="40"/>
    </row>
    <row r="27" spans="1:16" x14ac:dyDescent="0.25">
      <c r="A27" t="s">
        <v>27</v>
      </c>
      <c r="B27">
        <f t="shared" si="0"/>
        <v>26</v>
      </c>
      <c r="C27" s="22">
        <v>3</v>
      </c>
      <c r="D27" s="22">
        <v>2021</v>
      </c>
      <c r="E27" s="24">
        <f>'3 - 2021'!B33-'3 - 2021'!B32+'3 - 2021'!C33-'3 - 2021'!C32</f>
        <v>0</v>
      </c>
      <c r="F27" s="22">
        <v>0.11799999999999999</v>
      </c>
      <c r="G27" s="24">
        <f>(('3 - 2021'!E33-'3 - 2021'!E32)+('3 - 2021'!F33-'3 - 2021'!F32)+('3 - 2021'!G33-'3 - 2021'!G32))*1.81</f>
        <v>0</v>
      </c>
      <c r="H27" s="22">
        <v>0.99</v>
      </c>
      <c r="I27" s="24">
        <f>'3 - 2021'!J33-'3 - 2021'!J32</f>
        <v>0</v>
      </c>
      <c r="J27" s="22">
        <v>8.1000000000000003E-2</v>
      </c>
      <c r="K27" s="46">
        <f>'3 - 2021'!H33-'3 - 2021'!H32</f>
        <v>0</v>
      </c>
      <c r="L27" s="24">
        <f>'3 - 2021'!I33-'3 - 2021'!I32</f>
        <v>0</v>
      </c>
      <c r="M27" s="23">
        <v>4.393629424766913</v>
      </c>
      <c r="N27" s="40"/>
    </row>
    <row r="28" spans="1:16" x14ac:dyDescent="0.25">
      <c r="A28" t="s">
        <v>27</v>
      </c>
      <c r="B28">
        <f t="shared" si="0"/>
        <v>27</v>
      </c>
      <c r="C28" s="22">
        <v>3</v>
      </c>
      <c r="D28" s="22">
        <v>2021</v>
      </c>
      <c r="E28" s="24">
        <f>'3 - 2021'!B34-'3 - 2021'!B33+'3 - 2021'!C34-'3 - 2021'!C33</f>
        <v>0</v>
      </c>
      <c r="F28" s="22">
        <v>0.11799999999999999</v>
      </c>
      <c r="G28" s="24">
        <f>(('3 - 2021'!E34-'3 - 2021'!E33)+('3 - 2021'!F34-'3 - 2021'!F33)+('3 - 2021'!G34-'3 - 2021'!G33))*1.81</f>
        <v>0</v>
      </c>
      <c r="H28" s="22">
        <v>0.99</v>
      </c>
      <c r="I28" s="24">
        <f>'3 - 2021'!J34-'3 - 2021'!J33</f>
        <v>0</v>
      </c>
      <c r="J28" s="22">
        <v>8.1000000000000003E-2</v>
      </c>
      <c r="K28" s="46">
        <f>'3 - 2021'!H34-'3 - 2021'!H33</f>
        <v>0</v>
      </c>
      <c r="L28" s="24">
        <f>'3 - 2021'!I34-'3 - 2021'!I33</f>
        <v>0</v>
      </c>
      <c r="M28" s="23">
        <v>4.393629424766913</v>
      </c>
      <c r="N28" s="40"/>
    </row>
    <row r="29" spans="1:16" x14ac:dyDescent="0.25">
      <c r="A29" t="s">
        <v>27</v>
      </c>
      <c r="B29">
        <f t="shared" si="0"/>
        <v>28</v>
      </c>
      <c r="C29" s="22">
        <v>3</v>
      </c>
      <c r="D29" s="22">
        <v>2021</v>
      </c>
      <c r="E29" s="24">
        <f>'3 - 2021'!B35-'3 - 2021'!B34+'3 - 2021'!C35-'3 - 2021'!C34</f>
        <v>0</v>
      </c>
      <c r="F29" s="22">
        <v>0.11799999999999999</v>
      </c>
      <c r="G29" s="24">
        <f>(('3 - 2021'!E35-'3 - 2021'!E34)+('3 - 2021'!F35-'3 - 2021'!F34)+('3 - 2021'!G35-'3 - 2021'!G34))*1.81</f>
        <v>0</v>
      </c>
      <c r="H29" s="22">
        <v>0.99</v>
      </c>
      <c r="I29" s="24">
        <f>'3 - 2021'!J35-'3 - 2021'!J34</f>
        <v>0</v>
      </c>
      <c r="J29" s="22">
        <v>8.1000000000000003E-2</v>
      </c>
      <c r="K29" s="46">
        <f>'3 - 2021'!H35-'3 - 2021'!H34</f>
        <v>0</v>
      </c>
      <c r="L29" s="24">
        <f>'3 - 2021'!I35-'3 - 2021'!I34</f>
        <v>0</v>
      </c>
      <c r="M29" s="23">
        <v>4.393629424766913</v>
      </c>
      <c r="N29" s="40"/>
    </row>
    <row r="30" spans="1:16" x14ac:dyDescent="0.25">
      <c r="A30" s="22" t="s">
        <v>27</v>
      </c>
      <c r="B30" s="22">
        <f t="shared" si="0"/>
        <v>29</v>
      </c>
      <c r="C30" s="22">
        <v>3</v>
      </c>
      <c r="D30" s="22">
        <v>2021</v>
      </c>
      <c r="E30" s="24">
        <f>'3 - 2021'!B36-'3 - 2021'!B35+'3 - 2021'!C36-'3 - 2021'!C35</f>
        <v>0</v>
      </c>
      <c r="F30" s="22">
        <v>0.11799999999999999</v>
      </c>
      <c r="G30" s="24">
        <f>(('3 - 2021'!E36-'3 - 2021'!E35)+('3 - 2021'!F36-'3 - 2021'!F35)+('3 - 2021'!G36-'3 - 2021'!G35))*1.81</f>
        <v>0</v>
      </c>
      <c r="H30" s="22">
        <v>0.99</v>
      </c>
      <c r="I30" s="24">
        <f>'3 - 2021'!J36-'3 - 2021'!J35</f>
        <v>0</v>
      </c>
      <c r="J30" s="22">
        <v>8.1000000000000003E-2</v>
      </c>
      <c r="K30" s="46">
        <f>'3 - 2021'!H36-'3 - 2021'!H35</f>
        <v>0</v>
      </c>
      <c r="L30" s="24">
        <f>'3 - 2021'!I36-'3 - 2021'!I35</f>
        <v>0</v>
      </c>
      <c r="M30" s="23">
        <v>4.393629424766913</v>
      </c>
      <c r="N30" s="40"/>
    </row>
    <row r="31" spans="1:16" x14ac:dyDescent="0.25">
      <c r="A31" s="22" t="s">
        <v>27</v>
      </c>
      <c r="B31" s="22">
        <f t="shared" si="0"/>
        <v>30</v>
      </c>
      <c r="C31" s="22">
        <v>3</v>
      </c>
      <c r="D31" s="22">
        <v>2021</v>
      </c>
      <c r="E31" s="24">
        <f>'3 - 2021'!B37-'3 - 2021'!B36+'3 - 2021'!C37-'3 - 2021'!C36</f>
        <v>0</v>
      </c>
      <c r="F31" s="22">
        <v>0.11799999999999999</v>
      </c>
      <c r="G31" s="24">
        <f>(('3 - 2021'!E37-'3 - 2021'!E36)+('3 - 2021'!F37-'3 - 2021'!F36)+('3 - 2021'!G37-'3 - 2021'!G36))*1.81</f>
        <v>0</v>
      </c>
      <c r="H31" s="22">
        <v>0.99</v>
      </c>
      <c r="I31" s="24">
        <f>'3 - 2021'!J37-'3 - 2021'!J36</f>
        <v>0</v>
      </c>
      <c r="J31" s="22">
        <v>8.1000000000000003E-2</v>
      </c>
      <c r="K31" s="46">
        <f>'3 - 2021'!H37-'3 - 2021'!H36</f>
        <v>0</v>
      </c>
      <c r="L31" s="24">
        <f>'3 - 2021'!I37-'3 - 2021'!I36</f>
        <v>0</v>
      </c>
      <c r="M31" s="23">
        <v>4.393629424766913</v>
      </c>
    </row>
    <row r="32" spans="1:16" x14ac:dyDescent="0.25">
      <c r="A32" s="22" t="s">
        <v>27</v>
      </c>
      <c r="B32" s="22">
        <f t="shared" si="0"/>
        <v>31</v>
      </c>
      <c r="C32" s="22">
        <v>3</v>
      </c>
      <c r="D32" s="22">
        <v>2021</v>
      </c>
      <c r="E32" s="24">
        <f>'3 - 2021'!B38-'3 - 2021'!B37+'3 - 2021'!C38-'3 - 2021'!C37</f>
        <v>0</v>
      </c>
      <c r="F32" s="22">
        <v>0.11799999999999999</v>
      </c>
      <c r="G32" s="24">
        <f>(('3 - 2021'!E38-'3 - 2021'!E37)+('3 - 2021'!F38-'3 - 2021'!F37)+('3 - 2021'!G38-'3 - 2021'!G37))*1.81</f>
        <v>0</v>
      </c>
      <c r="H32" s="22">
        <v>0.99</v>
      </c>
      <c r="I32" s="24">
        <f>'3 - 2021'!J38-'3 - 2021'!J37</f>
        <v>0</v>
      </c>
      <c r="J32" s="22">
        <v>8.1000000000000003E-2</v>
      </c>
      <c r="K32" s="46">
        <f>'3 - 2021'!H38-'3 - 2021'!H37</f>
        <v>0</v>
      </c>
      <c r="L32" s="24">
        <f>'3 - 2021'!I38-'3 - 2021'!I37</f>
        <v>0</v>
      </c>
      <c r="M32" s="23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N16" sqref="N16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22">
        <v>3</v>
      </c>
      <c r="D2">
        <v>2021</v>
      </c>
      <c r="E2" s="24">
        <f>'3 - 2021'!B8-'3 - 2021'!B7</f>
        <v>3632</v>
      </c>
      <c r="F2" s="24">
        <f>'3 - 2021'!C8-'3 - 2021'!C7</f>
        <v>5353</v>
      </c>
      <c r="G2" s="22">
        <v>0.11799999999999999</v>
      </c>
      <c r="H2" s="24">
        <f>'3 - 2021'!E8-'3 - 2021'!E7</f>
        <v>3.6900000000005093</v>
      </c>
      <c r="I2" s="24">
        <f>'3 - 2021'!F8-'3 - 2021'!F7</f>
        <v>5</v>
      </c>
      <c r="J2" s="24">
        <f>'3 - 2021'!G8-'3 - 2021'!G7</f>
        <v>30</v>
      </c>
      <c r="K2" s="22">
        <v>0.74</v>
      </c>
      <c r="L2" s="24">
        <v>49</v>
      </c>
      <c r="M2" s="12"/>
    </row>
    <row r="3" spans="1:13" x14ac:dyDescent="0.25">
      <c r="A3" t="s">
        <v>27</v>
      </c>
      <c r="B3">
        <f>B2+1</f>
        <v>2</v>
      </c>
      <c r="C3" s="22">
        <v>3</v>
      </c>
      <c r="D3" s="22">
        <v>2021</v>
      </c>
      <c r="E3" s="24">
        <f>'3 - 2021'!B9-'3 - 2021'!B8</f>
        <v>3325</v>
      </c>
      <c r="F3" s="24">
        <f>'3 - 2021'!C9-'3 - 2021'!C8</f>
        <v>5100</v>
      </c>
      <c r="G3" s="22">
        <v>0.11799999999999999</v>
      </c>
      <c r="H3" s="24">
        <f>'3 - 2021'!E9-'3 - 2021'!E8</f>
        <v>0.81999999999970896</v>
      </c>
      <c r="I3" s="24">
        <f>'3 - 2021'!F9-'3 - 2021'!F8</f>
        <v>5</v>
      </c>
      <c r="J3" s="24">
        <f>'3 - 2021'!G9-'3 - 2021'!G8</f>
        <v>33</v>
      </c>
      <c r="K3" s="22">
        <v>0.74</v>
      </c>
      <c r="L3" s="39">
        <v>49</v>
      </c>
      <c r="M3" s="12"/>
    </row>
    <row r="4" spans="1:13" x14ac:dyDescent="0.25">
      <c r="A4" t="s">
        <v>27</v>
      </c>
      <c r="B4">
        <f t="shared" ref="B4:B32" si="0">B3+1</f>
        <v>3</v>
      </c>
      <c r="C4" s="22">
        <v>3</v>
      </c>
      <c r="D4" s="22">
        <v>2021</v>
      </c>
      <c r="E4" s="24">
        <f>'3 - 2021'!B10-'3 - 2021'!B9</f>
        <v>3501</v>
      </c>
      <c r="F4" s="24">
        <f>'3 - 2021'!C10-'3 - 2021'!C9</f>
        <v>5348</v>
      </c>
      <c r="G4" s="22">
        <v>0.11799999999999999</v>
      </c>
      <c r="H4" s="24">
        <f>'3 - 2021'!E10-'3 - 2021'!E9</f>
        <v>4.4899999999997817</v>
      </c>
      <c r="I4" s="24">
        <f>'3 - 2021'!F10-'3 - 2021'!F9</f>
        <v>6</v>
      </c>
      <c r="J4" s="24">
        <f>'3 - 2021'!G10-'3 - 2021'!G9</f>
        <v>33</v>
      </c>
      <c r="K4" s="22">
        <v>0.74</v>
      </c>
      <c r="L4" s="39">
        <v>55</v>
      </c>
      <c r="M4" s="12"/>
    </row>
    <row r="5" spans="1:13" x14ac:dyDescent="0.25">
      <c r="A5" t="s">
        <v>27</v>
      </c>
      <c r="B5">
        <f t="shared" si="0"/>
        <v>4</v>
      </c>
      <c r="C5" s="22">
        <v>3</v>
      </c>
      <c r="D5" s="22">
        <v>2021</v>
      </c>
      <c r="E5" s="24">
        <f>'3 - 2021'!B11-'3 - 2021'!B10</f>
        <v>3535</v>
      </c>
      <c r="F5" s="24">
        <f>'3 - 2021'!C11-'3 - 2021'!C10</f>
        <v>5594</v>
      </c>
      <c r="G5" s="22">
        <v>0.11799999999999999</v>
      </c>
      <c r="H5" s="24">
        <f>'3 - 2021'!E11-'3 - 2021'!E10</f>
        <v>3.7299999999995634</v>
      </c>
      <c r="I5" s="24">
        <f>'3 - 2021'!F11-'3 - 2021'!F10</f>
        <v>4.8800000000001091</v>
      </c>
      <c r="J5" s="24">
        <f>'3 - 2021'!G11-'3 - 2021'!G10</f>
        <v>34</v>
      </c>
      <c r="K5" s="22">
        <v>0.74</v>
      </c>
      <c r="L5" s="39">
        <v>67</v>
      </c>
      <c r="M5" s="12"/>
    </row>
    <row r="6" spans="1:13" x14ac:dyDescent="0.25">
      <c r="A6" t="s">
        <v>27</v>
      </c>
      <c r="B6">
        <f t="shared" si="0"/>
        <v>5</v>
      </c>
      <c r="C6" s="22">
        <v>3</v>
      </c>
      <c r="D6" s="22">
        <v>2021</v>
      </c>
      <c r="E6" s="24">
        <f>'3 - 2021'!B12-'3 - 2021'!B11</f>
        <v>3166</v>
      </c>
      <c r="F6" s="24">
        <f>'3 - 2021'!C12-'3 - 2021'!C11</f>
        <v>4914</v>
      </c>
      <c r="G6" s="22">
        <v>0.11799999999999999</v>
      </c>
      <c r="H6" s="24">
        <f>'3 - 2021'!E12-'3 - 2021'!E11</f>
        <v>3.8500000000003638</v>
      </c>
      <c r="I6" s="24">
        <f>'3 - 2021'!F12-'3 - 2021'!F11</f>
        <v>5.1300000000001091</v>
      </c>
      <c r="J6" s="24">
        <f>'3 - 2021'!G12-'3 - 2021'!G11</f>
        <v>34</v>
      </c>
      <c r="K6" s="22">
        <v>0.74</v>
      </c>
      <c r="L6" s="39">
        <v>78</v>
      </c>
      <c r="M6" s="13"/>
    </row>
    <row r="7" spans="1:13" x14ac:dyDescent="0.25">
      <c r="A7" t="s">
        <v>27</v>
      </c>
      <c r="B7">
        <f t="shared" si="0"/>
        <v>6</v>
      </c>
      <c r="C7" s="22">
        <v>3</v>
      </c>
      <c r="D7" s="22">
        <v>2021</v>
      </c>
      <c r="E7" s="24">
        <f>'3 - 2021'!B13-'3 - 2021'!B12</f>
        <v>2987</v>
      </c>
      <c r="F7" s="24">
        <f>'3 - 2021'!C13-'3 - 2021'!C12</f>
        <v>5268</v>
      </c>
      <c r="G7" s="22">
        <v>0.11799999999999999</v>
      </c>
      <c r="H7" s="24">
        <f>'3 - 2021'!E13-'3 - 2021'!E12</f>
        <v>2.6200000000008004</v>
      </c>
      <c r="I7" s="24">
        <f>'3 - 2021'!F13-'3 - 2021'!F12</f>
        <v>5.1899999999995998</v>
      </c>
      <c r="J7" s="24">
        <f>'3 - 2021'!G13-'3 - 2021'!G12</f>
        <v>33.209999999999127</v>
      </c>
      <c r="K7" s="22">
        <v>0.74</v>
      </c>
      <c r="L7" s="39">
        <v>72</v>
      </c>
      <c r="M7" s="13"/>
    </row>
    <row r="8" spans="1:13" x14ac:dyDescent="0.25">
      <c r="A8" t="s">
        <v>27</v>
      </c>
      <c r="B8">
        <f t="shared" si="0"/>
        <v>7</v>
      </c>
      <c r="C8" s="22">
        <v>3</v>
      </c>
      <c r="D8" s="22">
        <v>2021</v>
      </c>
      <c r="E8" s="24">
        <f>'3 - 2021'!B14-'3 - 2021'!B13</f>
        <v>2953</v>
      </c>
      <c r="F8" s="24">
        <f>'3 - 2021'!C14-'3 - 2021'!C13</f>
        <v>5188</v>
      </c>
      <c r="G8" s="22">
        <v>0.11799999999999999</v>
      </c>
      <c r="H8" s="24">
        <f>'3 - 2021'!E14-'3 - 2021'!E13</f>
        <v>2.7999999999992724</v>
      </c>
      <c r="I8" s="24">
        <f>'3 - 2021'!F14-'3 - 2021'!F13</f>
        <v>2.8000000000001819</v>
      </c>
      <c r="J8" s="24">
        <f>'3 - 2021'!G14-'3 - 2021'!G13</f>
        <v>30.790000000000873</v>
      </c>
      <c r="K8" s="22">
        <v>0.74</v>
      </c>
      <c r="L8" s="39">
        <v>69</v>
      </c>
      <c r="M8" s="13"/>
    </row>
    <row r="9" spans="1:13" x14ac:dyDescent="0.25">
      <c r="A9" t="s">
        <v>27</v>
      </c>
      <c r="B9">
        <f t="shared" si="0"/>
        <v>8</v>
      </c>
      <c r="C9" s="22">
        <v>3</v>
      </c>
      <c r="D9" s="22">
        <v>2021</v>
      </c>
      <c r="E9" s="24">
        <f>'3 - 2021'!B15-'3 - 2021'!B14</f>
        <v>3382</v>
      </c>
      <c r="F9" s="24">
        <f>'3 - 2021'!C15-'3 - 2021'!C14</f>
        <v>5233</v>
      </c>
      <c r="G9" s="22">
        <v>0.11799999999999999</v>
      </c>
      <c r="H9" s="24">
        <f>'3 - 2021'!E15-'3 - 2021'!E14</f>
        <v>4</v>
      </c>
      <c r="I9" s="24">
        <f>'3 - 2021'!F15-'3 - 2021'!F14</f>
        <v>5</v>
      </c>
      <c r="J9" s="24">
        <f>'3 - 2021'!G15-'3 - 2021'!G14</f>
        <v>31</v>
      </c>
      <c r="K9" s="22">
        <v>0.74</v>
      </c>
      <c r="L9" s="39">
        <v>74</v>
      </c>
      <c r="M9" s="13"/>
    </row>
    <row r="10" spans="1:13" x14ac:dyDescent="0.25">
      <c r="A10" t="s">
        <v>27</v>
      </c>
      <c r="B10">
        <f t="shared" si="0"/>
        <v>9</v>
      </c>
      <c r="C10" s="22">
        <v>3</v>
      </c>
      <c r="D10" s="22">
        <v>2021</v>
      </c>
      <c r="E10" s="24">
        <f>'3 - 2021'!B16-'3 - 2021'!B15</f>
        <v>3855</v>
      </c>
      <c r="F10" s="24">
        <f>'3 - 2021'!C16-'3 - 2021'!C15</f>
        <v>5495</v>
      </c>
      <c r="G10" s="22">
        <v>0.11799999999999999</v>
      </c>
      <c r="H10" s="24">
        <f>'3 - 2021'!E16-'3 - 2021'!E15</f>
        <v>5.1399999999994179</v>
      </c>
      <c r="I10" s="24">
        <f>'3 - 2021'!F16-'3 - 2021'!F15</f>
        <v>5.0199999999999818</v>
      </c>
      <c r="J10" s="24">
        <f>'3 - 2021'!G16-'3 - 2021'!G15</f>
        <v>31.340000000000146</v>
      </c>
      <c r="K10" s="22">
        <v>0.74</v>
      </c>
      <c r="L10" s="39">
        <v>72</v>
      </c>
      <c r="M10" s="13"/>
    </row>
    <row r="11" spans="1:13" x14ac:dyDescent="0.25">
      <c r="A11" t="s">
        <v>27</v>
      </c>
      <c r="B11">
        <f t="shared" si="0"/>
        <v>10</v>
      </c>
      <c r="C11" s="22">
        <v>3</v>
      </c>
      <c r="D11" s="22">
        <v>2021</v>
      </c>
      <c r="E11" s="24">
        <f>'3 - 2021'!B17-'3 - 2021'!B16</f>
        <v>3457</v>
      </c>
      <c r="F11" s="24">
        <f>'3 - 2021'!C17-'3 - 2021'!C16</f>
        <v>5392</v>
      </c>
      <c r="G11" s="22">
        <v>0.11799999999999999</v>
      </c>
      <c r="H11" s="24">
        <f>'3 - 2021'!E17-'3 - 2021'!E16</f>
        <v>3.3900000000012369</v>
      </c>
      <c r="I11" s="24">
        <f>'3 - 2021'!F17-'3 - 2021'!F16</f>
        <v>5.0700000000001637</v>
      </c>
      <c r="J11" s="24">
        <f>'3 - 2021'!G17-'3 - 2021'!G16</f>
        <v>36.479999999999563</v>
      </c>
      <c r="K11" s="22">
        <v>0.74</v>
      </c>
      <c r="L11" s="39">
        <v>75</v>
      </c>
      <c r="M11" s="13"/>
    </row>
    <row r="12" spans="1:13" x14ac:dyDescent="0.25">
      <c r="A12" t="s">
        <v>27</v>
      </c>
      <c r="B12">
        <f t="shared" si="0"/>
        <v>11</v>
      </c>
      <c r="C12" s="22">
        <v>3</v>
      </c>
      <c r="D12" s="22">
        <v>2021</v>
      </c>
      <c r="E12" s="24">
        <v>0</v>
      </c>
      <c r="F12" s="24">
        <v>0</v>
      </c>
      <c r="G12" s="22">
        <v>0.11799999999999999</v>
      </c>
      <c r="H12" s="24">
        <v>0</v>
      </c>
      <c r="I12" s="24">
        <v>0</v>
      </c>
      <c r="J12" s="24">
        <v>0</v>
      </c>
      <c r="K12" s="22">
        <v>0.74</v>
      </c>
      <c r="L12" s="24"/>
      <c r="M12" s="13"/>
    </row>
    <row r="13" spans="1:13" x14ac:dyDescent="0.25">
      <c r="A13" t="s">
        <v>27</v>
      </c>
      <c r="B13">
        <f t="shared" si="0"/>
        <v>12</v>
      </c>
      <c r="C13" s="22">
        <v>3</v>
      </c>
      <c r="D13" s="22">
        <v>2021</v>
      </c>
      <c r="E13" s="24">
        <f>'3 - 2021'!B19-'3 - 2021'!B18</f>
        <v>0</v>
      </c>
      <c r="F13" s="24">
        <f>'3 - 2021'!C19-'3 - 2021'!C18</f>
        <v>0</v>
      </c>
      <c r="G13" s="22">
        <v>0.11799999999999999</v>
      </c>
      <c r="H13" s="24">
        <f>'3 - 2021'!E19-'3 - 2021'!E18</f>
        <v>0</v>
      </c>
      <c r="I13" s="24">
        <f>'3 - 2021'!F19-'3 - 2021'!F18</f>
        <v>0</v>
      </c>
      <c r="J13" s="24">
        <f>'3 - 2021'!G19-'3 - 2021'!G18</f>
        <v>0</v>
      </c>
      <c r="K13" s="22">
        <v>0.74</v>
      </c>
      <c r="L13" s="24"/>
      <c r="M13" s="13"/>
    </row>
    <row r="14" spans="1:13" x14ac:dyDescent="0.25">
      <c r="A14" t="s">
        <v>27</v>
      </c>
      <c r="B14">
        <f t="shared" si="0"/>
        <v>13</v>
      </c>
      <c r="C14" s="22">
        <v>3</v>
      </c>
      <c r="D14" s="22">
        <v>2021</v>
      </c>
      <c r="E14" s="24">
        <f>'3 - 2021'!B20-'3 - 2021'!B19</f>
        <v>0</v>
      </c>
      <c r="F14" s="24">
        <f>'3 - 2021'!C20-'3 - 2021'!C19</f>
        <v>0</v>
      </c>
      <c r="G14" s="22">
        <v>0.11799999999999999</v>
      </c>
      <c r="H14" s="24">
        <f>'3 - 2021'!E20-'3 - 2021'!E19</f>
        <v>0</v>
      </c>
      <c r="I14" s="24">
        <f>'3 - 2021'!F20-'3 - 2021'!F19</f>
        <v>0</v>
      </c>
      <c r="J14" s="24">
        <f>'3 - 2021'!G20-'3 - 2021'!G19</f>
        <v>0</v>
      </c>
      <c r="K14" s="22">
        <v>0.74</v>
      </c>
      <c r="L14" s="24"/>
      <c r="M14" s="13"/>
    </row>
    <row r="15" spans="1:13" x14ac:dyDescent="0.25">
      <c r="A15" t="s">
        <v>27</v>
      </c>
      <c r="B15">
        <f t="shared" si="0"/>
        <v>14</v>
      </c>
      <c r="C15" s="22">
        <v>3</v>
      </c>
      <c r="D15" s="22">
        <v>2021</v>
      </c>
      <c r="E15" s="24">
        <f>'3 - 2021'!B21-'3 - 2021'!B20</f>
        <v>0</v>
      </c>
      <c r="F15" s="24">
        <f>'3 - 2021'!C21-'3 - 2021'!C20</f>
        <v>0</v>
      </c>
      <c r="G15" s="22">
        <v>0.11799999999999999</v>
      </c>
      <c r="H15" s="24">
        <f>'3 - 2021'!E21-'3 - 2021'!E20</f>
        <v>0</v>
      </c>
      <c r="I15" s="24">
        <f>'3 - 2021'!F21-'3 - 2021'!F20</f>
        <v>0</v>
      </c>
      <c r="J15" s="24">
        <f>'3 - 2021'!G21-'3 - 2021'!G20</f>
        <v>0</v>
      </c>
      <c r="K15" s="22">
        <v>0.74</v>
      </c>
      <c r="L15" s="24"/>
      <c r="M15" s="13"/>
    </row>
    <row r="16" spans="1:13" x14ac:dyDescent="0.25">
      <c r="A16" t="s">
        <v>27</v>
      </c>
      <c r="B16">
        <f t="shared" si="0"/>
        <v>15</v>
      </c>
      <c r="C16" s="22">
        <v>3</v>
      </c>
      <c r="D16" s="22">
        <v>2021</v>
      </c>
      <c r="E16" s="24">
        <f>'3 - 2021'!B22-'3 - 2021'!B21</f>
        <v>0</v>
      </c>
      <c r="F16" s="24">
        <f>'3 - 2021'!C22-'3 - 2021'!C21</f>
        <v>0</v>
      </c>
      <c r="G16" s="22">
        <v>0.11799999999999999</v>
      </c>
      <c r="H16" s="24">
        <f>'3 - 2021'!E22-'3 - 2021'!E21</f>
        <v>0</v>
      </c>
      <c r="I16" s="24">
        <f>'3 - 2021'!F22-'3 - 2021'!F21</f>
        <v>0</v>
      </c>
      <c r="J16" s="24">
        <f>'3 - 2021'!G22-'3 - 2021'!G21</f>
        <v>0</v>
      </c>
      <c r="K16" s="22">
        <v>0.74</v>
      </c>
      <c r="L16" s="24"/>
      <c r="M16" s="13"/>
    </row>
    <row r="17" spans="1:13" x14ac:dyDescent="0.25">
      <c r="A17" t="s">
        <v>27</v>
      </c>
      <c r="B17">
        <f t="shared" si="0"/>
        <v>16</v>
      </c>
      <c r="C17" s="22">
        <v>3</v>
      </c>
      <c r="D17" s="22">
        <v>2021</v>
      </c>
      <c r="E17" s="24">
        <f>'3 - 2021'!B23-'3 - 2021'!B22</f>
        <v>0</v>
      </c>
      <c r="F17" s="24">
        <f>'3 - 2021'!C23-'3 - 2021'!C22</f>
        <v>0</v>
      </c>
      <c r="G17" s="22">
        <v>0.11799999999999999</v>
      </c>
      <c r="H17" s="24">
        <f>'3 - 2021'!E23-'3 - 2021'!E22</f>
        <v>0</v>
      </c>
      <c r="I17" s="24">
        <f>'3 - 2021'!F23-'3 - 2021'!F22</f>
        <v>0</v>
      </c>
      <c r="J17" s="24">
        <f>'3 - 2021'!G23-'3 - 2021'!G22</f>
        <v>0</v>
      </c>
      <c r="K17" s="22">
        <v>0.74</v>
      </c>
      <c r="L17" s="24"/>
      <c r="M17" s="13"/>
    </row>
    <row r="18" spans="1:13" x14ac:dyDescent="0.25">
      <c r="A18" t="s">
        <v>27</v>
      </c>
      <c r="B18">
        <f t="shared" si="0"/>
        <v>17</v>
      </c>
      <c r="C18" s="22">
        <v>3</v>
      </c>
      <c r="D18" s="22">
        <v>2021</v>
      </c>
      <c r="E18" s="24">
        <f>'3 - 2021'!B24-'3 - 2021'!B23</f>
        <v>0</v>
      </c>
      <c r="F18" s="24">
        <f>'3 - 2021'!C24-'3 - 2021'!C23</f>
        <v>0</v>
      </c>
      <c r="G18" s="22">
        <v>0.11799999999999999</v>
      </c>
      <c r="H18" s="24">
        <f>'3 - 2021'!E24-'3 - 2021'!E23</f>
        <v>0</v>
      </c>
      <c r="I18" s="24">
        <f>'3 - 2021'!F24-'3 - 2021'!F23</f>
        <v>0</v>
      </c>
      <c r="J18" s="24">
        <f>'3 - 2021'!G24-'3 - 2021'!G23</f>
        <v>0</v>
      </c>
      <c r="K18" s="22">
        <v>0.74</v>
      </c>
      <c r="L18" s="24"/>
      <c r="M18" s="13"/>
    </row>
    <row r="19" spans="1:13" x14ac:dyDescent="0.25">
      <c r="A19" t="s">
        <v>27</v>
      </c>
      <c r="B19">
        <f>B18+1</f>
        <v>18</v>
      </c>
      <c r="C19" s="22">
        <v>3</v>
      </c>
      <c r="D19" s="22">
        <v>2021</v>
      </c>
      <c r="E19" s="24">
        <f>'3 - 2021'!B25-'3 - 2021'!B24</f>
        <v>0</v>
      </c>
      <c r="F19" s="24">
        <f>'3 - 2021'!C25-'3 - 2021'!C24</f>
        <v>0</v>
      </c>
      <c r="G19" s="22">
        <v>0.11799999999999999</v>
      </c>
      <c r="H19" s="24">
        <f>'3 - 2021'!E25-'3 - 2021'!E24</f>
        <v>0</v>
      </c>
      <c r="I19" s="24">
        <f>'3 - 2021'!F25-'3 - 2021'!F24</f>
        <v>0</v>
      </c>
      <c r="J19" s="24">
        <f>'3 - 2021'!G25-'3 - 2021'!G24</f>
        <v>0</v>
      </c>
      <c r="K19" s="22">
        <v>0.74</v>
      </c>
      <c r="L19" s="24"/>
      <c r="M19" s="13"/>
    </row>
    <row r="20" spans="1:13" x14ac:dyDescent="0.25">
      <c r="A20" t="s">
        <v>27</v>
      </c>
      <c r="B20">
        <f t="shared" si="0"/>
        <v>19</v>
      </c>
      <c r="C20" s="22">
        <v>3</v>
      </c>
      <c r="D20" s="22">
        <v>2021</v>
      </c>
      <c r="E20" s="24">
        <f>'3 - 2021'!B26-'3 - 2021'!B25</f>
        <v>0</v>
      </c>
      <c r="F20" s="24">
        <f>'3 - 2021'!C26-'3 - 2021'!C25</f>
        <v>0</v>
      </c>
      <c r="G20" s="22">
        <v>0.11799999999999999</v>
      </c>
      <c r="H20" s="24">
        <f>'3 - 2021'!E26-'3 - 2021'!E25</f>
        <v>0</v>
      </c>
      <c r="I20" s="24">
        <f>'3 - 2021'!F26-'3 - 2021'!F25</f>
        <v>0</v>
      </c>
      <c r="J20" s="24">
        <f>'3 - 2021'!G26-'3 - 2021'!G25</f>
        <v>0</v>
      </c>
      <c r="K20" s="22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2">
        <v>3</v>
      </c>
      <c r="D21" s="22">
        <v>2021</v>
      </c>
      <c r="E21" s="24">
        <f>'3 - 2021'!B27-'3 - 2021'!B26</f>
        <v>0</v>
      </c>
      <c r="F21" s="24">
        <f>'3 - 2021'!C27-'3 - 2021'!C26</f>
        <v>0</v>
      </c>
      <c r="G21" s="22">
        <v>0.11799999999999999</v>
      </c>
      <c r="H21" s="24">
        <f>'3 - 2021'!E27-'3 - 2021'!E26</f>
        <v>0</v>
      </c>
      <c r="I21" s="24">
        <f>'3 - 2021'!F27-'3 - 2021'!F26</f>
        <v>0</v>
      </c>
      <c r="J21" s="24">
        <f>'3 - 2021'!G27-'3 - 2021'!G26</f>
        <v>0</v>
      </c>
      <c r="K21" s="22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2">
        <v>3</v>
      </c>
      <c r="D22" s="22">
        <v>2021</v>
      </c>
      <c r="E22" s="24">
        <f>'3 - 2021'!B28-'3 - 2021'!B27</f>
        <v>0</v>
      </c>
      <c r="F22" s="24">
        <f>'3 - 2021'!C28-'3 - 2021'!C27</f>
        <v>0</v>
      </c>
      <c r="G22" s="22">
        <v>0.11799999999999999</v>
      </c>
      <c r="H22" s="24">
        <f>'3 - 2021'!E28-'3 - 2021'!E27</f>
        <v>0</v>
      </c>
      <c r="I22" s="24">
        <f>'3 - 2021'!F28-'3 - 2021'!F27</f>
        <v>0</v>
      </c>
      <c r="J22" s="24">
        <f>'3 - 2021'!G28-'3 - 2021'!G27</f>
        <v>0</v>
      </c>
      <c r="K22" s="22">
        <v>0.74</v>
      </c>
      <c r="L22" s="24"/>
      <c r="M22" s="13"/>
    </row>
    <row r="23" spans="1:13" x14ac:dyDescent="0.25">
      <c r="A23" t="s">
        <v>27</v>
      </c>
      <c r="B23">
        <f t="shared" si="0"/>
        <v>22</v>
      </c>
      <c r="C23" s="22">
        <v>3</v>
      </c>
      <c r="D23" s="22">
        <v>2021</v>
      </c>
      <c r="E23" s="24">
        <f>'3 - 2021'!B29-'3 - 2021'!B28</f>
        <v>0</v>
      </c>
      <c r="F23" s="24">
        <f>'3 - 2021'!C29-'3 - 2021'!C28</f>
        <v>0</v>
      </c>
      <c r="G23" s="22">
        <v>0.11799999999999999</v>
      </c>
      <c r="H23" s="24">
        <f>'3 - 2021'!E29-'3 - 2021'!E28</f>
        <v>0</v>
      </c>
      <c r="I23" s="24">
        <f>'3 - 2021'!F29-'3 - 2021'!F28</f>
        <v>0</v>
      </c>
      <c r="J23" s="24">
        <f>'3 - 2021'!G29-'3 - 2021'!G28</f>
        <v>0</v>
      </c>
      <c r="K23" s="22">
        <v>0.74</v>
      </c>
      <c r="L23" s="24"/>
      <c r="M23" s="13"/>
    </row>
    <row r="24" spans="1:13" x14ac:dyDescent="0.25">
      <c r="A24" t="s">
        <v>27</v>
      </c>
      <c r="B24">
        <f t="shared" si="0"/>
        <v>23</v>
      </c>
      <c r="C24" s="22">
        <v>3</v>
      </c>
      <c r="D24" s="22">
        <v>2021</v>
      </c>
      <c r="E24" s="24">
        <f>'3 - 2021'!B30-'3 - 2021'!B29</f>
        <v>0</v>
      </c>
      <c r="F24" s="24">
        <f>'3 - 2021'!C30-'3 - 2021'!C29</f>
        <v>0</v>
      </c>
      <c r="G24" s="22">
        <v>0.11799999999999999</v>
      </c>
      <c r="H24" s="24">
        <f>'3 - 2021'!E30-'3 - 2021'!E29</f>
        <v>0</v>
      </c>
      <c r="I24" s="24">
        <f>'3 - 2021'!F30-'3 - 2021'!F29</f>
        <v>0</v>
      </c>
      <c r="J24" s="24">
        <f>'3 - 2021'!G30-'3 - 2021'!G29</f>
        <v>0</v>
      </c>
      <c r="K24" s="22">
        <v>0.74</v>
      </c>
      <c r="L24" s="24"/>
      <c r="M24" s="13"/>
    </row>
    <row r="25" spans="1:13" x14ac:dyDescent="0.25">
      <c r="A25" t="s">
        <v>27</v>
      </c>
      <c r="B25">
        <f t="shared" si="0"/>
        <v>24</v>
      </c>
      <c r="C25" s="22">
        <v>3</v>
      </c>
      <c r="D25" s="22">
        <v>2021</v>
      </c>
      <c r="E25" s="24">
        <f>'3 - 2021'!B31-'3 - 2021'!B30</f>
        <v>0</v>
      </c>
      <c r="F25" s="24">
        <f>'3 - 2021'!C31-'3 - 2021'!C30</f>
        <v>0</v>
      </c>
      <c r="G25" s="22">
        <v>0.11799999999999999</v>
      </c>
      <c r="H25" s="24">
        <f>'3 - 2021'!E31-'3 - 2021'!E30</f>
        <v>0</v>
      </c>
      <c r="I25" s="24">
        <f>'3 - 2021'!F31-'3 - 2021'!F30</f>
        <v>0</v>
      </c>
      <c r="J25" s="24">
        <f>'3 - 2021'!G31-'3 - 2021'!G30</f>
        <v>0</v>
      </c>
      <c r="K25" s="22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2">
        <v>3</v>
      </c>
      <c r="D26" s="22">
        <v>2021</v>
      </c>
      <c r="E26" s="24">
        <f>'3 - 2021'!B32-'3 - 2021'!B31</f>
        <v>0</v>
      </c>
      <c r="F26" s="24">
        <f>'3 - 2021'!C32-'3 - 2021'!C31</f>
        <v>0</v>
      </c>
      <c r="G26" s="22">
        <v>0.11799999999999999</v>
      </c>
      <c r="H26" s="24">
        <f>'3 - 2021'!E32-'3 - 2021'!E31</f>
        <v>0</v>
      </c>
      <c r="I26" s="24">
        <f>'3 - 2021'!F32-'3 - 2021'!F31</f>
        <v>0</v>
      </c>
      <c r="J26" s="24">
        <f>'3 - 2021'!G32-'3 - 2021'!G31</f>
        <v>0</v>
      </c>
      <c r="K26" s="22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2">
        <v>3</v>
      </c>
      <c r="D27" s="22">
        <v>2021</v>
      </c>
      <c r="E27" s="24">
        <f>'3 - 2021'!B33-'3 - 2021'!B32</f>
        <v>0</v>
      </c>
      <c r="F27" s="24">
        <f>'3 - 2021'!C33-'3 - 2021'!C32</f>
        <v>0</v>
      </c>
      <c r="G27" s="22">
        <v>0.11799999999999999</v>
      </c>
      <c r="H27" s="24">
        <f>'3 - 2021'!E33-'3 - 2021'!E32</f>
        <v>0</v>
      </c>
      <c r="I27" s="24">
        <f>'3 - 2021'!F33-'3 - 2021'!F32</f>
        <v>0</v>
      </c>
      <c r="J27" s="24">
        <f>'3 - 2021'!G33-'3 - 2021'!G32</f>
        <v>0</v>
      </c>
      <c r="K27" s="22">
        <v>0.74</v>
      </c>
      <c r="L27" s="24"/>
      <c r="M27" s="13"/>
    </row>
    <row r="28" spans="1:13" x14ac:dyDescent="0.25">
      <c r="A28" t="s">
        <v>27</v>
      </c>
      <c r="B28">
        <f t="shared" si="0"/>
        <v>27</v>
      </c>
      <c r="C28" s="22">
        <v>3</v>
      </c>
      <c r="D28" s="22">
        <v>2021</v>
      </c>
      <c r="E28" s="24">
        <f>'3 - 2021'!B34-'3 - 2021'!B33</f>
        <v>0</v>
      </c>
      <c r="F28" s="24">
        <f>'3 - 2021'!C34-'3 - 2021'!C33</f>
        <v>0</v>
      </c>
      <c r="G28" s="22">
        <v>0.11799999999999999</v>
      </c>
      <c r="H28" s="24">
        <f>'3 - 2021'!E34-'3 - 2021'!E33</f>
        <v>0</v>
      </c>
      <c r="I28" s="24">
        <f>'3 - 2021'!F34-'3 - 2021'!F33</f>
        <v>0</v>
      </c>
      <c r="J28" s="24">
        <f>'3 - 2021'!G34-'3 - 2021'!G33</f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3</v>
      </c>
      <c r="D29" s="22">
        <v>2021</v>
      </c>
      <c r="E29" s="24">
        <f>'3 - 2021'!B35-'3 - 2021'!B34</f>
        <v>0</v>
      </c>
      <c r="F29" s="24">
        <f>'3 - 2021'!C35-'3 - 2021'!C34</f>
        <v>0</v>
      </c>
      <c r="G29" s="22">
        <v>0.11799999999999999</v>
      </c>
      <c r="H29" s="24">
        <f>'3 - 2021'!E35-'3 - 2021'!E34</f>
        <v>0</v>
      </c>
      <c r="I29" s="24">
        <f>'3 - 2021'!F35-'3 - 2021'!F34</f>
        <v>0</v>
      </c>
      <c r="J29" s="24">
        <f>'3 - 2021'!G35-'3 - 2021'!G34</f>
        <v>0</v>
      </c>
      <c r="K29" s="22">
        <v>0.74</v>
      </c>
      <c r="L29" s="6"/>
      <c r="M29" s="13"/>
    </row>
    <row r="30" spans="1:13" x14ac:dyDescent="0.25">
      <c r="A30" s="22" t="s">
        <v>27</v>
      </c>
      <c r="B30" s="22">
        <f t="shared" si="0"/>
        <v>29</v>
      </c>
      <c r="C30" s="22">
        <v>3</v>
      </c>
      <c r="D30" s="22">
        <v>2021</v>
      </c>
      <c r="E30" s="24">
        <f>'3 - 2021'!B36-'3 - 2021'!B35</f>
        <v>0</v>
      </c>
      <c r="F30" s="24">
        <f>'3 - 2021'!C36-'3 - 2021'!C35</f>
        <v>0</v>
      </c>
      <c r="G30" s="22">
        <v>0.11799999999999999</v>
      </c>
      <c r="H30" s="24">
        <f>'3 - 2021'!E36-'3 - 2021'!E35</f>
        <v>0</v>
      </c>
      <c r="I30" s="24">
        <f>'3 - 2021'!F36-'3 - 2021'!F35</f>
        <v>0</v>
      </c>
      <c r="J30" s="24">
        <f>'3 - 2021'!G36-'3 - 2021'!G35</f>
        <v>0</v>
      </c>
      <c r="K30" s="22">
        <v>0.74</v>
      </c>
    </row>
    <row r="31" spans="1:13" x14ac:dyDescent="0.25">
      <c r="A31" s="22" t="s">
        <v>27</v>
      </c>
      <c r="B31" s="22">
        <f t="shared" si="0"/>
        <v>30</v>
      </c>
      <c r="C31" s="22">
        <v>3</v>
      </c>
      <c r="D31" s="22">
        <v>2021</v>
      </c>
      <c r="E31" s="24">
        <f>'3 - 2021'!B37-'3 - 2021'!B36</f>
        <v>0</v>
      </c>
      <c r="F31" s="24">
        <f>'3 - 2021'!C37-'3 - 2021'!C36</f>
        <v>0</v>
      </c>
      <c r="G31" s="22">
        <v>0.11799999999999999</v>
      </c>
      <c r="H31" s="24">
        <f>'3 - 2021'!E37-'3 - 2021'!E36</f>
        <v>0</v>
      </c>
      <c r="I31" s="24">
        <f>'3 - 2021'!F37-'3 - 2021'!F36</f>
        <v>0</v>
      </c>
      <c r="J31" s="24">
        <f>'3 - 2021'!G37-'3 - 2021'!G36</f>
        <v>0</v>
      </c>
      <c r="K31" s="22">
        <v>0.74</v>
      </c>
    </row>
    <row r="32" spans="1:13" x14ac:dyDescent="0.25">
      <c r="A32" s="22" t="s">
        <v>27</v>
      </c>
      <c r="B32" s="22">
        <f t="shared" si="0"/>
        <v>31</v>
      </c>
      <c r="C32" s="22">
        <v>3</v>
      </c>
      <c r="D32" s="22">
        <v>2021</v>
      </c>
      <c r="E32" s="24">
        <f>'3 - 2021'!B38-'3 - 2021'!B37</f>
        <v>0</v>
      </c>
      <c r="F32" s="24">
        <f>'3 - 2021'!C38-'3 - 2021'!C37</f>
        <v>0</v>
      </c>
      <c r="G32" s="22">
        <v>0.11799999999999999</v>
      </c>
      <c r="H32" s="24">
        <f>'3 - 2021'!E38-'3 - 2021'!E37</f>
        <v>0</v>
      </c>
      <c r="I32" s="24">
        <f>'3 - 2021'!F38-'3 - 2021'!F37</f>
        <v>0</v>
      </c>
      <c r="J32" s="24">
        <f>'3 - 2021'!G38-'3 - 2021'!G37</f>
        <v>0</v>
      </c>
      <c r="K32" s="22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opLeftCell="A4" zoomScaleNormal="100" workbookViewId="0">
      <selection activeCell="I19" sqref="I19"/>
    </sheetView>
  </sheetViews>
  <sheetFormatPr defaultRowHeight="15" x14ac:dyDescent="0.25"/>
  <cols>
    <col min="1" max="1" width="13.5703125" style="22" customWidth="1"/>
    <col min="2" max="2" width="11.5703125" style="22" customWidth="1"/>
    <col min="3" max="3" width="12" style="22" customWidth="1"/>
    <col min="4" max="4" width="9.85546875" style="22" customWidth="1"/>
    <col min="5" max="5" width="11.42578125" style="22" customWidth="1"/>
    <col min="6" max="6" width="11.7109375" style="22" customWidth="1"/>
    <col min="7" max="7" width="11.28515625" style="22" customWidth="1"/>
    <col min="8" max="9" width="13.5703125" style="22" customWidth="1"/>
    <col min="10" max="10" width="13" style="22" customWidth="1"/>
    <col min="11" max="11" width="16.42578125" style="22" customWidth="1"/>
    <col min="12" max="12" width="39" style="22" customWidth="1"/>
    <col min="13" max="13" width="14.140625" style="22" customWidth="1"/>
    <col min="14" max="16384" width="9.140625" style="22"/>
  </cols>
  <sheetData>
    <row r="1" spans="1:17" x14ac:dyDescent="0.25">
      <c r="H1" s="23"/>
      <c r="I1" s="23"/>
    </row>
    <row r="3" spans="1:17" ht="18.75" x14ac:dyDescent="0.3">
      <c r="A3" s="74" t="s">
        <v>30</v>
      </c>
      <c r="B3" s="74"/>
      <c r="C3" s="74"/>
      <c r="D3" s="74"/>
      <c r="E3" s="74"/>
      <c r="F3" s="74"/>
      <c r="G3" s="74"/>
      <c r="H3" s="74"/>
      <c r="I3" s="74"/>
      <c r="J3" s="74"/>
    </row>
    <row r="4" spans="1:17" ht="16.5" thickBot="1" x14ac:dyDescent="0.3">
      <c r="A4" s="67" t="s">
        <v>37</v>
      </c>
      <c r="B4" s="67"/>
      <c r="C4" s="67"/>
      <c r="D4" s="67"/>
      <c r="E4" s="67"/>
      <c r="F4" s="67"/>
      <c r="G4" s="67"/>
      <c r="H4" s="67"/>
      <c r="I4" s="67"/>
      <c r="J4" s="67"/>
    </row>
    <row r="5" spans="1:17" ht="16.5" thickBot="1" x14ac:dyDescent="0.3">
      <c r="A5" s="2"/>
      <c r="B5" s="68" t="s">
        <v>36</v>
      </c>
      <c r="C5" s="69"/>
      <c r="D5" s="68" t="s">
        <v>0</v>
      </c>
      <c r="E5" s="70"/>
      <c r="F5" s="70"/>
      <c r="G5" s="71"/>
      <c r="H5" s="72" t="s">
        <v>1</v>
      </c>
      <c r="I5" s="73"/>
      <c r="J5" s="26" t="s">
        <v>2</v>
      </c>
      <c r="K5" s="3"/>
    </row>
    <row r="6" spans="1:17" ht="50.25" customHeight="1" x14ac:dyDescent="0.25">
      <c r="A6" s="32" t="s">
        <v>3</v>
      </c>
      <c r="B6" s="33" t="s">
        <v>33</v>
      </c>
      <c r="C6" s="34" t="s">
        <v>34</v>
      </c>
      <c r="D6" s="34" t="s">
        <v>4</v>
      </c>
      <c r="E6" s="34" t="s">
        <v>5</v>
      </c>
      <c r="F6" s="34" t="s">
        <v>6</v>
      </c>
      <c r="G6" s="35" t="s">
        <v>7</v>
      </c>
      <c r="H6" s="34" t="s">
        <v>28</v>
      </c>
      <c r="I6" s="34" t="s">
        <v>29</v>
      </c>
      <c r="J6" s="34" t="s">
        <v>8</v>
      </c>
      <c r="K6" s="27" t="s">
        <v>31</v>
      </c>
      <c r="L6" s="28" t="s">
        <v>32</v>
      </c>
    </row>
    <row r="7" spans="1:17" s="14" customFormat="1" ht="12.95" customHeight="1" x14ac:dyDescent="0.25">
      <c r="A7" s="36">
        <v>44255</v>
      </c>
      <c r="B7" s="15">
        <v>407560</v>
      </c>
      <c r="C7" s="51">
        <v>287607</v>
      </c>
      <c r="D7" s="16">
        <v>0.42</v>
      </c>
      <c r="E7" s="17">
        <v>13575</v>
      </c>
      <c r="F7" s="17">
        <v>3128</v>
      </c>
      <c r="G7" s="17">
        <v>26534</v>
      </c>
      <c r="H7" s="15">
        <v>14528</v>
      </c>
      <c r="I7" s="15">
        <v>111523</v>
      </c>
      <c r="J7" s="15">
        <v>44506620</v>
      </c>
      <c r="K7" s="43"/>
      <c r="L7" s="44"/>
      <c r="M7" s="37"/>
    </row>
    <row r="8" spans="1:17" s="14" customFormat="1" ht="12.95" customHeight="1" x14ac:dyDescent="0.25">
      <c r="A8" s="36">
        <f>A7+1</f>
        <v>44256</v>
      </c>
      <c r="B8" s="18">
        <v>411192</v>
      </c>
      <c r="C8" s="18">
        <v>292960</v>
      </c>
      <c r="D8" s="16">
        <v>0.35</v>
      </c>
      <c r="E8" s="21">
        <v>13578.69</v>
      </c>
      <c r="F8" s="21">
        <v>3133</v>
      </c>
      <c r="G8" s="18">
        <v>26564</v>
      </c>
      <c r="H8" s="18">
        <v>14528</v>
      </c>
      <c r="I8" s="18">
        <v>111602</v>
      </c>
      <c r="J8" s="18">
        <v>44518021</v>
      </c>
      <c r="K8" s="31"/>
      <c r="L8" s="59"/>
      <c r="M8" s="37"/>
    </row>
    <row r="9" spans="1:17" s="14" customFormat="1" ht="12.95" customHeight="1" x14ac:dyDescent="0.25">
      <c r="A9" s="36">
        <f t="shared" ref="A9:A37" si="0">A8+1</f>
        <v>44257</v>
      </c>
      <c r="B9" s="19">
        <v>414517</v>
      </c>
      <c r="C9" s="17">
        <v>298060</v>
      </c>
      <c r="D9" s="16">
        <v>0.28000000000000003</v>
      </c>
      <c r="E9" s="21">
        <v>13579.51</v>
      </c>
      <c r="F9" s="21">
        <v>3138</v>
      </c>
      <c r="G9" s="21">
        <v>26597</v>
      </c>
      <c r="H9" s="19">
        <v>14528</v>
      </c>
      <c r="I9" s="15">
        <v>111689</v>
      </c>
      <c r="J9" s="15">
        <v>44529691</v>
      </c>
      <c r="K9" s="18"/>
      <c r="L9" s="60"/>
      <c r="M9" s="37"/>
    </row>
    <row r="10" spans="1:17" s="14" customFormat="1" ht="12.95" customHeight="1" x14ac:dyDescent="0.25">
      <c r="A10" s="36">
        <f t="shared" si="0"/>
        <v>44258</v>
      </c>
      <c r="B10" s="15">
        <v>418018</v>
      </c>
      <c r="C10" s="15">
        <v>303408</v>
      </c>
      <c r="D10" s="16">
        <v>0.8</v>
      </c>
      <c r="E10" s="21">
        <v>13584</v>
      </c>
      <c r="F10" s="21">
        <v>3144</v>
      </c>
      <c r="G10" s="21">
        <v>26630</v>
      </c>
      <c r="H10" s="19">
        <v>14528</v>
      </c>
      <c r="I10" s="15">
        <v>111781</v>
      </c>
      <c r="J10" s="50">
        <v>44543278</v>
      </c>
      <c r="K10" s="18"/>
      <c r="L10" s="60"/>
      <c r="M10" s="37"/>
    </row>
    <row r="11" spans="1:17" s="14" customFormat="1" ht="12.95" customHeight="1" x14ac:dyDescent="0.25">
      <c r="A11" s="36">
        <f t="shared" si="0"/>
        <v>44259</v>
      </c>
      <c r="B11" s="15">
        <v>421553</v>
      </c>
      <c r="C11" s="15">
        <v>309002</v>
      </c>
      <c r="D11" s="16">
        <v>0.74</v>
      </c>
      <c r="E11" s="21">
        <v>13587.73</v>
      </c>
      <c r="F11" s="21">
        <v>3148.88</v>
      </c>
      <c r="G11" s="21">
        <v>26664</v>
      </c>
      <c r="H11" s="19">
        <v>14528</v>
      </c>
      <c r="I11" s="15">
        <v>111868</v>
      </c>
      <c r="J11" s="15">
        <v>44560060</v>
      </c>
      <c r="K11" s="18"/>
      <c r="L11" s="60"/>
      <c r="M11" s="37"/>
    </row>
    <row r="12" spans="1:17" s="14" customFormat="1" ht="12.95" customHeight="1" x14ac:dyDescent="0.25">
      <c r="A12" s="36">
        <f t="shared" si="0"/>
        <v>44260</v>
      </c>
      <c r="B12" s="19">
        <v>424719</v>
      </c>
      <c r="C12" s="19">
        <v>313916</v>
      </c>
      <c r="D12" s="16">
        <v>0.68</v>
      </c>
      <c r="E12" s="66">
        <v>13591.58</v>
      </c>
      <c r="F12" s="19">
        <v>3154.01</v>
      </c>
      <c r="G12" s="19">
        <v>26698</v>
      </c>
      <c r="H12" s="19">
        <v>14528</v>
      </c>
      <c r="I12" s="19">
        <v>111980</v>
      </c>
      <c r="J12" s="19">
        <v>44575019</v>
      </c>
      <c r="K12" s="18"/>
      <c r="L12" s="60"/>
      <c r="M12" s="37"/>
      <c r="N12" s="37"/>
    </row>
    <row r="13" spans="1:17" s="14" customFormat="1" ht="12.95" customHeight="1" x14ac:dyDescent="0.25">
      <c r="A13" s="36">
        <f t="shared" si="0"/>
        <v>44261</v>
      </c>
      <c r="B13" s="61">
        <v>427706</v>
      </c>
      <c r="C13" s="17">
        <v>319184</v>
      </c>
      <c r="D13" s="16">
        <v>0.61</v>
      </c>
      <c r="E13" s="21">
        <v>13594.2</v>
      </c>
      <c r="F13" s="21">
        <v>3159.2</v>
      </c>
      <c r="G13" s="21">
        <v>26731.21</v>
      </c>
      <c r="H13" s="15">
        <v>14528</v>
      </c>
      <c r="I13" s="17">
        <v>112088</v>
      </c>
      <c r="J13" s="17">
        <v>44591612</v>
      </c>
      <c r="K13" s="18"/>
      <c r="L13" s="60"/>
      <c r="M13" s="37"/>
      <c r="N13" s="52"/>
      <c r="O13" s="52"/>
      <c r="P13" s="52"/>
      <c r="Q13" s="52"/>
    </row>
    <row r="14" spans="1:17" s="14" customFormat="1" ht="12.95" customHeight="1" x14ac:dyDescent="0.25">
      <c r="A14" s="36">
        <f t="shared" si="0"/>
        <v>44262</v>
      </c>
      <c r="B14" s="15">
        <v>430659</v>
      </c>
      <c r="C14" s="15">
        <v>324372</v>
      </c>
      <c r="D14" s="16">
        <v>0.55000000000000004</v>
      </c>
      <c r="E14" s="21">
        <v>13597</v>
      </c>
      <c r="F14" s="21">
        <v>3162</v>
      </c>
      <c r="G14" s="17">
        <v>26762</v>
      </c>
      <c r="H14" s="15">
        <v>14528</v>
      </c>
      <c r="I14" s="15">
        <v>112175</v>
      </c>
      <c r="J14" s="15">
        <v>44606927</v>
      </c>
      <c r="K14" s="18"/>
      <c r="L14" s="60"/>
      <c r="M14" s="37"/>
      <c r="N14" s="52"/>
      <c r="O14" s="52"/>
      <c r="P14" s="52"/>
      <c r="Q14" s="52"/>
    </row>
    <row r="15" spans="1:17" s="14" customFormat="1" ht="12.95" customHeight="1" x14ac:dyDescent="0.25">
      <c r="A15" s="36">
        <f t="shared" si="0"/>
        <v>44263</v>
      </c>
      <c r="B15" s="15">
        <v>434041</v>
      </c>
      <c r="C15" s="15">
        <v>329605</v>
      </c>
      <c r="D15" s="16">
        <v>0.5</v>
      </c>
      <c r="E15" s="21">
        <v>13601</v>
      </c>
      <c r="F15" s="21">
        <v>3167</v>
      </c>
      <c r="G15" s="17">
        <v>26793</v>
      </c>
      <c r="H15" s="15">
        <v>14528</v>
      </c>
      <c r="I15" s="15">
        <v>112262</v>
      </c>
      <c r="J15" s="15">
        <v>44620355</v>
      </c>
      <c r="K15" s="18"/>
      <c r="L15" s="60"/>
      <c r="M15" s="37"/>
      <c r="N15" s="52"/>
      <c r="O15" s="52"/>
      <c r="P15" s="52"/>
      <c r="Q15" s="52"/>
    </row>
    <row r="16" spans="1:17" s="14" customFormat="1" ht="12.95" customHeight="1" x14ac:dyDescent="0.25">
      <c r="A16" s="36">
        <f t="shared" si="0"/>
        <v>44264</v>
      </c>
      <c r="B16" s="62">
        <v>437896</v>
      </c>
      <c r="C16" s="15">
        <v>335100</v>
      </c>
      <c r="D16" s="16">
        <v>0.44</v>
      </c>
      <c r="E16" s="21">
        <v>13606.14</v>
      </c>
      <c r="F16" s="21">
        <v>3172.02</v>
      </c>
      <c r="G16" s="17">
        <v>26824.34</v>
      </c>
      <c r="H16" s="15">
        <v>14528</v>
      </c>
      <c r="I16" s="15">
        <v>112376</v>
      </c>
      <c r="J16" s="15">
        <v>44633816</v>
      </c>
      <c r="K16" s="18"/>
      <c r="L16" s="60"/>
      <c r="M16" s="37"/>
      <c r="N16" s="52"/>
      <c r="O16" s="52"/>
      <c r="P16" s="52"/>
      <c r="Q16" s="52"/>
    </row>
    <row r="17" spans="1:19" s="14" customFormat="1" ht="12.95" customHeight="1" x14ac:dyDescent="0.25">
      <c r="A17" s="36">
        <f t="shared" si="0"/>
        <v>44265</v>
      </c>
      <c r="B17" s="17">
        <v>441353</v>
      </c>
      <c r="C17" s="17">
        <v>340492</v>
      </c>
      <c r="D17" s="25">
        <v>0.37</v>
      </c>
      <c r="E17" s="21">
        <v>13609.53</v>
      </c>
      <c r="F17" s="21">
        <v>3177.09</v>
      </c>
      <c r="G17" s="17">
        <v>26860.82</v>
      </c>
      <c r="H17" s="15">
        <v>14528</v>
      </c>
      <c r="I17" s="17">
        <v>112445</v>
      </c>
      <c r="J17" s="17">
        <v>44647430</v>
      </c>
      <c r="K17" s="18"/>
      <c r="L17" s="60"/>
      <c r="M17" s="37"/>
      <c r="N17" s="52"/>
      <c r="O17" s="52"/>
      <c r="P17" s="52"/>
      <c r="Q17" s="52"/>
    </row>
    <row r="18" spans="1:19" s="14" customFormat="1" ht="12.95" customHeight="1" x14ac:dyDescent="0.25">
      <c r="A18" s="36">
        <f t="shared" si="0"/>
        <v>44266</v>
      </c>
      <c r="B18" s="15"/>
      <c r="C18" s="15"/>
      <c r="D18" s="16"/>
      <c r="E18" s="21"/>
      <c r="F18" s="21"/>
      <c r="G18" s="17"/>
      <c r="H18" s="15"/>
      <c r="I18" s="15"/>
      <c r="J18" s="15"/>
      <c r="K18" s="18"/>
      <c r="L18" s="60"/>
      <c r="M18" s="37"/>
      <c r="N18" s="52"/>
      <c r="O18" s="53"/>
      <c r="P18" s="52"/>
      <c r="Q18" s="52"/>
    </row>
    <row r="19" spans="1:19" s="14" customFormat="1" ht="12.95" customHeight="1" x14ac:dyDescent="0.25">
      <c r="A19" s="36">
        <f t="shared" si="0"/>
        <v>44267</v>
      </c>
      <c r="B19" s="47"/>
      <c r="C19" s="47"/>
      <c r="D19" s="16"/>
      <c r="E19" s="48"/>
      <c r="F19" s="21"/>
      <c r="G19" s="48"/>
      <c r="H19" s="15"/>
      <c r="I19" s="47"/>
      <c r="J19" s="47"/>
      <c r="K19" s="18"/>
      <c r="L19" s="60"/>
      <c r="M19" s="37"/>
      <c r="N19" s="52"/>
      <c r="O19" s="53"/>
      <c r="P19" s="52"/>
      <c r="Q19" s="52"/>
    </row>
    <row r="20" spans="1:19" s="14" customFormat="1" ht="12.95" customHeight="1" x14ac:dyDescent="0.25">
      <c r="A20" s="36">
        <f t="shared" si="0"/>
        <v>44268</v>
      </c>
      <c r="B20" s="47"/>
      <c r="C20" s="47"/>
      <c r="D20" s="16"/>
      <c r="E20" s="48"/>
      <c r="F20" s="21"/>
      <c r="G20" s="48"/>
      <c r="H20" s="15"/>
      <c r="I20" s="47"/>
      <c r="J20" s="47"/>
      <c r="K20" s="18"/>
      <c r="L20" s="60"/>
      <c r="M20" s="37"/>
      <c r="N20" s="54"/>
      <c r="O20" s="52"/>
      <c r="P20" s="52"/>
      <c r="Q20" s="52"/>
    </row>
    <row r="21" spans="1:19" s="14" customFormat="1" ht="12.95" customHeight="1" x14ac:dyDescent="0.25">
      <c r="A21" s="36">
        <f t="shared" si="0"/>
        <v>44269</v>
      </c>
      <c r="B21" s="47"/>
      <c r="C21" s="47"/>
      <c r="D21" s="16"/>
      <c r="E21" s="48"/>
      <c r="F21" s="21"/>
      <c r="G21" s="48"/>
      <c r="H21" s="15"/>
      <c r="I21" s="47"/>
      <c r="J21" s="47"/>
      <c r="K21" s="18"/>
      <c r="L21" s="60"/>
      <c r="M21" s="37"/>
      <c r="N21" s="54"/>
      <c r="O21" s="54"/>
      <c r="P21" s="55"/>
      <c r="Q21" s="55"/>
      <c r="S21" s="37"/>
    </row>
    <row r="22" spans="1:19" s="14" customFormat="1" ht="12.95" customHeight="1" x14ac:dyDescent="0.25">
      <c r="A22" s="36">
        <f t="shared" si="0"/>
        <v>44270</v>
      </c>
      <c r="B22" s="47"/>
      <c r="C22" s="47"/>
      <c r="D22" s="16"/>
      <c r="E22" s="48"/>
      <c r="F22" s="21"/>
      <c r="G22" s="48"/>
      <c r="H22" s="15"/>
      <c r="I22" s="48"/>
      <c r="J22" s="47"/>
      <c r="K22" s="18"/>
      <c r="L22" s="60"/>
      <c r="M22" s="37"/>
      <c r="N22" s="54"/>
      <c r="O22" s="54"/>
      <c r="P22" s="52"/>
      <c r="Q22" s="52"/>
    </row>
    <row r="23" spans="1:19" s="14" customFormat="1" ht="12.95" customHeight="1" x14ac:dyDescent="0.25">
      <c r="A23" s="36">
        <f t="shared" si="0"/>
        <v>44271</v>
      </c>
      <c r="B23" s="47"/>
      <c r="C23" s="47"/>
      <c r="D23" s="16"/>
      <c r="E23" s="48"/>
      <c r="F23" s="21"/>
      <c r="G23" s="48"/>
      <c r="H23" s="15"/>
      <c r="I23" s="47"/>
      <c r="J23" s="47"/>
      <c r="K23" s="18"/>
      <c r="L23" s="60"/>
      <c r="M23" s="37"/>
      <c r="N23" s="54"/>
      <c r="O23" s="52"/>
      <c r="P23" s="52"/>
      <c r="Q23" s="52"/>
    </row>
    <row r="24" spans="1:19" s="14" customFormat="1" ht="12.95" customHeight="1" x14ac:dyDescent="0.25">
      <c r="A24" s="36">
        <f t="shared" si="0"/>
        <v>44272</v>
      </c>
      <c r="B24" s="47"/>
      <c r="C24" s="47"/>
      <c r="D24" s="16"/>
      <c r="E24" s="48"/>
      <c r="F24" s="21"/>
      <c r="G24" s="48"/>
      <c r="H24" s="15"/>
      <c r="I24" s="47"/>
      <c r="J24" s="47"/>
      <c r="K24" s="18"/>
      <c r="L24" s="29"/>
      <c r="M24" s="37"/>
      <c r="N24" s="54"/>
      <c r="O24" s="54"/>
      <c r="P24" s="52"/>
      <c r="Q24" s="52"/>
    </row>
    <row r="25" spans="1:19" s="14" customFormat="1" ht="12.95" customHeight="1" x14ac:dyDescent="0.25">
      <c r="A25" s="36">
        <f t="shared" si="0"/>
        <v>44273</v>
      </c>
      <c r="B25" s="48"/>
      <c r="C25" s="48"/>
      <c r="D25" s="25"/>
      <c r="E25" s="48"/>
      <c r="F25" s="21"/>
      <c r="G25" s="48"/>
      <c r="H25" s="15"/>
      <c r="I25" s="47"/>
      <c r="J25" s="47"/>
      <c r="K25" s="19"/>
      <c r="L25" s="29"/>
      <c r="M25" s="37"/>
      <c r="N25" s="54"/>
      <c r="O25" s="54"/>
      <c r="P25" s="52"/>
      <c r="Q25" s="52"/>
    </row>
    <row r="26" spans="1:19" s="14" customFormat="1" ht="12.95" customHeight="1" x14ac:dyDescent="0.25">
      <c r="A26" s="36">
        <f t="shared" si="0"/>
        <v>44274</v>
      </c>
      <c r="B26" s="48"/>
      <c r="C26" s="48"/>
      <c r="D26" s="25"/>
      <c r="E26" s="48"/>
      <c r="F26" s="21"/>
      <c r="G26" s="48"/>
      <c r="H26" s="15"/>
      <c r="I26" s="47"/>
      <c r="J26" s="47"/>
      <c r="K26" s="18"/>
      <c r="L26" s="29"/>
      <c r="M26" s="37"/>
      <c r="N26" s="54"/>
      <c r="O26" s="54"/>
      <c r="P26" s="52"/>
      <c r="Q26" s="52"/>
    </row>
    <row r="27" spans="1:19" s="14" customFormat="1" ht="12.95" customHeight="1" x14ac:dyDescent="0.25">
      <c r="A27" s="36">
        <f t="shared" si="0"/>
        <v>44275</v>
      </c>
      <c r="B27" s="47"/>
      <c r="C27" s="47"/>
      <c r="D27" s="16"/>
      <c r="E27" s="48"/>
      <c r="F27" s="21"/>
      <c r="G27" s="48"/>
      <c r="H27" s="15"/>
      <c r="I27" s="47"/>
      <c r="J27" s="47"/>
      <c r="K27" s="18"/>
      <c r="L27" s="60"/>
      <c r="M27" s="37"/>
    </row>
    <row r="28" spans="1:19" s="14" customFormat="1" ht="12.95" customHeight="1" x14ac:dyDescent="0.25">
      <c r="A28" s="36">
        <f t="shared" si="0"/>
        <v>44276</v>
      </c>
      <c r="B28" s="63"/>
      <c r="C28" s="47"/>
      <c r="D28" s="16"/>
      <c r="E28" s="48"/>
      <c r="F28" s="21"/>
      <c r="G28" s="48"/>
      <c r="H28" s="15"/>
      <c r="I28" s="47"/>
      <c r="J28" s="47"/>
      <c r="K28" s="18"/>
      <c r="L28" s="60"/>
      <c r="M28" s="37"/>
    </row>
    <row r="29" spans="1:19" s="14" customFormat="1" ht="12.95" customHeight="1" x14ac:dyDescent="0.25">
      <c r="A29" s="36">
        <f t="shared" si="0"/>
        <v>44277</v>
      </c>
      <c r="B29" s="47"/>
      <c r="C29" s="47"/>
      <c r="D29" s="16"/>
      <c r="E29" s="48"/>
      <c r="F29" s="21"/>
      <c r="G29" s="48"/>
      <c r="H29" s="15"/>
      <c r="I29" s="47"/>
      <c r="J29" s="47"/>
      <c r="K29" s="18"/>
      <c r="L29" s="60"/>
      <c r="M29" s="37"/>
      <c r="N29" s="37"/>
    </row>
    <row r="30" spans="1:19" s="14" customFormat="1" ht="12.95" customHeight="1" x14ac:dyDescent="0.25">
      <c r="A30" s="36">
        <f t="shared" si="0"/>
        <v>44278</v>
      </c>
      <c r="B30" s="47"/>
      <c r="C30" s="47"/>
      <c r="D30" s="16"/>
      <c r="E30" s="48"/>
      <c r="F30" s="21"/>
      <c r="G30" s="48"/>
      <c r="H30" s="15"/>
      <c r="I30" s="47"/>
      <c r="J30" s="47"/>
      <c r="K30" s="18"/>
      <c r="L30" s="60"/>
      <c r="M30" s="37"/>
    </row>
    <row r="31" spans="1:19" s="14" customFormat="1" ht="12.95" customHeight="1" x14ac:dyDescent="0.25">
      <c r="A31" s="36">
        <f t="shared" si="0"/>
        <v>44279</v>
      </c>
      <c r="B31" s="47"/>
      <c r="C31" s="47"/>
      <c r="D31" s="16"/>
      <c r="E31" s="48"/>
      <c r="F31" s="21"/>
      <c r="G31" s="48"/>
      <c r="H31" s="15"/>
      <c r="I31" s="47"/>
      <c r="J31" s="47"/>
      <c r="K31" s="18"/>
      <c r="L31" s="64"/>
      <c r="M31" s="37"/>
      <c r="N31" s="37"/>
      <c r="O31" s="37"/>
    </row>
    <row r="32" spans="1:19" s="14" customFormat="1" ht="12.95" customHeight="1" x14ac:dyDescent="0.25">
      <c r="A32" s="36">
        <f t="shared" si="0"/>
        <v>44280</v>
      </c>
      <c r="B32" s="47"/>
      <c r="C32" s="47"/>
      <c r="D32" s="16"/>
      <c r="E32" s="48"/>
      <c r="F32" s="21"/>
      <c r="G32" s="48"/>
      <c r="H32" s="15"/>
      <c r="I32" s="47"/>
      <c r="J32" s="47"/>
      <c r="K32" s="18"/>
      <c r="L32" s="64"/>
      <c r="M32" s="37"/>
      <c r="N32" s="37"/>
      <c r="O32" s="37"/>
    </row>
    <row r="33" spans="1:16" s="14" customFormat="1" ht="12.95" customHeight="1" x14ac:dyDescent="0.25">
      <c r="A33" s="36">
        <f t="shared" si="0"/>
        <v>44281</v>
      </c>
      <c r="B33" s="47"/>
      <c r="C33" s="47"/>
      <c r="D33" s="16"/>
      <c r="E33" s="48"/>
      <c r="F33" s="21"/>
      <c r="G33" s="48"/>
      <c r="H33" s="15"/>
      <c r="I33" s="47"/>
      <c r="J33" s="47"/>
      <c r="K33" s="18"/>
      <c r="L33" s="60"/>
      <c r="N33" s="37"/>
      <c r="O33" s="37"/>
    </row>
    <row r="34" spans="1:16" s="14" customFormat="1" ht="12.95" customHeight="1" x14ac:dyDescent="0.25">
      <c r="A34" s="36">
        <f t="shared" si="0"/>
        <v>44282</v>
      </c>
      <c r="B34" s="48"/>
      <c r="C34" s="49"/>
      <c r="D34" s="25"/>
      <c r="E34" s="48"/>
      <c r="F34" s="21"/>
      <c r="G34" s="48"/>
      <c r="H34" s="15"/>
      <c r="I34" s="48"/>
      <c r="J34" s="48"/>
      <c r="K34" s="18"/>
      <c r="L34" s="60"/>
      <c r="N34" s="37"/>
      <c r="P34" s="37"/>
    </row>
    <row r="35" spans="1:16" s="14" customFormat="1" ht="12.95" customHeight="1" x14ac:dyDescent="0.25">
      <c r="A35" s="36">
        <f>A34+1</f>
        <v>44283</v>
      </c>
      <c r="B35" s="15"/>
      <c r="C35" s="51"/>
      <c r="D35" s="16"/>
      <c r="E35" s="17"/>
      <c r="F35" s="17"/>
      <c r="G35" s="17"/>
      <c r="H35" s="15"/>
      <c r="I35" s="15"/>
      <c r="J35" s="15"/>
      <c r="K35" s="18"/>
      <c r="L35" s="60"/>
      <c r="M35" s="37"/>
      <c r="N35" s="37"/>
      <c r="O35" s="37"/>
    </row>
    <row r="36" spans="1:16" x14ac:dyDescent="0.25">
      <c r="A36" s="65">
        <f t="shared" si="0"/>
        <v>44284</v>
      </c>
      <c r="B36" s="15"/>
      <c r="C36" s="51"/>
      <c r="D36" s="16"/>
      <c r="E36" s="17"/>
      <c r="F36" s="17"/>
      <c r="G36" s="17"/>
      <c r="H36" s="15"/>
      <c r="I36" s="15"/>
      <c r="J36" s="15"/>
      <c r="K36" s="18"/>
      <c r="L36" s="18"/>
    </row>
    <row r="37" spans="1:16" x14ac:dyDescent="0.25">
      <c r="A37" s="65">
        <f t="shared" si="0"/>
        <v>44285</v>
      </c>
      <c r="B37" s="15"/>
      <c r="C37" s="51"/>
      <c r="D37" s="16"/>
      <c r="E37" s="17"/>
      <c r="F37" s="17"/>
      <c r="G37" s="17"/>
      <c r="H37" s="15"/>
      <c r="I37" s="15"/>
      <c r="J37" s="15"/>
      <c r="K37" s="18"/>
      <c r="L37" s="18"/>
    </row>
    <row r="38" spans="1:16" ht="15" customHeight="1" x14ac:dyDescent="0.25">
      <c r="A38" s="65">
        <f>A37+1</f>
        <v>44286</v>
      </c>
      <c r="B38" s="15"/>
      <c r="C38" s="51"/>
      <c r="D38" s="16"/>
      <c r="E38" s="17"/>
      <c r="F38" s="17"/>
      <c r="G38" s="17"/>
      <c r="H38" s="15"/>
      <c r="I38" s="15"/>
      <c r="J38" s="15"/>
      <c r="K38" s="18"/>
      <c r="L38" s="18"/>
    </row>
    <row r="39" spans="1:16" s="56" customFormat="1" ht="15" customHeight="1" x14ac:dyDescent="0.25">
      <c r="A39" s="38" t="s">
        <v>35</v>
      </c>
      <c r="B39" s="30">
        <f t="shared" ref="B39:J39" si="1">B35-B7</f>
        <v>-407560</v>
      </c>
      <c r="C39" s="30">
        <f t="shared" si="1"/>
        <v>-287607</v>
      </c>
      <c r="D39" s="30">
        <f t="shared" si="1"/>
        <v>-0.42</v>
      </c>
      <c r="E39" s="30">
        <f t="shared" si="1"/>
        <v>-13575</v>
      </c>
      <c r="F39" s="30">
        <f t="shared" si="1"/>
        <v>-3128</v>
      </c>
      <c r="G39" s="30">
        <f t="shared" si="1"/>
        <v>-26534</v>
      </c>
      <c r="H39" s="30">
        <f t="shared" si="1"/>
        <v>-14528</v>
      </c>
      <c r="I39" s="30">
        <f t="shared" si="1"/>
        <v>-111523</v>
      </c>
      <c r="J39" s="30">
        <f t="shared" si="1"/>
        <v>-44506620</v>
      </c>
      <c r="K39" s="30">
        <f>SUM(K7:K35)</f>
        <v>0</v>
      </c>
      <c r="L39" s="22"/>
    </row>
    <row r="40" spans="1:16" ht="15" customHeight="1" x14ac:dyDescent="0.25">
      <c r="C40" s="30"/>
      <c r="E40" s="24"/>
      <c r="F40" s="24"/>
      <c r="G40" s="24"/>
      <c r="H40" s="20">
        <f>H39*219.969</f>
        <v>-3195709.6319999998</v>
      </c>
      <c r="I40" s="30">
        <f>I39*219.969</f>
        <v>-24531602.787</v>
      </c>
      <c r="J40" s="24"/>
    </row>
    <row r="41" spans="1:16" x14ac:dyDescent="0.25">
      <c r="C41" s="24"/>
    </row>
    <row r="42" spans="1:16" x14ac:dyDescent="0.25">
      <c r="J42" s="57"/>
    </row>
    <row r="43" spans="1:16" x14ac:dyDescent="0.25">
      <c r="C43" s="58"/>
      <c r="I43" s="57"/>
    </row>
    <row r="50" spans="9:9" x14ac:dyDescent="0.25">
      <c r="I50" s="24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3 - 2021</vt:lpstr>
      <vt:lpstr>'3 - 2021'!Print_Area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2021-03-10T05:12:55Z</dcterms:modified>
</cp:coreProperties>
</file>