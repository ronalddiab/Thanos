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2\12. Dec\"/>
    </mc:Choice>
  </mc:AlternateContent>
  <bookViews>
    <workbookView xWindow="-60" yWindow="-60" windowWidth="15480" windowHeight="11640" tabRatio="612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5" l="1"/>
  <c r="G32" i="5"/>
  <c r="I32" i="5"/>
  <c r="J32" i="5"/>
  <c r="E70" i="6" l="1"/>
  <c r="E69" i="6"/>
  <c r="I33" i="5" l="1"/>
  <c r="E33" i="5"/>
  <c r="AC33" i="4"/>
  <c r="F33" i="4"/>
  <c r="E33" i="4"/>
  <c r="G33" i="5" l="1"/>
  <c r="X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Y33" i="4"/>
  <c r="Z33" i="4"/>
  <c r="D68" i="6" l="1"/>
  <c r="C68" i="6"/>
  <c r="L68" i="3"/>
  <c r="K68" i="3"/>
  <c r="J68" i="3"/>
  <c r="I68" i="3"/>
  <c r="H68" i="3"/>
  <c r="G68" i="3"/>
  <c r="E68" i="3"/>
  <c r="D68" i="3"/>
  <c r="C68" i="3"/>
  <c r="P68" i="1"/>
  <c r="O68" i="1"/>
  <c r="N68" i="1"/>
  <c r="M68" i="1"/>
  <c r="L68" i="1"/>
  <c r="K68" i="1"/>
  <c r="J68" i="1"/>
  <c r="I68" i="1"/>
  <c r="G68" i="1"/>
  <c r="F68" i="1"/>
  <c r="E68" i="1"/>
  <c r="D68" i="1"/>
  <c r="C68" i="1"/>
  <c r="D66" i="6"/>
  <c r="C66" i="6"/>
  <c r="L66" i="3"/>
  <c r="K66" i="3"/>
  <c r="J66" i="3"/>
  <c r="I66" i="3"/>
  <c r="H66" i="3"/>
  <c r="G66" i="3"/>
  <c r="E66" i="3"/>
  <c r="D66" i="3"/>
  <c r="C66" i="3"/>
  <c r="P66" i="1"/>
  <c r="O66" i="1"/>
  <c r="N66" i="1"/>
  <c r="M66" i="1"/>
  <c r="L66" i="1"/>
  <c r="K66" i="1"/>
  <c r="J66" i="1"/>
  <c r="I66" i="1"/>
  <c r="G66" i="1"/>
  <c r="F66" i="1"/>
  <c r="E66" i="1"/>
  <c r="D66" i="1"/>
  <c r="C66" i="1"/>
  <c r="D64" i="6"/>
  <c r="C64" i="6"/>
  <c r="L64" i="3"/>
  <c r="K64" i="3"/>
  <c r="J64" i="3"/>
  <c r="I64" i="3"/>
  <c r="H64" i="3"/>
  <c r="G64" i="3"/>
  <c r="E64" i="3"/>
  <c r="D64" i="3"/>
  <c r="C64" i="3"/>
  <c r="P64" i="1"/>
  <c r="O64" i="1"/>
  <c r="N64" i="1"/>
  <c r="M64" i="1"/>
  <c r="L64" i="1"/>
  <c r="K64" i="1"/>
  <c r="J64" i="1"/>
  <c r="I64" i="1"/>
  <c r="G64" i="1"/>
  <c r="F64" i="1"/>
  <c r="E64" i="1"/>
  <c r="D64" i="1"/>
  <c r="C64" i="1"/>
  <c r="P62" i="1"/>
  <c r="O62" i="1"/>
  <c r="N62" i="1"/>
  <c r="M62" i="1"/>
  <c r="L62" i="1"/>
  <c r="K62" i="1"/>
  <c r="J62" i="1"/>
  <c r="I62" i="1"/>
  <c r="G62" i="1"/>
  <c r="F62" i="1"/>
  <c r="E62" i="1"/>
  <c r="D62" i="1"/>
  <c r="C62" i="1"/>
  <c r="L62" i="3"/>
  <c r="K62" i="3"/>
  <c r="J62" i="3"/>
  <c r="I62" i="3"/>
  <c r="H62" i="3"/>
  <c r="G62" i="3"/>
  <c r="E62" i="3"/>
  <c r="D62" i="3"/>
  <c r="C62" i="3"/>
  <c r="D62" i="6"/>
  <c r="C62" i="6"/>
  <c r="D60" i="6"/>
  <c r="C60" i="6"/>
  <c r="E60" i="6" s="1"/>
  <c r="L60" i="3"/>
  <c r="K60" i="3"/>
  <c r="J60" i="3"/>
  <c r="I60" i="3"/>
  <c r="H60" i="3"/>
  <c r="G60" i="3"/>
  <c r="E60" i="3"/>
  <c r="D60" i="3"/>
  <c r="C60" i="3"/>
  <c r="P60" i="1"/>
  <c r="O60" i="1"/>
  <c r="N60" i="1"/>
  <c r="M60" i="1"/>
  <c r="L60" i="1"/>
  <c r="K60" i="1"/>
  <c r="J60" i="1"/>
  <c r="I60" i="1"/>
  <c r="G60" i="1"/>
  <c r="F60" i="1"/>
  <c r="E60" i="1"/>
  <c r="D60" i="1"/>
  <c r="C60" i="1"/>
  <c r="P58" i="1"/>
  <c r="O58" i="1"/>
  <c r="N58" i="1"/>
  <c r="M58" i="1"/>
  <c r="L58" i="1"/>
  <c r="K58" i="1"/>
  <c r="J58" i="1"/>
  <c r="I58" i="1"/>
  <c r="G58" i="1"/>
  <c r="F58" i="1"/>
  <c r="E58" i="1"/>
  <c r="D58" i="1"/>
  <c r="C58" i="1"/>
  <c r="L58" i="3"/>
  <c r="K58" i="3"/>
  <c r="J58" i="3"/>
  <c r="I58" i="3"/>
  <c r="H58" i="3"/>
  <c r="G58" i="3"/>
  <c r="E58" i="3"/>
  <c r="D58" i="3"/>
  <c r="C58" i="3"/>
  <c r="D58" i="6"/>
  <c r="C58" i="6"/>
  <c r="D56" i="6"/>
  <c r="C56" i="6"/>
  <c r="L56" i="3"/>
  <c r="K56" i="3"/>
  <c r="J56" i="3"/>
  <c r="I56" i="3"/>
  <c r="H56" i="3"/>
  <c r="G56" i="3"/>
  <c r="E56" i="3"/>
  <c r="D56" i="3"/>
  <c r="C56" i="3"/>
  <c r="P56" i="1"/>
  <c r="O56" i="1"/>
  <c r="N56" i="1"/>
  <c r="M56" i="1"/>
  <c r="L56" i="1"/>
  <c r="K56" i="1"/>
  <c r="J56" i="1"/>
  <c r="I56" i="1"/>
  <c r="G56" i="1"/>
  <c r="F56" i="1"/>
  <c r="E56" i="1"/>
  <c r="D56" i="1"/>
  <c r="C56" i="1"/>
  <c r="D54" i="6"/>
  <c r="C54" i="6"/>
  <c r="P54" i="1"/>
  <c r="O54" i="1"/>
  <c r="N54" i="1"/>
  <c r="M54" i="1"/>
  <c r="L54" i="1"/>
  <c r="K54" i="1"/>
  <c r="J54" i="1"/>
  <c r="I54" i="1"/>
  <c r="G54" i="1"/>
  <c r="F54" i="1"/>
  <c r="E54" i="1"/>
  <c r="D54" i="1"/>
  <c r="C54" i="1"/>
  <c r="L54" i="3"/>
  <c r="K54" i="3"/>
  <c r="J54" i="3"/>
  <c r="I54" i="3"/>
  <c r="H54" i="3"/>
  <c r="G54" i="3"/>
  <c r="E54" i="3"/>
  <c r="D54" i="3"/>
  <c r="C54" i="3"/>
  <c r="D52" i="6"/>
  <c r="C52" i="6"/>
  <c r="L52" i="3"/>
  <c r="K52" i="3"/>
  <c r="J52" i="3"/>
  <c r="I52" i="3"/>
  <c r="H52" i="3"/>
  <c r="G52" i="3"/>
  <c r="E52" i="3"/>
  <c r="D52" i="3"/>
  <c r="C52" i="3"/>
  <c r="P52" i="1"/>
  <c r="O52" i="1"/>
  <c r="N52" i="1"/>
  <c r="M52" i="1"/>
  <c r="L52" i="1"/>
  <c r="K52" i="1"/>
  <c r="J52" i="1"/>
  <c r="I52" i="1"/>
  <c r="G52" i="1"/>
  <c r="F52" i="1"/>
  <c r="E52" i="1"/>
  <c r="D52" i="1"/>
  <c r="C52" i="1"/>
  <c r="D50" i="6"/>
  <c r="C50" i="6"/>
  <c r="L50" i="3"/>
  <c r="K50" i="3"/>
  <c r="J50" i="3"/>
  <c r="I50" i="3"/>
  <c r="H50" i="3"/>
  <c r="G50" i="3"/>
  <c r="E50" i="3"/>
  <c r="D50" i="3"/>
  <c r="C50" i="3"/>
  <c r="P50" i="1"/>
  <c r="O50" i="1"/>
  <c r="N50" i="1"/>
  <c r="M50" i="1"/>
  <c r="L50" i="1"/>
  <c r="K50" i="1"/>
  <c r="J50" i="1"/>
  <c r="I50" i="1"/>
  <c r="G50" i="1"/>
  <c r="F50" i="1"/>
  <c r="E50" i="1"/>
  <c r="D50" i="1"/>
  <c r="C50" i="1"/>
  <c r="D48" i="6"/>
  <c r="C48" i="6"/>
  <c r="L48" i="3"/>
  <c r="K48" i="3"/>
  <c r="J48" i="3"/>
  <c r="I48" i="3"/>
  <c r="H48" i="3"/>
  <c r="G48" i="3"/>
  <c r="E48" i="3"/>
  <c r="D48" i="3"/>
  <c r="C48" i="3"/>
  <c r="P48" i="1"/>
  <c r="O48" i="1"/>
  <c r="N48" i="1"/>
  <c r="M48" i="1"/>
  <c r="L48" i="1"/>
  <c r="K48" i="1"/>
  <c r="J48" i="1"/>
  <c r="I48" i="1"/>
  <c r="G48" i="1"/>
  <c r="F48" i="1"/>
  <c r="E48" i="1"/>
  <c r="D48" i="1"/>
  <c r="C48" i="1"/>
  <c r="D46" i="6"/>
  <c r="C46" i="6"/>
  <c r="E46" i="6" s="1"/>
  <c r="P46" i="1"/>
  <c r="O46" i="1"/>
  <c r="N46" i="1"/>
  <c r="M46" i="1"/>
  <c r="L46" i="1"/>
  <c r="K46" i="1"/>
  <c r="J46" i="1"/>
  <c r="I46" i="1"/>
  <c r="G46" i="1"/>
  <c r="F46" i="1"/>
  <c r="E46" i="1"/>
  <c r="D46" i="1"/>
  <c r="C46" i="1"/>
  <c r="L46" i="3"/>
  <c r="K46" i="3"/>
  <c r="J46" i="3"/>
  <c r="I46" i="3"/>
  <c r="H46" i="3"/>
  <c r="G46" i="3"/>
  <c r="E46" i="3"/>
  <c r="D46" i="3"/>
  <c r="C46" i="3"/>
  <c r="D44" i="6"/>
  <c r="C44" i="6"/>
  <c r="L44" i="3"/>
  <c r="K44" i="3"/>
  <c r="J44" i="3"/>
  <c r="I44" i="3"/>
  <c r="H44" i="3"/>
  <c r="G44" i="3"/>
  <c r="E44" i="3"/>
  <c r="D44" i="3"/>
  <c r="C44" i="3"/>
  <c r="P44" i="1"/>
  <c r="O44" i="1"/>
  <c r="N44" i="1"/>
  <c r="M44" i="1"/>
  <c r="L44" i="1"/>
  <c r="K44" i="1"/>
  <c r="J44" i="1"/>
  <c r="I44" i="1"/>
  <c r="G44" i="1"/>
  <c r="F44" i="1"/>
  <c r="E44" i="1"/>
  <c r="D44" i="1"/>
  <c r="C44" i="1"/>
  <c r="D42" i="6"/>
  <c r="C42" i="6"/>
  <c r="L42" i="3"/>
  <c r="K42" i="3"/>
  <c r="J42" i="3"/>
  <c r="I42" i="3"/>
  <c r="H42" i="3"/>
  <c r="G42" i="3"/>
  <c r="E42" i="3"/>
  <c r="D42" i="3"/>
  <c r="C42" i="3"/>
  <c r="P42" i="1"/>
  <c r="O42" i="1"/>
  <c r="N42" i="1"/>
  <c r="M42" i="1"/>
  <c r="L42" i="1"/>
  <c r="K42" i="1"/>
  <c r="J42" i="1"/>
  <c r="I42" i="1"/>
  <c r="G42" i="1"/>
  <c r="F42" i="1"/>
  <c r="E42" i="1"/>
  <c r="D42" i="1"/>
  <c r="C42" i="1"/>
  <c r="D40" i="6"/>
  <c r="C40" i="6"/>
  <c r="D38" i="6"/>
  <c r="C38" i="6"/>
  <c r="L40" i="3"/>
  <c r="K40" i="3"/>
  <c r="J40" i="3"/>
  <c r="I40" i="3"/>
  <c r="H40" i="3"/>
  <c r="G40" i="3"/>
  <c r="E40" i="3"/>
  <c r="D40" i="3"/>
  <c r="C40" i="3"/>
  <c r="L38" i="3"/>
  <c r="K38" i="3"/>
  <c r="J38" i="3"/>
  <c r="I38" i="3"/>
  <c r="H38" i="3"/>
  <c r="G38" i="3"/>
  <c r="E38" i="3"/>
  <c r="D38" i="3"/>
  <c r="C38" i="3"/>
  <c r="P40" i="1"/>
  <c r="O40" i="1"/>
  <c r="N40" i="1"/>
  <c r="M40" i="1"/>
  <c r="L40" i="1"/>
  <c r="K40" i="1"/>
  <c r="J40" i="1"/>
  <c r="I40" i="1"/>
  <c r="G40" i="1"/>
  <c r="F40" i="1"/>
  <c r="E40" i="1"/>
  <c r="D40" i="1"/>
  <c r="C40" i="1"/>
  <c r="P38" i="1"/>
  <c r="O38" i="1"/>
  <c r="N38" i="1"/>
  <c r="M38" i="1"/>
  <c r="L38" i="1"/>
  <c r="K38" i="1"/>
  <c r="J38" i="1"/>
  <c r="I38" i="1"/>
  <c r="G38" i="1"/>
  <c r="F38" i="1"/>
  <c r="E38" i="1"/>
  <c r="D38" i="1"/>
  <c r="C38" i="1"/>
  <c r="D36" i="6"/>
  <c r="C36" i="6"/>
  <c r="L36" i="3"/>
  <c r="K36" i="3"/>
  <c r="J36" i="3"/>
  <c r="I36" i="3"/>
  <c r="H36" i="3"/>
  <c r="G36" i="3"/>
  <c r="E36" i="3"/>
  <c r="D36" i="3"/>
  <c r="C36" i="3"/>
  <c r="P36" i="1"/>
  <c r="O36" i="1"/>
  <c r="N36" i="1"/>
  <c r="M36" i="1"/>
  <c r="L36" i="1"/>
  <c r="K36" i="1"/>
  <c r="J36" i="1"/>
  <c r="I36" i="1"/>
  <c r="G36" i="1"/>
  <c r="F36" i="1"/>
  <c r="E36" i="1"/>
  <c r="D36" i="1"/>
  <c r="C36" i="1"/>
  <c r="D34" i="6"/>
  <c r="C34" i="6"/>
  <c r="L34" i="3"/>
  <c r="K34" i="3"/>
  <c r="J34" i="3"/>
  <c r="I34" i="3"/>
  <c r="H34" i="3"/>
  <c r="G34" i="3"/>
  <c r="E34" i="3"/>
  <c r="D34" i="3"/>
  <c r="C34" i="3"/>
  <c r="P34" i="1"/>
  <c r="O34" i="1"/>
  <c r="N34" i="1"/>
  <c r="M34" i="1"/>
  <c r="L34" i="1"/>
  <c r="K34" i="1"/>
  <c r="J34" i="1"/>
  <c r="I34" i="1"/>
  <c r="G34" i="1"/>
  <c r="F34" i="1"/>
  <c r="E34" i="1"/>
  <c r="D34" i="1"/>
  <c r="C34" i="1"/>
  <c r="D32" i="6"/>
  <c r="C32" i="6"/>
  <c r="E32" i="6" s="1"/>
  <c r="P32" i="1"/>
  <c r="O32" i="1"/>
  <c r="N32" i="1"/>
  <c r="M32" i="1"/>
  <c r="L32" i="1"/>
  <c r="K32" i="1"/>
  <c r="J32" i="1"/>
  <c r="I32" i="1"/>
  <c r="G32" i="1"/>
  <c r="F32" i="1"/>
  <c r="E32" i="1"/>
  <c r="D32" i="1"/>
  <c r="C32" i="1"/>
  <c r="L32" i="3"/>
  <c r="K32" i="3"/>
  <c r="J32" i="3"/>
  <c r="I32" i="3"/>
  <c r="H32" i="3"/>
  <c r="G32" i="3"/>
  <c r="E32" i="3"/>
  <c r="D32" i="3"/>
  <c r="C32" i="3"/>
  <c r="D30" i="6"/>
  <c r="C30" i="6"/>
  <c r="D28" i="6"/>
  <c r="C28" i="6"/>
  <c r="L30" i="3"/>
  <c r="K30" i="3"/>
  <c r="J30" i="3"/>
  <c r="I30" i="3"/>
  <c r="H30" i="3"/>
  <c r="G30" i="3"/>
  <c r="E30" i="3"/>
  <c r="D30" i="3"/>
  <c r="C30" i="3"/>
  <c r="L28" i="3"/>
  <c r="K28" i="3"/>
  <c r="J28" i="3"/>
  <c r="I28" i="3"/>
  <c r="H28" i="3"/>
  <c r="G28" i="3"/>
  <c r="E28" i="3"/>
  <c r="D28" i="3"/>
  <c r="C28" i="3"/>
  <c r="P30" i="1"/>
  <c r="O30" i="1"/>
  <c r="N30" i="1"/>
  <c r="M30" i="1"/>
  <c r="L30" i="1"/>
  <c r="K30" i="1"/>
  <c r="J30" i="1"/>
  <c r="I30" i="1"/>
  <c r="G30" i="1"/>
  <c r="F30" i="1"/>
  <c r="E30" i="1"/>
  <c r="D30" i="1"/>
  <c r="C30" i="1"/>
  <c r="P28" i="1"/>
  <c r="O28" i="1"/>
  <c r="N28" i="1"/>
  <c r="M28" i="1"/>
  <c r="L28" i="1"/>
  <c r="K28" i="1"/>
  <c r="J28" i="1"/>
  <c r="I28" i="1"/>
  <c r="G28" i="1"/>
  <c r="F28" i="1"/>
  <c r="E28" i="1"/>
  <c r="D28" i="1"/>
  <c r="C28" i="1"/>
  <c r="D26" i="6"/>
  <c r="C26" i="6"/>
  <c r="L26" i="3"/>
  <c r="K26" i="3"/>
  <c r="J26" i="3"/>
  <c r="I26" i="3"/>
  <c r="H26" i="3"/>
  <c r="G26" i="3"/>
  <c r="E26" i="3"/>
  <c r="D26" i="3"/>
  <c r="C26" i="3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D24" i="6"/>
  <c r="C24" i="6"/>
  <c r="L24" i="3"/>
  <c r="K24" i="3"/>
  <c r="J24" i="3"/>
  <c r="I24" i="3"/>
  <c r="H24" i="3"/>
  <c r="G24" i="3"/>
  <c r="E24" i="3"/>
  <c r="D24" i="3"/>
  <c r="C24" i="3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D22" i="6"/>
  <c r="C22" i="6"/>
  <c r="L22" i="3"/>
  <c r="K22" i="3"/>
  <c r="J22" i="3"/>
  <c r="I22" i="3"/>
  <c r="H22" i="3"/>
  <c r="G22" i="3"/>
  <c r="E22" i="3"/>
  <c r="D22" i="3"/>
  <c r="C22" i="3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D20" i="6"/>
  <c r="C20" i="6"/>
  <c r="L20" i="3"/>
  <c r="K20" i="3"/>
  <c r="J20" i="3"/>
  <c r="I20" i="3"/>
  <c r="H20" i="3"/>
  <c r="G20" i="3"/>
  <c r="E20" i="3"/>
  <c r="D20" i="3"/>
  <c r="C20" i="3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L18" i="3"/>
  <c r="K18" i="3"/>
  <c r="J18" i="3"/>
  <c r="I18" i="3"/>
  <c r="H18" i="3"/>
  <c r="G18" i="3"/>
  <c r="E18" i="3"/>
  <c r="D18" i="3"/>
  <c r="C18" i="3"/>
  <c r="D18" i="6"/>
  <c r="C18" i="6"/>
  <c r="E18" i="6" s="1"/>
  <c r="D16" i="6"/>
  <c r="C16" i="6"/>
  <c r="L16" i="3"/>
  <c r="K16" i="3"/>
  <c r="J16" i="3"/>
  <c r="I16" i="3"/>
  <c r="H16" i="3"/>
  <c r="G16" i="3"/>
  <c r="E16" i="3"/>
  <c r="D16" i="3"/>
  <c r="C16" i="3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D14" i="6"/>
  <c r="C14" i="6"/>
  <c r="L14" i="3"/>
  <c r="K14" i="3"/>
  <c r="J14" i="3"/>
  <c r="I14" i="3"/>
  <c r="H14" i="3"/>
  <c r="G14" i="3"/>
  <c r="E14" i="3"/>
  <c r="D14" i="3"/>
  <c r="C14" i="3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D12" i="6"/>
  <c r="C12" i="6"/>
  <c r="L12" i="3"/>
  <c r="K12" i="3"/>
  <c r="J12" i="3"/>
  <c r="I12" i="3"/>
  <c r="H12" i="3"/>
  <c r="G12" i="3"/>
  <c r="E12" i="3"/>
  <c r="D12" i="3"/>
  <c r="C12" i="3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D10" i="6"/>
  <c r="C10" i="6"/>
  <c r="H10" i="3"/>
  <c r="I10" i="3"/>
  <c r="J10" i="3"/>
  <c r="K10" i="3"/>
  <c r="L10" i="3"/>
  <c r="G10" i="3"/>
  <c r="D10" i="3"/>
  <c r="E10" i="3"/>
  <c r="C10" i="3"/>
  <c r="J10" i="1"/>
  <c r="K10" i="1"/>
  <c r="L10" i="1"/>
  <c r="M10" i="1"/>
  <c r="N10" i="1"/>
  <c r="O10" i="1"/>
  <c r="P10" i="1"/>
  <c r="I10" i="1"/>
  <c r="D10" i="1"/>
  <c r="E10" i="1"/>
  <c r="F10" i="1"/>
  <c r="G10" i="1"/>
  <c r="C10" i="1"/>
  <c r="H10" i="1" s="1"/>
  <c r="E8" i="6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B32" i="5"/>
  <c r="E68" i="6"/>
  <c r="M68" i="3"/>
  <c r="Q68" i="1"/>
  <c r="E66" i="6"/>
  <c r="E50" i="6"/>
  <c r="X26" i="4"/>
  <c r="AA3" i="4"/>
  <c r="I3" i="5" s="1"/>
  <c r="AA4" i="4"/>
  <c r="AA5" i="4"/>
  <c r="I5" i="5" s="1"/>
  <c r="AA6" i="4"/>
  <c r="I6" i="5" s="1"/>
  <c r="AA7" i="4"/>
  <c r="I7" i="5" s="1"/>
  <c r="AA8" i="4"/>
  <c r="I8" i="5" s="1"/>
  <c r="AA9" i="4"/>
  <c r="I9" i="5" s="1"/>
  <c r="AA10" i="4"/>
  <c r="I10" i="5" s="1"/>
  <c r="AA11" i="4"/>
  <c r="I11" i="5" s="1"/>
  <c r="AA12" i="4"/>
  <c r="I12" i="5" s="1"/>
  <c r="AA13" i="4"/>
  <c r="I13" i="5" s="1"/>
  <c r="AA14" i="4"/>
  <c r="I14" i="5" s="1"/>
  <c r="AA15" i="4"/>
  <c r="I15" i="5" s="1"/>
  <c r="AA16" i="4"/>
  <c r="I16" i="5" s="1"/>
  <c r="AA17" i="4"/>
  <c r="I17" i="5" s="1"/>
  <c r="AA18" i="4"/>
  <c r="I18" i="5" s="1"/>
  <c r="AA19" i="4"/>
  <c r="I19" i="5" s="1"/>
  <c r="AA20" i="4"/>
  <c r="I20" i="5" s="1"/>
  <c r="AA21" i="4"/>
  <c r="I21" i="5" s="1"/>
  <c r="AA22" i="4"/>
  <c r="I22" i="5" s="1"/>
  <c r="AA23" i="4"/>
  <c r="I23" i="5" s="1"/>
  <c r="AA24" i="4"/>
  <c r="I24" i="5" s="1"/>
  <c r="AA25" i="4"/>
  <c r="I25" i="5" s="1"/>
  <c r="AA26" i="4"/>
  <c r="I26" i="5" s="1"/>
  <c r="AA27" i="4"/>
  <c r="I27" i="5" s="1"/>
  <c r="AA28" i="4"/>
  <c r="I28" i="5" s="1"/>
  <c r="AA29" i="4"/>
  <c r="I29" i="5" s="1"/>
  <c r="AA30" i="4"/>
  <c r="I30" i="5" s="1"/>
  <c r="AA31" i="4"/>
  <c r="I31" i="5" s="1"/>
  <c r="AB3" i="4"/>
  <c r="AB4" i="4"/>
  <c r="J4" i="5" s="1"/>
  <c r="AB5" i="4"/>
  <c r="J5" i="5" s="1"/>
  <c r="AB6" i="4"/>
  <c r="J6" i="5" s="1"/>
  <c r="AB7" i="4"/>
  <c r="J7" i="5" s="1"/>
  <c r="AB8" i="4"/>
  <c r="J8" i="5" s="1"/>
  <c r="AB9" i="4"/>
  <c r="J9" i="5" s="1"/>
  <c r="AB10" i="4"/>
  <c r="J10" i="5" s="1"/>
  <c r="AB11" i="4"/>
  <c r="J11" i="5" s="1"/>
  <c r="AB12" i="4"/>
  <c r="J12" i="5" s="1"/>
  <c r="AB13" i="4"/>
  <c r="J13" i="5" s="1"/>
  <c r="AB14" i="4"/>
  <c r="J14" i="5" s="1"/>
  <c r="AB15" i="4"/>
  <c r="J15" i="5" s="1"/>
  <c r="AB16" i="4"/>
  <c r="J16" i="5" s="1"/>
  <c r="AB17" i="4"/>
  <c r="J17" i="5" s="1"/>
  <c r="AB18" i="4"/>
  <c r="J18" i="5" s="1"/>
  <c r="AB19" i="4"/>
  <c r="J19" i="5" s="1"/>
  <c r="AB20" i="4"/>
  <c r="J20" i="5" s="1"/>
  <c r="AB21" i="4"/>
  <c r="J21" i="5" s="1"/>
  <c r="AB22" i="4"/>
  <c r="J22" i="5" s="1"/>
  <c r="AB23" i="4"/>
  <c r="J23" i="5" s="1"/>
  <c r="AB24" i="4"/>
  <c r="J24" i="5" s="1"/>
  <c r="AB25" i="4"/>
  <c r="J25" i="5" s="1"/>
  <c r="AB26" i="4"/>
  <c r="J26" i="5" s="1"/>
  <c r="AB27" i="4"/>
  <c r="J27" i="5" s="1"/>
  <c r="AB28" i="4"/>
  <c r="J28" i="5" s="1"/>
  <c r="AB29" i="4"/>
  <c r="J29" i="5" s="1"/>
  <c r="AB30" i="4"/>
  <c r="J30" i="5" s="1"/>
  <c r="AB31" i="4"/>
  <c r="J31" i="5" s="1"/>
  <c r="AC3" i="4"/>
  <c r="K3" i="5" s="1"/>
  <c r="AC4" i="4"/>
  <c r="AC5" i="4"/>
  <c r="K5" i="5" s="1"/>
  <c r="AC6" i="4"/>
  <c r="K6" i="5" s="1"/>
  <c r="AC7" i="4"/>
  <c r="K7" i="5" s="1"/>
  <c r="AC8" i="4"/>
  <c r="K8" i="5" s="1"/>
  <c r="AC9" i="4"/>
  <c r="K9" i="5" s="1"/>
  <c r="AC10" i="4"/>
  <c r="K10" i="5" s="1"/>
  <c r="AC11" i="4"/>
  <c r="K11" i="5" s="1"/>
  <c r="AC12" i="4"/>
  <c r="K12" i="5" s="1"/>
  <c r="AC13" i="4"/>
  <c r="K13" i="5" s="1"/>
  <c r="AC14" i="4"/>
  <c r="K14" i="5" s="1"/>
  <c r="AC15" i="4"/>
  <c r="K15" i="5" s="1"/>
  <c r="AC16" i="4"/>
  <c r="K16" i="5" s="1"/>
  <c r="AC17" i="4"/>
  <c r="K17" i="5" s="1"/>
  <c r="AC18" i="4"/>
  <c r="K18" i="5" s="1"/>
  <c r="AC19" i="4"/>
  <c r="K19" i="5" s="1"/>
  <c r="AC20" i="4"/>
  <c r="K20" i="5" s="1"/>
  <c r="AC21" i="4"/>
  <c r="K21" i="5" s="1"/>
  <c r="AC22" i="4"/>
  <c r="K22" i="5" s="1"/>
  <c r="AC23" i="4"/>
  <c r="K23" i="5" s="1"/>
  <c r="AC24" i="4"/>
  <c r="K24" i="5" s="1"/>
  <c r="AC25" i="4"/>
  <c r="K25" i="5" s="1"/>
  <c r="AC26" i="4"/>
  <c r="K26" i="5" s="1"/>
  <c r="AC27" i="4"/>
  <c r="K27" i="5" s="1"/>
  <c r="AC28" i="4"/>
  <c r="K28" i="5" s="1"/>
  <c r="AC29" i="4"/>
  <c r="K29" i="5" s="1"/>
  <c r="AC30" i="4"/>
  <c r="K30" i="5" s="1"/>
  <c r="AC31" i="4"/>
  <c r="K31" i="5" s="1"/>
  <c r="F68" i="3" l="1"/>
  <c r="H68" i="1"/>
  <c r="F66" i="3"/>
  <c r="H66" i="1"/>
  <c r="F64" i="3"/>
  <c r="H64" i="1"/>
  <c r="H62" i="1"/>
  <c r="F62" i="3"/>
  <c r="F60" i="3"/>
  <c r="M60" i="3"/>
  <c r="N60" i="3" s="1"/>
  <c r="H60" i="1"/>
  <c r="Q60" i="1"/>
  <c r="R60" i="1" s="1"/>
  <c r="H58" i="1"/>
  <c r="F58" i="3"/>
  <c r="F56" i="3"/>
  <c r="H56" i="1"/>
  <c r="H54" i="1"/>
  <c r="F54" i="3"/>
  <c r="F52" i="3"/>
  <c r="H52" i="1"/>
  <c r="F50" i="3"/>
  <c r="H50" i="1"/>
  <c r="F48" i="3"/>
  <c r="H48" i="1"/>
  <c r="H46" i="1"/>
  <c r="Q46" i="1"/>
  <c r="R46" i="1" s="1"/>
  <c r="F46" i="3"/>
  <c r="M46" i="3"/>
  <c r="N46" i="3" s="1"/>
  <c r="F44" i="3"/>
  <c r="H44" i="1"/>
  <c r="F42" i="3"/>
  <c r="H42" i="1"/>
  <c r="F40" i="3"/>
  <c r="F38" i="3"/>
  <c r="H40" i="1"/>
  <c r="H38" i="1"/>
  <c r="F36" i="3"/>
  <c r="H36" i="1"/>
  <c r="F34" i="3"/>
  <c r="H34" i="1"/>
  <c r="H32" i="1"/>
  <c r="Q32" i="1"/>
  <c r="R32" i="1" s="1"/>
  <c r="F32" i="3"/>
  <c r="M32" i="3"/>
  <c r="N32" i="3" s="1"/>
  <c r="F30" i="3"/>
  <c r="F28" i="3"/>
  <c r="H30" i="1"/>
  <c r="H28" i="1"/>
  <c r="F26" i="3"/>
  <c r="H26" i="1"/>
  <c r="F24" i="3"/>
  <c r="H24" i="1"/>
  <c r="F22" i="3"/>
  <c r="H22" i="1"/>
  <c r="F20" i="3"/>
  <c r="H20" i="1"/>
  <c r="H18" i="1"/>
  <c r="Q18" i="1"/>
  <c r="R18" i="1" s="1"/>
  <c r="F18" i="3"/>
  <c r="M18" i="3"/>
  <c r="N18" i="3" s="1"/>
  <c r="F16" i="3"/>
  <c r="H16" i="1"/>
  <c r="F14" i="3"/>
  <c r="H14" i="1"/>
  <c r="F12" i="3"/>
  <c r="H12" i="1"/>
  <c r="Q66" i="1"/>
  <c r="R66" i="1" s="1"/>
  <c r="M66" i="3"/>
  <c r="N66" i="3" s="1"/>
  <c r="Q50" i="1"/>
  <c r="R50" i="1" s="1"/>
  <c r="M50" i="3"/>
  <c r="N50" i="3" s="1"/>
  <c r="K4" i="5"/>
  <c r="J3" i="5"/>
  <c r="I4" i="5"/>
  <c r="M8" i="3"/>
  <c r="Q8" i="1"/>
  <c r="K29" i="4"/>
  <c r="O29" i="4"/>
  <c r="P29" i="4"/>
  <c r="Q29" i="4"/>
  <c r="L26" i="4"/>
  <c r="O26" i="4"/>
  <c r="P26" i="4"/>
  <c r="Q26" i="4"/>
  <c r="O20" i="4"/>
  <c r="P20" i="4"/>
  <c r="Q20" i="4"/>
  <c r="K13" i="4"/>
  <c r="O13" i="4"/>
  <c r="P13" i="4"/>
  <c r="Q13" i="4"/>
  <c r="K3" i="4"/>
  <c r="L3" i="4"/>
  <c r="N3" i="4"/>
  <c r="O3" i="4"/>
  <c r="P3" i="4"/>
  <c r="Q3" i="4"/>
  <c r="G24" i="4"/>
  <c r="I24" i="4"/>
  <c r="G3" i="4"/>
  <c r="F3" i="4"/>
  <c r="F24" i="4"/>
  <c r="F31" i="4"/>
  <c r="G31" i="4"/>
  <c r="H3" i="4"/>
  <c r="H24" i="4"/>
  <c r="H31" i="4"/>
  <c r="I3" i="4"/>
  <c r="I31" i="4"/>
  <c r="K20" i="4"/>
  <c r="K26" i="4"/>
  <c r="L13" i="4"/>
  <c r="L20" i="4"/>
  <c r="L29" i="4"/>
  <c r="M3" i="4"/>
  <c r="M13" i="4"/>
  <c r="M20" i="4"/>
  <c r="M26" i="4"/>
  <c r="M29" i="4"/>
  <c r="N13" i="4"/>
  <c r="N20" i="4"/>
  <c r="N26" i="4"/>
  <c r="N29" i="4"/>
  <c r="N68" i="3" l="1"/>
  <c r="E32" i="5"/>
  <c r="R68" i="1"/>
  <c r="R8" i="1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E31" i="4"/>
  <c r="E64" i="6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E62" i="6"/>
  <c r="Z29" i="4"/>
  <c r="Y29" i="4"/>
  <c r="X29" i="4"/>
  <c r="W29" i="4"/>
  <c r="V29" i="4"/>
  <c r="U29" i="4"/>
  <c r="T29" i="4"/>
  <c r="S29" i="4"/>
  <c r="R29" i="4"/>
  <c r="J29" i="4"/>
  <c r="I29" i="4"/>
  <c r="H29" i="4"/>
  <c r="G29" i="4"/>
  <c r="F29" i="4"/>
  <c r="E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J26" i="4"/>
  <c r="I26" i="4"/>
  <c r="H26" i="4"/>
  <c r="G26" i="4"/>
  <c r="F26" i="4"/>
  <c r="E26" i="4"/>
  <c r="Z26" i="4"/>
  <c r="Y26" i="4"/>
  <c r="W26" i="4"/>
  <c r="V26" i="4"/>
  <c r="U26" i="4"/>
  <c r="T26" i="4"/>
  <c r="S26" i="4"/>
  <c r="R26" i="4"/>
  <c r="E56" i="6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V24" i="4"/>
  <c r="W24" i="4"/>
  <c r="X24" i="4"/>
  <c r="Y24" i="4"/>
  <c r="Z24" i="4"/>
  <c r="U24" i="4"/>
  <c r="T24" i="4"/>
  <c r="S24" i="4"/>
  <c r="R24" i="4"/>
  <c r="E24" i="4"/>
  <c r="K24" i="4"/>
  <c r="L24" i="4"/>
  <c r="M24" i="4"/>
  <c r="N24" i="4"/>
  <c r="O24" i="4"/>
  <c r="P24" i="4"/>
  <c r="Q24" i="4"/>
  <c r="J24" i="4"/>
  <c r="V23" i="4"/>
  <c r="W23" i="4"/>
  <c r="X23" i="4"/>
  <c r="Y23" i="4"/>
  <c r="Z23" i="4"/>
  <c r="U23" i="4"/>
  <c r="S23" i="4"/>
  <c r="T23" i="4"/>
  <c r="R23" i="4"/>
  <c r="F23" i="4"/>
  <c r="G23" i="4"/>
  <c r="H23" i="4"/>
  <c r="I23" i="4"/>
  <c r="E23" i="4"/>
  <c r="K23" i="4"/>
  <c r="L23" i="4"/>
  <c r="M23" i="4"/>
  <c r="N23" i="4"/>
  <c r="O23" i="4"/>
  <c r="P23" i="4"/>
  <c r="Q23" i="4"/>
  <c r="J23" i="4"/>
  <c r="V22" i="4"/>
  <c r="W22" i="4"/>
  <c r="X22" i="4"/>
  <c r="Y22" i="4"/>
  <c r="Z22" i="4"/>
  <c r="U22" i="4"/>
  <c r="S22" i="4"/>
  <c r="T22" i="4"/>
  <c r="R22" i="4"/>
  <c r="K22" i="4"/>
  <c r="L22" i="4"/>
  <c r="M22" i="4"/>
  <c r="N22" i="4"/>
  <c r="O22" i="4"/>
  <c r="P22" i="4"/>
  <c r="Q22" i="4"/>
  <c r="J22" i="4"/>
  <c r="F22" i="4"/>
  <c r="G22" i="4"/>
  <c r="H22" i="4"/>
  <c r="I22" i="4"/>
  <c r="E22" i="4"/>
  <c r="E48" i="6"/>
  <c r="G21" i="4"/>
  <c r="H21" i="4"/>
  <c r="I21" i="4"/>
  <c r="F21" i="4"/>
  <c r="E21" i="4"/>
  <c r="K21" i="4"/>
  <c r="L21" i="4"/>
  <c r="M21" i="4"/>
  <c r="N21" i="4"/>
  <c r="O21" i="4"/>
  <c r="P21" i="4"/>
  <c r="Q21" i="4"/>
  <c r="J21" i="4"/>
  <c r="V21" i="4"/>
  <c r="W21" i="4"/>
  <c r="X21" i="4"/>
  <c r="Y21" i="4"/>
  <c r="Z21" i="4"/>
  <c r="U21" i="4"/>
  <c r="S21" i="4"/>
  <c r="T21" i="4"/>
  <c r="V20" i="4"/>
  <c r="W20" i="4"/>
  <c r="X20" i="4"/>
  <c r="Y20" i="4"/>
  <c r="Z20" i="4"/>
  <c r="U20" i="4"/>
  <c r="S12" i="4"/>
  <c r="T12" i="4"/>
  <c r="S13" i="4"/>
  <c r="T13" i="4"/>
  <c r="S14" i="4"/>
  <c r="T14" i="4"/>
  <c r="S15" i="4"/>
  <c r="T15" i="4"/>
  <c r="T16" i="4"/>
  <c r="S16" i="4"/>
  <c r="S17" i="4"/>
  <c r="T17" i="4"/>
  <c r="S18" i="4"/>
  <c r="T18" i="4"/>
  <c r="S19" i="4"/>
  <c r="T19" i="4"/>
  <c r="S20" i="4"/>
  <c r="T20" i="4"/>
  <c r="R20" i="4"/>
  <c r="R19" i="4"/>
  <c r="R18" i="4"/>
  <c r="R17" i="4"/>
  <c r="R16" i="4"/>
  <c r="R15" i="4"/>
  <c r="R14" i="4"/>
  <c r="F20" i="4"/>
  <c r="G20" i="4"/>
  <c r="H20" i="4"/>
  <c r="I20" i="4"/>
  <c r="E20" i="4"/>
  <c r="Z19" i="4"/>
  <c r="Y19" i="4"/>
  <c r="X19" i="4"/>
  <c r="W19" i="4"/>
  <c r="V19" i="4"/>
  <c r="U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F18" i="4"/>
  <c r="G18" i="4"/>
  <c r="H18" i="4"/>
  <c r="I18" i="4"/>
  <c r="E18" i="4"/>
  <c r="V18" i="4"/>
  <c r="W18" i="4"/>
  <c r="X18" i="4"/>
  <c r="Y18" i="4"/>
  <c r="Z18" i="4"/>
  <c r="U18" i="4"/>
  <c r="K18" i="4"/>
  <c r="L18" i="4"/>
  <c r="M18" i="4"/>
  <c r="N18" i="4"/>
  <c r="O18" i="4"/>
  <c r="P18" i="4"/>
  <c r="Q18" i="4"/>
  <c r="J18" i="4"/>
  <c r="K17" i="4"/>
  <c r="L17" i="4"/>
  <c r="M17" i="4"/>
  <c r="N17" i="4"/>
  <c r="O17" i="4"/>
  <c r="P17" i="4"/>
  <c r="Q17" i="4"/>
  <c r="J17" i="4"/>
  <c r="V17" i="4"/>
  <c r="W17" i="4"/>
  <c r="X17" i="4"/>
  <c r="Y17" i="4"/>
  <c r="Z17" i="4"/>
  <c r="U17" i="4"/>
  <c r="F17" i="4"/>
  <c r="G17" i="4"/>
  <c r="H17" i="4"/>
  <c r="I17" i="4"/>
  <c r="E17" i="4"/>
  <c r="V16" i="4"/>
  <c r="W16" i="4"/>
  <c r="X16" i="4"/>
  <c r="Y16" i="4"/>
  <c r="Z16" i="4"/>
  <c r="U16" i="4"/>
  <c r="V15" i="4"/>
  <c r="W15" i="4"/>
  <c r="X15" i="4"/>
  <c r="Y15" i="4"/>
  <c r="Z15" i="4"/>
  <c r="U15" i="4"/>
  <c r="K16" i="4"/>
  <c r="L16" i="4"/>
  <c r="M16" i="4"/>
  <c r="N16" i="4"/>
  <c r="O16" i="4"/>
  <c r="P16" i="4"/>
  <c r="Q16" i="4"/>
  <c r="J16" i="4"/>
  <c r="K15" i="4"/>
  <c r="L15" i="4"/>
  <c r="M15" i="4"/>
  <c r="N15" i="4"/>
  <c r="O15" i="4"/>
  <c r="P15" i="4"/>
  <c r="Q15" i="4"/>
  <c r="J15" i="4"/>
  <c r="F16" i="4"/>
  <c r="G16" i="4"/>
  <c r="H16" i="4"/>
  <c r="I16" i="4"/>
  <c r="E16" i="4"/>
  <c r="F15" i="4"/>
  <c r="G15" i="4"/>
  <c r="H15" i="4"/>
  <c r="I15" i="4"/>
  <c r="E15" i="4"/>
  <c r="V14" i="4"/>
  <c r="W14" i="4"/>
  <c r="X14" i="4"/>
  <c r="Y14" i="4"/>
  <c r="Z14" i="4"/>
  <c r="U14" i="4"/>
  <c r="K14" i="4"/>
  <c r="L14" i="4"/>
  <c r="M14" i="4"/>
  <c r="N14" i="4"/>
  <c r="O14" i="4"/>
  <c r="P14" i="4"/>
  <c r="Q14" i="4"/>
  <c r="J14" i="4"/>
  <c r="F14" i="4"/>
  <c r="G14" i="4"/>
  <c r="H14" i="4"/>
  <c r="I14" i="4"/>
  <c r="E14" i="4"/>
  <c r="V13" i="4"/>
  <c r="W13" i="4"/>
  <c r="X13" i="4"/>
  <c r="Y13" i="4"/>
  <c r="Z13" i="4"/>
  <c r="U13" i="4"/>
  <c r="R13" i="4"/>
  <c r="J13" i="4"/>
  <c r="F13" i="4"/>
  <c r="G13" i="4"/>
  <c r="H13" i="4"/>
  <c r="I13" i="4"/>
  <c r="E13" i="4"/>
  <c r="V12" i="4"/>
  <c r="W12" i="4"/>
  <c r="X12" i="4"/>
  <c r="Y12" i="4"/>
  <c r="Z12" i="4"/>
  <c r="U12" i="4"/>
  <c r="R12" i="4"/>
  <c r="K12" i="4"/>
  <c r="L12" i="4"/>
  <c r="M12" i="4"/>
  <c r="N12" i="4"/>
  <c r="O12" i="4"/>
  <c r="P12" i="4"/>
  <c r="Q12" i="4"/>
  <c r="J12" i="4"/>
  <c r="F12" i="4"/>
  <c r="G12" i="4"/>
  <c r="H12" i="4"/>
  <c r="I12" i="4"/>
  <c r="E12" i="4"/>
  <c r="E26" i="6"/>
  <c r="Z11" i="4"/>
  <c r="Y11" i="4"/>
  <c r="X11" i="4"/>
  <c r="W11" i="4"/>
  <c r="V11" i="4"/>
  <c r="U11" i="4"/>
  <c r="T11" i="4"/>
  <c r="S11" i="4"/>
  <c r="R11" i="4"/>
  <c r="K11" i="4"/>
  <c r="L11" i="4"/>
  <c r="M11" i="4"/>
  <c r="N11" i="4"/>
  <c r="O11" i="4"/>
  <c r="P11" i="4"/>
  <c r="Q11" i="4"/>
  <c r="F11" i="4"/>
  <c r="G11" i="4"/>
  <c r="H11" i="4"/>
  <c r="I11" i="4"/>
  <c r="J11" i="4"/>
  <c r="E11" i="4"/>
  <c r="V10" i="4"/>
  <c r="W10" i="4"/>
  <c r="X10" i="4"/>
  <c r="Y10" i="4"/>
  <c r="Z10" i="4"/>
  <c r="U10" i="4"/>
  <c r="S10" i="4"/>
  <c r="T10" i="4"/>
  <c r="R10" i="4"/>
  <c r="K10" i="4"/>
  <c r="L10" i="4"/>
  <c r="M10" i="4"/>
  <c r="N10" i="4"/>
  <c r="O10" i="4"/>
  <c r="P10" i="4"/>
  <c r="Q10" i="4"/>
  <c r="J10" i="4"/>
  <c r="F10" i="4"/>
  <c r="G10" i="4"/>
  <c r="H10" i="4"/>
  <c r="I10" i="4"/>
  <c r="E10" i="4"/>
  <c r="V9" i="4"/>
  <c r="W9" i="4"/>
  <c r="X9" i="4"/>
  <c r="Y9" i="4"/>
  <c r="Z9" i="4"/>
  <c r="U9" i="4"/>
  <c r="S9" i="4"/>
  <c r="T9" i="4"/>
  <c r="R9" i="4"/>
  <c r="K9" i="4"/>
  <c r="L9" i="4"/>
  <c r="M9" i="4"/>
  <c r="N9" i="4"/>
  <c r="O9" i="4"/>
  <c r="P9" i="4"/>
  <c r="Q9" i="4"/>
  <c r="J9" i="4"/>
  <c r="H9" i="4"/>
  <c r="I9" i="4"/>
  <c r="F9" i="4"/>
  <c r="G9" i="4"/>
  <c r="E9" i="4"/>
  <c r="F8" i="4"/>
  <c r="G8" i="4"/>
  <c r="H8" i="4"/>
  <c r="I8" i="4"/>
  <c r="E8" i="4"/>
  <c r="K8" i="4"/>
  <c r="L8" i="4"/>
  <c r="M8" i="4"/>
  <c r="N8" i="4"/>
  <c r="O8" i="4"/>
  <c r="P8" i="4"/>
  <c r="Q8" i="4"/>
  <c r="J8" i="4"/>
  <c r="V8" i="4"/>
  <c r="W8" i="4"/>
  <c r="X8" i="4"/>
  <c r="Y8" i="4"/>
  <c r="Z8" i="4"/>
  <c r="U8" i="4"/>
  <c r="S8" i="4"/>
  <c r="T8" i="4"/>
  <c r="R8" i="4"/>
  <c r="V7" i="4"/>
  <c r="W7" i="4"/>
  <c r="X7" i="4"/>
  <c r="Y7" i="4"/>
  <c r="Z7" i="4"/>
  <c r="U7" i="4"/>
  <c r="V6" i="4"/>
  <c r="W6" i="4"/>
  <c r="X6" i="4"/>
  <c r="Y6" i="4"/>
  <c r="Z6" i="4"/>
  <c r="U6" i="4"/>
  <c r="S7" i="4"/>
  <c r="T7" i="4"/>
  <c r="R7" i="4"/>
  <c r="S6" i="4"/>
  <c r="T6" i="4"/>
  <c r="R6" i="4"/>
  <c r="K7" i="4"/>
  <c r="L7" i="4"/>
  <c r="M7" i="4"/>
  <c r="N7" i="4"/>
  <c r="O7" i="4"/>
  <c r="P7" i="4"/>
  <c r="Q7" i="4"/>
  <c r="J7" i="4"/>
  <c r="Q6" i="4"/>
  <c r="K6" i="4"/>
  <c r="L6" i="4"/>
  <c r="M6" i="4"/>
  <c r="N6" i="4"/>
  <c r="O6" i="4"/>
  <c r="P6" i="4"/>
  <c r="J6" i="4"/>
  <c r="F7" i="4"/>
  <c r="G7" i="4"/>
  <c r="H7" i="4"/>
  <c r="I7" i="4"/>
  <c r="E7" i="4"/>
  <c r="F6" i="4"/>
  <c r="G6" i="4"/>
  <c r="H6" i="4"/>
  <c r="I6" i="4"/>
  <c r="E6" i="4"/>
  <c r="K5" i="4"/>
  <c r="L5" i="4"/>
  <c r="M5" i="4"/>
  <c r="N5" i="4"/>
  <c r="O5" i="4"/>
  <c r="P5" i="4"/>
  <c r="Q5" i="4"/>
  <c r="J5" i="4"/>
  <c r="V5" i="4"/>
  <c r="W5" i="4"/>
  <c r="X5" i="4"/>
  <c r="Y5" i="4"/>
  <c r="Z5" i="4"/>
  <c r="U5" i="4"/>
  <c r="T5" i="4"/>
  <c r="S5" i="4"/>
  <c r="R5" i="4"/>
  <c r="F5" i="4"/>
  <c r="G5" i="4"/>
  <c r="H5" i="4"/>
  <c r="I5" i="4"/>
  <c r="E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Z4" i="4"/>
  <c r="Y4" i="4"/>
  <c r="X4" i="4"/>
  <c r="W4" i="4"/>
  <c r="V4" i="4"/>
  <c r="U4" i="4"/>
  <c r="T4" i="4"/>
  <c r="S4" i="4"/>
  <c r="R4" i="4"/>
  <c r="V3" i="4"/>
  <c r="W3" i="4"/>
  <c r="X3" i="4"/>
  <c r="Y3" i="4"/>
  <c r="Z3" i="4"/>
  <c r="U3" i="4"/>
  <c r="S3" i="4"/>
  <c r="T3" i="4"/>
  <c r="R3" i="4"/>
  <c r="Q4" i="4"/>
  <c r="P4" i="4"/>
  <c r="O4" i="4"/>
  <c r="N4" i="4"/>
  <c r="M4" i="4"/>
  <c r="L4" i="4"/>
  <c r="K4" i="4"/>
  <c r="J4" i="4"/>
  <c r="I4" i="4"/>
  <c r="H4" i="4"/>
  <c r="G4" i="4"/>
  <c r="F4" i="4"/>
  <c r="E4" i="4"/>
  <c r="J3" i="4"/>
  <c r="M64" i="3"/>
  <c r="M62" i="3"/>
  <c r="Q62" i="1"/>
  <c r="E58" i="6"/>
  <c r="E54" i="6"/>
  <c r="E52" i="6"/>
  <c r="E44" i="6"/>
  <c r="E42" i="6"/>
  <c r="Q40" i="1"/>
  <c r="E40" i="6"/>
  <c r="E38" i="6"/>
  <c r="E36" i="6"/>
  <c r="E34" i="6"/>
  <c r="E30" i="6"/>
  <c r="E28" i="6"/>
  <c r="E24" i="6"/>
  <c r="E22" i="6"/>
  <c r="E20" i="6"/>
  <c r="E16" i="6"/>
  <c r="E14" i="6"/>
  <c r="E12" i="6"/>
  <c r="E10" i="6"/>
  <c r="AC2" i="4"/>
  <c r="AB2" i="4"/>
  <c r="AB33" i="4" s="1"/>
  <c r="AA2" i="4"/>
  <c r="I2" i="5" s="1"/>
  <c r="E2" i="4"/>
  <c r="Z2" i="4"/>
  <c r="Y2" i="4"/>
  <c r="X2" i="4"/>
  <c r="W2" i="4"/>
  <c r="V2" i="4"/>
  <c r="U2" i="4"/>
  <c r="T2" i="4"/>
  <c r="S2" i="4"/>
  <c r="R2" i="4"/>
  <c r="F2" i="4"/>
  <c r="G2" i="4"/>
  <c r="H2" i="4"/>
  <c r="I2" i="4"/>
  <c r="J2" i="4"/>
  <c r="K2" i="4"/>
  <c r="L2" i="4"/>
  <c r="M2" i="4"/>
  <c r="N2" i="4"/>
  <c r="O2" i="4"/>
  <c r="P2" i="4"/>
  <c r="Q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" i="5"/>
  <c r="M10" i="3"/>
  <c r="F10" i="3"/>
  <c r="G3" i="5" s="1"/>
  <c r="M12" i="3"/>
  <c r="Q12" i="1"/>
  <c r="Q10" i="1"/>
  <c r="M16" i="3"/>
  <c r="G6" i="5"/>
  <c r="M20" i="3"/>
  <c r="G7" i="5"/>
  <c r="M14" i="3"/>
  <c r="N14" i="3"/>
  <c r="N16" i="3"/>
  <c r="Q20" i="1"/>
  <c r="Q16" i="1"/>
  <c r="R16" i="1"/>
  <c r="Q14" i="1"/>
  <c r="R14" i="1"/>
  <c r="M22" i="3"/>
  <c r="Q22" i="1"/>
  <c r="E9" i="5"/>
  <c r="N22" i="3"/>
  <c r="R22" i="1"/>
  <c r="Q24" i="1"/>
  <c r="R24" i="1"/>
  <c r="M24" i="3"/>
  <c r="M26" i="3"/>
  <c r="Q26" i="1"/>
  <c r="M28" i="3"/>
  <c r="M30" i="3"/>
  <c r="Q30" i="1"/>
  <c r="Q28" i="1"/>
  <c r="R28" i="1"/>
  <c r="E14" i="5"/>
  <c r="G14" i="5"/>
  <c r="M34" i="3"/>
  <c r="Q34" i="1"/>
  <c r="E15" i="5"/>
  <c r="R34" i="1"/>
  <c r="Q36" i="1"/>
  <c r="E16" i="5"/>
  <c r="M36" i="3"/>
  <c r="N36" i="3" s="1"/>
  <c r="R36" i="1"/>
  <c r="M38" i="3"/>
  <c r="N38" i="3" s="1"/>
  <c r="Q38" i="1"/>
  <c r="E18" i="5"/>
  <c r="M40" i="3"/>
  <c r="R40" i="1"/>
  <c r="N8" i="3"/>
  <c r="G2" i="5"/>
  <c r="N40" i="3"/>
  <c r="M42" i="3"/>
  <c r="Q42" i="1"/>
  <c r="AA33" i="4" l="1"/>
  <c r="E12" i="5"/>
  <c r="G9" i="5"/>
  <c r="E7" i="5"/>
  <c r="R20" i="1"/>
  <c r="E8" i="5"/>
  <c r="G5" i="5"/>
  <c r="E6" i="5"/>
  <c r="E5" i="5"/>
  <c r="J2" i="5"/>
  <c r="J33" i="5"/>
  <c r="E10" i="5"/>
  <c r="E13" i="5"/>
  <c r="G17" i="5"/>
  <c r="E3" i="4"/>
  <c r="E4" i="5"/>
  <c r="N34" i="3"/>
  <c r="G15" i="5"/>
  <c r="G16" i="5"/>
  <c r="G18" i="5"/>
  <c r="J20" i="4"/>
  <c r="Q44" i="1"/>
  <c r="E20" i="5" s="1"/>
  <c r="R21" i="4"/>
  <c r="K2" i="5"/>
  <c r="R30" i="1"/>
  <c r="G30" i="5"/>
  <c r="Q64" i="1"/>
  <c r="R64" i="1" s="1"/>
  <c r="G29" i="5"/>
  <c r="E29" i="5"/>
  <c r="G28" i="5"/>
  <c r="E28" i="5"/>
  <c r="Q56" i="1"/>
  <c r="R56" i="1" s="1"/>
  <c r="M56" i="3"/>
  <c r="N56" i="3" s="1"/>
  <c r="G19" i="5"/>
  <c r="E19" i="5"/>
  <c r="G4" i="5"/>
  <c r="E11" i="5"/>
  <c r="N12" i="3"/>
  <c r="N62" i="3"/>
  <c r="N10" i="3"/>
  <c r="M58" i="3"/>
  <c r="N58" i="3" s="1"/>
  <c r="M54" i="3"/>
  <c r="N54" i="3" s="1"/>
  <c r="M52" i="3"/>
  <c r="N52" i="3" s="1"/>
  <c r="M48" i="3"/>
  <c r="N48" i="3" s="1"/>
  <c r="Q58" i="1"/>
  <c r="R58" i="1" s="1"/>
  <c r="Q54" i="1"/>
  <c r="R54" i="1" s="1"/>
  <c r="Q52" i="1"/>
  <c r="Q48" i="1"/>
  <c r="R48" i="1" s="1"/>
  <c r="G8" i="5"/>
  <c r="G10" i="5"/>
  <c r="G12" i="5"/>
  <c r="G13" i="5"/>
  <c r="E17" i="5"/>
  <c r="M44" i="3"/>
  <c r="G20" i="5" s="1"/>
  <c r="E21" i="5" l="1"/>
  <c r="E22" i="5"/>
  <c r="E23" i="5"/>
  <c r="E24" i="5"/>
  <c r="G22" i="5"/>
  <c r="G23" i="5"/>
  <c r="G24" i="5"/>
  <c r="N26" i="3"/>
  <c r="G11" i="5"/>
  <c r="E25" i="5"/>
  <c r="G25" i="5"/>
  <c r="G26" i="5"/>
  <c r="E26" i="5"/>
  <c r="E27" i="5"/>
  <c r="G27" i="5"/>
  <c r="E30" i="5"/>
  <c r="E31" i="5"/>
  <c r="G31" i="5"/>
  <c r="G21" i="5"/>
  <c r="E3" i="5"/>
  <c r="R10" i="1"/>
  <c r="R52" i="1"/>
  <c r="N64" i="3"/>
  <c r="R62" i="1"/>
  <c r="N42" i="3"/>
  <c r="R42" i="1"/>
  <c r="R26" i="1"/>
  <c r="R44" i="1"/>
  <c r="N44" i="3"/>
  <c r="R38" i="1"/>
  <c r="N30" i="3"/>
  <c r="N28" i="3"/>
  <c r="N24" i="3"/>
  <c r="N20" i="3"/>
  <c r="R12" i="1"/>
  <c r="K33" i="5" l="1"/>
</calcChain>
</file>

<file path=xl/comments1.xml><?xml version="1.0" encoding="utf-8"?>
<comments xmlns="http://schemas.openxmlformats.org/spreadsheetml/2006/main">
  <authors>
    <author>Central Plant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3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4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4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5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59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1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3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5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E6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  <comment ref="K67" authorId="0" shapeId="0">
      <text>
        <r>
          <rPr>
            <b/>
            <sz val="9"/>
            <color indexed="81"/>
            <rFont val="Tahoma"/>
            <family val="2"/>
          </rPr>
          <t>Central Plant:</t>
        </r>
        <r>
          <rPr>
            <sz val="9"/>
            <color indexed="81"/>
            <rFont val="Tahoma"/>
            <family val="2"/>
          </rPr>
          <t xml:space="preserve">
meter is not working
</t>
        </r>
      </text>
    </comment>
  </commentList>
</comments>
</file>

<file path=xl/sharedStrings.xml><?xml version="1.0" encoding="utf-8"?>
<sst xmlns="http://schemas.openxmlformats.org/spreadsheetml/2006/main" count="252" uniqueCount="71">
  <si>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</si>
  <si>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</si>
  <si>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</si>
  <si>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</si>
  <si>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</si>
  <si>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</si>
  <si>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</si>
  <si>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</si>
  <si>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</si>
  <si>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</si>
  <si>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</si>
  <si>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</si>
  <si>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</si>
  <si>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</si>
  <si>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</si>
  <si>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</si>
  <si>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</si>
  <si>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</si>
  <si>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</si>
  <si>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</si>
  <si>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</si>
  <si>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</si>
  <si>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</si>
  <si>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</si>
  <si>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</si>
  <si>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</si>
  <si>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</si>
  <si>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</si>
  <si>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</si>
  <si>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</si>
  <si>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</si>
  <si>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</si>
  <si>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</si>
  <si>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</si>
  <si>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</si>
  <si>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</si>
  <si>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DECEMBER 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</si>
  <si>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</si>
  <si>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</si>
  <si>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</si>
  <si>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</si>
  <si>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</si>
  <si>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</si>
  <si>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</si>
  <si>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</si>
  <si>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</si>
  <si>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</si>
  <si>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 </t>
  </si>
  <si>
    <t>Consumption</t>
  </si>
  <si>
    <t>Daily Water Meter Readings</t>
  </si>
  <si>
    <t>Month: DECEMBER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</si>
  <si>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</si>
  <si>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</si>
  <si>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</si>
  <si>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</si>
  <si>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</si>
  <si>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</si>
  <si>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</si>
  <si>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</si>
  <si>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</si>
  <si>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</si>
  <si>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</si>
  <si>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</si>
  <si>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</si>
  <si>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CCW Hotel B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</si>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</sst>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5" fillId="0" borderId="0" xfId="0" applyFont="1"/>
    <xf numFmtId="0" fontId="5" fillId="7" borderId="2" xfId="0" applyFont="1" applyFill="1" applyBorder="1" applyAlignment="1">
      <alignment horizontal="center" vertical="center" wrapText="1"/>
    </xf>
    <xf numFmtId="1" fontId="5" fillId="7" borderId="8" xfId="0" applyNumberFormat="1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7" fillId="6" borderId="6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1" fillId="0" borderId="1" xfId="0" applyFont="1" applyBorder="1"/>
    <xf numFmtId="0" fontId="11" fillId="0" borderId="22" xfId="0" applyFont="1" applyBorder="1"/>
    <xf numFmtId="0" fontId="12" fillId="11" borderId="22" xfId="0" applyFont="1" applyFill="1" applyBorder="1"/>
    <xf numFmtId="0" fontId="11" fillId="0" borderId="0" xfId="0" applyFont="1"/>
    <xf numFmtId="0" fontId="11" fillId="0" borderId="23" xfId="0" applyFont="1" applyBorder="1"/>
    <xf numFmtId="0" fontId="11" fillId="0" borderId="7" xfId="0" applyFont="1" applyBorder="1"/>
    <xf numFmtId="0" fontId="11" fillId="14" borderId="1" xfId="0" applyFont="1" applyFill="1" applyBorder="1"/>
    <xf numFmtId="0" fontId="11" fillId="14" borderId="22" xfId="0" applyFont="1" applyFill="1" applyBorder="1"/>
    <xf numFmtId="0" fontId="12" fillId="11" borderId="24" xfId="0" applyFont="1" applyFill="1" applyBorder="1"/>
    <xf numFmtId="0" fontId="11" fillId="14" borderId="24" xfId="0" applyFont="1" applyFill="1" applyBorder="1"/>
    <xf numFmtId="0" fontId="11" fillId="0" borderId="16" xfId="0" applyFont="1" applyBorder="1"/>
    <xf numFmtId="0" fontId="11" fillId="0" borderId="24" xfId="0" applyFont="1" applyBorder="1"/>
    <xf numFmtId="0" fontId="11" fillId="12" borderId="24" xfId="0" applyFont="1" applyFill="1" applyBorder="1"/>
    <xf numFmtId="0" fontId="11" fillId="15" borderId="24" xfId="0" applyFont="1" applyFill="1" applyBorder="1"/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15" borderId="1" xfId="0" applyFill="1" applyBorder="1"/>
    <xf numFmtId="0" fontId="0" fillId="0" borderId="25" xfId="0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5" borderId="1" xfId="0" applyFill="1" applyBorder="1" applyAlignment="1">
      <alignment horizontal="right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3</xdr:col>
      <xdr:colOff>304800</xdr:colOff>
      <xdr:row>2</xdr:row>
      <xdr:rowOff>257175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:a16="http://schemas.microsoft.com/office/drawing/2014/main" xmlns="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95250" y="0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:a16="http://schemas.microsoft.com/office/drawing/2014/main" xmlns="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:a16="http://schemas.microsoft.com/office/drawing/2014/main" xmlns="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85" zoomScaleNormal="85" workbookViewId="0">
      <selection activeCell="N23" sqref="N23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12</v>
      </c>
      <c r="D2">
        <v>2022</v>
      </c>
      <c r="E2" s="26">
        <f>0.75*INDEX('13 - Electrical Readings'!$H$8:$H$994,1+(2*(ROWS(A$1:A1)-1)))+INDEX('13 - Electrical Readings'!$Q$8:$Q$994,1+(2*(ROWS(A$1:A1)-1)))</f>
        <v>65300</v>
      </c>
      <c r="F2">
        <v>4.1000000000000002E-2</v>
      </c>
      <c r="G2" s="27">
        <f>0.75*INDEX('9 - Water Readings'!$F$8:$F$992,1+(2*(ROWS(A$1:A1)-1)))+INDEX('9 - Water Readings'!$M$8:$M$992,1+(2*(ROWS(A$1:A1)-1)))</f>
        <v>578</v>
      </c>
      <c r="H2" s="25">
        <v>1.5571912601017661</v>
      </c>
      <c r="I2" s="25">
        <f>'Submetering '!AA2</f>
        <v>203</v>
      </c>
      <c r="J2">
        <f>'Submetering '!AB2</f>
        <v>656</v>
      </c>
      <c r="K2">
        <f>'Submetering '!AC2</f>
        <v>5.0999999999999996</v>
      </c>
    </row>
    <row r="3" spans="1:11" x14ac:dyDescent="0.25">
      <c r="A3" t="s">
        <v>11</v>
      </c>
      <c r="B3">
        <f>B2+1</f>
        <v>2</v>
      </c>
      <c r="C3">
        <v>12</v>
      </c>
      <c r="D3">
        <v>2022</v>
      </c>
      <c r="E3" s="26">
        <f>0.75*INDEX('13 - Electrical Readings'!$H$8:$H$994,1+(2*(ROWS(A$1:A2)-1)))+INDEX('13 - Electrical Readings'!$Q$8:$Q$994,1+(2*(ROWS(A$1:A2)-1)))</f>
        <v>66003</v>
      </c>
      <c r="F3">
        <v>4.1000000000000002E-2</v>
      </c>
      <c r="G3" s="27">
        <f>0.75*INDEX('9 - Water Readings'!$F$8:$F$992,1+(2*(ROWS(A$1:A2)-1)))+INDEX('9 - Water Readings'!$M$8:$M$992,1+(2*(ROWS(A$1:A2)-1)))</f>
        <v>561</v>
      </c>
      <c r="H3" s="25">
        <v>1.5571912601017661</v>
      </c>
      <c r="I3" s="25">
        <f>'Submetering '!AA3</f>
        <v>198</v>
      </c>
      <c r="J3">
        <f>'Submetering '!AB3</f>
        <v>648</v>
      </c>
      <c r="K3">
        <f>'Submetering '!AC3</f>
        <v>5.2</v>
      </c>
    </row>
    <row r="4" spans="1:11" x14ac:dyDescent="0.25">
      <c r="A4" t="s">
        <v>11</v>
      </c>
      <c r="B4">
        <f t="shared" ref="B4:B30" si="0">B3+1</f>
        <v>3</v>
      </c>
      <c r="C4">
        <v>12</v>
      </c>
      <c r="D4">
        <v>2022</v>
      </c>
      <c r="E4" s="26">
        <f>0.75*INDEX('13 - Electrical Readings'!$H$8:$H$994,1+(2*(ROWS(A$1:A3)-1)))+INDEX('13 - Electrical Readings'!$Q$8:$Q$994,1+(2*(ROWS(A$1:A3)-1)))</f>
        <v>64005</v>
      </c>
      <c r="F4">
        <v>4.1000000000000002E-2</v>
      </c>
      <c r="G4" s="27">
        <f>0.75*INDEX('9 - Water Readings'!$F$8:$F$992,1+(2*(ROWS(A$1:A3)-1)))+INDEX('9 - Water Readings'!$M$8:$M$992,1+(2*(ROWS(A$1:A3)-1)))</f>
        <v>564</v>
      </c>
      <c r="H4" s="25">
        <v>1.5571912601017661</v>
      </c>
      <c r="I4" s="25">
        <f>'Submetering '!AA4</f>
        <v>172</v>
      </c>
      <c r="J4">
        <f>'Submetering '!AB4</f>
        <v>562</v>
      </c>
      <c r="K4">
        <f>'Submetering '!AC4</f>
        <v>5.2</v>
      </c>
    </row>
    <row r="5" spans="1:11" x14ac:dyDescent="0.25">
      <c r="A5" t="s">
        <v>11</v>
      </c>
      <c r="B5">
        <f t="shared" si="0"/>
        <v>4</v>
      </c>
      <c r="C5">
        <v>12</v>
      </c>
      <c r="D5">
        <v>2022</v>
      </c>
      <c r="E5" s="26">
        <f>0.75*INDEX('13 - Electrical Readings'!$H$8:$H$994,1+(2*(ROWS(A$1:A4)-1)))+INDEX('13 - Electrical Readings'!$Q$8:$Q$994,1+(2*(ROWS(A$1:A4)-1)))</f>
        <v>64737.25</v>
      </c>
      <c r="F5">
        <v>4.1000000000000002E-2</v>
      </c>
      <c r="G5" s="27">
        <f>0.75*INDEX('9 - Water Readings'!$F$8:$F$992,1+(2*(ROWS(A$1:A4)-1)))+INDEX('9 - Water Readings'!$M$8:$M$992,1+(2*(ROWS(A$1:A4)-1)))</f>
        <v>530</v>
      </c>
      <c r="H5" s="25">
        <v>1.5571912601017661</v>
      </c>
      <c r="I5" s="25">
        <f>'Submetering '!AA5</f>
        <v>147</v>
      </c>
      <c r="J5">
        <f>'Submetering '!AB5</f>
        <v>494</v>
      </c>
      <c r="K5">
        <f>'Submetering '!AC5</f>
        <v>4.8</v>
      </c>
    </row>
    <row r="6" spans="1:11" x14ac:dyDescent="0.25">
      <c r="A6" t="s">
        <v>11</v>
      </c>
      <c r="B6">
        <f t="shared" si="0"/>
        <v>5</v>
      </c>
      <c r="C6">
        <v>12</v>
      </c>
      <c r="D6">
        <v>2022</v>
      </c>
      <c r="E6" s="26">
        <f>0.75*INDEX('13 - Electrical Readings'!$H$8:$H$994,1+(2*(ROWS(A$1:A5)-1)))+INDEX('13 - Electrical Readings'!$Q$8:$Q$994,1+(2*(ROWS(A$1:A5)-1)))</f>
        <v>64399.25</v>
      </c>
      <c r="F6">
        <v>4.1000000000000002E-2</v>
      </c>
      <c r="G6" s="27">
        <f>0.75*INDEX('9 - Water Readings'!$F$8:$F$992,1+(2*(ROWS(A$1:A5)-1)))+INDEX('9 - Water Readings'!$M$8:$M$992,1+(2*(ROWS(A$1:A5)-1)))</f>
        <v>539.75</v>
      </c>
      <c r="H6" s="25">
        <v>1.5571912601017661</v>
      </c>
      <c r="I6" s="25">
        <f>'Submetering '!AA6</f>
        <v>125</v>
      </c>
      <c r="J6">
        <f>'Submetering '!AB6</f>
        <v>418</v>
      </c>
      <c r="K6">
        <f>'Submetering '!AC6</f>
        <v>4.5</v>
      </c>
    </row>
    <row r="7" spans="1:11" x14ac:dyDescent="0.25">
      <c r="A7" t="s">
        <v>11</v>
      </c>
      <c r="B7">
        <f t="shared" si="0"/>
        <v>6</v>
      </c>
      <c r="C7">
        <v>12</v>
      </c>
      <c r="D7">
        <v>2022</v>
      </c>
      <c r="E7" s="26">
        <f>0.75*INDEX('13 - Electrical Readings'!$H$8:$H$994,1+(2*(ROWS(A$1:A6)-1)))+INDEX('13 - Electrical Readings'!$Q$8:$Q$994,1+(2*(ROWS(A$1:A6)-1)))</f>
        <v>67745.5</v>
      </c>
      <c r="F7">
        <v>4.1000000000000002E-2</v>
      </c>
      <c r="G7" s="27">
        <f>0.75*INDEX('9 - Water Readings'!$F$8:$F$992,1+(2*(ROWS(A$1:A6)-1)))+INDEX('9 - Water Readings'!$M$8:$M$992,1+(2*(ROWS(A$1:A6)-1)))</f>
        <v>521</v>
      </c>
      <c r="H7" s="25">
        <v>1.5571912601017661</v>
      </c>
      <c r="I7" s="25">
        <f>'Submetering '!AA7</f>
        <v>136</v>
      </c>
      <c r="J7">
        <f>'Submetering '!AB7</f>
        <v>442</v>
      </c>
      <c r="K7">
        <f>'Submetering '!AC7</f>
        <v>5</v>
      </c>
    </row>
    <row r="8" spans="1:11" x14ac:dyDescent="0.25">
      <c r="A8" t="s">
        <v>11</v>
      </c>
      <c r="B8">
        <f t="shared" si="0"/>
        <v>7</v>
      </c>
      <c r="C8">
        <v>12</v>
      </c>
      <c r="D8">
        <v>2022</v>
      </c>
      <c r="E8" s="26">
        <f>0.75*INDEX('13 - Electrical Readings'!$H$8:$H$994,1+(2*(ROWS(A$1:A7)-1)))+INDEX('13 - Electrical Readings'!$Q$8:$Q$994,1+(2*(ROWS(A$1:A7)-1)))</f>
        <v>67012.5</v>
      </c>
      <c r="F8">
        <v>4.1000000000000002E-2</v>
      </c>
      <c r="G8" s="27">
        <f>0.75*INDEX('9 - Water Readings'!$F$8:$F$992,1+(2*(ROWS(A$1:A7)-1)))+INDEX('9 - Water Readings'!$M$8:$M$992,1+(2*(ROWS(A$1:A7)-1)))</f>
        <v>547.75</v>
      </c>
      <c r="H8" s="25">
        <v>1.5571912601017661</v>
      </c>
      <c r="I8" s="25">
        <f>'Submetering '!AA8</f>
        <v>116</v>
      </c>
      <c r="J8">
        <f>'Submetering '!AB8</f>
        <v>356</v>
      </c>
      <c r="K8">
        <f>'Submetering '!AC8</f>
        <v>5.2</v>
      </c>
    </row>
    <row r="9" spans="1:11" x14ac:dyDescent="0.25">
      <c r="A9" t="s">
        <v>11</v>
      </c>
      <c r="B9">
        <f t="shared" si="0"/>
        <v>8</v>
      </c>
      <c r="C9">
        <v>12</v>
      </c>
      <c r="D9">
        <v>2022</v>
      </c>
      <c r="E9" s="26">
        <f>0.75*INDEX('13 - Electrical Readings'!$H$8:$H$994,1+(2*(ROWS(A$1:A8)-1)))+INDEX('13 - Electrical Readings'!$Q$8:$Q$994,1+(2*(ROWS(A$1:A8)-1)))</f>
        <v>67189.75</v>
      </c>
      <c r="F9">
        <v>4.1000000000000002E-2</v>
      </c>
      <c r="G9" s="27">
        <f>0.75*INDEX('9 - Water Readings'!$F$8:$F$992,1+(2*(ROWS(A$1:A8)-1)))+INDEX('9 - Water Readings'!$M$8:$M$992,1+(2*(ROWS(A$1:A8)-1)))</f>
        <v>576</v>
      </c>
      <c r="H9" s="25">
        <v>1.5571912601017661</v>
      </c>
      <c r="I9" s="25">
        <f>'Submetering '!AA9</f>
        <v>158</v>
      </c>
      <c r="J9">
        <f>'Submetering '!AB9</f>
        <v>534</v>
      </c>
      <c r="K9">
        <f>'Submetering '!AC9</f>
        <v>4.7</v>
      </c>
    </row>
    <row r="10" spans="1:11" x14ac:dyDescent="0.25">
      <c r="A10" t="s">
        <v>11</v>
      </c>
      <c r="B10">
        <f t="shared" si="0"/>
        <v>9</v>
      </c>
      <c r="C10">
        <v>12</v>
      </c>
      <c r="D10">
        <v>2022</v>
      </c>
      <c r="E10" s="26">
        <f>0.75*INDEX('13 - Electrical Readings'!$H$8:$H$994,1+(2*(ROWS(A$1:A9)-1)))+INDEX('13 - Electrical Readings'!$Q$8:$Q$994,1+(2*(ROWS(A$1:A9)-1)))</f>
        <v>58993.25</v>
      </c>
      <c r="F10">
        <v>4.1000000000000002E-2</v>
      </c>
      <c r="G10" s="27">
        <f>0.75*INDEX('9 - Water Readings'!$F$8:$F$992,1+(2*(ROWS(A$1:A9)-1)))+INDEX('9 - Water Readings'!$M$8:$M$992,1+(2*(ROWS(A$1:A9)-1)))</f>
        <v>532</v>
      </c>
      <c r="H10" s="25">
        <v>1.5571912601017661</v>
      </c>
      <c r="I10" s="25">
        <f>'Submetering '!AA10</f>
        <v>215</v>
      </c>
      <c r="J10">
        <f>'Submetering '!AB10</f>
        <v>754</v>
      </c>
      <c r="K10">
        <f>'Submetering '!AC10</f>
        <v>3.3</v>
      </c>
    </row>
    <row r="11" spans="1:11" x14ac:dyDescent="0.25">
      <c r="A11" t="s">
        <v>11</v>
      </c>
      <c r="B11">
        <f t="shared" si="0"/>
        <v>10</v>
      </c>
      <c r="C11">
        <v>12</v>
      </c>
      <c r="D11">
        <v>2022</v>
      </c>
      <c r="E11" s="26">
        <f>0.75*INDEX('13 - Electrical Readings'!$H$8:$H$994,1+(2*(ROWS(A$1:A10)-1)))+INDEX('13 - Electrical Readings'!$Q$8:$Q$994,1+(2*(ROWS(A$1:A10)-1)))</f>
        <v>57151.75</v>
      </c>
      <c r="F11">
        <v>4.1000000000000002E-2</v>
      </c>
      <c r="G11" s="27">
        <f>0.75*INDEX('9 - Water Readings'!$F$8:$F$992,1+(2*(ROWS(A$1:A10)-1)))+INDEX('9 - Water Readings'!$M$8:$M$992,1+(2*(ROWS(A$1:A10)-1)))</f>
        <v>557</v>
      </c>
      <c r="H11" s="25">
        <v>1.5571912601017661</v>
      </c>
      <c r="I11" s="25">
        <f>'Submetering '!AA11</f>
        <v>220</v>
      </c>
      <c r="J11">
        <f>'Submetering '!AB11</f>
        <v>738</v>
      </c>
      <c r="K11">
        <f>'Submetering '!AC11</f>
        <v>0.8</v>
      </c>
    </row>
    <row r="12" spans="1:11" x14ac:dyDescent="0.25">
      <c r="A12" t="s">
        <v>11</v>
      </c>
      <c r="B12">
        <f t="shared" si="0"/>
        <v>11</v>
      </c>
      <c r="C12">
        <v>12</v>
      </c>
      <c r="D12">
        <v>2022</v>
      </c>
      <c r="E12" s="26">
        <f>0.75*INDEX('13 - Electrical Readings'!$H$8:$H$994,1+(2*(ROWS(A$1:A11)-1)))+INDEX('13 - Electrical Readings'!$Q$8:$Q$994,1+(2*(ROWS(A$1:A11)-1)))</f>
        <v>59576.75</v>
      </c>
      <c r="F12">
        <v>4.1000000000000002E-2</v>
      </c>
      <c r="G12" s="27">
        <f>0.75*INDEX('9 - Water Readings'!$F$8:$F$992,1+(2*(ROWS(A$1:A11)-1)))+INDEX('9 - Water Readings'!$M$8:$M$992,1+(2*(ROWS(A$1:A11)-1)))</f>
        <v>571</v>
      </c>
      <c r="H12" s="25">
        <v>1.5571912601017661</v>
      </c>
      <c r="I12" s="25">
        <f>'Submetering '!AA12</f>
        <v>125</v>
      </c>
      <c r="J12">
        <f>'Submetering '!AB12</f>
        <v>402</v>
      </c>
      <c r="K12">
        <f>'Submetering '!AC12</f>
        <v>1.2</v>
      </c>
    </row>
    <row r="13" spans="1:11" x14ac:dyDescent="0.25">
      <c r="A13" t="s">
        <v>11</v>
      </c>
      <c r="B13">
        <f t="shared" si="0"/>
        <v>12</v>
      </c>
      <c r="C13">
        <v>12</v>
      </c>
      <c r="D13">
        <v>2022</v>
      </c>
      <c r="E13" s="26">
        <f>0.75*INDEX('13 - Electrical Readings'!$H$8:$H$994,1+(2*(ROWS(A$1:A12)-1)))+INDEX('13 - Electrical Readings'!$Q$8:$Q$994,1+(2*(ROWS(A$1:A12)-1)))</f>
        <v>61977.5</v>
      </c>
      <c r="F13">
        <v>4.1000000000000002E-2</v>
      </c>
      <c r="G13" s="27">
        <f>0.75*INDEX('9 - Water Readings'!$F$8:$F$992,1+(2*(ROWS(A$1:A12)-1)))+INDEX('9 - Water Readings'!$M$8:$M$992,1+(2*(ROWS(A$1:A12)-1)))</f>
        <v>552</v>
      </c>
      <c r="H13" s="25">
        <v>1.5571912601017661</v>
      </c>
      <c r="I13" s="25">
        <f>'Submetering '!AA13</f>
        <v>175</v>
      </c>
      <c r="J13">
        <f>'Submetering '!AB13</f>
        <v>560</v>
      </c>
      <c r="K13">
        <f>'Submetering '!AC13</f>
        <v>1.3</v>
      </c>
    </row>
    <row r="14" spans="1:11" x14ac:dyDescent="0.25">
      <c r="A14" t="s">
        <v>11</v>
      </c>
      <c r="B14">
        <f t="shared" si="0"/>
        <v>13</v>
      </c>
      <c r="C14">
        <v>12</v>
      </c>
      <c r="D14">
        <v>2022</v>
      </c>
      <c r="E14" s="26">
        <f>0.75*INDEX('13 - Electrical Readings'!$H$8:$H$994,1+(2*(ROWS(A$1:A13)-1)))+INDEX('13 - Electrical Readings'!$Q$8:$Q$994,1+(2*(ROWS(A$1:A13)-1)))</f>
        <v>62295.25</v>
      </c>
      <c r="F14">
        <v>4.1000000000000002E-2</v>
      </c>
      <c r="G14" s="27">
        <f>0.75*INDEX('9 - Water Readings'!$F$8:$F$992,1+(2*(ROWS(A$1:A13)-1)))+INDEX('9 - Water Readings'!$M$8:$M$992,1+(2*(ROWS(A$1:A13)-1)))</f>
        <v>535</v>
      </c>
      <c r="H14" s="25">
        <v>1.5571912601017661</v>
      </c>
      <c r="I14" s="25">
        <f>'Submetering '!AA14</f>
        <v>216</v>
      </c>
      <c r="J14">
        <f>'Submetering '!AB14</f>
        <v>708</v>
      </c>
      <c r="K14">
        <f>'Submetering '!AC14</f>
        <v>1.5</v>
      </c>
    </row>
    <row r="15" spans="1:11" x14ac:dyDescent="0.25">
      <c r="A15" t="s">
        <v>11</v>
      </c>
      <c r="B15">
        <f t="shared" si="0"/>
        <v>14</v>
      </c>
      <c r="C15">
        <v>12</v>
      </c>
      <c r="D15">
        <v>2022</v>
      </c>
      <c r="E15" s="26">
        <f>0.75*INDEX('13 - Electrical Readings'!$H$8:$H$994,1+(2*(ROWS(A$1:A14)-1)))+INDEX('13 - Electrical Readings'!$Q$8:$Q$994,1+(2*(ROWS(A$1:A14)-1)))</f>
        <v>64514.75</v>
      </c>
      <c r="F15">
        <v>4.1000000000000002E-2</v>
      </c>
      <c r="G15" s="27">
        <f>0.75*INDEX('9 - Water Readings'!$F$8:$F$992,1+(2*(ROWS(A$1:A14)-1)))+INDEX('9 - Water Readings'!$M$8:$M$992,1+(2*(ROWS(A$1:A14)-1)))</f>
        <v>577</v>
      </c>
      <c r="H15" s="25">
        <v>1.5571912601017661</v>
      </c>
      <c r="I15" s="25">
        <f>'Submetering '!AA15</f>
        <v>215</v>
      </c>
      <c r="J15">
        <f>'Submetering '!AB15</f>
        <v>706</v>
      </c>
      <c r="K15">
        <f>'Submetering '!AC15</f>
        <v>2.1</v>
      </c>
    </row>
    <row r="16" spans="1:11" x14ac:dyDescent="0.25">
      <c r="A16" t="s">
        <v>11</v>
      </c>
      <c r="B16">
        <f t="shared" si="0"/>
        <v>15</v>
      </c>
      <c r="C16">
        <v>12</v>
      </c>
      <c r="D16">
        <v>2022</v>
      </c>
      <c r="E16" s="26">
        <f>0.75*INDEX('13 - Electrical Readings'!$H$8:$H$994,1+(2*(ROWS(A$1:A15)-1)))+INDEX('13 - Electrical Readings'!$Q$8:$Q$994,1+(2*(ROWS(A$1:A15)-1)))</f>
        <v>65104.75</v>
      </c>
      <c r="F16">
        <v>4.1000000000000002E-2</v>
      </c>
      <c r="G16" s="27">
        <f>0.75*INDEX('9 - Water Readings'!$F$8:$F$992,1+(2*(ROWS(A$1:A15)-1)))+INDEX('9 - Water Readings'!$M$8:$M$992,1+(2*(ROWS(A$1:A15)-1)))</f>
        <v>572</v>
      </c>
      <c r="H16" s="25">
        <v>1.5571912601017661</v>
      </c>
      <c r="I16" s="25">
        <f>'Submetering '!AA16</f>
        <v>176</v>
      </c>
      <c r="J16">
        <f>'Submetering '!AB16</f>
        <v>554</v>
      </c>
      <c r="K16">
        <f>'Submetering '!AC16</f>
        <v>2.5</v>
      </c>
    </row>
    <row r="17" spans="1:11" x14ac:dyDescent="0.25">
      <c r="A17" t="s">
        <v>11</v>
      </c>
      <c r="B17">
        <f t="shared" si="0"/>
        <v>16</v>
      </c>
      <c r="C17">
        <v>12</v>
      </c>
      <c r="D17">
        <v>2022</v>
      </c>
      <c r="E17" s="26">
        <f>0.75*INDEX('13 - Electrical Readings'!$H$8:$H$994,1+(2*(ROWS(A$1:A16)-1)))+INDEX('13 - Electrical Readings'!$Q$8:$Q$994,1+(2*(ROWS(A$1:A16)-1)))</f>
        <v>65762.25</v>
      </c>
      <c r="F17">
        <v>4.1000000000000002E-2</v>
      </c>
      <c r="G17" s="27">
        <f>0.75*INDEX('9 - Water Readings'!$F$8:$F$992,1+(2*(ROWS(A$1:A16)-1)))+INDEX('9 - Water Readings'!$M$8:$M$992,1+(2*(ROWS(A$1:A16)-1)))</f>
        <v>564</v>
      </c>
      <c r="H17" s="25">
        <v>1.5571912601017661</v>
      </c>
      <c r="I17" s="25">
        <f>'Submetering '!AA17</f>
        <v>163</v>
      </c>
      <c r="J17">
        <f>'Submetering '!AB17</f>
        <v>500</v>
      </c>
      <c r="K17">
        <f>'Submetering '!AC17</f>
        <v>2.8</v>
      </c>
    </row>
    <row r="18" spans="1:11" x14ac:dyDescent="0.25">
      <c r="A18" t="s">
        <v>11</v>
      </c>
      <c r="B18">
        <f t="shared" si="0"/>
        <v>17</v>
      </c>
      <c r="C18">
        <v>12</v>
      </c>
      <c r="D18">
        <v>2022</v>
      </c>
      <c r="E18" s="26">
        <f>0.75*INDEX('13 - Electrical Readings'!$H$8:$H$994,1+(2*(ROWS(A$1:A17)-1)))+INDEX('13 - Electrical Readings'!$Q$8:$Q$994,1+(2*(ROWS(A$1:A17)-1)))</f>
        <v>65605</v>
      </c>
      <c r="F18">
        <v>4.1000000000000002E-2</v>
      </c>
      <c r="G18" s="27">
        <f>0.75*INDEX('9 - Water Readings'!$F$8:$F$992,1+(2*(ROWS(A$1:A17)-1)))+INDEX('9 - Water Readings'!$M$8:$M$992,1+(2*(ROWS(A$1:A17)-1)))</f>
        <v>587</v>
      </c>
      <c r="H18" s="25">
        <v>1.5571912601017661</v>
      </c>
      <c r="I18" s="25">
        <f>'Submetering '!AA18</f>
        <v>213</v>
      </c>
      <c r="J18">
        <f>'Submetering '!AB18</f>
        <v>638</v>
      </c>
      <c r="K18">
        <f>'Submetering '!AC18</f>
        <v>2.5</v>
      </c>
    </row>
    <row r="19" spans="1:11" x14ac:dyDescent="0.25">
      <c r="A19" t="s">
        <v>11</v>
      </c>
      <c r="B19">
        <f t="shared" si="0"/>
        <v>18</v>
      </c>
      <c r="C19">
        <v>12</v>
      </c>
      <c r="D19">
        <v>2022</v>
      </c>
      <c r="E19" s="26">
        <f>0.75*INDEX('13 - Electrical Readings'!$H$8:$H$994,1+(2*(ROWS(A$1:A18)-1)))+INDEX('13 - Electrical Readings'!$Q$8:$Q$994,1+(2*(ROWS(A$1:A18)-1)))</f>
        <v>61056.75</v>
      </c>
      <c r="F19">
        <v>4.1000000000000002E-2</v>
      </c>
      <c r="G19" s="27">
        <f>0.75*INDEX('9 - Water Readings'!$F$8:$F$992,1+(2*(ROWS(A$1:A18)-1)))+INDEX('9 - Water Readings'!$M$8:$M$992,1+(2*(ROWS(A$1:A18)-1)))</f>
        <v>589</v>
      </c>
      <c r="H19" s="25">
        <v>1.5571912601017661</v>
      </c>
      <c r="I19" s="25">
        <f>'Submetering '!AA19</f>
        <v>208</v>
      </c>
      <c r="J19">
        <f>'Submetering '!AB19</f>
        <v>614</v>
      </c>
      <c r="K19">
        <f>'Submetering '!AC19</f>
        <v>1.7</v>
      </c>
    </row>
    <row r="20" spans="1:11" x14ac:dyDescent="0.25">
      <c r="A20" t="s">
        <v>11</v>
      </c>
      <c r="B20">
        <f t="shared" si="0"/>
        <v>19</v>
      </c>
      <c r="C20">
        <v>12</v>
      </c>
      <c r="D20">
        <v>2022</v>
      </c>
      <c r="E20" s="26">
        <f>0.75*INDEX('13 - Electrical Readings'!$H$8:$H$994,1+(2*(ROWS(A$1:A19)-1)))+INDEX('13 - Electrical Readings'!$Q$8:$Q$994,1+(2*(ROWS(A$1:A19)-1)))</f>
        <v>56500.5</v>
      </c>
      <c r="F20">
        <v>4.1000000000000002E-2</v>
      </c>
      <c r="G20" s="27">
        <f>0.75*INDEX('9 - Water Readings'!$F$8:$F$992,1+(2*(ROWS(A$1:A19)-1)))+INDEX('9 - Water Readings'!$M$8:$M$992,1+(2*(ROWS(A$1:A19)-1)))</f>
        <v>551</v>
      </c>
      <c r="H20" s="25">
        <v>1.5571912601017661</v>
      </c>
      <c r="I20" s="25">
        <f>'Submetering '!AA20</f>
        <v>149</v>
      </c>
      <c r="J20">
        <f>'Submetering '!AB20</f>
        <v>482</v>
      </c>
      <c r="K20">
        <f>'Submetering '!AC20</f>
        <v>1.4</v>
      </c>
    </row>
    <row r="21" spans="1:11" x14ac:dyDescent="0.25">
      <c r="A21" t="s">
        <v>11</v>
      </c>
      <c r="B21">
        <f t="shared" si="0"/>
        <v>20</v>
      </c>
      <c r="C21">
        <v>12</v>
      </c>
      <c r="D21">
        <v>2022</v>
      </c>
      <c r="E21" s="26">
        <f>0.75*INDEX('13 - Electrical Readings'!$H$8:$H$994,1+(2*(ROWS(A$1:A20)-1)))+INDEX('13 - Electrical Readings'!$Q$8:$Q$994,1+(2*(ROWS(A$1:A20)-1)))</f>
        <v>57501.75</v>
      </c>
      <c r="F21">
        <v>4.1000000000000002E-2</v>
      </c>
      <c r="G21" s="27">
        <f>0.75*INDEX('9 - Water Readings'!$F$8:$F$992,1+(2*(ROWS(A$1:A20)-1)))+INDEX('9 - Water Readings'!$M$8:$M$992,1+(2*(ROWS(A$1:A20)-1)))</f>
        <v>555</v>
      </c>
      <c r="H21" s="25">
        <v>1.5571912601017661</v>
      </c>
      <c r="I21" s="25">
        <f>'Submetering '!AA21</f>
        <v>74</v>
      </c>
      <c r="J21">
        <f>'Submetering '!AB21</f>
        <v>262</v>
      </c>
      <c r="K21">
        <f>'Submetering '!AC21</f>
        <v>1.9</v>
      </c>
    </row>
    <row r="22" spans="1:11" x14ac:dyDescent="0.25">
      <c r="A22" t="s">
        <v>11</v>
      </c>
      <c r="B22">
        <f t="shared" si="0"/>
        <v>21</v>
      </c>
      <c r="C22">
        <v>12</v>
      </c>
      <c r="D22">
        <v>2022</v>
      </c>
      <c r="E22" s="26">
        <f>0.75*INDEX('13 - Electrical Readings'!$H$8:$H$994,1+(2*(ROWS(A$1:A21)-1)))+INDEX('13 - Electrical Readings'!$Q$8:$Q$994,1+(2*(ROWS(A$1:A21)-1)))</f>
        <v>56471.75</v>
      </c>
      <c r="F22">
        <v>4.1000000000000002E-2</v>
      </c>
      <c r="G22" s="27">
        <f>0.75*INDEX('9 - Water Readings'!$F$8:$F$992,1+(2*(ROWS(A$1:A21)-1)))+INDEX('9 - Water Readings'!$M$8:$M$992,1+(2*(ROWS(A$1:A21)-1)))</f>
        <v>607</v>
      </c>
      <c r="H22" s="25">
        <v>1.5571912601017661</v>
      </c>
      <c r="I22" s="25">
        <f>'Submetering '!AA22</f>
        <v>71</v>
      </c>
      <c r="J22">
        <f>'Submetering '!AB22</f>
        <v>252</v>
      </c>
      <c r="K22">
        <f>'Submetering '!AC22</f>
        <v>2.7</v>
      </c>
    </row>
    <row r="23" spans="1:11" x14ac:dyDescent="0.25">
      <c r="A23" t="s">
        <v>11</v>
      </c>
      <c r="B23">
        <f t="shared" si="0"/>
        <v>22</v>
      </c>
      <c r="C23">
        <v>12</v>
      </c>
      <c r="D23">
        <v>2022</v>
      </c>
      <c r="E23" s="26">
        <f>0.75*INDEX('13 - Electrical Readings'!$H$8:$H$994,1+(2*(ROWS(A$1:A22)-1)))+INDEX('13 - Electrical Readings'!$Q$8:$Q$994,1+(2*(ROWS(A$1:A22)-1)))</f>
        <v>57269.75</v>
      </c>
      <c r="F23">
        <v>4.1000000000000002E-2</v>
      </c>
      <c r="G23" s="27">
        <f>0.75*INDEX('9 - Water Readings'!$F$8:$F$992,1+(2*(ROWS(A$1:A22)-1)))+INDEX('9 - Water Readings'!$M$8:$M$992,1+(2*(ROWS(A$1:A22)-1)))</f>
        <v>653</v>
      </c>
      <c r="H23" s="25">
        <v>1.5571912601017661</v>
      </c>
      <c r="I23" s="25">
        <f>'Submetering '!AA23</f>
        <v>118</v>
      </c>
      <c r="J23">
        <f>'Submetering '!AB23</f>
        <v>470</v>
      </c>
      <c r="K23">
        <f>'Submetering '!AC23</f>
        <v>2.6</v>
      </c>
    </row>
    <row r="24" spans="1:11" x14ac:dyDescent="0.25">
      <c r="A24" t="s">
        <v>11</v>
      </c>
      <c r="B24">
        <f t="shared" si="0"/>
        <v>23</v>
      </c>
      <c r="C24">
        <v>12</v>
      </c>
      <c r="D24">
        <v>2022</v>
      </c>
      <c r="E24" s="26">
        <f>0.75*INDEX('13 - Electrical Readings'!$H$8:$H$994,1+(2*(ROWS(A$1:A23)-1)))+INDEX('13 - Electrical Readings'!$Q$8:$Q$994,1+(2*(ROWS(A$1:A23)-1)))</f>
        <v>57482.75</v>
      </c>
      <c r="F24">
        <v>4.1000000000000002E-2</v>
      </c>
      <c r="G24" s="27">
        <f>0.75*INDEX('9 - Water Readings'!$F$8:$F$992,1+(2*(ROWS(A$1:A23)-1)))+INDEX('9 - Water Readings'!$M$8:$M$992,1+(2*(ROWS(A$1:A23)-1)))</f>
        <v>508</v>
      </c>
      <c r="H24" s="25">
        <v>1.5571912601017661</v>
      </c>
      <c r="I24" s="25">
        <f>'Submetering '!AA24</f>
        <v>125</v>
      </c>
      <c r="J24">
        <f>'Submetering '!AB24</f>
        <v>488</v>
      </c>
      <c r="K24">
        <f>'Submetering '!AC24</f>
        <v>2.2999999999999998</v>
      </c>
    </row>
    <row r="25" spans="1:11" x14ac:dyDescent="0.25">
      <c r="A25" t="s">
        <v>11</v>
      </c>
      <c r="B25">
        <f t="shared" si="0"/>
        <v>24</v>
      </c>
      <c r="C25">
        <v>12</v>
      </c>
      <c r="D25">
        <v>2022</v>
      </c>
      <c r="E25" s="26">
        <f>0.75*INDEX('13 - Electrical Readings'!$H$8:$H$994,1+(2*(ROWS(A$1:A24)-1)))+INDEX('13 - Electrical Readings'!$Q$8:$Q$994,1+(2*(ROWS(A$1:A24)-1)))</f>
        <v>57438</v>
      </c>
      <c r="F25">
        <v>4.1000000000000002E-2</v>
      </c>
      <c r="G25" s="27">
        <f>0.75*INDEX('9 - Water Readings'!$F$8:$F$992,1+(2*(ROWS(A$1:A24)-1)))+INDEX('9 - Water Readings'!$M$8:$M$992,1+(2*(ROWS(A$1:A24)-1)))</f>
        <v>539</v>
      </c>
      <c r="H25" s="25">
        <v>1.5571912601017661</v>
      </c>
      <c r="I25" s="25">
        <f>'Submetering '!AA25</f>
        <v>101</v>
      </c>
      <c r="J25">
        <f>'Submetering '!AB25</f>
        <v>424</v>
      </c>
      <c r="K25">
        <f>'Submetering '!AC25</f>
        <v>3.4</v>
      </c>
    </row>
    <row r="26" spans="1:11" x14ac:dyDescent="0.25">
      <c r="A26" t="s">
        <v>11</v>
      </c>
      <c r="B26">
        <f>B25+1</f>
        <v>25</v>
      </c>
      <c r="C26">
        <v>12</v>
      </c>
      <c r="D26">
        <v>2022</v>
      </c>
      <c r="E26" s="26">
        <f>0.75*INDEX('13 - Electrical Readings'!$H$8:$H$994,1+(2*(ROWS(A$1:A25)-1)))+INDEX('13 - Electrical Readings'!$Q$8:$Q$994,1+(2*(ROWS(A$1:A25)-1)))</f>
        <v>52593.5</v>
      </c>
      <c r="F26">
        <v>4.1000000000000002E-2</v>
      </c>
      <c r="G26" s="27">
        <f>0.75*INDEX('9 - Water Readings'!$F$8:$F$992,1+(2*(ROWS(A$1:A25)-1)))+INDEX('9 - Water Readings'!$M$8:$M$992,1+(2*(ROWS(A$1:A25)-1)))</f>
        <v>514</v>
      </c>
      <c r="H26" s="25">
        <v>1.5571912601017661</v>
      </c>
      <c r="I26" s="25">
        <f>'Submetering '!AA26</f>
        <v>101</v>
      </c>
      <c r="J26">
        <f>'Submetering '!AB26</f>
        <v>428</v>
      </c>
      <c r="K26">
        <f>'Submetering '!AC26</f>
        <v>1.7</v>
      </c>
    </row>
    <row r="27" spans="1:11" x14ac:dyDescent="0.25">
      <c r="A27" t="s">
        <v>11</v>
      </c>
      <c r="B27">
        <f t="shared" si="0"/>
        <v>26</v>
      </c>
      <c r="C27">
        <v>12</v>
      </c>
      <c r="D27">
        <v>2022</v>
      </c>
      <c r="E27" s="26">
        <f>0.75*INDEX('13 - Electrical Readings'!$H$8:$H$994,1+(2*(ROWS(A$1:A26)-1)))+INDEX('13 - Electrical Readings'!$Q$8:$Q$994,1+(2*(ROWS(A$1:A26)-1)))</f>
        <v>52430.75</v>
      </c>
      <c r="F27">
        <v>4.1000000000000002E-2</v>
      </c>
      <c r="G27" s="27">
        <f>0.75*INDEX('9 - Water Readings'!$F$8:$F$992,1+(2*(ROWS(A$1:A26)-1)))+INDEX('9 - Water Readings'!$M$8:$M$992,1+(2*(ROWS(A$1:A26)-1)))</f>
        <v>493.75</v>
      </c>
      <c r="H27" s="25">
        <v>1.5571912601017661</v>
      </c>
      <c r="I27" s="25">
        <f>'Submetering '!AA27</f>
        <v>127</v>
      </c>
      <c r="J27">
        <f>'Submetering '!AB27</f>
        <v>526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>
        <v>12</v>
      </c>
      <c r="D28">
        <v>2022</v>
      </c>
      <c r="E28" s="26">
        <f>0.75*INDEX('13 - Electrical Readings'!$H$8:$H$994,1+(2*(ROWS(A$1:A27)-1)))+INDEX('13 - Electrical Readings'!$Q$8:$Q$994,1+(2*(ROWS(A$1:A27)-1)))</f>
        <v>52424.75</v>
      </c>
      <c r="F28">
        <v>4.1000000000000002E-2</v>
      </c>
      <c r="G28" s="27">
        <f>0.75*INDEX('9 - Water Readings'!$F$8:$F$992,1+(2*(ROWS(A$1:A27)-1)))+INDEX('9 - Water Readings'!$M$8:$M$992,1+(2*(ROWS(A$1:A27)-1)))</f>
        <v>526</v>
      </c>
      <c r="H28" s="25">
        <v>1.5571912601017661</v>
      </c>
      <c r="I28" s="25">
        <f>'Submetering '!AA28</f>
        <v>122</v>
      </c>
      <c r="J28">
        <f>'Submetering '!AB28</f>
        <v>504</v>
      </c>
      <c r="K28">
        <f>'Submetering '!AC28</f>
        <v>0.4</v>
      </c>
    </row>
    <row r="29" spans="1:11" x14ac:dyDescent="0.25">
      <c r="A29" t="s">
        <v>11</v>
      </c>
      <c r="B29">
        <f t="shared" si="0"/>
        <v>28</v>
      </c>
      <c r="C29">
        <v>12</v>
      </c>
      <c r="D29">
        <v>2022</v>
      </c>
      <c r="E29" s="26">
        <f>0.75*INDEX('13 - Electrical Readings'!$H$8:$H$994,1+(2*(ROWS(A$1:A28)-1)))+INDEX('13 - Electrical Readings'!$Q$8:$Q$994,1+(2*(ROWS(A$1:A28)-1)))</f>
        <v>52151.25</v>
      </c>
      <c r="F29">
        <v>4.1000000000000002E-2</v>
      </c>
      <c r="G29" s="27">
        <f>0.75*INDEX('9 - Water Readings'!$F$8:$F$992,1+(2*(ROWS(A$1:A28)-1)))+INDEX('9 - Water Readings'!$M$8:$M$992,1+(2*(ROWS(A$1:A28)-1)))</f>
        <v>532</v>
      </c>
      <c r="H29" s="25">
        <v>1.5571912601017661</v>
      </c>
      <c r="I29" s="25">
        <f>'Submetering '!AA29</f>
        <v>138</v>
      </c>
      <c r="J29">
        <f>'Submetering '!AB29</f>
        <v>554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>
        <v>12</v>
      </c>
      <c r="D30">
        <v>2022</v>
      </c>
      <c r="E30" s="26">
        <f>0.75*INDEX('13 - Electrical Readings'!$H$8:$H$994,1+(2*(ROWS(A$1:A29)-1)))+INDEX('13 - Electrical Readings'!$Q$8:$Q$994,1+(2*(ROWS(A$1:A29)-1)))</f>
        <v>51622.25</v>
      </c>
      <c r="F30">
        <v>4.1000000000000002E-2</v>
      </c>
      <c r="G30" s="27">
        <f>0.75*INDEX('9 - Water Readings'!$F$8:$F$992,1+(2*(ROWS(A$1:A29)-1)))+INDEX('9 - Water Readings'!$M$8:$M$992,1+(2*(ROWS(A$1:A29)-1)))</f>
        <v>574</v>
      </c>
      <c r="H30" s="25">
        <v>1.5571912601017661</v>
      </c>
      <c r="I30" s="25">
        <f>'Submetering '!AA30</f>
        <v>164</v>
      </c>
      <c r="J30">
        <f>'Submetering '!AB30</f>
        <v>706</v>
      </c>
      <c r="K30">
        <f>'Submetering '!AC30</f>
        <v>0.3</v>
      </c>
    </row>
    <row r="31" spans="1:11" x14ac:dyDescent="0.25">
      <c r="A31" t="s">
        <v>11</v>
      </c>
      <c r="B31">
        <f>B30+1</f>
        <v>30</v>
      </c>
      <c r="C31">
        <v>12</v>
      </c>
      <c r="D31">
        <v>2022</v>
      </c>
      <c r="E31" s="26">
        <f>0.75*INDEX('13 - Electrical Readings'!$H$8:$H$994,1+(2*(ROWS(A$1:A30)-1)))+INDEX('13 - Electrical Readings'!$Q$8:$Q$994,1+(2*(ROWS(A$1:A30)-1)))</f>
        <v>52254</v>
      </c>
      <c r="F31">
        <v>4.1000000000000002E-2</v>
      </c>
      <c r="G31" s="27">
        <f>0.75*INDEX('9 - Water Readings'!$F$8:$F$992,1+(2*(ROWS(A$1:A30)-1)))+INDEX('9 - Water Readings'!$M$8:$M$992,1+(2*(ROWS(A$1:A30)-1)))</f>
        <v>562</v>
      </c>
      <c r="H31" s="25">
        <v>1.5571912601017661</v>
      </c>
      <c r="I31" s="25">
        <f>'Submetering '!AA31</f>
        <v>185</v>
      </c>
      <c r="J31">
        <f>'Submetering '!AB31</f>
        <v>790</v>
      </c>
      <c r="K31">
        <f>'Submetering '!AC31</f>
        <v>0.1</v>
      </c>
    </row>
    <row r="32" spans="1:11" x14ac:dyDescent="0.25">
      <c r="A32" t="s">
        <v>11</v>
      </c>
      <c r="B32">
        <f>B31+1</f>
        <v>31</v>
      </c>
      <c r="C32">
        <v>12</v>
      </c>
      <c r="D32">
        <v>2022</v>
      </c>
      <c r="E32" s="26">
        <f>0.75*INDEX('13 - Electrical Readings'!$H$8:$H$994,1+(2*(ROWS(A$1:A31)-1)))+INDEX('13 - Electrical Readings'!$Q$8:$Q$994,1+(2*(ROWS(A$1:A31)-1)))</f>
        <v>52565</v>
      </c>
      <c r="F32">
        <v>4.1000000000000002E-2</v>
      </c>
      <c r="G32" s="27">
        <f>0.75*INDEX('9 - Water Readings'!$F$8:$F$992,1+(2*(ROWS(A$1:A31)-1)))+INDEX('9 - Water Readings'!$M$8:$M$992,1+(2*(ROWS(A$1:A31)-1)))</f>
        <v>553.75</v>
      </c>
      <c r="H32" s="25">
        <v>1.5571912601017661</v>
      </c>
      <c r="I32" s="25">
        <f>'Submetering '!AA32</f>
        <v>196</v>
      </c>
      <c r="J32">
        <f>'Submetering '!AB32</f>
        <v>836</v>
      </c>
      <c r="K32">
        <f>'Submetering '!AC32</f>
        <v>0.2</v>
      </c>
    </row>
    <row r="33" spans="5:11" x14ac:dyDescent="0.25">
      <c r="E33" s="24">
        <f>SUM(E2:E32)</f>
        <v>1857136.25</v>
      </c>
      <c r="G33" s="24">
        <f>SUM(G2:G32)</f>
        <v>17222</v>
      </c>
      <c r="I33" s="24">
        <f>SUM(I2:I32)</f>
        <v>4852</v>
      </c>
      <c r="J33" s="24">
        <f>SUM(J2:J32)</f>
        <v>17006</v>
      </c>
      <c r="K33" s="24">
        <f>SUM(K2:K32)</f>
        <v>76.399999999999991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opLeftCell="B1" zoomScale="70" zoomScaleNormal="70" workbookViewId="0">
      <selection activeCell="M44" sqref="M44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12</v>
      </c>
      <c r="D2" s="33">
        <v>2022</v>
      </c>
      <c r="E2" s="34">
        <f>INDEX('13 - Electrical Readings'!$C$8:$C$960,1+(2*(ROWS(A$1:A1)-1)))</f>
        <v>13</v>
      </c>
      <c r="F2" s="34">
        <f>INDEX('13 - Electrical Readings'!$D$6:$D$960,1+(2*(ROWS(A$1:A2)-1)))</f>
        <v>6199</v>
      </c>
      <c r="G2" s="33">
        <f>INDEX('13 - Electrical Readings'!$E$6:$E$960,1+(2*(ROWS(A$1:A2)-1)))</f>
        <v>15335</v>
      </c>
      <c r="H2" s="33">
        <f>INDEX('13 - Electrical Readings'!$F$6:$F$960,1+(2*(ROWS(A$1:A2)-1)))</f>
        <v>3408</v>
      </c>
      <c r="I2" s="34">
        <f>INDEX('13 - Electrical Readings'!$G$6:$G$960,1+(2*(ROWS(A$1:A2)-1)))</f>
        <v>17</v>
      </c>
      <c r="J2" s="33">
        <f>INDEX('13 - Electrical Readings'!$I$6:$I$960,1+(2*(ROWS(A$1:A2)-1)))</f>
        <v>2191</v>
      </c>
      <c r="K2" s="33">
        <f>INDEX('13 - Electrical Readings'!$J$6:$J$960,1+(2*(ROWS(B$1:B2)-1)))</f>
        <v>10532</v>
      </c>
      <c r="L2" s="33">
        <f>INDEX('13 - Electrical Readings'!$K$6:$K$960,1+(2*(ROWS(C$1:C2)-1)))</f>
        <v>3648</v>
      </c>
      <c r="M2" s="33">
        <f>INDEX('13 - Electrical Readings'!$L$6:$L$960,1+(2*(ROWS(D$1:D2)-1)))</f>
        <v>4961</v>
      </c>
      <c r="N2" s="33">
        <f>INDEX('13 - Electrical Readings'!$M$6:$M$960,1+(2*(ROWS(E$1:E2)-1)))</f>
        <v>11146</v>
      </c>
      <c r="O2" s="34">
        <f>INDEX('13 - Electrical Readings'!$N$6:$N$960,1+(2*(ROWS(E$1:E2)-1)))</f>
        <v>8493</v>
      </c>
      <c r="P2" s="34">
        <f>INDEX('13 - Electrical Readings'!$O$6:$O$960,1+(2*(ROWS(E$1:E2)-1)))</f>
        <v>2330</v>
      </c>
      <c r="Q2" s="34">
        <f>INDEX('13 - Electrical Readings'!$P$6:$P$960,1+(2*(ROWS(E$1:E2)-1)))</f>
        <v>3270</v>
      </c>
      <c r="R2" s="34">
        <f>INDEX('9 - Water Readings'!$C$8:$C$962,1+(2*(ROWS(A$1:A1)-1)))</f>
        <v>0</v>
      </c>
      <c r="S2" s="34">
        <f>INDEX('9 - Water Readings'!$D$8:$D$961,1+(2*(ROWS(A$1:A1)-1)))</f>
        <v>0</v>
      </c>
      <c r="T2" s="34">
        <f>INDEX('9 - Water Readings'!$E$8:$E$962,1+(2*(ROWS(A$1:A1)-1)))</f>
        <v>0</v>
      </c>
      <c r="U2" s="34">
        <f>INDEX('9 - Water Readings'!$G$8:$G$961,1+(2*(ROWS(A$1:A1)-1)))</f>
        <v>118</v>
      </c>
      <c r="V2" s="34">
        <f>INDEX('9 - Water Readings'!$H$8:$H$962,1+(2*(ROWS(A$1:A1)-1)))</f>
        <v>23</v>
      </c>
      <c r="W2" s="34">
        <f>INDEX('9 - Water Readings'!$I$8:$I$962,1+(2*(ROWS(A$1:A1)-1)))</f>
        <v>78</v>
      </c>
      <c r="X2" s="34">
        <f>INDEX('9 - Water Readings'!$J$8:$J$962,1+(2*(ROWS(A$1:A1)-1)))</f>
        <v>321</v>
      </c>
      <c r="Y2" s="34">
        <f>INDEX('9 - Water Readings'!$K$8:$K$962,1+(2*(ROWS(A$1:A1)-1)))</f>
        <v>0</v>
      </c>
      <c r="Z2" s="34">
        <f>INDEX('9 - Water Readings'!$L$8:$L$962,1+(2*(ROWS(A$1:A1)-1)))</f>
        <v>38</v>
      </c>
      <c r="AA2" s="35">
        <f>'9 - Water Readings'!Q7</f>
        <v>203</v>
      </c>
      <c r="AB2" s="33">
        <f>'9 - Water Readings'!R7</f>
        <v>656</v>
      </c>
      <c r="AC2">
        <f>'9 - Water Readings'!S7</f>
        <v>5.0999999999999996</v>
      </c>
    </row>
    <row r="3" spans="1:29" x14ac:dyDescent="0.25">
      <c r="A3" s="36" t="s">
        <v>11</v>
      </c>
      <c r="B3" s="36">
        <f>B2+1</f>
        <v>2</v>
      </c>
      <c r="C3" s="36">
        <v>12</v>
      </c>
      <c r="D3" s="33">
        <v>2022</v>
      </c>
      <c r="E3" s="34">
        <f>INDEX('13 - Electrical Readings'!$C$8:$C$960,1+(2*(ROWS(A$1:A2)-1)))</f>
        <v>9</v>
      </c>
      <c r="F3" s="34">
        <f>INDEX('13 - Electrical Readings'!$D$6:$D$960,1+(2*(ROWS(A$1:A3)-1)))</f>
        <v>1968</v>
      </c>
      <c r="G3" s="33">
        <f>INDEX('13 - Electrical Readings'!$E$6:$E$960,1+(2*(ROWS(A$1:A3)-1)))</f>
        <v>14803</v>
      </c>
      <c r="H3" s="33">
        <f>INDEX('13 - Electrical Readings'!$F$6:$F$960,1+(2*(ROWS(A$1:A3)-1)))</f>
        <v>10090</v>
      </c>
      <c r="I3" s="34">
        <f>INDEX('13 - Electrical Readings'!$G$6:$G$960,1+(2*(ROWS(A$1:A3)-1)))</f>
        <v>14</v>
      </c>
      <c r="J3" s="33">
        <f>INDEX('13 - Electrical Readings'!$I$6:$I$960,1+(2*(ROWS(A$1:A3)-1)))</f>
        <v>2219</v>
      </c>
      <c r="K3" s="33">
        <f>INDEX('13 - Electrical Readings'!$J$6:$J$960,1+(2*(ROWS(B$1:B3)-1)))</f>
        <v>9726</v>
      </c>
      <c r="L3" s="33">
        <f>INDEX('13 - Electrical Readings'!$K$6:$K$960,1+(2*(ROWS(C$1:C3)-1)))</f>
        <v>3713</v>
      </c>
      <c r="M3" s="33">
        <f>INDEX('13 - Electrical Readings'!$L$6:$L$960,1+(2*(ROWS(D$1:D3)-1)))</f>
        <v>4957</v>
      </c>
      <c r="N3" s="33">
        <f>INDEX('13 - Electrical Readings'!$M$6:$M$960,1+(2*(ROWS(E$1:E3)-1)))</f>
        <v>11005</v>
      </c>
      <c r="O3" s="34">
        <f>INDEX('13 - Electrical Readings'!$N$6:$N$960,1+(2*(ROWS(E$1:E3)-1)))</f>
        <v>8695</v>
      </c>
      <c r="P3" s="34">
        <f>INDEX('13 - Electrical Readings'!$O$6:$O$960,1+(2*(ROWS(E$1:E3)-1)))</f>
        <v>2225</v>
      </c>
      <c r="Q3" s="34">
        <f>INDEX('13 - Electrical Readings'!$P$6:$P$960,1+(2*(ROWS(E$1:E3)-1)))</f>
        <v>3300</v>
      </c>
      <c r="R3" s="34">
        <f>INDEX('9 - Water Readings'!$C$8:$C$962,1+(2*(ROWS(A$1:A2)-1)))</f>
        <v>0</v>
      </c>
      <c r="S3" s="34">
        <f>INDEX('9 - Water Readings'!$D$8:$D$961,1+(2*(ROWS(A$1:A2)-1)))</f>
        <v>0</v>
      </c>
      <c r="T3" s="34">
        <f>INDEX('9 - Water Readings'!$E$8:$E$962,1+(2*(ROWS(A$1:A2)-1)))</f>
        <v>0</v>
      </c>
      <c r="U3" s="34">
        <f>INDEX('9 - Water Readings'!$G$8:$G$961,1+(2*(ROWS(A$1:A2)-1)))</f>
        <v>116</v>
      </c>
      <c r="V3" s="34">
        <f>INDEX('9 - Water Readings'!$H$8:$H$962,1+(2*(ROWS(A$1:A2)-1)))</f>
        <v>20</v>
      </c>
      <c r="W3" s="34">
        <f>INDEX('9 - Water Readings'!$I$8:$I$962,1+(2*(ROWS(A$1:A2)-1)))</f>
        <v>75</v>
      </c>
      <c r="X3" s="34">
        <f>INDEX('9 - Water Readings'!$J$8:$J$962,1+(2*(ROWS(A$1:A2)-1)))</f>
        <v>324</v>
      </c>
      <c r="Y3" s="34">
        <f>INDEX('9 - Water Readings'!$K$8:$K$962,1+(2*(ROWS(A$1:A2)-1)))</f>
        <v>0</v>
      </c>
      <c r="Z3" s="34">
        <f>INDEX('9 - Water Readings'!$L$8:$L$962,1+(2*(ROWS(A$1:A2)-1)))</f>
        <v>26</v>
      </c>
      <c r="AA3" s="35">
        <f>'9 - Water Readings'!Q8</f>
        <v>198</v>
      </c>
      <c r="AB3" s="33">
        <f>'9 - Water Readings'!R8</f>
        <v>648</v>
      </c>
      <c r="AC3">
        <f>'9 - Water Readings'!S8</f>
        <v>5.2</v>
      </c>
    </row>
    <row r="4" spans="1:29" x14ac:dyDescent="0.25">
      <c r="A4" s="36" t="s">
        <v>11</v>
      </c>
      <c r="B4" s="36">
        <f t="shared" ref="B4:B29" si="0">B3+1</f>
        <v>3</v>
      </c>
      <c r="C4" s="36">
        <v>12</v>
      </c>
      <c r="D4" s="33">
        <v>2022</v>
      </c>
      <c r="E4" s="34">
        <f>INDEX('13 - Electrical Readings'!$C$8:$C$960,1+(2*(ROWS(A$1:A3)-1)))</f>
        <v>12</v>
      </c>
      <c r="F4" s="34">
        <f>INDEX('13 - Electrical Readings'!$D$6:$D$960,1+(2*(ROWS(A$1:A4)-1)))</f>
        <v>916</v>
      </c>
      <c r="G4" s="33">
        <f>INDEX('13 - Electrical Readings'!$E$6:$E$960,1+(2*(ROWS(A$1:A4)-1)))</f>
        <v>14614</v>
      </c>
      <c r="H4" s="33">
        <f>INDEX('13 - Electrical Readings'!$F$6:$F$960,1+(2*(ROWS(A$1:A4)-1)))</f>
        <v>7462</v>
      </c>
      <c r="I4" s="34">
        <f>INDEX('13 - Electrical Readings'!$G$6:$G$960,1+(2*(ROWS(A$1:A4)-1)))</f>
        <v>16</v>
      </c>
      <c r="J4" s="33">
        <f>INDEX('13 - Electrical Readings'!$I$6:$I$960,1+(2*(ROWS(A$1:A4)-1)))</f>
        <v>2287</v>
      </c>
      <c r="K4" s="33">
        <f>INDEX('13 - Electrical Readings'!$J$6:$J$960,1+(2*(ROWS(B$1:B4)-1)))</f>
        <v>9999</v>
      </c>
      <c r="L4" s="33">
        <f>INDEX('13 - Electrical Readings'!$K$6:$K$960,1+(2*(ROWS(C$1:C4)-1)))</f>
        <v>3667</v>
      </c>
      <c r="M4" s="33">
        <f>INDEX('13 - Electrical Readings'!$L$6:$L$960,1+(2*(ROWS(D$1:D4)-1)))</f>
        <v>5100</v>
      </c>
      <c r="N4" s="33">
        <f>INDEX('13 - Electrical Readings'!$M$6:$M$960,1+(2*(ROWS(E$1:E4)-1)))</f>
        <v>11069</v>
      </c>
      <c r="O4" s="34">
        <f>INDEX('13 - Electrical Readings'!$N$6:$N$960,1+(2*(ROWS(E$1:E4)-1)))</f>
        <v>8800</v>
      </c>
      <c r="P4" s="34">
        <f>INDEX('13 - Electrical Readings'!$O$6:$O$960,1+(2*(ROWS(E$1:E4)-1)))</f>
        <v>2558</v>
      </c>
      <c r="Q4" s="34">
        <f>INDEX('13 - Electrical Readings'!$P$6:$P$960,1+(2*(ROWS(E$1:E4)-1)))</f>
        <v>3260</v>
      </c>
      <c r="R4" s="34">
        <f>INDEX('9 - Water Readings'!$C$8:$C$962,1+(2*(ROWS(A$1:A3)-1)))</f>
        <v>0</v>
      </c>
      <c r="S4" s="34">
        <f>INDEX('9 - Water Readings'!$D$8:$D$961,1+(2*(ROWS(A$1:A3)-1)))</f>
        <v>0</v>
      </c>
      <c r="T4" s="34">
        <f>INDEX('9 - Water Readings'!$E$8:$E$962,1+(2*(ROWS(A$1:A3)-1)))</f>
        <v>0</v>
      </c>
      <c r="U4" s="34">
        <f>INDEX('9 - Water Readings'!$G$8:$G$961,1+(2*(ROWS(A$1:A3)-1)))</f>
        <v>125</v>
      </c>
      <c r="V4" s="34">
        <f>INDEX('9 - Water Readings'!$H$8:$H$962,1+(2*(ROWS(A$1:A3)-1)))</f>
        <v>21</v>
      </c>
      <c r="W4" s="34">
        <f>INDEX('9 - Water Readings'!$I$8:$I$962,1+(2*(ROWS(A$1:A3)-1)))</f>
        <v>73</v>
      </c>
      <c r="X4" s="34">
        <f>INDEX('9 - Water Readings'!$J$8:$J$962,1+(2*(ROWS(A$1:A3)-1)))</f>
        <v>323</v>
      </c>
      <c r="Y4" s="34">
        <f>INDEX('9 - Water Readings'!$K$8:$K$962,1+(2*(ROWS(A$1:A3)-1)))</f>
        <v>0</v>
      </c>
      <c r="Z4" s="34">
        <f>INDEX('9 - Water Readings'!$L$8:$L$962,1+(2*(ROWS(A$1:A3)-1)))</f>
        <v>22</v>
      </c>
      <c r="AA4" s="35">
        <f>'9 - Water Readings'!Q9</f>
        <v>172</v>
      </c>
      <c r="AB4" s="33">
        <f>'9 - Water Readings'!R9</f>
        <v>562</v>
      </c>
      <c r="AC4">
        <f>'9 - Water Readings'!S9</f>
        <v>5.2</v>
      </c>
    </row>
    <row r="5" spans="1:29" x14ac:dyDescent="0.25">
      <c r="A5" s="36" t="s">
        <v>11</v>
      </c>
      <c r="B5" s="36">
        <f t="shared" si="0"/>
        <v>4</v>
      </c>
      <c r="C5" s="36">
        <v>12</v>
      </c>
      <c r="D5" s="33">
        <v>2022</v>
      </c>
      <c r="E5" s="34">
        <f>INDEX('13 - Electrical Readings'!$C$8:$C$960,1+(2*(ROWS(A$1:A4)-1)))</f>
        <v>3</v>
      </c>
      <c r="F5" s="34">
        <f>INDEX('13 - Electrical Readings'!$D$6:$D$960,1+(2*(ROWS(A$1:A5)-1)))</f>
        <v>7060</v>
      </c>
      <c r="G5" s="33">
        <f>INDEX('13 - Electrical Readings'!$E$6:$E$960,1+(2*(ROWS(A$1:A5)-1)))</f>
        <v>14728</v>
      </c>
      <c r="H5" s="33">
        <f>INDEX('13 - Electrical Readings'!$F$6:$F$960,1+(2*(ROWS(A$1:A5)-1)))</f>
        <v>3300</v>
      </c>
      <c r="I5" s="34">
        <f>INDEX('13 - Electrical Readings'!$G$6:$G$960,1+(2*(ROWS(A$1:A5)-1)))</f>
        <v>16</v>
      </c>
      <c r="J5" s="33">
        <f>INDEX('13 - Electrical Readings'!$I$6:$I$960,1+(2*(ROWS(A$1:A5)-1)))</f>
        <v>2151</v>
      </c>
      <c r="K5" s="33">
        <f>INDEX('13 - Electrical Readings'!$J$6:$J$960,1+(2*(ROWS(B$1:B5)-1)))</f>
        <v>9862</v>
      </c>
      <c r="L5" s="33">
        <f>INDEX('13 - Electrical Readings'!$K$6:$K$960,1+(2*(ROWS(C$1:C5)-1)))</f>
        <v>3698</v>
      </c>
      <c r="M5" s="33">
        <f>INDEX('13 - Electrical Readings'!$L$6:$L$960,1+(2*(ROWS(D$1:D5)-1)))</f>
        <v>5047</v>
      </c>
      <c r="N5" s="33">
        <f>INDEX('13 - Electrical Readings'!$M$6:$M$960,1+(2*(ROWS(E$1:E5)-1)))</f>
        <v>10989</v>
      </c>
      <c r="O5" s="34">
        <f>INDEX('13 - Electrical Readings'!$N$6:$N$960,1+(2*(ROWS(E$1:E5)-1)))</f>
        <v>8415</v>
      </c>
      <c r="P5" s="34">
        <f>INDEX('13 - Electrical Readings'!$O$6:$O$960,1+(2*(ROWS(E$1:E5)-1)))</f>
        <v>2525</v>
      </c>
      <c r="Q5" s="34">
        <f>INDEX('13 - Electrical Readings'!$P$6:$P$960,1+(2*(ROWS(E$1:E5)-1)))</f>
        <v>3220</v>
      </c>
      <c r="R5" s="34">
        <f>INDEX('9 - Water Readings'!$C$8:$C$962,1+(2*(ROWS(A$1:A4)-1)))</f>
        <v>0</v>
      </c>
      <c r="S5" s="34">
        <f>INDEX('9 - Water Readings'!$D$8:$D$961,1+(2*(ROWS(A$1:A4)-1)))</f>
        <v>0</v>
      </c>
      <c r="T5" s="34">
        <f>INDEX('9 - Water Readings'!$E$8:$E$962,1+(2*(ROWS(A$1:A4)-1)))</f>
        <v>0</v>
      </c>
      <c r="U5" s="34">
        <f>INDEX('9 - Water Readings'!$G$8:$G$961,1+(2*(ROWS(A$1:A4)-1)))</f>
        <v>119</v>
      </c>
      <c r="V5" s="34">
        <f>INDEX('9 - Water Readings'!$H$8:$H$962,1+(2*(ROWS(A$1:A4)-1)))</f>
        <v>21</v>
      </c>
      <c r="W5" s="34">
        <f>INDEX('9 - Water Readings'!$I$8:$I$962,1+(2*(ROWS(A$1:A4)-1)))</f>
        <v>70</v>
      </c>
      <c r="X5" s="34">
        <f>INDEX('9 - Water Readings'!$J$8:$J$962,1+(2*(ROWS(A$1:A4)-1)))</f>
        <v>290</v>
      </c>
      <c r="Y5" s="34">
        <f>INDEX('9 - Water Readings'!$K$8:$K$962,1+(2*(ROWS(A$1:A4)-1)))</f>
        <v>0</v>
      </c>
      <c r="Z5" s="34">
        <f>INDEX('9 - Water Readings'!$L$8:$L$962,1+(2*(ROWS(A$1:A4)-1)))</f>
        <v>30</v>
      </c>
      <c r="AA5" s="35">
        <f>'9 - Water Readings'!Q10</f>
        <v>147</v>
      </c>
      <c r="AB5" s="33">
        <f>'9 - Water Readings'!R10</f>
        <v>494</v>
      </c>
      <c r="AC5">
        <f>'9 - Water Readings'!S10</f>
        <v>4.8</v>
      </c>
    </row>
    <row r="6" spans="1:29" x14ac:dyDescent="0.25">
      <c r="A6" s="36" t="s">
        <v>11</v>
      </c>
      <c r="B6" s="36">
        <f t="shared" si="0"/>
        <v>5</v>
      </c>
      <c r="C6" s="36">
        <v>12</v>
      </c>
      <c r="D6" s="33">
        <v>2022</v>
      </c>
      <c r="E6" s="34">
        <f>INDEX('13 - Electrical Readings'!$C$8:$C$960,1+(2*(ROWS(A$1:A5)-1)))</f>
        <v>11</v>
      </c>
      <c r="F6" s="34">
        <f>INDEX('13 - Electrical Readings'!$D$6:$D$960,1+(2*(ROWS(A$1:A6)-1)))</f>
        <v>7120</v>
      </c>
      <c r="G6" s="33">
        <f>INDEX('13 - Electrical Readings'!$E$6:$E$960,1+(2*(ROWS(A$1:A6)-1)))</f>
        <v>14527</v>
      </c>
      <c r="H6" s="33">
        <f>INDEX('13 - Electrical Readings'!$F$6:$F$960,1+(2*(ROWS(A$1:A6)-1)))</f>
        <v>3179</v>
      </c>
      <c r="I6" s="34">
        <f>INDEX('13 - Electrical Readings'!$G$6:$G$960,1+(2*(ROWS(A$1:A6)-1)))</f>
        <v>14</v>
      </c>
      <c r="J6" s="33">
        <f>INDEX('13 - Electrical Readings'!$I$6:$I$960,1+(2*(ROWS(A$1:A6)-1)))</f>
        <v>2198</v>
      </c>
      <c r="K6" s="33">
        <f>INDEX('13 - Electrical Readings'!$J$6:$J$960,1+(2*(ROWS(B$1:B6)-1)))</f>
        <v>9874</v>
      </c>
      <c r="L6" s="33">
        <f>INDEX('13 - Electrical Readings'!$K$6:$K$960,1+(2*(ROWS(C$1:C6)-1)))</f>
        <v>3625</v>
      </c>
      <c r="M6" s="33">
        <f>INDEX('13 - Electrical Readings'!$L$6:$L$960,1+(2*(ROWS(D$1:D6)-1)))</f>
        <v>5034</v>
      </c>
      <c r="N6" s="33">
        <f>INDEX('13 - Electrical Readings'!$M$6:$M$960,1+(2*(ROWS(E$1:E6)-1)))</f>
        <v>11076</v>
      </c>
      <c r="O6" s="34">
        <f>INDEX('13 - Electrical Readings'!$N$6:$N$960,1+(2*(ROWS(E$1:E6)-1)))</f>
        <v>8456</v>
      </c>
      <c r="P6" s="34">
        <f>INDEX('13 - Electrical Readings'!$O$6:$O$960,1+(2*(ROWS(E$1:E6)-1)))</f>
        <v>2328</v>
      </c>
      <c r="Q6" s="34">
        <f>INDEX('13 - Electrical Readings'!$P$6:$P$960,1+(2*(ROWS(E$1:E6)-1)))</f>
        <v>3170</v>
      </c>
      <c r="R6" s="34">
        <f>INDEX('9 - Water Readings'!$C$8:$C$962,1+(2*(ROWS(A$1:A5)-1)))</f>
        <v>0</v>
      </c>
      <c r="S6" s="34">
        <f>INDEX('9 - Water Readings'!$D$8:$D$961,1+(2*(ROWS(A$1:A5)-1)))</f>
        <v>1</v>
      </c>
      <c r="T6" s="34">
        <f>INDEX('9 - Water Readings'!$E$8:$E$962,1+(2*(ROWS(A$1:A5)-1)))</f>
        <v>0</v>
      </c>
      <c r="U6" s="34">
        <f>INDEX('9 - Water Readings'!$G$8:$G$961,1+(2*(ROWS(A$1:A5)-1)))</f>
        <v>118</v>
      </c>
      <c r="V6" s="34">
        <f>INDEX('9 - Water Readings'!$H$8:$H$962,1+(2*(ROWS(A$1:A5)-1)))</f>
        <v>19</v>
      </c>
      <c r="W6" s="34">
        <f>INDEX('9 - Water Readings'!$I$8:$I$962,1+(2*(ROWS(A$1:A5)-1)))</f>
        <v>66</v>
      </c>
      <c r="X6" s="34">
        <f>INDEX('9 - Water Readings'!$J$8:$J$962,1+(2*(ROWS(A$1:A5)-1)))</f>
        <v>309</v>
      </c>
      <c r="Y6" s="34">
        <f>INDEX('9 - Water Readings'!$K$8:$K$962,1+(2*(ROWS(A$1:A5)-1)))</f>
        <v>0</v>
      </c>
      <c r="Z6" s="34">
        <f>INDEX('9 - Water Readings'!$L$8:$L$962,1+(2*(ROWS(A$1:A5)-1)))</f>
        <v>27</v>
      </c>
      <c r="AA6" s="35">
        <f>'9 - Water Readings'!Q11</f>
        <v>125</v>
      </c>
      <c r="AB6" s="33">
        <f>'9 - Water Readings'!R11</f>
        <v>418</v>
      </c>
      <c r="AC6">
        <f>'9 - Water Readings'!S11</f>
        <v>4.5</v>
      </c>
    </row>
    <row r="7" spans="1:29" x14ac:dyDescent="0.25">
      <c r="A7" s="36" t="s">
        <v>11</v>
      </c>
      <c r="B7" s="36">
        <f t="shared" si="0"/>
        <v>6</v>
      </c>
      <c r="C7" s="36">
        <v>12</v>
      </c>
      <c r="D7" s="33">
        <v>2022</v>
      </c>
      <c r="E7" s="34">
        <f>INDEX('13 - Electrical Readings'!$C$8:$C$960,1+(2*(ROWS(A$1:A6)-1)))</f>
        <v>4</v>
      </c>
      <c r="F7" s="34">
        <f>INDEX('13 - Electrical Readings'!$D$6:$D$960,1+(2*(ROWS(A$1:A7)-1)))</f>
        <v>10665</v>
      </c>
      <c r="G7" s="33">
        <f>INDEX('13 - Electrical Readings'!$E$6:$E$960,1+(2*(ROWS(A$1:A7)-1)))</f>
        <v>13985</v>
      </c>
      <c r="H7" s="33">
        <f>INDEX('13 - Electrical Readings'!$F$6:$F$960,1+(2*(ROWS(A$1:A7)-1)))</f>
        <v>3555</v>
      </c>
      <c r="I7" s="34">
        <f>INDEX('13 - Electrical Readings'!$G$6:$G$960,1+(2*(ROWS(A$1:A7)-1)))</f>
        <v>17</v>
      </c>
      <c r="J7" s="33">
        <f>INDEX('13 - Electrical Readings'!$I$6:$I$960,1+(2*(ROWS(A$1:A7)-1)))</f>
        <v>2173</v>
      </c>
      <c r="K7" s="33">
        <f>INDEX('13 - Electrical Readings'!$J$6:$J$960,1+(2*(ROWS(B$1:B7)-1)))</f>
        <v>9851</v>
      </c>
      <c r="L7" s="33">
        <f>INDEX('13 - Electrical Readings'!$K$6:$K$960,1+(2*(ROWS(C$1:C7)-1)))</f>
        <v>3685</v>
      </c>
      <c r="M7" s="33">
        <f>INDEX('13 - Electrical Readings'!$L$6:$L$960,1+(2*(ROWS(D$1:D7)-1)))</f>
        <v>5029</v>
      </c>
      <c r="N7" s="33">
        <f>INDEX('13 - Electrical Readings'!$M$6:$M$960,1+(2*(ROWS(E$1:E7)-1)))</f>
        <v>11554</v>
      </c>
      <c r="O7" s="34">
        <f>INDEX('13 - Electrical Readings'!$N$6:$N$960,1+(2*(ROWS(E$1:E7)-1)))</f>
        <v>8659</v>
      </c>
      <c r="P7" s="34">
        <f>INDEX('13 - Electrical Readings'!$O$6:$O$960,1+(2*(ROWS(E$1:E7)-1)))</f>
        <v>2505</v>
      </c>
      <c r="Q7" s="34">
        <f>INDEX('13 - Electrical Readings'!$P$6:$P$960,1+(2*(ROWS(E$1:E7)-1)))</f>
        <v>3120</v>
      </c>
      <c r="R7" s="34">
        <f>INDEX('9 - Water Readings'!$C$8:$C$962,1+(2*(ROWS(A$1:A6)-1)))</f>
        <v>0</v>
      </c>
      <c r="S7" s="34">
        <f>INDEX('9 - Water Readings'!$D$8:$D$961,1+(2*(ROWS(A$1:A6)-1)))</f>
        <v>0</v>
      </c>
      <c r="T7" s="34">
        <f>INDEX('9 - Water Readings'!$E$8:$E$962,1+(2*(ROWS(A$1:A6)-1)))</f>
        <v>0</v>
      </c>
      <c r="U7" s="34">
        <f>INDEX('9 - Water Readings'!$G$8:$G$961,1+(2*(ROWS(A$1:A6)-1)))</f>
        <v>118</v>
      </c>
      <c r="V7" s="34">
        <f>INDEX('9 - Water Readings'!$H$8:$H$962,1+(2*(ROWS(A$1:A6)-1)))</f>
        <v>17</v>
      </c>
      <c r="W7" s="34">
        <f>INDEX('9 - Water Readings'!$I$8:$I$962,1+(2*(ROWS(A$1:A6)-1)))</f>
        <v>61</v>
      </c>
      <c r="X7" s="34">
        <f>INDEX('9 - Water Readings'!$J$8:$J$962,1+(2*(ROWS(A$1:A6)-1)))</f>
        <v>293</v>
      </c>
      <c r="Y7" s="34">
        <f>INDEX('9 - Water Readings'!$K$8:$K$962,1+(2*(ROWS(A$1:A6)-1)))</f>
        <v>0</v>
      </c>
      <c r="Z7" s="34">
        <f>INDEX('9 - Water Readings'!$L$8:$L$962,1+(2*(ROWS(A$1:A6)-1)))</f>
        <v>32</v>
      </c>
      <c r="AA7" s="35">
        <f>'9 - Water Readings'!Q12</f>
        <v>136</v>
      </c>
      <c r="AB7" s="33">
        <f>'9 - Water Readings'!R12</f>
        <v>442</v>
      </c>
      <c r="AC7">
        <f>'9 - Water Readings'!S12</f>
        <v>5</v>
      </c>
    </row>
    <row r="8" spans="1:29" x14ac:dyDescent="0.25">
      <c r="A8" s="36" t="s">
        <v>11</v>
      </c>
      <c r="B8" s="36">
        <f t="shared" si="0"/>
        <v>7</v>
      </c>
      <c r="C8" s="36">
        <v>12</v>
      </c>
      <c r="D8" s="33">
        <v>2022</v>
      </c>
      <c r="E8" s="34">
        <f>INDEX('13 - Electrical Readings'!$C$8:$C$960,1+(2*(ROWS(A$1:A7)-1)))</f>
        <v>11</v>
      </c>
      <c r="F8" s="34">
        <f>INDEX('13 - Electrical Readings'!$D$6:$D$960,1+(2*(ROWS(A$1:A8)-1)))</f>
        <v>11894</v>
      </c>
      <c r="G8" s="33">
        <f>INDEX('13 - Electrical Readings'!$E$6:$E$960,1+(2*(ROWS(A$1:A8)-1)))</f>
        <v>11814</v>
      </c>
      <c r="H8" s="33">
        <f>INDEX('13 - Electrical Readings'!$F$6:$F$960,1+(2*(ROWS(A$1:A8)-1)))</f>
        <v>3613</v>
      </c>
      <c r="I8" s="34">
        <f>INDEX('13 - Electrical Readings'!$G$6:$G$960,1+(2*(ROWS(A$1:A8)-1)))</f>
        <v>14</v>
      </c>
      <c r="J8" s="33">
        <f>INDEX('13 - Electrical Readings'!$I$6:$I$960,1+(2*(ROWS(A$1:A8)-1)))</f>
        <v>2002</v>
      </c>
      <c r="K8" s="33">
        <f>INDEX('13 - Electrical Readings'!$J$6:$J$960,1+(2*(ROWS(B$1:B8)-1)))</f>
        <v>9973</v>
      </c>
      <c r="L8" s="33">
        <f>INDEX('13 - Electrical Readings'!$K$6:$K$960,1+(2*(ROWS(C$1:C8)-1)))</f>
        <v>3588</v>
      </c>
      <c r="M8" s="33">
        <f>INDEX('13 - Electrical Readings'!$L$6:$L$960,1+(2*(ROWS(D$1:D8)-1)))</f>
        <v>4993</v>
      </c>
      <c r="N8" s="33">
        <f>INDEX('13 - Electrical Readings'!$M$6:$M$960,1+(2*(ROWS(E$1:E8)-1)))</f>
        <v>11628</v>
      </c>
      <c r="O8" s="34">
        <f>INDEX('13 - Electrical Readings'!$N$6:$N$960,1+(2*(ROWS(E$1:E8)-1)))</f>
        <v>8750</v>
      </c>
      <c r="P8" s="34">
        <f>INDEX('13 - Electrical Readings'!$O$6:$O$960,1+(2*(ROWS(E$1:E8)-1)))</f>
        <v>2459</v>
      </c>
      <c r="Q8" s="34">
        <f>INDEX('13 - Electrical Readings'!$P$6:$P$960,1+(2*(ROWS(E$1:E8)-1)))</f>
        <v>3110</v>
      </c>
      <c r="R8" s="34">
        <f>INDEX('9 - Water Readings'!$C$8:$C$962,1+(2*(ROWS(A$1:A7)-1)))</f>
        <v>0</v>
      </c>
      <c r="S8" s="34">
        <f>INDEX('9 - Water Readings'!$D$8:$D$961,1+(2*(ROWS(A$1:A7)-1)))</f>
        <v>1</v>
      </c>
      <c r="T8" s="34">
        <f>INDEX('9 - Water Readings'!$E$8:$E$962,1+(2*(ROWS(A$1:A7)-1)))</f>
        <v>0</v>
      </c>
      <c r="U8" s="34">
        <f>INDEX('9 - Water Readings'!$G$8:$G$961,1+(2*(ROWS(A$1:A7)-1)))</f>
        <v>120</v>
      </c>
      <c r="V8" s="34">
        <f>INDEX('9 - Water Readings'!$H$8:$H$962,1+(2*(ROWS(A$1:A7)-1)))</f>
        <v>21</v>
      </c>
      <c r="W8" s="34">
        <f>INDEX('9 - Water Readings'!$I$8:$I$962,1+(2*(ROWS(A$1:A7)-1)))</f>
        <v>71</v>
      </c>
      <c r="X8" s="34">
        <f>INDEX('9 - Water Readings'!$J$8:$J$962,1+(2*(ROWS(A$1:A7)-1)))</f>
        <v>302</v>
      </c>
      <c r="Y8" s="34">
        <f>INDEX('9 - Water Readings'!$K$8:$K$962,1+(2*(ROWS(A$1:A7)-1)))</f>
        <v>0</v>
      </c>
      <c r="Z8" s="34">
        <f>INDEX('9 - Water Readings'!$L$8:$L$962,1+(2*(ROWS(A$1:A7)-1)))</f>
        <v>33</v>
      </c>
      <c r="AA8" s="35">
        <f>'9 - Water Readings'!Q13</f>
        <v>116</v>
      </c>
      <c r="AB8" s="33">
        <f>'9 - Water Readings'!R13</f>
        <v>356</v>
      </c>
      <c r="AC8">
        <f>'9 - Water Readings'!S13</f>
        <v>5.2</v>
      </c>
    </row>
    <row r="9" spans="1:29" x14ac:dyDescent="0.25">
      <c r="A9" s="36" t="s">
        <v>11</v>
      </c>
      <c r="B9" s="36">
        <f t="shared" si="0"/>
        <v>8</v>
      </c>
      <c r="C9" s="36">
        <v>12</v>
      </c>
      <c r="D9" s="33">
        <v>2022</v>
      </c>
      <c r="E9" s="34">
        <f>INDEX('13 - Electrical Readings'!$C$8:$C$960,1+(2*(ROWS(A$1:A8)-1)))</f>
        <v>7</v>
      </c>
      <c r="F9" s="34">
        <f>INDEX('13 - Electrical Readings'!$D$6:$D$960,1+(2*(ROWS(A$1:A9)-1)))</f>
        <v>10998</v>
      </c>
      <c r="G9" s="33">
        <f>INDEX('13 - Electrical Readings'!$E$6:$E$960,1+(2*(ROWS(A$1:A9)-1)))</f>
        <v>5216</v>
      </c>
      <c r="H9" s="33">
        <f>INDEX('13 - Electrical Readings'!$F$6:$F$960,1+(2*(ROWS(A$1:A9)-1)))</f>
        <v>10094</v>
      </c>
      <c r="I9" s="34">
        <f>INDEX('13 - Electrical Readings'!$G$6:$G$960,1+(2*(ROWS(A$1:A9)-1)))</f>
        <v>18</v>
      </c>
      <c r="J9" s="33">
        <f>INDEX('13 - Electrical Readings'!$I$6:$I$960,1+(2*(ROWS(A$1:A9)-1)))</f>
        <v>2100</v>
      </c>
      <c r="K9" s="33">
        <f>INDEX('13 - Electrical Readings'!$J$6:$J$960,1+(2*(ROWS(B$1:B9)-1)))</f>
        <v>10220</v>
      </c>
      <c r="L9" s="33">
        <f>INDEX('13 - Electrical Readings'!$K$6:$K$960,1+(2*(ROWS(C$1:C9)-1)))</f>
        <v>3688</v>
      </c>
      <c r="M9" s="33">
        <f>INDEX('13 - Electrical Readings'!$L$6:$L$960,1+(2*(ROWS(D$1:D9)-1)))</f>
        <v>5136</v>
      </c>
      <c r="N9" s="33">
        <f>INDEX('13 - Electrical Readings'!$M$6:$M$960,1+(2*(ROWS(E$1:E9)-1)))</f>
        <v>11926</v>
      </c>
      <c r="O9" s="34">
        <f>INDEX('13 - Electrical Readings'!$N$6:$N$960,1+(2*(ROWS(E$1:E9)-1)))</f>
        <v>8712</v>
      </c>
      <c r="P9" s="34">
        <f>INDEX('13 - Electrical Readings'!$O$6:$O$960,1+(2*(ROWS(E$1:E9)-1)))</f>
        <v>2488</v>
      </c>
      <c r="Q9" s="34">
        <f>INDEX('13 - Electrical Readings'!$P$6:$P$960,1+(2*(ROWS(E$1:E9)-1)))</f>
        <v>3170</v>
      </c>
      <c r="R9" s="34">
        <f>INDEX('9 - Water Readings'!$C$8:$C$962,1+(2*(ROWS(A$1:A8)-1)))</f>
        <v>0</v>
      </c>
      <c r="S9" s="34">
        <f>INDEX('9 - Water Readings'!$D$8:$D$961,1+(2*(ROWS(A$1:A8)-1)))</f>
        <v>0</v>
      </c>
      <c r="T9" s="34">
        <f>INDEX('9 - Water Readings'!$E$8:$E$962,1+(2*(ROWS(A$1:A8)-1)))</f>
        <v>0</v>
      </c>
      <c r="U9" s="34">
        <f>INDEX('9 - Water Readings'!$G$8:$G$961,1+(2*(ROWS(A$1:A8)-1)))</f>
        <v>122</v>
      </c>
      <c r="V9" s="34">
        <f>INDEX('9 - Water Readings'!$H$8:$H$962,1+(2*(ROWS(A$1:A8)-1)))</f>
        <v>23</v>
      </c>
      <c r="W9" s="34">
        <f>INDEX('9 - Water Readings'!$I$8:$I$962,1+(2*(ROWS(A$1:A8)-1)))</f>
        <v>74</v>
      </c>
      <c r="X9" s="34">
        <f>INDEX('9 - Water Readings'!$J$8:$J$962,1+(2*(ROWS(A$1:A8)-1)))</f>
        <v>325</v>
      </c>
      <c r="Y9" s="34">
        <f>INDEX('9 - Water Readings'!$K$8:$K$962,1+(2*(ROWS(A$1:A8)-1)))</f>
        <v>0</v>
      </c>
      <c r="Z9" s="34">
        <f>INDEX('9 - Water Readings'!$L$8:$L$962,1+(2*(ROWS(A$1:A8)-1)))</f>
        <v>32</v>
      </c>
      <c r="AA9" s="35">
        <f>'9 - Water Readings'!Q14</f>
        <v>158</v>
      </c>
      <c r="AB9" s="33">
        <f>'9 - Water Readings'!R14</f>
        <v>534</v>
      </c>
      <c r="AC9">
        <f>'9 - Water Readings'!S14</f>
        <v>4.7</v>
      </c>
    </row>
    <row r="10" spans="1:29" x14ac:dyDescent="0.25">
      <c r="A10" s="36" t="s">
        <v>11</v>
      </c>
      <c r="B10" s="36">
        <f t="shared" si="0"/>
        <v>9</v>
      </c>
      <c r="C10" s="36">
        <v>12</v>
      </c>
      <c r="D10" s="33">
        <v>2022</v>
      </c>
      <c r="E10" s="34">
        <f>INDEX('13 - Electrical Readings'!$C$8:$C$960,1+(2*(ROWS(A$1:A9)-1)))</f>
        <v>4</v>
      </c>
      <c r="F10" s="34">
        <f>INDEX('13 - Electrical Readings'!$D$6:$D$960,1+(2*(ROWS(A$1:A10)-1)))</f>
        <v>901</v>
      </c>
      <c r="G10" s="33">
        <f>INDEX('13 - Electrical Readings'!$E$6:$E$960,1+(2*(ROWS(A$1:A10)-1)))</f>
        <v>9539</v>
      </c>
      <c r="H10" s="33">
        <f>INDEX('13 - Electrical Readings'!$F$6:$F$960,1+(2*(ROWS(A$1:A10)-1)))</f>
        <v>8600</v>
      </c>
      <c r="I10" s="34">
        <f>INDEX('13 - Electrical Readings'!$G$6:$G$960,1+(2*(ROWS(A$1:A10)-1)))</f>
        <v>15</v>
      </c>
      <c r="J10" s="33">
        <f>INDEX('13 - Electrical Readings'!$I$6:$I$960,1+(2*(ROWS(A$1:A10)-1)))</f>
        <v>2241</v>
      </c>
      <c r="K10" s="33">
        <f>INDEX('13 - Electrical Readings'!$J$6:$J$960,1+(2*(ROWS(B$1:B10)-1)))</f>
        <v>9873</v>
      </c>
      <c r="L10" s="33">
        <f>INDEX('13 - Electrical Readings'!$K$6:$K$960,1+(2*(ROWS(C$1:C10)-1)))</f>
        <v>3561</v>
      </c>
      <c r="M10" s="33">
        <f>INDEX('13 - Electrical Readings'!$L$6:$L$960,1+(2*(ROWS(D$1:D10)-1)))</f>
        <v>5114</v>
      </c>
      <c r="N10" s="33">
        <f>INDEX('13 - Electrical Readings'!$M$6:$M$960,1+(2*(ROWS(E$1:E10)-1)))</f>
        <v>10743</v>
      </c>
      <c r="O10" s="34">
        <f>INDEX('13 - Electrical Readings'!$N$6:$N$960,1+(2*(ROWS(E$1:E10)-1)))</f>
        <v>7984</v>
      </c>
      <c r="P10" s="34">
        <f>INDEX('13 - Electrical Readings'!$O$6:$O$960,1+(2*(ROWS(E$1:E10)-1)))</f>
        <v>2183</v>
      </c>
      <c r="Q10" s="34">
        <f>INDEX('13 - Electrical Readings'!$P$6:$P$960,1+(2*(ROWS(E$1:E10)-1)))</f>
        <v>3000</v>
      </c>
      <c r="R10" s="34">
        <f>INDEX('9 - Water Readings'!$C$8:$C$962,1+(2*(ROWS(A$1:A9)-1)))</f>
        <v>0</v>
      </c>
      <c r="S10" s="34">
        <f>INDEX('9 - Water Readings'!$D$8:$D$961,1+(2*(ROWS(A$1:A9)-1)))</f>
        <v>0</v>
      </c>
      <c r="T10" s="34">
        <f>INDEX('9 - Water Readings'!$E$8:$E$962,1+(2*(ROWS(A$1:A9)-1)))</f>
        <v>0</v>
      </c>
      <c r="U10" s="34">
        <f>INDEX('9 - Water Readings'!$G$8:$G$961,1+(2*(ROWS(A$1:A9)-1)))</f>
        <v>119</v>
      </c>
      <c r="V10" s="34">
        <f>INDEX('9 - Water Readings'!$H$8:$H$962,1+(2*(ROWS(A$1:A9)-1)))</f>
        <v>23</v>
      </c>
      <c r="W10" s="34">
        <f>INDEX('9 - Water Readings'!$I$8:$I$962,1+(2*(ROWS(A$1:A9)-1)))</f>
        <v>70</v>
      </c>
      <c r="X10" s="34">
        <f>INDEX('9 - Water Readings'!$J$8:$J$962,1+(2*(ROWS(A$1:A9)-1)))</f>
        <v>297</v>
      </c>
      <c r="Y10" s="34">
        <f>INDEX('9 - Water Readings'!$K$8:$K$962,1+(2*(ROWS(A$1:A9)-1)))</f>
        <v>0</v>
      </c>
      <c r="Z10" s="34">
        <f>INDEX('9 - Water Readings'!$L$8:$L$962,1+(2*(ROWS(A$1:A9)-1)))</f>
        <v>23</v>
      </c>
      <c r="AA10" s="35">
        <f>'9 - Water Readings'!Q15</f>
        <v>215</v>
      </c>
      <c r="AB10" s="33">
        <f>'9 - Water Readings'!R15</f>
        <v>754</v>
      </c>
      <c r="AC10">
        <f>'9 - Water Readings'!S15</f>
        <v>3.3</v>
      </c>
    </row>
    <row r="11" spans="1:29" x14ac:dyDescent="0.25">
      <c r="A11" s="36" t="s">
        <v>11</v>
      </c>
      <c r="B11" s="36">
        <f t="shared" si="0"/>
        <v>10</v>
      </c>
      <c r="C11" s="36">
        <v>12</v>
      </c>
      <c r="D11" s="33">
        <v>2022</v>
      </c>
      <c r="E11" s="34">
        <f>INDEX('13 - Electrical Readings'!$C$8:$C$960,1+(2*(ROWS(A$1:A10)-1)))</f>
        <v>12</v>
      </c>
      <c r="F11" s="34">
        <f>INDEX('13 - Electrical Readings'!$D$6:$D$960,1+(2*(ROWS(A$1:A11)-1)))</f>
        <v>936</v>
      </c>
      <c r="G11" s="33">
        <f>INDEX('13 - Electrical Readings'!$E$6:$E$960,1+(2*(ROWS(A$1:A11)-1)))</f>
        <v>13260</v>
      </c>
      <c r="H11" s="33">
        <f>INDEX('13 - Electrical Readings'!$F$6:$F$960,1+(2*(ROWS(A$1:A11)-1)))</f>
        <v>2407</v>
      </c>
      <c r="I11" s="34">
        <f>INDEX('13 - Electrical Readings'!$G$6:$G$960,1+(2*(ROWS(A$1:A11)-1)))</f>
        <v>18</v>
      </c>
      <c r="J11" s="33">
        <f>INDEX('13 - Electrical Readings'!$I$6:$I$960,1+(2*(ROWS(A$1:A11)-1)))</f>
        <v>2103</v>
      </c>
      <c r="K11" s="33">
        <f>INDEX('13 - Electrical Readings'!$J$6:$J$960,1+(2*(ROWS(B$1:B11)-1)))</f>
        <v>10004</v>
      </c>
      <c r="L11" s="33">
        <f>INDEX('13 - Electrical Readings'!$K$6:$K$960,1+(2*(ROWS(C$1:C11)-1)))</f>
        <v>3569</v>
      </c>
      <c r="M11" s="33">
        <f>INDEX('13 - Electrical Readings'!$L$6:$L$960,1+(2*(ROWS(D$1:D11)-1)))</f>
        <v>5101</v>
      </c>
      <c r="N11" s="33">
        <f>INDEX('13 - Electrical Readings'!$M$6:$M$960,1+(2*(ROWS(E$1:E11)-1)))</f>
        <v>11457</v>
      </c>
      <c r="O11" s="34">
        <f>INDEX('13 - Electrical Readings'!$N$6:$N$960,1+(2*(ROWS(E$1:E11)-1)))</f>
        <v>7351</v>
      </c>
      <c r="P11" s="34">
        <f>INDEX('13 - Electrical Readings'!$O$6:$O$960,1+(2*(ROWS(E$1:E11)-1)))</f>
        <v>2022</v>
      </c>
      <c r="Q11" s="34">
        <f>INDEX('13 - Electrical Readings'!$P$6:$P$960,1+(2*(ROWS(E$1:E11)-1)))</f>
        <v>3070</v>
      </c>
      <c r="R11" s="34">
        <f>INDEX('9 - Water Readings'!$C$8:$C$962,1+(2*(ROWS(A$1:A10)-1)))</f>
        <v>0</v>
      </c>
      <c r="S11" s="34">
        <f>INDEX('9 - Water Readings'!$D$8:$D$961,1+(2*(ROWS(A$1:A10)-1)))</f>
        <v>0</v>
      </c>
      <c r="T11" s="34">
        <f>INDEX('9 - Water Readings'!$E$8:$E$962,1+(2*(ROWS(A$1:A10)-1)))</f>
        <v>0</v>
      </c>
      <c r="U11" s="34">
        <f>INDEX('9 - Water Readings'!$G$8:$G$961,1+(2*(ROWS(A$1:A10)-1)))</f>
        <v>120</v>
      </c>
      <c r="V11" s="34">
        <f>INDEX('9 - Water Readings'!$H$8:$H$962,1+(2*(ROWS(A$1:A10)-1)))</f>
        <v>19</v>
      </c>
      <c r="W11" s="34">
        <f>INDEX('9 - Water Readings'!$I$8:$I$962,1+(2*(ROWS(A$1:A10)-1)))</f>
        <v>68</v>
      </c>
      <c r="X11" s="34">
        <f>INDEX('9 - Water Readings'!$J$8:$J$962,1+(2*(ROWS(A$1:A10)-1)))</f>
        <v>322</v>
      </c>
      <c r="Y11" s="34">
        <f>INDEX('9 - Water Readings'!$K$8:$K$962,1+(2*(ROWS(A$1:A10)-1)))</f>
        <v>0</v>
      </c>
      <c r="Z11" s="34">
        <f>INDEX('9 - Water Readings'!$L$8:$L$962,1+(2*(ROWS(A$1:A10)-1)))</f>
        <v>28</v>
      </c>
      <c r="AA11" s="35">
        <f>'9 - Water Readings'!Q16</f>
        <v>220</v>
      </c>
      <c r="AB11" s="33">
        <f>'9 - Water Readings'!R16</f>
        <v>738</v>
      </c>
      <c r="AC11">
        <f>'9 - Water Readings'!S16</f>
        <v>0.8</v>
      </c>
    </row>
    <row r="12" spans="1:29" x14ac:dyDescent="0.25">
      <c r="A12" s="36" t="s">
        <v>11</v>
      </c>
      <c r="B12" s="36">
        <f t="shared" si="0"/>
        <v>11</v>
      </c>
      <c r="C12" s="36">
        <v>12</v>
      </c>
      <c r="D12" s="33">
        <v>2022</v>
      </c>
      <c r="E12" s="34">
        <f>INDEX('13 - Electrical Readings'!$C$8:$C$960,1+(2*(ROWS(A$1:A11)-1)))</f>
        <v>10691</v>
      </c>
      <c r="F12" s="34">
        <f>INDEX('13 - Electrical Readings'!$D$6:$D$960,1+(2*(ROWS(A$1:A12)-1)))</f>
        <v>936</v>
      </c>
      <c r="G12" s="33">
        <f>INDEX('13 - Electrical Readings'!$E$6:$E$960,1+(2*(ROWS(A$1:A12)-1)))</f>
        <v>5952</v>
      </c>
      <c r="H12" s="33">
        <f>INDEX('13 - Electrical Readings'!$F$6:$F$960,1+(2*(ROWS(A$1:A12)-1)))</f>
        <v>2483</v>
      </c>
      <c r="I12" s="34">
        <f>INDEX('13 - Electrical Readings'!$G$6:$G$960,1+(2*(ROWS(A$1:A12)-1)))</f>
        <v>15</v>
      </c>
      <c r="J12" s="33">
        <f>INDEX('13 - Electrical Readings'!$I$6:$I$960,1+(2*(ROWS(A$1:A12)-1)))</f>
        <v>1850</v>
      </c>
      <c r="K12" s="33">
        <f>INDEX('13 - Electrical Readings'!$J$6:$J$960,1+(2*(ROWS(B$1:B12)-1)))</f>
        <v>10084</v>
      </c>
      <c r="L12" s="33">
        <f>INDEX('13 - Electrical Readings'!$K$6:$K$960,1+(2*(ROWS(C$1:C12)-1)))</f>
        <v>3669</v>
      </c>
      <c r="M12" s="33">
        <f>INDEX('13 - Electrical Readings'!$L$6:$L$960,1+(2*(ROWS(D$1:D12)-1)))</f>
        <v>4928</v>
      </c>
      <c r="N12" s="33">
        <f>INDEX('13 - Electrical Readings'!$M$6:$M$960,1+(2*(ROWS(E$1:E12)-1)))</f>
        <v>11387</v>
      </c>
      <c r="O12" s="34">
        <f>INDEX('13 - Electrical Readings'!$N$6:$N$960,1+(2*(ROWS(E$1:E12)-1)))</f>
        <v>7461</v>
      </c>
      <c r="P12" s="34">
        <f>INDEX('13 - Electrical Readings'!$O$6:$O$960,1+(2*(ROWS(E$1:E12)-1)))</f>
        <v>1980</v>
      </c>
      <c r="Q12" s="34">
        <f>INDEX('13 - Electrical Readings'!$P$6:$P$960,1+(2*(ROWS(E$1:E12)-1)))</f>
        <v>3160</v>
      </c>
      <c r="R12" s="34">
        <f>INDEX('9 - Water Readings'!$C$8:$C$962,1+(2*(ROWS(A$1:A11)-1)))</f>
        <v>0</v>
      </c>
      <c r="S12" s="34">
        <f>INDEX('9 - Water Readings'!$D$8:$D$961,1+(2*(ROWS(A$1:A11)-1)))</f>
        <v>0</v>
      </c>
      <c r="T12" s="34">
        <f>INDEX('9 - Water Readings'!$E$8:$E$962,1+(2*(ROWS(A$1:A11)-1)))</f>
        <v>0</v>
      </c>
      <c r="U12" s="34">
        <f>INDEX('9 - Water Readings'!$G$8:$G$961,1+(2*(ROWS(A$1:A11)-1)))</f>
        <v>120</v>
      </c>
      <c r="V12" s="34">
        <f>INDEX('9 - Water Readings'!$H$8:$H$962,1+(2*(ROWS(A$1:A11)-1)))</f>
        <v>20</v>
      </c>
      <c r="W12" s="34">
        <f>INDEX('9 - Water Readings'!$I$8:$I$962,1+(2*(ROWS(A$1:A11)-1)))</f>
        <v>71</v>
      </c>
      <c r="X12" s="34">
        <f>INDEX('9 - Water Readings'!$J$8:$J$962,1+(2*(ROWS(A$1:A11)-1)))</f>
        <v>328</v>
      </c>
      <c r="Y12" s="34">
        <f>INDEX('9 - Water Readings'!$K$8:$K$962,1+(2*(ROWS(A$1:A11)-1)))</f>
        <v>0</v>
      </c>
      <c r="Z12" s="34">
        <f>INDEX('9 - Water Readings'!$L$8:$L$962,1+(2*(ROWS(A$1:A11)-1)))</f>
        <v>32</v>
      </c>
      <c r="AA12" s="35">
        <f>'9 - Water Readings'!Q17</f>
        <v>125</v>
      </c>
      <c r="AB12" s="33">
        <f>'9 - Water Readings'!R17</f>
        <v>402</v>
      </c>
      <c r="AC12">
        <f>'9 - Water Readings'!S17</f>
        <v>1.2</v>
      </c>
    </row>
    <row r="13" spans="1:29" x14ac:dyDescent="0.25">
      <c r="A13" s="36" t="s">
        <v>11</v>
      </c>
      <c r="B13" s="36">
        <f t="shared" si="0"/>
        <v>12</v>
      </c>
      <c r="C13" s="36">
        <v>12</v>
      </c>
      <c r="D13" s="33">
        <v>2022</v>
      </c>
      <c r="E13" s="34">
        <f>INDEX('13 - Electrical Readings'!$C$8:$C$960,1+(2*(ROWS(A$1:A12)-1)))</f>
        <v>17290</v>
      </c>
      <c r="F13" s="34">
        <f>INDEX('13 - Electrical Readings'!$D$6:$D$960,1+(2*(ROWS(A$1:A13)-1)))</f>
        <v>922</v>
      </c>
      <c r="G13" s="33">
        <f>INDEX('13 - Electrical Readings'!$E$6:$E$960,1+(2*(ROWS(A$1:A13)-1)))</f>
        <v>2361</v>
      </c>
      <c r="H13" s="33">
        <f>INDEX('13 - Electrical Readings'!$F$6:$F$960,1+(2*(ROWS(A$1:A13)-1)))</f>
        <v>2377</v>
      </c>
      <c r="I13" s="34">
        <f>INDEX('13 - Electrical Readings'!$G$6:$G$960,1+(2*(ROWS(A$1:A13)-1)))</f>
        <v>16</v>
      </c>
      <c r="J13" s="33">
        <f>INDEX('13 - Electrical Readings'!$I$6:$I$960,1+(2*(ROWS(A$1:A13)-1)))</f>
        <v>1831</v>
      </c>
      <c r="K13" s="33">
        <f>INDEX('13 - Electrical Readings'!$J$6:$J$960,1+(2*(ROWS(B$1:B13)-1)))</f>
        <v>10003</v>
      </c>
      <c r="L13" s="33">
        <f>INDEX('13 - Electrical Readings'!$K$6:$K$960,1+(2*(ROWS(C$1:C13)-1)))</f>
        <v>3650</v>
      </c>
      <c r="M13" s="33">
        <f>INDEX('13 - Electrical Readings'!$L$6:$L$960,1+(2*(ROWS(D$1:D13)-1)))</f>
        <v>4999</v>
      </c>
      <c r="N13" s="33">
        <f>INDEX('13 - Electrical Readings'!$M$6:$M$960,1+(2*(ROWS(E$1:E13)-1)))</f>
        <v>11464</v>
      </c>
      <c r="O13" s="34">
        <f>INDEX('13 - Electrical Readings'!$N$6:$N$960,1+(2*(ROWS(E$1:E13)-1)))</f>
        <v>7673</v>
      </c>
      <c r="P13" s="34">
        <f>INDEX('13 - Electrical Readings'!$O$6:$O$960,1+(2*(ROWS(E$1:E13)-1)))</f>
        <v>1923</v>
      </c>
      <c r="Q13" s="34">
        <f>INDEX('13 - Electrical Readings'!$P$6:$P$960,1+(2*(ROWS(E$1:E13)-1)))</f>
        <v>3210</v>
      </c>
      <c r="R13" s="34">
        <f>INDEX('9 - Water Readings'!$C$8:$C$962,1+(2*(ROWS(A$1:A12)-1)))</f>
        <v>0</v>
      </c>
      <c r="S13" s="34">
        <f>INDEX('9 - Water Readings'!$D$8:$D$961,1+(2*(ROWS(A$1:A12)-1)))</f>
        <v>4</v>
      </c>
      <c r="T13" s="34">
        <f>INDEX('9 - Water Readings'!$E$8:$E$962,1+(2*(ROWS(A$1:A12)-1)))</f>
        <v>0</v>
      </c>
      <c r="U13" s="34">
        <f>INDEX('9 - Water Readings'!$G$8:$G$961,1+(2*(ROWS(A$1:A12)-1)))</f>
        <v>128</v>
      </c>
      <c r="V13" s="34">
        <f>INDEX('9 - Water Readings'!$H$8:$H$962,1+(2*(ROWS(A$1:A12)-1)))</f>
        <v>18</v>
      </c>
      <c r="W13" s="34">
        <f>INDEX('9 - Water Readings'!$I$8:$I$962,1+(2*(ROWS(A$1:A12)-1)))</f>
        <v>75</v>
      </c>
      <c r="X13" s="34">
        <f>INDEX('9 - Water Readings'!$J$8:$J$962,1+(2*(ROWS(A$1:A12)-1)))</f>
        <v>304</v>
      </c>
      <c r="Y13" s="34">
        <f>INDEX('9 - Water Readings'!$K$8:$K$962,1+(2*(ROWS(A$1:A12)-1)))</f>
        <v>0</v>
      </c>
      <c r="Z13" s="34">
        <f>INDEX('9 - Water Readings'!$L$8:$L$962,1+(2*(ROWS(A$1:A12)-1)))</f>
        <v>24</v>
      </c>
      <c r="AA13" s="35">
        <f>'9 - Water Readings'!Q18</f>
        <v>175</v>
      </c>
      <c r="AB13" s="33">
        <f>'9 - Water Readings'!R18</f>
        <v>560</v>
      </c>
      <c r="AC13">
        <f>'9 - Water Readings'!S18</f>
        <v>1.3</v>
      </c>
    </row>
    <row r="14" spans="1:29" x14ac:dyDescent="0.25">
      <c r="A14" s="36" t="s">
        <v>11</v>
      </c>
      <c r="B14" s="36">
        <f t="shared" si="0"/>
        <v>13</v>
      </c>
      <c r="C14" s="36">
        <v>12</v>
      </c>
      <c r="D14" s="33">
        <v>2022</v>
      </c>
      <c r="E14" s="34">
        <f>INDEX('13 - Electrical Readings'!$C$8:$C$960,1+(2*(ROWS(A$1:A13)-1)))</f>
        <v>17755</v>
      </c>
      <c r="F14" s="34">
        <f>INDEX('13 - Electrical Readings'!$D$6:$D$960,1+(2*(ROWS(A$1:A14)-1)))</f>
        <v>914</v>
      </c>
      <c r="G14" s="33">
        <f>INDEX('13 - Electrical Readings'!$E$6:$E$960,1+(2*(ROWS(A$1:A14)-1)))</f>
        <v>2393</v>
      </c>
      <c r="H14" s="33">
        <f>INDEX('13 - Electrical Readings'!$F$6:$F$960,1+(2*(ROWS(A$1:A14)-1)))</f>
        <v>2590</v>
      </c>
      <c r="I14" s="34">
        <f>INDEX('13 - Electrical Readings'!$G$6:$G$960,1+(2*(ROWS(A$1:A14)-1)))</f>
        <v>15</v>
      </c>
      <c r="J14" s="33">
        <f>INDEX('13 - Electrical Readings'!$I$6:$I$960,1+(2*(ROWS(A$1:A14)-1)))</f>
        <v>1986</v>
      </c>
      <c r="K14" s="33">
        <f>INDEX('13 - Electrical Readings'!$J$6:$J$960,1+(2*(ROWS(B$1:B14)-1)))</f>
        <v>9619</v>
      </c>
      <c r="L14" s="33">
        <f>INDEX('13 - Electrical Readings'!$K$6:$K$960,1+(2*(ROWS(C$1:C14)-1)))</f>
        <v>3554</v>
      </c>
      <c r="M14" s="33">
        <f>INDEX('13 - Electrical Readings'!$L$6:$L$960,1+(2*(ROWS(D$1:D14)-1)))</f>
        <v>5010</v>
      </c>
      <c r="N14" s="33">
        <f>INDEX('13 - Electrical Readings'!$M$6:$M$960,1+(2*(ROWS(E$1:E14)-1)))</f>
        <v>11590</v>
      </c>
      <c r="O14" s="34">
        <f>INDEX('13 - Electrical Readings'!$N$6:$N$960,1+(2*(ROWS(E$1:E14)-1)))</f>
        <v>7693</v>
      </c>
      <c r="P14" s="34">
        <f>INDEX('13 - Electrical Readings'!$O$6:$O$960,1+(2*(ROWS(E$1:E14)-1)))</f>
        <v>1843</v>
      </c>
      <c r="Q14" s="34">
        <f>INDEX('13 - Electrical Readings'!$P$6:$P$960,1+(2*(ROWS(E$1:E14)-1)))</f>
        <v>3250</v>
      </c>
      <c r="R14" s="34">
        <f>INDEX('9 - Water Readings'!$C$8:$C$962,1+(2*(ROWS(A$1:A13)-1)))</f>
        <v>0</v>
      </c>
      <c r="S14" s="34">
        <f>INDEX('9 - Water Readings'!$D$8:$D$961,1+(2*(ROWS(A$1:A13)-1)))</f>
        <v>0</v>
      </c>
      <c r="T14" s="34">
        <f>INDEX('9 - Water Readings'!$E$8:$E$962,1+(2*(ROWS(A$1:A13)-1)))</f>
        <v>0</v>
      </c>
      <c r="U14" s="34">
        <f>INDEX('9 - Water Readings'!$G$8:$G$961,1+(2*(ROWS(A$1:A13)-1)))</f>
        <v>123</v>
      </c>
      <c r="V14" s="34">
        <f>INDEX('9 - Water Readings'!$H$8:$H$962,1+(2*(ROWS(A$1:A13)-1)))</f>
        <v>19</v>
      </c>
      <c r="W14" s="34">
        <f>INDEX('9 - Water Readings'!$I$8:$I$962,1+(2*(ROWS(A$1:A13)-1)))</f>
        <v>74</v>
      </c>
      <c r="X14" s="34">
        <f>INDEX('9 - Water Readings'!$J$8:$J$962,1+(2*(ROWS(A$1:A13)-1)))</f>
        <v>292</v>
      </c>
      <c r="Y14" s="34">
        <f>INDEX('9 - Water Readings'!$K$8:$K$962,1+(2*(ROWS(A$1:A13)-1)))</f>
        <v>0</v>
      </c>
      <c r="Z14" s="34">
        <f>INDEX('9 - Water Readings'!$L$8:$L$962,1+(2*(ROWS(A$1:A13)-1)))</f>
        <v>27</v>
      </c>
      <c r="AA14" s="35">
        <f>'9 - Water Readings'!Q19</f>
        <v>216</v>
      </c>
      <c r="AB14" s="33">
        <f>'9 - Water Readings'!R19</f>
        <v>708</v>
      </c>
      <c r="AC14">
        <f>'9 - Water Readings'!S19</f>
        <v>1.5</v>
      </c>
    </row>
    <row r="15" spans="1:29" x14ac:dyDescent="0.25">
      <c r="A15" s="36" t="s">
        <v>11</v>
      </c>
      <c r="B15" s="36">
        <f t="shared" si="0"/>
        <v>14</v>
      </c>
      <c r="C15" s="36">
        <v>12</v>
      </c>
      <c r="D15" s="33">
        <v>2022</v>
      </c>
      <c r="E15" s="34">
        <f>INDEX('13 - Electrical Readings'!$C$8:$C$960,1+(2*(ROWS(A$1:A14)-1)))</f>
        <v>18997</v>
      </c>
      <c r="F15" s="34">
        <f>INDEX('13 - Electrical Readings'!$D$6:$D$960,1+(2*(ROWS(A$1:A15)-1)))</f>
        <v>941</v>
      </c>
      <c r="G15" s="33">
        <f>INDEX('13 - Electrical Readings'!$E$6:$E$960,1+(2*(ROWS(A$1:A15)-1)))</f>
        <v>2326</v>
      </c>
      <c r="H15" s="33">
        <f>INDEX('13 - Electrical Readings'!$F$6:$F$960,1+(2*(ROWS(A$1:A15)-1)))</f>
        <v>2652</v>
      </c>
      <c r="I15" s="34">
        <f>INDEX('13 - Electrical Readings'!$G$6:$G$960,1+(2*(ROWS(A$1:A15)-1)))</f>
        <v>13</v>
      </c>
      <c r="J15" s="33">
        <f>INDEX('13 - Electrical Readings'!$I$6:$I$960,1+(2*(ROWS(A$1:A15)-1)))</f>
        <v>2093</v>
      </c>
      <c r="K15" s="33">
        <f>INDEX('13 - Electrical Readings'!$J$6:$J$960,1+(2*(ROWS(B$1:B15)-1)))</f>
        <v>9838</v>
      </c>
      <c r="L15" s="33">
        <f>INDEX('13 - Electrical Readings'!$K$6:$K$960,1+(2*(ROWS(C$1:C15)-1)))</f>
        <v>3499</v>
      </c>
      <c r="M15" s="33">
        <f>INDEX('13 - Electrical Readings'!$L$6:$L$960,1+(2*(ROWS(D$1:D15)-1)))</f>
        <v>4986</v>
      </c>
      <c r="N15" s="33">
        <f>INDEX('13 - Electrical Readings'!$M$6:$M$960,1+(2*(ROWS(E$1:E15)-1)))</f>
        <v>12101</v>
      </c>
      <c r="O15" s="34">
        <f>INDEX('13 - Electrical Readings'!$N$6:$N$960,1+(2*(ROWS(E$1:E15)-1)))</f>
        <v>8039</v>
      </c>
      <c r="P15" s="34">
        <f>INDEX('13 - Electrical Readings'!$O$6:$O$960,1+(2*(ROWS(E$1:E15)-1)))</f>
        <v>2022</v>
      </c>
      <c r="Q15" s="34">
        <f>INDEX('13 - Electrical Readings'!$P$6:$P$960,1+(2*(ROWS(E$1:E15)-1)))</f>
        <v>3240</v>
      </c>
      <c r="R15" s="34">
        <f>INDEX('9 - Water Readings'!$C$8:$C$962,1+(2*(ROWS(A$1:A14)-1)))</f>
        <v>0</v>
      </c>
      <c r="S15" s="34">
        <f>INDEX('9 - Water Readings'!$D$8:$D$961,1+(2*(ROWS(A$1:A14)-1)))</f>
        <v>0</v>
      </c>
      <c r="T15" s="34">
        <f>INDEX('9 - Water Readings'!$E$8:$E$962,1+(2*(ROWS(A$1:A14)-1)))</f>
        <v>0</v>
      </c>
      <c r="U15" s="34">
        <f>INDEX('9 - Water Readings'!$G$8:$G$961,1+(2*(ROWS(A$1:A14)-1)))</f>
        <v>123</v>
      </c>
      <c r="V15" s="34">
        <f>INDEX('9 - Water Readings'!$H$8:$H$962,1+(2*(ROWS(A$1:A14)-1)))</f>
        <v>23</v>
      </c>
      <c r="W15" s="34">
        <f>INDEX('9 - Water Readings'!$I$8:$I$962,1+(2*(ROWS(A$1:A14)-1)))</f>
        <v>67</v>
      </c>
      <c r="X15" s="34">
        <f>INDEX('9 - Water Readings'!$J$8:$J$962,1+(2*(ROWS(A$1:A14)-1)))</f>
        <v>325</v>
      </c>
      <c r="Y15" s="34">
        <f>INDEX('9 - Water Readings'!$K$8:$K$962,1+(2*(ROWS(A$1:A14)-1)))</f>
        <v>0</v>
      </c>
      <c r="Z15" s="34">
        <f>INDEX('9 - Water Readings'!$L$8:$L$962,1+(2*(ROWS(A$1:A14)-1)))</f>
        <v>39</v>
      </c>
      <c r="AA15" s="35">
        <f>'9 - Water Readings'!Q20</f>
        <v>215</v>
      </c>
      <c r="AB15" s="33">
        <f>'9 - Water Readings'!R20</f>
        <v>706</v>
      </c>
      <c r="AC15">
        <f>'9 - Water Readings'!S20</f>
        <v>2.1</v>
      </c>
    </row>
    <row r="16" spans="1:29" x14ac:dyDescent="0.25">
      <c r="A16" s="36" t="s">
        <v>11</v>
      </c>
      <c r="B16" s="36">
        <f t="shared" si="0"/>
        <v>15</v>
      </c>
      <c r="C16" s="36">
        <v>12</v>
      </c>
      <c r="D16" s="33">
        <v>2022</v>
      </c>
      <c r="E16" s="34">
        <f>INDEX('13 - Electrical Readings'!$C$8:$C$960,1+(2*(ROWS(A$1:A15)-1)))</f>
        <v>20064</v>
      </c>
      <c r="F16" s="34">
        <f>INDEX('13 - Electrical Readings'!$D$6:$D$960,1+(2*(ROWS(A$1:A16)-1)))</f>
        <v>913</v>
      </c>
      <c r="G16" s="33">
        <f>INDEX('13 - Electrical Readings'!$E$6:$E$960,1+(2*(ROWS(A$1:A16)-1)))</f>
        <v>2382</v>
      </c>
      <c r="H16" s="33">
        <f>INDEX('13 - Electrical Readings'!$F$6:$F$960,1+(2*(ROWS(A$1:A16)-1)))</f>
        <v>2940</v>
      </c>
      <c r="I16" s="34">
        <f>INDEX('13 - Electrical Readings'!$G$6:$G$960,1+(2*(ROWS(A$1:A16)-1)))</f>
        <v>18</v>
      </c>
      <c r="J16" s="33">
        <f>INDEX('13 - Electrical Readings'!$I$6:$I$960,1+(2*(ROWS(A$1:A16)-1)))</f>
        <v>1894</v>
      </c>
      <c r="K16" s="33">
        <f>INDEX('13 - Electrical Readings'!$J$6:$J$960,1+(2*(ROWS(B$1:B16)-1)))</f>
        <v>9798</v>
      </c>
      <c r="L16" s="33">
        <f>INDEX('13 - Electrical Readings'!$K$6:$K$960,1+(2*(ROWS(C$1:C16)-1)))</f>
        <v>3490</v>
      </c>
      <c r="M16" s="33">
        <f>INDEX('13 - Electrical Readings'!$L$6:$L$960,1+(2*(ROWS(D$1:D16)-1)))</f>
        <v>4969</v>
      </c>
      <c r="N16" s="33">
        <f>INDEX('13 - Electrical Readings'!$M$6:$M$960,1+(2*(ROWS(E$1:E16)-1)))</f>
        <v>11729</v>
      </c>
      <c r="O16" s="34">
        <f>INDEX('13 - Electrical Readings'!$N$6:$N$960,1+(2*(ROWS(E$1:E16)-1)))</f>
        <v>8045</v>
      </c>
      <c r="P16" s="34">
        <f>INDEX('13 - Electrical Readings'!$O$6:$O$960,1+(2*(ROWS(E$1:E16)-1)))</f>
        <v>2212</v>
      </c>
      <c r="Q16" s="34">
        <f>INDEX('13 - Electrical Readings'!$P$6:$P$960,1+(2*(ROWS(E$1:E16)-1)))</f>
        <v>3230</v>
      </c>
      <c r="R16" s="34">
        <f>INDEX('9 - Water Readings'!$C$8:$C$962,1+(2*(ROWS(A$1:A15)-1)))</f>
        <v>0</v>
      </c>
      <c r="S16" s="34">
        <f>INDEX('9 - Water Readings'!$D$8:$D$961,1+(2*(ROWS(A$1:A15)-1)))</f>
        <v>0</v>
      </c>
      <c r="T16" s="34">
        <f>INDEX('9 - Water Readings'!$E$8:$E$962,1+(2*(ROWS(A$1:A15)-1)))</f>
        <v>0</v>
      </c>
      <c r="U16" s="34">
        <f>INDEX('9 - Water Readings'!$G$8:$G$961,1+(2*(ROWS(A$1:A15)-1)))</f>
        <v>121</v>
      </c>
      <c r="V16" s="34">
        <f>INDEX('9 - Water Readings'!$H$8:$H$962,1+(2*(ROWS(A$1:A15)-1)))</f>
        <v>21</v>
      </c>
      <c r="W16" s="34">
        <f>INDEX('9 - Water Readings'!$I$8:$I$962,1+(2*(ROWS(A$1:A15)-1)))</f>
        <v>72</v>
      </c>
      <c r="X16" s="34">
        <f>INDEX('9 - Water Readings'!$J$8:$J$962,1+(2*(ROWS(A$1:A15)-1)))</f>
        <v>327</v>
      </c>
      <c r="Y16" s="34">
        <f>INDEX('9 - Water Readings'!$K$8:$K$962,1+(2*(ROWS(A$1:A15)-1)))</f>
        <v>0</v>
      </c>
      <c r="Z16" s="34">
        <f>INDEX('9 - Water Readings'!$L$8:$L$962,1+(2*(ROWS(A$1:A15)-1)))</f>
        <v>31</v>
      </c>
      <c r="AA16" s="35">
        <f>'9 - Water Readings'!Q21</f>
        <v>176</v>
      </c>
      <c r="AB16" s="33">
        <f>'9 - Water Readings'!R21</f>
        <v>554</v>
      </c>
      <c r="AC16">
        <f>'9 - Water Readings'!S21</f>
        <v>2.5</v>
      </c>
    </row>
    <row r="17" spans="1:29" x14ac:dyDescent="0.25">
      <c r="A17" s="36" t="s">
        <v>11</v>
      </c>
      <c r="B17" s="36">
        <f t="shared" si="0"/>
        <v>16</v>
      </c>
      <c r="C17" s="36">
        <v>12</v>
      </c>
      <c r="D17" s="33">
        <v>2022</v>
      </c>
      <c r="E17" s="34">
        <f>INDEX('13 - Electrical Readings'!$C$8:$C$960,1+(2*(ROWS(A$1:A16)-1)))</f>
        <v>19990</v>
      </c>
      <c r="F17" s="34">
        <f>INDEX('13 - Electrical Readings'!$D$6:$D$960,1+(2*(ROWS(A$1:A17)-1)))</f>
        <v>923</v>
      </c>
      <c r="G17" s="33">
        <f>INDEX('13 - Electrical Readings'!$E$6:$E$960,1+(2*(ROWS(A$1:A17)-1)))</f>
        <v>2368</v>
      </c>
      <c r="H17" s="33">
        <f>INDEX('13 - Electrical Readings'!$F$6:$F$960,1+(2*(ROWS(A$1:A17)-1)))</f>
        <v>2931</v>
      </c>
      <c r="I17" s="34">
        <f>INDEX('13 - Electrical Readings'!$G$6:$G$960,1+(2*(ROWS(A$1:A17)-1)))</f>
        <v>15</v>
      </c>
      <c r="J17" s="33">
        <f>INDEX('13 - Electrical Readings'!$I$6:$I$960,1+(2*(ROWS(A$1:A17)-1)))</f>
        <v>1829</v>
      </c>
      <c r="K17" s="33">
        <f>INDEX('13 - Electrical Readings'!$J$6:$J$960,1+(2*(ROWS(B$1:B17)-1)))</f>
        <v>10122</v>
      </c>
      <c r="L17" s="33">
        <f>INDEX('13 - Electrical Readings'!$K$6:$K$960,1+(2*(ROWS(C$1:C17)-1)))</f>
        <v>3648</v>
      </c>
      <c r="M17" s="33">
        <f>INDEX('13 - Electrical Readings'!$L$6:$L$960,1+(2*(ROWS(D$1:D17)-1)))</f>
        <v>5084</v>
      </c>
      <c r="N17" s="33">
        <f>INDEX('13 - Electrical Readings'!$M$6:$M$960,1+(2*(ROWS(E$1:E17)-1)))</f>
        <v>11852</v>
      </c>
      <c r="O17" s="34">
        <f>INDEX('13 - Electrical Readings'!$N$6:$N$960,1+(2*(ROWS(E$1:E17)-1)))</f>
        <v>8018</v>
      </c>
      <c r="P17" s="34">
        <f>INDEX('13 - Electrical Readings'!$O$6:$O$960,1+(2*(ROWS(E$1:E17)-1)))</f>
        <v>2169</v>
      </c>
      <c r="Q17" s="34">
        <f>INDEX('13 - Electrical Readings'!$P$6:$P$960,1+(2*(ROWS(E$1:E17)-1)))</f>
        <v>3370</v>
      </c>
      <c r="R17" s="34">
        <f>INDEX('9 - Water Readings'!$C$8:$C$962,1+(2*(ROWS(A$1:A16)-1)))</f>
        <v>0</v>
      </c>
      <c r="S17" s="34">
        <f>INDEX('9 - Water Readings'!$D$8:$D$961,1+(2*(ROWS(A$1:A16)-1)))</f>
        <v>0</v>
      </c>
      <c r="T17" s="34">
        <f>INDEX('9 - Water Readings'!$E$8:$E$962,1+(2*(ROWS(A$1:A16)-1)))</f>
        <v>0</v>
      </c>
      <c r="U17" s="34">
        <f>INDEX('9 - Water Readings'!$G$8:$G$961,1+(2*(ROWS(A$1:A16)-1)))</f>
        <v>120</v>
      </c>
      <c r="V17" s="34">
        <f>INDEX('9 - Water Readings'!$H$8:$H$962,1+(2*(ROWS(A$1:A16)-1)))</f>
        <v>21</v>
      </c>
      <c r="W17" s="34">
        <f>INDEX('9 - Water Readings'!$I$8:$I$962,1+(2*(ROWS(A$1:A16)-1)))</f>
        <v>72</v>
      </c>
      <c r="X17" s="34">
        <f>INDEX('9 - Water Readings'!$J$8:$J$962,1+(2*(ROWS(A$1:A16)-1)))</f>
        <v>329</v>
      </c>
      <c r="Y17" s="34">
        <f>INDEX('9 - Water Readings'!$K$8:$K$962,1+(2*(ROWS(A$1:A16)-1)))</f>
        <v>0</v>
      </c>
      <c r="Z17" s="34">
        <f>INDEX('9 - Water Readings'!$L$8:$L$962,1+(2*(ROWS(A$1:A16)-1)))</f>
        <v>22</v>
      </c>
      <c r="AA17" s="35">
        <f>'9 - Water Readings'!Q22</f>
        <v>163</v>
      </c>
      <c r="AB17" s="33">
        <f>'9 - Water Readings'!R22</f>
        <v>500</v>
      </c>
      <c r="AC17">
        <f>'9 - Water Readings'!S22</f>
        <v>2.8</v>
      </c>
    </row>
    <row r="18" spans="1:29" x14ac:dyDescent="0.25">
      <c r="A18" s="36" t="s">
        <v>11</v>
      </c>
      <c r="B18" s="36">
        <f t="shared" si="0"/>
        <v>17</v>
      </c>
      <c r="C18" s="36">
        <v>12</v>
      </c>
      <c r="D18" s="33">
        <v>2022</v>
      </c>
      <c r="E18" s="34">
        <f>INDEX('13 - Electrical Readings'!$C$8:$C$960,1+(2*(ROWS(A$1:A17)-1)))</f>
        <v>19297</v>
      </c>
      <c r="F18" s="34">
        <f>INDEX('13 - Electrical Readings'!$D$6:$D$960,1+(2*(ROWS(A$1:A18)-1)))</f>
        <v>902</v>
      </c>
      <c r="G18" s="33">
        <f>INDEX('13 - Electrical Readings'!$E$6:$E$960,1+(2*(ROWS(A$1:A18)-1)))</f>
        <v>2378</v>
      </c>
      <c r="H18" s="33">
        <f>INDEX('13 - Electrical Readings'!$F$6:$F$960,1+(2*(ROWS(A$1:A18)-1)))</f>
        <v>2928</v>
      </c>
      <c r="I18" s="34">
        <f>INDEX('13 - Electrical Readings'!$G$6:$G$960,1+(2*(ROWS(A$1:A18)-1)))</f>
        <v>15</v>
      </c>
      <c r="J18" s="33">
        <f>INDEX('13 - Electrical Readings'!$I$6:$I$960,1+(2*(ROWS(A$1:A18)-1)))</f>
        <v>2005</v>
      </c>
      <c r="K18" s="33">
        <f>INDEX('13 - Electrical Readings'!$J$6:$J$960,1+(2*(ROWS(B$1:B18)-1)))</f>
        <v>10152</v>
      </c>
      <c r="L18" s="33">
        <f>INDEX('13 - Electrical Readings'!$K$6:$K$960,1+(2*(ROWS(C$1:C18)-1)))</f>
        <v>3599</v>
      </c>
      <c r="M18" s="33">
        <f>INDEX('13 - Electrical Readings'!$L$6:$L$960,1+(2*(ROWS(D$1:D18)-1)))</f>
        <v>5133</v>
      </c>
      <c r="N18" s="33">
        <f>INDEX('13 - Electrical Readings'!$M$6:$M$960,1+(2*(ROWS(E$1:E18)-1)))</f>
        <v>12088</v>
      </c>
      <c r="O18" s="34">
        <f>INDEX('13 - Electrical Readings'!$N$6:$N$960,1+(2*(ROWS(E$1:E18)-1)))</f>
        <v>7956</v>
      </c>
      <c r="P18" s="34">
        <f>INDEX('13 - Electrical Readings'!$O$6:$O$960,1+(2*(ROWS(E$1:E18)-1)))</f>
        <v>2222</v>
      </c>
      <c r="Q18" s="34">
        <f>INDEX('13 - Electrical Readings'!$P$6:$P$960,1+(2*(ROWS(E$1:E18)-1)))</f>
        <v>3310</v>
      </c>
      <c r="R18" s="34">
        <f>INDEX('9 - Water Readings'!$C$8:$C$962,1+(2*(ROWS(A$1:A17)-1)))</f>
        <v>0</v>
      </c>
      <c r="S18" s="34">
        <f>INDEX('9 - Water Readings'!$D$8:$D$961,1+(2*(ROWS(A$1:A17)-1)))</f>
        <v>0</v>
      </c>
      <c r="T18" s="34">
        <f>INDEX('9 - Water Readings'!$E$8:$E$962,1+(2*(ROWS(A$1:A17)-1)))</f>
        <v>0</v>
      </c>
      <c r="U18" s="34">
        <f>INDEX('9 - Water Readings'!$G$8:$G$961,1+(2*(ROWS(A$1:A17)-1)))</f>
        <v>124</v>
      </c>
      <c r="V18" s="34">
        <f>INDEX('9 - Water Readings'!$H$8:$H$962,1+(2*(ROWS(A$1:A17)-1)))</f>
        <v>23</v>
      </c>
      <c r="W18" s="34">
        <f>INDEX('9 - Water Readings'!$I$8:$I$962,1+(2*(ROWS(A$1:A17)-1)))</f>
        <v>88</v>
      </c>
      <c r="X18" s="34">
        <f>INDEX('9 - Water Readings'!$J$8:$J$962,1+(2*(ROWS(A$1:A17)-1)))</f>
        <v>323</v>
      </c>
      <c r="Y18" s="34">
        <f>INDEX('9 - Water Readings'!$K$8:$K$962,1+(2*(ROWS(A$1:A17)-1)))</f>
        <v>0</v>
      </c>
      <c r="Z18" s="34">
        <f>INDEX('9 - Water Readings'!$L$8:$L$962,1+(2*(ROWS(A$1:A17)-1)))</f>
        <v>29</v>
      </c>
      <c r="AA18" s="35">
        <f>'9 - Water Readings'!Q23</f>
        <v>213</v>
      </c>
      <c r="AB18" s="33">
        <f>'9 - Water Readings'!R23</f>
        <v>638</v>
      </c>
      <c r="AC18">
        <f>'9 - Water Readings'!S23</f>
        <v>2.5</v>
      </c>
    </row>
    <row r="19" spans="1:29" x14ac:dyDescent="0.25">
      <c r="A19" s="36" t="s">
        <v>11</v>
      </c>
      <c r="B19" s="36">
        <f t="shared" si="0"/>
        <v>18</v>
      </c>
      <c r="C19" s="36">
        <v>12</v>
      </c>
      <c r="D19" s="33">
        <v>2022</v>
      </c>
      <c r="E19" s="34">
        <f>INDEX('13 - Electrical Readings'!$C$8:$C$960,1+(2*(ROWS(A$1:A18)-1)))</f>
        <v>3849</v>
      </c>
      <c r="F19" s="34">
        <f>INDEX('13 - Electrical Readings'!$D$6:$D$960,1+(2*(ROWS(A$1:A19)-1)))</f>
        <v>939</v>
      </c>
      <c r="G19" s="33">
        <f>INDEX('13 - Electrical Readings'!$E$6:$E$960,1+(2*(ROWS(A$1:A19)-1)))</f>
        <v>11643</v>
      </c>
      <c r="H19" s="33">
        <f>INDEX('13 - Electrical Readings'!$F$6:$F$960,1+(2*(ROWS(A$1:A19)-1)))</f>
        <v>2624</v>
      </c>
      <c r="I19" s="34">
        <f>INDEX('13 - Electrical Readings'!$G$6:$G$960,1+(2*(ROWS(A$1:A19)-1)))</f>
        <v>14</v>
      </c>
      <c r="J19" s="33">
        <f>INDEX('13 - Electrical Readings'!$I$6:$I$960,1+(2*(ROWS(A$1:A19)-1)))</f>
        <v>2087</v>
      </c>
      <c r="K19" s="33">
        <f>INDEX('13 - Electrical Readings'!$J$6:$J$960,1+(2*(ROWS(B$1:B19)-1)))</f>
        <v>10204</v>
      </c>
      <c r="L19" s="33">
        <f>INDEX('13 - Electrical Readings'!$K$6:$K$960,1+(2*(ROWS(C$1:C19)-1)))</f>
        <v>3603</v>
      </c>
      <c r="M19" s="33">
        <f>INDEX('13 - Electrical Readings'!$L$6:$L$960,1+(2*(ROWS(D$1:D19)-1)))</f>
        <v>5191</v>
      </c>
      <c r="N19" s="33">
        <f>INDEX('13 - Electrical Readings'!$M$6:$M$960,1+(2*(ROWS(E$1:E19)-1)))</f>
        <v>12042</v>
      </c>
      <c r="O19" s="34">
        <f>INDEX('13 - Electrical Readings'!$N$6:$N$960,1+(2*(ROWS(E$1:E19)-1)))</f>
        <v>7949</v>
      </c>
      <c r="P19" s="34">
        <f>INDEX('13 - Electrical Readings'!$O$6:$O$960,1+(2*(ROWS(E$1:E19)-1)))</f>
        <v>2049</v>
      </c>
      <c r="Q19" s="34">
        <f>INDEX('13 - Electrical Readings'!$P$6:$P$960,1+(2*(ROWS(E$1:E19)-1)))</f>
        <v>3630</v>
      </c>
      <c r="R19" s="34">
        <f>INDEX('9 - Water Readings'!$C$8:$C$962,1+(2*(ROWS(A$1:A18)-1)))</f>
        <v>0</v>
      </c>
      <c r="S19" s="34">
        <f>INDEX('9 - Water Readings'!$D$8:$D$961,1+(2*(ROWS(A$1:A18)-1)))</f>
        <v>0</v>
      </c>
      <c r="T19" s="34">
        <f>INDEX('9 - Water Readings'!$E$8:$E$962,1+(2*(ROWS(A$1:A18)-1)))</f>
        <v>0</v>
      </c>
      <c r="U19" s="34">
        <f>INDEX('9 - Water Readings'!$G$8:$G$961,1+(2*(ROWS(A$1:A18)-1)))</f>
        <v>127</v>
      </c>
      <c r="V19" s="34">
        <f>INDEX('9 - Water Readings'!$H$8:$H$962,1+(2*(ROWS(A$1:A18)-1)))</f>
        <v>18</v>
      </c>
      <c r="W19" s="34">
        <f>INDEX('9 - Water Readings'!$I$8:$I$962,1+(2*(ROWS(A$1:A18)-1)))</f>
        <v>80</v>
      </c>
      <c r="X19" s="34">
        <f>INDEX('9 - Water Readings'!$J$8:$J$962,1+(2*(ROWS(A$1:A18)-1)))</f>
        <v>341</v>
      </c>
      <c r="Y19" s="34">
        <f>INDEX('9 - Water Readings'!$K$8:$K$962,1+(2*(ROWS(A$1:A18)-1)))</f>
        <v>0</v>
      </c>
      <c r="Z19" s="34">
        <f>INDEX('9 - Water Readings'!$L$8:$L$962,1+(2*(ROWS(A$1:A18)-1)))</f>
        <v>23</v>
      </c>
      <c r="AA19" s="35">
        <f>'9 - Water Readings'!Q24</f>
        <v>208</v>
      </c>
      <c r="AB19" s="33">
        <f>'9 - Water Readings'!R24</f>
        <v>614</v>
      </c>
      <c r="AC19">
        <f>'9 - Water Readings'!S24</f>
        <v>1.7</v>
      </c>
    </row>
    <row r="20" spans="1:29" x14ac:dyDescent="0.25">
      <c r="A20" s="36" t="s">
        <v>11</v>
      </c>
      <c r="B20" s="36">
        <f t="shared" si="0"/>
        <v>19</v>
      </c>
      <c r="C20" s="36">
        <v>12</v>
      </c>
      <c r="D20" s="33">
        <v>2022</v>
      </c>
      <c r="E20" s="34">
        <f>INDEX('13 - Electrical Readings'!$C$8:$C$960,1+(2*(ROWS(A$1:A19)-1)))</f>
        <v>1</v>
      </c>
      <c r="F20" s="34">
        <f>INDEX('13 - Electrical Readings'!$D$6:$D$960,1+(2*(ROWS(A$1:A20)-1)))</f>
        <v>931</v>
      </c>
      <c r="G20" s="33">
        <f>INDEX('13 - Electrical Readings'!$E$6:$E$960,1+(2*(ROWS(A$1:A20)-1)))</f>
        <v>14086</v>
      </c>
      <c r="H20" s="33">
        <f>INDEX('13 - Electrical Readings'!$F$6:$F$960,1+(2*(ROWS(A$1:A20)-1)))</f>
        <v>2498</v>
      </c>
      <c r="I20" s="34">
        <f>INDEX('13 - Electrical Readings'!$G$6:$G$960,1+(2*(ROWS(A$1:A20)-1)))</f>
        <v>14</v>
      </c>
      <c r="J20" s="33">
        <f>INDEX('13 - Electrical Readings'!$I$6:$I$960,1+(2*(ROWS(A$1:A20)-1)))</f>
        <v>1784</v>
      </c>
      <c r="K20" s="33">
        <f>INDEX('13 - Electrical Readings'!$J$6:$J$960,1+(2*(ROWS(B$1:B20)-1)))</f>
        <v>9773</v>
      </c>
      <c r="L20" s="33">
        <f>INDEX('13 - Electrical Readings'!$K$6:$K$960,1+(2*(ROWS(C$1:C20)-1)))</f>
        <v>3273</v>
      </c>
      <c r="M20" s="33">
        <f>INDEX('13 - Electrical Readings'!$L$6:$L$960,1+(2*(ROWS(D$1:D20)-1)))</f>
        <v>4951</v>
      </c>
      <c r="N20" s="33">
        <f>INDEX('13 - Electrical Readings'!$M$6:$M$960,1+(2*(ROWS(E$1:E20)-1)))</f>
        <v>11240</v>
      </c>
      <c r="O20" s="34">
        <f>INDEX('13 - Electrical Readings'!$N$6:$N$960,1+(2*(ROWS(E$1:E20)-1)))</f>
        <v>7479</v>
      </c>
      <c r="P20" s="34">
        <f>INDEX('13 - Electrical Readings'!$O$6:$O$960,1+(2*(ROWS(E$1:E20)-1)))</f>
        <v>1903</v>
      </c>
      <c r="Q20" s="34">
        <f>INDEX('13 - Electrical Readings'!$P$6:$P$960,1+(2*(ROWS(E$1:E20)-1)))</f>
        <v>2950</v>
      </c>
      <c r="R20" s="34">
        <f>INDEX('9 - Water Readings'!$C$8:$C$962,1+(2*(ROWS(A$1:A19)-1)))</f>
        <v>0</v>
      </c>
      <c r="S20" s="34">
        <f>INDEX('9 - Water Readings'!$D$8:$D$961,1+(2*(ROWS(A$1:A19)-1)))</f>
        <v>0</v>
      </c>
      <c r="T20" s="34">
        <f>INDEX('9 - Water Readings'!$E$8:$E$962,1+(2*(ROWS(A$1:A19)-1)))</f>
        <v>0</v>
      </c>
      <c r="U20" s="34">
        <f>INDEX('9 - Water Readings'!$G$8:$G$961,1+(2*(ROWS(A$1:A19)-1)))</f>
        <v>118</v>
      </c>
      <c r="V20" s="34">
        <f>INDEX('9 - Water Readings'!$H$8:$H$962,1+(2*(ROWS(A$1:A19)-1)))</f>
        <v>18</v>
      </c>
      <c r="W20" s="34">
        <f>INDEX('9 - Water Readings'!$I$8:$I$962,1+(2*(ROWS(A$1:A19)-1)))</f>
        <v>70</v>
      </c>
      <c r="X20" s="34">
        <f>INDEX('9 - Water Readings'!$J$8:$J$962,1+(2*(ROWS(A$1:A19)-1)))</f>
        <v>305</v>
      </c>
      <c r="Y20" s="34">
        <f>INDEX('9 - Water Readings'!$K$8:$K$962,1+(2*(ROWS(A$1:A19)-1)))</f>
        <v>0</v>
      </c>
      <c r="Z20" s="34">
        <f>INDEX('9 - Water Readings'!$L$8:$L$962,1+(2*(ROWS(A$1:A19)-1)))</f>
        <v>40</v>
      </c>
      <c r="AA20" s="35">
        <f>'9 - Water Readings'!Q25</f>
        <v>149</v>
      </c>
      <c r="AB20" s="33">
        <f>'9 - Water Readings'!R25</f>
        <v>482</v>
      </c>
      <c r="AC20">
        <f>'9 - Water Readings'!S25</f>
        <v>1.4</v>
      </c>
    </row>
    <row r="21" spans="1:29" x14ac:dyDescent="0.25">
      <c r="A21" s="36" t="s">
        <v>11</v>
      </c>
      <c r="B21" s="36">
        <f t="shared" si="0"/>
        <v>20</v>
      </c>
      <c r="C21" s="36">
        <v>12</v>
      </c>
      <c r="D21" s="33">
        <v>2022</v>
      </c>
      <c r="E21" s="34">
        <f>INDEX('13 - Electrical Readings'!$C$8:$C$960,1+(2*(ROWS(A$1:A20)-1)))</f>
        <v>3</v>
      </c>
      <c r="F21" s="34">
        <f>INDEX('13 - Electrical Readings'!$D$6:$D$960,1+(2*(ROWS(A$1:A21)-1)))</f>
        <v>924</v>
      </c>
      <c r="G21" s="33">
        <f>INDEX('13 - Electrical Readings'!$E$6:$E$960,1+(2*(ROWS(A$1:A21)-1)))</f>
        <v>14277</v>
      </c>
      <c r="H21" s="33">
        <f>INDEX('13 - Electrical Readings'!$F$6:$F$960,1+(2*(ROWS(A$1:A21)-1)))</f>
        <v>2719</v>
      </c>
      <c r="I21" s="34">
        <f>INDEX('13 - Electrical Readings'!$G$6:$G$960,1+(2*(ROWS(A$1:A21)-1)))</f>
        <v>18</v>
      </c>
      <c r="J21" s="33">
        <f>INDEX('13 - Electrical Readings'!$I$6:$I$960,1+(2*(ROWS(A$1:A21)-1)))</f>
        <v>1811</v>
      </c>
      <c r="K21" s="33">
        <f>INDEX('13 - Electrical Readings'!$J$6:$J$960,1+(2*(ROWS(B$1:B21)-1)))</f>
        <v>9827</v>
      </c>
      <c r="L21" s="33">
        <f>INDEX('13 - Electrical Readings'!$K$6:$K$960,1+(2*(ROWS(C$1:C21)-1)))</f>
        <v>3530</v>
      </c>
      <c r="M21" s="33">
        <f>INDEX('13 - Electrical Readings'!$L$6:$L$960,1+(2*(ROWS(D$1:D21)-1)))</f>
        <v>5012</v>
      </c>
      <c r="N21" s="33">
        <f>INDEX('13 - Electrical Readings'!$M$6:$M$960,1+(2*(ROWS(E$1:E21)-1)))</f>
        <v>11164</v>
      </c>
      <c r="O21" s="34">
        <f>INDEX('13 - Electrical Readings'!$N$6:$N$960,1+(2*(ROWS(E$1:E21)-1)))</f>
        <v>7770</v>
      </c>
      <c r="P21" s="34">
        <f>INDEX('13 - Electrical Readings'!$O$6:$O$960,1+(2*(ROWS(E$1:E21)-1)))</f>
        <v>1832</v>
      </c>
      <c r="Q21" s="34">
        <f>INDEX('13 - Electrical Readings'!$P$6:$P$960,1+(2*(ROWS(E$1:E21)-1)))</f>
        <v>3100</v>
      </c>
      <c r="R21" s="34">
        <f>INDEX('9 - Water Readings'!$C$8:$C$962,1+(2*(ROWS(A$1:A20)-1)))</f>
        <v>0</v>
      </c>
      <c r="S21" s="34">
        <f>INDEX('9 - Water Readings'!$D$8:$D$961,1+(2*(ROWS(A$1:A20)-1)))</f>
        <v>0</v>
      </c>
      <c r="T21" s="34">
        <f>INDEX('9 - Water Readings'!$E$8:$E$962,1+(2*(ROWS(A$1:A20)-1)))</f>
        <v>0</v>
      </c>
      <c r="U21" s="34">
        <f>INDEX('9 - Water Readings'!$G$8:$G$961,1+(2*(ROWS(A$1:A20)-1)))</f>
        <v>122</v>
      </c>
      <c r="V21" s="34">
        <f>INDEX('9 - Water Readings'!$H$8:$H$962,1+(2*(ROWS(A$1:A20)-1)))</f>
        <v>18</v>
      </c>
      <c r="W21" s="34">
        <f>INDEX('9 - Water Readings'!$I$8:$I$962,1+(2*(ROWS(A$1:A20)-1)))</f>
        <v>68</v>
      </c>
      <c r="X21" s="34">
        <f>INDEX('9 - Water Readings'!$J$8:$J$962,1+(2*(ROWS(A$1:A20)-1)))</f>
        <v>306</v>
      </c>
      <c r="Y21" s="34">
        <f>INDEX('9 - Water Readings'!$K$8:$K$962,1+(2*(ROWS(A$1:A20)-1)))</f>
        <v>0</v>
      </c>
      <c r="Z21" s="34">
        <f>INDEX('9 - Water Readings'!$L$8:$L$962,1+(2*(ROWS(A$1:A20)-1)))</f>
        <v>41</v>
      </c>
      <c r="AA21" s="35">
        <f>'9 - Water Readings'!Q26</f>
        <v>74</v>
      </c>
      <c r="AB21" s="33">
        <f>'9 - Water Readings'!R26</f>
        <v>262</v>
      </c>
      <c r="AC21">
        <f>'9 - Water Readings'!S26</f>
        <v>1.9</v>
      </c>
    </row>
    <row r="22" spans="1:29" x14ac:dyDescent="0.25">
      <c r="A22" s="36" t="s">
        <v>11</v>
      </c>
      <c r="B22" s="36">
        <f t="shared" si="0"/>
        <v>21</v>
      </c>
      <c r="C22" s="36">
        <v>12</v>
      </c>
      <c r="D22" s="33">
        <v>2022</v>
      </c>
      <c r="E22" s="34">
        <f>INDEX('13 - Electrical Readings'!$C$8:$C$960,1+(2*(ROWS(A$1:A21)-1)))</f>
        <v>10</v>
      </c>
      <c r="F22" s="34">
        <f>INDEX('13 - Electrical Readings'!$D$6:$D$960,1+(2*(ROWS(A$1:A22)-1)))</f>
        <v>922</v>
      </c>
      <c r="G22" s="33">
        <f>INDEX('13 - Electrical Readings'!$E$6:$E$960,1+(2*(ROWS(A$1:A22)-1)))</f>
        <v>13822</v>
      </c>
      <c r="H22" s="33">
        <f>INDEX('13 - Electrical Readings'!$F$6:$F$960,1+(2*(ROWS(A$1:A22)-1)))</f>
        <v>2684</v>
      </c>
      <c r="I22" s="34">
        <f>INDEX('13 - Electrical Readings'!$G$6:$G$960,1+(2*(ROWS(A$1:A22)-1)))</f>
        <v>15</v>
      </c>
      <c r="J22" s="33">
        <f>INDEX('13 - Electrical Readings'!$I$6:$I$960,1+(2*(ROWS(A$1:A22)-1)))</f>
        <v>1718</v>
      </c>
      <c r="K22" s="33">
        <f>INDEX('13 - Electrical Readings'!$J$6:$J$960,1+(2*(ROWS(B$1:B22)-1)))</f>
        <v>9766</v>
      </c>
      <c r="L22" s="33">
        <f>INDEX('13 - Electrical Readings'!$K$6:$K$960,1+(2*(ROWS(C$1:C22)-1)))</f>
        <v>3676</v>
      </c>
      <c r="M22" s="33">
        <f>INDEX('13 - Electrical Readings'!$L$6:$L$960,1+(2*(ROWS(D$1:D22)-1)))</f>
        <v>5047</v>
      </c>
      <c r="N22" s="33">
        <f>INDEX('13 - Electrical Readings'!$M$6:$M$960,1+(2*(ROWS(E$1:E22)-1)))</f>
        <v>11003</v>
      </c>
      <c r="O22" s="34">
        <f>INDEX('13 - Electrical Readings'!$N$6:$N$960,1+(2*(ROWS(E$1:E22)-1)))</f>
        <v>7391</v>
      </c>
      <c r="P22" s="34">
        <f>INDEX('13 - Electrical Readings'!$O$6:$O$960,1+(2*(ROWS(E$1:E22)-1)))</f>
        <v>1861</v>
      </c>
      <c r="Q22" s="34">
        <f>INDEX('13 - Electrical Readings'!$P$6:$P$960,1+(2*(ROWS(E$1:E22)-1)))</f>
        <v>2920</v>
      </c>
      <c r="R22" s="34">
        <f>INDEX('9 - Water Readings'!$C$8:$C$962,1+(2*(ROWS(A$1:A21)-1)))</f>
        <v>0</v>
      </c>
      <c r="S22" s="34">
        <f>INDEX('9 - Water Readings'!$D$8:$D$961,1+(2*(ROWS(A$1:A21)-1)))</f>
        <v>0</v>
      </c>
      <c r="T22" s="34">
        <f>INDEX('9 - Water Readings'!$E$8:$E$962,1+(2*(ROWS(A$1:A21)-1)))</f>
        <v>0</v>
      </c>
      <c r="U22" s="34">
        <f>INDEX('9 - Water Readings'!$G$8:$G$961,1+(2*(ROWS(A$1:A21)-1)))</f>
        <v>115</v>
      </c>
      <c r="V22" s="34">
        <f>INDEX('9 - Water Readings'!$H$8:$H$962,1+(2*(ROWS(A$1:A21)-1)))</f>
        <v>18</v>
      </c>
      <c r="W22" s="34">
        <f>INDEX('9 - Water Readings'!$I$8:$I$962,1+(2*(ROWS(A$1:A21)-1)))</f>
        <v>55</v>
      </c>
      <c r="X22" s="34">
        <f>INDEX('9 - Water Readings'!$J$8:$J$962,1+(2*(ROWS(A$1:A21)-1)))</f>
        <v>376</v>
      </c>
      <c r="Y22" s="34">
        <f>INDEX('9 - Water Readings'!$K$8:$K$962,1+(2*(ROWS(A$1:A21)-1)))</f>
        <v>0</v>
      </c>
      <c r="Z22" s="34">
        <f>INDEX('9 - Water Readings'!$L$8:$L$962,1+(2*(ROWS(A$1:A21)-1)))</f>
        <v>43</v>
      </c>
      <c r="AA22" s="35">
        <f>'9 - Water Readings'!Q27</f>
        <v>71</v>
      </c>
      <c r="AB22" s="33">
        <f>'9 - Water Readings'!R27</f>
        <v>252</v>
      </c>
      <c r="AC22">
        <f>'9 - Water Readings'!S27</f>
        <v>2.7</v>
      </c>
    </row>
    <row r="23" spans="1:29" x14ac:dyDescent="0.25">
      <c r="A23" s="36" t="s">
        <v>11</v>
      </c>
      <c r="B23" s="36">
        <f t="shared" si="0"/>
        <v>22</v>
      </c>
      <c r="C23" s="36">
        <v>12</v>
      </c>
      <c r="D23" s="33">
        <v>2022</v>
      </c>
      <c r="E23" s="34">
        <f>INDEX('13 - Electrical Readings'!$C$8:$C$960,1+(2*(ROWS(A$1:A22)-1)))</f>
        <v>2</v>
      </c>
      <c r="F23" s="34">
        <f>INDEX('13 - Electrical Readings'!$D$6:$D$960,1+(2*(ROWS(A$1:A23)-1)))</f>
        <v>970</v>
      </c>
      <c r="G23" s="33">
        <f>INDEX('13 - Electrical Readings'!$E$6:$E$960,1+(2*(ROWS(A$1:A23)-1)))</f>
        <v>14313</v>
      </c>
      <c r="H23" s="33">
        <f>INDEX('13 - Electrical Readings'!$F$6:$F$960,1+(2*(ROWS(A$1:A23)-1)))</f>
        <v>2829</v>
      </c>
      <c r="I23" s="34">
        <f>INDEX('13 - Electrical Readings'!$G$6:$G$960,1+(2*(ROWS(A$1:A23)-1)))</f>
        <v>15</v>
      </c>
      <c r="J23" s="33">
        <f>INDEX('13 - Electrical Readings'!$I$6:$I$960,1+(2*(ROWS(A$1:A23)-1)))</f>
        <v>1761</v>
      </c>
      <c r="K23" s="33">
        <f>INDEX('13 - Electrical Readings'!$J$6:$J$960,1+(2*(ROWS(B$1:B23)-1)))</f>
        <v>9919</v>
      </c>
      <c r="L23" s="33">
        <f>INDEX('13 - Electrical Readings'!$K$6:$K$960,1+(2*(ROWS(C$1:C23)-1)))</f>
        <v>3780</v>
      </c>
      <c r="M23" s="33">
        <f>INDEX('13 - Electrical Readings'!$L$6:$L$960,1+(2*(ROWS(D$1:D23)-1)))</f>
        <v>5015</v>
      </c>
      <c r="N23" s="33">
        <f>INDEX('13 - Electrical Readings'!$M$6:$M$960,1+(2*(ROWS(E$1:E23)-1)))</f>
        <v>11341</v>
      </c>
      <c r="O23" s="34">
        <f>INDEX('13 - Electrical Readings'!$N$6:$N$960,1+(2*(ROWS(E$1:E23)-1)))</f>
        <v>7466</v>
      </c>
      <c r="P23" s="34">
        <f>INDEX('13 - Electrical Readings'!$O$6:$O$960,1+(2*(ROWS(E$1:E23)-1)))</f>
        <v>1711</v>
      </c>
      <c r="Q23" s="34">
        <f>INDEX('13 - Electrical Readings'!$P$6:$P$960,1+(2*(ROWS(E$1:E23)-1)))</f>
        <v>2680</v>
      </c>
      <c r="R23" s="34">
        <f>INDEX('9 - Water Readings'!$C$8:$C$962,1+(2*(ROWS(A$1:A22)-1)))</f>
        <v>0</v>
      </c>
      <c r="S23" s="34">
        <f>INDEX('9 - Water Readings'!$D$8:$D$961,1+(2*(ROWS(A$1:A22)-1)))</f>
        <v>0</v>
      </c>
      <c r="T23" s="34">
        <f>INDEX('9 - Water Readings'!$E$8:$E$962,1+(2*(ROWS(A$1:A22)-1)))</f>
        <v>0</v>
      </c>
      <c r="U23" s="34">
        <f>INDEX('9 - Water Readings'!$G$8:$G$961,1+(2*(ROWS(A$1:A22)-1)))</f>
        <v>117</v>
      </c>
      <c r="V23" s="34">
        <f>INDEX('9 - Water Readings'!$H$8:$H$962,1+(2*(ROWS(A$1:A22)-1)))</f>
        <v>16</v>
      </c>
      <c r="W23" s="34">
        <f>INDEX('9 - Water Readings'!$I$8:$I$962,1+(2*(ROWS(A$1:A22)-1)))</f>
        <v>54</v>
      </c>
      <c r="X23" s="34">
        <f>INDEX('9 - Water Readings'!$J$8:$J$962,1+(2*(ROWS(A$1:A22)-1)))</f>
        <v>432</v>
      </c>
      <c r="Y23" s="34">
        <f>INDEX('9 - Water Readings'!$K$8:$K$962,1+(2*(ROWS(A$1:A22)-1)))</f>
        <v>0</v>
      </c>
      <c r="Z23" s="34">
        <f>INDEX('9 - Water Readings'!$L$8:$L$962,1+(2*(ROWS(A$1:A22)-1)))</f>
        <v>34</v>
      </c>
      <c r="AA23" s="35">
        <f>'9 - Water Readings'!Q28</f>
        <v>118</v>
      </c>
      <c r="AB23" s="33">
        <f>'9 - Water Readings'!R28</f>
        <v>470</v>
      </c>
      <c r="AC23">
        <f>'9 - Water Readings'!S28</f>
        <v>2.6</v>
      </c>
    </row>
    <row r="24" spans="1:29" x14ac:dyDescent="0.25">
      <c r="A24" s="36" t="s">
        <v>11</v>
      </c>
      <c r="B24" s="36">
        <f t="shared" si="0"/>
        <v>23</v>
      </c>
      <c r="C24" s="36">
        <v>12</v>
      </c>
      <c r="D24" s="33">
        <v>2022</v>
      </c>
      <c r="E24" s="34">
        <f>INDEX('13 - Electrical Readings'!$C$8:$C$960,1+(2*(ROWS(A$1:A23)-1)))</f>
        <v>0</v>
      </c>
      <c r="F24" s="34">
        <f>INDEX('13 - Electrical Readings'!$D$6:$D$960,1+(2*(ROWS(A$1:A24)-1)))</f>
        <v>885</v>
      </c>
      <c r="G24" s="33">
        <f>INDEX('13 - Electrical Readings'!$E$6:$E$960,1+(2*(ROWS(A$1:A24)-1)))</f>
        <v>14927</v>
      </c>
      <c r="H24" s="33">
        <f>INDEX('13 - Electrical Readings'!$F$6:$F$960,1+(2*(ROWS(A$1:A24)-1)))</f>
        <v>3066</v>
      </c>
      <c r="I24" s="34">
        <f>INDEX('13 - Electrical Readings'!$G$6:$G$960,1+(2*(ROWS(A$1:A24)-1)))</f>
        <v>15</v>
      </c>
      <c r="J24" s="33">
        <f>INDEX('13 - Electrical Readings'!$I$6:$I$960,1+(2*(ROWS(A$1:A24)-1)))</f>
        <v>1726</v>
      </c>
      <c r="K24" s="33">
        <f>INDEX('13 - Electrical Readings'!$J$6:$J$960,1+(2*(ROWS(B$1:B24)-1)))</f>
        <v>9833</v>
      </c>
      <c r="L24" s="33">
        <f>INDEX('13 - Electrical Readings'!$K$6:$K$960,1+(2*(ROWS(C$1:C24)-1)))</f>
        <v>3960</v>
      </c>
      <c r="M24" s="33">
        <f>INDEX('13 - Electrical Readings'!$L$6:$L$960,1+(2*(ROWS(D$1:D24)-1)))</f>
        <v>4881</v>
      </c>
      <c r="N24" s="33">
        <f>INDEX('13 - Electrical Readings'!$M$6:$M$960,1+(2*(ROWS(E$1:E24)-1)))</f>
        <v>10887</v>
      </c>
      <c r="O24" s="34">
        <f>INDEX('13 - Electrical Readings'!$N$6:$N$960,1+(2*(ROWS(E$1:E24)-1)))</f>
        <v>7277</v>
      </c>
      <c r="P24" s="34">
        <f>INDEX('13 - Electrical Readings'!$O$6:$O$960,1+(2*(ROWS(E$1:E24)-1)))</f>
        <v>1949</v>
      </c>
      <c r="Q24" s="34">
        <f>INDEX('13 - Electrical Readings'!$P$6:$P$960,1+(2*(ROWS(E$1:E24)-1)))</f>
        <v>2800</v>
      </c>
      <c r="R24" s="34">
        <f>INDEX('9 - Water Readings'!$C$8:$C$962,1+(2*(ROWS(A$1:A23)-1)))</f>
        <v>0</v>
      </c>
      <c r="S24" s="34">
        <f>INDEX('9 - Water Readings'!$D$8:$D$961,1+(2*(ROWS(A$1:A23)-1)))</f>
        <v>0</v>
      </c>
      <c r="T24" s="34">
        <f>INDEX('9 - Water Readings'!$E$8:$E$962,1+(2*(ROWS(A$1:A23)-1)))</f>
        <v>0</v>
      </c>
      <c r="U24" s="34">
        <f>INDEX('9 - Water Readings'!$G$8:$G$961,1+(2*(ROWS(A$1:A23)-1)))</f>
        <v>116</v>
      </c>
      <c r="V24" s="34">
        <f>INDEX('9 - Water Readings'!$H$8:$H$962,1+(2*(ROWS(A$1:A23)-1)))</f>
        <v>14</v>
      </c>
      <c r="W24" s="34">
        <f>INDEX('9 - Water Readings'!$I$8:$I$962,1+(2*(ROWS(A$1:A23)-1)))</f>
        <v>61</v>
      </c>
      <c r="X24" s="34">
        <f>INDEX('9 - Water Readings'!$J$8:$J$962,1+(2*(ROWS(A$1:A23)-1)))</f>
        <v>290</v>
      </c>
      <c r="Y24" s="34">
        <f>INDEX('9 - Water Readings'!$K$8:$K$962,1+(2*(ROWS(A$1:A23)-1)))</f>
        <v>0</v>
      </c>
      <c r="Z24" s="34">
        <f>INDEX('9 - Water Readings'!$L$8:$L$962,1+(2*(ROWS(A$1:A23)-1)))</f>
        <v>27</v>
      </c>
      <c r="AA24" s="35">
        <f>'9 - Water Readings'!Q29</f>
        <v>125</v>
      </c>
      <c r="AB24" s="33">
        <f>'9 - Water Readings'!R29</f>
        <v>488</v>
      </c>
      <c r="AC24">
        <f>'9 - Water Readings'!S29</f>
        <v>2.2999999999999998</v>
      </c>
    </row>
    <row r="25" spans="1:29" x14ac:dyDescent="0.25">
      <c r="A25" s="36" t="s">
        <v>11</v>
      </c>
      <c r="B25" s="36">
        <f t="shared" si="0"/>
        <v>24</v>
      </c>
      <c r="C25" s="36">
        <v>12</v>
      </c>
      <c r="D25" s="33">
        <v>2022</v>
      </c>
      <c r="E25" s="34">
        <f>INDEX('13 - Electrical Readings'!$C$8:$C$960,1+(2*(ROWS(A$1:A24)-1)))</f>
        <v>8</v>
      </c>
      <c r="F25" s="34">
        <f>INDEX('13 - Electrical Readings'!$D$6:$D$960,1+(2*(ROWS(A$1:A25)-1)))</f>
        <v>895</v>
      </c>
      <c r="G25" s="33">
        <f>INDEX('13 - Electrical Readings'!$E$6:$E$960,1+(2*(ROWS(A$1:A25)-1)))</f>
        <v>14439</v>
      </c>
      <c r="H25" s="33">
        <f>INDEX('13 - Electrical Readings'!$F$6:$F$960,1+(2*(ROWS(A$1:A25)-1)))</f>
        <v>3108</v>
      </c>
      <c r="I25" s="34">
        <f>INDEX('13 - Electrical Readings'!$G$6:$G$960,1+(2*(ROWS(A$1:A25)-1)))</f>
        <v>14</v>
      </c>
      <c r="J25" s="33">
        <f>INDEX('13 - Electrical Readings'!$I$6:$I$960,1+(2*(ROWS(A$1:A25)-1)))</f>
        <v>1735</v>
      </c>
      <c r="K25" s="33">
        <f>INDEX('13 - Electrical Readings'!$J$6:$J$960,1+(2*(ROWS(B$1:B25)-1)))</f>
        <v>9865</v>
      </c>
      <c r="L25" s="33">
        <f>INDEX('13 - Electrical Readings'!$K$6:$K$960,1+(2*(ROWS(C$1:C25)-1)))</f>
        <v>4107</v>
      </c>
      <c r="M25" s="33">
        <f>INDEX('13 - Electrical Readings'!$L$6:$L$960,1+(2*(ROWS(D$1:D25)-1)))</f>
        <v>5064</v>
      </c>
      <c r="N25" s="33">
        <f>INDEX('13 - Electrical Readings'!$M$6:$M$960,1+(2*(ROWS(E$1:E25)-1)))</f>
        <v>10199</v>
      </c>
      <c r="O25" s="34">
        <f>INDEX('13 - Electrical Readings'!$N$6:$N$960,1+(2*(ROWS(E$1:E25)-1)))</f>
        <v>7803</v>
      </c>
      <c r="P25" s="34">
        <f>INDEX('13 - Electrical Readings'!$O$6:$O$960,1+(2*(ROWS(E$1:E25)-1)))</f>
        <v>2037</v>
      </c>
      <c r="Q25" s="34">
        <f>INDEX('13 - Electrical Readings'!$P$6:$P$960,1+(2*(ROWS(E$1:E25)-1)))</f>
        <v>2780</v>
      </c>
      <c r="R25" s="34">
        <f>INDEX('9 - Water Readings'!$C$8:$C$962,1+(2*(ROWS(A$1:A24)-1)))</f>
        <v>0</v>
      </c>
      <c r="S25" s="34">
        <f>INDEX('9 - Water Readings'!$D$8:$D$961,1+(2*(ROWS(A$1:A24)-1)))</f>
        <v>0</v>
      </c>
      <c r="T25" s="34">
        <f>INDEX('9 - Water Readings'!$E$8:$E$962,1+(2*(ROWS(A$1:A24)-1)))</f>
        <v>0</v>
      </c>
      <c r="U25" s="34">
        <f>INDEX('9 - Water Readings'!$G$8:$G$961,1+(2*(ROWS(A$1:A24)-1)))</f>
        <v>124</v>
      </c>
      <c r="V25" s="34">
        <f>INDEX('9 - Water Readings'!$H$8:$H$962,1+(2*(ROWS(A$1:A24)-1)))</f>
        <v>20</v>
      </c>
      <c r="W25" s="34">
        <f>INDEX('9 - Water Readings'!$I$8:$I$962,1+(2*(ROWS(A$1:A24)-1)))</f>
        <v>55</v>
      </c>
      <c r="X25" s="34">
        <f>INDEX('9 - Water Readings'!$J$8:$J$962,1+(2*(ROWS(A$1:A24)-1)))</f>
        <v>317</v>
      </c>
      <c r="Y25" s="34">
        <f>INDEX('9 - Water Readings'!$K$8:$K$962,1+(2*(ROWS(A$1:A24)-1)))</f>
        <v>0</v>
      </c>
      <c r="Z25" s="34">
        <f>INDEX('9 - Water Readings'!$L$8:$L$962,1+(2*(ROWS(A$1:A24)-1)))</f>
        <v>23</v>
      </c>
      <c r="AA25" s="35">
        <f>'9 - Water Readings'!Q30</f>
        <v>101</v>
      </c>
      <c r="AB25" s="33">
        <f>'9 - Water Readings'!R30</f>
        <v>424</v>
      </c>
      <c r="AC25">
        <f>'9 - Water Readings'!S30</f>
        <v>3.4</v>
      </c>
    </row>
    <row r="26" spans="1:29" x14ac:dyDescent="0.25">
      <c r="A26" s="36" t="s">
        <v>11</v>
      </c>
      <c r="B26" s="36">
        <f>B25+1</f>
        <v>25</v>
      </c>
      <c r="C26" s="36">
        <v>12</v>
      </c>
      <c r="D26" s="33">
        <v>2022</v>
      </c>
      <c r="E26" s="34">
        <f>INDEX('13 - Electrical Readings'!$C$8:$C$960,1+(2*(ROWS(A$1:A25)-1)))</f>
        <v>4</v>
      </c>
      <c r="F26" s="34">
        <f>INDEX('13 - Electrical Readings'!$D$6:$D$960,1+(2*(ROWS(A$1:A26)-1)))</f>
        <v>884</v>
      </c>
      <c r="G26" s="33">
        <f>INDEX('13 - Electrical Readings'!$E$6:$E$960,1+(2*(ROWS(A$1:A26)-1)))</f>
        <v>11881</v>
      </c>
      <c r="H26" s="33">
        <f>INDEX('13 - Electrical Readings'!$F$6:$F$960,1+(2*(ROWS(A$1:A26)-1)))</f>
        <v>2627</v>
      </c>
      <c r="I26" s="34">
        <f>INDEX('13 - Electrical Readings'!$G$6:$G$960,1+(2*(ROWS(A$1:A26)-1)))</f>
        <v>18</v>
      </c>
      <c r="J26" s="33">
        <f>INDEX('13 - Electrical Readings'!$I$6:$I$960,1+(2*(ROWS(A$1:A26)-1)))</f>
        <v>1727</v>
      </c>
      <c r="K26" s="33">
        <f>INDEX('13 - Electrical Readings'!$J$6:$J$960,1+(2*(ROWS(B$1:B26)-1)))</f>
        <v>9712</v>
      </c>
      <c r="L26" s="33">
        <f>INDEX('13 - Electrical Readings'!$K$6:$K$960,1+(2*(ROWS(C$1:C26)-1)))</f>
        <v>3774</v>
      </c>
      <c r="M26" s="33">
        <f>INDEX('13 - Electrical Readings'!$L$6:$L$960,1+(2*(ROWS(D$1:D26)-1)))</f>
        <v>5018</v>
      </c>
      <c r="N26" s="33">
        <f>INDEX('13 - Electrical Readings'!$M$6:$M$960,1+(2*(ROWS(E$1:E26)-1)))</f>
        <v>9302</v>
      </c>
      <c r="O26" s="34">
        <f>INDEX('13 - Electrical Readings'!$N$6:$N$960,1+(2*(ROWS(E$1:E26)-1)))</f>
        <v>7305</v>
      </c>
      <c r="P26" s="34">
        <f>INDEX('13 - Electrical Readings'!$O$6:$O$960,1+(2*(ROWS(E$1:E26)-1)))</f>
        <v>1755</v>
      </c>
      <c r="Q26" s="34">
        <f>INDEX('13 - Electrical Readings'!$P$6:$P$960,1+(2*(ROWS(E$1:E26)-1)))</f>
        <v>2440</v>
      </c>
      <c r="R26" s="34">
        <f>INDEX('9 - Water Readings'!$C$8:$C$962,1+(2*(ROWS(A$1:A25)-1)))</f>
        <v>0</v>
      </c>
      <c r="S26" s="34">
        <f>INDEX('9 - Water Readings'!$D$8:$D$961,1+(2*(ROWS(A$1:A25)-1)))</f>
        <v>0</v>
      </c>
      <c r="T26" s="34">
        <f>INDEX('9 - Water Readings'!$E$8:$E$962,1+(2*(ROWS(A$1:A25)-1)))</f>
        <v>0</v>
      </c>
      <c r="U26" s="34">
        <f>INDEX('9 - Water Readings'!$G$8:$G$961,1+(2*(ROWS(A$1:A25)-1)))</f>
        <v>116</v>
      </c>
      <c r="V26" s="34">
        <f>INDEX('9 - Water Readings'!$H$8:$H$962,1+(2*(ROWS(A$1:A25)-1)))</f>
        <v>15</v>
      </c>
      <c r="W26" s="34">
        <f>INDEX('9 - Water Readings'!$I$8:$I$962,1+(2*(ROWS(A$1:A25)-1)))</f>
        <v>57</v>
      </c>
      <c r="X26" s="34">
        <f>INDEX('9 - Water Readings'!$J$8:$J$962,1+(2*(ROWS(A$1:A25)-1)))</f>
        <v>299</v>
      </c>
      <c r="Y26" s="34">
        <f>INDEX('9 - Water Readings'!$K$8:$K$962,1+(2*(ROWS(A$1:A25)-1)))</f>
        <v>0</v>
      </c>
      <c r="Z26" s="34">
        <f>INDEX('9 - Water Readings'!$L$8:$L$962,1+(2*(ROWS(A$1:A25)-1)))</f>
        <v>27</v>
      </c>
      <c r="AA26" s="35">
        <f>'9 - Water Readings'!Q31</f>
        <v>101</v>
      </c>
      <c r="AB26" s="33">
        <f>'9 - Water Readings'!R31</f>
        <v>428</v>
      </c>
      <c r="AC26">
        <f>'9 - Water Readings'!S31</f>
        <v>1.7</v>
      </c>
    </row>
    <row r="27" spans="1:29" x14ac:dyDescent="0.25">
      <c r="A27" s="36" t="s">
        <v>11</v>
      </c>
      <c r="B27" s="36">
        <f t="shared" si="0"/>
        <v>26</v>
      </c>
      <c r="C27" s="36">
        <v>12</v>
      </c>
      <c r="D27" s="33">
        <v>2022</v>
      </c>
      <c r="E27" s="34">
        <f>INDEX('13 - Electrical Readings'!$C$8:$C$960,1+(2*(ROWS(A$1:A26)-1)))</f>
        <v>4</v>
      </c>
      <c r="F27" s="34">
        <f>INDEX('13 - Electrical Readings'!$D$6:$D$960,1+(2*(ROWS(A$1:A27)-1)))</f>
        <v>8140</v>
      </c>
      <c r="G27" s="33">
        <f>INDEX('13 - Electrical Readings'!$E$6:$E$960,1+(2*(ROWS(A$1:A27)-1)))</f>
        <v>4421</v>
      </c>
      <c r="H27" s="33">
        <f>INDEX('13 - Electrical Readings'!$F$6:$F$960,1+(2*(ROWS(A$1:A27)-1)))</f>
        <v>2322</v>
      </c>
      <c r="I27" s="34">
        <f>INDEX('13 - Electrical Readings'!$G$6:$G$960,1+(2*(ROWS(A$1:A27)-1)))</f>
        <v>14</v>
      </c>
      <c r="J27" s="33">
        <f>INDEX('13 - Electrical Readings'!$I$6:$I$960,1+(2*(ROWS(A$1:A27)-1)))</f>
        <v>1821</v>
      </c>
      <c r="K27" s="33">
        <f>INDEX('13 - Electrical Readings'!$J$6:$J$960,1+(2*(ROWS(B$1:B27)-1)))</f>
        <v>9500</v>
      </c>
      <c r="L27" s="33">
        <f>INDEX('13 - Electrical Readings'!$K$6:$K$960,1+(2*(ROWS(C$1:C27)-1)))</f>
        <v>3373</v>
      </c>
      <c r="M27" s="33">
        <f>INDEX('13 - Electrical Readings'!$L$6:$L$960,1+(2*(ROWS(D$1:D27)-1)))</f>
        <v>4992</v>
      </c>
      <c r="N27" s="33">
        <f>INDEX('13 - Electrical Readings'!$M$6:$M$960,1+(2*(ROWS(E$1:E27)-1)))</f>
        <v>10916</v>
      </c>
      <c r="O27" s="34">
        <f>INDEX('13 - Electrical Readings'!$N$6:$N$960,1+(2*(ROWS(E$1:E27)-1)))</f>
        <v>6527</v>
      </c>
      <c r="P27" s="34">
        <f>INDEX('13 - Electrical Readings'!$O$6:$O$960,1+(2*(ROWS(E$1:E27)-1)))</f>
        <v>1606</v>
      </c>
      <c r="Q27" s="34">
        <f>INDEX('13 - Electrical Readings'!$P$6:$P$960,1+(2*(ROWS(E$1:E27)-1)))</f>
        <v>2520</v>
      </c>
      <c r="R27" s="34">
        <f>INDEX('9 - Water Readings'!$C$8:$C$962,1+(2*(ROWS(A$1:A26)-1)))</f>
        <v>1</v>
      </c>
      <c r="S27" s="34">
        <f>INDEX('9 - Water Readings'!$D$8:$D$961,1+(2*(ROWS(A$1:A26)-1)))</f>
        <v>0</v>
      </c>
      <c r="T27" s="34">
        <f>INDEX('9 - Water Readings'!$E$8:$E$962,1+(2*(ROWS(A$1:A26)-1)))</f>
        <v>0</v>
      </c>
      <c r="U27" s="34">
        <f>INDEX('9 - Water Readings'!$G$8:$G$961,1+(2*(ROWS(A$1:A26)-1)))</f>
        <v>116</v>
      </c>
      <c r="V27" s="34">
        <f>INDEX('9 - Water Readings'!$H$8:$H$962,1+(2*(ROWS(A$1:A26)-1)))</f>
        <v>13</v>
      </c>
      <c r="W27" s="34">
        <f>INDEX('9 - Water Readings'!$I$8:$I$962,1+(2*(ROWS(A$1:A26)-1)))</f>
        <v>58</v>
      </c>
      <c r="X27" s="34">
        <f>INDEX('9 - Water Readings'!$J$8:$J$962,1+(2*(ROWS(A$1:A26)-1)))</f>
        <v>291</v>
      </c>
      <c r="Y27" s="34">
        <f>INDEX('9 - Water Readings'!$K$8:$K$962,1+(2*(ROWS(A$1:A26)-1)))</f>
        <v>0</v>
      </c>
      <c r="Z27" s="34">
        <f>INDEX('9 - Water Readings'!$L$8:$L$962,1+(2*(ROWS(A$1:A26)-1)))</f>
        <v>15</v>
      </c>
      <c r="AA27" s="35">
        <f>'9 - Water Readings'!Q32</f>
        <v>127</v>
      </c>
      <c r="AB27" s="33">
        <f>'9 - Water Readings'!R32</f>
        <v>526</v>
      </c>
      <c r="AC27">
        <f>'9 - Water Readings'!S32</f>
        <v>0</v>
      </c>
    </row>
    <row r="28" spans="1:29" x14ac:dyDescent="0.25">
      <c r="A28" s="36" t="s">
        <v>11</v>
      </c>
      <c r="B28" s="36">
        <f t="shared" si="0"/>
        <v>27</v>
      </c>
      <c r="C28" s="36">
        <v>12</v>
      </c>
      <c r="D28" s="33">
        <v>2022</v>
      </c>
      <c r="E28" s="34">
        <f>INDEX('13 - Electrical Readings'!$C$8:$C$960,1+(2*(ROWS(A$1:A27)-1)))</f>
        <v>13</v>
      </c>
      <c r="F28" s="34">
        <f>INDEX('13 - Electrical Readings'!$D$6:$D$960,1+(2*(ROWS(A$1:A28)-1)))</f>
        <v>10328</v>
      </c>
      <c r="G28" s="33">
        <f>INDEX('13 - Electrical Readings'!$E$6:$E$960,1+(2*(ROWS(A$1:A28)-1)))</f>
        <v>2019</v>
      </c>
      <c r="H28" s="33">
        <f>INDEX('13 - Electrical Readings'!$F$6:$F$960,1+(2*(ROWS(A$1:A28)-1)))</f>
        <v>2319</v>
      </c>
      <c r="I28" s="34">
        <f>INDEX('13 - Electrical Readings'!$G$6:$G$960,1+(2*(ROWS(A$1:A28)-1)))</f>
        <v>14</v>
      </c>
      <c r="J28" s="33">
        <f>INDEX('13 - Electrical Readings'!$I$6:$I$960,1+(2*(ROWS(A$1:A28)-1)))</f>
        <v>1719</v>
      </c>
      <c r="K28" s="33">
        <f>INDEX('13 - Electrical Readings'!$J$6:$J$960,1+(2*(ROWS(B$1:B28)-1)))</f>
        <v>9955</v>
      </c>
      <c r="L28" s="33">
        <f>INDEX('13 - Electrical Readings'!$K$6:$K$960,1+(2*(ROWS(C$1:C28)-1)))</f>
        <v>3482</v>
      </c>
      <c r="M28" s="33">
        <f>INDEX('13 - Electrical Readings'!$L$6:$L$960,1+(2*(ROWS(D$1:D28)-1)))</f>
        <v>4915</v>
      </c>
      <c r="N28" s="33">
        <f>INDEX('13 - Electrical Readings'!$M$6:$M$960,1+(2*(ROWS(E$1:E28)-1)))</f>
        <v>10596</v>
      </c>
      <c r="O28" s="34">
        <f>INDEX('13 - Electrical Readings'!$N$6:$N$960,1+(2*(ROWS(E$1:E28)-1)))</f>
        <v>6913</v>
      </c>
      <c r="P28" s="34">
        <f>INDEX('13 - Electrical Readings'!$O$6:$O$960,1+(2*(ROWS(E$1:E28)-1)))</f>
        <v>1425</v>
      </c>
      <c r="Q28" s="34">
        <f>INDEX('13 - Electrical Readings'!$P$6:$P$960,1+(2*(ROWS(E$1:E28)-1)))</f>
        <v>2400</v>
      </c>
      <c r="R28" s="34">
        <f>INDEX('9 - Water Readings'!$C$8:$C$962,1+(2*(ROWS(A$1:A27)-1)))</f>
        <v>0</v>
      </c>
      <c r="S28" s="34">
        <f>INDEX('9 - Water Readings'!$D$8:$D$961,1+(2*(ROWS(A$1:A27)-1)))</f>
        <v>0</v>
      </c>
      <c r="T28" s="34">
        <f>INDEX('9 - Water Readings'!$E$8:$E$962,1+(2*(ROWS(A$1:A27)-1)))</f>
        <v>0</v>
      </c>
      <c r="U28" s="34">
        <f>INDEX('9 - Water Readings'!$G$8:$G$961,1+(2*(ROWS(A$1:A27)-1)))</f>
        <v>125</v>
      </c>
      <c r="V28" s="34">
        <f>INDEX('9 - Water Readings'!$H$8:$H$962,1+(2*(ROWS(A$1:A27)-1)))</f>
        <v>15</v>
      </c>
      <c r="W28" s="34">
        <f>INDEX('9 - Water Readings'!$I$8:$I$962,1+(2*(ROWS(A$1:A27)-1)))</f>
        <v>55</v>
      </c>
      <c r="X28" s="34">
        <f>INDEX('9 - Water Readings'!$J$8:$J$962,1+(2*(ROWS(A$1:A27)-1)))</f>
        <v>295</v>
      </c>
      <c r="Y28" s="34">
        <f>INDEX('9 - Water Readings'!$K$8:$K$962,1+(2*(ROWS(A$1:A27)-1)))</f>
        <v>0</v>
      </c>
      <c r="Z28" s="34">
        <f>INDEX('9 - Water Readings'!$L$8:$L$962,1+(2*(ROWS(A$1:A27)-1)))</f>
        <v>36</v>
      </c>
      <c r="AA28" s="35">
        <f>'9 - Water Readings'!Q33</f>
        <v>122</v>
      </c>
      <c r="AB28" s="33">
        <f>'9 - Water Readings'!R33</f>
        <v>504</v>
      </c>
      <c r="AC28">
        <f>'9 - Water Readings'!S33</f>
        <v>0.4</v>
      </c>
    </row>
    <row r="29" spans="1:29" x14ac:dyDescent="0.25">
      <c r="A29" s="36" t="s">
        <v>11</v>
      </c>
      <c r="B29" s="36">
        <f t="shared" si="0"/>
        <v>28</v>
      </c>
      <c r="C29" s="36">
        <v>12</v>
      </c>
      <c r="D29" s="33">
        <v>2022</v>
      </c>
      <c r="E29" s="34">
        <f>INDEX('13 - Electrical Readings'!$C$8:$C$960,1+(2*(ROWS(A$1:A28)-1)))</f>
        <v>6</v>
      </c>
      <c r="F29" s="34">
        <f>INDEX('13 - Electrical Readings'!$D$6:$D$960,1+(2*(ROWS(A$1:A29)-1)))</f>
        <v>10182</v>
      </c>
      <c r="G29" s="33">
        <f>INDEX('13 - Electrical Readings'!$E$6:$E$960,1+(2*(ROWS(A$1:A29)-1)))</f>
        <v>2107</v>
      </c>
      <c r="H29" s="33">
        <f>INDEX('13 - Electrical Readings'!$F$6:$F$960,1+(2*(ROWS(A$1:A29)-1)))</f>
        <v>2282</v>
      </c>
      <c r="I29" s="34">
        <f>INDEX('13 - Electrical Readings'!$G$6:$G$960,1+(2*(ROWS(A$1:A29)-1)))</f>
        <v>14</v>
      </c>
      <c r="J29" s="33">
        <f>INDEX('13 - Electrical Readings'!$I$6:$I$960,1+(2*(ROWS(A$1:A29)-1)))</f>
        <v>1711</v>
      </c>
      <c r="K29" s="33">
        <f>INDEX('13 - Electrical Readings'!$J$6:$J$960,1+(2*(ROWS(B$1:B29)-1)))</f>
        <v>9592</v>
      </c>
      <c r="L29" s="33">
        <f>INDEX('13 - Electrical Readings'!$K$6:$K$960,1+(2*(ROWS(C$1:C29)-1)))</f>
        <v>3602</v>
      </c>
      <c r="M29" s="33">
        <f>INDEX('13 - Electrical Readings'!$L$6:$L$960,1+(2*(ROWS(D$1:D29)-1)))</f>
        <v>4977</v>
      </c>
      <c r="N29" s="33">
        <f>INDEX('13 - Electrical Readings'!$M$6:$M$960,1+(2*(ROWS(E$1:E29)-1)))</f>
        <v>10583</v>
      </c>
      <c r="O29" s="34">
        <f>INDEX('13 - Electrical Readings'!$N$6:$N$960,1+(2*(ROWS(E$1:E29)-1)))</f>
        <v>6849</v>
      </c>
      <c r="P29" s="34">
        <f>INDEX('13 - Electrical Readings'!$O$6:$O$960,1+(2*(ROWS(E$1:E29)-1)))</f>
        <v>1554</v>
      </c>
      <c r="Q29" s="34">
        <f>INDEX('13 - Electrical Readings'!$P$6:$P$960,1+(2*(ROWS(E$1:E29)-1)))</f>
        <v>2340</v>
      </c>
      <c r="R29" s="34">
        <f>INDEX('9 - Water Readings'!$C$8:$C$962,1+(2*(ROWS(A$1:A28)-1)))</f>
        <v>0</v>
      </c>
      <c r="S29" s="34">
        <f>INDEX('9 - Water Readings'!$D$8:$D$961,1+(2*(ROWS(A$1:A28)-1)))</f>
        <v>0</v>
      </c>
      <c r="T29" s="34">
        <f>INDEX('9 - Water Readings'!$E$8:$E$962,1+(2*(ROWS(A$1:A28)-1)))</f>
        <v>0</v>
      </c>
      <c r="U29" s="34">
        <f>INDEX('9 - Water Readings'!$G$8:$G$961,1+(2*(ROWS(A$1:A28)-1)))</f>
        <v>118</v>
      </c>
      <c r="V29" s="34">
        <f>INDEX('9 - Water Readings'!$H$8:$H$962,1+(2*(ROWS(A$1:A28)-1)))</f>
        <v>15</v>
      </c>
      <c r="W29" s="34">
        <f>INDEX('9 - Water Readings'!$I$8:$I$962,1+(2*(ROWS(A$1:A28)-1)))</f>
        <v>58</v>
      </c>
      <c r="X29" s="34">
        <f>INDEX('9 - Water Readings'!$J$8:$J$962,1+(2*(ROWS(A$1:A28)-1)))</f>
        <v>306</v>
      </c>
      <c r="Y29" s="34">
        <f>INDEX('9 - Water Readings'!$K$8:$K$962,1+(2*(ROWS(A$1:A28)-1)))</f>
        <v>0</v>
      </c>
      <c r="Z29" s="34">
        <f>INDEX('9 - Water Readings'!$L$8:$L$962,1+(2*(ROWS(A$1:A28)-1)))</f>
        <v>35</v>
      </c>
      <c r="AA29" s="35">
        <f>'9 - Water Readings'!Q34</f>
        <v>138</v>
      </c>
      <c r="AB29" s="33">
        <f>'9 - Water Readings'!R34</f>
        <v>554</v>
      </c>
      <c r="AC29">
        <f>'9 - Water Readings'!S34</f>
        <v>0</v>
      </c>
    </row>
    <row r="30" spans="1:29" x14ac:dyDescent="0.25">
      <c r="A30" s="36" t="s">
        <v>11</v>
      </c>
      <c r="B30" s="36">
        <v>29</v>
      </c>
      <c r="C30" s="36">
        <v>12</v>
      </c>
      <c r="D30" s="33">
        <v>2022</v>
      </c>
      <c r="E30" s="34">
        <f>INDEX('13 - Electrical Readings'!$C$8:$C$960,1+(2*(ROWS(A$1:A29)-1)))</f>
        <v>0</v>
      </c>
      <c r="F30" s="34">
        <f>INDEX('13 - Electrical Readings'!$D$6:$D$960,1+(2*(ROWS(A$1:A30)-1)))</f>
        <v>9540</v>
      </c>
      <c r="G30" s="33">
        <f>INDEX('13 - Electrical Readings'!$E$6:$E$960,1+(2*(ROWS(A$1:A30)-1)))</f>
        <v>2061</v>
      </c>
      <c r="H30" s="33">
        <f>INDEX('13 - Electrical Readings'!$F$6:$F$960,1+(2*(ROWS(A$1:A30)-1)))</f>
        <v>2087</v>
      </c>
      <c r="I30" s="34">
        <f>INDEX('13 - Electrical Readings'!$G$6:$G$960,1+(2*(ROWS(A$1:A30)-1)))</f>
        <v>15</v>
      </c>
      <c r="J30" s="33">
        <f>INDEX('13 - Electrical Readings'!$I$6:$I$960,1+(2*(ROWS(A$1:A30)-1)))</f>
        <v>1715</v>
      </c>
      <c r="K30" s="33">
        <f>INDEX('13 - Electrical Readings'!$J$6:$J$960,1+(2*(ROWS(B$1:B30)-1)))</f>
        <v>9628</v>
      </c>
      <c r="L30" s="33">
        <f>INDEX('13 - Electrical Readings'!$K$6:$K$960,1+(2*(ROWS(C$1:C30)-1)))</f>
        <v>3607</v>
      </c>
      <c r="M30" s="33">
        <f>INDEX('13 - Electrical Readings'!$L$6:$L$960,1+(2*(ROWS(D$1:D30)-1)))</f>
        <v>5070</v>
      </c>
      <c r="N30" s="33">
        <f>INDEX('13 - Electrical Readings'!$M$6:$M$960,1+(2*(ROWS(E$1:E30)-1)))</f>
        <v>10374</v>
      </c>
      <c r="O30" s="34">
        <f>INDEX('13 - Electrical Readings'!$N$6:$N$960,1+(2*(ROWS(E$1:E30)-1)))</f>
        <v>6985</v>
      </c>
      <c r="P30" s="34">
        <f>INDEX('13 - Electrical Readings'!$O$6:$O$960,1+(2*(ROWS(E$1:E30)-1)))</f>
        <v>1566</v>
      </c>
      <c r="Q30" s="34">
        <f>INDEX('13 - Electrical Readings'!$P$6:$P$960,1+(2*(ROWS(E$1:E30)-1)))</f>
        <v>2400</v>
      </c>
      <c r="R30" s="34">
        <f>INDEX('9 - Water Readings'!$C$8:$C$962,1+(2*(ROWS(A$1:A29)-1)))</f>
        <v>0</v>
      </c>
      <c r="S30" s="34">
        <f>INDEX('9 - Water Readings'!$D$8:$D$961,1+(2*(ROWS(A$1:A29)-1)))</f>
        <v>0</v>
      </c>
      <c r="T30" s="34">
        <f>INDEX('9 - Water Readings'!$E$8:$E$962,1+(2*(ROWS(A$1:A29)-1)))</f>
        <v>0</v>
      </c>
      <c r="U30" s="34">
        <f>INDEX('9 - Water Readings'!$G$8:$G$961,1+(2*(ROWS(A$1:A29)-1)))</f>
        <v>120</v>
      </c>
      <c r="V30" s="34">
        <f>INDEX('9 - Water Readings'!$H$8:$H$962,1+(2*(ROWS(A$1:A29)-1)))</f>
        <v>17</v>
      </c>
      <c r="W30" s="34">
        <f>INDEX('9 - Water Readings'!$I$8:$I$962,1+(2*(ROWS(A$1:A29)-1)))</f>
        <v>62</v>
      </c>
      <c r="X30" s="34">
        <f>INDEX('9 - Water Readings'!$J$8:$J$962,1+(2*(ROWS(A$1:A29)-1)))</f>
        <v>348</v>
      </c>
      <c r="Y30" s="34">
        <f>INDEX('9 - Water Readings'!$K$8:$K$962,1+(2*(ROWS(A$1:A29)-1)))</f>
        <v>0</v>
      </c>
      <c r="Z30" s="34">
        <f>INDEX('9 - Water Readings'!$L$8:$L$962,1+(2*(ROWS(A$1:A29)-1)))</f>
        <v>27</v>
      </c>
      <c r="AA30" s="35">
        <f>'9 - Water Readings'!Q35</f>
        <v>164</v>
      </c>
      <c r="AB30" s="33">
        <f>'9 - Water Readings'!R35</f>
        <v>706</v>
      </c>
      <c r="AC30">
        <f>'9 - Water Readings'!S35</f>
        <v>0.3</v>
      </c>
    </row>
    <row r="31" spans="1:29" x14ac:dyDescent="0.25">
      <c r="A31" s="36" t="s">
        <v>11</v>
      </c>
      <c r="B31" s="36">
        <v>30</v>
      </c>
      <c r="C31" s="36">
        <v>12</v>
      </c>
      <c r="D31" s="33">
        <v>2022</v>
      </c>
      <c r="E31" s="34">
        <f>INDEX('13 - Electrical Readings'!$C$8:$C$960,1+(2*(ROWS(A$1:A30)-1)))</f>
        <v>4</v>
      </c>
      <c r="F31" s="34">
        <f>INDEX('13 - Electrical Readings'!$D$6:$D$960,1+(2*(ROWS(A$1:A31)-1)))</f>
        <v>9504</v>
      </c>
      <c r="G31" s="33">
        <f>INDEX('13 - Electrical Readings'!$E$6:$E$960,1+(2*(ROWS(A$1:A31)-1)))</f>
        <v>2052</v>
      </c>
      <c r="H31" s="33">
        <f>INDEX('13 - Electrical Readings'!$F$6:$F$960,1+(2*(ROWS(A$1:A31)-1)))</f>
        <v>2043</v>
      </c>
      <c r="I31" s="34">
        <f>INDEX('13 - Electrical Readings'!$G$6:$G$960,1+(2*(ROWS(A$1:A31)-1)))</f>
        <v>17</v>
      </c>
      <c r="J31" s="33">
        <f>INDEX('13 - Electrical Readings'!$I$6:$I$960,1+(2*(ROWS(A$1:A31)-1)))</f>
        <v>1505</v>
      </c>
      <c r="K31" s="33">
        <f>INDEX('13 - Electrical Readings'!$J$6:$J$960,1+(2*(ROWS(B$1:B31)-1)))</f>
        <v>9789</v>
      </c>
      <c r="L31" s="33">
        <f>INDEX('13 - Electrical Readings'!$K$6:$K$960,1+(2*(ROWS(C$1:C31)-1)))</f>
        <v>3710</v>
      </c>
      <c r="M31" s="33">
        <f>INDEX('13 - Electrical Readings'!$L$6:$L$960,1+(2*(ROWS(D$1:D31)-1)))</f>
        <v>4922</v>
      </c>
      <c r="N31" s="33">
        <f>INDEX('13 - Electrical Readings'!$M$6:$M$960,1+(2*(ROWS(E$1:E31)-1)))</f>
        <v>10755</v>
      </c>
      <c r="O31" s="34">
        <f>INDEX('13 - Electrical Readings'!$N$6:$N$960,1+(2*(ROWS(E$1:E31)-1)))</f>
        <v>6903</v>
      </c>
      <c r="P31" s="34">
        <f>INDEX('13 - Electrical Readings'!$O$6:$O$960,1+(2*(ROWS(E$1:E31)-1)))</f>
        <v>1665</v>
      </c>
      <c r="Q31" s="34">
        <f>INDEX('13 - Electrical Readings'!$P$6:$P$960,1+(2*(ROWS(E$1:E31)-1)))</f>
        <v>2790</v>
      </c>
      <c r="R31" s="34">
        <f>INDEX('9 - Water Readings'!$C$8:$C$962,1+(2*(ROWS(A$1:A30)-1)))</f>
        <v>0</v>
      </c>
      <c r="S31" s="34">
        <f>INDEX('9 - Water Readings'!$D$8:$D$961,1+(2*(ROWS(A$1:A30)-1)))</f>
        <v>0</v>
      </c>
      <c r="T31" s="34">
        <f>INDEX('9 - Water Readings'!$E$8:$E$962,1+(2*(ROWS(A$1:A30)-1)))</f>
        <v>0</v>
      </c>
      <c r="U31" s="34">
        <f>INDEX('9 - Water Readings'!$G$8:$G$961,1+(2*(ROWS(A$1:A30)-1)))</f>
        <v>118</v>
      </c>
      <c r="V31" s="34">
        <f>INDEX('9 - Water Readings'!$H$8:$H$962,1+(2*(ROWS(A$1:A30)-1)))</f>
        <v>13</v>
      </c>
      <c r="W31" s="34">
        <f>INDEX('9 - Water Readings'!$I$8:$I$962,1+(2*(ROWS(A$1:A30)-1)))</f>
        <v>72</v>
      </c>
      <c r="X31" s="34">
        <f>INDEX('9 - Water Readings'!$J$8:$J$962,1+(2*(ROWS(A$1:A30)-1)))</f>
        <v>336</v>
      </c>
      <c r="Y31" s="34">
        <f>INDEX('9 - Water Readings'!$K$8:$K$962,1+(2*(ROWS(A$1:A30)-1)))</f>
        <v>0</v>
      </c>
      <c r="Z31" s="34">
        <f>INDEX('9 - Water Readings'!$L$8:$L$962,1+(2*(ROWS(A$1:A30)-1)))</f>
        <v>23</v>
      </c>
      <c r="AA31" s="35">
        <f>'9 - Water Readings'!Q36</f>
        <v>185</v>
      </c>
      <c r="AB31" s="33">
        <f>'9 - Water Readings'!R36</f>
        <v>790</v>
      </c>
      <c r="AC31">
        <f>'9 - Water Readings'!S36</f>
        <v>0.1</v>
      </c>
    </row>
    <row r="32" spans="1:29" x14ac:dyDescent="0.25">
      <c r="A32" s="36" t="s">
        <v>11</v>
      </c>
      <c r="B32" s="36">
        <v>31</v>
      </c>
      <c r="C32" s="36">
        <v>12</v>
      </c>
      <c r="D32" s="33">
        <v>2022</v>
      </c>
      <c r="E32" s="34">
        <f>INDEX('13 - Electrical Readings'!$C$8:$C$960,1+(2*(ROWS(A$1:A31)-1)))</f>
        <v>14</v>
      </c>
      <c r="F32" s="34">
        <f>INDEX('13 - Electrical Readings'!$D$6:$D$960,1+(2*(ROWS(A$1:A32)-1)))</f>
        <v>10086</v>
      </c>
      <c r="G32" s="33">
        <f>INDEX('13 - Electrical Readings'!$E$6:$E$960,1+(2*(ROWS(A$1:A32)-1)))</f>
        <v>2087</v>
      </c>
      <c r="H32" s="33">
        <f>INDEX('13 - Electrical Readings'!$F$6:$F$960,1+(2*(ROWS(A$1:A32)-1)))</f>
        <v>2190</v>
      </c>
      <c r="I32" s="34">
        <f>INDEX('13 - Electrical Readings'!$G$6:$G$960,1+(2*(ROWS(A$1:A32)-1)))</f>
        <v>15</v>
      </c>
      <c r="J32" s="33">
        <f>INDEX('13 - Electrical Readings'!$I$6:$I$960,1+(2*(ROWS(A$1:A32)-1)))</f>
        <v>1612</v>
      </c>
      <c r="K32" s="33">
        <f>INDEX('13 - Electrical Readings'!$J$6:$J$960,1+(2*(ROWS(B$1:B32)-1)))</f>
        <v>9688</v>
      </c>
      <c r="L32" s="33">
        <f>INDEX('13 - Electrical Readings'!$K$6:$K$960,1+(2*(ROWS(C$1:C32)-1)))</f>
        <v>3789</v>
      </c>
      <c r="M32" s="33">
        <f>INDEX('13 - Electrical Readings'!$L$6:$L$960,1+(2*(ROWS(D$1:D32)-1)))</f>
        <v>4955</v>
      </c>
      <c r="N32" s="33">
        <f>INDEX('13 - Electrical Readings'!$M$6:$M$960,1+(2*(ROWS(E$1:E32)-1)))</f>
        <v>10860</v>
      </c>
      <c r="O32" s="34">
        <f>INDEX('13 - Electrical Readings'!$N$6:$N$960,1+(2*(ROWS(E$1:E32)-1)))</f>
        <v>6803</v>
      </c>
      <c r="P32" s="34">
        <f>INDEX('13 - Electrical Readings'!$O$6:$O$960,1+(2*(ROWS(E$1:E32)-1)))</f>
        <v>1424</v>
      </c>
      <c r="Q32" s="34">
        <f>INDEX('13 - Electrical Readings'!$P$6:$P$960,1+(2*(ROWS(E$1:E32)-1)))</f>
        <v>2640</v>
      </c>
      <c r="R32" s="34">
        <f>INDEX('9 - Water Readings'!$C$8:$C$962,1+(2*(ROWS(A$1:A31)-1)))</f>
        <v>1</v>
      </c>
      <c r="S32" s="34">
        <f>INDEX('9 - Water Readings'!$D$8:$D$961,1+(2*(ROWS(A$1:A31)-1)))</f>
        <v>0</v>
      </c>
      <c r="T32" s="34">
        <f>INDEX('9 - Water Readings'!$E$8:$E$962,1+(2*(ROWS(A$1:A31)-1)))</f>
        <v>0</v>
      </c>
      <c r="U32" s="34">
        <f>INDEX('9 - Water Readings'!$G$8:$G$961,1+(2*(ROWS(A$1:A31)-1)))</f>
        <v>118</v>
      </c>
      <c r="V32" s="34">
        <f>INDEX('9 - Water Readings'!$H$8:$H$962,1+(2*(ROWS(A$1:A31)-1)))</f>
        <v>19</v>
      </c>
      <c r="W32" s="34">
        <f>INDEX('9 - Water Readings'!$I$8:$I$962,1+(2*(ROWS(A$1:A31)-1)))</f>
        <v>63</v>
      </c>
      <c r="X32" s="34">
        <f>INDEX('9 - Water Readings'!$J$8:$J$962,1+(2*(ROWS(A$1:A31)-1)))</f>
        <v>333</v>
      </c>
      <c r="Y32" s="34">
        <f>INDEX('9 - Water Readings'!$K$8:$K$962,1+(2*(ROWS(A$1:A31)-1)))</f>
        <v>0</v>
      </c>
      <c r="Z32" s="34">
        <f>INDEX('9 - Water Readings'!$L$8:$L$962,1+(2*(ROWS(A$1:A31)-1)))</f>
        <v>20</v>
      </c>
      <c r="AA32" s="35">
        <f>'9 - Water Readings'!Q37</f>
        <v>196</v>
      </c>
      <c r="AB32" s="33">
        <f>'9 - Water Readings'!R37</f>
        <v>836</v>
      </c>
      <c r="AC32">
        <f>'9 - Water Readings'!S37</f>
        <v>0.2</v>
      </c>
    </row>
    <row r="33" spans="5:29" x14ac:dyDescent="0.25">
      <c r="E33" s="34">
        <f>SUM(E2:E32)</f>
        <v>128088</v>
      </c>
      <c r="F33" s="34">
        <f>SUM(F2:F32)</f>
        <v>130238</v>
      </c>
      <c r="G33" s="34">
        <f t="shared" ref="G33:AB33" si="1">SUM(G2:G32)</f>
        <v>272116</v>
      </c>
      <c r="H33" s="34">
        <f t="shared" si="1"/>
        <v>110007</v>
      </c>
      <c r="I33" s="34">
        <f t="shared" si="1"/>
        <v>478</v>
      </c>
      <c r="J33" s="34">
        <f t="shared" si="1"/>
        <v>59585</v>
      </c>
      <c r="K33" s="34">
        <f t="shared" si="1"/>
        <v>306581</v>
      </c>
      <c r="L33" s="34">
        <f t="shared" si="1"/>
        <v>112817</v>
      </c>
      <c r="M33" s="34">
        <f t="shared" si="1"/>
        <v>155591</v>
      </c>
      <c r="N33" s="34">
        <f t="shared" si="1"/>
        <v>346066</v>
      </c>
      <c r="O33" s="34">
        <f t="shared" si="1"/>
        <v>240620</v>
      </c>
      <c r="P33" s="34">
        <f t="shared" si="1"/>
        <v>62331</v>
      </c>
      <c r="Q33" s="34">
        <f t="shared" si="1"/>
        <v>92850</v>
      </c>
      <c r="R33" s="34">
        <f t="shared" si="1"/>
        <v>2</v>
      </c>
      <c r="S33" s="34">
        <f t="shared" si="1"/>
        <v>6</v>
      </c>
      <c r="T33" s="34">
        <f t="shared" si="1"/>
        <v>0</v>
      </c>
      <c r="U33" s="34">
        <f t="shared" si="1"/>
        <v>3724</v>
      </c>
      <c r="V33" s="34">
        <f t="shared" si="1"/>
        <v>581</v>
      </c>
      <c r="W33" s="34">
        <f t="shared" si="1"/>
        <v>2093</v>
      </c>
      <c r="X33" s="34">
        <f>SUM(X2:X32)</f>
        <v>9909</v>
      </c>
      <c r="Y33" s="34">
        <f t="shared" si="1"/>
        <v>0</v>
      </c>
      <c r="Z33" s="34">
        <f t="shared" si="1"/>
        <v>909</v>
      </c>
      <c r="AA33" s="34">
        <f t="shared" si="1"/>
        <v>4852</v>
      </c>
      <c r="AB33" s="34">
        <f t="shared" si="1"/>
        <v>17006</v>
      </c>
      <c r="AC33" s="34">
        <f>SUM(AC2:AC32)</f>
        <v>76.399999999999991</v>
      </c>
    </row>
    <row r="34" spans="5:29" x14ac:dyDescent="0.25">
      <c r="I34" s="34"/>
      <c r="AA34" s="35"/>
      <c r="AC34"/>
    </row>
    <row r="35" spans="5:29" x14ac:dyDescent="0.25">
      <c r="I35" s="34"/>
      <c r="AA35" s="35"/>
      <c r="AC35"/>
    </row>
    <row r="36" spans="5:29" x14ac:dyDescent="0.25">
      <c r="I36" s="34"/>
      <c r="AA36" s="35"/>
      <c r="AC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9"/>
  <sheetViews>
    <sheetView zoomScaleNormal="100" zoomScaleSheetLayoutView="100" workbookViewId="0">
      <pane ySplit="6" topLeftCell="A7" activePane="bottomLeft" state="frozen"/>
      <selection activeCell="E54" sqref="E54"/>
      <selection pane="bottomLeft" activeCell="W19" sqref="W19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92" t="s">
        <v>34</v>
      </c>
      <c r="G2" s="92"/>
      <c r="H2" s="92"/>
      <c r="I2" s="92"/>
      <c r="J2" s="92"/>
      <c r="K2" s="92"/>
      <c r="L2" s="92"/>
      <c r="M2" s="92"/>
    </row>
    <row r="3" spans="2:18" ht="21" customHeight="1" x14ac:dyDescent="0.3">
      <c r="F3" s="93" t="s">
        <v>35</v>
      </c>
      <c r="G3" s="93"/>
      <c r="H3" s="93"/>
      <c r="I3" s="93"/>
      <c r="J3" s="93"/>
      <c r="K3" s="93"/>
      <c r="L3" s="93"/>
      <c r="M3" s="93"/>
      <c r="N3" s="89" t="s">
        <v>36</v>
      </c>
      <c r="O3" s="89"/>
      <c r="P3" s="89"/>
    </row>
    <row r="4" spans="2:18" ht="15" customHeight="1" thickBot="1" x14ac:dyDescent="0.3">
      <c r="N4" s="89"/>
      <c r="O4" s="89"/>
      <c r="P4" s="89"/>
    </row>
    <row r="5" spans="2:18" ht="30.75" thickTop="1" x14ac:dyDescent="0.25">
      <c r="B5" s="90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96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4" t="s">
        <v>45</v>
      </c>
      <c r="R5" s="87" t="s">
        <v>46</v>
      </c>
    </row>
    <row r="6" spans="2:18" x14ac:dyDescent="0.25">
      <c r="B6" s="91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97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95"/>
      <c r="R6" s="88"/>
    </row>
    <row r="7" spans="2:18" ht="17.25" customHeight="1" x14ac:dyDescent="0.25">
      <c r="B7" s="23">
        <v>1</v>
      </c>
      <c r="C7" s="66">
        <v>22695854</v>
      </c>
      <c r="D7" s="68">
        <v>16355962</v>
      </c>
      <c r="E7" s="67">
        <v>29013096</v>
      </c>
      <c r="F7" s="67">
        <v>28790873</v>
      </c>
      <c r="G7" s="67">
        <v>17324769</v>
      </c>
      <c r="H7" s="65" t="s">
        <v>47</v>
      </c>
      <c r="I7" s="64">
        <v>6456327</v>
      </c>
      <c r="J7" s="64">
        <v>28220507</v>
      </c>
      <c r="K7" s="64">
        <v>9389398</v>
      </c>
      <c r="L7" s="64">
        <v>13938982</v>
      </c>
      <c r="M7" s="64">
        <v>21329818</v>
      </c>
      <c r="N7" s="64">
        <v>26862703</v>
      </c>
      <c r="O7" s="64">
        <v>8746120</v>
      </c>
      <c r="P7" s="64">
        <v>7874050</v>
      </c>
      <c r="Q7" s="9"/>
      <c r="R7" s="10"/>
    </row>
    <row r="8" spans="2:18" ht="17.25" customHeight="1" x14ac:dyDescent="0.25">
      <c r="B8" s="11" t="s">
        <v>48</v>
      </c>
      <c r="C8" s="69">
        <v>13</v>
      </c>
      <c r="D8" s="70">
        <v>6199</v>
      </c>
      <c r="E8" s="70">
        <v>15335</v>
      </c>
      <c r="F8" s="70">
        <v>3408</v>
      </c>
      <c r="G8" s="70">
        <v>17</v>
      </c>
      <c r="H8" s="8">
        <v>24972</v>
      </c>
      <c r="I8" s="72">
        <v>2191</v>
      </c>
      <c r="J8" s="72">
        <v>10532</v>
      </c>
      <c r="K8" s="72">
        <v>3648</v>
      </c>
      <c r="L8" s="72">
        <v>4961</v>
      </c>
      <c r="M8" s="72">
        <v>11146</v>
      </c>
      <c r="N8" s="72">
        <v>8493</v>
      </c>
      <c r="O8" s="72">
        <v>2330</v>
      </c>
      <c r="P8" s="72">
        <v>3270</v>
      </c>
      <c r="Q8" s="13">
        <f>P8+O8+N8+M8+L8+K8+J8+I8</f>
        <v>46571</v>
      </c>
      <c r="R8" s="14">
        <f>Q8+H8</f>
        <v>71543</v>
      </c>
    </row>
    <row r="9" spans="2:18" ht="17.25" customHeight="1" x14ac:dyDescent="0.25">
      <c r="B9" s="23">
        <v>2</v>
      </c>
      <c r="C9" s="73">
        <v>22695863</v>
      </c>
      <c r="D9" s="74">
        <v>16357930</v>
      </c>
      <c r="E9" s="74">
        <v>29027899</v>
      </c>
      <c r="F9" s="74">
        <v>28800963</v>
      </c>
      <c r="G9" s="74">
        <v>17324783</v>
      </c>
      <c r="H9" s="71" t="s">
        <v>47</v>
      </c>
      <c r="I9" s="74">
        <v>6458546</v>
      </c>
      <c r="J9" s="74">
        <v>28230233</v>
      </c>
      <c r="K9" s="74">
        <v>9393111</v>
      </c>
      <c r="L9" s="75">
        <v>13943939</v>
      </c>
      <c r="M9" s="74">
        <v>21340823</v>
      </c>
      <c r="N9" s="74">
        <v>26871398</v>
      </c>
      <c r="O9" s="74">
        <v>8748345</v>
      </c>
      <c r="P9" s="74">
        <v>7877350</v>
      </c>
      <c r="Q9" s="9"/>
      <c r="R9" s="15"/>
    </row>
    <row r="10" spans="2:18" ht="17.25" customHeight="1" x14ac:dyDescent="0.25">
      <c r="B10" s="11" t="s">
        <v>48</v>
      </c>
      <c r="C10" s="69">
        <f>C9-C7</f>
        <v>9</v>
      </c>
      <c r="D10" s="69">
        <f t="shared" ref="D10:G68" si="0">D9-D7</f>
        <v>1968</v>
      </c>
      <c r="E10" s="69">
        <f t="shared" si="0"/>
        <v>14803</v>
      </c>
      <c r="F10" s="69">
        <f t="shared" si="0"/>
        <v>10090</v>
      </c>
      <c r="G10" s="69">
        <f t="shared" si="0"/>
        <v>14</v>
      </c>
      <c r="H10" s="8">
        <f>G10+F10+E10+D10+C10</f>
        <v>26884</v>
      </c>
      <c r="I10" s="72">
        <f>I9-I7</f>
        <v>2219</v>
      </c>
      <c r="J10" s="72">
        <f t="shared" ref="J10:P68" si="1">J9-J7</f>
        <v>9726</v>
      </c>
      <c r="K10" s="72">
        <f t="shared" si="1"/>
        <v>3713</v>
      </c>
      <c r="L10" s="72">
        <f t="shared" si="1"/>
        <v>4957</v>
      </c>
      <c r="M10" s="72">
        <f t="shared" si="1"/>
        <v>11005</v>
      </c>
      <c r="N10" s="72">
        <f t="shared" si="1"/>
        <v>8695</v>
      </c>
      <c r="O10" s="72">
        <f t="shared" si="1"/>
        <v>2225</v>
      </c>
      <c r="P10" s="72">
        <f t="shared" si="1"/>
        <v>3300</v>
      </c>
      <c r="Q10" s="13">
        <f>P10+O10+N10+M10+L10+K10+J10+I10</f>
        <v>45840</v>
      </c>
      <c r="R10" s="14">
        <f>Q10+H10</f>
        <v>72724</v>
      </c>
    </row>
    <row r="11" spans="2:18" ht="17.25" customHeight="1" x14ac:dyDescent="0.25">
      <c r="B11" s="23">
        <v>3</v>
      </c>
      <c r="C11" s="73">
        <v>22695875</v>
      </c>
      <c r="D11" s="74">
        <v>16358846</v>
      </c>
      <c r="E11" s="74">
        <v>29042513</v>
      </c>
      <c r="F11" s="74">
        <v>28808425</v>
      </c>
      <c r="G11" s="74">
        <v>17324799</v>
      </c>
      <c r="H11" s="71" t="s">
        <v>47</v>
      </c>
      <c r="I11" s="74">
        <v>6460833</v>
      </c>
      <c r="J11" s="76">
        <v>28240232</v>
      </c>
      <c r="K11" s="74">
        <v>9396778</v>
      </c>
      <c r="L11" s="74">
        <v>13949039</v>
      </c>
      <c r="M11" s="74">
        <v>21351892</v>
      </c>
      <c r="N11" s="74">
        <v>26880198</v>
      </c>
      <c r="O11" s="74">
        <v>8750903</v>
      </c>
      <c r="P11" s="74">
        <v>7880610</v>
      </c>
      <c r="Q11" s="9"/>
      <c r="R11" s="10"/>
    </row>
    <row r="12" spans="2:18" ht="17.25" customHeight="1" x14ac:dyDescent="0.25">
      <c r="B12" s="11" t="s">
        <v>48</v>
      </c>
      <c r="C12" s="69">
        <f>C11-C9</f>
        <v>12</v>
      </c>
      <c r="D12" s="69">
        <f t="shared" si="0"/>
        <v>916</v>
      </c>
      <c r="E12" s="69">
        <f t="shared" si="0"/>
        <v>14614</v>
      </c>
      <c r="F12" s="69">
        <f t="shared" si="0"/>
        <v>7462</v>
      </c>
      <c r="G12" s="69">
        <f t="shared" si="0"/>
        <v>16</v>
      </c>
      <c r="H12" s="8">
        <f>G12+F12+E12+D12+C12</f>
        <v>23020</v>
      </c>
      <c r="I12" s="72">
        <f>I11-I9</f>
        <v>2287</v>
      </c>
      <c r="J12" s="72">
        <f t="shared" si="1"/>
        <v>9999</v>
      </c>
      <c r="K12" s="72">
        <f t="shared" si="1"/>
        <v>3667</v>
      </c>
      <c r="L12" s="72">
        <f t="shared" si="1"/>
        <v>5100</v>
      </c>
      <c r="M12" s="72">
        <f t="shared" si="1"/>
        <v>11069</v>
      </c>
      <c r="N12" s="72">
        <f t="shared" si="1"/>
        <v>8800</v>
      </c>
      <c r="O12" s="72">
        <f t="shared" si="1"/>
        <v>2558</v>
      </c>
      <c r="P12" s="72">
        <f t="shared" si="1"/>
        <v>3260</v>
      </c>
      <c r="Q12" s="13">
        <f>P12+O12+N12+M12+L12+K12+J12+I12</f>
        <v>46740</v>
      </c>
      <c r="R12" s="14">
        <f>Q12+H12</f>
        <v>69760</v>
      </c>
    </row>
    <row r="13" spans="2:18" ht="17.25" customHeight="1" x14ac:dyDescent="0.25">
      <c r="B13" s="23">
        <v>4</v>
      </c>
      <c r="C13" s="7">
        <v>22695878</v>
      </c>
      <c r="D13" s="7">
        <v>16365906</v>
      </c>
      <c r="E13" s="7">
        <v>29057241</v>
      </c>
      <c r="F13" s="7">
        <v>28811725</v>
      </c>
      <c r="G13" s="7">
        <v>17324815</v>
      </c>
      <c r="H13" s="8"/>
      <c r="I13" s="7">
        <v>6462984</v>
      </c>
      <c r="J13" s="46">
        <v>28250094</v>
      </c>
      <c r="K13" s="7">
        <v>9400476</v>
      </c>
      <c r="L13" s="7">
        <v>13954086</v>
      </c>
      <c r="M13" s="7">
        <v>21362881</v>
      </c>
      <c r="N13" s="7">
        <v>26888613</v>
      </c>
      <c r="O13" s="7">
        <v>8753428</v>
      </c>
      <c r="P13" s="7">
        <v>7883830</v>
      </c>
      <c r="Q13" s="9"/>
      <c r="R13" s="10"/>
    </row>
    <row r="14" spans="2:18" ht="17.25" customHeight="1" x14ac:dyDescent="0.25">
      <c r="B14" s="11" t="s">
        <v>48</v>
      </c>
      <c r="C14" s="69">
        <f>C13-C11</f>
        <v>3</v>
      </c>
      <c r="D14" s="69">
        <f t="shared" si="0"/>
        <v>7060</v>
      </c>
      <c r="E14" s="69">
        <f t="shared" si="0"/>
        <v>14728</v>
      </c>
      <c r="F14" s="69">
        <f t="shared" si="0"/>
        <v>3300</v>
      </c>
      <c r="G14" s="69">
        <f t="shared" si="0"/>
        <v>16</v>
      </c>
      <c r="H14" s="8">
        <f>G14+F14+E14+D14+C14</f>
        <v>25107</v>
      </c>
      <c r="I14" s="72">
        <f>I13-I11</f>
        <v>2151</v>
      </c>
      <c r="J14" s="72">
        <f t="shared" si="1"/>
        <v>9862</v>
      </c>
      <c r="K14" s="72">
        <f t="shared" si="1"/>
        <v>3698</v>
      </c>
      <c r="L14" s="72">
        <f t="shared" si="1"/>
        <v>5047</v>
      </c>
      <c r="M14" s="72">
        <f t="shared" si="1"/>
        <v>10989</v>
      </c>
      <c r="N14" s="72">
        <f t="shared" si="1"/>
        <v>8415</v>
      </c>
      <c r="O14" s="72">
        <f t="shared" si="1"/>
        <v>2525</v>
      </c>
      <c r="P14" s="72">
        <f t="shared" si="1"/>
        <v>3220</v>
      </c>
      <c r="Q14" s="13">
        <f>P14+O14+N14+M14+L14+K14+J14+I14</f>
        <v>45907</v>
      </c>
      <c r="R14" s="14">
        <f>Q14+H14</f>
        <v>71014</v>
      </c>
    </row>
    <row r="15" spans="2:18" ht="17.25" customHeight="1" x14ac:dyDescent="0.25">
      <c r="B15" s="23">
        <v>5</v>
      </c>
      <c r="C15" s="79">
        <v>22695889</v>
      </c>
      <c r="D15" s="77">
        <v>16373026</v>
      </c>
      <c r="E15" s="78">
        <v>29071768</v>
      </c>
      <c r="F15" s="78">
        <v>28814904</v>
      </c>
      <c r="G15" s="80">
        <v>17324829</v>
      </c>
      <c r="H15" s="8"/>
      <c r="I15" s="7">
        <v>6465182</v>
      </c>
      <c r="J15" s="7">
        <v>28259968</v>
      </c>
      <c r="K15" s="7">
        <v>9404101</v>
      </c>
      <c r="L15" s="7">
        <v>13959120</v>
      </c>
      <c r="M15" s="46">
        <v>21373957</v>
      </c>
      <c r="N15" s="7">
        <v>26897069</v>
      </c>
      <c r="O15" s="7">
        <v>8755756</v>
      </c>
      <c r="P15" s="7">
        <v>7887000</v>
      </c>
      <c r="Q15" s="9"/>
      <c r="R15" s="10"/>
    </row>
    <row r="16" spans="2:18" ht="17.25" customHeight="1" x14ac:dyDescent="0.25">
      <c r="B16" s="11" t="s">
        <v>48</v>
      </c>
      <c r="C16" s="69">
        <f>C15-C13</f>
        <v>11</v>
      </c>
      <c r="D16" s="69">
        <f t="shared" si="0"/>
        <v>7120</v>
      </c>
      <c r="E16" s="69">
        <f t="shared" si="0"/>
        <v>14527</v>
      </c>
      <c r="F16" s="69">
        <f t="shared" si="0"/>
        <v>3179</v>
      </c>
      <c r="G16" s="69">
        <f t="shared" si="0"/>
        <v>14</v>
      </c>
      <c r="H16" s="8">
        <f>G16+F16+E16+D16+C16</f>
        <v>24851</v>
      </c>
      <c r="I16" s="72">
        <f>I15-I13</f>
        <v>2198</v>
      </c>
      <c r="J16" s="72">
        <f t="shared" si="1"/>
        <v>9874</v>
      </c>
      <c r="K16" s="72">
        <f t="shared" si="1"/>
        <v>3625</v>
      </c>
      <c r="L16" s="72">
        <f t="shared" si="1"/>
        <v>5034</v>
      </c>
      <c r="M16" s="72">
        <f t="shared" si="1"/>
        <v>11076</v>
      </c>
      <c r="N16" s="72">
        <f t="shared" si="1"/>
        <v>8456</v>
      </c>
      <c r="O16" s="72">
        <f t="shared" si="1"/>
        <v>2328</v>
      </c>
      <c r="P16" s="72">
        <f t="shared" si="1"/>
        <v>3170</v>
      </c>
      <c r="Q16" s="13">
        <f>P16+O16+N16+M16+L16+K16+J16+I16</f>
        <v>45761</v>
      </c>
      <c r="R16" s="14">
        <f>Q16+H16</f>
        <v>70612</v>
      </c>
    </row>
    <row r="17" spans="2:18" ht="17.25" customHeight="1" x14ac:dyDescent="0.25">
      <c r="B17" s="23">
        <v>6</v>
      </c>
      <c r="C17" s="79">
        <v>22695893</v>
      </c>
      <c r="D17" s="77">
        <v>16383691</v>
      </c>
      <c r="E17" s="78">
        <v>29085753</v>
      </c>
      <c r="F17" s="78">
        <v>28818459</v>
      </c>
      <c r="G17" s="80">
        <v>17324846</v>
      </c>
      <c r="H17" s="8"/>
      <c r="I17" s="7">
        <v>6467355</v>
      </c>
      <c r="J17" s="7">
        <v>28269819</v>
      </c>
      <c r="K17" s="7">
        <v>9407786</v>
      </c>
      <c r="L17" s="7">
        <v>13964149</v>
      </c>
      <c r="M17" s="46">
        <v>21385511</v>
      </c>
      <c r="N17" s="7">
        <v>26905728</v>
      </c>
      <c r="O17" s="7">
        <v>8758261</v>
      </c>
      <c r="P17" s="7">
        <v>7890120</v>
      </c>
      <c r="Q17" s="9"/>
      <c r="R17" s="10"/>
    </row>
    <row r="18" spans="2:18" ht="17.25" customHeight="1" x14ac:dyDescent="0.25">
      <c r="B18" s="11" t="s">
        <v>48</v>
      </c>
      <c r="C18" s="69">
        <f>C17-C15</f>
        <v>4</v>
      </c>
      <c r="D18" s="69">
        <f t="shared" si="0"/>
        <v>10665</v>
      </c>
      <c r="E18" s="69">
        <f t="shared" si="0"/>
        <v>13985</v>
      </c>
      <c r="F18" s="69">
        <f t="shared" si="0"/>
        <v>3555</v>
      </c>
      <c r="G18" s="69">
        <f t="shared" si="0"/>
        <v>17</v>
      </c>
      <c r="H18" s="8">
        <f>G18+F18+E18+D18+C18</f>
        <v>28226</v>
      </c>
      <c r="I18" s="72">
        <f>I17-I15</f>
        <v>2173</v>
      </c>
      <c r="J18" s="72">
        <f t="shared" si="1"/>
        <v>9851</v>
      </c>
      <c r="K18" s="72">
        <f t="shared" si="1"/>
        <v>3685</v>
      </c>
      <c r="L18" s="72">
        <f t="shared" si="1"/>
        <v>5029</v>
      </c>
      <c r="M18" s="72">
        <f t="shared" si="1"/>
        <v>11554</v>
      </c>
      <c r="N18" s="72">
        <f t="shared" si="1"/>
        <v>8659</v>
      </c>
      <c r="O18" s="72">
        <f t="shared" si="1"/>
        <v>2505</v>
      </c>
      <c r="P18" s="72">
        <f t="shared" si="1"/>
        <v>3120</v>
      </c>
      <c r="Q18" s="13">
        <f>P18+O18+N18+M18+L18+K18+J18+I18</f>
        <v>46576</v>
      </c>
      <c r="R18" s="14">
        <f>Q18+H18</f>
        <v>74802</v>
      </c>
    </row>
    <row r="19" spans="2:18" ht="17.25" customHeight="1" x14ac:dyDescent="0.25">
      <c r="B19" s="23">
        <v>7</v>
      </c>
      <c r="C19" s="79">
        <v>22695904</v>
      </c>
      <c r="D19" s="77">
        <v>16395585</v>
      </c>
      <c r="E19" s="78">
        <v>29097567</v>
      </c>
      <c r="F19" s="78">
        <v>28822072</v>
      </c>
      <c r="G19" s="80">
        <v>17324860</v>
      </c>
      <c r="H19" s="8"/>
      <c r="I19" s="7">
        <v>6469357</v>
      </c>
      <c r="J19" s="7">
        <v>28279792</v>
      </c>
      <c r="K19" s="7">
        <v>9411374</v>
      </c>
      <c r="L19" s="7">
        <v>13969142</v>
      </c>
      <c r="M19" s="7">
        <v>21397139</v>
      </c>
      <c r="N19" s="7">
        <v>26914478</v>
      </c>
      <c r="O19" s="7">
        <v>8760720</v>
      </c>
      <c r="P19" s="7">
        <v>7893230</v>
      </c>
      <c r="Q19" s="9"/>
      <c r="R19" s="10"/>
    </row>
    <row r="20" spans="2:18" ht="17.25" customHeight="1" x14ac:dyDescent="0.25">
      <c r="B20" s="11" t="s">
        <v>48</v>
      </c>
      <c r="C20" s="69">
        <f>C19-C17</f>
        <v>11</v>
      </c>
      <c r="D20" s="69">
        <f t="shared" si="0"/>
        <v>11894</v>
      </c>
      <c r="E20" s="69">
        <f t="shared" si="0"/>
        <v>11814</v>
      </c>
      <c r="F20" s="69">
        <f t="shared" si="0"/>
        <v>3613</v>
      </c>
      <c r="G20" s="69">
        <f t="shared" si="0"/>
        <v>14</v>
      </c>
      <c r="H20" s="8">
        <f>G20+F20+E20+D20+C20</f>
        <v>27346</v>
      </c>
      <c r="I20" s="72">
        <f>I19-I17</f>
        <v>2002</v>
      </c>
      <c r="J20" s="72">
        <f t="shared" si="1"/>
        <v>9973</v>
      </c>
      <c r="K20" s="72">
        <f t="shared" si="1"/>
        <v>3588</v>
      </c>
      <c r="L20" s="72">
        <f t="shared" si="1"/>
        <v>4993</v>
      </c>
      <c r="M20" s="72">
        <f t="shared" si="1"/>
        <v>11628</v>
      </c>
      <c r="N20" s="72">
        <f t="shared" si="1"/>
        <v>8750</v>
      </c>
      <c r="O20" s="72">
        <f t="shared" si="1"/>
        <v>2459</v>
      </c>
      <c r="P20" s="72">
        <f t="shared" si="1"/>
        <v>3110</v>
      </c>
      <c r="Q20" s="13">
        <f>P20+O20+N20+M20+L20+K20+J20+I20</f>
        <v>46503</v>
      </c>
      <c r="R20" s="14">
        <f>Q20+H20</f>
        <v>73849</v>
      </c>
    </row>
    <row r="21" spans="2:18" ht="17.25" customHeight="1" x14ac:dyDescent="0.25">
      <c r="B21" s="23">
        <v>8</v>
      </c>
      <c r="C21" s="79">
        <v>22695911</v>
      </c>
      <c r="D21" s="78">
        <v>16406583</v>
      </c>
      <c r="E21" s="78">
        <v>29102783</v>
      </c>
      <c r="F21" s="78">
        <v>28832166</v>
      </c>
      <c r="G21" s="80">
        <v>17324878</v>
      </c>
      <c r="H21" s="8"/>
      <c r="I21" s="7">
        <v>6471457</v>
      </c>
      <c r="J21" s="7">
        <v>28290012</v>
      </c>
      <c r="K21" s="7">
        <v>9415062</v>
      </c>
      <c r="L21" s="7">
        <v>13974278</v>
      </c>
      <c r="M21" s="7">
        <v>21409065</v>
      </c>
      <c r="N21" s="7">
        <v>26923190</v>
      </c>
      <c r="O21" s="7">
        <v>8763208</v>
      </c>
      <c r="P21" s="7">
        <v>7896400</v>
      </c>
      <c r="Q21" s="9"/>
      <c r="R21" s="10"/>
    </row>
    <row r="22" spans="2:18" ht="17.25" customHeight="1" x14ac:dyDescent="0.25">
      <c r="B22" s="11" t="s">
        <v>48</v>
      </c>
      <c r="C22" s="69">
        <f>C21-C19</f>
        <v>7</v>
      </c>
      <c r="D22" s="69">
        <f t="shared" si="0"/>
        <v>10998</v>
      </c>
      <c r="E22" s="69">
        <f t="shared" si="0"/>
        <v>5216</v>
      </c>
      <c r="F22" s="69">
        <f t="shared" si="0"/>
        <v>10094</v>
      </c>
      <c r="G22" s="69">
        <f t="shared" si="0"/>
        <v>18</v>
      </c>
      <c r="H22" s="8">
        <f>G22+F22+E22+D22+C22</f>
        <v>26333</v>
      </c>
      <c r="I22" s="72">
        <f>I21-I19</f>
        <v>2100</v>
      </c>
      <c r="J22" s="72">
        <f t="shared" si="1"/>
        <v>10220</v>
      </c>
      <c r="K22" s="72">
        <f t="shared" si="1"/>
        <v>3688</v>
      </c>
      <c r="L22" s="72">
        <f t="shared" si="1"/>
        <v>5136</v>
      </c>
      <c r="M22" s="72">
        <f t="shared" si="1"/>
        <v>11926</v>
      </c>
      <c r="N22" s="72">
        <f t="shared" si="1"/>
        <v>8712</v>
      </c>
      <c r="O22" s="72">
        <f t="shared" si="1"/>
        <v>2488</v>
      </c>
      <c r="P22" s="72">
        <f t="shared" si="1"/>
        <v>3170</v>
      </c>
      <c r="Q22" s="13">
        <f>P22+O22+N22+M22+L22+K22+J22+I22</f>
        <v>47440</v>
      </c>
      <c r="R22" s="14">
        <f>Q22+H22</f>
        <v>73773</v>
      </c>
    </row>
    <row r="23" spans="2:18" ht="17.25" customHeight="1" x14ac:dyDescent="0.25">
      <c r="B23" s="23">
        <v>9</v>
      </c>
      <c r="C23" s="7">
        <v>22695915</v>
      </c>
      <c r="D23" s="81">
        <v>16407484</v>
      </c>
      <c r="E23" s="81">
        <v>29112322</v>
      </c>
      <c r="F23" s="81">
        <v>28840766</v>
      </c>
      <c r="G23" s="7">
        <v>17324893</v>
      </c>
      <c r="H23" s="8"/>
      <c r="I23" s="7">
        <v>6473698</v>
      </c>
      <c r="J23" s="7">
        <v>28299885</v>
      </c>
      <c r="K23" s="7">
        <v>9418623</v>
      </c>
      <c r="L23" s="7">
        <v>13979392</v>
      </c>
      <c r="M23" s="7">
        <v>21419808</v>
      </c>
      <c r="N23" s="7">
        <v>26931174</v>
      </c>
      <c r="O23" s="7">
        <v>8765391</v>
      </c>
      <c r="P23" s="7">
        <v>7899400</v>
      </c>
      <c r="Q23" s="9"/>
      <c r="R23" s="10"/>
    </row>
    <row r="24" spans="2:18" ht="17.25" customHeight="1" x14ac:dyDescent="0.25">
      <c r="B24" s="11" t="s">
        <v>48</v>
      </c>
      <c r="C24" s="69">
        <f>C23-C21</f>
        <v>4</v>
      </c>
      <c r="D24" s="69">
        <f t="shared" si="0"/>
        <v>901</v>
      </c>
      <c r="E24" s="69">
        <f t="shared" si="0"/>
        <v>9539</v>
      </c>
      <c r="F24" s="69">
        <f t="shared" si="0"/>
        <v>8600</v>
      </c>
      <c r="G24" s="69">
        <f t="shared" si="0"/>
        <v>15</v>
      </c>
      <c r="H24" s="8">
        <f>G24+F24+E24+D24+C24</f>
        <v>19059</v>
      </c>
      <c r="I24" s="72">
        <f>I23-I21</f>
        <v>2241</v>
      </c>
      <c r="J24" s="72">
        <f t="shared" si="1"/>
        <v>9873</v>
      </c>
      <c r="K24" s="72">
        <f t="shared" si="1"/>
        <v>3561</v>
      </c>
      <c r="L24" s="72">
        <f t="shared" si="1"/>
        <v>5114</v>
      </c>
      <c r="M24" s="72">
        <f t="shared" si="1"/>
        <v>10743</v>
      </c>
      <c r="N24" s="72">
        <f t="shared" si="1"/>
        <v>7984</v>
      </c>
      <c r="O24" s="72">
        <f t="shared" si="1"/>
        <v>2183</v>
      </c>
      <c r="P24" s="72">
        <f t="shared" si="1"/>
        <v>3000</v>
      </c>
      <c r="Q24" s="13">
        <f>P24+O24+N24+M24+L24+K24+J24+I24</f>
        <v>44699</v>
      </c>
      <c r="R24" s="14">
        <f>Q24+H24</f>
        <v>63758</v>
      </c>
    </row>
    <row r="25" spans="2:18" ht="17.25" customHeight="1" x14ac:dyDescent="0.25">
      <c r="B25" s="23">
        <v>10</v>
      </c>
      <c r="C25" s="7">
        <v>22695927</v>
      </c>
      <c r="D25" s="7">
        <v>16408420</v>
      </c>
      <c r="E25" s="7">
        <v>29125582</v>
      </c>
      <c r="F25" s="7">
        <v>28843173</v>
      </c>
      <c r="G25" s="7">
        <v>17324911</v>
      </c>
      <c r="H25" s="8"/>
      <c r="I25" s="7">
        <v>6475801</v>
      </c>
      <c r="J25" s="7">
        <v>28309889</v>
      </c>
      <c r="K25" s="7">
        <v>9422192</v>
      </c>
      <c r="L25" s="7">
        <v>13984493</v>
      </c>
      <c r="M25" s="7">
        <v>21431265</v>
      </c>
      <c r="N25" s="7">
        <v>26938525</v>
      </c>
      <c r="O25" s="7">
        <v>8767413</v>
      </c>
      <c r="P25" s="7">
        <v>7902470</v>
      </c>
      <c r="Q25" s="9"/>
      <c r="R25" s="10"/>
    </row>
    <row r="26" spans="2:18" ht="17.25" customHeight="1" x14ac:dyDescent="0.25">
      <c r="B26" s="11" t="s">
        <v>48</v>
      </c>
      <c r="C26" s="69">
        <f>C25-C23</f>
        <v>12</v>
      </c>
      <c r="D26" s="69">
        <f t="shared" si="0"/>
        <v>936</v>
      </c>
      <c r="E26" s="69">
        <f t="shared" si="0"/>
        <v>13260</v>
      </c>
      <c r="F26" s="69">
        <f t="shared" si="0"/>
        <v>2407</v>
      </c>
      <c r="G26" s="69">
        <f t="shared" si="0"/>
        <v>18</v>
      </c>
      <c r="H26" s="8">
        <f>G26+F26+E26+D26+C26</f>
        <v>16633</v>
      </c>
      <c r="I26" s="72">
        <f>I25-I23</f>
        <v>2103</v>
      </c>
      <c r="J26" s="72">
        <f t="shared" si="1"/>
        <v>10004</v>
      </c>
      <c r="K26" s="72">
        <f t="shared" si="1"/>
        <v>3569</v>
      </c>
      <c r="L26" s="72">
        <f t="shared" si="1"/>
        <v>5101</v>
      </c>
      <c r="M26" s="72">
        <f t="shared" si="1"/>
        <v>11457</v>
      </c>
      <c r="N26" s="72">
        <f t="shared" si="1"/>
        <v>7351</v>
      </c>
      <c r="O26" s="72">
        <f t="shared" si="1"/>
        <v>2022</v>
      </c>
      <c r="P26" s="72">
        <f t="shared" si="1"/>
        <v>3070</v>
      </c>
      <c r="Q26" s="13">
        <f>P26+O26+N26+M26+L26+K26+J26+I26</f>
        <v>44677</v>
      </c>
      <c r="R26" s="14">
        <f>Q26+H26</f>
        <v>61310</v>
      </c>
    </row>
    <row r="27" spans="2:18" ht="17.25" customHeight="1" x14ac:dyDescent="0.25">
      <c r="B27" s="23">
        <v>11</v>
      </c>
      <c r="C27" s="7">
        <v>22706618</v>
      </c>
      <c r="D27" s="7">
        <v>16409356</v>
      </c>
      <c r="E27" s="7">
        <v>29131534</v>
      </c>
      <c r="F27" s="7">
        <v>28845656</v>
      </c>
      <c r="G27" s="7">
        <v>17324926</v>
      </c>
      <c r="H27" s="8"/>
      <c r="I27" s="7">
        <v>6477651</v>
      </c>
      <c r="J27" s="7">
        <v>28319973</v>
      </c>
      <c r="K27" s="7">
        <v>9425861</v>
      </c>
      <c r="L27" s="7">
        <v>13989421</v>
      </c>
      <c r="M27" s="46">
        <v>21442652</v>
      </c>
      <c r="N27" s="7">
        <v>26945986</v>
      </c>
      <c r="O27" s="7">
        <v>8769393</v>
      </c>
      <c r="P27" s="7">
        <v>7905630</v>
      </c>
      <c r="Q27" s="9"/>
      <c r="R27" s="10"/>
    </row>
    <row r="28" spans="2:18" ht="17.25" customHeight="1" x14ac:dyDescent="0.25">
      <c r="B28" s="11" t="s">
        <v>48</v>
      </c>
      <c r="C28" s="69">
        <f>C27-C25</f>
        <v>10691</v>
      </c>
      <c r="D28" s="69">
        <f t="shared" si="0"/>
        <v>936</v>
      </c>
      <c r="E28" s="69">
        <f t="shared" si="0"/>
        <v>5952</v>
      </c>
      <c r="F28" s="69">
        <f t="shared" si="0"/>
        <v>2483</v>
      </c>
      <c r="G28" s="69">
        <f t="shared" si="0"/>
        <v>15</v>
      </c>
      <c r="H28" s="8">
        <f>G28+F28+E28+D28+C28</f>
        <v>20077</v>
      </c>
      <c r="I28" s="72">
        <f>I27-I25</f>
        <v>1850</v>
      </c>
      <c r="J28" s="72">
        <f t="shared" si="1"/>
        <v>10084</v>
      </c>
      <c r="K28" s="72">
        <f t="shared" si="1"/>
        <v>3669</v>
      </c>
      <c r="L28" s="72">
        <f t="shared" si="1"/>
        <v>4928</v>
      </c>
      <c r="M28" s="72">
        <f t="shared" si="1"/>
        <v>11387</v>
      </c>
      <c r="N28" s="72">
        <f t="shared" si="1"/>
        <v>7461</v>
      </c>
      <c r="O28" s="72">
        <f t="shared" si="1"/>
        <v>1980</v>
      </c>
      <c r="P28" s="72">
        <f t="shared" si="1"/>
        <v>3160</v>
      </c>
      <c r="Q28" s="13">
        <f>P28+O28+N28+M28+L28+K28+J28+I28</f>
        <v>44519</v>
      </c>
      <c r="R28" s="14">
        <f>Q28+H28</f>
        <v>64596</v>
      </c>
    </row>
    <row r="29" spans="2:18" ht="17.25" customHeight="1" x14ac:dyDescent="0.25">
      <c r="B29" s="23">
        <v>12</v>
      </c>
      <c r="C29" s="7">
        <v>22723908</v>
      </c>
      <c r="D29" s="7">
        <v>16410278</v>
      </c>
      <c r="E29" s="7">
        <v>29133895</v>
      </c>
      <c r="F29" s="7">
        <v>28848033</v>
      </c>
      <c r="G29" s="7">
        <v>17324942</v>
      </c>
      <c r="H29" s="8"/>
      <c r="I29" s="7">
        <v>6479482</v>
      </c>
      <c r="J29" s="7">
        <v>28329976</v>
      </c>
      <c r="K29" s="7">
        <v>9429511</v>
      </c>
      <c r="L29" s="7">
        <v>13994420</v>
      </c>
      <c r="M29" s="46">
        <v>21454116</v>
      </c>
      <c r="N29" s="7">
        <v>26953659</v>
      </c>
      <c r="O29" s="7">
        <v>8771316</v>
      </c>
      <c r="P29" s="7">
        <v>7908840</v>
      </c>
      <c r="Q29" s="9"/>
      <c r="R29" s="10"/>
    </row>
    <row r="30" spans="2:18" ht="17.25" customHeight="1" x14ac:dyDescent="0.25">
      <c r="B30" s="11" t="s">
        <v>48</v>
      </c>
      <c r="C30" s="69">
        <f>C29-C27</f>
        <v>17290</v>
      </c>
      <c r="D30" s="69">
        <f t="shared" si="0"/>
        <v>922</v>
      </c>
      <c r="E30" s="69">
        <f t="shared" si="0"/>
        <v>2361</v>
      </c>
      <c r="F30" s="69">
        <f t="shared" si="0"/>
        <v>2377</v>
      </c>
      <c r="G30" s="69">
        <f t="shared" si="0"/>
        <v>16</v>
      </c>
      <c r="H30" s="8">
        <f>G30+F30+E30+D30+C30</f>
        <v>22966</v>
      </c>
      <c r="I30" s="72">
        <f>I29-I27</f>
        <v>1831</v>
      </c>
      <c r="J30" s="72">
        <f t="shared" si="1"/>
        <v>10003</v>
      </c>
      <c r="K30" s="72">
        <f t="shared" si="1"/>
        <v>3650</v>
      </c>
      <c r="L30" s="72">
        <f t="shared" si="1"/>
        <v>4999</v>
      </c>
      <c r="M30" s="72">
        <f t="shared" si="1"/>
        <v>11464</v>
      </c>
      <c r="N30" s="72">
        <f t="shared" si="1"/>
        <v>7673</v>
      </c>
      <c r="O30" s="72">
        <f t="shared" si="1"/>
        <v>1923</v>
      </c>
      <c r="P30" s="72">
        <f t="shared" si="1"/>
        <v>3210</v>
      </c>
      <c r="Q30" s="13">
        <f>P30+O30+N30+M30+L30+K30+J30+I30</f>
        <v>44753</v>
      </c>
      <c r="R30" s="14">
        <f>Q30+H30</f>
        <v>67719</v>
      </c>
    </row>
    <row r="31" spans="2:18" ht="17.25" customHeight="1" x14ac:dyDescent="0.25">
      <c r="B31" s="23">
        <v>13</v>
      </c>
      <c r="C31" s="7">
        <v>22741663</v>
      </c>
      <c r="D31" s="7">
        <v>16411192</v>
      </c>
      <c r="E31" s="7">
        <v>29136288</v>
      </c>
      <c r="F31" s="7">
        <v>28850623</v>
      </c>
      <c r="G31" s="7">
        <v>17324957</v>
      </c>
      <c r="H31" s="8"/>
      <c r="I31" s="7">
        <v>6481468</v>
      </c>
      <c r="J31" s="7">
        <v>28339595</v>
      </c>
      <c r="K31" s="7">
        <v>9433065</v>
      </c>
      <c r="L31" s="7">
        <v>13999430</v>
      </c>
      <c r="M31" s="7">
        <v>21465706</v>
      </c>
      <c r="N31" s="7">
        <v>26961352</v>
      </c>
      <c r="O31" s="7">
        <v>8773159</v>
      </c>
      <c r="P31" s="7">
        <v>7912090</v>
      </c>
      <c r="Q31" s="9"/>
      <c r="R31" s="10"/>
    </row>
    <row r="32" spans="2:18" ht="17.25" customHeight="1" x14ac:dyDescent="0.25">
      <c r="B32" s="11" t="s">
        <v>48</v>
      </c>
      <c r="C32" s="69">
        <f>C31-C29</f>
        <v>17755</v>
      </c>
      <c r="D32" s="69">
        <f t="shared" si="0"/>
        <v>914</v>
      </c>
      <c r="E32" s="69">
        <f t="shared" si="0"/>
        <v>2393</v>
      </c>
      <c r="F32" s="69">
        <f t="shared" si="0"/>
        <v>2590</v>
      </c>
      <c r="G32" s="69">
        <f t="shared" si="0"/>
        <v>15</v>
      </c>
      <c r="H32" s="8">
        <f>G32+F32+E32+D32+C32</f>
        <v>23667</v>
      </c>
      <c r="I32" s="72">
        <f>I31-I29</f>
        <v>1986</v>
      </c>
      <c r="J32" s="72">
        <f t="shared" si="1"/>
        <v>9619</v>
      </c>
      <c r="K32" s="72">
        <f t="shared" si="1"/>
        <v>3554</v>
      </c>
      <c r="L32" s="72">
        <f t="shared" si="1"/>
        <v>5010</v>
      </c>
      <c r="M32" s="72">
        <f t="shared" si="1"/>
        <v>11590</v>
      </c>
      <c r="N32" s="72">
        <f t="shared" si="1"/>
        <v>7693</v>
      </c>
      <c r="O32" s="72">
        <f t="shared" si="1"/>
        <v>1843</v>
      </c>
      <c r="P32" s="72">
        <f t="shared" si="1"/>
        <v>3250</v>
      </c>
      <c r="Q32" s="13">
        <f>P32+O32+N32+M32+L32+K32+J32+I32</f>
        <v>44545</v>
      </c>
      <c r="R32" s="14">
        <f>Q32+H32</f>
        <v>68212</v>
      </c>
    </row>
    <row r="33" spans="2:18" ht="17.25" customHeight="1" x14ac:dyDescent="0.25">
      <c r="B33" s="23">
        <v>14</v>
      </c>
      <c r="C33" s="7">
        <v>22760660</v>
      </c>
      <c r="D33" s="7">
        <v>16412133</v>
      </c>
      <c r="E33" s="7">
        <v>29138614</v>
      </c>
      <c r="F33" s="7">
        <v>28853275</v>
      </c>
      <c r="G33" s="7">
        <v>17324970</v>
      </c>
      <c r="H33" s="8"/>
      <c r="I33" s="7">
        <v>6483561</v>
      </c>
      <c r="J33" s="7">
        <v>28349433</v>
      </c>
      <c r="K33" s="7">
        <v>9436564</v>
      </c>
      <c r="L33" s="7">
        <v>14004416</v>
      </c>
      <c r="M33" s="7">
        <v>21477807</v>
      </c>
      <c r="N33" s="7">
        <v>26969391</v>
      </c>
      <c r="O33" s="7">
        <v>8775181</v>
      </c>
      <c r="P33" s="7">
        <v>7915330</v>
      </c>
      <c r="Q33" s="9"/>
      <c r="R33" s="10"/>
    </row>
    <row r="34" spans="2:18" ht="17.25" customHeight="1" x14ac:dyDescent="0.25">
      <c r="B34" s="11" t="s">
        <v>48</v>
      </c>
      <c r="C34" s="69">
        <f>C33-C31</f>
        <v>18997</v>
      </c>
      <c r="D34" s="69">
        <f t="shared" si="0"/>
        <v>941</v>
      </c>
      <c r="E34" s="69">
        <f t="shared" si="0"/>
        <v>2326</v>
      </c>
      <c r="F34" s="69">
        <f t="shared" si="0"/>
        <v>2652</v>
      </c>
      <c r="G34" s="69">
        <f t="shared" si="0"/>
        <v>13</v>
      </c>
      <c r="H34" s="8">
        <f>G34+F34+E34+D34+C34</f>
        <v>24929</v>
      </c>
      <c r="I34" s="72">
        <f>I33-I31</f>
        <v>2093</v>
      </c>
      <c r="J34" s="72">
        <f t="shared" si="1"/>
        <v>9838</v>
      </c>
      <c r="K34" s="72">
        <f t="shared" si="1"/>
        <v>3499</v>
      </c>
      <c r="L34" s="72">
        <f t="shared" si="1"/>
        <v>4986</v>
      </c>
      <c r="M34" s="72">
        <f t="shared" si="1"/>
        <v>12101</v>
      </c>
      <c r="N34" s="72">
        <f t="shared" si="1"/>
        <v>8039</v>
      </c>
      <c r="O34" s="72">
        <f t="shared" si="1"/>
        <v>2022</v>
      </c>
      <c r="P34" s="72">
        <f t="shared" si="1"/>
        <v>3240</v>
      </c>
      <c r="Q34" s="13">
        <f>P34+O34+N34+M34+L34+K34+J34+I34</f>
        <v>45818</v>
      </c>
      <c r="R34" s="14">
        <f>Q34+H34</f>
        <v>70747</v>
      </c>
    </row>
    <row r="35" spans="2:18" ht="17.25" customHeight="1" x14ac:dyDescent="0.25">
      <c r="B35" s="23">
        <v>15</v>
      </c>
      <c r="C35" s="7">
        <v>22780724</v>
      </c>
      <c r="D35" s="7">
        <v>16413046</v>
      </c>
      <c r="E35" s="7">
        <v>29140996</v>
      </c>
      <c r="F35" s="7">
        <v>28856215</v>
      </c>
      <c r="G35" s="7">
        <v>17324988</v>
      </c>
      <c r="H35" s="8"/>
      <c r="I35" s="7">
        <v>6485455</v>
      </c>
      <c r="J35" s="7">
        <v>28359231</v>
      </c>
      <c r="K35" s="7">
        <v>9440054</v>
      </c>
      <c r="L35" s="7">
        <v>14009385</v>
      </c>
      <c r="M35" s="7">
        <v>21489536</v>
      </c>
      <c r="N35" s="7">
        <v>26977436</v>
      </c>
      <c r="O35" s="7">
        <v>8777393</v>
      </c>
      <c r="P35" s="7">
        <v>7918560</v>
      </c>
      <c r="Q35" s="9"/>
      <c r="R35" s="10"/>
    </row>
    <row r="36" spans="2:18" ht="17.25" customHeight="1" x14ac:dyDescent="0.25">
      <c r="B36" s="11" t="s">
        <v>48</v>
      </c>
      <c r="C36" s="69">
        <f>C35-C33</f>
        <v>20064</v>
      </c>
      <c r="D36" s="69">
        <f t="shared" si="0"/>
        <v>913</v>
      </c>
      <c r="E36" s="69">
        <f t="shared" si="0"/>
        <v>2382</v>
      </c>
      <c r="F36" s="69">
        <f t="shared" si="0"/>
        <v>2940</v>
      </c>
      <c r="G36" s="69">
        <f t="shared" si="0"/>
        <v>18</v>
      </c>
      <c r="H36" s="8">
        <f>G36+F36+E36+D36+C36</f>
        <v>26317</v>
      </c>
      <c r="I36" s="72">
        <f>I35-I33</f>
        <v>1894</v>
      </c>
      <c r="J36" s="72">
        <f t="shared" si="1"/>
        <v>9798</v>
      </c>
      <c r="K36" s="72">
        <f t="shared" si="1"/>
        <v>3490</v>
      </c>
      <c r="L36" s="72">
        <f t="shared" si="1"/>
        <v>4969</v>
      </c>
      <c r="M36" s="72">
        <f t="shared" si="1"/>
        <v>11729</v>
      </c>
      <c r="N36" s="72">
        <f t="shared" si="1"/>
        <v>8045</v>
      </c>
      <c r="O36" s="72">
        <f t="shared" si="1"/>
        <v>2212</v>
      </c>
      <c r="P36" s="72">
        <f t="shared" si="1"/>
        <v>3230</v>
      </c>
      <c r="Q36" s="13">
        <f>P36+O36+N36+M36+L36+K36+J36+I36</f>
        <v>45367</v>
      </c>
      <c r="R36" s="14">
        <f>Q36+H36</f>
        <v>71684</v>
      </c>
    </row>
    <row r="37" spans="2:18" ht="17.25" customHeight="1" x14ac:dyDescent="0.25">
      <c r="B37" s="23">
        <v>16</v>
      </c>
      <c r="C37" s="7">
        <v>22800714</v>
      </c>
      <c r="D37" s="7">
        <v>16413969</v>
      </c>
      <c r="E37" s="7">
        <v>29143364</v>
      </c>
      <c r="F37" s="7">
        <v>28859146</v>
      </c>
      <c r="G37" s="7">
        <v>17325003</v>
      </c>
      <c r="H37" s="8"/>
      <c r="I37" s="7">
        <v>6487284</v>
      </c>
      <c r="J37" s="7">
        <v>28369353</v>
      </c>
      <c r="K37" s="7">
        <v>9443702</v>
      </c>
      <c r="L37" s="7">
        <v>14014469</v>
      </c>
      <c r="M37" s="7">
        <v>21501388</v>
      </c>
      <c r="N37" s="7">
        <v>26985454</v>
      </c>
      <c r="O37" s="7">
        <v>8779562</v>
      </c>
      <c r="P37" s="86">
        <v>7921930</v>
      </c>
      <c r="Q37" s="9"/>
      <c r="R37" s="10"/>
    </row>
    <row r="38" spans="2:18" ht="17.25" customHeight="1" x14ac:dyDescent="0.25">
      <c r="B38" s="11" t="s">
        <v>48</v>
      </c>
      <c r="C38" s="69">
        <f>C37-C35</f>
        <v>19990</v>
      </c>
      <c r="D38" s="69">
        <f t="shared" si="0"/>
        <v>923</v>
      </c>
      <c r="E38" s="69">
        <f t="shared" si="0"/>
        <v>2368</v>
      </c>
      <c r="F38" s="69">
        <f t="shared" si="0"/>
        <v>2931</v>
      </c>
      <c r="G38" s="69">
        <f t="shared" si="0"/>
        <v>15</v>
      </c>
      <c r="H38" s="8">
        <f>G38+F38+E38+D38+C38</f>
        <v>26227</v>
      </c>
      <c r="I38" s="72">
        <f>I37-I35</f>
        <v>1829</v>
      </c>
      <c r="J38" s="72">
        <f t="shared" si="1"/>
        <v>10122</v>
      </c>
      <c r="K38" s="72">
        <f t="shared" si="1"/>
        <v>3648</v>
      </c>
      <c r="L38" s="72">
        <f t="shared" si="1"/>
        <v>5084</v>
      </c>
      <c r="M38" s="72">
        <f t="shared" si="1"/>
        <v>11852</v>
      </c>
      <c r="N38" s="72">
        <f t="shared" si="1"/>
        <v>8018</v>
      </c>
      <c r="O38" s="72">
        <f t="shared" si="1"/>
        <v>2169</v>
      </c>
      <c r="P38" s="72">
        <f t="shared" si="1"/>
        <v>3370</v>
      </c>
      <c r="Q38" s="13">
        <f>P38+O38+N38+M38+L38+K38+J38+I38</f>
        <v>46092</v>
      </c>
      <c r="R38" s="14">
        <f>Q38+H38</f>
        <v>72319</v>
      </c>
    </row>
    <row r="39" spans="2:18" ht="17.25" customHeight="1" x14ac:dyDescent="0.25">
      <c r="B39" s="23">
        <v>17</v>
      </c>
      <c r="C39" s="7">
        <v>22820011</v>
      </c>
      <c r="D39" s="7">
        <v>16414871</v>
      </c>
      <c r="E39" s="7">
        <v>29145742</v>
      </c>
      <c r="F39" s="7">
        <v>28862074</v>
      </c>
      <c r="G39" s="7">
        <v>17325018</v>
      </c>
      <c r="H39" s="8"/>
      <c r="I39" s="7">
        <v>6489289</v>
      </c>
      <c r="J39" s="7">
        <v>28379505</v>
      </c>
      <c r="K39" s="7">
        <v>9447301</v>
      </c>
      <c r="L39" s="7">
        <v>14019602</v>
      </c>
      <c r="M39" s="7">
        <v>21513476</v>
      </c>
      <c r="N39" s="7">
        <v>26993410</v>
      </c>
      <c r="O39" s="7">
        <v>8781784</v>
      </c>
      <c r="P39" s="7">
        <v>7925240</v>
      </c>
      <c r="Q39" s="9"/>
      <c r="R39" s="10"/>
    </row>
    <row r="40" spans="2:18" ht="17.25" customHeight="1" x14ac:dyDescent="0.25">
      <c r="B40" s="11" t="s">
        <v>48</v>
      </c>
      <c r="C40" s="69">
        <f>C39-C37</f>
        <v>19297</v>
      </c>
      <c r="D40" s="69">
        <f t="shared" si="0"/>
        <v>902</v>
      </c>
      <c r="E40" s="69">
        <f t="shared" si="0"/>
        <v>2378</v>
      </c>
      <c r="F40" s="69">
        <f t="shared" si="0"/>
        <v>2928</v>
      </c>
      <c r="G40" s="69">
        <f t="shared" si="0"/>
        <v>15</v>
      </c>
      <c r="H40" s="8">
        <f>G40+F40+E40+D40+C40</f>
        <v>25520</v>
      </c>
      <c r="I40" s="72">
        <f>I39-I37</f>
        <v>2005</v>
      </c>
      <c r="J40" s="72">
        <f t="shared" si="1"/>
        <v>10152</v>
      </c>
      <c r="K40" s="72">
        <f t="shared" si="1"/>
        <v>3599</v>
      </c>
      <c r="L40" s="72">
        <f t="shared" si="1"/>
        <v>5133</v>
      </c>
      <c r="M40" s="72">
        <f t="shared" si="1"/>
        <v>12088</v>
      </c>
      <c r="N40" s="72">
        <f t="shared" si="1"/>
        <v>7956</v>
      </c>
      <c r="O40" s="72">
        <f t="shared" si="1"/>
        <v>2222</v>
      </c>
      <c r="P40" s="72">
        <f t="shared" si="1"/>
        <v>3310</v>
      </c>
      <c r="Q40" s="13">
        <f>P40+O40+N40+M40+L40+K40+J40+I40</f>
        <v>46465</v>
      </c>
      <c r="R40" s="14">
        <f>Q40+H40</f>
        <v>71985</v>
      </c>
    </row>
    <row r="41" spans="2:18" ht="17.25" customHeight="1" x14ac:dyDescent="0.25">
      <c r="B41" s="23">
        <v>18</v>
      </c>
      <c r="C41" s="7">
        <v>22823860</v>
      </c>
      <c r="D41" s="7">
        <v>16415810</v>
      </c>
      <c r="E41" s="7">
        <v>29157385</v>
      </c>
      <c r="F41" s="7">
        <v>28864698</v>
      </c>
      <c r="G41" s="7">
        <v>17325032</v>
      </c>
      <c r="H41" s="8"/>
      <c r="I41" s="7">
        <v>6491376</v>
      </c>
      <c r="J41" s="7">
        <v>28389709</v>
      </c>
      <c r="K41" s="7">
        <v>9450904</v>
      </c>
      <c r="L41" s="7">
        <v>14024793</v>
      </c>
      <c r="M41" s="7">
        <v>21525518</v>
      </c>
      <c r="N41" s="7">
        <v>27001359</v>
      </c>
      <c r="O41" s="7">
        <v>8783833</v>
      </c>
      <c r="P41" s="7">
        <v>7928870</v>
      </c>
      <c r="Q41" s="9"/>
      <c r="R41" s="10"/>
    </row>
    <row r="42" spans="2:18" ht="17.25" customHeight="1" x14ac:dyDescent="0.25">
      <c r="B42" s="11" t="s">
        <v>48</v>
      </c>
      <c r="C42" s="69">
        <f>C41-C39</f>
        <v>3849</v>
      </c>
      <c r="D42" s="69">
        <f t="shared" si="0"/>
        <v>939</v>
      </c>
      <c r="E42" s="69">
        <f t="shared" si="0"/>
        <v>11643</v>
      </c>
      <c r="F42" s="69">
        <f t="shared" si="0"/>
        <v>2624</v>
      </c>
      <c r="G42" s="69">
        <f t="shared" si="0"/>
        <v>14</v>
      </c>
      <c r="H42" s="8">
        <f>G42+F42+E42+D42+C42</f>
        <v>19069</v>
      </c>
      <c r="I42" s="72">
        <f>I41-I39</f>
        <v>2087</v>
      </c>
      <c r="J42" s="72">
        <f t="shared" si="1"/>
        <v>10204</v>
      </c>
      <c r="K42" s="72">
        <f t="shared" si="1"/>
        <v>3603</v>
      </c>
      <c r="L42" s="72">
        <f t="shared" si="1"/>
        <v>5191</v>
      </c>
      <c r="M42" s="72">
        <f t="shared" si="1"/>
        <v>12042</v>
      </c>
      <c r="N42" s="72">
        <f t="shared" si="1"/>
        <v>7949</v>
      </c>
      <c r="O42" s="72">
        <f t="shared" si="1"/>
        <v>2049</v>
      </c>
      <c r="P42" s="72">
        <f t="shared" si="1"/>
        <v>3630</v>
      </c>
      <c r="Q42" s="13">
        <f>P42+O42+N42+M42+L42+K42+J42+I42</f>
        <v>46755</v>
      </c>
      <c r="R42" s="14">
        <f>Q42+H42</f>
        <v>65824</v>
      </c>
    </row>
    <row r="43" spans="2:18" ht="17.25" customHeight="1" x14ac:dyDescent="0.25">
      <c r="B43" s="23">
        <v>19</v>
      </c>
      <c r="C43" s="63">
        <v>22823861</v>
      </c>
      <c r="D43" s="64">
        <v>16416741</v>
      </c>
      <c r="E43" s="64">
        <v>29171471</v>
      </c>
      <c r="F43" s="64">
        <v>28867196</v>
      </c>
      <c r="G43" s="64">
        <v>17325046</v>
      </c>
      <c r="H43" s="65" t="s">
        <v>47</v>
      </c>
      <c r="I43" s="64">
        <v>6493160</v>
      </c>
      <c r="J43" s="64">
        <v>28399482</v>
      </c>
      <c r="K43" s="64">
        <v>9454177</v>
      </c>
      <c r="L43" s="64">
        <v>14029744</v>
      </c>
      <c r="M43" s="64">
        <v>21536758</v>
      </c>
      <c r="N43" s="64">
        <v>27008838</v>
      </c>
      <c r="O43" s="64">
        <v>8785736</v>
      </c>
      <c r="P43" s="64">
        <v>7931820</v>
      </c>
      <c r="Q43" s="9"/>
      <c r="R43" s="10"/>
    </row>
    <row r="44" spans="2:18" ht="17.25" customHeight="1" x14ac:dyDescent="0.25">
      <c r="B44" s="11" t="s">
        <v>48</v>
      </c>
      <c r="C44" s="69">
        <f>C43-C41</f>
        <v>1</v>
      </c>
      <c r="D44" s="69">
        <f t="shared" si="0"/>
        <v>931</v>
      </c>
      <c r="E44" s="69">
        <f t="shared" si="0"/>
        <v>14086</v>
      </c>
      <c r="F44" s="69">
        <f t="shared" si="0"/>
        <v>2498</v>
      </c>
      <c r="G44" s="69">
        <f t="shared" si="0"/>
        <v>14</v>
      </c>
      <c r="H44" s="8">
        <f>G44+F44+E44+D44+C44</f>
        <v>17530</v>
      </c>
      <c r="I44" s="72">
        <f>I43-I41</f>
        <v>1784</v>
      </c>
      <c r="J44" s="72">
        <f t="shared" si="1"/>
        <v>9773</v>
      </c>
      <c r="K44" s="72">
        <f t="shared" si="1"/>
        <v>3273</v>
      </c>
      <c r="L44" s="72">
        <f t="shared" si="1"/>
        <v>4951</v>
      </c>
      <c r="M44" s="72">
        <f t="shared" si="1"/>
        <v>11240</v>
      </c>
      <c r="N44" s="72">
        <f t="shared" si="1"/>
        <v>7479</v>
      </c>
      <c r="O44" s="72">
        <f t="shared" si="1"/>
        <v>1903</v>
      </c>
      <c r="P44" s="72">
        <f t="shared" si="1"/>
        <v>2950</v>
      </c>
      <c r="Q44" s="13">
        <f>P44+O44+N44+M44+L44+K44+J44+I44</f>
        <v>43353</v>
      </c>
      <c r="R44" s="14">
        <f>Q44+H44</f>
        <v>60883</v>
      </c>
    </row>
    <row r="45" spans="2:18" ht="17.25" customHeight="1" x14ac:dyDescent="0.25">
      <c r="B45" s="23">
        <v>20</v>
      </c>
      <c r="C45" s="63">
        <v>22823864</v>
      </c>
      <c r="D45" s="63">
        <v>16417665</v>
      </c>
      <c r="E45" s="64">
        <v>29185748</v>
      </c>
      <c r="F45" s="64">
        <v>28869915</v>
      </c>
      <c r="G45" s="64">
        <v>17325064</v>
      </c>
      <c r="H45" s="65" t="s">
        <v>47</v>
      </c>
      <c r="I45" s="64">
        <v>6494971</v>
      </c>
      <c r="J45" s="64">
        <v>28409309</v>
      </c>
      <c r="K45" s="64">
        <v>9457707</v>
      </c>
      <c r="L45" s="64">
        <v>14034756</v>
      </c>
      <c r="M45" s="64">
        <v>21547922</v>
      </c>
      <c r="N45" s="64">
        <v>27016608</v>
      </c>
      <c r="O45" s="64">
        <v>8787568</v>
      </c>
      <c r="P45" s="64">
        <v>7934920</v>
      </c>
      <c r="Q45" s="9"/>
      <c r="R45" s="10"/>
    </row>
    <row r="46" spans="2:18" ht="17.25" customHeight="1" x14ac:dyDescent="0.25">
      <c r="B46" s="11" t="s">
        <v>48</v>
      </c>
      <c r="C46" s="69">
        <f>C45-C43</f>
        <v>3</v>
      </c>
      <c r="D46" s="69">
        <f t="shared" si="0"/>
        <v>924</v>
      </c>
      <c r="E46" s="69">
        <f t="shared" si="0"/>
        <v>14277</v>
      </c>
      <c r="F46" s="69">
        <f t="shared" si="0"/>
        <v>2719</v>
      </c>
      <c r="G46" s="69">
        <f t="shared" si="0"/>
        <v>18</v>
      </c>
      <c r="H46" s="8">
        <f>G46+F46+E46+D46+C46</f>
        <v>17941</v>
      </c>
      <c r="I46" s="72">
        <f>I45-I43</f>
        <v>1811</v>
      </c>
      <c r="J46" s="72">
        <f t="shared" si="1"/>
        <v>9827</v>
      </c>
      <c r="K46" s="72">
        <f t="shared" si="1"/>
        <v>3530</v>
      </c>
      <c r="L46" s="72">
        <f t="shared" si="1"/>
        <v>5012</v>
      </c>
      <c r="M46" s="72">
        <f t="shared" si="1"/>
        <v>11164</v>
      </c>
      <c r="N46" s="72">
        <f t="shared" si="1"/>
        <v>7770</v>
      </c>
      <c r="O46" s="72">
        <f t="shared" si="1"/>
        <v>1832</v>
      </c>
      <c r="P46" s="72">
        <f t="shared" si="1"/>
        <v>3100</v>
      </c>
      <c r="Q46" s="13">
        <f>P46+O46+N46+M46+L46+K46+J46+I46</f>
        <v>44046</v>
      </c>
      <c r="R46" s="14">
        <f>Q46+H46</f>
        <v>61987</v>
      </c>
    </row>
    <row r="47" spans="2:18" ht="17.25" customHeight="1" x14ac:dyDescent="0.25">
      <c r="B47" s="23">
        <v>21</v>
      </c>
      <c r="C47" s="7">
        <v>22823874</v>
      </c>
      <c r="D47" s="7">
        <v>16418587</v>
      </c>
      <c r="E47" s="7">
        <v>29199570</v>
      </c>
      <c r="F47" s="7">
        <v>28872599</v>
      </c>
      <c r="G47" s="7">
        <v>17325079</v>
      </c>
      <c r="H47" s="8"/>
      <c r="I47" s="7">
        <v>6496689</v>
      </c>
      <c r="J47" s="7">
        <v>28419075</v>
      </c>
      <c r="K47" s="7">
        <v>9461383</v>
      </c>
      <c r="L47" s="7">
        <v>14039803</v>
      </c>
      <c r="M47" s="7">
        <v>21558925</v>
      </c>
      <c r="N47" s="7">
        <v>27023999</v>
      </c>
      <c r="O47" s="7">
        <v>8789429</v>
      </c>
      <c r="P47" s="7">
        <v>7937840</v>
      </c>
      <c r="Q47" s="9"/>
      <c r="R47" s="10"/>
    </row>
    <row r="48" spans="2:18" ht="17.25" customHeight="1" x14ac:dyDescent="0.25">
      <c r="B48" s="11" t="s">
        <v>48</v>
      </c>
      <c r="C48" s="69">
        <f>C47-C45</f>
        <v>10</v>
      </c>
      <c r="D48" s="69">
        <f t="shared" si="0"/>
        <v>922</v>
      </c>
      <c r="E48" s="69">
        <f t="shared" si="0"/>
        <v>13822</v>
      </c>
      <c r="F48" s="69">
        <f t="shared" si="0"/>
        <v>2684</v>
      </c>
      <c r="G48" s="69">
        <f t="shared" si="0"/>
        <v>15</v>
      </c>
      <c r="H48" s="8">
        <f>G48+F48+E48+D48+C48</f>
        <v>17453</v>
      </c>
      <c r="I48" s="72">
        <f>I47-I45</f>
        <v>1718</v>
      </c>
      <c r="J48" s="72">
        <f t="shared" si="1"/>
        <v>9766</v>
      </c>
      <c r="K48" s="72">
        <f t="shared" si="1"/>
        <v>3676</v>
      </c>
      <c r="L48" s="72">
        <f t="shared" si="1"/>
        <v>5047</v>
      </c>
      <c r="M48" s="72">
        <f t="shared" si="1"/>
        <v>11003</v>
      </c>
      <c r="N48" s="72">
        <f t="shared" si="1"/>
        <v>7391</v>
      </c>
      <c r="O48" s="72">
        <f t="shared" si="1"/>
        <v>1861</v>
      </c>
      <c r="P48" s="72">
        <f t="shared" si="1"/>
        <v>2920</v>
      </c>
      <c r="Q48" s="13">
        <f>P48+O48+N48+M48+L48+K48+J48+I48</f>
        <v>43382</v>
      </c>
      <c r="R48" s="14">
        <f>Q48+H48</f>
        <v>60835</v>
      </c>
    </row>
    <row r="49" spans="2:18" ht="17.25" customHeight="1" x14ac:dyDescent="0.25">
      <c r="B49" s="23">
        <v>22</v>
      </c>
      <c r="C49" s="7">
        <v>22823876</v>
      </c>
      <c r="D49" s="7">
        <v>16419557</v>
      </c>
      <c r="E49" s="7">
        <v>29213883</v>
      </c>
      <c r="F49" s="7">
        <v>28875428</v>
      </c>
      <c r="G49" s="7">
        <v>17325094</v>
      </c>
      <c r="H49" s="8"/>
      <c r="I49" s="7">
        <v>6498450</v>
      </c>
      <c r="J49" s="7">
        <v>28428994</v>
      </c>
      <c r="K49" s="7">
        <v>9465163</v>
      </c>
      <c r="L49" s="7">
        <v>14044818</v>
      </c>
      <c r="M49" s="7">
        <v>21570266</v>
      </c>
      <c r="N49" s="7">
        <v>27031465</v>
      </c>
      <c r="O49" s="7">
        <v>8791140</v>
      </c>
      <c r="P49" s="7">
        <v>7940520</v>
      </c>
      <c r="Q49" s="9"/>
      <c r="R49" s="10"/>
    </row>
    <row r="50" spans="2:18" ht="17.25" customHeight="1" x14ac:dyDescent="0.25">
      <c r="B50" s="11" t="s">
        <v>48</v>
      </c>
      <c r="C50" s="69">
        <f>C49-C47</f>
        <v>2</v>
      </c>
      <c r="D50" s="69">
        <f t="shared" si="0"/>
        <v>970</v>
      </c>
      <c r="E50" s="69">
        <f t="shared" si="0"/>
        <v>14313</v>
      </c>
      <c r="F50" s="69">
        <f t="shared" si="0"/>
        <v>2829</v>
      </c>
      <c r="G50" s="69">
        <f t="shared" si="0"/>
        <v>15</v>
      </c>
      <c r="H50" s="8">
        <f>G50+F50+E50+D50+C50</f>
        <v>18129</v>
      </c>
      <c r="I50" s="72">
        <f>I49-I47</f>
        <v>1761</v>
      </c>
      <c r="J50" s="72">
        <f t="shared" si="1"/>
        <v>9919</v>
      </c>
      <c r="K50" s="72">
        <f t="shared" si="1"/>
        <v>3780</v>
      </c>
      <c r="L50" s="72">
        <f t="shared" si="1"/>
        <v>5015</v>
      </c>
      <c r="M50" s="72">
        <f t="shared" si="1"/>
        <v>11341</v>
      </c>
      <c r="N50" s="72">
        <f t="shared" si="1"/>
        <v>7466</v>
      </c>
      <c r="O50" s="72">
        <f t="shared" si="1"/>
        <v>1711</v>
      </c>
      <c r="P50" s="72">
        <f t="shared" si="1"/>
        <v>2680</v>
      </c>
      <c r="Q50" s="13">
        <f>P50+O50+N50+M50+L50+K50+J50+I50</f>
        <v>43673</v>
      </c>
      <c r="R50" s="14">
        <f>Q50+H50</f>
        <v>61802</v>
      </c>
    </row>
    <row r="51" spans="2:18" ht="17.25" customHeight="1" x14ac:dyDescent="0.25">
      <c r="B51" s="23">
        <v>23</v>
      </c>
      <c r="C51" s="7">
        <v>22823876</v>
      </c>
      <c r="D51" s="7">
        <v>16420442</v>
      </c>
      <c r="E51" s="7">
        <v>29228810</v>
      </c>
      <c r="F51" s="7">
        <v>28878494</v>
      </c>
      <c r="G51" s="7">
        <v>17325109</v>
      </c>
      <c r="H51" s="8"/>
      <c r="I51" s="7">
        <v>6500176</v>
      </c>
      <c r="J51" s="7">
        <v>28438827</v>
      </c>
      <c r="K51" s="7">
        <v>9469123</v>
      </c>
      <c r="L51" s="7">
        <v>14049699</v>
      </c>
      <c r="M51" s="7">
        <v>21581153</v>
      </c>
      <c r="N51" s="7">
        <v>27038742</v>
      </c>
      <c r="O51" s="7">
        <v>8793089</v>
      </c>
      <c r="P51" s="7">
        <v>7943320</v>
      </c>
      <c r="Q51" s="9"/>
      <c r="R51" s="10"/>
    </row>
    <row r="52" spans="2:18" ht="17.25" customHeight="1" x14ac:dyDescent="0.25">
      <c r="B52" s="11" t="s">
        <v>48</v>
      </c>
      <c r="C52" s="69">
        <f>C51-C49</f>
        <v>0</v>
      </c>
      <c r="D52" s="69">
        <f t="shared" si="0"/>
        <v>885</v>
      </c>
      <c r="E52" s="69">
        <f t="shared" si="0"/>
        <v>14927</v>
      </c>
      <c r="F52" s="69">
        <f t="shared" si="0"/>
        <v>3066</v>
      </c>
      <c r="G52" s="69">
        <f t="shared" si="0"/>
        <v>15</v>
      </c>
      <c r="H52" s="8">
        <f>G52+F52+E52+D52+C52</f>
        <v>18893</v>
      </c>
      <c r="I52" s="72">
        <f>I51-I49</f>
        <v>1726</v>
      </c>
      <c r="J52" s="72">
        <f t="shared" si="1"/>
        <v>9833</v>
      </c>
      <c r="K52" s="72">
        <f t="shared" si="1"/>
        <v>3960</v>
      </c>
      <c r="L52" s="72">
        <f t="shared" si="1"/>
        <v>4881</v>
      </c>
      <c r="M52" s="72">
        <f t="shared" si="1"/>
        <v>10887</v>
      </c>
      <c r="N52" s="72">
        <f t="shared" si="1"/>
        <v>7277</v>
      </c>
      <c r="O52" s="72">
        <f t="shared" si="1"/>
        <v>1949</v>
      </c>
      <c r="P52" s="72">
        <f t="shared" si="1"/>
        <v>2800</v>
      </c>
      <c r="Q52" s="13">
        <f>P52+O52+N52+M52+L52+K52+J52+I52</f>
        <v>43313</v>
      </c>
      <c r="R52" s="14">
        <f>Q52+H52</f>
        <v>62206</v>
      </c>
    </row>
    <row r="53" spans="2:18" ht="17.25" customHeight="1" x14ac:dyDescent="0.25">
      <c r="B53" s="23">
        <v>24</v>
      </c>
      <c r="C53" s="7">
        <v>22823884</v>
      </c>
      <c r="D53" s="46">
        <v>16421337</v>
      </c>
      <c r="E53" s="46">
        <v>29243249</v>
      </c>
      <c r="F53" s="46">
        <v>28881602</v>
      </c>
      <c r="G53" s="46">
        <v>17325123</v>
      </c>
      <c r="H53" s="8"/>
      <c r="I53" s="7">
        <v>6501911</v>
      </c>
      <c r="J53" s="7">
        <v>28448692</v>
      </c>
      <c r="K53" s="7">
        <v>9473230</v>
      </c>
      <c r="L53" s="7">
        <v>14054763</v>
      </c>
      <c r="M53" s="7">
        <v>21591352</v>
      </c>
      <c r="N53" s="7">
        <v>27046545</v>
      </c>
      <c r="O53" s="7">
        <v>8795126</v>
      </c>
      <c r="P53" s="7">
        <v>7946100</v>
      </c>
      <c r="Q53" s="9"/>
      <c r="R53" s="10"/>
    </row>
    <row r="54" spans="2:18" ht="17.25" customHeight="1" x14ac:dyDescent="0.25">
      <c r="B54" s="11" t="s">
        <v>48</v>
      </c>
      <c r="C54" s="69">
        <f>C53-C51</f>
        <v>8</v>
      </c>
      <c r="D54" s="69">
        <f t="shared" si="0"/>
        <v>895</v>
      </c>
      <c r="E54" s="69">
        <f t="shared" si="0"/>
        <v>14439</v>
      </c>
      <c r="F54" s="69">
        <f t="shared" si="0"/>
        <v>3108</v>
      </c>
      <c r="G54" s="69">
        <f t="shared" si="0"/>
        <v>14</v>
      </c>
      <c r="H54" s="8">
        <f>G54+F54+E54+D54+C54</f>
        <v>18464</v>
      </c>
      <c r="I54" s="72">
        <f>I53-I51</f>
        <v>1735</v>
      </c>
      <c r="J54" s="72">
        <f t="shared" si="1"/>
        <v>9865</v>
      </c>
      <c r="K54" s="72">
        <f t="shared" si="1"/>
        <v>4107</v>
      </c>
      <c r="L54" s="72">
        <f t="shared" si="1"/>
        <v>5064</v>
      </c>
      <c r="M54" s="72">
        <f t="shared" si="1"/>
        <v>10199</v>
      </c>
      <c r="N54" s="72">
        <f t="shared" si="1"/>
        <v>7803</v>
      </c>
      <c r="O54" s="72">
        <f t="shared" si="1"/>
        <v>2037</v>
      </c>
      <c r="P54" s="72">
        <f t="shared" si="1"/>
        <v>2780</v>
      </c>
      <c r="Q54" s="13">
        <f>P54+O54+N54+M54+L54+K54+J54+I54</f>
        <v>43590</v>
      </c>
      <c r="R54" s="14">
        <f>Q54+H54</f>
        <v>62054</v>
      </c>
    </row>
    <row r="55" spans="2:18" ht="17.25" customHeight="1" x14ac:dyDescent="0.25">
      <c r="B55" s="23">
        <v>25</v>
      </c>
      <c r="C55" s="7">
        <v>22823888</v>
      </c>
      <c r="D55" s="79">
        <v>16422221</v>
      </c>
      <c r="E55" s="83">
        <v>29255130</v>
      </c>
      <c r="F55" s="80">
        <v>28884229</v>
      </c>
      <c r="G55" s="7">
        <v>17325141</v>
      </c>
      <c r="H55" s="8"/>
      <c r="I55" s="7">
        <v>6503638</v>
      </c>
      <c r="J55" s="7">
        <v>28458404</v>
      </c>
      <c r="K55" s="7">
        <v>9477004</v>
      </c>
      <c r="L55" s="7">
        <v>14059781</v>
      </c>
      <c r="M55" s="7">
        <v>21600654</v>
      </c>
      <c r="N55" s="7">
        <v>27053850</v>
      </c>
      <c r="O55" s="7">
        <v>8796881</v>
      </c>
      <c r="P55" s="7">
        <v>7948540</v>
      </c>
      <c r="Q55" s="9"/>
      <c r="R55" s="10"/>
    </row>
    <row r="56" spans="2:18" ht="17.25" customHeight="1" x14ac:dyDescent="0.25">
      <c r="B56" s="11" t="s">
        <v>48</v>
      </c>
      <c r="C56" s="69">
        <f>C55-C53</f>
        <v>4</v>
      </c>
      <c r="D56" s="69">
        <f t="shared" si="0"/>
        <v>884</v>
      </c>
      <c r="E56" s="69">
        <f t="shared" si="0"/>
        <v>11881</v>
      </c>
      <c r="F56" s="69">
        <f t="shared" si="0"/>
        <v>2627</v>
      </c>
      <c r="G56" s="69">
        <f t="shared" si="0"/>
        <v>18</v>
      </c>
      <c r="H56" s="8">
        <f>G56+F56+E56+D56+C56</f>
        <v>15414</v>
      </c>
      <c r="I56" s="72">
        <f>I55-I53</f>
        <v>1727</v>
      </c>
      <c r="J56" s="72">
        <f t="shared" si="1"/>
        <v>9712</v>
      </c>
      <c r="K56" s="72">
        <f t="shared" si="1"/>
        <v>3774</v>
      </c>
      <c r="L56" s="72">
        <f t="shared" si="1"/>
        <v>5018</v>
      </c>
      <c r="M56" s="72">
        <f t="shared" si="1"/>
        <v>9302</v>
      </c>
      <c r="N56" s="72">
        <f t="shared" si="1"/>
        <v>7305</v>
      </c>
      <c r="O56" s="72">
        <f t="shared" si="1"/>
        <v>1755</v>
      </c>
      <c r="P56" s="72">
        <f t="shared" si="1"/>
        <v>2440</v>
      </c>
      <c r="Q56" s="13">
        <f>P56+O56+N56+M56+L56+K56+J56+I56</f>
        <v>41033</v>
      </c>
      <c r="R56" s="14">
        <f>Q56+H56</f>
        <v>56447</v>
      </c>
    </row>
    <row r="57" spans="2:18" ht="17.25" customHeight="1" x14ac:dyDescent="0.25">
      <c r="B57" s="23">
        <v>26</v>
      </c>
      <c r="C57" s="7">
        <v>22823892</v>
      </c>
      <c r="D57" s="79">
        <v>16430361</v>
      </c>
      <c r="E57" s="78">
        <v>29259551</v>
      </c>
      <c r="F57" s="80">
        <v>28886551</v>
      </c>
      <c r="G57" s="7">
        <v>17325155</v>
      </c>
      <c r="H57" s="8"/>
      <c r="I57" s="7">
        <v>6505459</v>
      </c>
      <c r="J57" s="7">
        <v>28467904</v>
      </c>
      <c r="K57" s="7">
        <v>9480377</v>
      </c>
      <c r="L57" s="7">
        <v>14064773</v>
      </c>
      <c r="M57" s="7">
        <v>21611570</v>
      </c>
      <c r="N57" s="7">
        <v>27060377</v>
      </c>
      <c r="O57" s="7">
        <v>8798487</v>
      </c>
      <c r="P57" s="7">
        <v>7951060</v>
      </c>
      <c r="Q57" s="9"/>
      <c r="R57" s="10"/>
    </row>
    <row r="58" spans="2:18" ht="17.25" customHeight="1" x14ac:dyDescent="0.25">
      <c r="B58" s="11" t="s">
        <v>48</v>
      </c>
      <c r="C58" s="69">
        <f>C57-C55</f>
        <v>4</v>
      </c>
      <c r="D58" s="69">
        <f t="shared" si="0"/>
        <v>8140</v>
      </c>
      <c r="E58" s="69">
        <f t="shared" si="0"/>
        <v>4421</v>
      </c>
      <c r="F58" s="69">
        <f t="shared" si="0"/>
        <v>2322</v>
      </c>
      <c r="G58" s="69">
        <f t="shared" si="0"/>
        <v>14</v>
      </c>
      <c r="H58" s="8">
        <f>G58+F58+E58+D58+C58</f>
        <v>14901</v>
      </c>
      <c r="I58" s="72">
        <f>I57-I55</f>
        <v>1821</v>
      </c>
      <c r="J58" s="72">
        <f t="shared" si="1"/>
        <v>9500</v>
      </c>
      <c r="K58" s="72">
        <f t="shared" si="1"/>
        <v>3373</v>
      </c>
      <c r="L58" s="72">
        <f t="shared" si="1"/>
        <v>4992</v>
      </c>
      <c r="M58" s="72">
        <f t="shared" si="1"/>
        <v>10916</v>
      </c>
      <c r="N58" s="72">
        <f t="shared" si="1"/>
        <v>6527</v>
      </c>
      <c r="O58" s="72">
        <f t="shared" si="1"/>
        <v>1606</v>
      </c>
      <c r="P58" s="72">
        <f t="shared" si="1"/>
        <v>2520</v>
      </c>
      <c r="Q58" s="13">
        <f>P58+O58+N58+M58+L58+K58+J58+I58</f>
        <v>41255</v>
      </c>
      <c r="R58" s="14">
        <f>Q58+H58</f>
        <v>56156</v>
      </c>
    </row>
    <row r="59" spans="2:18" ht="17.25" customHeight="1" x14ac:dyDescent="0.25">
      <c r="B59" s="23">
        <v>27</v>
      </c>
      <c r="C59" s="7">
        <v>22823905</v>
      </c>
      <c r="D59" s="7">
        <v>16440689</v>
      </c>
      <c r="E59" s="7">
        <v>29261570</v>
      </c>
      <c r="F59" s="7">
        <v>28888870</v>
      </c>
      <c r="G59" s="7">
        <v>17325169</v>
      </c>
      <c r="H59" s="8"/>
      <c r="I59" s="7">
        <v>6507178</v>
      </c>
      <c r="J59" s="7">
        <v>28477859</v>
      </c>
      <c r="K59" s="7">
        <v>9483859</v>
      </c>
      <c r="L59" s="46">
        <v>14069688</v>
      </c>
      <c r="M59" s="7">
        <v>21622166</v>
      </c>
      <c r="N59" s="7">
        <v>27067290</v>
      </c>
      <c r="O59" s="7">
        <v>8799912</v>
      </c>
      <c r="P59" s="86">
        <v>7953460</v>
      </c>
      <c r="Q59" s="9"/>
      <c r="R59" s="10"/>
    </row>
    <row r="60" spans="2:18" ht="17.25" customHeight="1" x14ac:dyDescent="0.25">
      <c r="B60" s="11" t="s">
        <v>48</v>
      </c>
      <c r="C60" s="69">
        <f>C59-C57</f>
        <v>13</v>
      </c>
      <c r="D60" s="69">
        <f t="shared" si="0"/>
        <v>10328</v>
      </c>
      <c r="E60" s="69">
        <f t="shared" si="0"/>
        <v>2019</v>
      </c>
      <c r="F60" s="69">
        <f t="shared" si="0"/>
        <v>2319</v>
      </c>
      <c r="G60" s="69">
        <f t="shared" si="0"/>
        <v>14</v>
      </c>
      <c r="H60" s="8">
        <f>G60+F60+E60+D60+C60</f>
        <v>14693</v>
      </c>
      <c r="I60" s="72">
        <f>I59-I57</f>
        <v>1719</v>
      </c>
      <c r="J60" s="72">
        <f t="shared" si="1"/>
        <v>9955</v>
      </c>
      <c r="K60" s="72">
        <f t="shared" si="1"/>
        <v>3482</v>
      </c>
      <c r="L60" s="72">
        <f t="shared" si="1"/>
        <v>4915</v>
      </c>
      <c r="M60" s="72">
        <f t="shared" si="1"/>
        <v>10596</v>
      </c>
      <c r="N60" s="72">
        <f t="shared" si="1"/>
        <v>6913</v>
      </c>
      <c r="O60" s="72">
        <f t="shared" si="1"/>
        <v>1425</v>
      </c>
      <c r="P60" s="72">
        <f t="shared" si="1"/>
        <v>2400</v>
      </c>
      <c r="Q60" s="13">
        <f>P60+O60+N60+M60+L60+K60+J60+I60</f>
        <v>41405</v>
      </c>
      <c r="R60" s="14">
        <f>Q60+H60</f>
        <v>56098</v>
      </c>
    </row>
    <row r="61" spans="2:18" ht="17.25" customHeight="1" x14ac:dyDescent="0.25">
      <c r="B61" s="23">
        <v>28</v>
      </c>
      <c r="C61" s="7">
        <v>22823911</v>
      </c>
      <c r="D61" s="7">
        <v>16450871</v>
      </c>
      <c r="E61" s="7">
        <v>29263677</v>
      </c>
      <c r="F61" s="7">
        <v>28891152</v>
      </c>
      <c r="G61" s="7">
        <v>17325183</v>
      </c>
      <c r="H61" s="8"/>
      <c r="I61" s="7">
        <v>6508889</v>
      </c>
      <c r="J61" s="7">
        <v>28487451</v>
      </c>
      <c r="K61" s="7">
        <v>9487461</v>
      </c>
      <c r="L61" s="46">
        <v>14074665</v>
      </c>
      <c r="M61" s="7">
        <v>21632749</v>
      </c>
      <c r="N61" s="7">
        <v>27074139</v>
      </c>
      <c r="O61" s="7">
        <v>8801466</v>
      </c>
      <c r="P61" s="7">
        <v>7955800</v>
      </c>
      <c r="Q61" s="9"/>
      <c r="R61" s="10"/>
    </row>
    <row r="62" spans="2:18" ht="17.25" customHeight="1" x14ac:dyDescent="0.25">
      <c r="B62" s="11" t="s">
        <v>48</v>
      </c>
      <c r="C62" s="69">
        <f>C61-C59</f>
        <v>6</v>
      </c>
      <c r="D62" s="69">
        <f t="shared" si="0"/>
        <v>10182</v>
      </c>
      <c r="E62" s="69">
        <f t="shared" si="0"/>
        <v>2107</v>
      </c>
      <c r="F62" s="69">
        <f t="shared" si="0"/>
        <v>2282</v>
      </c>
      <c r="G62" s="69">
        <f t="shared" si="0"/>
        <v>14</v>
      </c>
      <c r="H62" s="8">
        <f>G62+F62+E62+D62+C62</f>
        <v>14591</v>
      </c>
      <c r="I62" s="72">
        <f>I61-I59</f>
        <v>1711</v>
      </c>
      <c r="J62" s="72">
        <f t="shared" si="1"/>
        <v>9592</v>
      </c>
      <c r="K62" s="72">
        <f t="shared" si="1"/>
        <v>3602</v>
      </c>
      <c r="L62" s="72">
        <f t="shared" si="1"/>
        <v>4977</v>
      </c>
      <c r="M62" s="72">
        <f t="shared" si="1"/>
        <v>10583</v>
      </c>
      <c r="N62" s="72">
        <f t="shared" si="1"/>
        <v>6849</v>
      </c>
      <c r="O62" s="72">
        <f t="shared" si="1"/>
        <v>1554</v>
      </c>
      <c r="P62" s="72">
        <f t="shared" si="1"/>
        <v>2340</v>
      </c>
      <c r="Q62" s="13">
        <f>P62+O62+N62+M62+L62+K62+J62+I62</f>
        <v>41208</v>
      </c>
      <c r="R62" s="14">
        <f>Q62+H62</f>
        <v>55799</v>
      </c>
    </row>
    <row r="63" spans="2:18" ht="17.25" customHeight="1" x14ac:dyDescent="0.25">
      <c r="B63" s="23">
        <v>29</v>
      </c>
      <c r="C63" s="7">
        <v>22823911</v>
      </c>
      <c r="D63" s="7">
        <v>16460411</v>
      </c>
      <c r="E63" s="7">
        <v>29265738</v>
      </c>
      <c r="F63" s="7">
        <v>28893239</v>
      </c>
      <c r="G63" s="7">
        <v>17325198</v>
      </c>
      <c r="H63" s="8"/>
      <c r="I63" s="7">
        <v>6510604</v>
      </c>
      <c r="J63" s="7">
        <v>28497079</v>
      </c>
      <c r="K63" s="7">
        <v>9491068</v>
      </c>
      <c r="L63" s="46">
        <v>14079735</v>
      </c>
      <c r="M63" s="7">
        <v>21643123</v>
      </c>
      <c r="N63" s="7">
        <v>27081124</v>
      </c>
      <c r="O63" s="7">
        <v>8803032</v>
      </c>
      <c r="P63" s="7">
        <v>7958200</v>
      </c>
      <c r="Q63" s="9"/>
      <c r="R63" s="10"/>
    </row>
    <row r="64" spans="2:18" ht="17.25" customHeight="1" x14ac:dyDescent="0.25">
      <c r="B64" s="11" t="s">
        <v>48</v>
      </c>
      <c r="C64" s="69">
        <f>C63-C61</f>
        <v>0</v>
      </c>
      <c r="D64" s="69">
        <f t="shared" si="0"/>
        <v>9540</v>
      </c>
      <c r="E64" s="69">
        <f t="shared" si="0"/>
        <v>2061</v>
      </c>
      <c r="F64" s="69">
        <f t="shared" si="0"/>
        <v>2087</v>
      </c>
      <c r="G64" s="69">
        <f t="shared" si="0"/>
        <v>15</v>
      </c>
      <c r="H64" s="8">
        <f>G64+F64+E64+D64+C64</f>
        <v>13703</v>
      </c>
      <c r="I64" s="72">
        <f>I63-I61</f>
        <v>1715</v>
      </c>
      <c r="J64" s="72">
        <f t="shared" si="1"/>
        <v>9628</v>
      </c>
      <c r="K64" s="72">
        <f t="shared" si="1"/>
        <v>3607</v>
      </c>
      <c r="L64" s="72">
        <f t="shared" si="1"/>
        <v>5070</v>
      </c>
      <c r="M64" s="72">
        <f t="shared" si="1"/>
        <v>10374</v>
      </c>
      <c r="N64" s="72">
        <f t="shared" si="1"/>
        <v>6985</v>
      </c>
      <c r="O64" s="72">
        <f t="shared" si="1"/>
        <v>1566</v>
      </c>
      <c r="P64" s="72">
        <f t="shared" si="1"/>
        <v>2400</v>
      </c>
      <c r="Q64" s="13">
        <f>P64+O64+N64+M64+L64+K64+J64+I64</f>
        <v>41345</v>
      </c>
      <c r="R64" s="14">
        <f>Q64+H64</f>
        <v>55048</v>
      </c>
    </row>
    <row r="65" spans="2:18" ht="17.25" customHeight="1" x14ac:dyDescent="0.25">
      <c r="B65" s="23">
        <v>30</v>
      </c>
      <c r="C65" s="7">
        <v>22823915</v>
      </c>
      <c r="D65" s="7">
        <v>16469915</v>
      </c>
      <c r="E65" s="7">
        <v>29267790</v>
      </c>
      <c r="F65" s="7">
        <v>28895282</v>
      </c>
      <c r="G65" s="7">
        <v>17325215</v>
      </c>
      <c r="H65" s="8"/>
      <c r="I65" s="7">
        <v>6512109</v>
      </c>
      <c r="J65" s="7">
        <v>28506868</v>
      </c>
      <c r="K65" s="7">
        <v>9494778</v>
      </c>
      <c r="L65" s="46">
        <v>14084657</v>
      </c>
      <c r="M65" s="7">
        <v>21653878</v>
      </c>
      <c r="N65" s="7">
        <v>27088027</v>
      </c>
      <c r="O65" s="7">
        <v>8804697</v>
      </c>
      <c r="P65" s="7">
        <v>7960990</v>
      </c>
      <c r="Q65" s="9"/>
      <c r="R65" s="10"/>
    </row>
    <row r="66" spans="2:18" ht="17.25" customHeight="1" x14ac:dyDescent="0.25">
      <c r="B66" s="11" t="s">
        <v>48</v>
      </c>
      <c r="C66" s="69">
        <f>C65-C63</f>
        <v>4</v>
      </c>
      <c r="D66" s="69">
        <f t="shared" si="0"/>
        <v>9504</v>
      </c>
      <c r="E66" s="69">
        <f t="shared" si="0"/>
        <v>2052</v>
      </c>
      <c r="F66" s="69">
        <f t="shared" si="0"/>
        <v>2043</v>
      </c>
      <c r="G66" s="69">
        <f t="shared" si="0"/>
        <v>17</v>
      </c>
      <c r="H66" s="8">
        <f>G66+F66+E66+D66+C66</f>
        <v>13620</v>
      </c>
      <c r="I66" s="72">
        <f>I65-I63</f>
        <v>1505</v>
      </c>
      <c r="J66" s="72">
        <f t="shared" si="1"/>
        <v>9789</v>
      </c>
      <c r="K66" s="72">
        <f t="shared" si="1"/>
        <v>3710</v>
      </c>
      <c r="L66" s="72">
        <f t="shared" si="1"/>
        <v>4922</v>
      </c>
      <c r="M66" s="72">
        <f t="shared" si="1"/>
        <v>10755</v>
      </c>
      <c r="N66" s="72">
        <f t="shared" si="1"/>
        <v>6903</v>
      </c>
      <c r="O66" s="72">
        <f t="shared" si="1"/>
        <v>1665</v>
      </c>
      <c r="P66" s="72">
        <f t="shared" si="1"/>
        <v>2790</v>
      </c>
      <c r="Q66" s="13">
        <f>P66+O66+N66+M66+L66+K66+J66+I66</f>
        <v>42039</v>
      </c>
      <c r="R66" s="14">
        <f>Q66+H66</f>
        <v>55659</v>
      </c>
    </row>
    <row r="67" spans="2:18" ht="15.75" x14ac:dyDescent="0.25">
      <c r="B67" s="23">
        <v>31</v>
      </c>
      <c r="C67" s="7">
        <v>22823929</v>
      </c>
      <c r="D67" s="7">
        <v>16480001</v>
      </c>
      <c r="E67" s="7">
        <v>29269877</v>
      </c>
      <c r="F67" s="7">
        <v>28897472</v>
      </c>
      <c r="G67" s="7">
        <v>17325230</v>
      </c>
      <c r="H67" s="8"/>
      <c r="I67" s="7">
        <v>6513721</v>
      </c>
      <c r="J67" s="7">
        <v>28516556</v>
      </c>
      <c r="K67" s="7">
        <v>9498567</v>
      </c>
      <c r="L67" s="46">
        <v>14089612</v>
      </c>
      <c r="M67" s="7">
        <v>21664738</v>
      </c>
      <c r="N67" s="7">
        <v>27094830</v>
      </c>
      <c r="O67" s="7">
        <v>8806121</v>
      </c>
      <c r="P67" s="7">
        <v>7963630</v>
      </c>
      <c r="Q67" s="9"/>
      <c r="R67" s="10"/>
    </row>
    <row r="68" spans="2:18" ht="15.75" x14ac:dyDescent="0.25">
      <c r="B68" s="11" t="s">
        <v>48</v>
      </c>
      <c r="C68" s="69">
        <f>C67-C65</f>
        <v>14</v>
      </c>
      <c r="D68" s="69">
        <f t="shared" si="0"/>
        <v>10086</v>
      </c>
      <c r="E68" s="69">
        <f t="shared" si="0"/>
        <v>2087</v>
      </c>
      <c r="F68" s="69">
        <f t="shared" si="0"/>
        <v>2190</v>
      </c>
      <c r="G68" s="69">
        <f t="shared" si="0"/>
        <v>15</v>
      </c>
      <c r="H68" s="8">
        <f>G68+F68+E68+D68+C68</f>
        <v>14392</v>
      </c>
      <c r="I68" s="72">
        <f>I67-I65</f>
        <v>1612</v>
      </c>
      <c r="J68" s="72">
        <f t="shared" si="1"/>
        <v>9688</v>
      </c>
      <c r="K68" s="72">
        <f t="shared" si="1"/>
        <v>3789</v>
      </c>
      <c r="L68" s="72">
        <f t="shared" si="1"/>
        <v>4955</v>
      </c>
      <c r="M68" s="72">
        <f t="shared" si="1"/>
        <v>10860</v>
      </c>
      <c r="N68" s="72">
        <f t="shared" si="1"/>
        <v>6803</v>
      </c>
      <c r="O68" s="72">
        <f t="shared" si="1"/>
        <v>1424</v>
      </c>
      <c r="P68" s="72">
        <f t="shared" si="1"/>
        <v>2640</v>
      </c>
      <c r="Q68" s="13">
        <f>P68+O68+N68+M68+L68+K68+J68+I68</f>
        <v>41771</v>
      </c>
      <c r="R68" s="14">
        <f>Q68+H68</f>
        <v>56163</v>
      </c>
    </row>
    <row r="69" spans="2:18" x14ac:dyDescent="0.25">
      <c r="C69" s="57"/>
      <c r="D69" s="57"/>
      <c r="E69" s="57"/>
      <c r="F69" s="57"/>
      <c r="G69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topLeftCell="D1" zoomScaleNormal="100" zoomScaleSheetLayoutView="100" workbookViewId="0">
      <pane ySplit="6" topLeftCell="A7" activePane="bottomLeft" state="frozen"/>
      <selection activeCell="M15" activeCellId="2" sqref="N15 M19 M15"/>
      <selection pane="bottomLeft" activeCell="W20" sqref="W20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92" t="s">
        <v>34</v>
      </c>
      <c r="G2" s="92"/>
      <c r="H2" s="92"/>
      <c r="I2" s="92"/>
      <c r="J2" s="92"/>
      <c r="K2" s="21"/>
      <c r="L2" s="21"/>
    </row>
    <row r="3" spans="2:21" ht="21" customHeight="1" x14ac:dyDescent="0.25">
      <c r="F3" s="98" t="s">
        <v>49</v>
      </c>
      <c r="G3" s="98"/>
      <c r="H3" s="98"/>
      <c r="I3" s="98"/>
      <c r="J3" s="98"/>
      <c r="K3" s="22"/>
      <c r="L3" s="22"/>
      <c r="M3" s="89" t="s">
        <v>50</v>
      </c>
      <c r="N3" s="89"/>
    </row>
    <row r="4" spans="2:21" ht="15" customHeight="1" thickBot="1" x14ac:dyDescent="0.3"/>
    <row r="5" spans="2:21" ht="30.75" customHeight="1" thickTop="1" x14ac:dyDescent="0.25">
      <c r="B5" s="104" t="s">
        <v>37</v>
      </c>
      <c r="C5" s="4" t="s">
        <v>51</v>
      </c>
      <c r="D5" s="4" t="s">
        <v>52</v>
      </c>
      <c r="E5" s="4" t="s">
        <v>53</v>
      </c>
      <c r="F5" s="106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43</v>
      </c>
      <c r="M5" s="99" t="s">
        <v>60</v>
      </c>
      <c r="N5" s="101" t="s">
        <v>61</v>
      </c>
      <c r="O5" s="6"/>
      <c r="P5" s="108" t="s">
        <v>1</v>
      </c>
      <c r="Q5" s="108" t="s">
        <v>8</v>
      </c>
      <c r="R5" s="108" t="s">
        <v>9</v>
      </c>
      <c r="S5" s="108" t="s">
        <v>10</v>
      </c>
    </row>
    <row r="6" spans="2:21" ht="15.75" customHeight="1" x14ac:dyDescent="0.25">
      <c r="B6" s="105"/>
      <c r="C6" s="3">
        <v>130465</v>
      </c>
      <c r="D6" s="3">
        <v>130460</v>
      </c>
      <c r="E6" s="3">
        <v>130461</v>
      </c>
      <c r="F6" s="107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00"/>
      <c r="N6" s="102"/>
      <c r="O6" s="6"/>
      <c r="P6" s="109"/>
      <c r="Q6" s="109"/>
      <c r="R6" s="109"/>
      <c r="S6" s="109"/>
      <c r="T6" s="103" t="s">
        <v>62</v>
      </c>
      <c r="U6" s="103"/>
    </row>
    <row r="7" spans="2:21" ht="17.25" customHeight="1" x14ac:dyDescent="0.25">
      <c r="B7" s="23">
        <v>1</v>
      </c>
      <c r="C7" s="49">
        <v>8342</v>
      </c>
      <c r="D7" s="49">
        <v>524</v>
      </c>
      <c r="E7" s="46">
        <v>46762</v>
      </c>
      <c r="F7" s="18"/>
      <c r="G7" s="52">
        <v>292564</v>
      </c>
      <c r="H7" s="51">
        <v>167716</v>
      </c>
      <c r="I7" s="20">
        <v>182857</v>
      </c>
      <c r="J7" s="51">
        <v>10094</v>
      </c>
      <c r="K7" s="57">
        <v>639998</v>
      </c>
      <c r="L7" s="52">
        <v>5133</v>
      </c>
      <c r="M7" s="19"/>
      <c r="N7" s="16"/>
      <c r="P7" s="58">
        <v>1</v>
      </c>
      <c r="Q7" s="59">
        <v>203</v>
      </c>
      <c r="R7" s="7">
        <v>656</v>
      </c>
      <c r="S7" s="7">
        <v>5.0999999999999996</v>
      </c>
      <c r="T7" s="61">
        <v>130461</v>
      </c>
      <c r="U7" s="61" t="s">
        <v>63</v>
      </c>
    </row>
    <row r="8" spans="2:21" ht="17.25" customHeight="1" x14ac:dyDescent="0.25">
      <c r="B8" s="11" t="s">
        <v>48</v>
      </c>
      <c r="C8" s="12">
        <v>0</v>
      </c>
      <c r="D8" s="12">
        <v>0</v>
      </c>
      <c r="E8" s="12">
        <v>0</v>
      </c>
      <c r="F8" s="18">
        <v>0</v>
      </c>
      <c r="G8" s="54">
        <v>118</v>
      </c>
      <c r="H8" s="54">
        <v>23</v>
      </c>
      <c r="I8" s="54">
        <v>78</v>
      </c>
      <c r="J8" s="54">
        <v>321</v>
      </c>
      <c r="K8" s="54">
        <v>0</v>
      </c>
      <c r="L8" s="54">
        <v>38</v>
      </c>
      <c r="M8" s="19">
        <f>L8+K8+J8+I8+H8+G8</f>
        <v>578</v>
      </c>
      <c r="N8" s="55">
        <f>M8+F8</f>
        <v>578</v>
      </c>
      <c r="P8" s="58">
        <v>2</v>
      </c>
      <c r="Q8" s="59">
        <v>198</v>
      </c>
      <c r="R8" s="7">
        <v>648</v>
      </c>
      <c r="S8" s="7">
        <v>5.2</v>
      </c>
      <c r="T8" s="84">
        <v>130459</v>
      </c>
      <c r="U8" s="85" t="s">
        <v>64</v>
      </c>
    </row>
    <row r="9" spans="2:21" ht="17.25" customHeight="1" x14ac:dyDescent="0.25">
      <c r="B9" s="23">
        <v>2</v>
      </c>
      <c r="C9" s="49">
        <v>8342</v>
      </c>
      <c r="D9" s="49">
        <v>524</v>
      </c>
      <c r="E9" s="46">
        <v>46762</v>
      </c>
      <c r="F9" s="18"/>
      <c r="G9" s="7">
        <v>292680</v>
      </c>
      <c r="H9" s="7">
        <v>167736</v>
      </c>
      <c r="I9" s="20">
        <v>182932</v>
      </c>
      <c r="J9" s="51">
        <v>10418</v>
      </c>
      <c r="K9" s="57">
        <v>639998</v>
      </c>
      <c r="L9" s="52">
        <v>5159</v>
      </c>
      <c r="M9" s="19"/>
      <c r="N9" s="17"/>
      <c r="P9" s="58">
        <v>3</v>
      </c>
      <c r="Q9" s="59">
        <v>172</v>
      </c>
      <c r="R9" s="7">
        <v>562</v>
      </c>
      <c r="S9" s="7">
        <v>5.2</v>
      </c>
    </row>
    <row r="10" spans="2:21" ht="17.25" customHeight="1" x14ac:dyDescent="0.25">
      <c r="B10" s="11" t="s">
        <v>48</v>
      </c>
      <c r="C10" s="12">
        <f>C9-C7</f>
        <v>0</v>
      </c>
      <c r="D10" s="12">
        <f t="shared" ref="D10:E10" si="0">D9-D7</f>
        <v>0</v>
      </c>
      <c r="E10" s="12">
        <f t="shared" si="0"/>
        <v>0</v>
      </c>
      <c r="F10" s="18">
        <f>E10+D10+C10</f>
        <v>0</v>
      </c>
      <c r="G10" s="12">
        <f>G9-G7</f>
        <v>116</v>
      </c>
      <c r="H10" s="12">
        <f t="shared" ref="H10:L10" si="1">H9-H7</f>
        <v>20</v>
      </c>
      <c r="I10" s="12">
        <f t="shared" si="1"/>
        <v>75</v>
      </c>
      <c r="J10" s="12">
        <f t="shared" si="1"/>
        <v>324</v>
      </c>
      <c r="K10" s="12">
        <f t="shared" si="1"/>
        <v>0</v>
      </c>
      <c r="L10" s="12">
        <f t="shared" si="1"/>
        <v>26</v>
      </c>
      <c r="M10" s="19">
        <f>L10+K10+J10+I10+H10+G10</f>
        <v>561</v>
      </c>
      <c r="N10" s="55">
        <f>M10+F10</f>
        <v>561</v>
      </c>
      <c r="P10" s="58">
        <v>4</v>
      </c>
      <c r="Q10" s="59">
        <v>147</v>
      </c>
      <c r="R10" s="7">
        <v>494</v>
      </c>
      <c r="S10" s="7">
        <v>4.8</v>
      </c>
    </row>
    <row r="11" spans="2:21" ht="17.25" customHeight="1" x14ac:dyDescent="0.25">
      <c r="B11" s="23">
        <v>3</v>
      </c>
      <c r="C11" s="49">
        <v>8342</v>
      </c>
      <c r="D11" s="49">
        <v>524</v>
      </c>
      <c r="E11" s="46">
        <v>46762</v>
      </c>
      <c r="F11" s="18"/>
      <c r="G11" s="7">
        <v>292805</v>
      </c>
      <c r="H11" s="7">
        <v>167757</v>
      </c>
      <c r="I11" s="20">
        <v>183005</v>
      </c>
      <c r="J11" s="51">
        <v>10741</v>
      </c>
      <c r="K11" s="57">
        <v>639998</v>
      </c>
      <c r="L11" s="52">
        <v>5181</v>
      </c>
      <c r="M11" s="19"/>
      <c r="N11" s="17"/>
      <c r="P11" s="58">
        <v>5</v>
      </c>
      <c r="Q11" s="59">
        <v>125</v>
      </c>
      <c r="R11" s="7">
        <v>418</v>
      </c>
      <c r="S11" s="7">
        <v>4.5</v>
      </c>
    </row>
    <row r="12" spans="2:21" ht="17.25" customHeight="1" x14ac:dyDescent="0.25">
      <c r="B12" s="11" t="s">
        <v>48</v>
      </c>
      <c r="C12" s="12">
        <f>C11-C9</f>
        <v>0</v>
      </c>
      <c r="D12" s="12">
        <f t="shared" ref="D12:E12" si="2">D11-D9</f>
        <v>0</v>
      </c>
      <c r="E12" s="12">
        <f t="shared" si="2"/>
        <v>0</v>
      </c>
      <c r="F12" s="18">
        <f>E12+D12+C12</f>
        <v>0</v>
      </c>
      <c r="G12" s="12">
        <f>G11-G9</f>
        <v>125</v>
      </c>
      <c r="H12" s="12">
        <f t="shared" ref="H12:L12" si="3">H11-H9</f>
        <v>21</v>
      </c>
      <c r="I12" s="12">
        <f t="shared" si="3"/>
        <v>73</v>
      </c>
      <c r="J12" s="12">
        <f t="shared" si="3"/>
        <v>323</v>
      </c>
      <c r="K12" s="12">
        <f t="shared" si="3"/>
        <v>0</v>
      </c>
      <c r="L12" s="12">
        <f t="shared" si="3"/>
        <v>22</v>
      </c>
      <c r="M12" s="19">
        <f>L12+K12+J12+I12+H12+G12</f>
        <v>564</v>
      </c>
      <c r="N12" s="55">
        <f>M12+F12</f>
        <v>564</v>
      </c>
      <c r="P12" s="58">
        <v>6</v>
      </c>
      <c r="Q12" s="59">
        <v>136</v>
      </c>
      <c r="R12" s="7">
        <v>442</v>
      </c>
      <c r="S12" s="7">
        <v>5</v>
      </c>
    </row>
    <row r="13" spans="2:21" ht="17.25" customHeight="1" x14ac:dyDescent="0.25">
      <c r="B13" s="62">
        <v>4</v>
      </c>
      <c r="C13" s="49">
        <v>8342</v>
      </c>
      <c r="D13" s="49">
        <v>524</v>
      </c>
      <c r="E13" s="46">
        <v>46762</v>
      </c>
      <c r="F13" s="18"/>
      <c r="G13" s="7">
        <v>292924</v>
      </c>
      <c r="H13" s="7">
        <v>167778</v>
      </c>
      <c r="I13" s="20">
        <v>183075</v>
      </c>
      <c r="J13" s="51">
        <v>11031</v>
      </c>
      <c r="K13" s="57">
        <v>639998</v>
      </c>
      <c r="L13" s="52">
        <v>5211</v>
      </c>
      <c r="M13" s="19"/>
      <c r="N13" s="17"/>
      <c r="P13" s="58">
        <v>7</v>
      </c>
      <c r="Q13" s="59">
        <v>116</v>
      </c>
      <c r="R13" s="7">
        <v>356</v>
      </c>
      <c r="S13" s="7">
        <v>5.2</v>
      </c>
    </row>
    <row r="14" spans="2:21" ht="17.25" customHeight="1" x14ac:dyDescent="0.25">
      <c r="B14" s="11" t="s">
        <v>48</v>
      </c>
      <c r="C14" s="12">
        <f>C13-C11</f>
        <v>0</v>
      </c>
      <c r="D14" s="12">
        <f t="shared" ref="D14:E14" si="4">D13-D11</f>
        <v>0</v>
      </c>
      <c r="E14" s="12">
        <f t="shared" si="4"/>
        <v>0</v>
      </c>
      <c r="F14" s="18">
        <f>E14+D14+C14</f>
        <v>0</v>
      </c>
      <c r="G14" s="12">
        <f>G13-G11</f>
        <v>119</v>
      </c>
      <c r="H14" s="12">
        <f t="shared" ref="H14:L14" si="5">H13-H11</f>
        <v>21</v>
      </c>
      <c r="I14" s="12">
        <f t="shared" si="5"/>
        <v>70</v>
      </c>
      <c r="J14" s="12">
        <f t="shared" si="5"/>
        <v>290</v>
      </c>
      <c r="K14" s="12">
        <f t="shared" si="5"/>
        <v>0</v>
      </c>
      <c r="L14" s="12">
        <f t="shared" si="5"/>
        <v>30</v>
      </c>
      <c r="M14" s="19">
        <f>L14+K14+J14+I14+H14+G14</f>
        <v>530</v>
      </c>
      <c r="N14" s="55">
        <f>M14+F14</f>
        <v>530</v>
      </c>
      <c r="P14" s="58">
        <v>8</v>
      </c>
      <c r="Q14" s="59">
        <v>158</v>
      </c>
      <c r="R14" s="7">
        <v>534</v>
      </c>
      <c r="S14" s="7">
        <v>4.7</v>
      </c>
    </row>
    <row r="15" spans="2:21" ht="17.25" customHeight="1" x14ac:dyDescent="0.25">
      <c r="B15" s="23">
        <v>5</v>
      </c>
      <c r="C15" s="49">
        <v>8342</v>
      </c>
      <c r="D15" s="49">
        <v>525</v>
      </c>
      <c r="E15" s="46">
        <v>46762</v>
      </c>
      <c r="F15" s="18"/>
      <c r="G15" s="7">
        <v>293042</v>
      </c>
      <c r="H15" s="7">
        <v>167797</v>
      </c>
      <c r="I15" s="20">
        <v>183141</v>
      </c>
      <c r="J15" s="51">
        <v>11340</v>
      </c>
      <c r="K15" s="57">
        <v>639998</v>
      </c>
      <c r="L15" s="52">
        <v>5238</v>
      </c>
      <c r="M15" s="19"/>
      <c r="N15" s="17"/>
      <c r="P15" s="58">
        <v>9</v>
      </c>
      <c r="Q15" s="59">
        <v>215</v>
      </c>
      <c r="R15" s="7">
        <v>754</v>
      </c>
      <c r="S15" s="7">
        <v>3.3</v>
      </c>
    </row>
    <row r="16" spans="2:21" ht="17.25" customHeight="1" x14ac:dyDescent="0.25">
      <c r="B16" s="11" t="s">
        <v>48</v>
      </c>
      <c r="C16" s="12">
        <f>C15-C13</f>
        <v>0</v>
      </c>
      <c r="D16" s="12">
        <f t="shared" ref="D16:E18" si="6">D15-D13</f>
        <v>1</v>
      </c>
      <c r="E16" s="12">
        <f t="shared" si="6"/>
        <v>0</v>
      </c>
      <c r="F16" s="18">
        <f>E16+D16+C16</f>
        <v>1</v>
      </c>
      <c r="G16" s="12">
        <f>G15-G13</f>
        <v>118</v>
      </c>
      <c r="H16" s="12">
        <f t="shared" ref="H16:L18" si="7">H15-H13</f>
        <v>19</v>
      </c>
      <c r="I16" s="12">
        <f t="shared" si="7"/>
        <v>66</v>
      </c>
      <c r="J16" s="12">
        <f t="shared" si="7"/>
        <v>309</v>
      </c>
      <c r="K16" s="12">
        <f t="shared" si="7"/>
        <v>0</v>
      </c>
      <c r="L16" s="12">
        <f t="shared" si="7"/>
        <v>27</v>
      </c>
      <c r="M16" s="19">
        <f>L16+K16+J16+I16+H16+G16</f>
        <v>539</v>
      </c>
      <c r="N16" s="55">
        <f>M16+F16</f>
        <v>540</v>
      </c>
      <c r="P16" s="58">
        <v>10</v>
      </c>
      <c r="Q16" s="59">
        <v>220</v>
      </c>
      <c r="R16" s="7">
        <v>738</v>
      </c>
      <c r="S16" s="7">
        <v>0.8</v>
      </c>
    </row>
    <row r="17" spans="2:19" ht="17.25" customHeight="1" x14ac:dyDescent="0.25">
      <c r="B17" s="23">
        <v>6</v>
      </c>
      <c r="C17" s="49">
        <v>8342</v>
      </c>
      <c r="D17" s="49">
        <v>525</v>
      </c>
      <c r="E17" s="46">
        <v>46762</v>
      </c>
      <c r="F17" s="18"/>
      <c r="G17" s="48">
        <v>293160</v>
      </c>
      <c r="H17" s="48">
        <v>167814</v>
      </c>
      <c r="I17" s="20">
        <v>183202</v>
      </c>
      <c r="J17" s="48">
        <v>11633</v>
      </c>
      <c r="K17" s="57">
        <v>639998</v>
      </c>
      <c r="L17" s="52">
        <v>5270</v>
      </c>
      <c r="M17" s="19"/>
      <c r="N17" s="17"/>
      <c r="P17" s="58">
        <v>11</v>
      </c>
      <c r="Q17" s="59">
        <v>125</v>
      </c>
      <c r="R17" s="7">
        <v>402</v>
      </c>
      <c r="S17" s="7">
        <v>1.2</v>
      </c>
    </row>
    <row r="18" spans="2:19" ht="17.25" customHeight="1" x14ac:dyDescent="0.25">
      <c r="B18" s="11" t="s">
        <v>48</v>
      </c>
      <c r="C18" s="12">
        <f>C17-C15</f>
        <v>0</v>
      </c>
      <c r="D18" s="12">
        <f t="shared" si="6"/>
        <v>0</v>
      </c>
      <c r="E18" s="12">
        <f t="shared" si="6"/>
        <v>0</v>
      </c>
      <c r="F18" s="18">
        <f>E18+D18+C18</f>
        <v>0</v>
      </c>
      <c r="G18" s="12">
        <f>G17-G15</f>
        <v>118</v>
      </c>
      <c r="H18" s="12">
        <f t="shared" si="7"/>
        <v>17</v>
      </c>
      <c r="I18" s="12">
        <f t="shared" si="7"/>
        <v>61</v>
      </c>
      <c r="J18" s="12">
        <f t="shared" si="7"/>
        <v>293</v>
      </c>
      <c r="K18" s="12">
        <f t="shared" si="7"/>
        <v>0</v>
      </c>
      <c r="L18" s="12">
        <f t="shared" si="7"/>
        <v>32</v>
      </c>
      <c r="M18" s="19">
        <f>L18+K18+J18+I18+H18+G18</f>
        <v>521</v>
      </c>
      <c r="N18" s="55">
        <f>M18+F18</f>
        <v>521</v>
      </c>
      <c r="P18" s="58">
        <v>12</v>
      </c>
      <c r="Q18" s="59">
        <v>175</v>
      </c>
      <c r="R18" s="7">
        <v>560</v>
      </c>
      <c r="S18" s="7">
        <v>1.3</v>
      </c>
    </row>
    <row r="19" spans="2:19" ht="17.25" customHeight="1" x14ac:dyDescent="0.25">
      <c r="B19" s="23">
        <v>7</v>
      </c>
      <c r="C19" s="49">
        <v>8342</v>
      </c>
      <c r="D19" s="49">
        <v>526</v>
      </c>
      <c r="E19" s="46">
        <v>46762</v>
      </c>
      <c r="F19" s="18"/>
      <c r="G19" s="48">
        <v>293280</v>
      </c>
      <c r="H19" s="48">
        <v>167835</v>
      </c>
      <c r="I19" s="20">
        <v>183273</v>
      </c>
      <c r="J19" s="48">
        <v>11935</v>
      </c>
      <c r="K19" s="57">
        <v>639998</v>
      </c>
      <c r="L19" s="52">
        <v>5303</v>
      </c>
      <c r="M19" s="19"/>
      <c r="N19" s="17"/>
      <c r="P19" s="58">
        <v>13</v>
      </c>
      <c r="Q19" s="59">
        <v>216</v>
      </c>
      <c r="R19" s="7">
        <v>708</v>
      </c>
      <c r="S19" s="7">
        <v>1.5</v>
      </c>
    </row>
    <row r="20" spans="2:19" ht="17.25" customHeight="1" x14ac:dyDescent="0.25">
      <c r="B20" s="11" t="s">
        <v>48</v>
      </c>
      <c r="C20" s="12">
        <f>C19-C17</f>
        <v>0</v>
      </c>
      <c r="D20" s="12">
        <f t="shared" ref="D20:E20" si="8">D19-D17</f>
        <v>1</v>
      </c>
      <c r="E20" s="12">
        <f t="shared" si="8"/>
        <v>0</v>
      </c>
      <c r="F20" s="18">
        <f>E20+D20+C20</f>
        <v>1</v>
      </c>
      <c r="G20" s="12">
        <f>G19-G17</f>
        <v>120</v>
      </c>
      <c r="H20" s="12">
        <f t="shared" ref="H20:L20" si="9">H19-H17</f>
        <v>21</v>
      </c>
      <c r="I20" s="12">
        <f t="shared" si="9"/>
        <v>71</v>
      </c>
      <c r="J20" s="12">
        <f t="shared" si="9"/>
        <v>302</v>
      </c>
      <c r="K20" s="12">
        <f t="shared" si="9"/>
        <v>0</v>
      </c>
      <c r="L20" s="12">
        <f t="shared" si="9"/>
        <v>33</v>
      </c>
      <c r="M20" s="19">
        <f>L20+K20+J20+I20+H20+G20</f>
        <v>547</v>
      </c>
      <c r="N20" s="55">
        <f>M20+F20</f>
        <v>548</v>
      </c>
      <c r="P20" s="58">
        <v>14</v>
      </c>
      <c r="Q20" s="59">
        <v>215</v>
      </c>
      <c r="R20" s="7">
        <v>706</v>
      </c>
      <c r="S20" s="7">
        <v>2.1</v>
      </c>
    </row>
    <row r="21" spans="2:19" ht="17.25" customHeight="1" x14ac:dyDescent="0.25">
      <c r="B21" s="23">
        <v>8</v>
      </c>
      <c r="C21" s="49">
        <v>8342</v>
      </c>
      <c r="D21" s="49">
        <v>526</v>
      </c>
      <c r="E21" s="46">
        <v>46762</v>
      </c>
      <c r="F21" s="18"/>
      <c r="G21" s="48">
        <v>293402</v>
      </c>
      <c r="H21" s="48">
        <v>167858</v>
      </c>
      <c r="I21" s="20">
        <v>183347</v>
      </c>
      <c r="J21" s="48">
        <v>12260</v>
      </c>
      <c r="K21" s="57">
        <v>639998</v>
      </c>
      <c r="L21" s="52">
        <v>5335</v>
      </c>
      <c r="M21" s="19"/>
      <c r="N21" s="17"/>
      <c r="P21" s="58">
        <v>15</v>
      </c>
      <c r="Q21" s="59">
        <v>176</v>
      </c>
      <c r="R21" s="7">
        <v>554</v>
      </c>
      <c r="S21" s="7">
        <v>2.5</v>
      </c>
    </row>
    <row r="22" spans="2:19" ht="17.25" customHeight="1" x14ac:dyDescent="0.25">
      <c r="B22" s="11" t="s">
        <v>48</v>
      </c>
      <c r="C22" s="12">
        <f>C21-C19</f>
        <v>0</v>
      </c>
      <c r="D22" s="12">
        <f t="shared" ref="D22:E22" si="10">D21-D19</f>
        <v>0</v>
      </c>
      <c r="E22" s="12">
        <f t="shared" si="10"/>
        <v>0</v>
      </c>
      <c r="F22" s="18">
        <f>E22+D22+C22</f>
        <v>0</v>
      </c>
      <c r="G22" s="12">
        <f>G21-G19</f>
        <v>122</v>
      </c>
      <c r="H22" s="12">
        <f t="shared" ref="H22:L22" si="11">H21-H19</f>
        <v>23</v>
      </c>
      <c r="I22" s="12">
        <f t="shared" si="11"/>
        <v>74</v>
      </c>
      <c r="J22" s="12">
        <f t="shared" si="11"/>
        <v>325</v>
      </c>
      <c r="K22" s="12">
        <f t="shared" si="11"/>
        <v>0</v>
      </c>
      <c r="L22" s="12">
        <f t="shared" si="11"/>
        <v>32</v>
      </c>
      <c r="M22" s="19">
        <f>L22+K22+J22+I22+H22+G22</f>
        <v>576</v>
      </c>
      <c r="N22" s="55">
        <f>M22+F22</f>
        <v>576</v>
      </c>
      <c r="P22" s="58">
        <v>16</v>
      </c>
      <c r="Q22" s="59">
        <v>163</v>
      </c>
      <c r="R22" s="7">
        <v>500</v>
      </c>
      <c r="S22" s="7">
        <v>2.8</v>
      </c>
    </row>
    <row r="23" spans="2:19" ht="17.25" customHeight="1" x14ac:dyDescent="0.25">
      <c r="B23" s="23">
        <v>9</v>
      </c>
      <c r="C23" s="49">
        <v>8342</v>
      </c>
      <c r="D23" s="49">
        <v>526</v>
      </c>
      <c r="E23" s="46">
        <v>46762</v>
      </c>
      <c r="F23" s="18"/>
      <c r="G23" s="48">
        <v>293521</v>
      </c>
      <c r="H23" s="48">
        <v>167881</v>
      </c>
      <c r="I23" s="20">
        <v>183417</v>
      </c>
      <c r="J23" s="48">
        <v>12557</v>
      </c>
      <c r="K23" s="57">
        <v>639998</v>
      </c>
      <c r="L23" s="52">
        <v>5358</v>
      </c>
      <c r="M23" s="19"/>
      <c r="N23" s="17"/>
      <c r="P23" s="58">
        <v>17</v>
      </c>
      <c r="Q23" s="59">
        <v>213</v>
      </c>
      <c r="R23" s="7">
        <v>638</v>
      </c>
      <c r="S23" s="7">
        <v>2.5</v>
      </c>
    </row>
    <row r="24" spans="2:19" ht="17.25" customHeight="1" x14ac:dyDescent="0.25">
      <c r="B24" s="11" t="s">
        <v>48</v>
      </c>
      <c r="C24" s="12">
        <f>C23-C21</f>
        <v>0</v>
      </c>
      <c r="D24" s="12">
        <f t="shared" ref="D24:E24" si="12">D23-D21</f>
        <v>0</v>
      </c>
      <c r="E24" s="12">
        <f t="shared" si="12"/>
        <v>0</v>
      </c>
      <c r="F24" s="18">
        <f>E24+D24+C24</f>
        <v>0</v>
      </c>
      <c r="G24" s="12">
        <f>G23-G21</f>
        <v>119</v>
      </c>
      <c r="H24" s="12">
        <f t="shared" ref="H24:L24" si="13">H23-H21</f>
        <v>23</v>
      </c>
      <c r="I24" s="12">
        <f t="shared" si="13"/>
        <v>70</v>
      </c>
      <c r="J24" s="12">
        <f t="shared" si="13"/>
        <v>297</v>
      </c>
      <c r="K24" s="12">
        <f t="shared" si="13"/>
        <v>0</v>
      </c>
      <c r="L24" s="12">
        <f t="shared" si="13"/>
        <v>23</v>
      </c>
      <c r="M24" s="19">
        <f>L24+K24+J24+I24+H24+G24</f>
        <v>532</v>
      </c>
      <c r="N24" s="55">
        <f>M24+F24</f>
        <v>532</v>
      </c>
      <c r="P24" s="58">
        <v>18</v>
      </c>
      <c r="Q24" s="59">
        <v>208</v>
      </c>
      <c r="R24" s="7">
        <v>614</v>
      </c>
      <c r="S24" s="7">
        <v>1.7</v>
      </c>
    </row>
    <row r="25" spans="2:19" ht="17.25" customHeight="1" x14ac:dyDescent="0.25">
      <c r="B25" s="23">
        <v>10</v>
      </c>
      <c r="C25" s="49">
        <v>8342</v>
      </c>
      <c r="D25" s="49">
        <v>526</v>
      </c>
      <c r="E25" s="46">
        <v>46762</v>
      </c>
      <c r="F25" s="18"/>
      <c r="G25" s="48">
        <v>293641</v>
      </c>
      <c r="H25" s="48">
        <v>167900</v>
      </c>
      <c r="I25" s="20">
        <v>183485</v>
      </c>
      <c r="J25" s="48">
        <v>12879</v>
      </c>
      <c r="K25" s="57">
        <v>639998</v>
      </c>
      <c r="L25" s="52">
        <v>5386</v>
      </c>
      <c r="M25" s="19"/>
      <c r="N25" s="17"/>
      <c r="P25" s="58">
        <v>19</v>
      </c>
      <c r="Q25" s="59">
        <v>149</v>
      </c>
      <c r="R25" s="7">
        <v>482</v>
      </c>
      <c r="S25" s="7">
        <v>1.4</v>
      </c>
    </row>
    <row r="26" spans="2:19" ht="17.25" customHeight="1" x14ac:dyDescent="0.25">
      <c r="B26" s="11" t="s">
        <v>48</v>
      </c>
      <c r="C26" s="12">
        <f>C25-C23</f>
        <v>0</v>
      </c>
      <c r="D26" s="12">
        <f t="shared" ref="D26:E32" si="14">D25-D23</f>
        <v>0</v>
      </c>
      <c r="E26" s="12">
        <f t="shared" si="14"/>
        <v>0</v>
      </c>
      <c r="F26" s="18">
        <f>E26+D26+C26</f>
        <v>0</v>
      </c>
      <c r="G26" s="12">
        <f>G25-G23</f>
        <v>120</v>
      </c>
      <c r="H26" s="12">
        <f t="shared" ref="H26:L32" si="15">H25-H23</f>
        <v>19</v>
      </c>
      <c r="I26" s="12">
        <f t="shared" si="15"/>
        <v>68</v>
      </c>
      <c r="J26" s="12">
        <f t="shared" si="15"/>
        <v>322</v>
      </c>
      <c r="K26" s="12">
        <f t="shared" si="15"/>
        <v>0</v>
      </c>
      <c r="L26" s="12">
        <f t="shared" si="15"/>
        <v>28</v>
      </c>
      <c r="M26" s="19">
        <f>L26+K26+J26+I26+H26+G26</f>
        <v>557</v>
      </c>
      <c r="N26" s="55">
        <f>M26+F26</f>
        <v>557</v>
      </c>
      <c r="P26" s="58">
        <v>20</v>
      </c>
      <c r="Q26" s="59">
        <v>74</v>
      </c>
      <c r="R26" s="7">
        <v>262</v>
      </c>
      <c r="S26" s="7">
        <v>1.9</v>
      </c>
    </row>
    <row r="27" spans="2:19" ht="17.25" customHeight="1" x14ac:dyDescent="0.25">
      <c r="B27" s="23">
        <v>11</v>
      </c>
      <c r="C27" s="49">
        <v>8342</v>
      </c>
      <c r="D27" s="49">
        <v>526</v>
      </c>
      <c r="E27" s="46">
        <v>46762</v>
      </c>
      <c r="F27" s="18"/>
      <c r="G27" s="48">
        <v>293761</v>
      </c>
      <c r="H27" s="48">
        <v>167920</v>
      </c>
      <c r="I27" s="20">
        <v>183556</v>
      </c>
      <c r="J27" s="82">
        <v>13207</v>
      </c>
      <c r="K27" s="57">
        <v>639998</v>
      </c>
      <c r="L27" s="52">
        <v>5418</v>
      </c>
      <c r="M27" s="19"/>
      <c r="N27" s="17"/>
      <c r="P27" s="58">
        <v>21</v>
      </c>
      <c r="Q27" s="59">
        <v>71</v>
      </c>
      <c r="R27" s="7">
        <v>252</v>
      </c>
      <c r="S27" s="7">
        <v>2.7</v>
      </c>
    </row>
    <row r="28" spans="2:19" ht="17.25" customHeight="1" x14ac:dyDescent="0.25">
      <c r="B28" s="11" t="s">
        <v>48</v>
      </c>
      <c r="C28" s="12">
        <f>C27-C25</f>
        <v>0</v>
      </c>
      <c r="D28" s="12">
        <f t="shared" si="14"/>
        <v>0</v>
      </c>
      <c r="E28" s="12">
        <f t="shared" si="14"/>
        <v>0</v>
      </c>
      <c r="F28" s="18">
        <f>E28+D28+C28</f>
        <v>0</v>
      </c>
      <c r="G28" s="12">
        <f>G27-G25</f>
        <v>120</v>
      </c>
      <c r="H28" s="12">
        <f t="shared" si="15"/>
        <v>20</v>
      </c>
      <c r="I28" s="12">
        <f t="shared" si="15"/>
        <v>71</v>
      </c>
      <c r="J28" s="12">
        <f t="shared" si="15"/>
        <v>328</v>
      </c>
      <c r="K28" s="12">
        <f t="shared" si="15"/>
        <v>0</v>
      </c>
      <c r="L28" s="12">
        <f t="shared" si="15"/>
        <v>32</v>
      </c>
      <c r="M28" s="19">
        <f>L28+K28+J28+I28+H28+G28</f>
        <v>571</v>
      </c>
      <c r="N28" s="55">
        <f>M28+F28</f>
        <v>571</v>
      </c>
      <c r="P28" s="58">
        <v>22</v>
      </c>
      <c r="Q28" s="59">
        <v>118</v>
      </c>
      <c r="R28" s="7">
        <v>470</v>
      </c>
      <c r="S28" s="7">
        <v>2.6</v>
      </c>
    </row>
    <row r="29" spans="2:19" ht="17.25" customHeight="1" x14ac:dyDescent="0.25">
      <c r="B29" s="23">
        <v>12</v>
      </c>
      <c r="C29" s="49">
        <v>8342</v>
      </c>
      <c r="D29" s="49">
        <v>530</v>
      </c>
      <c r="E29" s="46">
        <v>46762</v>
      </c>
      <c r="F29" s="18"/>
      <c r="G29" s="7">
        <v>293889</v>
      </c>
      <c r="H29" s="7">
        <v>167938</v>
      </c>
      <c r="I29" s="20">
        <v>183631</v>
      </c>
      <c r="J29" s="51">
        <v>13511</v>
      </c>
      <c r="K29" s="57">
        <v>639998</v>
      </c>
      <c r="L29" s="52">
        <v>5442</v>
      </c>
      <c r="M29" s="19"/>
      <c r="N29" s="17"/>
      <c r="P29" s="58">
        <v>23</v>
      </c>
      <c r="Q29" s="59">
        <v>125</v>
      </c>
      <c r="R29" s="7">
        <v>488</v>
      </c>
      <c r="S29" s="7">
        <v>2.2999999999999998</v>
      </c>
    </row>
    <row r="30" spans="2:19" ht="17.25" customHeight="1" x14ac:dyDescent="0.25">
      <c r="B30" s="11" t="s">
        <v>48</v>
      </c>
      <c r="C30" s="12">
        <f>C29-C27</f>
        <v>0</v>
      </c>
      <c r="D30" s="12">
        <f t="shared" si="14"/>
        <v>4</v>
      </c>
      <c r="E30" s="12">
        <f t="shared" si="14"/>
        <v>0</v>
      </c>
      <c r="F30" s="18">
        <f>E30+D30+C30</f>
        <v>4</v>
      </c>
      <c r="G30" s="12">
        <f>G29-G27</f>
        <v>128</v>
      </c>
      <c r="H30" s="12">
        <f t="shared" si="15"/>
        <v>18</v>
      </c>
      <c r="I30" s="12">
        <f t="shared" si="15"/>
        <v>75</v>
      </c>
      <c r="J30" s="12">
        <f t="shared" si="15"/>
        <v>304</v>
      </c>
      <c r="K30" s="12">
        <f t="shared" si="15"/>
        <v>0</v>
      </c>
      <c r="L30" s="12">
        <f t="shared" si="15"/>
        <v>24</v>
      </c>
      <c r="M30" s="19">
        <f>L30+K30+J30+I30+H30+G30</f>
        <v>549</v>
      </c>
      <c r="N30" s="55">
        <f>M30+F30</f>
        <v>553</v>
      </c>
      <c r="P30" s="58">
        <v>24</v>
      </c>
      <c r="Q30" s="59">
        <v>101</v>
      </c>
      <c r="R30" s="7">
        <v>424</v>
      </c>
      <c r="S30" s="7">
        <v>3.4</v>
      </c>
    </row>
    <row r="31" spans="2:19" ht="17.25" customHeight="1" x14ac:dyDescent="0.25">
      <c r="B31" s="23">
        <v>13</v>
      </c>
      <c r="C31" s="49">
        <v>8342</v>
      </c>
      <c r="D31" s="49">
        <v>530</v>
      </c>
      <c r="E31" s="46">
        <v>46762</v>
      </c>
      <c r="F31" s="18"/>
      <c r="G31" s="20">
        <v>294012</v>
      </c>
      <c r="H31" s="20">
        <v>167957</v>
      </c>
      <c r="I31" s="20">
        <v>183705</v>
      </c>
      <c r="J31" s="51">
        <v>13803</v>
      </c>
      <c r="K31" s="57">
        <v>639998</v>
      </c>
      <c r="L31" s="52">
        <v>5469</v>
      </c>
      <c r="M31" s="19"/>
      <c r="N31" s="17"/>
      <c r="P31" s="58">
        <v>25</v>
      </c>
      <c r="Q31" s="59">
        <v>101</v>
      </c>
      <c r="R31" s="7">
        <v>428</v>
      </c>
      <c r="S31" s="7">
        <v>1.7</v>
      </c>
    </row>
    <row r="32" spans="2:19" ht="17.25" customHeight="1" x14ac:dyDescent="0.25">
      <c r="B32" s="11" t="s">
        <v>48</v>
      </c>
      <c r="C32" s="12">
        <f>C31-C29</f>
        <v>0</v>
      </c>
      <c r="D32" s="12">
        <f t="shared" si="14"/>
        <v>0</v>
      </c>
      <c r="E32" s="12">
        <f t="shared" si="14"/>
        <v>0</v>
      </c>
      <c r="F32" s="18">
        <f>E32+D32+C32</f>
        <v>0</v>
      </c>
      <c r="G32" s="12">
        <f>G31-G29</f>
        <v>123</v>
      </c>
      <c r="H32" s="12">
        <f t="shared" si="15"/>
        <v>19</v>
      </c>
      <c r="I32" s="12">
        <f t="shared" si="15"/>
        <v>74</v>
      </c>
      <c r="J32" s="12">
        <f t="shared" si="15"/>
        <v>292</v>
      </c>
      <c r="K32" s="12">
        <f t="shared" si="15"/>
        <v>0</v>
      </c>
      <c r="L32" s="12">
        <f t="shared" si="15"/>
        <v>27</v>
      </c>
      <c r="M32" s="19">
        <f>L32+K32+J32+I32+H32+G32</f>
        <v>535</v>
      </c>
      <c r="N32" s="55">
        <f>M32+F32</f>
        <v>535</v>
      </c>
      <c r="P32" s="58">
        <v>26</v>
      </c>
      <c r="Q32" s="59">
        <v>127</v>
      </c>
      <c r="R32" s="7">
        <v>526</v>
      </c>
      <c r="S32" s="7">
        <v>0</v>
      </c>
    </row>
    <row r="33" spans="2:19" ht="17.25" customHeight="1" x14ac:dyDescent="0.25">
      <c r="B33" s="23">
        <v>14</v>
      </c>
      <c r="C33" s="49">
        <v>8342</v>
      </c>
      <c r="D33" s="49">
        <v>530</v>
      </c>
      <c r="E33" s="46">
        <v>46762</v>
      </c>
      <c r="F33" s="18"/>
      <c r="G33" s="20">
        <v>294135</v>
      </c>
      <c r="H33" s="20">
        <v>167980</v>
      </c>
      <c r="I33" s="20">
        <v>183772</v>
      </c>
      <c r="J33" s="51">
        <v>14128</v>
      </c>
      <c r="K33" s="57">
        <v>639998</v>
      </c>
      <c r="L33" s="52">
        <v>5508</v>
      </c>
      <c r="M33" s="19"/>
      <c r="N33" s="17"/>
      <c r="P33" s="58">
        <v>27</v>
      </c>
      <c r="Q33" s="59">
        <v>122</v>
      </c>
      <c r="R33" s="7">
        <v>504</v>
      </c>
      <c r="S33" s="7">
        <v>0.4</v>
      </c>
    </row>
    <row r="34" spans="2:19" ht="17.25" customHeight="1" x14ac:dyDescent="0.25">
      <c r="B34" s="11" t="s">
        <v>48</v>
      </c>
      <c r="C34" s="12">
        <f>C33-C31</f>
        <v>0</v>
      </c>
      <c r="D34" s="12">
        <f t="shared" ref="D34:E34" si="16">D33-D31</f>
        <v>0</v>
      </c>
      <c r="E34" s="12">
        <f t="shared" si="16"/>
        <v>0</v>
      </c>
      <c r="F34" s="18">
        <f>E34+D34+C34</f>
        <v>0</v>
      </c>
      <c r="G34" s="12">
        <f>G33-G31</f>
        <v>123</v>
      </c>
      <c r="H34" s="12">
        <f t="shared" ref="H34:L34" si="17">H33-H31</f>
        <v>23</v>
      </c>
      <c r="I34" s="12">
        <f t="shared" si="17"/>
        <v>67</v>
      </c>
      <c r="J34" s="12">
        <f t="shared" si="17"/>
        <v>325</v>
      </c>
      <c r="K34" s="12">
        <f t="shared" si="17"/>
        <v>0</v>
      </c>
      <c r="L34" s="12">
        <f t="shared" si="17"/>
        <v>39</v>
      </c>
      <c r="M34" s="19">
        <f>L34+K34+J34+I34+H34+G34</f>
        <v>577</v>
      </c>
      <c r="N34" s="55">
        <f>M34+F34</f>
        <v>577</v>
      </c>
      <c r="P34" s="58">
        <v>28</v>
      </c>
      <c r="Q34" s="59">
        <v>138</v>
      </c>
      <c r="R34" s="7">
        <v>554</v>
      </c>
      <c r="S34" s="7">
        <v>0</v>
      </c>
    </row>
    <row r="35" spans="2:19" ht="17.25" customHeight="1" x14ac:dyDescent="0.25">
      <c r="B35" s="23">
        <v>15</v>
      </c>
      <c r="C35" s="49">
        <v>8342</v>
      </c>
      <c r="D35" s="49">
        <v>530</v>
      </c>
      <c r="E35" s="46">
        <v>46762</v>
      </c>
      <c r="F35" s="18"/>
      <c r="G35" s="20">
        <v>294256</v>
      </c>
      <c r="H35" s="20">
        <v>168001</v>
      </c>
      <c r="I35" s="20">
        <v>183844</v>
      </c>
      <c r="J35" s="51">
        <v>14455</v>
      </c>
      <c r="K35" s="57">
        <v>639998</v>
      </c>
      <c r="L35" s="52">
        <v>5539</v>
      </c>
      <c r="M35" s="19"/>
      <c r="N35" s="17"/>
      <c r="P35" s="58">
        <v>29</v>
      </c>
      <c r="Q35" s="59">
        <v>164</v>
      </c>
      <c r="R35" s="7">
        <v>706</v>
      </c>
      <c r="S35" s="7">
        <v>0.3</v>
      </c>
    </row>
    <row r="36" spans="2:19" ht="17.25" customHeight="1" x14ac:dyDescent="0.25">
      <c r="B36" s="11" t="s">
        <v>48</v>
      </c>
      <c r="C36" s="12">
        <f>C35-C33</f>
        <v>0</v>
      </c>
      <c r="D36" s="12">
        <f t="shared" ref="D36:E40" si="18">D35-D33</f>
        <v>0</v>
      </c>
      <c r="E36" s="12">
        <f t="shared" si="18"/>
        <v>0</v>
      </c>
      <c r="F36" s="18">
        <f>E36+D36+C36</f>
        <v>0</v>
      </c>
      <c r="G36" s="12">
        <f>G35-G33</f>
        <v>121</v>
      </c>
      <c r="H36" s="12">
        <f t="shared" ref="H36:L40" si="19">H35-H33</f>
        <v>21</v>
      </c>
      <c r="I36" s="12">
        <f t="shared" si="19"/>
        <v>72</v>
      </c>
      <c r="J36" s="12">
        <f t="shared" si="19"/>
        <v>327</v>
      </c>
      <c r="K36" s="12">
        <f t="shared" si="19"/>
        <v>0</v>
      </c>
      <c r="L36" s="12">
        <f t="shared" si="19"/>
        <v>31</v>
      </c>
      <c r="M36" s="19">
        <f>L36+K36+J36+I36+H36+G36</f>
        <v>572</v>
      </c>
      <c r="N36" s="55">
        <f>M36+F36</f>
        <v>572</v>
      </c>
      <c r="P36" s="58">
        <v>30</v>
      </c>
      <c r="Q36" s="59">
        <v>185</v>
      </c>
      <c r="R36" s="7">
        <v>790</v>
      </c>
      <c r="S36" s="7">
        <v>0.1</v>
      </c>
    </row>
    <row r="37" spans="2:19" ht="17.25" customHeight="1" x14ac:dyDescent="0.25">
      <c r="B37" s="23">
        <v>16</v>
      </c>
      <c r="C37" s="49">
        <v>8342</v>
      </c>
      <c r="D37" s="49">
        <v>530</v>
      </c>
      <c r="E37" s="46">
        <v>46762</v>
      </c>
      <c r="F37" s="18"/>
      <c r="G37" s="20">
        <v>294376</v>
      </c>
      <c r="H37" s="20">
        <v>168022</v>
      </c>
      <c r="I37" s="20">
        <v>183916</v>
      </c>
      <c r="J37" s="51">
        <v>14784</v>
      </c>
      <c r="K37" s="57">
        <v>639998</v>
      </c>
      <c r="L37" s="52">
        <v>5561</v>
      </c>
      <c r="M37" s="19"/>
      <c r="N37" s="17"/>
      <c r="P37" s="58">
        <v>31</v>
      </c>
      <c r="Q37" s="59">
        <v>196</v>
      </c>
      <c r="R37" s="7">
        <v>836</v>
      </c>
      <c r="S37" s="7">
        <v>0.2</v>
      </c>
    </row>
    <row r="38" spans="2:19" ht="17.25" customHeight="1" x14ac:dyDescent="0.25">
      <c r="B38" s="11" t="s">
        <v>48</v>
      </c>
      <c r="C38" s="12">
        <f>C37-C35</f>
        <v>0</v>
      </c>
      <c r="D38" s="12">
        <f t="shared" si="18"/>
        <v>0</v>
      </c>
      <c r="E38" s="12">
        <f t="shared" si="18"/>
        <v>0</v>
      </c>
      <c r="F38" s="18">
        <f>E38+D38+C38</f>
        <v>0</v>
      </c>
      <c r="G38" s="12">
        <f>G37-G35</f>
        <v>120</v>
      </c>
      <c r="H38" s="12">
        <f t="shared" si="19"/>
        <v>21</v>
      </c>
      <c r="I38" s="12">
        <f t="shared" si="19"/>
        <v>72</v>
      </c>
      <c r="J38" s="12">
        <f t="shared" si="19"/>
        <v>329</v>
      </c>
      <c r="K38" s="12">
        <f t="shared" si="19"/>
        <v>0</v>
      </c>
      <c r="L38" s="12">
        <f t="shared" si="19"/>
        <v>22</v>
      </c>
      <c r="M38" s="19">
        <f>L38+K38+J38+I38+H38+G38</f>
        <v>564</v>
      </c>
      <c r="N38" s="55">
        <f>M38+F38</f>
        <v>564</v>
      </c>
      <c r="P38" s="36"/>
      <c r="Q38" s="60"/>
      <c r="R38" s="57"/>
      <c r="S38" s="57"/>
    </row>
    <row r="39" spans="2:19" ht="17.25" customHeight="1" x14ac:dyDescent="0.25">
      <c r="B39" s="23">
        <v>17</v>
      </c>
      <c r="C39" s="49">
        <v>8342</v>
      </c>
      <c r="D39" s="49">
        <v>530</v>
      </c>
      <c r="E39" s="46">
        <v>46762</v>
      </c>
      <c r="F39" s="18"/>
      <c r="G39" s="20">
        <v>294500</v>
      </c>
      <c r="H39" s="20">
        <v>168045</v>
      </c>
      <c r="I39" s="20">
        <v>184004</v>
      </c>
      <c r="J39" s="51">
        <v>15107</v>
      </c>
      <c r="K39" s="57">
        <v>639998</v>
      </c>
      <c r="L39" s="52">
        <v>5590</v>
      </c>
      <c r="M39" s="19"/>
      <c r="N39" s="17"/>
    </row>
    <row r="40" spans="2:19" ht="17.25" customHeight="1" x14ac:dyDescent="0.25">
      <c r="B40" s="11" t="s">
        <v>48</v>
      </c>
      <c r="C40" s="12">
        <f>C39-C37</f>
        <v>0</v>
      </c>
      <c r="D40" s="12">
        <f t="shared" si="18"/>
        <v>0</v>
      </c>
      <c r="E40" s="12">
        <f t="shared" si="18"/>
        <v>0</v>
      </c>
      <c r="F40" s="18">
        <f>E40+D40+C40</f>
        <v>0</v>
      </c>
      <c r="G40" s="12">
        <f>G39-G37</f>
        <v>124</v>
      </c>
      <c r="H40" s="12">
        <f t="shared" si="19"/>
        <v>23</v>
      </c>
      <c r="I40" s="12">
        <f t="shared" si="19"/>
        <v>88</v>
      </c>
      <c r="J40" s="12">
        <f t="shared" si="19"/>
        <v>323</v>
      </c>
      <c r="K40" s="12">
        <f t="shared" si="19"/>
        <v>0</v>
      </c>
      <c r="L40" s="12">
        <f t="shared" si="19"/>
        <v>29</v>
      </c>
      <c r="M40" s="19">
        <f>L40+K40+J40+I40+H40+G40</f>
        <v>587</v>
      </c>
      <c r="N40" s="55">
        <f>M40+F40</f>
        <v>587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>
        <v>8342</v>
      </c>
      <c r="D41" s="49">
        <v>530</v>
      </c>
      <c r="E41" s="46">
        <v>46762</v>
      </c>
      <c r="F41" s="18"/>
      <c r="G41" s="20">
        <v>294627</v>
      </c>
      <c r="H41" s="20">
        <v>168063</v>
      </c>
      <c r="I41" s="20">
        <v>184084</v>
      </c>
      <c r="J41" s="51">
        <v>15448</v>
      </c>
      <c r="K41" s="57">
        <v>639998</v>
      </c>
      <c r="L41" s="52">
        <v>5613</v>
      </c>
      <c r="M41" s="19"/>
      <c r="N41" s="17"/>
    </row>
    <row r="42" spans="2:19" ht="17.25" customHeight="1" x14ac:dyDescent="0.25">
      <c r="B42" s="11" t="s">
        <v>48</v>
      </c>
      <c r="C42" s="12">
        <f>C41-C39</f>
        <v>0</v>
      </c>
      <c r="D42" s="12">
        <f t="shared" ref="D42:E42" si="20">D41-D39</f>
        <v>0</v>
      </c>
      <c r="E42" s="12">
        <f t="shared" si="20"/>
        <v>0</v>
      </c>
      <c r="F42" s="18">
        <f>E42+D42+C42</f>
        <v>0</v>
      </c>
      <c r="G42" s="12">
        <f>G41-G39</f>
        <v>127</v>
      </c>
      <c r="H42" s="12">
        <f t="shared" ref="H42:L42" si="21">H41-H39</f>
        <v>18</v>
      </c>
      <c r="I42" s="12">
        <f t="shared" si="21"/>
        <v>80</v>
      </c>
      <c r="J42" s="12">
        <f t="shared" si="21"/>
        <v>341</v>
      </c>
      <c r="K42" s="12">
        <f t="shared" si="21"/>
        <v>0</v>
      </c>
      <c r="L42" s="12">
        <f t="shared" si="21"/>
        <v>23</v>
      </c>
      <c r="M42" s="19">
        <f>L42+K42+J42+I42+H42+G42</f>
        <v>589</v>
      </c>
      <c r="N42" s="55">
        <f>M42+F42</f>
        <v>589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49">
        <v>8342</v>
      </c>
      <c r="D43" s="49">
        <v>530</v>
      </c>
      <c r="E43" s="46">
        <v>46762</v>
      </c>
      <c r="F43" s="18"/>
      <c r="G43" s="20">
        <v>294745</v>
      </c>
      <c r="H43" s="20">
        <v>168081</v>
      </c>
      <c r="I43" s="20">
        <v>184154</v>
      </c>
      <c r="J43" s="51">
        <v>15753</v>
      </c>
      <c r="K43" s="57">
        <v>639998</v>
      </c>
      <c r="L43" s="52">
        <v>5653</v>
      </c>
      <c r="M43" s="19"/>
      <c r="N43" s="17"/>
    </row>
    <row r="44" spans="2:19" ht="17.25" customHeight="1" x14ac:dyDescent="0.25">
      <c r="B44" s="11" t="s">
        <v>48</v>
      </c>
      <c r="C44" s="12">
        <f>C43-C41</f>
        <v>0</v>
      </c>
      <c r="D44" s="12">
        <f t="shared" ref="D44:E46" si="22">D43-D41</f>
        <v>0</v>
      </c>
      <c r="E44" s="12">
        <f t="shared" si="22"/>
        <v>0</v>
      </c>
      <c r="F44" s="18">
        <f>E44+D44+C44</f>
        <v>0</v>
      </c>
      <c r="G44" s="12">
        <f>G43-G41</f>
        <v>118</v>
      </c>
      <c r="H44" s="12">
        <f t="shared" ref="H44:L46" si="23">H43-H41</f>
        <v>18</v>
      </c>
      <c r="I44" s="12">
        <f t="shared" si="23"/>
        <v>70</v>
      </c>
      <c r="J44" s="12">
        <f t="shared" si="23"/>
        <v>305</v>
      </c>
      <c r="K44" s="12">
        <f t="shared" si="23"/>
        <v>0</v>
      </c>
      <c r="L44" s="12">
        <f t="shared" si="23"/>
        <v>40</v>
      </c>
      <c r="M44" s="19">
        <f>L44+K44+J44+I44+H44+G44</f>
        <v>551</v>
      </c>
      <c r="N44" s="55">
        <f>M44+F44</f>
        <v>551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49">
        <v>8342</v>
      </c>
      <c r="D45" s="49">
        <v>530</v>
      </c>
      <c r="E45" s="46">
        <v>46762</v>
      </c>
      <c r="F45" s="18"/>
      <c r="G45" s="20">
        <v>294867</v>
      </c>
      <c r="H45" s="20">
        <v>168099</v>
      </c>
      <c r="I45" s="20">
        <v>184222</v>
      </c>
      <c r="J45" s="51">
        <v>16059</v>
      </c>
      <c r="K45" s="57">
        <v>639998</v>
      </c>
      <c r="L45" s="52">
        <v>5694</v>
      </c>
      <c r="M45" s="19"/>
      <c r="N45" s="17"/>
    </row>
    <row r="46" spans="2:19" ht="17.25" customHeight="1" x14ac:dyDescent="0.25">
      <c r="B46" s="11" t="s">
        <v>48</v>
      </c>
      <c r="C46" s="12">
        <f>C45-C43</f>
        <v>0</v>
      </c>
      <c r="D46" s="12">
        <f t="shared" si="22"/>
        <v>0</v>
      </c>
      <c r="E46" s="12">
        <f t="shared" si="22"/>
        <v>0</v>
      </c>
      <c r="F46" s="18">
        <f>E46+D46+C46</f>
        <v>0</v>
      </c>
      <c r="G46" s="12">
        <f>G45-G43</f>
        <v>122</v>
      </c>
      <c r="H46" s="12">
        <f t="shared" si="23"/>
        <v>18</v>
      </c>
      <c r="I46" s="12">
        <f t="shared" si="23"/>
        <v>68</v>
      </c>
      <c r="J46" s="12">
        <f t="shared" si="23"/>
        <v>306</v>
      </c>
      <c r="K46" s="12">
        <f t="shared" si="23"/>
        <v>0</v>
      </c>
      <c r="L46" s="12">
        <f t="shared" si="23"/>
        <v>41</v>
      </c>
      <c r="M46" s="19">
        <f>L46+K46+J46+I46+H46+G46</f>
        <v>555</v>
      </c>
      <c r="N46" s="55">
        <f>M46+F46</f>
        <v>555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>
        <v>8342</v>
      </c>
      <c r="D47" s="49">
        <v>530</v>
      </c>
      <c r="E47" s="46">
        <v>46762</v>
      </c>
      <c r="F47" s="18"/>
      <c r="G47" s="20">
        <v>294982</v>
      </c>
      <c r="H47" s="20">
        <v>168117</v>
      </c>
      <c r="I47" s="20">
        <v>184277</v>
      </c>
      <c r="J47" s="51">
        <v>16435</v>
      </c>
      <c r="K47" s="57">
        <v>639998</v>
      </c>
      <c r="L47" s="52">
        <v>5737</v>
      </c>
      <c r="M47" s="19"/>
      <c r="N47" s="17"/>
    </row>
    <row r="48" spans="2:19" ht="17.25" customHeight="1" x14ac:dyDescent="0.25">
      <c r="B48" s="11" t="s">
        <v>48</v>
      </c>
      <c r="C48" s="12">
        <f>C47-C45</f>
        <v>0</v>
      </c>
      <c r="D48" s="12">
        <f t="shared" ref="D48:E48" si="24">D47-D45</f>
        <v>0</v>
      </c>
      <c r="E48" s="12">
        <f t="shared" si="24"/>
        <v>0</v>
      </c>
      <c r="F48" s="18">
        <f>E48+D48+C48</f>
        <v>0</v>
      </c>
      <c r="G48" s="12">
        <f>G47-G45</f>
        <v>115</v>
      </c>
      <c r="H48" s="12">
        <f t="shared" ref="H48:L48" si="25">H47-H45</f>
        <v>18</v>
      </c>
      <c r="I48" s="12">
        <f t="shared" si="25"/>
        <v>55</v>
      </c>
      <c r="J48" s="12">
        <f t="shared" si="25"/>
        <v>376</v>
      </c>
      <c r="K48" s="12">
        <f t="shared" si="25"/>
        <v>0</v>
      </c>
      <c r="L48" s="12">
        <f t="shared" si="25"/>
        <v>43</v>
      </c>
      <c r="M48" s="19">
        <f>L48+K48+J48+I48+H48+G48</f>
        <v>607</v>
      </c>
      <c r="N48" s="55">
        <f>M48+F48</f>
        <v>607</v>
      </c>
      <c r="P48" s="36"/>
      <c r="Q48" s="60"/>
      <c r="R48" s="57"/>
      <c r="S48" s="57"/>
    </row>
    <row r="49" spans="2:19" ht="17.25" customHeight="1" x14ac:dyDescent="0.25">
      <c r="B49" s="23">
        <v>22</v>
      </c>
      <c r="C49" s="49">
        <v>8342</v>
      </c>
      <c r="D49" s="49">
        <v>530</v>
      </c>
      <c r="E49" s="46">
        <v>46762</v>
      </c>
      <c r="F49" s="18"/>
      <c r="G49" s="20">
        <v>295099</v>
      </c>
      <c r="H49" s="20">
        <v>168133</v>
      </c>
      <c r="I49" s="20">
        <v>184331</v>
      </c>
      <c r="J49" s="51">
        <v>16867</v>
      </c>
      <c r="K49" s="57">
        <v>639998</v>
      </c>
      <c r="L49" s="52">
        <v>5771</v>
      </c>
      <c r="M49" s="19"/>
      <c r="N49" s="17"/>
    </row>
    <row r="50" spans="2:19" ht="17.25" customHeight="1" x14ac:dyDescent="0.25">
      <c r="B50" s="11" t="s">
        <v>48</v>
      </c>
      <c r="C50" s="12">
        <f>C49-C47</f>
        <v>0</v>
      </c>
      <c r="D50" s="12">
        <f t="shared" ref="D50:E50" si="26">D49-D47</f>
        <v>0</v>
      </c>
      <c r="E50" s="12">
        <f t="shared" si="26"/>
        <v>0</v>
      </c>
      <c r="F50" s="18">
        <f>E50+D50+C50</f>
        <v>0</v>
      </c>
      <c r="G50" s="12">
        <f>G49-G47</f>
        <v>117</v>
      </c>
      <c r="H50" s="12">
        <f t="shared" ref="H50:L50" si="27">H49-H47</f>
        <v>16</v>
      </c>
      <c r="I50" s="12">
        <f t="shared" si="27"/>
        <v>54</v>
      </c>
      <c r="J50" s="12">
        <f t="shared" si="27"/>
        <v>432</v>
      </c>
      <c r="K50" s="12">
        <f t="shared" si="27"/>
        <v>0</v>
      </c>
      <c r="L50" s="12">
        <f t="shared" si="27"/>
        <v>34</v>
      </c>
      <c r="M50" s="19">
        <f>L50+K50+J50+I50+H50+G50</f>
        <v>653</v>
      </c>
      <c r="N50" s="55">
        <f>M50+F50</f>
        <v>653</v>
      </c>
      <c r="P50" s="36"/>
      <c r="Q50" s="60"/>
      <c r="R50" s="57"/>
      <c r="S50" s="57"/>
    </row>
    <row r="51" spans="2:19" ht="17.25" customHeight="1" x14ac:dyDescent="0.25">
      <c r="B51" s="23">
        <v>23</v>
      </c>
      <c r="C51" s="49">
        <v>8342</v>
      </c>
      <c r="D51" s="49">
        <v>530</v>
      </c>
      <c r="E51" s="46">
        <v>46762</v>
      </c>
      <c r="F51" s="18"/>
      <c r="G51" s="20">
        <v>295215</v>
      </c>
      <c r="H51" s="20">
        <v>168147</v>
      </c>
      <c r="I51" s="20">
        <v>184392</v>
      </c>
      <c r="J51" s="51">
        <v>17157</v>
      </c>
      <c r="K51" s="57">
        <v>639998</v>
      </c>
      <c r="L51" s="52">
        <v>5798</v>
      </c>
      <c r="M51" s="19"/>
      <c r="N51" s="17"/>
    </row>
    <row r="52" spans="2:19" ht="17.25" customHeight="1" x14ac:dyDescent="0.25">
      <c r="B52" s="11" t="s">
        <v>48</v>
      </c>
      <c r="C52" s="12">
        <f>C51-C49</f>
        <v>0</v>
      </c>
      <c r="D52" s="12">
        <f t="shared" ref="D52:E54" si="28">D51-D49</f>
        <v>0</v>
      </c>
      <c r="E52" s="12">
        <f t="shared" si="28"/>
        <v>0</v>
      </c>
      <c r="F52" s="18">
        <f>E52+D52+C52</f>
        <v>0</v>
      </c>
      <c r="G52" s="12">
        <f>G51-G49</f>
        <v>116</v>
      </c>
      <c r="H52" s="12">
        <f t="shared" ref="H52:L54" si="29">H51-H49</f>
        <v>14</v>
      </c>
      <c r="I52" s="12">
        <f t="shared" si="29"/>
        <v>61</v>
      </c>
      <c r="J52" s="12">
        <f t="shared" si="29"/>
        <v>290</v>
      </c>
      <c r="K52" s="12">
        <f t="shared" si="29"/>
        <v>0</v>
      </c>
      <c r="L52" s="12">
        <f t="shared" si="29"/>
        <v>27</v>
      </c>
      <c r="M52" s="19">
        <f>L52+K52+J52+I52+H52+G52</f>
        <v>508</v>
      </c>
      <c r="N52" s="55">
        <f>M52+F52</f>
        <v>508</v>
      </c>
    </row>
    <row r="53" spans="2:19" ht="17.25" customHeight="1" x14ac:dyDescent="0.25">
      <c r="B53" s="23">
        <v>24</v>
      </c>
      <c r="C53" s="49">
        <v>8342</v>
      </c>
      <c r="D53" s="49">
        <v>530</v>
      </c>
      <c r="E53" s="46">
        <v>46762</v>
      </c>
      <c r="F53" s="18"/>
      <c r="G53" s="20">
        <v>295339</v>
      </c>
      <c r="H53" s="20">
        <v>168167</v>
      </c>
      <c r="I53" s="67">
        <v>184447</v>
      </c>
      <c r="J53" s="51">
        <v>17474</v>
      </c>
      <c r="K53" s="57">
        <v>639998</v>
      </c>
      <c r="L53" s="52">
        <v>5821</v>
      </c>
      <c r="M53" s="19"/>
      <c r="N53" s="17"/>
    </row>
    <row r="54" spans="2:19" ht="17.25" customHeight="1" x14ac:dyDescent="0.25">
      <c r="B54" s="11" t="s">
        <v>48</v>
      </c>
      <c r="C54" s="12">
        <f>C53-C51</f>
        <v>0</v>
      </c>
      <c r="D54" s="12">
        <f t="shared" si="28"/>
        <v>0</v>
      </c>
      <c r="E54" s="12">
        <f t="shared" si="28"/>
        <v>0</v>
      </c>
      <c r="F54" s="18">
        <f>E54+D54+C54</f>
        <v>0</v>
      </c>
      <c r="G54" s="12">
        <f>G53-G51</f>
        <v>124</v>
      </c>
      <c r="H54" s="12">
        <f t="shared" si="29"/>
        <v>20</v>
      </c>
      <c r="I54" s="12">
        <f t="shared" si="29"/>
        <v>55</v>
      </c>
      <c r="J54" s="12">
        <f t="shared" si="29"/>
        <v>317</v>
      </c>
      <c r="K54" s="12">
        <f t="shared" si="29"/>
        <v>0</v>
      </c>
      <c r="L54" s="12">
        <f t="shared" si="29"/>
        <v>23</v>
      </c>
      <c r="M54" s="19">
        <f>L54+K54+J54+I54+H54+G54</f>
        <v>539</v>
      </c>
      <c r="N54" s="55">
        <f>M54+F54</f>
        <v>539</v>
      </c>
    </row>
    <row r="55" spans="2:19" ht="17.25" customHeight="1" x14ac:dyDescent="0.25">
      <c r="B55" s="23">
        <v>25</v>
      </c>
      <c r="C55" s="49">
        <v>8342</v>
      </c>
      <c r="D55" s="49">
        <v>530</v>
      </c>
      <c r="E55" s="46">
        <v>46762</v>
      </c>
      <c r="F55" s="18"/>
      <c r="G55" s="20">
        <v>295455</v>
      </c>
      <c r="H55" s="20">
        <v>168182</v>
      </c>
      <c r="I55" s="67">
        <v>184504</v>
      </c>
      <c r="J55" s="51">
        <v>17773</v>
      </c>
      <c r="K55" s="57">
        <v>639998</v>
      </c>
      <c r="L55" s="52">
        <v>5848</v>
      </c>
      <c r="M55" s="19"/>
      <c r="N55" s="17"/>
    </row>
    <row r="56" spans="2:19" ht="17.25" customHeight="1" x14ac:dyDescent="0.25">
      <c r="B56" s="11" t="s">
        <v>48</v>
      </c>
      <c r="C56" s="12">
        <f>C55-C53</f>
        <v>0</v>
      </c>
      <c r="D56" s="12">
        <f t="shared" ref="D56:E56" si="30">D55-D53</f>
        <v>0</v>
      </c>
      <c r="E56" s="12">
        <f t="shared" si="30"/>
        <v>0</v>
      </c>
      <c r="F56" s="18">
        <f>E56+D56+C56</f>
        <v>0</v>
      </c>
      <c r="G56" s="12">
        <f>G55-G53</f>
        <v>116</v>
      </c>
      <c r="H56" s="12">
        <f t="shared" ref="H56:L56" si="31">H55-H53</f>
        <v>15</v>
      </c>
      <c r="I56" s="12">
        <f t="shared" si="31"/>
        <v>57</v>
      </c>
      <c r="J56" s="12">
        <f t="shared" si="31"/>
        <v>299</v>
      </c>
      <c r="K56" s="12">
        <f t="shared" si="31"/>
        <v>0</v>
      </c>
      <c r="L56" s="12">
        <f t="shared" si="31"/>
        <v>27</v>
      </c>
      <c r="M56" s="19">
        <f>L56+K56+J56+I56+H56+G56</f>
        <v>514</v>
      </c>
      <c r="N56" s="55">
        <f>M56+F56</f>
        <v>514</v>
      </c>
    </row>
    <row r="57" spans="2:19" ht="17.25" customHeight="1" x14ac:dyDescent="0.25">
      <c r="B57" s="23">
        <v>26</v>
      </c>
      <c r="C57" s="49">
        <v>8343</v>
      </c>
      <c r="D57" s="49">
        <v>530</v>
      </c>
      <c r="E57" s="46">
        <v>46762</v>
      </c>
      <c r="F57" s="18"/>
      <c r="G57" s="20">
        <v>295571</v>
      </c>
      <c r="H57" s="20">
        <v>168195</v>
      </c>
      <c r="I57" s="67">
        <v>184562</v>
      </c>
      <c r="J57" s="51">
        <v>18064</v>
      </c>
      <c r="K57" s="57">
        <v>639998</v>
      </c>
      <c r="L57" s="52">
        <v>5863</v>
      </c>
      <c r="M57" s="19"/>
      <c r="N57" s="17"/>
    </row>
    <row r="58" spans="2:19" ht="17.25" customHeight="1" x14ac:dyDescent="0.25">
      <c r="B58" s="11" t="s">
        <v>48</v>
      </c>
      <c r="C58" s="12">
        <f>C57-C55</f>
        <v>1</v>
      </c>
      <c r="D58" s="12">
        <f t="shared" ref="D58:E60" si="32">D57-D55</f>
        <v>0</v>
      </c>
      <c r="E58" s="12">
        <f t="shared" si="32"/>
        <v>0</v>
      </c>
      <c r="F58" s="18">
        <f>E58+D58+C58</f>
        <v>1</v>
      </c>
      <c r="G58" s="12">
        <f>G57-G55</f>
        <v>116</v>
      </c>
      <c r="H58" s="12">
        <f t="shared" ref="H58:L60" si="33">H57-H55</f>
        <v>13</v>
      </c>
      <c r="I58" s="12">
        <f t="shared" si="33"/>
        <v>58</v>
      </c>
      <c r="J58" s="12">
        <f t="shared" si="33"/>
        <v>291</v>
      </c>
      <c r="K58" s="12">
        <f t="shared" si="33"/>
        <v>0</v>
      </c>
      <c r="L58" s="12">
        <f t="shared" si="33"/>
        <v>15</v>
      </c>
      <c r="M58" s="19">
        <f>L58+K58+J58+I58+H58+G58</f>
        <v>493</v>
      </c>
      <c r="N58" s="55">
        <f>M58+F58</f>
        <v>494</v>
      </c>
    </row>
    <row r="59" spans="2:19" ht="17.25" customHeight="1" x14ac:dyDescent="0.25">
      <c r="B59" s="23">
        <v>27</v>
      </c>
      <c r="C59" s="49">
        <v>8343</v>
      </c>
      <c r="D59" s="49">
        <v>530</v>
      </c>
      <c r="E59" s="46">
        <v>46762</v>
      </c>
      <c r="F59" s="18"/>
      <c r="G59" s="20">
        <v>295696</v>
      </c>
      <c r="H59" s="20">
        <v>168210</v>
      </c>
      <c r="I59" s="20">
        <v>184617</v>
      </c>
      <c r="J59" s="51">
        <v>18359</v>
      </c>
      <c r="K59" s="57">
        <v>639998</v>
      </c>
      <c r="L59" s="52">
        <v>5899</v>
      </c>
      <c r="M59" s="19"/>
      <c r="N59" s="17"/>
    </row>
    <row r="60" spans="2:19" ht="17.25" customHeight="1" x14ac:dyDescent="0.25">
      <c r="B60" s="11" t="s">
        <v>48</v>
      </c>
      <c r="C60" s="12">
        <f>C59-C57</f>
        <v>0</v>
      </c>
      <c r="D60" s="12">
        <f t="shared" si="32"/>
        <v>0</v>
      </c>
      <c r="E60" s="12">
        <f t="shared" si="32"/>
        <v>0</v>
      </c>
      <c r="F60" s="18">
        <f>E60+D60+C60</f>
        <v>0</v>
      </c>
      <c r="G60" s="12">
        <f>G59-G57</f>
        <v>125</v>
      </c>
      <c r="H60" s="12">
        <f t="shared" si="33"/>
        <v>15</v>
      </c>
      <c r="I60" s="12">
        <f t="shared" si="33"/>
        <v>55</v>
      </c>
      <c r="J60" s="12">
        <f t="shared" si="33"/>
        <v>295</v>
      </c>
      <c r="K60" s="12">
        <f t="shared" si="33"/>
        <v>0</v>
      </c>
      <c r="L60" s="12">
        <f t="shared" si="33"/>
        <v>36</v>
      </c>
      <c r="M60" s="19">
        <f>L60+K60+J60+I60+H60+G60</f>
        <v>526</v>
      </c>
      <c r="N60" s="55">
        <f>M60+F60</f>
        <v>526</v>
      </c>
    </row>
    <row r="61" spans="2:19" ht="17.25" customHeight="1" x14ac:dyDescent="0.25">
      <c r="B61" s="23">
        <v>28</v>
      </c>
      <c r="C61" s="49">
        <v>8343</v>
      </c>
      <c r="D61" s="49">
        <v>530</v>
      </c>
      <c r="E61" s="46">
        <v>46762</v>
      </c>
      <c r="F61" s="18"/>
      <c r="G61" s="20">
        <v>295814</v>
      </c>
      <c r="H61" s="20">
        <v>168225</v>
      </c>
      <c r="I61" s="20">
        <v>184675</v>
      </c>
      <c r="J61" s="51">
        <v>18665</v>
      </c>
      <c r="K61" s="57">
        <v>639998</v>
      </c>
      <c r="L61" s="52">
        <v>5934</v>
      </c>
      <c r="M61" s="19"/>
      <c r="N61" s="17"/>
    </row>
    <row r="62" spans="2:19" ht="17.25" customHeight="1" x14ac:dyDescent="0.25">
      <c r="B62" s="11" t="s">
        <v>48</v>
      </c>
      <c r="C62" s="12">
        <f>C61-C59</f>
        <v>0</v>
      </c>
      <c r="D62" s="12">
        <f t="shared" ref="D62:E62" si="34">D61-D59</f>
        <v>0</v>
      </c>
      <c r="E62" s="12">
        <f t="shared" si="34"/>
        <v>0</v>
      </c>
      <c r="F62" s="18">
        <f>E62+D62+C62</f>
        <v>0</v>
      </c>
      <c r="G62" s="12">
        <f>G61-G59</f>
        <v>118</v>
      </c>
      <c r="H62" s="12">
        <f t="shared" ref="H62:L62" si="35">H61-H59</f>
        <v>15</v>
      </c>
      <c r="I62" s="12">
        <f t="shared" si="35"/>
        <v>58</v>
      </c>
      <c r="J62" s="12">
        <f t="shared" si="35"/>
        <v>306</v>
      </c>
      <c r="K62" s="12">
        <f t="shared" si="35"/>
        <v>0</v>
      </c>
      <c r="L62" s="12">
        <f t="shared" si="35"/>
        <v>35</v>
      </c>
      <c r="M62" s="19">
        <f>L62+K62+J62+I62+H62+G62</f>
        <v>532</v>
      </c>
      <c r="N62" s="55">
        <f>M62+F62</f>
        <v>532</v>
      </c>
    </row>
    <row r="63" spans="2:19" ht="17.25" customHeight="1" x14ac:dyDescent="0.25">
      <c r="B63" s="23">
        <v>29</v>
      </c>
      <c r="C63" s="49">
        <v>8343</v>
      </c>
      <c r="D63" s="49">
        <v>530</v>
      </c>
      <c r="E63" s="46">
        <v>46762</v>
      </c>
      <c r="F63" s="18"/>
      <c r="G63" s="20">
        <v>295934</v>
      </c>
      <c r="H63" s="20">
        <v>168242</v>
      </c>
      <c r="I63" s="20">
        <v>184737</v>
      </c>
      <c r="J63" s="51">
        <v>19013</v>
      </c>
      <c r="K63" s="57">
        <v>639998</v>
      </c>
      <c r="L63" s="52">
        <v>5961</v>
      </c>
      <c r="M63" s="19"/>
      <c r="N63" s="17"/>
    </row>
    <row r="64" spans="2:19" ht="17.25" customHeight="1" x14ac:dyDescent="0.25">
      <c r="B64" s="11" t="s">
        <v>48</v>
      </c>
      <c r="C64" s="12">
        <f>C63-C61</f>
        <v>0</v>
      </c>
      <c r="D64" s="12">
        <f t="shared" ref="D64:E64" si="36">D63-D61</f>
        <v>0</v>
      </c>
      <c r="E64" s="12">
        <f t="shared" si="36"/>
        <v>0</v>
      </c>
      <c r="F64" s="18">
        <f>E64+D64+C64</f>
        <v>0</v>
      </c>
      <c r="G64" s="12">
        <f>G63-G61</f>
        <v>120</v>
      </c>
      <c r="H64" s="12">
        <f t="shared" ref="H64:L64" si="37">H63-H61</f>
        <v>17</v>
      </c>
      <c r="I64" s="12">
        <f t="shared" si="37"/>
        <v>62</v>
      </c>
      <c r="J64" s="12">
        <f t="shared" si="37"/>
        <v>348</v>
      </c>
      <c r="K64" s="12">
        <f t="shared" si="37"/>
        <v>0</v>
      </c>
      <c r="L64" s="12">
        <f t="shared" si="37"/>
        <v>27</v>
      </c>
      <c r="M64" s="19">
        <f>L64+K64+J64+I64+H64+G64</f>
        <v>574</v>
      </c>
      <c r="N64" s="55">
        <f>M64+F64</f>
        <v>574</v>
      </c>
    </row>
    <row r="65" spans="2:14" ht="17.25" customHeight="1" x14ac:dyDescent="0.25">
      <c r="B65" s="23">
        <v>30</v>
      </c>
      <c r="C65" s="49">
        <v>8343</v>
      </c>
      <c r="D65" s="49">
        <v>530</v>
      </c>
      <c r="E65" s="46">
        <v>46762</v>
      </c>
      <c r="F65" s="18"/>
      <c r="G65" s="20">
        <v>296052</v>
      </c>
      <c r="H65" s="20">
        <v>168255</v>
      </c>
      <c r="I65" s="20">
        <v>184809</v>
      </c>
      <c r="J65" s="51">
        <v>19349</v>
      </c>
      <c r="K65" s="57">
        <v>639998</v>
      </c>
      <c r="L65" s="52">
        <v>5984</v>
      </c>
      <c r="M65" s="19"/>
      <c r="N65" s="17"/>
    </row>
    <row r="66" spans="2:14" ht="17.25" customHeight="1" x14ac:dyDescent="0.25">
      <c r="B66" s="11" t="s">
        <v>48</v>
      </c>
      <c r="C66" s="12">
        <f>C65-C63</f>
        <v>0</v>
      </c>
      <c r="D66" s="12">
        <f t="shared" ref="D66:E66" si="38">D65-D63</f>
        <v>0</v>
      </c>
      <c r="E66" s="12">
        <f t="shared" si="38"/>
        <v>0</v>
      </c>
      <c r="F66" s="18">
        <f>E66+D66+C66</f>
        <v>0</v>
      </c>
      <c r="G66" s="12">
        <f>G65-G63</f>
        <v>118</v>
      </c>
      <c r="H66" s="12">
        <f t="shared" ref="H66:L66" si="39">H65-H63</f>
        <v>13</v>
      </c>
      <c r="I66" s="12">
        <f t="shared" si="39"/>
        <v>72</v>
      </c>
      <c r="J66" s="12">
        <f t="shared" si="39"/>
        <v>336</v>
      </c>
      <c r="K66" s="12">
        <f t="shared" si="39"/>
        <v>0</v>
      </c>
      <c r="L66" s="12">
        <f t="shared" si="39"/>
        <v>23</v>
      </c>
      <c r="M66" s="19">
        <f>L66+K66+J66+I66+H66+G66</f>
        <v>562</v>
      </c>
      <c r="N66" s="55">
        <f>M66+F66</f>
        <v>562</v>
      </c>
    </row>
    <row r="67" spans="2:14" ht="15.75" x14ac:dyDescent="0.25">
      <c r="B67" s="23">
        <v>31</v>
      </c>
      <c r="C67" s="49">
        <v>8344</v>
      </c>
      <c r="D67" s="49">
        <v>530</v>
      </c>
      <c r="E67" s="46">
        <v>46762</v>
      </c>
      <c r="F67" s="18"/>
      <c r="G67" s="20">
        <v>296170</v>
      </c>
      <c r="H67" s="20">
        <v>168274</v>
      </c>
      <c r="I67" s="20">
        <v>184872</v>
      </c>
      <c r="J67" s="51">
        <v>19682</v>
      </c>
      <c r="K67" s="57">
        <v>639998</v>
      </c>
      <c r="L67" s="52">
        <v>6004</v>
      </c>
      <c r="M67" s="19"/>
      <c r="N67" s="17"/>
    </row>
    <row r="68" spans="2:14" ht="15.75" x14ac:dyDescent="0.25">
      <c r="B68" s="11" t="s">
        <v>48</v>
      </c>
      <c r="C68" s="12">
        <f>C67-C65</f>
        <v>1</v>
      </c>
      <c r="D68" s="12">
        <f t="shared" ref="D68:E68" si="40">D67-D65</f>
        <v>0</v>
      </c>
      <c r="E68" s="12">
        <f t="shared" si="40"/>
        <v>0</v>
      </c>
      <c r="F68" s="18">
        <f>E68+D68+C68</f>
        <v>1</v>
      </c>
      <c r="G68" s="12">
        <f>G67-G65</f>
        <v>118</v>
      </c>
      <c r="H68" s="12">
        <f t="shared" ref="H68:L68" si="41">H67-H65</f>
        <v>19</v>
      </c>
      <c r="I68" s="12">
        <f t="shared" si="41"/>
        <v>63</v>
      </c>
      <c r="J68" s="12">
        <f t="shared" si="41"/>
        <v>333</v>
      </c>
      <c r="K68" s="12">
        <f t="shared" si="41"/>
        <v>0</v>
      </c>
      <c r="L68" s="12">
        <f t="shared" si="41"/>
        <v>20</v>
      </c>
      <c r="M68" s="19">
        <f>L68+K68+J68+I68+H68+G68</f>
        <v>553</v>
      </c>
      <c r="N68" s="55">
        <f>M68+F68</f>
        <v>554</v>
      </c>
    </row>
  </sheetData>
  <mergeCells count="12">
    <mergeCell ref="T6:U6"/>
    <mergeCell ref="B5:B6"/>
    <mergeCell ref="F5:F6"/>
    <mergeCell ref="P5:P6"/>
    <mergeCell ref="Q5:Q6"/>
    <mergeCell ref="R5:R6"/>
    <mergeCell ref="S5:S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70"/>
  <sheetViews>
    <sheetView zoomScaleNormal="100" workbookViewId="0">
      <pane ySplit="6" topLeftCell="A55" activePane="bottomLeft" state="frozen"/>
      <selection pane="bottomLeft" activeCell="E70" sqref="E70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65</v>
      </c>
      <c r="F3" s="112"/>
      <c r="G3" s="112"/>
      <c r="H3" s="112"/>
    </row>
    <row r="4" spans="2:8" ht="15" customHeight="1" thickBot="1" x14ac:dyDescent="0.3">
      <c r="D4" s="113" t="s">
        <v>50</v>
      </c>
      <c r="E4" s="113"/>
      <c r="F4" s="112"/>
      <c r="G4" s="112"/>
      <c r="H4" s="112"/>
    </row>
    <row r="5" spans="2:8" ht="30.75" customHeight="1" thickTop="1" x14ac:dyDescent="0.25">
      <c r="B5" s="104" t="s">
        <v>37</v>
      </c>
      <c r="C5" s="4" t="s">
        <v>66</v>
      </c>
      <c r="D5" s="4" t="s">
        <v>67</v>
      </c>
      <c r="E5" s="110" t="s">
        <v>68</v>
      </c>
    </row>
    <row r="6" spans="2:8" ht="15.75" customHeight="1" x14ac:dyDescent="0.25">
      <c r="B6" s="105"/>
      <c r="C6" s="3" t="s">
        <v>69</v>
      </c>
      <c r="D6" s="3"/>
      <c r="E6" s="111"/>
    </row>
    <row r="7" spans="2:8" ht="17.25" customHeight="1" x14ac:dyDescent="0.25">
      <c r="B7" s="23">
        <v>1</v>
      </c>
      <c r="C7" s="49">
        <v>307735</v>
      </c>
      <c r="D7" s="50">
        <v>1024</v>
      </c>
      <c r="E7" s="56"/>
      <c r="H7" s="1" t="s">
        <v>70</v>
      </c>
    </row>
    <row r="8" spans="2:8" ht="17.25" customHeight="1" x14ac:dyDescent="0.25">
      <c r="B8" s="11" t="s">
        <v>48</v>
      </c>
      <c r="C8" s="53">
        <v>413</v>
      </c>
      <c r="D8" s="53">
        <v>32</v>
      </c>
      <c r="E8" s="56">
        <f>C8</f>
        <v>413</v>
      </c>
    </row>
    <row r="9" spans="2:8" ht="17.25" customHeight="1" x14ac:dyDescent="0.25">
      <c r="B9" s="23">
        <v>2</v>
      </c>
      <c r="C9" s="48">
        <v>308146</v>
      </c>
      <c r="D9" s="50">
        <v>1056</v>
      </c>
      <c r="E9" s="56"/>
    </row>
    <row r="10" spans="2:8" ht="17.25" customHeight="1" x14ac:dyDescent="0.25">
      <c r="B10" s="11" t="s">
        <v>48</v>
      </c>
      <c r="C10" s="53">
        <f>C9-C7</f>
        <v>411</v>
      </c>
      <c r="D10" s="53">
        <f>D9-D7</f>
        <v>32</v>
      </c>
      <c r="E10" s="56">
        <f>C10</f>
        <v>411</v>
      </c>
      <c r="G10"/>
      <c r="H10" s="57"/>
    </row>
    <row r="11" spans="2:8" ht="17.25" customHeight="1" x14ac:dyDescent="0.25">
      <c r="B11" s="23">
        <v>3</v>
      </c>
      <c r="C11" s="47">
        <v>308569</v>
      </c>
      <c r="D11" s="50">
        <v>1086</v>
      </c>
      <c r="E11" s="56"/>
    </row>
    <row r="12" spans="2:8" ht="17.25" customHeight="1" x14ac:dyDescent="0.25">
      <c r="B12" s="11" t="s">
        <v>48</v>
      </c>
      <c r="C12" s="53">
        <f>C11-C9</f>
        <v>423</v>
      </c>
      <c r="D12" s="53">
        <f>D11-D9</f>
        <v>30</v>
      </c>
      <c r="E12" s="56">
        <f>C12</f>
        <v>423</v>
      </c>
    </row>
    <row r="13" spans="2:8" ht="17.25" customHeight="1" x14ac:dyDescent="0.25">
      <c r="B13" s="23">
        <v>4</v>
      </c>
      <c r="C13" s="48">
        <v>308977</v>
      </c>
      <c r="D13" s="50">
        <v>1116</v>
      </c>
      <c r="E13" s="56"/>
    </row>
    <row r="14" spans="2:8" ht="17.25" customHeight="1" x14ac:dyDescent="0.25">
      <c r="B14" s="11" t="s">
        <v>48</v>
      </c>
      <c r="C14" s="53">
        <f>C13-C11</f>
        <v>408</v>
      </c>
      <c r="D14" s="53">
        <f>D13-D11</f>
        <v>30</v>
      </c>
      <c r="E14" s="56">
        <f>C14</f>
        <v>408</v>
      </c>
    </row>
    <row r="15" spans="2:8" ht="17.25" customHeight="1" x14ac:dyDescent="0.25">
      <c r="B15" s="23">
        <v>5</v>
      </c>
      <c r="C15" s="48">
        <v>309379</v>
      </c>
      <c r="D15" s="50">
        <v>1145</v>
      </c>
      <c r="E15" s="56"/>
    </row>
    <row r="16" spans="2:8" ht="17.25" customHeight="1" x14ac:dyDescent="0.25">
      <c r="B16" s="11" t="s">
        <v>48</v>
      </c>
      <c r="C16" s="53">
        <f>C15-C13</f>
        <v>402</v>
      </c>
      <c r="D16" s="53">
        <f>D15-D13</f>
        <v>29</v>
      </c>
      <c r="E16" s="56">
        <f>C16</f>
        <v>402</v>
      </c>
    </row>
    <row r="17" spans="2:5" ht="17.25" customHeight="1" x14ac:dyDescent="0.25">
      <c r="B17" s="23">
        <v>6</v>
      </c>
      <c r="C17" s="48">
        <v>309777</v>
      </c>
      <c r="D17" s="50">
        <v>1173</v>
      </c>
      <c r="E17" s="56"/>
    </row>
    <row r="18" spans="2:5" ht="17.25" customHeight="1" x14ac:dyDescent="0.25">
      <c r="B18" s="11" t="s">
        <v>48</v>
      </c>
      <c r="C18" s="53">
        <f>C17-C15</f>
        <v>398</v>
      </c>
      <c r="D18" s="53">
        <f>D17-D15</f>
        <v>28</v>
      </c>
      <c r="E18" s="56">
        <f>C18</f>
        <v>398</v>
      </c>
    </row>
    <row r="19" spans="2:5" ht="17.25" customHeight="1" x14ac:dyDescent="0.25">
      <c r="B19" s="23">
        <v>7</v>
      </c>
      <c r="C19" s="48">
        <v>310184</v>
      </c>
      <c r="D19" s="50">
        <v>1202</v>
      </c>
      <c r="E19" s="56"/>
    </row>
    <row r="20" spans="2:5" ht="17.25" customHeight="1" x14ac:dyDescent="0.25">
      <c r="B20" s="11" t="s">
        <v>48</v>
      </c>
      <c r="C20" s="53">
        <f>C19-C17</f>
        <v>407</v>
      </c>
      <c r="D20" s="53">
        <f>D19-D17</f>
        <v>29</v>
      </c>
      <c r="E20" s="56">
        <f>C20</f>
        <v>407</v>
      </c>
    </row>
    <row r="21" spans="2:5" ht="17.25" customHeight="1" x14ac:dyDescent="0.25">
      <c r="B21" s="23">
        <v>8</v>
      </c>
      <c r="C21" s="48">
        <v>310589</v>
      </c>
      <c r="D21" s="50">
        <v>1234</v>
      </c>
      <c r="E21" s="56"/>
    </row>
    <row r="22" spans="2:5" ht="17.25" customHeight="1" x14ac:dyDescent="0.25">
      <c r="B22" s="11" t="s">
        <v>48</v>
      </c>
      <c r="C22" s="53">
        <f>C21-C19</f>
        <v>405</v>
      </c>
      <c r="D22" s="53">
        <f>D21-D19</f>
        <v>32</v>
      </c>
      <c r="E22" s="56">
        <f>C22</f>
        <v>405</v>
      </c>
    </row>
    <row r="23" spans="2:5" ht="17.25" customHeight="1" x14ac:dyDescent="0.25">
      <c r="B23" s="23">
        <v>9</v>
      </c>
      <c r="C23" s="47">
        <v>311035</v>
      </c>
      <c r="D23" s="50">
        <v>1264</v>
      </c>
      <c r="E23" s="56"/>
    </row>
    <row r="24" spans="2:5" ht="17.25" customHeight="1" x14ac:dyDescent="0.25">
      <c r="B24" s="11" t="s">
        <v>48</v>
      </c>
      <c r="C24" s="53">
        <f>C23-C21</f>
        <v>446</v>
      </c>
      <c r="D24" s="53">
        <f>D23-D21</f>
        <v>30</v>
      </c>
      <c r="E24" s="56">
        <f>C24</f>
        <v>446</v>
      </c>
    </row>
    <row r="25" spans="2:5" ht="17.25" customHeight="1" x14ac:dyDescent="0.25">
      <c r="B25" s="23">
        <v>10</v>
      </c>
      <c r="C25" s="47">
        <v>311476</v>
      </c>
      <c r="D25" s="50">
        <v>1293</v>
      </c>
      <c r="E25" s="56"/>
    </row>
    <row r="26" spans="2:5" ht="17.25" customHeight="1" x14ac:dyDescent="0.25">
      <c r="B26" s="11" t="s">
        <v>48</v>
      </c>
      <c r="C26" s="53">
        <f>C25-C23</f>
        <v>441</v>
      </c>
      <c r="D26" s="53">
        <f>D25-D23</f>
        <v>29</v>
      </c>
      <c r="E26" s="56">
        <f>C26</f>
        <v>441</v>
      </c>
    </row>
    <row r="27" spans="2:5" ht="17.25" customHeight="1" x14ac:dyDescent="0.25">
      <c r="B27" s="23">
        <v>11</v>
      </c>
      <c r="C27" s="47">
        <v>311926</v>
      </c>
      <c r="D27" s="50">
        <v>1323</v>
      </c>
      <c r="E27" s="56"/>
    </row>
    <row r="28" spans="2:5" ht="17.25" customHeight="1" x14ac:dyDescent="0.25">
      <c r="B28" s="11" t="s">
        <v>48</v>
      </c>
      <c r="C28" s="53">
        <f>C27-C25</f>
        <v>450</v>
      </c>
      <c r="D28" s="53">
        <f>D27-D25</f>
        <v>30</v>
      </c>
      <c r="E28" s="56">
        <f>C28</f>
        <v>450</v>
      </c>
    </row>
    <row r="29" spans="2:5" ht="17.25" customHeight="1" x14ac:dyDescent="0.25">
      <c r="B29" s="23">
        <v>12</v>
      </c>
      <c r="C29" s="47">
        <v>312376</v>
      </c>
      <c r="D29" s="50">
        <v>1355</v>
      </c>
      <c r="E29" s="56"/>
    </row>
    <row r="30" spans="2:5" ht="17.25" customHeight="1" x14ac:dyDescent="0.25">
      <c r="B30" s="11" t="s">
        <v>48</v>
      </c>
      <c r="C30" s="53">
        <f>C29-C27</f>
        <v>450</v>
      </c>
      <c r="D30" s="53">
        <f>D29-D27</f>
        <v>32</v>
      </c>
      <c r="E30" s="56">
        <f>C30</f>
        <v>450</v>
      </c>
    </row>
    <row r="31" spans="2:5" ht="17.25" customHeight="1" x14ac:dyDescent="0.25">
      <c r="B31" s="23">
        <v>13</v>
      </c>
      <c r="C31" s="47">
        <v>312809</v>
      </c>
      <c r="D31" s="50">
        <v>1386</v>
      </c>
      <c r="E31" s="56"/>
    </row>
    <row r="32" spans="2:5" ht="17.25" customHeight="1" x14ac:dyDescent="0.25">
      <c r="B32" s="11" t="s">
        <v>48</v>
      </c>
      <c r="C32" s="53">
        <f>C31-C29</f>
        <v>433</v>
      </c>
      <c r="D32" s="53">
        <f>D31-D29</f>
        <v>31</v>
      </c>
      <c r="E32" s="56">
        <f>C32</f>
        <v>433</v>
      </c>
    </row>
    <row r="33" spans="2:5" ht="17.25" customHeight="1" x14ac:dyDescent="0.25">
      <c r="B33" s="23">
        <v>14</v>
      </c>
      <c r="C33" s="48">
        <v>313235</v>
      </c>
      <c r="D33" s="50">
        <v>1416</v>
      </c>
      <c r="E33" s="56"/>
    </row>
    <row r="34" spans="2:5" ht="17.25" customHeight="1" x14ac:dyDescent="0.25">
      <c r="B34" s="11" t="s">
        <v>48</v>
      </c>
      <c r="C34" s="53">
        <f>C33-C31</f>
        <v>426</v>
      </c>
      <c r="D34" s="53">
        <f>D33-D31</f>
        <v>30</v>
      </c>
      <c r="E34" s="56">
        <f>C34</f>
        <v>426</v>
      </c>
    </row>
    <row r="35" spans="2:5" ht="17.25" customHeight="1" x14ac:dyDescent="0.25">
      <c r="B35" s="23">
        <v>15</v>
      </c>
      <c r="C35" s="48">
        <v>313671</v>
      </c>
      <c r="D35" s="50">
        <v>1449</v>
      </c>
      <c r="E35" s="56"/>
    </row>
    <row r="36" spans="2:5" ht="17.25" customHeight="1" x14ac:dyDescent="0.25">
      <c r="B36" s="11" t="s">
        <v>48</v>
      </c>
      <c r="C36" s="53">
        <f>C35-C33</f>
        <v>436</v>
      </c>
      <c r="D36" s="53">
        <f>D35-D33</f>
        <v>33</v>
      </c>
      <c r="E36" s="56">
        <f>C36</f>
        <v>436</v>
      </c>
    </row>
    <row r="37" spans="2:5" ht="17.25" customHeight="1" x14ac:dyDescent="0.25">
      <c r="B37" s="23">
        <v>16</v>
      </c>
      <c r="C37" s="48">
        <v>314115</v>
      </c>
      <c r="D37" s="50">
        <v>1480</v>
      </c>
      <c r="E37" s="56"/>
    </row>
    <row r="38" spans="2:5" ht="17.25" customHeight="1" x14ac:dyDescent="0.25">
      <c r="B38" s="11" t="s">
        <v>48</v>
      </c>
      <c r="C38" s="53">
        <f>C37-C35</f>
        <v>444</v>
      </c>
      <c r="D38" s="53">
        <f>D37-D35</f>
        <v>31</v>
      </c>
      <c r="E38" s="56">
        <f>C38</f>
        <v>444</v>
      </c>
    </row>
    <row r="39" spans="2:5" ht="17.25" customHeight="1" x14ac:dyDescent="0.25">
      <c r="B39" s="23">
        <v>17</v>
      </c>
      <c r="C39" s="48">
        <v>314579</v>
      </c>
      <c r="D39" s="50">
        <v>1514</v>
      </c>
      <c r="E39" s="56"/>
    </row>
    <row r="40" spans="2:5" ht="17.25" customHeight="1" x14ac:dyDescent="0.25">
      <c r="B40" s="11" t="s">
        <v>48</v>
      </c>
      <c r="C40" s="53">
        <f>C39-C37</f>
        <v>464</v>
      </c>
      <c r="D40" s="53">
        <f>D39-D37</f>
        <v>34</v>
      </c>
      <c r="E40" s="56">
        <f>C40</f>
        <v>464</v>
      </c>
    </row>
    <row r="41" spans="2:5" ht="17.25" customHeight="1" x14ac:dyDescent="0.25">
      <c r="B41" s="23">
        <v>18</v>
      </c>
      <c r="C41" s="48">
        <v>315064</v>
      </c>
      <c r="D41" s="50">
        <v>1552</v>
      </c>
      <c r="E41" s="56"/>
    </row>
    <row r="42" spans="2:5" ht="17.25" customHeight="1" x14ac:dyDescent="0.25">
      <c r="B42" s="11" t="s">
        <v>48</v>
      </c>
      <c r="C42" s="53">
        <f>C41-C39</f>
        <v>485</v>
      </c>
      <c r="D42" s="53">
        <f>D41-D39</f>
        <v>38</v>
      </c>
      <c r="E42" s="56">
        <f>C42</f>
        <v>485</v>
      </c>
    </row>
    <row r="43" spans="2:5" ht="17.25" customHeight="1" x14ac:dyDescent="0.25">
      <c r="B43" s="23">
        <v>19</v>
      </c>
      <c r="C43" s="48">
        <v>315510</v>
      </c>
      <c r="D43" s="50">
        <v>1580</v>
      </c>
      <c r="E43" s="56"/>
    </row>
    <row r="44" spans="2:5" ht="17.25" customHeight="1" x14ac:dyDescent="0.25">
      <c r="B44" s="11" t="s">
        <v>48</v>
      </c>
      <c r="C44" s="53">
        <f>C43-C41</f>
        <v>446</v>
      </c>
      <c r="D44" s="53">
        <f>D43-D41</f>
        <v>28</v>
      </c>
      <c r="E44" s="56">
        <f>C44</f>
        <v>446</v>
      </c>
    </row>
    <row r="45" spans="2:5" ht="17.25" customHeight="1" x14ac:dyDescent="0.25">
      <c r="B45" s="23">
        <v>20</v>
      </c>
      <c r="C45" s="48">
        <v>315967</v>
      </c>
      <c r="D45" s="50">
        <v>1603</v>
      </c>
      <c r="E45" s="56"/>
    </row>
    <row r="46" spans="2:5" ht="17.25" customHeight="1" x14ac:dyDescent="0.25">
      <c r="B46" s="11" t="s">
        <v>48</v>
      </c>
      <c r="C46" s="53">
        <f>C45-C43</f>
        <v>457</v>
      </c>
      <c r="D46" s="53">
        <f>D45-D43</f>
        <v>23</v>
      </c>
      <c r="E46" s="56">
        <f>C46</f>
        <v>457</v>
      </c>
    </row>
    <row r="47" spans="2:5" ht="17.25" customHeight="1" x14ac:dyDescent="0.25">
      <c r="B47" s="23">
        <v>21</v>
      </c>
      <c r="C47" s="48">
        <v>316405</v>
      </c>
      <c r="D47" s="50">
        <v>1625</v>
      </c>
      <c r="E47" s="56"/>
    </row>
    <row r="48" spans="2:5" ht="17.25" customHeight="1" x14ac:dyDescent="0.25">
      <c r="B48" s="11" t="s">
        <v>48</v>
      </c>
      <c r="C48" s="53">
        <f>C47-C45</f>
        <v>438</v>
      </c>
      <c r="D48" s="53">
        <f>D47-D45</f>
        <v>22</v>
      </c>
      <c r="E48" s="56">
        <f>C48</f>
        <v>438</v>
      </c>
    </row>
    <row r="49" spans="2:5" ht="17.25" customHeight="1" x14ac:dyDescent="0.25">
      <c r="B49" s="23">
        <v>22</v>
      </c>
      <c r="C49" s="48">
        <v>316837</v>
      </c>
      <c r="D49" s="50">
        <v>1645</v>
      </c>
      <c r="E49" s="56"/>
    </row>
    <row r="50" spans="2:5" ht="17.25" customHeight="1" x14ac:dyDescent="0.25">
      <c r="B50" s="11" t="s">
        <v>48</v>
      </c>
      <c r="C50" s="53">
        <f>C49-C47</f>
        <v>432</v>
      </c>
      <c r="D50" s="53">
        <f>D49-D47</f>
        <v>20</v>
      </c>
      <c r="E50" s="56">
        <f>C50</f>
        <v>432</v>
      </c>
    </row>
    <row r="51" spans="2:5" ht="17.25" customHeight="1" x14ac:dyDescent="0.25">
      <c r="B51" s="23">
        <v>23</v>
      </c>
      <c r="C51" s="48">
        <v>317286</v>
      </c>
      <c r="D51" s="50">
        <v>1671</v>
      </c>
      <c r="E51" s="56"/>
    </row>
    <row r="52" spans="2:5" ht="17.25" customHeight="1" x14ac:dyDescent="0.25">
      <c r="B52" s="11" t="s">
        <v>48</v>
      </c>
      <c r="C52" s="53">
        <f>C51-C49</f>
        <v>449</v>
      </c>
      <c r="D52" s="53">
        <f>D51-D49</f>
        <v>26</v>
      </c>
      <c r="E52" s="56">
        <f>C52</f>
        <v>449</v>
      </c>
    </row>
    <row r="53" spans="2:5" ht="17.25" customHeight="1" x14ac:dyDescent="0.25">
      <c r="B53" s="23">
        <v>24</v>
      </c>
      <c r="C53" s="48">
        <v>317748</v>
      </c>
      <c r="D53" s="50">
        <v>1688</v>
      </c>
      <c r="E53" s="56"/>
    </row>
    <row r="54" spans="2:5" ht="17.25" customHeight="1" x14ac:dyDescent="0.25">
      <c r="B54" s="11" t="s">
        <v>48</v>
      </c>
      <c r="C54" s="53">
        <f>C53-C51</f>
        <v>462</v>
      </c>
      <c r="D54" s="53">
        <f>D53-D51</f>
        <v>17</v>
      </c>
      <c r="E54" s="56">
        <f>C54</f>
        <v>462</v>
      </c>
    </row>
    <row r="55" spans="2:5" ht="17.25" customHeight="1" x14ac:dyDescent="0.25">
      <c r="B55" s="23">
        <v>25</v>
      </c>
      <c r="C55" s="48">
        <v>318188</v>
      </c>
      <c r="D55" s="50">
        <v>1707</v>
      </c>
      <c r="E55" s="56"/>
    </row>
    <row r="56" spans="2:5" ht="17.25" customHeight="1" x14ac:dyDescent="0.25">
      <c r="B56" s="11" t="s">
        <v>48</v>
      </c>
      <c r="C56" s="53">
        <f>C55-C53</f>
        <v>440</v>
      </c>
      <c r="D56" s="53">
        <f>D55-D53</f>
        <v>19</v>
      </c>
      <c r="E56" s="56">
        <f>C56</f>
        <v>440</v>
      </c>
    </row>
    <row r="57" spans="2:5" ht="17.25" customHeight="1" x14ac:dyDescent="0.25">
      <c r="B57" s="23">
        <v>26</v>
      </c>
      <c r="C57" s="48">
        <v>318643</v>
      </c>
      <c r="D57" s="50">
        <v>1725</v>
      </c>
      <c r="E57" s="56"/>
    </row>
    <row r="58" spans="2:5" ht="17.25" customHeight="1" x14ac:dyDescent="0.25">
      <c r="B58" s="11" t="s">
        <v>48</v>
      </c>
      <c r="C58" s="53">
        <f>C57-C55</f>
        <v>455</v>
      </c>
      <c r="D58" s="53">
        <f>D57-D55</f>
        <v>18</v>
      </c>
      <c r="E58" s="56">
        <f>C58</f>
        <v>455</v>
      </c>
    </row>
    <row r="59" spans="2:5" ht="17.25" customHeight="1" x14ac:dyDescent="0.25">
      <c r="B59" s="23">
        <v>27</v>
      </c>
      <c r="C59" s="48">
        <v>319028</v>
      </c>
      <c r="D59" s="50">
        <v>1744</v>
      </c>
      <c r="E59" s="56"/>
    </row>
    <row r="60" spans="2:5" ht="17.25" customHeight="1" x14ac:dyDescent="0.25">
      <c r="B60" s="11" t="s">
        <v>48</v>
      </c>
      <c r="C60" s="53">
        <f>C59-C57</f>
        <v>385</v>
      </c>
      <c r="D60" s="53">
        <f>D59-D57</f>
        <v>19</v>
      </c>
      <c r="E60" s="56">
        <f>C60</f>
        <v>385</v>
      </c>
    </row>
    <row r="61" spans="2:5" ht="17.25" customHeight="1" x14ac:dyDescent="0.25">
      <c r="B61" s="23">
        <v>28</v>
      </c>
      <c r="C61" s="48">
        <v>319441</v>
      </c>
      <c r="D61" s="50">
        <v>1763</v>
      </c>
      <c r="E61" s="56"/>
    </row>
    <row r="62" spans="2:5" ht="17.25" customHeight="1" x14ac:dyDescent="0.25">
      <c r="B62" s="11" t="s">
        <v>48</v>
      </c>
      <c r="C62" s="53">
        <f>C61-C59</f>
        <v>413</v>
      </c>
      <c r="D62" s="53">
        <f>D61-D59</f>
        <v>19</v>
      </c>
      <c r="E62" s="56">
        <f>C62</f>
        <v>413</v>
      </c>
    </row>
    <row r="63" spans="2:5" ht="17.25" customHeight="1" x14ac:dyDescent="0.25">
      <c r="B63" s="23">
        <v>29</v>
      </c>
      <c r="C63" s="48">
        <v>319958</v>
      </c>
      <c r="D63" s="50">
        <v>1783</v>
      </c>
      <c r="E63" s="56"/>
    </row>
    <row r="64" spans="2:5" ht="17.25" customHeight="1" x14ac:dyDescent="0.25">
      <c r="B64" s="11" t="s">
        <v>48</v>
      </c>
      <c r="C64" s="53">
        <f>C63-C61</f>
        <v>517</v>
      </c>
      <c r="D64" s="53">
        <f>D63-D61</f>
        <v>20</v>
      </c>
      <c r="E64" s="56">
        <f>C64</f>
        <v>517</v>
      </c>
    </row>
    <row r="65" spans="2:5" ht="17.25" customHeight="1" x14ac:dyDescent="0.25">
      <c r="B65" s="23">
        <v>30</v>
      </c>
      <c r="C65" s="48">
        <v>320471</v>
      </c>
      <c r="D65" s="50">
        <v>1811</v>
      </c>
      <c r="E65" s="56"/>
    </row>
    <row r="66" spans="2:5" ht="17.25" customHeight="1" x14ac:dyDescent="0.25">
      <c r="B66" s="11" t="s">
        <v>48</v>
      </c>
      <c r="C66" s="53">
        <f>C65-C63</f>
        <v>513</v>
      </c>
      <c r="D66" s="53">
        <f>D65-D63</f>
        <v>28</v>
      </c>
      <c r="E66" s="56">
        <f>C66</f>
        <v>513</v>
      </c>
    </row>
    <row r="67" spans="2:5" ht="15.75" x14ac:dyDescent="0.25">
      <c r="B67" s="23">
        <v>31</v>
      </c>
      <c r="C67" s="48">
        <v>320970</v>
      </c>
      <c r="D67" s="50">
        <v>1834</v>
      </c>
      <c r="E67" s="56"/>
    </row>
    <row r="68" spans="2:5" ht="15.75" x14ac:dyDescent="0.25">
      <c r="B68" s="11" t="s">
        <v>48</v>
      </c>
      <c r="C68" s="53">
        <f>C67-C65</f>
        <v>499</v>
      </c>
      <c r="D68" s="53">
        <f>D67-D65</f>
        <v>23</v>
      </c>
      <c r="E68" s="56">
        <f>C68</f>
        <v>499</v>
      </c>
    </row>
    <row r="69" spans="2:5" x14ac:dyDescent="0.25">
      <c r="E69" s="1">
        <f>SUM(E8:E68)</f>
        <v>13648</v>
      </c>
    </row>
    <row r="70" spans="2:5" x14ac:dyDescent="0.25">
      <c r="E70" s="1">
        <f>E69*3.7*0.51</f>
        <v>25753.776000000002</v>
      </c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f80d94-36c6-4cfa-b190-3af03c89e98e">
      <UserInfo>
        <DisplayName>John George Podimannil</DisplayName>
        <AccountId>38</AccountId>
        <AccountType/>
      </UserInfo>
      <UserInfo>
        <DisplayName>Carmelyn Abaygar</DisplayName>
        <AccountId>32</AccountId>
        <AccountType/>
      </UserInfo>
    </SharedWithUsers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Props1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289D42-0477-45C1-A145-5FA373F96E3A}">
  <ds:schemaRefs>
    <ds:schemaRef ds:uri="http://purl.org/dc/elements/1.1/"/>
    <ds:schemaRef ds:uri="85f80d94-36c6-4cfa-b190-3af03c89e98e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4a585a97-453b-43f7-adce-c4bafe4f356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2023-01-23T07:35:28Z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