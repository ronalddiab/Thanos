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<sst xmlns="http://schemas.openxmlformats.org/spreadsheetml/2006/main" count="129" uniqueCount="50">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</sst>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53510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123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52620</v>
      </c>
      <c r="F16" s="11">
        <v>5.0000000000000001E-3</v>
      </c>
      <c r="G16" s="12">
        <f>Submetering!R16</f>
        <v>599.60894399999995</v>
      </c>
      <c r="H16" s="11">
        <v>0.52800000000000002</v>
      </c>
      <c r="I16" s="12">
        <f>Hotel!B21</f>
        <v>123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63100</v>
      </c>
      <c r="F17" s="11">
        <v>5.0000000000000001E-3</v>
      </c>
      <c r="G17" s="12">
        <f>Submetering!R17</f>
        <v>670.77465199999995</v>
      </c>
      <c r="H17" s="11">
        <v>0.52800000000000002</v>
      </c>
      <c r="I17" s="12">
        <f>Hotel!B22</f>
        <v>120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59140</v>
      </c>
      <c r="F18" s="11">
        <v>5.0000000000000001E-3</v>
      </c>
      <c r="G18" s="12">
        <f>Submetering!R18</f>
        <v>678.72401300000001</v>
      </c>
      <c r="H18" s="11">
        <v>0.52800000000000002</v>
      </c>
      <c r="I18" s="12">
        <f>Hotel!B23</f>
        <v>127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55680</v>
      </c>
      <c r="F19" s="11">
        <v>5.0000000000000001E-3</v>
      </c>
      <c r="G19" s="12">
        <f>Submetering!R19</f>
        <v>823.70521599999995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57740</v>
      </c>
      <c r="F20" s="11">
        <v>5.0000000000000001E-3</v>
      </c>
      <c r="G20" s="12">
        <f>Submetering!R20</f>
        <v>553.0484009999999</v>
      </c>
      <c r="H20" s="11">
        <v>0.52800000000000002</v>
      </c>
      <c r="I20" s="12">
        <f>Hotel!B25</f>
        <v>104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56170</v>
      </c>
      <c r="F21" s="11">
        <v>5.0000000000000001E-3</v>
      </c>
      <c r="G21" s="12">
        <f>Submetering!R21</f>
        <v>573.868156</v>
      </c>
      <c r="H21" s="11">
        <v>0.52800000000000002</v>
      </c>
      <c r="I21" s="12">
        <f>Hotel!B26</f>
        <v>91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57130</v>
      </c>
      <c r="F22" s="11">
        <v>5.0000000000000001E-3</v>
      </c>
      <c r="G22" s="12">
        <f>Submetering!R22</f>
        <v>559.10505699999999</v>
      </c>
      <c r="H22" s="11">
        <v>0.52800000000000002</v>
      </c>
      <c r="I22" s="12">
        <f>Hotel!B27</f>
        <v>108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53120</v>
      </c>
      <c r="F23" s="11">
        <v>5.0000000000000001E-3</v>
      </c>
      <c r="G23" s="12">
        <f>Submetering!R23</f>
        <v>478.85436500000003</v>
      </c>
      <c r="H23" s="11">
        <v>0.52800000000000002</v>
      </c>
      <c r="I23" s="12">
        <f>Hotel!B28</f>
        <v>117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54810</v>
      </c>
      <c r="F24" s="11">
        <v>5.0000000000000001E-3</v>
      </c>
      <c r="G24" s="12">
        <f>Submetering!R24</f>
        <v>488.31788999999998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54530</v>
      </c>
      <c r="F25" s="11">
        <v>5.0000000000000001E-3</v>
      </c>
      <c r="G25" s="12">
        <f>Submetering!R25</f>
        <v>533.36426899999992</v>
      </c>
      <c r="H25" s="11">
        <v>0.52800000000000002</v>
      </c>
      <c r="I25" s="12">
        <f>Hotel!B30</f>
        <v>104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580</v>
      </c>
      <c r="F15" s="4">
        <f>Hotel!R20</f>
        <v>1860</v>
      </c>
      <c r="G15" s="4">
        <f>Hotel!S20</f>
        <v>3750</v>
      </c>
      <c r="H15" s="4">
        <f>Hotel!T20</f>
        <v>1490</v>
      </c>
      <c r="I15" s="4">
        <f>Hotel!U20</f>
        <v>5220</v>
      </c>
      <c r="J15" s="4">
        <f>Hotel!V20</f>
        <v>3560</v>
      </c>
      <c r="K15" s="4">
        <f>Hotel!W20</f>
        <v>3270</v>
      </c>
      <c r="L15" s="4">
        <f>Hotel!X20</f>
        <v>4540</v>
      </c>
      <c r="M15" s="4">
        <f>Hotel!Y20</f>
        <v>5450</v>
      </c>
      <c r="N15" s="4">
        <f>Hotel!Z20</f>
        <v>2510</v>
      </c>
      <c r="O15" s="4">
        <f>Hotel!AA20</f>
        <v>2910</v>
      </c>
      <c r="P15" s="4">
        <f>Hotel!AB20</f>
        <v>7690</v>
      </c>
      <c r="Q15" s="4">
        <f>Hotel!AC20</f>
        <v>10680</v>
      </c>
      <c r="R15" s="4">
        <f>Hotel!AV20*0.00378541*100</f>
        <v>519.35825199999999</v>
      </c>
      <c r="S15" s="4">
        <f>Hotel!B20</f>
        <v>123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580</v>
      </c>
      <c r="F16" s="4">
        <f>Hotel!R21</f>
        <v>1840</v>
      </c>
      <c r="G16" s="4">
        <f>Hotel!S21</f>
        <v>3450</v>
      </c>
      <c r="H16" s="4">
        <f>Hotel!T21</f>
        <v>1450</v>
      </c>
      <c r="I16" s="4">
        <f>Hotel!U21</f>
        <v>5190</v>
      </c>
      <c r="J16" s="4">
        <f>Hotel!V21</f>
        <v>3560</v>
      </c>
      <c r="K16" s="4">
        <f>Hotel!W21</f>
        <v>3340</v>
      </c>
      <c r="L16" s="4">
        <f>Hotel!X21</f>
        <v>4650</v>
      </c>
      <c r="M16" s="4">
        <f>Hotel!Y21</f>
        <v>5400</v>
      </c>
      <c r="N16" s="4">
        <f>Hotel!Z21</f>
        <v>2400</v>
      </c>
      <c r="O16" s="4">
        <f>Hotel!AA21</f>
        <v>2830</v>
      </c>
      <c r="P16" s="4">
        <f>Hotel!AB21</f>
        <v>7530</v>
      </c>
      <c r="Q16" s="4">
        <f>Hotel!AC21</f>
        <v>10400</v>
      </c>
      <c r="R16" s="4">
        <f>Hotel!AV21*0.00378541*100</f>
        <v>599.60894399999995</v>
      </c>
      <c r="S16" s="4">
        <f>Hotel!B21</f>
        <v>123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7130</v>
      </c>
      <c r="F17" s="4">
        <f>Hotel!R22</f>
        <v>3150</v>
      </c>
      <c r="G17" s="4">
        <f>Hotel!S22</f>
        <v>3580</v>
      </c>
      <c r="H17" s="4">
        <f>Hotel!T22</f>
        <v>1590</v>
      </c>
      <c r="I17" s="4">
        <f>Hotel!U22</f>
        <v>5470</v>
      </c>
      <c r="J17" s="4">
        <f>Hotel!V22</f>
        <v>3750</v>
      </c>
      <c r="K17" s="4">
        <f>Hotel!W22</f>
        <v>3260</v>
      </c>
      <c r="L17" s="4">
        <f>Hotel!X22</f>
        <v>4660</v>
      </c>
      <c r="M17" s="4">
        <f>Hotel!Y22</f>
        <v>5620</v>
      </c>
      <c r="N17" s="4">
        <f>Hotel!Z22</f>
        <v>2520</v>
      </c>
      <c r="O17" s="4">
        <f>Hotel!AA22</f>
        <v>3000</v>
      </c>
      <c r="P17" s="4">
        <f>Hotel!AB22</f>
        <v>7760</v>
      </c>
      <c r="Q17" s="4">
        <f>Hotel!AC22</f>
        <v>11610</v>
      </c>
      <c r="R17" s="4">
        <f>Hotel!AV22*0.00378541*100</f>
        <v>670.77465199999995</v>
      </c>
      <c r="S17" s="4">
        <f>Hotel!B22</f>
        <v>120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6420</v>
      </c>
      <c r="F18" s="4">
        <f>Hotel!R23</f>
        <v>3050</v>
      </c>
      <c r="G18" s="4">
        <f>Hotel!S23</f>
        <v>3430</v>
      </c>
      <c r="H18" s="4">
        <f>Hotel!T23</f>
        <v>1530</v>
      </c>
      <c r="I18" s="4">
        <f>Hotel!U23</f>
        <v>5440</v>
      </c>
      <c r="J18" s="4">
        <f>Hotel!V23</f>
        <v>3890</v>
      </c>
      <c r="K18" s="4">
        <f>Hotel!W23</f>
        <v>3250</v>
      </c>
      <c r="L18" s="4">
        <f>Hotel!X23</f>
        <v>4740</v>
      </c>
      <c r="M18" s="4">
        <f>Hotel!Y23</f>
        <v>5530</v>
      </c>
      <c r="N18" s="4">
        <f>Hotel!Z23</f>
        <v>2570</v>
      </c>
      <c r="O18" s="4">
        <f>Hotel!AA23</f>
        <v>3050</v>
      </c>
      <c r="P18" s="4">
        <f>Hotel!AB23</f>
        <v>7470</v>
      </c>
      <c r="Q18" s="4">
        <f>Hotel!AC23</f>
        <v>8770</v>
      </c>
      <c r="R18" s="4">
        <f>Hotel!AV23*0.00378541*100</f>
        <v>678.72401300000001</v>
      </c>
      <c r="S18" s="4">
        <f>Hotel!B23</f>
        <v>127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560</v>
      </c>
      <c r="F19" s="4">
        <f>Hotel!R24</f>
        <v>1790</v>
      </c>
      <c r="G19" s="4">
        <f>Hotel!S24</f>
        <v>3740</v>
      </c>
      <c r="H19" s="4">
        <f>Hotel!T24</f>
        <v>1410</v>
      </c>
      <c r="I19" s="4">
        <f>Hotel!U24</f>
        <v>5310</v>
      </c>
      <c r="J19" s="4">
        <f>Hotel!V24</f>
        <v>3800</v>
      </c>
      <c r="K19" s="4">
        <f>Hotel!W24</f>
        <v>3250</v>
      </c>
      <c r="L19" s="4">
        <f>Hotel!X24</f>
        <v>4670</v>
      </c>
      <c r="M19" s="4">
        <f>Hotel!Y24</f>
        <v>5690</v>
      </c>
      <c r="N19" s="4">
        <f>Hotel!Z24</f>
        <v>2550</v>
      </c>
      <c r="O19" s="4">
        <f>Hotel!AA24</f>
        <v>3300</v>
      </c>
      <c r="P19" s="4">
        <f>Hotel!AB24</f>
        <v>7370</v>
      </c>
      <c r="Q19" s="4">
        <f>Hotel!AC24</f>
        <v>12240</v>
      </c>
      <c r="R19" s="4">
        <f>Hotel!AV24*0.00378541*100</f>
        <v>823.70521599999995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580</v>
      </c>
      <c r="F20" s="4">
        <f>Hotel!R25</f>
        <v>1850</v>
      </c>
      <c r="G20" s="4">
        <f>Hotel!S25</f>
        <v>3380</v>
      </c>
      <c r="H20" s="4">
        <f>Hotel!T25</f>
        <v>1460</v>
      </c>
      <c r="I20" s="4">
        <f>Hotel!U25</f>
        <v>5850</v>
      </c>
      <c r="J20" s="4">
        <f>Hotel!V25</f>
        <v>4230</v>
      </c>
      <c r="K20" s="4">
        <f>Hotel!W25</f>
        <v>3080</v>
      </c>
      <c r="L20" s="4">
        <f>Hotel!X25</f>
        <v>4840</v>
      </c>
      <c r="M20" s="4">
        <f>Hotel!Y25</f>
        <v>5720</v>
      </c>
      <c r="N20" s="4">
        <f>Hotel!Z25</f>
        <v>2610</v>
      </c>
      <c r="O20" s="4">
        <f>Hotel!AA25</f>
        <v>3330</v>
      </c>
      <c r="P20" s="4">
        <f>Hotel!AB25</f>
        <v>7560</v>
      </c>
      <c r="Q20" s="4">
        <f>Hotel!AC25</f>
        <v>13250</v>
      </c>
      <c r="R20" s="4">
        <f>Hotel!AV25*0.00378541*100</f>
        <v>553.0484009999999</v>
      </c>
      <c r="S20" s="4">
        <f>Hotel!B25</f>
        <v>104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580</v>
      </c>
      <c r="F21" s="4">
        <f>Hotel!R26</f>
        <v>1820</v>
      </c>
      <c r="G21" s="4">
        <f>Hotel!S26</f>
        <v>3170</v>
      </c>
      <c r="H21" s="4">
        <f>Hotel!T26</f>
        <v>1420</v>
      </c>
      <c r="I21" s="4">
        <f>Hotel!U26</f>
        <v>5230</v>
      </c>
      <c r="J21" s="4">
        <f>Hotel!V26</f>
        <v>4030</v>
      </c>
      <c r="K21" s="4">
        <f>Hotel!W26</f>
        <v>2880</v>
      </c>
      <c r="L21" s="4">
        <f>Hotel!X26</f>
        <v>4500</v>
      </c>
      <c r="M21" s="4">
        <f>Hotel!Y26</f>
        <v>5320</v>
      </c>
      <c r="N21" s="4">
        <f>Hotel!Z26</f>
        <v>2400</v>
      </c>
      <c r="O21" s="4">
        <f>Hotel!AA26</f>
        <v>3060</v>
      </c>
      <c r="P21" s="4">
        <f>Hotel!AB26</f>
        <v>7530</v>
      </c>
      <c r="Q21" s="4">
        <f>Hotel!AC26</f>
        <v>14230</v>
      </c>
      <c r="R21" s="4">
        <f>Hotel!AV26*0.00378541*100</f>
        <v>573.868156</v>
      </c>
      <c r="S21" s="4">
        <f>Hotel!B26</f>
        <v>91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600</v>
      </c>
      <c r="F22" s="4">
        <f>Hotel!R27</f>
        <v>1910</v>
      </c>
      <c r="G22" s="4">
        <f>Hotel!S27</f>
        <v>3450</v>
      </c>
      <c r="H22" s="4">
        <f>Hotel!T27</f>
        <v>1490</v>
      </c>
      <c r="I22" s="4">
        <f>Hotel!U27</f>
        <v>5270</v>
      </c>
      <c r="J22" s="4">
        <f>Hotel!V27</f>
        <v>4340</v>
      </c>
      <c r="K22" s="4">
        <f>Hotel!W27</f>
        <v>3120</v>
      </c>
      <c r="L22" s="4">
        <f>Hotel!X27</f>
        <v>5040</v>
      </c>
      <c r="M22" s="4">
        <f>Hotel!Y27</f>
        <v>5560</v>
      </c>
      <c r="N22" s="4">
        <f>Hotel!Z27</f>
        <v>2510</v>
      </c>
      <c r="O22" s="4">
        <f>Hotel!AA27</f>
        <v>3000</v>
      </c>
      <c r="P22" s="4">
        <f>Hotel!AB27</f>
        <v>8020</v>
      </c>
      <c r="Q22" s="4">
        <f>Hotel!AC27</f>
        <v>12820</v>
      </c>
      <c r="R22" s="4">
        <f>Hotel!AV27*0.00378541*100</f>
        <v>559.10505699999999</v>
      </c>
      <c r="S22" s="4">
        <f>Hotel!B27</f>
        <v>108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550</v>
      </c>
      <c r="F23" s="4">
        <f>Hotel!R28</f>
        <v>1780</v>
      </c>
      <c r="G23" s="4">
        <f>Hotel!S28</f>
        <v>3180</v>
      </c>
      <c r="H23" s="4">
        <f>Hotel!T28</f>
        <v>1400</v>
      </c>
      <c r="I23" s="4">
        <f>Hotel!U28</f>
        <v>5210</v>
      </c>
      <c r="J23" s="4">
        <f>Hotel!V28</f>
        <v>3970</v>
      </c>
      <c r="K23" s="4">
        <f>Hotel!W28</f>
        <v>3280</v>
      </c>
      <c r="L23" s="4">
        <f>Hotel!X28</f>
        <v>4530</v>
      </c>
      <c r="M23" s="4">
        <f>Hotel!Y28</f>
        <v>5260</v>
      </c>
      <c r="N23" s="4">
        <f>Hotel!Z28</f>
        <v>2430</v>
      </c>
      <c r="O23" s="4">
        <f>Hotel!AA28</f>
        <v>3120</v>
      </c>
      <c r="P23" s="4">
        <f>Hotel!AB28</f>
        <v>7410</v>
      </c>
      <c r="Q23" s="4">
        <f>Hotel!AC28</f>
        <v>11000</v>
      </c>
      <c r="R23" s="4">
        <f>Hotel!AV28*0.00378541*100</f>
        <v>478.85436500000003</v>
      </c>
      <c r="S23" s="4">
        <f>Hotel!B28</f>
        <v>117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580</v>
      </c>
      <c r="F24" s="4">
        <f>Hotel!R29</f>
        <v>1860</v>
      </c>
      <c r="G24" s="4">
        <f>Hotel!S29</f>
        <v>3320</v>
      </c>
      <c r="H24" s="4">
        <f>Hotel!T29</f>
        <v>1450</v>
      </c>
      <c r="I24" s="4">
        <f>Hotel!U29</f>
        <v>5600</v>
      </c>
      <c r="J24" s="4">
        <f>Hotel!V29</f>
        <v>4100</v>
      </c>
      <c r="K24" s="4">
        <f>Hotel!W29</f>
        <v>3250</v>
      </c>
      <c r="L24" s="4">
        <f>Hotel!X29</f>
        <v>4770</v>
      </c>
      <c r="M24" s="4">
        <f>Hotel!Y29</f>
        <v>5610</v>
      </c>
      <c r="N24" s="4">
        <f>Hotel!Z29</f>
        <v>2510</v>
      </c>
      <c r="O24" s="4">
        <f>Hotel!AA29</f>
        <v>3090</v>
      </c>
      <c r="P24" s="4">
        <f>Hotel!AB29</f>
        <v>7800</v>
      </c>
      <c r="Q24" s="4">
        <f>Hotel!AC29</f>
        <v>10870</v>
      </c>
      <c r="R24" s="4">
        <f>Hotel!AV29*0.00378541*100</f>
        <v>488.31788999999998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580</v>
      </c>
      <c r="F25" s="4">
        <f>Hotel!R30</f>
        <v>1840</v>
      </c>
      <c r="G25" s="4">
        <f>Hotel!S30</f>
        <v>3570</v>
      </c>
      <c r="H25" s="4">
        <f>Hotel!T30</f>
        <v>1460</v>
      </c>
      <c r="I25" s="4">
        <f>Hotel!U30</f>
        <v>5430</v>
      </c>
      <c r="J25" s="4">
        <f>Hotel!V30</f>
        <v>4070</v>
      </c>
      <c r="K25" s="4">
        <f>Hotel!W30</f>
        <v>3710</v>
      </c>
      <c r="L25" s="4">
        <f>Hotel!X30</f>
        <v>4530</v>
      </c>
      <c r="M25" s="4">
        <f>Hotel!Y30</f>
        <v>5620</v>
      </c>
      <c r="N25" s="4">
        <f>Hotel!Z30</f>
        <v>2440</v>
      </c>
      <c r="O25" s="4">
        <f>Hotel!AA30</f>
        <v>2930</v>
      </c>
      <c r="P25" s="4">
        <f>Hotel!AB30</f>
        <v>7810</v>
      </c>
      <c r="Q25" s="4">
        <f>Hotel!AC30</f>
        <v>10540</v>
      </c>
      <c r="R25" s="4">
        <f>Hotel!AV30*0.00378541*100</f>
        <v>533.36426899999992</v>
      </c>
      <c r="S25" s="4">
        <f>Hotel!B30</f>
        <v>104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>
        <v>123</v>
      </c>
      <c r="C20" s="52">
        <v>8614920</v>
      </c>
      <c r="D20" s="52">
        <v>20983800</v>
      </c>
      <c r="E20" s="52">
        <v>3777100</v>
      </c>
      <c r="F20" s="52">
        <v>4350040</v>
      </c>
      <c r="G20" s="52">
        <v>12822150</v>
      </c>
      <c r="H20" s="52">
        <v>7590180</v>
      </c>
      <c r="I20" s="52">
        <v>6578860</v>
      </c>
      <c r="J20" s="52">
        <v>8194120</v>
      </c>
      <c r="K20" s="52">
        <v>11906090</v>
      </c>
      <c r="L20" s="52">
        <v>5195870</v>
      </c>
      <c r="M20" s="52">
        <v>9514260</v>
      </c>
      <c r="N20" s="52">
        <v>15779770</v>
      </c>
      <c r="O20" s="52">
        <v>22073390</v>
      </c>
      <c r="Q20" s="37">
        <f t="shared" si="17"/>
        <v>580</v>
      </c>
      <c r="R20" s="37">
        <f t="shared" si="18"/>
        <v>1860</v>
      </c>
      <c r="S20" s="37">
        <f t="shared" si="16"/>
        <v>3750</v>
      </c>
      <c r="T20" s="37">
        <f t="shared" si="19"/>
        <v>1490</v>
      </c>
      <c r="U20" s="37">
        <f t="shared" si="20"/>
        <v>5220</v>
      </c>
      <c r="V20" s="37">
        <f t="shared" si="21"/>
        <v>3560</v>
      </c>
      <c r="W20" s="37">
        <f t="shared" si="22"/>
        <v>3270</v>
      </c>
      <c r="X20" s="37">
        <f t="shared" si="23"/>
        <v>4540</v>
      </c>
      <c r="Y20" s="37">
        <f t="shared" si="24"/>
        <v>5450</v>
      </c>
      <c r="Z20" s="37">
        <f t="shared" si="25"/>
        <v>2510</v>
      </c>
      <c r="AA20" s="37">
        <f t="shared" si="26"/>
        <v>2910</v>
      </c>
      <c r="AB20" s="37">
        <f t="shared" si="27"/>
        <v>7690</v>
      </c>
      <c r="AC20" s="37">
        <f t="shared" si="28"/>
        <v>10680</v>
      </c>
      <c r="AD20" s="35">
        <f t="shared" si="29"/>
        <v>53510</v>
      </c>
      <c r="AF20" s="20">
        <f t="shared" si="1"/>
        <v>2.9</v>
      </c>
      <c r="AG20" s="20">
        <f t="shared" si="2"/>
        <v>9.3000000000000007</v>
      </c>
      <c r="AH20" s="20">
        <f t="shared" si="3"/>
        <v>18.75</v>
      </c>
      <c r="AI20" s="20">
        <f t="shared" si="4"/>
        <v>7.45</v>
      </c>
      <c r="AJ20" s="20">
        <f t="shared" si="5"/>
        <v>26.1</v>
      </c>
      <c r="AK20" s="20">
        <f t="shared" si="6"/>
        <v>17.8</v>
      </c>
      <c r="AL20" s="20">
        <f t="shared" si="7"/>
        <v>16.350000000000001</v>
      </c>
      <c r="AM20" s="20">
        <f t="shared" si="8"/>
        <v>22.7</v>
      </c>
      <c r="AN20" s="20">
        <f t="shared" si="9"/>
        <v>27.25</v>
      </c>
      <c r="AO20" s="20">
        <f t="shared" si="10"/>
        <v>12.55</v>
      </c>
      <c r="AP20" s="20">
        <f t="shared" si="11"/>
        <v>14.55</v>
      </c>
      <c r="AQ20" s="20">
        <f t="shared" si="12"/>
        <v>38.450000000000003</v>
      </c>
      <c r="AR20" s="20">
        <f t="shared" si="13"/>
        <v>53.4</v>
      </c>
      <c r="AS20" s="35">
        <f t="shared" si="30"/>
        <v>267.55</v>
      </c>
      <c r="AU20" s="55">
        <v>320613</v>
      </c>
      <c r="AV20" s="37">
        <f t="shared" si="31"/>
        <v>1372</v>
      </c>
      <c r="AW20" s="37">
        <f>AV20*100*AV44</f>
        <v>519.35825199999999</v>
      </c>
      <c r="AX20" s="35">
        <f t="shared" si="14"/>
        <v>2.7440000000000002</v>
      </c>
    </row>
    <row r="21" spans="1:50" x14ac:dyDescent="0.25">
      <c r="A21" s="23">
        <v>44880</v>
      </c>
      <c r="B21" s="40">
        <v>123</v>
      </c>
      <c r="C21" s="51">
        <v>8615500</v>
      </c>
      <c r="D21" s="51">
        <v>20985640</v>
      </c>
      <c r="E21" s="51">
        <v>3780550</v>
      </c>
      <c r="F21" s="51">
        <v>4351490</v>
      </c>
      <c r="G21" s="51">
        <v>12827340</v>
      </c>
      <c r="H21" s="51">
        <v>7593740</v>
      </c>
      <c r="I21" s="51">
        <v>6582200</v>
      </c>
      <c r="J21" s="51">
        <v>8198770</v>
      </c>
      <c r="K21" s="51">
        <v>11911490</v>
      </c>
      <c r="L21" s="51">
        <v>5198270</v>
      </c>
      <c r="M21" s="51">
        <v>9517090</v>
      </c>
      <c r="N21" s="51">
        <v>15787300</v>
      </c>
      <c r="O21" s="51">
        <v>22083790</v>
      </c>
      <c r="Q21" s="37">
        <f t="shared" si="17"/>
        <v>580</v>
      </c>
      <c r="R21" s="37">
        <f t="shared" si="18"/>
        <v>1840</v>
      </c>
      <c r="S21" s="37">
        <f t="shared" si="16"/>
        <v>3450</v>
      </c>
      <c r="T21" s="37">
        <f t="shared" si="19"/>
        <v>1450</v>
      </c>
      <c r="U21" s="37">
        <f t="shared" si="20"/>
        <v>5190</v>
      </c>
      <c r="V21" s="37">
        <f t="shared" si="21"/>
        <v>3560</v>
      </c>
      <c r="W21" s="37">
        <f t="shared" si="22"/>
        <v>3340</v>
      </c>
      <c r="X21" s="37">
        <f t="shared" si="23"/>
        <v>4650</v>
      </c>
      <c r="Y21" s="37">
        <f t="shared" si="24"/>
        <v>5400</v>
      </c>
      <c r="Z21" s="37">
        <f t="shared" si="25"/>
        <v>2400</v>
      </c>
      <c r="AA21" s="37">
        <f t="shared" si="26"/>
        <v>2830</v>
      </c>
      <c r="AB21" s="37">
        <f t="shared" si="27"/>
        <v>7530</v>
      </c>
      <c r="AC21" s="37">
        <f t="shared" si="28"/>
        <v>10400</v>
      </c>
      <c r="AD21" s="35">
        <f t="shared" si="29"/>
        <v>52620</v>
      </c>
      <c r="AF21" s="20">
        <f t="shared" si="1"/>
        <v>2.9</v>
      </c>
      <c r="AG21" s="20">
        <f t="shared" si="2"/>
        <v>9.2000000000000011</v>
      </c>
      <c r="AH21" s="20">
        <f t="shared" si="3"/>
        <v>17.25</v>
      </c>
      <c r="AI21" s="20">
        <f t="shared" si="4"/>
        <v>7.25</v>
      </c>
      <c r="AJ21" s="20">
        <f t="shared" si="5"/>
        <v>25.95</v>
      </c>
      <c r="AK21" s="20">
        <f t="shared" si="6"/>
        <v>17.8</v>
      </c>
      <c r="AL21" s="20">
        <f t="shared" si="7"/>
        <v>16.7</v>
      </c>
      <c r="AM21" s="20">
        <f t="shared" si="8"/>
        <v>23.25</v>
      </c>
      <c r="AN21" s="20">
        <f t="shared" si="9"/>
        <v>27</v>
      </c>
      <c r="AO21" s="20">
        <f t="shared" si="10"/>
        <v>12</v>
      </c>
      <c r="AP21" s="20">
        <f t="shared" si="11"/>
        <v>14.15</v>
      </c>
      <c r="AQ21" s="20">
        <f t="shared" si="12"/>
        <v>37.65</v>
      </c>
      <c r="AR21" s="20">
        <f t="shared" si="13"/>
        <v>52</v>
      </c>
      <c r="AS21" s="35">
        <f t="shared" si="30"/>
        <v>263.10000000000002</v>
      </c>
      <c r="AU21" s="54">
        <v>322197</v>
      </c>
      <c r="AV21" s="37">
        <f>IF((AU21-AU20&lt;0),"0",AU21-AU20)</f>
        <v>1584</v>
      </c>
      <c r="AW21" s="37">
        <f>AV21*100*AV44</f>
        <v>599.60894399999995</v>
      </c>
      <c r="AX21" s="35">
        <f t="shared" si="14"/>
        <v>3.1680000000000001</v>
      </c>
    </row>
    <row r="22" spans="1:50" x14ac:dyDescent="0.25">
      <c r="A22" s="23">
        <v>44881</v>
      </c>
      <c r="B22" s="40">
        <v>120</v>
      </c>
      <c r="C22" s="52">
        <v>8622630</v>
      </c>
      <c r="D22" s="52">
        <v>20988790</v>
      </c>
      <c r="E22" s="52">
        <v>3784130</v>
      </c>
      <c r="F22" s="52">
        <v>4353080</v>
      </c>
      <c r="G22" s="52">
        <v>12832810</v>
      </c>
      <c r="H22" s="52">
        <v>7597490</v>
      </c>
      <c r="I22" s="52">
        <v>6585460</v>
      </c>
      <c r="J22" s="52">
        <v>8203430</v>
      </c>
      <c r="K22" s="52">
        <v>11917110</v>
      </c>
      <c r="L22" s="52">
        <v>5200790</v>
      </c>
      <c r="M22" s="52">
        <v>9520090</v>
      </c>
      <c r="N22" s="52">
        <v>15795060</v>
      </c>
      <c r="O22" s="52">
        <v>22095400</v>
      </c>
      <c r="Q22" s="37">
        <f t="shared" si="17"/>
        <v>7130</v>
      </c>
      <c r="R22" s="37">
        <f t="shared" si="18"/>
        <v>3150</v>
      </c>
      <c r="S22" s="37">
        <f t="shared" si="16"/>
        <v>3580</v>
      </c>
      <c r="T22" s="37">
        <f t="shared" si="19"/>
        <v>1590</v>
      </c>
      <c r="U22" s="37">
        <f t="shared" si="20"/>
        <v>5470</v>
      </c>
      <c r="V22" s="37">
        <f t="shared" si="21"/>
        <v>3750</v>
      </c>
      <c r="W22" s="37">
        <f t="shared" si="22"/>
        <v>3260</v>
      </c>
      <c r="X22" s="37">
        <f t="shared" si="23"/>
        <v>4660</v>
      </c>
      <c r="Y22" s="37">
        <f t="shared" si="24"/>
        <v>5620</v>
      </c>
      <c r="Z22" s="37">
        <f t="shared" si="25"/>
        <v>2520</v>
      </c>
      <c r="AA22" s="37">
        <f t="shared" si="26"/>
        <v>3000</v>
      </c>
      <c r="AB22" s="37">
        <f t="shared" si="27"/>
        <v>7760</v>
      </c>
      <c r="AC22" s="37">
        <f t="shared" si="28"/>
        <v>11610</v>
      </c>
      <c r="AD22" s="35">
        <f t="shared" si="29"/>
        <v>63100</v>
      </c>
      <c r="AF22" s="20">
        <f t="shared" si="1"/>
        <v>35.65</v>
      </c>
      <c r="AG22" s="20">
        <f t="shared" si="2"/>
        <v>15.75</v>
      </c>
      <c r="AH22" s="20">
        <f t="shared" si="3"/>
        <v>17.900000000000002</v>
      </c>
      <c r="AI22" s="20">
        <f t="shared" si="4"/>
        <v>7.95</v>
      </c>
      <c r="AJ22" s="20">
        <f t="shared" si="5"/>
        <v>27.35</v>
      </c>
      <c r="AK22" s="20">
        <f t="shared" si="6"/>
        <v>18.75</v>
      </c>
      <c r="AL22" s="20">
        <f t="shared" si="7"/>
        <v>16.3</v>
      </c>
      <c r="AM22" s="20">
        <f t="shared" si="8"/>
        <v>23.3</v>
      </c>
      <c r="AN22" s="20">
        <f t="shared" si="9"/>
        <v>28.1</v>
      </c>
      <c r="AO22" s="20">
        <f t="shared" si="10"/>
        <v>12.6</v>
      </c>
      <c r="AP22" s="20">
        <f t="shared" si="11"/>
        <v>15</v>
      </c>
      <c r="AQ22" s="20">
        <f t="shared" si="12"/>
        <v>38.800000000000004</v>
      </c>
      <c r="AR22" s="20">
        <f t="shared" si="13"/>
        <v>58.050000000000004</v>
      </c>
      <c r="AS22" s="35">
        <f t="shared" si="30"/>
        <v>315.5</v>
      </c>
      <c r="AU22" s="55">
        <v>323969</v>
      </c>
      <c r="AV22" s="37">
        <f>IF((AU22-AU21&lt;0),"0",AU22-AU21)</f>
        <v>1772</v>
      </c>
      <c r="AW22" s="37">
        <f>AV22*100*AV44</f>
        <v>670.77465199999995</v>
      </c>
      <c r="AX22" s="35">
        <f t="shared" si="14"/>
        <v>3.544</v>
      </c>
    </row>
    <row r="23" spans="1:50" x14ac:dyDescent="0.25">
      <c r="A23" s="23">
        <v>44882</v>
      </c>
      <c r="B23" s="40">
        <v>127</v>
      </c>
      <c r="C23" s="24">
        <v>8629050</v>
      </c>
      <c r="D23" s="24">
        <v>20991840</v>
      </c>
      <c r="E23" s="24">
        <v>3787560</v>
      </c>
      <c r="F23" s="24">
        <v>4354610</v>
      </c>
      <c r="G23" s="24">
        <v>12838250</v>
      </c>
      <c r="H23" s="24">
        <v>7601380</v>
      </c>
      <c r="I23" s="24">
        <v>6588710</v>
      </c>
      <c r="J23" s="24">
        <v>8208170</v>
      </c>
      <c r="K23" s="24">
        <v>11922640</v>
      </c>
      <c r="L23" s="24">
        <v>5203360</v>
      </c>
      <c r="M23" s="24">
        <v>9523140</v>
      </c>
      <c r="N23" s="24">
        <v>15802530</v>
      </c>
      <c r="O23" s="24">
        <v>22104170</v>
      </c>
      <c r="Q23" s="37">
        <f t="shared" si="17"/>
        <v>6420</v>
      </c>
      <c r="R23" s="37">
        <f t="shared" si="18"/>
        <v>3050</v>
      </c>
      <c r="S23" s="37">
        <f t="shared" si="16"/>
        <v>3430</v>
      </c>
      <c r="T23" s="37">
        <f t="shared" si="19"/>
        <v>1530</v>
      </c>
      <c r="U23" s="37">
        <f t="shared" si="20"/>
        <v>5440</v>
      </c>
      <c r="V23" s="37">
        <f t="shared" si="21"/>
        <v>3890</v>
      </c>
      <c r="W23" s="37">
        <f t="shared" si="22"/>
        <v>3250</v>
      </c>
      <c r="X23" s="37">
        <f t="shared" si="23"/>
        <v>4740</v>
      </c>
      <c r="Y23" s="37">
        <f t="shared" si="24"/>
        <v>5530</v>
      </c>
      <c r="Z23" s="37">
        <f t="shared" si="25"/>
        <v>2570</v>
      </c>
      <c r="AA23" s="37">
        <f t="shared" si="26"/>
        <v>3050</v>
      </c>
      <c r="AB23" s="37">
        <f t="shared" si="27"/>
        <v>7470</v>
      </c>
      <c r="AC23" s="37">
        <f t="shared" si="28"/>
        <v>8770</v>
      </c>
      <c r="AD23" s="35">
        <f t="shared" si="29"/>
        <v>59140</v>
      </c>
      <c r="AF23" s="20">
        <f t="shared" si="1"/>
        <v>32.1</v>
      </c>
      <c r="AG23" s="20">
        <f t="shared" si="2"/>
        <v>15.25</v>
      </c>
      <c r="AH23" s="20">
        <f t="shared" si="3"/>
        <v>17.150000000000002</v>
      </c>
      <c r="AI23" s="20">
        <f t="shared" si="4"/>
        <v>7.65</v>
      </c>
      <c r="AJ23" s="20">
        <f t="shared" si="5"/>
        <v>27.2</v>
      </c>
      <c r="AK23" s="20">
        <f t="shared" si="6"/>
        <v>19.45</v>
      </c>
      <c r="AL23" s="20">
        <f t="shared" si="7"/>
        <v>16.25</v>
      </c>
      <c r="AM23" s="20">
        <f t="shared" si="8"/>
        <v>23.7</v>
      </c>
      <c r="AN23" s="20">
        <f t="shared" si="9"/>
        <v>27.650000000000002</v>
      </c>
      <c r="AO23" s="20">
        <f t="shared" si="10"/>
        <v>12.85</v>
      </c>
      <c r="AP23" s="20">
        <f t="shared" si="11"/>
        <v>15.25</v>
      </c>
      <c r="AQ23" s="20">
        <f t="shared" si="12"/>
        <v>37.35</v>
      </c>
      <c r="AR23" s="20">
        <f t="shared" si="13"/>
        <v>43.85</v>
      </c>
      <c r="AS23" s="35">
        <f t="shared" si="30"/>
        <v>295.7</v>
      </c>
      <c r="AU23" s="53">
        <v>325762</v>
      </c>
      <c r="AV23" s="37">
        <f t="shared" si="31"/>
        <v>1793</v>
      </c>
      <c r="AW23" s="37">
        <f>AV23*100*AV44</f>
        <v>678.72401300000001</v>
      </c>
      <c r="AX23" s="35">
        <f t="shared" si="14"/>
        <v>3.5859999999999999</v>
      </c>
    </row>
    <row r="24" spans="1:50" x14ac:dyDescent="0.25">
      <c r="A24" s="23">
        <v>44883</v>
      </c>
      <c r="B24" s="40">
        <v>153</v>
      </c>
      <c r="C24" s="52">
        <v>8629610</v>
      </c>
      <c r="D24" s="52">
        <v>20993630</v>
      </c>
      <c r="E24" s="52">
        <v>3791300</v>
      </c>
      <c r="F24" s="52">
        <v>4356020</v>
      </c>
      <c r="G24" s="52">
        <v>12843560</v>
      </c>
      <c r="H24" s="52">
        <v>7605180</v>
      </c>
      <c r="I24" s="52">
        <v>6591960</v>
      </c>
      <c r="J24" s="52">
        <v>8212840</v>
      </c>
      <c r="K24" s="52">
        <v>11928330</v>
      </c>
      <c r="L24" s="52">
        <v>5205910</v>
      </c>
      <c r="M24" s="52">
        <v>9526440</v>
      </c>
      <c r="N24" s="52">
        <v>15809900</v>
      </c>
      <c r="O24" s="52">
        <v>22116410</v>
      </c>
      <c r="Q24" s="37">
        <f t="shared" si="17"/>
        <v>560</v>
      </c>
      <c r="R24" s="37">
        <f t="shared" si="18"/>
        <v>1790</v>
      </c>
      <c r="S24" s="37">
        <f t="shared" si="16"/>
        <v>3740</v>
      </c>
      <c r="T24" s="37">
        <f t="shared" si="19"/>
        <v>1410</v>
      </c>
      <c r="U24" s="37">
        <f t="shared" si="20"/>
        <v>5310</v>
      </c>
      <c r="V24" s="37">
        <f t="shared" si="21"/>
        <v>3800</v>
      </c>
      <c r="W24" s="37">
        <f t="shared" si="22"/>
        <v>3250</v>
      </c>
      <c r="X24" s="37">
        <f t="shared" si="23"/>
        <v>4670</v>
      </c>
      <c r="Y24" s="37">
        <f t="shared" si="24"/>
        <v>5690</v>
      </c>
      <c r="Z24" s="37">
        <f t="shared" si="25"/>
        <v>2550</v>
      </c>
      <c r="AA24" s="37">
        <f t="shared" si="26"/>
        <v>3300</v>
      </c>
      <c r="AB24" s="37">
        <f t="shared" si="27"/>
        <v>7370</v>
      </c>
      <c r="AC24" s="37">
        <f t="shared" si="28"/>
        <v>12240</v>
      </c>
      <c r="AD24" s="35">
        <f t="shared" si="29"/>
        <v>55680</v>
      </c>
      <c r="AF24" s="20">
        <f t="shared" si="1"/>
        <v>2.8000000000000003</v>
      </c>
      <c r="AG24" s="20">
        <f t="shared" si="2"/>
        <v>8.9500000000000011</v>
      </c>
      <c r="AH24" s="20">
        <f t="shared" si="3"/>
        <v>18.7</v>
      </c>
      <c r="AI24" s="20">
        <f t="shared" si="4"/>
        <v>7.05</v>
      </c>
      <c r="AJ24" s="20">
        <f t="shared" si="5"/>
        <v>26.55</v>
      </c>
      <c r="AK24" s="20">
        <f t="shared" si="6"/>
        <v>19</v>
      </c>
      <c r="AL24" s="20">
        <f t="shared" si="7"/>
        <v>16.25</v>
      </c>
      <c r="AM24" s="20">
        <f t="shared" si="8"/>
        <v>23.35</v>
      </c>
      <c r="AN24" s="20">
        <f t="shared" si="9"/>
        <v>28.45</v>
      </c>
      <c r="AO24" s="20">
        <f t="shared" si="10"/>
        <v>12.75</v>
      </c>
      <c r="AP24" s="20">
        <f t="shared" si="11"/>
        <v>16.5</v>
      </c>
      <c r="AQ24" s="20">
        <f t="shared" si="12"/>
        <v>36.85</v>
      </c>
      <c r="AR24" s="20">
        <f t="shared" si="13"/>
        <v>61.2</v>
      </c>
      <c r="AS24" s="35">
        <f t="shared" si="30"/>
        <v>278.39999999999998</v>
      </c>
      <c r="AU24" s="55">
        <v>327938</v>
      </c>
      <c r="AV24" s="37">
        <f t="shared" si="31"/>
        <v>2176</v>
      </c>
      <c r="AW24" s="37">
        <f>AV24*100*AV44</f>
        <v>823.70521599999995</v>
      </c>
      <c r="AX24" s="35">
        <f t="shared" si="14"/>
        <v>4.3520000000000003</v>
      </c>
    </row>
    <row r="25" spans="1:50" x14ac:dyDescent="0.25">
      <c r="A25" s="23">
        <v>44884</v>
      </c>
      <c r="B25" s="40">
        <v>104</v>
      </c>
      <c r="C25" s="24">
        <v>8630190</v>
      </c>
      <c r="D25" s="24">
        <v>20995480</v>
      </c>
      <c r="E25" s="24">
        <v>3794680</v>
      </c>
      <c r="F25" s="24">
        <v>4357480</v>
      </c>
      <c r="G25" s="24">
        <v>12849410</v>
      </c>
      <c r="H25" s="24">
        <v>7609410</v>
      </c>
      <c r="I25" s="24">
        <v>6595040</v>
      </c>
      <c r="J25" s="24">
        <v>8217680</v>
      </c>
      <c r="K25" s="24">
        <v>11934050</v>
      </c>
      <c r="L25" s="24">
        <v>5208520</v>
      </c>
      <c r="M25" s="24">
        <v>9529770</v>
      </c>
      <c r="N25" s="24">
        <v>15817460</v>
      </c>
      <c r="O25" s="24">
        <v>22129660</v>
      </c>
      <c r="Q25" s="37">
        <f t="shared" ref="Q25:AC27" si="33">IF((C25-C24&lt;0), "0",C25-C24)</f>
        <v>580</v>
      </c>
      <c r="R25" s="37">
        <f t="shared" si="18"/>
        <v>1850</v>
      </c>
      <c r="S25" s="37">
        <f t="shared" si="33"/>
        <v>3380</v>
      </c>
      <c r="T25" s="37">
        <f t="shared" si="33"/>
        <v>1460</v>
      </c>
      <c r="U25" s="37">
        <f t="shared" si="33"/>
        <v>5850</v>
      </c>
      <c r="V25" s="37">
        <f t="shared" si="33"/>
        <v>4230</v>
      </c>
      <c r="W25" s="37">
        <f t="shared" si="33"/>
        <v>3080</v>
      </c>
      <c r="X25" s="37">
        <f t="shared" si="33"/>
        <v>4840</v>
      </c>
      <c r="Y25" s="37">
        <f t="shared" si="33"/>
        <v>5720</v>
      </c>
      <c r="Z25" s="37">
        <f t="shared" si="33"/>
        <v>2610</v>
      </c>
      <c r="AA25" s="37">
        <f t="shared" si="33"/>
        <v>3330</v>
      </c>
      <c r="AB25" s="37">
        <f t="shared" si="33"/>
        <v>7560</v>
      </c>
      <c r="AC25" s="37">
        <f t="shared" si="33"/>
        <v>13250</v>
      </c>
      <c r="AD25" s="35">
        <f t="shared" si="29"/>
        <v>57740</v>
      </c>
      <c r="AF25" s="20">
        <f t="shared" si="1"/>
        <v>2.9</v>
      </c>
      <c r="AG25" s="20">
        <f t="shared" si="2"/>
        <v>9.25</v>
      </c>
      <c r="AH25" s="20">
        <f t="shared" si="3"/>
        <v>16.899999999999999</v>
      </c>
      <c r="AI25" s="20">
        <f t="shared" si="4"/>
        <v>7.3</v>
      </c>
      <c r="AJ25" s="20">
        <f t="shared" si="5"/>
        <v>29.25</v>
      </c>
      <c r="AK25" s="20">
        <f t="shared" si="6"/>
        <v>21.150000000000002</v>
      </c>
      <c r="AL25" s="20">
        <f t="shared" si="7"/>
        <v>15.4</v>
      </c>
      <c r="AM25" s="20">
        <f t="shared" si="8"/>
        <v>24.2</v>
      </c>
      <c r="AN25" s="20">
        <f t="shared" si="9"/>
        <v>28.6</v>
      </c>
      <c r="AO25" s="20">
        <f t="shared" si="10"/>
        <v>13.05</v>
      </c>
      <c r="AP25" s="20">
        <f t="shared" si="11"/>
        <v>16.649999999999999</v>
      </c>
      <c r="AQ25" s="20">
        <f t="shared" si="12"/>
        <v>37.800000000000004</v>
      </c>
      <c r="AR25" s="20">
        <f t="shared" si="13"/>
        <v>66.25</v>
      </c>
      <c r="AS25" s="35">
        <f t="shared" si="30"/>
        <v>288.70000000000005</v>
      </c>
      <c r="AU25" s="53">
        <v>329399</v>
      </c>
      <c r="AV25" s="37">
        <f t="shared" si="31"/>
        <v>1461</v>
      </c>
      <c r="AW25" s="37">
        <f>AV25*100*AV44</f>
        <v>553.04840100000001</v>
      </c>
      <c r="AX25" s="35">
        <f t="shared" si="14"/>
        <v>2.9220000000000002</v>
      </c>
    </row>
    <row r="26" spans="1:50" x14ac:dyDescent="0.25">
      <c r="A26" s="23">
        <v>44885</v>
      </c>
      <c r="B26" s="40">
        <v>91</v>
      </c>
      <c r="C26" s="52">
        <v>8630770</v>
      </c>
      <c r="D26" s="52">
        <v>20997300</v>
      </c>
      <c r="E26" s="52">
        <v>3797850</v>
      </c>
      <c r="F26" s="52">
        <v>4358900</v>
      </c>
      <c r="G26" s="52">
        <v>12854640</v>
      </c>
      <c r="H26" s="52">
        <v>7613440</v>
      </c>
      <c r="I26" s="52">
        <v>6597920</v>
      </c>
      <c r="J26" s="52">
        <v>8222180</v>
      </c>
      <c r="K26" s="52">
        <v>11939370</v>
      </c>
      <c r="L26" s="52">
        <v>5210920</v>
      </c>
      <c r="M26" s="52">
        <v>9532830</v>
      </c>
      <c r="N26" s="52">
        <v>15824990</v>
      </c>
      <c r="O26" s="52">
        <v>22143890</v>
      </c>
      <c r="Q26" s="37">
        <f t="shared" si="33"/>
        <v>580</v>
      </c>
      <c r="R26" s="37">
        <f t="shared" si="18"/>
        <v>1820</v>
      </c>
      <c r="S26" s="37">
        <f t="shared" si="33"/>
        <v>3170</v>
      </c>
      <c r="T26" s="37">
        <f t="shared" si="33"/>
        <v>1420</v>
      </c>
      <c r="U26" s="37">
        <f t="shared" si="33"/>
        <v>5230</v>
      </c>
      <c r="V26" s="37">
        <f t="shared" si="33"/>
        <v>4030</v>
      </c>
      <c r="W26" s="37">
        <f t="shared" si="33"/>
        <v>2880</v>
      </c>
      <c r="X26" s="37">
        <f t="shared" si="33"/>
        <v>4500</v>
      </c>
      <c r="Y26" s="37">
        <f t="shared" si="33"/>
        <v>5320</v>
      </c>
      <c r="Z26" s="37">
        <f t="shared" si="33"/>
        <v>2400</v>
      </c>
      <c r="AA26" s="37">
        <f t="shared" si="33"/>
        <v>3060</v>
      </c>
      <c r="AB26" s="37">
        <f t="shared" si="33"/>
        <v>7530</v>
      </c>
      <c r="AC26" s="37">
        <f t="shared" si="33"/>
        <v>14230</v>
      </c>
      <c r="AD26" s="35">
        <f t="shared" si="29"/>
        <v>56170</v>
      </c>
      <c r="AF26" s="20">
        <f t="shared" si="1"/>
        <v>2.9</v>
      </c>
      <c r="AG26" s="20">
        <f t="shared" si="2"/>
        <v>9.1</v>
      </c>
      <c r="AH26" s="20">
        <f t="shared" si="3"/>
        <v>15.85</v>
      </c>
      <c r="AI26" s="20">
        <f t="shared" si="4"/>
        <v>7.1000000000000005</v>
      </c>
      <c r="AJ26" s="20">
        <f t="shared" si="5"/>
        <v>26.150000000000002</v>
      </c>
      <c r="AK26" s="20">
        <f t="shared" si="6"/>
        <v>20.150000000000002</v>
      </c>
      <c r="AL26" s="20">
        <f t="shared" si="7"/>
        <v>14.4</v>
      </c>
      <c r="AM26" s="20">
        <f t="shared" si="8"/>
        <v>22.5</v>
      </c>
      <c r="AN26" s="20">
        <f t="shared" si="9"/>
        <v>26.6</v>
      </c>
      <c r="AO26" s="20">
        <f t="shared" si="10"/>
        <v>12</v>
      </c>
      <c r="AP26" s="20">
        <f t="shared" si="11"/>
        <v>15.3</v>
      </c>
      <c r="AQ26" s="20">
        <f t="shared" si="12"/>
        <v>37.65</v>
      </c>
      <c r="AR26" s="20">
        <f t="shared" si="13"/>
        <v>71.150000000000006</v>
      </c>
      <c r="AS26" s="35">
        <f t="shared" si="30"/>
        <v>280.85000000000002</v>
      </c>
      <c r="AU26" s="55">
        <v>330915</v>
      </c>
      <c r="AV26" s="37">
        <f t="shared" si="31"/>
        <v>1516</v>
      </c>
      <c r="AW26" s="37">
        <f>AV26*100*AV44</f>
        <v>573.868156</v>
      </c>
      <c r="AX26" s="35">
        <f t="shared" si="14"/>
        <v>3.032</v>
      </c>
    </row>
    <row r="27" spans="1:50" x14ac:dyDescent="0.25">
      <c r="A27" s="23">
        <v>44886</v>
      </c>
      <c r="B27" s="40">
        <v>108</v>
      </c>
      <c r="C27" s="24">
        <v>8631370</v>
      </c>
      <c r="D27" s="24">
        <v>20999210</v>
      </c>
      <c r="E27" s="24">
        <v>3801300</v>
      </c>
      <c r="F27" s="24">
        <v>4360390</v>
      </c>
      <c r="G27" s="24">
        <v>12859910</v>
      </c>
      <c r="H27" s="24">
        <v>7617780</v>
      </c>
      <c r="I27" s="24">
        <v>6601040</v>
      </c>
      <c r="J27" s="24">
        <v>8227220</v>
      </c>
      <c r="K27" s="24">
        <v>11944930</v>
      </c>
      <c r="L27" s="24">
        <v>5213430</v>
      </c>
      <c r="M27" s="24">
        <v>9535830</v>
      </c>
      <c r="N27" s="24">
        <v>15833010</v>
      </c>
      <c r="O27" s="24">
        <v>22156710</v>
      </c>
      <c r="Q27" s="37">
        <f t="shared" si="33"/>
        <v>600</v>
      </c>
      <c r="R27" s="37">
        <f t="shared" si="18"/>
        <v>1910</v>
      </c>
      <c r="S27" s="37">
        <f t="shared" si="33"/>
        <v>3450</v>
      </c>
      <c r="T27" s="37">
        <f t="shared" si="33"/>
        <v>1490</v>
      </c>
      <c r="U27" s="37">
        <f t="shared" si="33"/>
        <v>5270</v>
      </c>
      <c r="V27" s="37">
        <f t="shared" si="33"/>
        <v>4340</v>
      </c>
      <c r="W27" s="37">
        <f t="shared" si="33"/>
        <v>3120</v>
      </c>
      <c r="X27" s="37">
        <f t="shared" si="33"/>
        <v>5040</v>
      </c>
      <c r="Y27" s="37">
        <f t="shared" si="33"/>
        <v>5560</v>
      </c>
      <c r="Z27" s="37">
        <f t="shared" si="33"/>
        <v>2510</v>
      </c>
      <c r="AA27" s="37">
        <f t="shared" si="33"/>
        <v>3000</v>
      </c>
      <c r="AB27" s="37">
        <f t="shared" si="33"/>
        <v>8020</v>
      </c>
      <c r="AC27" s="37">
        <f t="shared" si="33"/>
        <v>12820</v>
      </c>
      <c r="AD27" s="35">
        <f t="shared" si="29"/>
        <v>57130</v>
      </c>
      <c r="AF27" s="20">
        <f t="shared" si="1"/>
        <v>3</v>
      </c>
      <c r="AG27" s="20">
        <f t="shared" si="2"/>
        <v>9.5500000000000007</v>
      </c>
      <c r="AH27" s="20">
        <f t="shared" si="3"/>
        <v>17.25</v>
      </c>
      <c r="AI27" s="20">
        <f t="shared" si="4"/>
        <v>7.45</v>
      </c>
      <c r="AJ27" s="20">
        <f t="shared" si="5"/>
        <v>26.35</v>
      </c>
      <c r="AK27" s="20">
        <f t="shared" si="6"/>
        <v>21.7</v>
      </c>
      <c r="AL27" s="20">
        <f t="shared" si="7"/>
        <v>15.6</v>
      </c>
      <c r="AM27" s="20">
        <f t="shared" si="8"/>
        <v>25.2</v>
      </c>
      <c r="AN27" s="20">
        <f t="shared" si="9"/>
        <v>27.8</v>
      </c>
      <c r="AO27" s="20">
        <f t="shared" si="10"/>
        <v>12.55</v>
      </c>
      <c r="AP27" s="20">
        <f t="shared" si="11"/>
        <v>15</v>
      </c>
      <c r="AQ27" s="20">
        <f t="shared" si="12"/>
        <v>40.1</v>
      </c>
      <c r="AR27" s="20">
        <f t="shared" si="13"/>
        <v>64.099999999999994</v>
      </c>
      <c r="AS27" s="35">
        <f t="shared" si="30"/>
        <v>285.64999999999998</v>
      </c>
      <c r="AU27" s="53">
        <v>332392</v>
      </c>
      <c r="AV27" s="37">
        <f>IF((AU27-AU26&lt;0),"0",AU27-AU26)</f>
        <v>1477</v>
      </c>
      <c r="AW27" s="37">
        <f>AV27*100*AV44</f>
        <v>559.10505699999999</v>
      </c>
      <c r="AX27" s="35">
        <f t="shared" si="14"/>
        <v>2.9540000000000002</v>
      </c>
    </row>
    <row r="28" spans="1:50" x14ac:dyDescent="0.25">
      <c r="A28" s="23">
        <v>44887</v>
      </c>
      <c r="B28" s="40">
        <v>117</v>
      </c>
      <c r="C28" s="24">
        <v>8631920</v>
      </c>
      <c r="D28" s="24">
        <v>21000990</v>
      </c>
      <c r="E28" s="24">
        <v>3804480</v>
      </c>
      <c r="F28" s="24">
        <v>4361790</v>
      </c>
      <c r="G28" s="24">
        <v>12865120</v>
      </c>
      <c r="H28" s="24">
        <v>7621750</v>
      </c>
      <c r="I28" s="24">
        <v>6604320</v>
      </c>
      <c r="J28" s="24">
        <v>8231750</v>
      </c>
      <c r="K28" s="24">
        <v>11950190</v>
      </c>
      <c r="L28" s="24">
        <v>5215860</v>
      </c>
      <c r="M28" s="24">
        <v>9538950</v>
      </c>
      <c r="N28" s="24">
        <v>15840420</v>
      </c>
      <c r="O28" s="24">
        <v>22167710</v>
      </c>
      <c r="Q28" s="37">
        <f t="shared" si="17"/>
        <v>550</v>
      </c>
      <c r="R28" s="37">
        <f t="shared" si="18"/>
        <v>1780</v>
      </c>
      <c r="S28" s="37">
        <f t="shared" si="16"/>
        <v>3180</v>
      </c>
      <c r="T28" s="37">
        <f t="shared" si="19"/>
        <v>1400</v>
      </c>
      <c r="U28" s="37">
        <f t="shared" si="20"/>
        <v>5210</v>
      </c>
      <c r="V28" s="37">
        <f t="shared" si="21"/>
        <v>3970</v>
      </c>
      <c r="W28" s="37">
        <f t="shared" si="22"/>
        <v>3280</v>
      </c>
      <c r="X28" s="37">
        <f t="shared" si="23"/>
        <v>4530</v>
      </c>
      <c r="Y28" s="37">
        <f t="shared" si="24"/>
        <v>5260</v>
      </c>
      <c r="Z28" s="37">
        <f t="shared" si="25"/>
        <v>2430</v>
      </c>
      <c r="AA28" s="37">
        <f t="shared" si="26"/>
        <v>3120</v>
      </c>
      <c r="AB28" s="37">
        <f t="shared" si="27"/>
        <v>7410</v>
      </c>
      <c r="AC28" s="37">
        <f t="shared" si="28"/>
        <v>11000</v>
      </c>
      <c r="AD28" s="35">
        <f t="shared" si="29"/>
        <v>53120</v>
      </c>
      <c r="AF28" s="20">
        <f t="shared" si="1"/>
        <v>2.75</v>
      </c>
      <c r="AG28" s="20">
        <f t="shared" si="2"/>
        <v>8.9</v>
      </c>
      <c r="AH28" s="20">
        <f t="shared" si="3"/>
        <v>15.9</v>
      </c>
      <c r="AI28" s="20">
        <f t="shared" si="4"/>
        <v>7</v>
      </c>
      <c r="AJ28" s="20">
        <f t="shared" si="5"/>
        <v>26.05</v>
      </c>
      <c r="AK28" s="20">
        <f t="shared" si="6"/>
        <v>19.850000000000001</v>
      </c>
      <c r="AL28" s="20">
        <f t="shared" si="7"/>
        <v>16.399999999999999</v>
      </c>
      <c r="AM28" s="20">
        <f t="shared" si="8"/>
        <v>22.650000000000002</v>
      </c>
      <c r="AN28" s="20">
        <f t="shared" si="9"/>
        <v>26.3</v>
      </c>
      <c r="AO28" s="20">
        <f t="shared" si="10"/>
        <v>12.15</v>
      </c>
      <c r="AP28" s="20">
        <f t="shared" si="11"/>
        <v>15.6</v>
      </c>
      <c r="AQ28" s="20">
        <f t="shared" si="12"/>
        <v>37.050000000000004</v>
      </c>
      <c r="AR28" s="20">
        <f t="shared" si="13"/>
        <v>55</v>
      </c>
      <c r="AS28" s="35">
        <f t="shared" si="30"/>
        <v>265.60000000000002</v>
      </c>
      <c r="AU28" s="53">
        <v>333657</v>
      </c>
      <c r="AV28" s="37">
        <f>IF((AU28-AU27&lt;0),"0",AU28-AU27)</f>
        <v>1265</v>
      </c>
      <c r="AW28" s="37">
        <f>AV28*100*AV44</f>
        <v>478.85436499999997</v>
      </c>
      <c r="AX28" s="35">
        <f t="shared" si="14"/>
        <v>2.5300000000000002</v>
      </c>
    </row>
    <row r="29" spans="1:50" x14ac:dyDescent="0.25">
      <c r="A29" s="23">
        <v>44888</v>
      </c>
      <c r="B29" s="40">
        <v>85</v>
      </c>
      <c r="C29" s="59">
        <v>8632500</v>
      </c>
      <c r="D29" s="59">
        <v>21002850</v>
      </c>
      <c r="E29" s="59">
        <v>3807800</v>
      </c>
      <c r="F29" s="59">
        <v>4363240</v>
      </c>
      <c r="G29" s="59">
        <v>12870720</v>
      </c>
      <c r="H29" s="59">
        <v>7625850</v>
      </c>
      <c r="I29" s="59">
        <v>6607570</v>
      </c>
      <c r="J29" s="59">
        <v>8236520</v>
      </c>
      <c r="K29" s="59">
        <v>11955800</v>
      </c>
      <c r="L29" s="59">
        <v>5218370</v>
      </c>
      <c r="M29" s="59">
        <v>9542040</v>
      </c>
      <c r="N29" s="59">
        <v>15848220</v>
      </c>
      <c r="O29" s="59">
        <v>22178580</v>
      </c>
      <c r="Q29" s="37">
        <f t="shared" si="17"/>
        <v>580</v>
      </c>
      <c r="R29" s="37">
        <f t="shared" si="18"/>
        <v>1860</v>
      </c>
      <c r="S29" s="37">
        <f t="shared" si="16"/>
        <v>3320</v>
      </c>
      <c r="T29" s="37">
        <f t="shared" si="19"/>
        <v>1450</v>
      </c>
      <c r="U29" s="37">
        <f t="shared" si="20"/>
        <v>5600</v>
      </c>
      <c r="V29" s="37">
        <f t="shared" si="21"/>
        <v>4100</v>
      </c>
      <c r="W29" s="37">
        <f t="shared" si="22"/>
        <v>3250</v>
      </c>
      <c r="X29" s="37">
        <f t="shared" si="23"/>
        <v>4770</v>
      </c>
      <c r="Y29" s="37">
        <f t="shared" si="24"/>
        <v>5610</v>
      </c>
      <c r="Z29" s="37">
        <f t="shared" si="25"/>
        <v>2510</v>
      </c>
      <c r="AA29" s="37">
        <f t="shared" si="26"/>
        <v>3090</v>
      </c>
      <c r="AB29" s="37">
        <f t="shared" si="27"/>
        <v>7800</v>
      </c>
      <c r="AC29" s="37">
        <f t="shared" si="28"/>
        <v>10870</v>
      </c>
      <c r="AD29" s="35">
        <f t="shared" si="29"/>
        <v>54810</v>
      </c>
      <c r="AF29" s="20">
        <f t="shared" si="1"/>
        <v>2.9</v>
      </c>
      <c r="AG29" s="20">
        <f t="shared" si="2"/>
        <v>9.3000000000000007</v>
      </c>
      <c r="AH29" s="20">
        <f t="shared" si="3"/>
        <v>16.600000000000001</v>
      </c>
      <c r="AI29" s="20">
        <f t="shared" si="4"/>
        <v>7.25</v>
      </c>
      <c r="AJ29" s="20">
        <f t="shared" si="5"/>
        <v>28</v>
      </c>
      <c r="AK29" s="20">
        <f t="shared" si="6"/>
        <v>20.5</v>
      </c>
      <c r="AL29" s="20">
        <f t="shared" si="7"/>
        <v>16.25</v>
      </c>
      <c r="AM29" s="20">
        <f t="shared" si="8"/>
        <v>23.85</v>
      </c>
      <c r="AN29" s="20">
        <f t="shared" si="9"/>
        <v>28.05</v>
      </c>
      <c r="AO29" s="20">
        <f t="shared" si="10"/>
        <v>12.55</v>
      </c>
      <c r="AP29" s="20">
        <f t="shared" si="11"/>
        <v>15.450000000000001</v>
      </c>
      <c r="AQ29" s="20">
        <f t="shared" si="12"/>
        <v>39</v>
      </c>
      <c r="AR29" s="20">
        <f t="shared" si="13"/>
        <v>54.35</v>
      </c>
      <c r="AS29" s="35">
        <f t="shared" si="30"/>
        <v>274.05</v>
      </c>
      <c r="AU29" s="60">
        <v>334947</v>
      </c>
      <c r="AV29" s="37">
        <f>IF((AU29-AU28&lt;0),"0",AU29-AU28)</f>
        <v>1290</v>
      </c>
      <c r="AW29" s="37">
        <f>AV29*100*AV44</f>
        <v>488.31788999999998</v>
      </c>
      <c r="AX29" s="35">
        <f t="shared" si="14"/>
        <v>2.58</v>
      </c>
    </row>
    <row r="30" spans="1:50" x14ac:dyDescent="0.25">
      <c r="A30" s="23">
        <v>44889</v>
      </c>
      <c r="B30" s="40">
        <v>104</v>
      </c>
      <c r="C30" s="52">
        <v>8633080</v>
      </c>
      <c r="D30" s="52">
        <v>21004690</v>
      </c>
      <c r="E30" s="52">
        <v>3811370</v>
      </c>
      <c r="F30" s="52">
        <v>4364700</v>
      </c>
      <c r="G30" s="52">
        <v>12876150</v>
      </c>
      <c r="H30" s="52">
        <v>7629920</v>
      </c>
      <c r="I30" s="52">
        <v>6611280</v>
      </c>
      <c r="J30" s="52">
        <v>8241050</v>
      </c>
      <c r="K30" s="52">
        <v>11961420</v>
      </c>
      <c r="L30" s="52">
        <v>5220810</v>
      </c>
      <c r="M30" s="52">
        <v>9544970</v>
      </c>
      <c r="N30" s="52">
        <v>15856030</v>
      </c>
      <c r="O30" s="52">
        <v>22189120</v>
      </c>
      <c r="Q30" s="37">
        <f t="shared" si="17"/>
        <v>580</v>
      </c>
      <c r="R30" s="37">
        <f t="shared" si="18"/>
        <v>1840</v>
      </c>
      <c r="S30" s="37">
        <f t="shared" si="16"/>
        <v>3570</v>
      </c>
      <c r="T30" s="37">
        <f t="shared" si="19"/>
        <v>1460</v>
      </c>
      <c r="U30" s="37">
        <f t="shared" si="20"/>
        <v>5430</v>
      </c>
      <c r="V30" s="37">
        <f t="shared" si="21"/>
        <v>4070</v>
      </c>
      <c r="W30" s="37">
        <f t="shared" si="22"/>
        <v>3710</v>
      </c>
      <c r="X30" s="37">
        <f t="shared" si="23"/>
        <v>4530</v>
      </c>
      <c r="Y30" s="37">
        <f t="shared" si="24"/>
        <v>5620</v>
      </c>
      <c r="Z30" s="37">
        <f t="shared" si="25"/>
        <v>2440</v>
      </c>
      <c r="AA30" s="37">
        <f t="shared" si="26"/>
        <v>2930</v>
      </c>
      <c r="AB30" s="37">
        <f t="shared" si="27"/>
        <v>7810</v>
      </c>
      <c r="AC30" s="37">
        <f t="shared" si="28"/>
        <v>10540</v>
      </c>
      <c r="AD30" s="35">
        <f t="shared" si="29"/>
        <v>54530</v>
      </c>
      <c r="AF30" s="20">
        <f t="shared" si="1"/>
        <v>2.9</v>
      </c>
      <c r="AG30" s="20">
        <f t="shared" si="2"/>
        <v>9.2000000000000011</v>
      </c>
      <c r="AH30" s="20">
        <f t="shared" si="3"/>
        <v>17.850000000000001</v>
      </c>
      <c r="AI30" s="20">
        <f t="shared" si="4"/>
        <v>7.3</v>
      </c>
      <c r="AJ30" s="20">
        <f t="shared" si="5"/>
        <v>27.150000000000002</v>
      </c>
      <c r="AK30" s="20">
        <f t="shared" si="6"/>
        <v>20.350000000000001</v>
      </c>
      <c r="AL30" s="20">
        <f t="shared" si="7"/>
        <v>18.55</v>
      </c>
      <c r="AM30" s="20">
        <f t="shared" si="8"/>
        <v>22.650000000000002</v>
      </c>
      <c r="AN30" s="20">
        <f t="shared" si="9"/>
        <v>28.1</v>
      </c>
      <c r="AO30" s="20">
        <f t="shared" si="10"/>
        <v>12.200000000000001</v>
      </c>
      <c r="AP30" s="20">
        <f t="shared" si="11"/>
        <v>14.65</v>
      </c>
      <c r="AQ30" s="20">
        <f t="shared" si="12"/>
        <v>39.050000000000004</v>
      </c>
      <c r="AR30" s="20">
        <f t="shared" si="13"/>
        <v>52.7</v>
      </c>
      <c r="AS30" s="35">
        <f t="shared" si="30"/>
        <v>272.65000000000003</v>
      </c>
      <c r="AU30" s="55">
        <v>336356</v>
      </c>
      <c r="AV30" s="37">
        <f t="shared" ref="AV30:AV36" si="34">IF((AU30-AU29&lt;0),"0",AU30-AU29)</f>
        <v>1409</v>
      </c>
      <c r="AW30" s="37">
        <f>AV30*100*AV44</f>
        <v>533.36426900000004</v>
      </c>
      <c r="AX30" s="35">
        <f t="shared" si="14"/>
        <v>2.8180000000000001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 t="str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78780</v>
      </c>
      <c r="R38" s="38">
        <f t="shared" ref="R38:AD38" si="60">SUM(R7:R37)</f>
        <v>57330</v>
      </c>
      <c r="S38" s="38">
        <f t="shared" si="60"/>
        <v>82710</v>
      </c>
      <c r="T38" s="38">
        <f t="shared" si="60"/>
        <v>36050</v>
      </c>
      <c r="U38" s="38">
        <f t="shared" si="60"/>
        <v>122660</v>
      </c>
      <c r="V38" s="38">
        <f t="shared" si="60"/>
        <v>92990</v>
      </c>
      <c r="W38" s="38">
        <f t="shared" si="60"/>
        <v>74810</v>
      </c>
      <c r="X38" s="38">
        <f t="shared" si="60"/>
        <v>106680</v>
      </c>
      <c r="Y38" s="38">
        <f t="shared" si="60"/>
        <v>130850</v>
      </c>
      <c r="Z38" s="38">
        <f t="shared" si="60"/>
        <v>60840</v>
      </c>
      <c r="AA38" s="38">
        <f t="shared" si="60"/>
        <v>71200</v>
      </c>
      <c r="AB38" s="38">
        <f t="shared" si="60"/>
        <v>183050</v>
      </c>
      <c r="AC38" s="38">
        <f t="shared" si="60"/>
        <v>266000</v>
      </c>
      <c r="AD38" s="38">
        <f t="shared" si="60"/>
        <v>1363950</v>
      </c>
      <c r="AF38" s="35">
        <f>SUM(AF7:AF37)</f>
        <v>393.89999999999992</v>
      </c>
      <c r="AG38" s="35">
        <f t="shared" ref="AG38:AS38" si="61">SUM(AG7:AG37)</f>
        <v>286.64999999999998</v>
      </c>
      <c r="AH38" s="35">
        <f t="shared" si="61"/>
        <v>413.54999999999995</v>
      </c>
      <c r="AI38" s="35">
        <f t="shared" si="61"/>
        <v>180.25000000000003</v>
      </c>
      <c r="AJ38" s="35">
        <f t="shared" si="61"/>
        <v>613.29999999999995</v>
      </c>
      <c r="AK38" s="35">
        <f t="shared" si="61"/>
        <v>464.95</v>
      </c>
      <c r="AL38" s="35">
        <f t="shared" si="61"/>
        <v>374.04999999999995</v>
      </c>
      <c r="AM38" s="35">
        <f t="shared" si="61"/>
        <v>533.4</v>
      </c>
      <c r="AN38" s="35">
        <f t="shared" si="61"/>
        <v>654.24999999999989</v>
      </c>
      <c r="AO38" s="35">
        <f t="shared" si="61"/>
        <v>304.2</v>
      </c>
      <c r="AP38" s="35">
        <f t="shared" si="61"/>
        <v>356</v>
      </c>
      <c r="AQ38" s="35">
        <f t="shared" si="61"/>
        <v>915.24999999999989</v>
      </c>
      <c r="AR38" s="35">
        <f t="shared" si="61"/>
        <v>1330</v>
      </c>
      <c r="AS38" s="35">
        <f t="shared" si="61"/>
        <v>6819.75</v>
      </c>
      <c r="AU38" s="46"/>
      <c r="AV38" s="34">
        <f>SUM(AV7:AV37)</f>
        <v>37946</v>
      </c>
      <c r="AW38" s="34">
        <f>SUM(AW7:AW37)</f>
        <v>14364.116786000001</v>
      </c>
      <c r="AX38" s="35">
        <f>SUM(AX7:AX37)</f>
        <v>75.891999999999982</v>
      </c>
    </row>
    <row r="39" spans="1:50" x14ac:dyDescent="0.25">
      <c r="B39" s="39">
        <f>SUM(B7:B37)</f>
        <v>2779</v>
      </c>
      <c r="D39">
        <v>5.0000000000000001E-3</v>
      </c>
      <c r="AV39" s="36"/>
      <c r="AW39" s="50">
        <f>AW38/31</f>
        <v>463.35860600000001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2022-11-25T10:45:32Z</dcterms:modified>
</cp:coreProperties>
</file>