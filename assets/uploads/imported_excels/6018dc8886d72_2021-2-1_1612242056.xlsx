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<sst xmlns="http://schemas.openxmlformats.org/spreadsheetml/2006/main" count="102" uniqueCount="39">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</sst>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Q9" sqref="Q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v>0</v>
      </c>
      <c r="F4" s="22">
        <v>0.11799999999999999</v>
      </c>
      <c r="G4" s="24">
        <v>0</v>
      </c>
      <c r="H4" s="22">
        <v>0.99</v>
      </c>
      <c r="I4" s="24">
        <v>0</v>
      </c>
      <c r="J4" s="22">
        <v>8.1000000000000003E-2</v>
      </c>
      <c r="K4" s="46">
        <v>0</v>
      </c>
      <c r="L4" s="24">
        <v>0</v>
      </c>
      <c r="M4" s="23">
        <v>4.393629424766913</v>
      </c>
      <c r="N4" s="39"/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0</v>
      </c>
      <c r="F5" s="22">
        <v>0.11799999999999999</v>
      </c>
      <c r="G5" s="24">
        <f>(('2 - 2020'!E11-'2 - 2020'!E10)+('2 - 2020'!F11-'2 - 2020'!F10)+('2 - 2020'!G11-'2 - 2020'!G10))*1.81</f>
        <v>0</v>
      </c>
      <c r="H5" s="22">
        <v>0.99</v>
      </c>
      <c r="I5" s="24">
        <f>'2 - 2020'!J11-'2 - 2020'!J10</f>
        <v>0</v>
      </c>
      <c r="J5" s="22">
        <v>8.1000000000000003E-2</v>
      </c>
      <c r="K5" s="46">
        <f>'2 - 2020'!H11-'2 - 2020'!H10</f>
        <v>0</v>
      </c>
      <c r="L5" s="24">
        <f>'2 - 2020'!I11-'2 - 2020'!I10</f>
        <v>0</v>
      </c>
      <c r="M5" s="23">
        <v>4.393629424766913</v>
      </c>
      <c r="N5" s="39"/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0</v>
      </c>
      <c r="F6" s="22">
        <v>0.11799999999999999</v>
      </c>
      <c r="G6" s="24">
        <f>(('2 - 2020'!E12-'2 - 2020'!E11)+('2 - 2020'!F12-'2 - 2020'!F11)+('2 - 2020'!G12-'2 - 2020'!G11))*1.81</f>
        <v>0</v>
      </c>
      <c r="H6" s="22">
        <v>0.99</v>
      </c>
      <c r="I6" s="24">
        <f>'2 - 2020'!J12-'2 - 2020'!J11</f>
        <v>0</v>
      </c>
      <c r="J6" s="22">
        <v>8.1000000000000003E-2</v>
      </c>
      <c r="K6" s="46">
        <f>'2 - 2020'!H12-'2 - 2020'!H11</f>
        <v>0</v>
      </c>
      <c r="L6" s="24">
        <f>'2 - 2020'!I12-'2 - 2020'!I11</f>
        <v>0</v>
      </c>
      <c r="M6" s="23">
        <v>4.393629424766913</v>
      </c>
      <c r="N6" s="39"/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0</v>
      </c>
      <c r="F7" s="22">
        <v>0.11799999999999999</v>
      </c>
      <c r="G7" s="24">
        <f>(('2 - 2020'!E13-'2 - 2020'!E12)+('2 - 2020'!F13-'2 - 2020'!F12)+('2 - 2020'!G13-'2 - 2020'!G12))*1.81</f>
        <v>0</v>
      </c>
      <c r="H7" s="22">
        <v>0.99</v>
      </c>
      <c r="I7" s="24">
        <f>'2 - 2020'!J13-'2 - 2020'!J12</f>
        <v>0</v>
      </c>
      <c r="J7" s="22">
        <v>8.1000000000000003E-2</v>
      </c>
      <c r="K7" s="46">
        <f>'2 - 2020'!H13-'2 - 2020'!H12</f>
        <v>0</v>
      </c>
      <c r="L7" s="24">
        <f>'2 - 2020'!I13-'2 - 2020'!I12</f>
        <v>0</v>
      </c>
      <c r="M7" s="23">
        <v>4.393629424766913</v>
      </c>
      <c r="N7" s="39"/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0</v>
      </c>
      <c r="F8" s="22">
        <v>0.11799999999999999</v>
      </c>
      <c r="G8" s="24">
        <f>(('2 - 2020'!E14-'2 - 2020'!E13)+('2 - 2020'!F14-'2 - 2020'!F13)+('2 - 2020'!G14-'2 - 2020'!G13))*1.81</f>
        <v>0</v>
      </c>
      <c r="H8" s="22">
        <v>0.99</v>
      </c>
      <c r="I8" s="24">
        <f>'2 - 2020'!J14-'2 - 2020'!J13</f>
        <v>0</v>
      </c>
      <c r="J8" s="22">
        <v>8.1000000000000003E-2</v>
      </c>
      <c r="K8" s="46">
        <f>'2 - 2020'!H14-'2 - 2020'!H13</f>
        <v>0</v>
      </c>
      <c r="L8" s="24">
        <f>'2 - 2020'!I14-'2 - 2020'!I13</f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0</v>
      </c>
      <c r="F9" s="22">
        <v>0.11799999999999999</v>
      </c>
      <c r="G9" s="24">
        <f>(('2 - 2020'!E15-'2 - 2020'!E14)+('2 - 2020'!F15-'2 - 2020'!F14)+('2 - 2020'!G15-'2 - 2020'!G14))*1.81</f>
        <v>0</v>
      </c>
      <c r="H9" s="22">
        <v>0.99</v>
      </c>
      <c r="I9" s="24">
        <f>'2 - 2020'!J15-'2 - 2020'!J14</f>
        <v>0</v>
      </c>
      <c r="J9" s="22">
        <v>8.1000000000000003E-2</v>
      </c>
      <c r="K9" s="46">
        <f>'2 - 2020'!H15-'2 - 2020'!H14</f>
        <v>0</v>
      </c>
      <c r="L9" s="24">
        <f>'2 - 2020'!I15-'2 - 2020'!I14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0</v>
      </c>
      <c r="F10" s="22">
        <v>0.11799999999999999</v>
      </c>
      <c r="G10" s="24">
        <f>(('2 - 2020'!E16-'2 - 2020'!E15)+('2 - 2020'!F16-'2 - 2020'!F15)+('2 - 2020'!G16-'2 - 2020'!G15))*1.81</f>
        <v>0</v>
      </c>
      <c r="H10" s="22">
        <v>0.99</v>
      </c>
      <c r="I10" s="24">
        <f>'2 - 2020'!J16-'2 - 2020'!J15</f>
        <v>0</v>
      </c>
      <c r="J10" s="22">
        <v>8.1000000000000003E-2</v>
      </c>
      <c r="K10" s="46">
        <f>'2 - 2020'!H16-'2 - 2020'!H15</f>
        <v>0</v>
      </c>
      <c r="L10" s="24">
        <f>'2 - 2020'!I16-'2 - 2020'!I15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0</v>
      </c>
      <c r="F11" s="22">
        <v>0.11799999999999999</v>
      </c>
      <c r="G11" s="24">
        <f>(('2 - 2020'!E17-'2 - 2020'!E16)+('2 - 2020'!F17-'2 - 2020'!F16)+('2 - 2020'!G17-'2 - 2020'!G16))*1.81</f>
        <v>0</v>
      </c>
      <c r="H11" s="22">
        <v>0.99</v>
      </c>
      <c r="I11" s="24">
        <f>'2 - 2020'!J17-'2 - 2020'!J16</f>
        <v>0</v>
      </c>
      <c r="J11" s="22">
        <v>8.1000000000000003E-2</v>
      </c>
      <c r="K11" s="46">
        <f>'2 - 2020'!H17-'2 - 2020'!H16</f>
        <v>0</v>
      </c>
      <c r="L11" s="24">
        <f>'2 - 2020'!I17-'2 - 2020'!I16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0</v>
      </c>
      <c r="F12" s="22">
        <v>0.11799999999999999</v>
      </c>
      <c r="G12" s="24">
        <f>(('2 - 2020'!E18-'2 - 2020'!E17)+('2 - 2020'!F18-'2 - 2020'!F17)+('2 - 2020'!G18-'2 - 2020'!G17))*1.81</f>
        <v>0</v>
      </c>
      <c r="H12" s="22">
        <v>0.99</v>
      </c>
      <c r="I12" s="24">
        <f>'2 - 2020'!J18-'2 - 2020'!J17</f>
        <v>0</v>
      </c>
      <c r="J12" s="22">
        <v>8.1000000000000003E-2</v>
      </c>
      <c r="K12" s="46">
        <f>'2 - 2020'!H18-'2 - 2020'!H17</f>
        <v>0</v>
      </c>
      <c r="L12" s="24">
        <f>'2 - 2020'!I18-'2 - 2020'!I17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0</v>
      </c>
      <c r="F13" s="22">
        <v>0.11799999999999999</v>
      </c>
      <c r="G13" s="24">
        <f>(('2 - 2020'!E19-'2 - 2020'!E18)+('2 - 2020'!F19-'2 - 2020'!F18)+('2 - 2020'!G19-'2 - 2020'!G18))*1.81</f>
        <v>0</v>
      </c>
      <c r="H13" s="22">
        <v>0.99</v>
      </c>
      <c r="I13" s="24">
        <f>'2 - 2020'!J19-'2 - 2020'!J18</f>
        <v>0</v>
      </c>
      <c r="J13" s="22">
        <v>8.1000000000000003E-2</v>
      </c>
      <c r="K13" s="46">
        <f>'2 - 2020'!H19-'2 - 2020'!H18</f>
        <v>0</v>
      </c>
      <c r="L13" s="24">
        <f>'2 - 2020'!I19-'2 - 2020'!I18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M8" sqref="M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v>0</v>
      </c>
      <c r="F4" s="24">
        <v>0</v>
      </c>
      <c r="G4" s="22">
        <v>0.11799999999999999</v>
      </c>
      <c r="H4" s="24">
        <v>0</v>
      </c>
      <c r="I4" s="24">
        <v>0</v>
      </c>
      <c r="J4" s="24">
        <v>0</v>
      </c>
      <c r="K4" s="22">
        <v>0.74</v>
      </c>
      <c r="L4" s="39"/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0</v>
      </c>
      <c r="F5" s="24">
        <f>'2 - 2020'!C11-'2 - 2020'!C10</f>
        <v>0</v>
      </c>
      <c r="G5" s="22">
        <v>0.11799999999999999</v>
      </c>
      <c r="H5" s="24">
        <f>'2 - 2020'!E11-'2 - 2020'!E10</f>
        <v>0</v>
      </c>
      <c r="I5" s="24">
        <f>'2 - 2020'!F11-'2 - 2020'!F10</f>
        <v>0</v>
      </c>
      <c r="J5" s="24">
        <f>'2 - 2020'!G11-'2 - 2020'!G10</f>
        <v>0</v>
      </c>
      <c r="K5" s="22">
        <v>0.74</v>
      </c>
      <c r="L5" s="39"/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0</v>
      </c>
      <c r="F6" s="24">
        <f>'2 - 2020'!C12-'2 - 2020'!C11</f>
        <v>0</v>
      </c>
      <c r="G6" s="22">
        <v>0.11799999999999999</v>
      </c>
      <c r="H6" s="24">
        <f>'2 - 2020'!E12-'2 - 2020'!E11</f>
        <v>0</v>
      </c>
      <c r="I6" s="24">
        <f>'2 - 2020'!F12-'2 - 2020'!F11</f>
        <v>0</v>
      </c>
      <c r="J6" s="24">
        <f>'2 - 2020'!G12-'2 - 2020'!G11</f>
        <v>0</v>
      </c>
      <c r="K6" s="22">
        <v>0.74</v>
      </c>
      <c r="L6" s="39"/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0</v>
      </c>
      <c r="F7" s="24">
        <f>'2 - 2020'!C13-'2 - 2020'!C12</f>
        <v>0</v>
      </c>
      <c r="G7" s="22">
        <v>0.11799999999999999</v>
      </c>
      <c r="H7" s="24">
        <f>'2 - 2020'!E13-'2 - 2020'!E12</f>
        <v>0</v>
      </c>
      <c r="I7" s="24">
        <f>'2 - 2020'!F13-'2 - 2020'!F12</f>
        <v>0</v>
      </c>
      <c r="J7" s="24">
        <f>'2 - 2020'!G13-'2 - 2020'!G12</f>
        <v>0</v>
      </c>
      <c r="K7" s="22">
        <v>0.74</v>
      </c>
      <c r="L7" s="39"/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0</v>
      </c>
      <c r="F8" s="24">
        <f>'2 - 2020'!C14-'2 - 2020'!C13</f>
        <v>0</v>
      </c>
      <c r="G8" s="22">
        <v>0.11799999999999999</v>
      </c>
      <c r="H8" s="24">
        <f>'2 - 2020'!E14-'2 - 2020'!E13</f>
        <v>0</v>
      </c>
      <c r="I8" s="24">
        <f>'2 - 2020'!F14-'2 - 2020'!F13</f>
        <v>0</v>
      </c>
      <c r="J8" s="24">
        <f>'2 - 2020'!G14-'2 - 2020'!G13</f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0</v>
      </c>
      <c r="F9" s="24">
        <f>'2 - 2020'!C15-'2 - 2020'!C14</f>
        <v>0</v>
      </c>
      <c r="G9" s="22">
        <v>0.11799999999999999</v>
      </c>
      <c r="H9" s="24">
        <f>'2 - 2020'!E15-'2 - 2020'!E14</f>
        <v>0</v>
      </c>
      <c r="I9" s="24">
        <f>'2 - 2020'!F15-'2 - 2020'!F14</f>
        <v>0</v>
      </c>
      <c r="J9" s="24">
        <f>'2 - 2020'!G15-'2 - 2020'!G14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0</v>
      </c>
      <c r="F10" s="24">
        <f>'2 - 2020'!C16-'2 - 2020'!C15</f>
        <v>0</v>
      </c>
      <c r="G10" s="22">
        <v>0.11799999999999999</v>
      </c>
      <c r="H10" s="24">
        <f>'2 - 2020'!E16-'2 - 2020'!E15</f>
        <v>0</v>
      </c>
      <c r="I10" s="24">
        <f>'2 - 2020'!F16-'2 - 2020'!F15</f>
        <v>0</v>
      </c>
      <c r="J10" s="24">
        <f>'2 - 2020'!G16-'2 - 2020'!G15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0</v>
      </c>
      <c r="F11" s="24">
        <f>'2 - 2020'!C17-'2 - 2020'!C16</f>
        <v>0</v>
      </c>
      <c r="G11" s="22">
        <v>0.11799999999999999</v>
      </c>
      <c r="H11" s="24">
        <f>'2 - 2020'!E17-'2 - 2020'!E16</f>
        <v>0</v>
      </c>
      <c r="I11" s="24">
        <f>'2 - 2020'!F17-'2 - 2020'!F16</f>
        <v>0</v>
      </c>
      <c r="J11" s="24">
        <f>'2 - 2020'!G17-'2 - 2020'!G16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0</v>
      </c>
      <c r="F12" s="24">
        <f>'2 - 2020'!C18-'2 - 2020'!C17</f>
        <v>0</v>
      </c>
      <c r="G12" s="22">
        <v>0.11799999999999999</v>
      </c>
      <c r="H12" s="24">
        <f>'2 - 2020'!E18-'2 - 2020'!E17</f>
        <v>0</v>
      </c>
      <c r="I12" s="24">
        <f>'2 - 2020'!F18-'2 - 2020'!F17</f>
        <v>0</v>
      </c>
      <c r="J12" s="24">
        <f>'2 - 2020'!G18-'2 - 2020'!G17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0</v>
      </c>
      <c r="F13" s="24">
        <f>'2 - 2020'!C19-'2 - 2020'!C18</f>
        <v>0</v>
      </c>
      <c r="G13" s="22">
        <v>0.11799999999999999</v>
      </c>
      <c r="H13" s="24">
        <f>'2 - 2020'!E19-'2 - 2020'!E18</f>
        <v>0</v>
      </c>
      <c r="I13" s="24">
        <f>'2 - 2020'!F19-'2 - 2020'!F18</f>
        <v>0</v>
      </c>
      <c r="J13" s="24">
        <f>'2 - 2020'!G19-'2 - 2020'!G18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4" zoomScaleNormal="100" workbookViewId="0">
      <selection activeCell="C10" sqref="C10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/>
      <c r="C10" s="15"/>
      <c r="D10" s="16"/>
      <c r="E10" s="21"/>
      <c r="F10" s="21"/>
      <c r="G10" s="21"/>
      <c r="H10" s="19"/>
      <c r="I10" s="15"/>
      <c r="J10" s="50"/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/>
      <c r="C12" s="19"/>
      <c r="D12" s="16"/>
      <c r="E12" s="19"/>
      <c r="F12" s="19"/>
      <c r="G12" s="19"/>
      <c r="H12" s="19"/>
      <c r="I12" s="19"/>
      <c r="J12" s="19"/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/>
      <c r="C13" s="17"/>
      <c r="D13" s="16"/>
      <c r="E13" s="21"/>
      <c r="F13" s="21"/>
      <c r="G13" s="21"/>
      <c r="H13" s="15"/>
      <c r="I13" s="17"/>
      <c r="J13" s="17"/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/>
      <c r="C14" s="15"/>
      <c r="D14" s="16"/>
      <c r="E14" s="21"/>
      <c r="F14" s="21"/>
      <c r="G14" s="17"/>
      <c r="H14" s="15"/>
      <c r="I14" s="15"/>
      <c r="J14" s="15"/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/>
      <c r="C16" s="15"/>
      <c r="D16" s="16"/>
      <c r="E16" s="21"/>
      <c r="F16" s="21"/>
      <c r="G16" s="17"/>
      <c r="H16" s="15"/>
      <c r="I16" s="15"/>
      <c r="J16" s="15"/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1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1"/>
        <v>-14528</v>
      </c>
      <c r="I39" s="30">
        <f>I38-I7</f>
        <v>-109234</v>
      </c>
      <c r="J39" s="30">
        <f>J38-J7</f>
        <v>-44171258</v>
      </c>
      <c r="K39" s="30">
        <f t="shared" ref="K39" si="2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0</v>
      </c>
      <c r="C42" s="58">
        <f>C32-C10</f>
        <v>0</v>
      </c>
      <c r="E42" s="58">
        <f t="shared" ref="E42:J42" si="3">E32-E10</f>
        <v>0</v>
      </c>
      <c r="F42" s="58">
        <f t="shared" si="3"/>
        <v>0</v>
      </c>
      <c r="G42" s="58">
        <f t="shared" si="3"/>
        <v>0</v>
      </c>
      <c r="H42" s="58">
        <f t="shared" si="3"/>
        <v>0</v>
      </c>
      <c r="I42" s="58">
        <f t="shared" si="3"/>
        <v>0</v>
      </c>
      <c r="J42" s="58">
        <f t="shared" si="3"/>
        <v>0</v>
      </c>
    </row>
    <row r="43" spans="1:16" hidden="1" x14ac:dyDescent="0.25">
      <c r="I43" s="20">
        <f>I42*219.969</f>
        <v>0</v>
      </c>
      <c r="J43" s="22">
        <v>768611</v>
      </c>
    </row>
    <row r="44" spans="1:16" hidden="1" x14ac:dyDescent="0.25">
      <c r="C44" s="24">
        <f>C42+B42</f>
        <v>0</v>
      </c>
      <c r="I44" s="22">
        <v>450276.54300000001</v>
      </c>
    </row>
    <row r="45" spans="1:16" hidden="1" x14ac:dyDescent="0.25">
      <c r="C45" s="22">
        <v>178662</v>
      </c>
      <c r="J45" s="59" t="e">
        <f>SUM(J43-J42)/J42</f>
        <v>#DIV/0!</v>
      </c>
    </row>
    <row r="46" spans="1:16" hidden="1" x14ac:dyDescent="0.25">
      <c r="C46" s="60" t="e">
        <f>SUM(C45-C44)/C44</f>
        <v>#DIV/0!</v>
      </c>
      <c r="I46" s="59" t="e">
        <f>SUM(I44-I43)/I43</f>
        <v>#DIV/0!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2021-02-02T03:46:23Z</dcterms:modified>
</cp:coreProperties>
</file>