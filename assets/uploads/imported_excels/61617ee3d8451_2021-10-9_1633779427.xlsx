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B32" i="5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<sst xmlns="http://schemas.openxmlformats.org/spreadsheetml/2006/main" count="76" uniqueCount="41">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</sst>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385856"/>
        <c:axId val="380384680"/>
      </c:lineChart>
      <c:dateAx>
        <c:axId val="38038585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4680"/>
        <c:crosses val="autoZero"/>
        <c:auto val="0"/>
        <c:lblOffset val="100"/>
        <c:baseTimeUnit val="days"/>
      </c:dateAx>
      <c:valAx>
        <c:axId val="3803846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585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0" sqref="A10:XFD1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0.9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0.9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0.9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0.9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0.9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0.9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0.9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-13084287.84</v>
      </c>
      <c r="F11" s="3">
        <v>0.9</v>
      </c>
      <c r="G11" s="13">
        <f>Gas!J13</f>
        <v>-1192410.140344</v>
      </c>
      <c r="H11" s="3">
        <v>1.69</v>
      </c>
      <c r="I11" s="13">
        <f>Water!H13</f>
        <v>-11068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0</v>
      </c>
      <c r="F12" s="3">
        <v>0.9</v>
      </c>
      <c r="G12" s="13">
        <f>Gas!J14</f>
        <v>0</v>
      </c>
      <c r="H12" s="3">
        <v>1.69</v>
      </c>
      <c r="I12" s="13">
        <f>Water!H14</f>
        <v>0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0</v>
      </c>
      <c r="F13" s="3">
        <v>0.9</v>
      </c>
      <c r="G13" s="13">
        <f>Gas!J15</f>
        <v>0</v>
      </c>
      <c r="H13" s="3">
        <v>1.69</v>
      </c>
      <c r="I13" s="13">
        <f>Water!H15</f>
        <v>0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0</v>
      </c>
      <c r="F14" s="3">
        <v>0.9</v>
      </c>
      <c r="G14" s="13">
        <f>Gas!J16</f>
        <v>0</v>
      </c>
      <c r="H14" s="3">
        <v>1.69</v>
      </c>
      <c r="I14" s="13">
        <f>Water!H16</f>
        <v>0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0</v>
      </c>
      <c r="F15" s="3">
        <v>0.9</v>
      </c>
      <c r="G15" s="13">
        <f>Gas!J17</f>
        <v>0</v>
      </c>
      <c r="H15" s="3">
        <v>1.69</v>
      </c>
      <c r="I15" s="13">
        <f>Water!H17</f>
        <v>0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0</v>
      </c>
      <c r="F16" s="3">
        <v>0.9</v>
      </c>
      <c r="G16" s="13">
        <f>Gas!J18</f>
        <v>0</v>
      </c>
      <c r="H16" s="3">
        <v>1.69</v>
      </c>
      <c r="I16" s="13">
        <f>Water!H18</f>
        <v>0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0</v>
      </c>
      <c r="F17" s="3">
        <v>0.9</v>
      </c>
      <c r="G17" s="13">
        <f>Gas!J19</f>
        <v>0</v>
      </c>
      <c r="H17" s="3">
        <v>1.69</v>
      </c>
      <c r="I17" s="13">
        <f>Water!H19</f>
        <v>0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0</v>
      </c>
      <c r="F18" s="3">
        <v>0.9</v>
      </c>
      <c r="G18" s="13">
        <f>Gas!J20</f>
        <v>0</v>
      </c>
      <c r="H18" s="3">
        <v>1.69</v>
      </c>
      <c r="I18" s="13">
        <f>Water!H20</f>
        <v>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0</v>
      </c>
      <c r="F19" s="3">
        <v>0.9</v>
      </c>
      <c r="G19" s="13">
        <f>Gas!J21</f>
        <v>0</v>
      </c>
      <c r="H19" s="3">
        <v>1.69</v>
      </c>
      <c r="I19" s="13">
        <f>Water!H21</f>
        <v>0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0</v>
      </c>
      <c r="F20" s="3">
        <v>0.9</v>
      </c>
      <c r="G20" s="13">
        <f>Gas!J22</f>
        <v>0</v>
      </c>
      <c r="H20" s="3">
        <v>1.69</v>
      </c>
      <c r="I20" s="13">
        <f>Water!H22</f>
        <v>0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0</v>
      </c>
      <c r="F21" s="3">
        <v>0.9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0</v>
      </c>
      <c r="F22" s="3">
        <v>0.9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0.9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0.9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opLeftCell="A2" workbookViewId="0">
      <selection activeCell="E13" sqref="E1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/>
      <c r="F13" s="23">
        <v>1065</v>
      </c>
      <c r="G13" s="23">
        <f t="shared" si="1"/>
        <v>1065</v>
      </c>
      <c r="H13" s="24">
        <f t="shared" si="2"/>
        <v>-11068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0" sqref="F10:F1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/>
      <c r="F13" s="23"/>
      <c r="G13" s="23">
        <f>E13+F13</f>
        <v>0</v>
      </c>
      <c r="H13" s="18">
        <v>1.2781359999999999</v>
      </c>
      <c r="I13" s="23">
        <f>H13*G13</f>
        <v>0</v>
      </c>
      <c r="J13" s="24">
        <f>I13-I12</f>
        <v>-1192410.140344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/>
      <c r="F14" s="23"/>
      <c r="G14" s="23">
        <f t="shared" si="0"/>
        <v>0</v>
      </c>
      <c r="H14" s="18">
        <v>1.2781359999999999</v>
      </c>
      <c r="I14" s="23">
        <f>H14*G14</f>
        <v>0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/>
      <c r="F16" s="23"/>
      <c r="G16" s="23">
        <f t="shared" si="0"/>
        <v>0</v>
      </c>
      <c r="H16" s="18">
        <v>1.2781359999999999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/>
      <c r="F17" s="23"/>
      <c r="G17" s="23">
        <f t="shared" si="0"/>
        <v>0</v>
      </c>
      <c r="H17" s="18">
        <v>1.2781359999999999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3" sqref="F13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/>
      <c r="G13" s="22">
        <v>2760</v>
      </c>
      <c r="H13" s="23">
        <f t="shared" si="1"/>
        <v>0</v>
      </c>
      <c r="I13" s="24">
        <f t="shared" ref="I13:I34" si="2">+(H13-H12)</f>
        <v>-13084287.84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/>
      <c r="G14" s="22">
        <v>2760</v>
      </c>
      <c r="H14" s="23">
        <f t="shared" si="1"/>
        <v>0</v>
      </c>
      <c r="I14" s="24">
        <f t="shared" si="2"/>
        <v>0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/>
      <c r="G15" s="22">
        <v>2760</v>
      </c>
      <c r="H15" s="23">
        <f t="shared" si="1"/>
        <v>0</v>
      </c>
      <c r="I15" s="24">
        <f t="shared" si="2"/>
        <v>0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/>
      <c r="G16" s="22">
        <v>2760</v>
      </c>
      <c r="H16" s="23">
        <f t="shared" si="1"/>
        <v>0</v>
      </c>
      <c r="I16" s="24">
        <f t="shared" si="2"/>
        <v>0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/>
      <c r="G17" s="22">
        <v>2760</v>
      </c>
      <c r="H17" s="23">
        <f t="shared" si="1"/>
        <v>0</v>
      </c>
      <c r="I17" s="24">
        <f t="shared" si="2"/>
        <v>0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/>
      <c r="G18" s="22">
        <v>2760</v>
      </c>
      <c r="H18" s="23">
        <f t="shared" si="1"/>
        <v>0</v>
      </c>
      <c r="I18" s="24">
        <f t="shared" si="2"/>
        <v>0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/>
      <c r="G19" s="22">
        <v>2760</v>
      </c>
      <c r="H19" s="23">
        <f>G19*F19</f>
        <v>0</v>
      </c>
      <c r="I19" s="24">
        <f t="shared" si="2"/>
        <v>0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/>
      <c r="G20" s="22">
        <v>2760</v>
      </c>
      <c r="H20" s="23">
        <f t="shared" si="1"/>
        <v>0</v>
      </c>
      <c r="I20" s="24">
        <f t="shared" si="2"/>
        <v>0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2021-10-09T11:36:18Z</dcterms:modified>
</cp:coreProperties>
</file>