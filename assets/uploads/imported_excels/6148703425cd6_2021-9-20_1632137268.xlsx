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627800EE-8964-48A4-9714-CCD9DDDB4569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E3" i="3" s="1"/>
  <c r="B4" i="3"/>
  <c r="B5" i="3"/>
  <c r="B6" i="3"/>
  <c r="B7" i="3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6" i="4" s="1"/>
  <c r="C12" i="2"/>
  <c r="C13" i="2"/>
  <c r="C12" i="4" s="1"/>
  <c r="C14" i="2"/>
  <c r="C13" i="4" s="1"/>
  <c r="C15" i="2"/>
  <c r="C14" i="4" s="1"/>
  <c r="C16" i="2"/>
  <c r="D15" i="3" s="1"/>
  <c r="C17" i="4"/>
  <c r="C20" i="2"/>
  <c r="C25" i="2"/>
  <c r="C24" i="4" s="1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E12" i="2"/>
  <c r="E11" i="4" s="1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0" i="4" s="1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C25" i="4"/>
  <c r="D7" i="3"/>
  <c r="E22" i="4"/>
  <c r="H7" i="4"/>
  <c r="C5" i="4"/>
  <c r="K22" i="4"/>
  <c r="J7" i="4"/>
  <c r="C16" i="4"/>
  <c r="C19" i="4"/>
  <c r="C22" i="4"/>
  <c r="K8" i="4"/>
  <c r="D16" i="3"/>
  <c r="G8" i="4"/>
  <c r="D11" i="3" l="1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<sst xmlns="http://schemas.openxmlformats.org/spreadsheetml/2006/main" count="201" uniqueCount="128">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</sst>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-2528500.0000000005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71488"/>
        <c:axId val="188673024"/>
      </c:barChart>
      <c:catAx>
        <c:axId val="1886714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88673024"/>
        <c:crosses val="autoZero"/>
        <c:auto val="1"/>
        <c:lblAlgn val="ctr"/>
        <c:lblOffset val="100"/>
        <c:noMultiLvlLbl val="0"/>
      </c:catAx>
      <c:valAx>
        <c:axId val="18867302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88671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2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22480.000000000247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21649.999999997817</v>
      </c>
      <c r="F7" s="48">
        <v>0.15</v>
      </c>
      <c r="G7" s="107">
        <v>5954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6009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20830.000000000611</v>
      </c>
      <c r="F9" s="48">
        <v>0.15</v>
      </c>
      <c r="G9" s="107">
        <v>5695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21529.999999997472</v>
      </c>
      <c r="F10" s="48">
        <v>0.15</v>
      </c>
      <c r="G10" s="107">
        <v>5985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21059.999999999945</v>
      </c>
      <c r="F11" s="48">
        <v>0.15</v>
      </c>
      <c r="G11" s="107">
        <v>5802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21830.000000003114</v>
      </c>
      <c r="F12" s="48">
        <v>0.15</v>
      </c>
      <c r="G12" s="107">
        <v>5894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>
        <v>21360.000000000131</v>
      </c>
      <c r="F14" s="48">
        <v>0.15</v>
      </c>
      <c r="G14" s="107">
        <v>6005</v>
      </c>
      <c r="H14" s="48">
        <v>0.5927</v>
      </c>
      <c r="I14" s="65">
        <v>224</v>
      </c>
      <c r="J14" s="76">
        <v>1.133</v>
      </c>
      <c r="K14" s="108"/>
      <c r="L14" s="76"/>
      <c r="M14" s="72">
        <v>16</v>
      </c>
      <c r="N14" s="72">
        <v>37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>
        <v>21449.999999998457</v>
      </c>
      <c r="F15" s="48">
        <v>0.15</v>
      </c>
      <c r="G15" s="107">
        <v>5853</v>
      </c>
      <c r="H15" s="48">
        <v>0.5927</v>
      </c>
      <c r="I15" s="65">
        <v>235</v>
      </c>
      <c r="J15" s="76">
        <v>1.133</v>
      </c>
      <c r="K15" s="108"/>
      <c r="L15" s="76"/>
      <c r="M15" s="72">
        <v>15</v>
      </c>
      <c r="N15" s="72">
        <v>34</v>
      </c>
      <c r="O15" s="72">
        <v>87</v>
      </c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>
        <v>18569.999999999709</v>
      </c>
      <c r="F16" s="48">
        <v>0.15</v>
      </c>
      <c r="G16" s="107">
        <v>4985</v>
      </c>
      <c r="H16" s="48">
        <v>0.5927</v>
      </c>
      <c r="I16" s="65">
        <v>287</v>
      </c>
      <c r="J16" s="76">
        <v>1.133</v>
      </c>
      <c r="K16" s="108"/>
      <c r="L16" s="76"/>
      <c r="M16" s="72">
        <v>19</v>
      </c>
      <c r="N16" s="72">
        <v>48</v>
      </c>
      <c r="O16" s="72">
        <v>98</v>
      </c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>
        <v>21740.000000002055</v>
      </c>
      <c r="F17" s="48">
        <v>0.15</v>
      </c>
      <c r="G17" s="107">
        <v>6056</v>
      </c>
      <c r="H17" s="48">
        <v>0.5927</v>
      </c>
      <c r="I17" s="65">
        <v>273</v>
      </c>
      <c r="J17" s="76">
        <v>1.133</v>
      </c>
      <c r="K17" s="108"/>
      <c r="L17" s="76"/>
      <c r="M17" s="72">
        <v>19</v>
      </c>
      <c r="N17" s="72">
        <v>48</v>
      </c>
      <c r="O17" s="72">
        <v>119</v>
      </c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>
        <v>22409.999999998261</v>
      </c>
      <c r="F18" s="48">
        <v>0.15</v>
      </c>
      <c r="G18" s="107">
        <v>6015</v>
      </c>
      <c r="H18" s="48">
        <v>0.5927</v>
      </c>
      <c r="I18" s="65">
        <v>246</v>
      </c>
      <c r="J18" s="76">
        <v>1.133</v>
      </c>
      <c r="K18" s="108"/>
      <c r="L18" s="76"/>
      <c r="M18" s="72">
        <v>19</v>
      </c>
      <c r="N18" s="72">
        <v>49</v>
      </c>
      <c r="O18" s="72">
        <v>127</v>
      </c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>
        <v>22720.000000000029</v>
      </c>
      <c r="F19" s="48">
        <v>0.15</v>
      </c>
      <c r="G19" s="107">
        <v>6180</v>
      </c>
      <c r="H19" s="48">
        <v>0.5927</v>
      </c>
      <c r="I19" s="65">
        <v>237</v>
      </c>
      <c r="J19" s="76">
        <v>1.133</v>
      </c>
      <c r="K19" s="108"/>
      <c r="L19" s="76"/>
      <c r="M19" s="72">
        <v>18</v>
      </c>
      <c r="N19" s="72">
        <v>43</v>
      </c>
      <c r="O19" s="72">
        <v>124</v>
      </c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>
        <v>21610.000000001946</v>
      </c>
      <c r="F20" s="48">
        <v>0.15</v>
      </c>
      <c r="G20" s="107">
        <v>5921</v>
      </c>
      <c r="H20" s="48">
        <v>0.5927</v>
      </c>
      <c r="I20" s="65">
        <v>206</v>
      </c>
      <c r="J20" s="76">
        <v>1.133</v>
      </c>
      <c r="K20" s="108"/>
      <c r="L20" s="76"/>
      <c r="M20" s="72">
        <v>17</v>
      </c>
      <c r="N20" s="72">
        <v>37</v>
      </c>
      <c r="O20" s="72">
        <v>119</v>
      </c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408030.00000000192</v>
      </c>
      <c r="F33" s="104">
        <v>0</v>
      </c>
      <c r="G33" s="101">
        <f>SUM(G2:G32)</f>
        <v>111584</v>
      </c>
      <c r="H33" s="102">
        <v>0</v>
      </c>
      <c r="I33" s="103">
        <f>SUM(I2:I32)</f>
        <v>4604</v>
      </c>
      <c r="J33" s="104">
        <v>0</v>
      </c>
      <c r="K33" s="105">
        <v>0</v>
      </c>
      <c r="L33" s="102">
        <v>0</v>
      </c>
      <c r="M33" s="106">
        <f t="shared" ref="M33:O33" si="1">SUM(M2:M32)</f>
        <v>350</v>
      </c>
      <c r="N33" s="106">
        <f t="shared" si="1"/>
        <v>802</v>
      </c>
      <c r="O33" s="106">
        <f t="shared" si="1"/>
        <v>2214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127</v>
      </c>
      <c r="C2" s="113" t="s">
        <v>11</v>
      </c>
      <c r="D2" s="113" t="s">
        <v>12</v>
      </c>
      <c r="E2" s="113" t="s">
        <v>13</v>
      </c>
      <c r="F2" s="113" t="s">
        <v>14</v>
      </c>
      <c r="G2" s="118" t="s">
        <v>15</v>
      </c>
      <c r="H2" s="120" t="s">
        <v>16</v>
      </c>
      <c r="I2" s="113" t="s">
        <v>17</v>
      </c>
      <c r="J2" s="123" t="s">
        <v>18</v>
      </c>
      <c r="K2" s="124"/>
      <c r="L2" s="125"/>
      <c r="M2" s="118" t="s">
        <v>19</v>
      </c>
      <c r="N2" s="120" t="s">
        <v>20</v>
      </c>
      <c r="O2" s="121" t="s">
        <v>21</v>
      </c>
      <c r="P2" s="120" t="s">
        <v>22</v>
      </c>
      <c r="Q2" s="126" t="s">
        <v>23</v>
      </c>
      <c r="R2" s="113" t="s">
        <v>24</v>
      </c>
      <c r="S2" s="113" t="s">
        <v>25</v>
      </c>
      <c r="T2" s="113" t="s">
        <v>26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27</v>
      </c>
      <c r="K3" s="18" t="s">
        <v>28</v>
      </c>
      <c r="L3" s="18" t="s">
        <v>29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>
        <v>16</v>
      </c>
      <c r="W16" s="71">
        <v>37</v>
      </c>
      <c r="X16" s="71">
        <v>114</v>
      </c>
      <c r="Y16" s="17"/>
    </row>
    <row r="17" spans="1:25" ht="21" customHeight="1" x14ac:dyDescent="0.25">
      <c r="A17" s="8">
        <v>44453</v>
      </c>
      <c r="B17" s="1">
        <v>1.0833999999999999</v>
      </c>
      <c r="C17" s="1">
        <v>247.84</v>
      </c>
      <c r="D17" s="1">
        <v>7655623.9699999997</v>
      </c>
      <c r="E17" s="1">
        <v>8418323.8000000007</v>
      </c>
      <c r="F17" s="1">
        <v>2.5594000000000001</v>
      </c>
      <c r="G17" s="1">
        <v>809.07</v>
      </c>
      <c r="H17" s="1">
        <v>661.78</v>
      </c>
      <c r="I17" s="1">
        <v>259.63</v>
      </c>
      <c r="J17" s="1">
        <v>335.95</v>
      </c>
      <c r="K17" s="1">
        <v>361.75</v>
      </c>
      <c r="L17" s="1">
        <v>249.12</v>
      </c>
      <c r="M17" s="1">
        <v>575.29</v>
      </c>
      <c r="N17" s="1">
        <v>526.52</v>
      </c>
      <c r="O17" s="1">
        <v>168.3</v>
      </c>
      <c r="P17" s="1">
        <v>693.97</v>
      </c>
      <c r="Q17" s="1">
        <v>512.66999999999996</v>
      </c>
      <c r="R17" s="1">
        <v>177.72</v>
      </c>
      <c r="S17" s="1">
        <v>124.27</v>
      </c>
      <c r="T17" s="1">
        <v>455.24</v>
      </c>
      <c r="V17" s="71">
        <v>15</v>
      </c>
      <c r="W17" s="71">
        <v>34</v>
      </c>
      <c r="X17" s="71">
        <v>87</v>
      </c>
      <c r="Y17" s="17"/>
    </row>
    <row r="18" spans="1:25" ht="21" customHeight="1" x14ac:dyDescent="0.25">
      <c r="A18" s="8">
        <v>44454</v>
      </c>
      <c r="B18" s="1">
        <v>1.0849</v>
      </c>
      <c r="C18" s="1">
        <v>248.09</v>
      </c>
      <c r="D18" s="1">
        <v>7658014.9500000002</v>
      </c>
      <c r="E18" s="1">
        <v>8421082.3499999996</v>
      </c>
      <c r="F18" s="1">
        <v>2.5617999999999999</v>
      </c>
      <c r="G18" s="1">
        <v>809.81</v>
      </c>
      <c r="H18" s="1">
        <v>662.33</v>
      </c>
      <c r="I18" s="1">
        <v>259.92</v>
      </c>
      <c r="J18" s="1">
        <v>336.21</v>
      </c>
      <c r="K18" s="1">
        <v>362.07</v>
      </c>
      <c r="L18" s="1">
        <v>249.29</v>
      </c>
      <c r="M18" s="1">
        <v>576.08000000000004</v>
      </c>
      <c r="N18" s="1">
        <v>527.35</v>
      </c>
      <c r="O18" s="1">
        <v>168.48</v>
      </c>
      <c r="P18" s="1">
        <v>694.76</v>
      </c>
      <c r="Q18" s="1">
        <v>513.35</v>
      </c>
      <c r="R18" s="1">
        <v>177.96</v>
      </c>
      <c r="S18" s="1">
        <v>124.4</v>
      </c>
      <c r="T18" s="1">
        <v>455.75</v>
      </c>
      <c r="V18" s="71">
        <v>19</v>
      </c>
      <c r="W18" s="71">
        <v>48</v>
      </c>
      <c r="X18" s="71">
        <v>98</v>
      </c>
      <c r="Y18" s="17"/>
    </row>
    <row r="19" spans="1:25" ht="21" customHeight="1" x14ac:dyDescent="0.25">
      <c r="A19" s="8">
        <v>44455</v>
      </c>
      <c r="B19" s="1">
        <v>1.0860000000000001</v>
      </c>
      <c r="C19" s="1">
        <v>248.33</v>
      </c>
      <c r="D19" s="1">
        <v>7659904.0800000001</v>
      </c>
      <c r="E19" s="1">
        <v>8423172.3599999994</v>
      </c>
      <c r="F19" s="1">
        <v>2.5642</v>
      </c>
      <c r="G19" s="1">
        <v>810.42</v>
      </c>
      <c r="H19" s="1">
        <v>662.75</v>
      </c>
      <c r="I19" s="1">
        <v>260.16000000000003</v>
      </c>
      <c r="J19" s="1">
        <v>336.47</v>
      </c>
      <c r="K19" s="1">
        <v>362.3</v>
      </c>
      <c r="L19" s="1">
        <v>249.51</v>
      </c>
      <c r="M19" s="1">
        <v>576.67999999999995</v>
      </c>
      <c r="N19" s="1">
        <v>527.91</v>
      </c>
      <c r="O19" s="1">
        <v>168.66</v>
      </c>
      <c r="P19" s="1">
        <v>695.48</v>
      </c>
      <c r="Q19" s="1">
        <v>513.9</v>
      </c>
      <c r="R19" s="1">
        <v>178.2</v>
      </c>
      <c r="S19" s="1">
        <v>124.52</v>
      </c>
      <c r="T19" s="1">
        <v>456.25</v>
      </c>
      <c r="V19" s="71">
        <v>19</v>
      </c>
      <c r="W19" s="71">
        <v>48</v>
      </c>
      <c r="X19" s="71">
        <v>119</v>
      </c>
      <c r="Y19" s="17"/>
    </row>
    <row r="20" spans="1:25" ht="21" customHeight="1" x14ac:dyDescent="0.25">
      <c r="A20" s="8">
        <v>44456</v>
      </c>
      <c r="B20" s="1">
        <v>1.0872999999999999</v>
      </c>
      <c r="C20" s="1">
        <v>248.59</v>
      </c>
      <c r="D20" s="1">
        <v>7662468.7400000002</v>
      </c>
      <c r="E20" s="1">
        <v>8426021.4100000001</v>
      </c>
      <c r="F20" s="1">
        <v>2.5666000000000002</v>
      </c>
      <c r="G20" s="1">
        <v>811.25</v>
      </c>
      <c r="H20" s="1">
        <v>663.44</v>
      </c>
      <c r="I20" s="1">
        <v>260.44</v>
      </c>
      <c r="J20" s="1">
        <v>336.68</v>
      </c>
      <c r="K20" s="1">
        <v>362.58</v>
      </c>
      <c r="L20" s="1">
        <v>249.7</v>
      </c>
      <c r="M20" s="1">
        <v>577.47</v>
      </c>
      <c r="N20" s="1">
        <v>528.73</v>
      </c>
      <c r="O20" s="1">
        <v>168.85</v>
      </c>
      <c r="P20" s="1">
        <v>696.4</v>
      </c>
      <c r="Q20" s="1">
        <v>514.6</v>
      </c>
      <c r="R20" s="1">
        <v>178.43</v>
      </c>
      <c r="S20" s="1">
        <v>124.63</v>
      </c>
      <c r="T20" s="1">
        <v>456.74</v>
      </c>
      <c r="V20" s="71">
        <v>19</v>
      </c>
      <c r="W20" s="71">
        <v>49</v>
      </c>
      <c r="X20" s="71">
        <v>127</v>
      </c>
      <c r="Y20" s="17"/>
    </row>
    <row r="21" spans="1:25" ht="21" customHeight="1" x14ac:dyDescent="0.25">
      <c r="A21" s="8">
        <v>44457</v>
      </c>
      <c r="B21" s="1">
        <v>1.0886</v>
      </c>
      <c r="C21" s="1">
        <v>248.82</v>
      </c>
      <c r="D21" s="1">
        <v>7665040.75</v>
      </c>
      <c r="E21" s="1">
        <v>8428762.9800000004</v>
      </c>
      <c r="F21" s="1">
        <v>2.569</v>
      </c>
      <c r="G21" s="1">
        <v>812.08</v>
      </c>
      <c r="H21" s="1">
        <v>664.16</v>
      </c>
      <c r="I21" s="1">
        <v>260.70999999999998</v>
      </c>
      <c r="J21" s="1">
        <v>336.95</v>
      </c>
      <c r="K21" s="1">
        <v>362.89</v>
      </c>
      <c r="L21" s="1">
        <v>249.91</v>
      </c>
      <c r="M21" s="1">
        <v>578.32000000000005</v>
      </c>
      <c r="N21" s="1">
        <v>529.54999999999995</v>
      </c>
      <c r="O21" s="1">
        <v>169.06</v>
      </c>
      <c r="P21" s="1">
        <v>697.3</v>
      </c>
      <c r="Q21" s="1">
        <v>515.30999999999995</v>
      </c>
      <c r="R21" s="1">
        <v>178.67</v>
      </c>
      <c r="S21" s="1">
        <v>124.74</v>
      </c>
      <c r="T21" s="1">
        <v>457.01</v>
      </c>
      <c r="V21" s="71">
        <v>18</v>
      </c>
      <c r="W21" s="71">
        <v>43</v>
      </c>
      <c r="X21" s="71">
        <v>124</v>
      </c>
      <c r="Y21" s="17"/>
    </row>
    <row r="22" spans="1:25" ht="21" customHeight="1" x14ac:dyDescent="0.25">
      <c r="A22" s="8">
        <v>44458</v>
      </c>
      <c r="B22" s="1">
        <v>1.0900000000000001</v>
      </c>
      <c r="C22" s="1">
        <v>249.04</v>
      </c>
      <c r="D22" s="1">
        <v>7667575.6399999997</v>
      </c>
      <c r="E22" s="1">
        <v>8431781.2300000004</v>
      </c>
      <c r="F22" s="1">
        <v>2.5714000000000001</v>
      </c>
      <c r="G22" s="1">
        <v>812.9</v>
      </c>
      <c r="H22" s="1">
        <v>664.92</v>
      </c>
      <c r="I22" s="1">
        <v>261</v>
      </c>
      <c r="J22" s="1">
        <v>337.18</v>
      </c>
      <c r="K22" s="1">
        <v>363.21</v>
      </c>
      <c r="L22" s="1">
        <v>250.09</v>
      </c>
      <c r="M22" s="1">
        <v>579.12</v>
      </c>
      <c r="N22" s="1">
        <v>530.41999999999996</v>
      </c>
      <c r="O22" s="1">
        <v>169.27</v>
      </c>
      <c r="P22" s="1">
        <v>698.28</v>
      </c>
      <c r="Q22" s="1">
        <v>516.09</v>
      </c>
      <c r="R22" s="28">
        <v>178.9</v>
      </c>
      <c r="S22" s="28">
        <v>124.86</v>
      </c>
      <c r="T22" s="1">
        <v>457.51</v>
      </c>
      <c r="V22" s="71">
        <v>17</v>
      </c>
      <c r="W22" s="71">
        <v>37</v>
      </c>
      <c r="X22" s="71">
        <v>119</v>
      </c>
      <c r="Y22" s="17"/>
    </row>
    <row r="23" spans="1:25" ht="21" customHeight="1" x14ac:dyDescent="0.25">
      <c r="A23" s="8">
        <v>44459</v>
      </c>
      <c r="B23" s="1">
        <v>1.0913999999999999</v>
      </c>
      <c r="C23" s="1">
        <v>249.28</v>
      </c>
      <c r="D23" s="1">
        <v>7669893.8899999997</v>
      </c>
      <c r="E23" s="1">
        <v>8434612.7200000007</v>
      </c>
      <c r="F23" s="1">
        <v>2.5739999999999998</v>
      </c>
      <c r="G23" s="1">
        <v>813.73</v>
      </c>
      <c r="H23" s="1">
        <v>665.55</v>
      </c>
      <c r="I23" s="1">
        <v>261.29000000000002</v>
      </c>
      <c r="J23" s="1">
        <v>337.43</v>
      </c>
      <c r="K23" s="1">
        <v>363.49</v>
      </c>
      <c r="L23" s="1">
        <v>250.3</v>
      </c>
      <c r="M23" s="1">
        <v>579.9</v>
      </c>
      <c r="N23" s="1">
        <v>531.25</v>
      </c>
      <c r="O23" s="1">
        <v>169.49</v>
      </c>
      <c r="P23" s="1">
        <v>699.25</v>
      </c>
      <c r="Q23" s="1">
        <v>516.83000000000004</v>
      </c>
      <c r="R23" s="1">
        <v>179.14</v>
      </c>
      <c r="S23" s="1">
        <v>124.98</v>
      </c>
      <c r="T23" s="1">
        <v>458.05</v>
      </c>
      <c r="V23" s="71"/>
      <c r="W23" s="71"/>
      <c r="X23" s="71"/>
      <c r="Y23" s="17"/>
    </row>
    <row r="24" spans="1:25" ht="21" customHeight="1" x14ac:dyDescent="0.25">
      <c r="A24" s="8">
        <v>44460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44461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350</v>
      </c>
      <c r="W35" s="78">
        <f>SUM(W4:W34)</f>
        <v>802</v>
      </c>
      <c r="X35" s="78">
        <f>SUM(X4:X34)</f>
        <v>2214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6" sqref="E4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31</v>
      </c>
      <c r="B2" s="113" t="s">
        <v>32</v>
      </c>
      <c r="C2" s="113" t="s">
        <v>33</v>
      </c>
      <c r="D2" s="113" t="s">
        <v>119</v>
      </c>
      <c r="E2" s="121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22"/>
      <c r="B3" s="114"/>
      <c r="C3" s="114"/>
      <c r="D3" s="114"/>
      <c r="E3" s="122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22480.000000000247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6540.2200000019566</v>
      </c>
    </row>
    <row r="9" spans="1:22" x14ac:dyDescent="0.25">
      <c r="A9" s="3">
        <f>'Kwh Reading'!A9</f>
        <v>44445</v>
      </c>
      <c r="B9" s="26">
        <f>TOTAL!E7</f>
        <v>21649.999999997817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6023.6999999968393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21059.999999999945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5499.0800000003692</v>
      </c>
    </row>
    <row r="14" spans="1:22" x14ac:dyDescent="0.25">
      <c r="A14" s="3">
        <f>'Kwh Reading'!A14</f>
        <v>44450</v>
      </c>
      <c r="B14" s="26">
        <f>TOTAL!E12</f>
        <v>21830.000000003114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5920.2700000025434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21360.000000000131</v>
      </c>
      <c r="C16" s="4">
        <f>('Kwh Reading'!T17-'Kwh Reading'!T16)*1000</f>
        <v>490.00000000000909</v>
      </c>
      <c r="D16" s="2">
        <f>('Kwh Reading'!F17-'Kwh Reading'!F16)*1000000</f>
        <v>2400.0000000001796</v>
      </c>
      <c r="E16" s="2">
        <f>('Kwh Reading'!C17-'Kwh Reading'!C16)*1000</f>
        <v>210.00000000000796</v>
      </c>
      <c r="F16" s="2">
        <f>('Kwh Reading'!J17-'Kwh Reading'!J16)*1000</f>
        <v>300.00000000001137</v>
      </c>
      <c r="G16" s="2">
        <f>('Kwh Reading'!K17-'Kwh Reading'!K16)*1000</f>
        <v>279.99999999997272</v>
      </c>
      <c r="H16" s="2">
        <f>('Kwh Reading'!L17-'Kwh Reading'!L16)*1000</f>
        <v>200.00000000001705</v>
      </c>
      <c r="I16" s="2">
        <f>('Kwh Reading'!R17-'Kwh Reading'!R16)*1000</f>
        <v>240.00000000000909</v>
      </c>
      <c r="J16" s="2">
        <f>('Kwh Reading'!S17-'Kwh Reading'!S16)*1000</f>
        <v>119.99999999999034</v>
      </c>
      <c r="K16" s="2">
        <f>('Kwh Reading'!I17-'Kwh Reading'!I16)*1000</f>
        <v>269.99999999998181</v>
      </c>
      <c r="L16" s="2">
        <f>('Kwh Reading'!B17-'Kwh Reading'!B16)*1000000</f>
        <v>1499.9999999998347</v>
      </c>
      <c r="M16" s="2">
        <f>('Kwh Reading'!M17-'Kwh Reading'!M16)*1000</f>
        <v>870.00000000000455</v>
      </c>
      <c r="N16" s="2">
        <f>('Kwh Reading'!H17-'Kwh Reading'!H16)*1000</f>
        <v>600.00000000002274</v>
      </c>
      <c r="O16" s="2">
        <f>('Kwh Reading'!P17-'Kwh Reading'!P16)*1000</f>
        <v>759.99999999999091</v>
      </c>
      <c r="P16" s="2">
        <f>('Kwh Reading'!G17-'Kwh Reading'!G16)*1000</f>
        <v>760.00000000010459</v>
      </c>
      <c r="Q16" s="2">
        <f>('Kwh Reading'!Q17-'Kwh Reading'!Q16)*1000</f>
        <v>689.99999999994088</v>
      </c>
      <c r="R16" s="2">
        <f>('Kwh Reading'!N17-'Kwh Reading'!N16)*1000</f>
        <v>799.99999999995453</v>
      </c>
      <c r="S16" s="34">
        <f>'Kwh Reading'!E17-'Kwh Reading'!E16</f>
        <v>2440.4000000003725</v>
      </c>
      <c r="T16" s="34">
        <f>'Kwh Reading'!D17-'Kwh Reading'!D16</f>
        <v>2276.1499999994412</v>
      </c>
      <c r="U16" s="27">
        <f>('Kwh Reading'!O17-'Kwh Reading'!O16)*1000</f>
        <v>200.00000000001705</v>
      </c>
      <c r="V16" s="16">
        <f t="shared" si="1"/>
        <v>5953.4500000002699</v>
      </c>
    </row>
    <row r="17" spans="1:22" x14ac:dyDescent="0.25">
      <c r="A17" s="3">
        <f>'Kwh Reading'!A17</f>
        <v>44453</v>
      </c>
      <c r="B17" s="26">
        <f>TOTAL!E15</f>
        <v>21449.999999998457</v>
      </c>
      <c r="C17" s="4">
        <f>('Kwh Reading'!T18-'Kwh Reading'!T17)*1000</f>
        <v>509.99999999999091</v>
      </c>
      <c r="D17" s="2">
        <f>('Kwh Reading'!F18-'Kwh Reading'!F17)*1000000</f>
        <v>2399.9999999997358</v>
      </c>
      <c r="E17" s="2">
        <f>('Kwh Reading'!C18-'Kwh Reading'!C17)*1000</f>
        <v>250</v>
      </c>
      <c r="F17" s="2">
        <f>('Kwh Reading'!J18-'Kwh Reading'!J17)*1000</f>
        <v>259.99999999999091</v>
      </c>
      <c r="G17" s="2">
        <f>('Kwh Reading'!K18-'Kwh Reading'!K17)*1000</f>
        <v>319.99999999999318</v>
      </c>
      <c r="H17" s="2">
        <f>('Kwh Reading'!L18-'Kwh Reading'!L17)*1000</f>
        <v>169.99999999998749</v>
      </c>
      <c r="I17" s="2">
        <f>('Kwh Reading'!R18-'Kwh Reading'!R17)*1000</f>
        <v>240.00000000000909</v>
      </c>
      <c r="J17" s="2">
        <f>('Kwh Reading'!S18-'Kwh Reading'!S17)*1000</f>
        <v>130.00000000000966</v>
      </c>
      <c r="K17" s="2">
        <f>('Kwh Reading'!I18-'Kwh Reading'!I17)*1000</f>
        <v>290.00000000002046</v>
      </c>
      <c r="L17" s="2">
        <f>('Kwh Reading'!B18-'Kwh Reading'!B17)*1000000</f>
        <v>1500.0000000000568</v>
      </c>
      <c r="M17" s="2">
        <f>('Kwh Reading'!M18-'Kwh Reading'!M17)*1000</f>
        <v>790.00000000007731</v>
      </c>
      <c r="N17" s="2">
        <f>('Kwh Reading'!H18-'Kwh Reading'!H17)*1000</f>
        <v>550.00000000006821</v>
      </c>
      <c r="O17" s="2">
        <f>('Kwh Reading'!P18-'Kwh Reading'!P17)*1000</f>
        <v>789.99999999996362</v>
      </c>
      <c r="P17" s="2">
        <f>('Kwh Reading'!G18-'Kwh Reading'!G17)*1000</f>
        <v>739.99999999989541</v>
      </c>
      <c r="Q17" s="2">
        <f>('Kwh Reading'!Q18-'Kwh Reading'!Q17)*1000</f>
        <v>680.00000000006366</v>
      </c>
      <c r="R17" s="2">
        <f>('Kwh Reading'!N18-'Kwh Reading'!N17)*1000</f>
        <v>830.00000000004093</v>
      </c>
      <c r="S17" s="34">
        <f>'Kwh Reading'!E18-'Kwh Reading'!E17</f>
        <v>2758.5499999988824</v>
      </c>
      <c r="T17" s="34">
        <f>'Kwh Reading'!D18-'Kwh Reading'!D17</f>
        <v>2390.980000000447</v>
      </c>
      <c r="U17" s="27">
        <f>('Kwh Reading'!O18-'Kwh Reading'!O17)*1000</f>
        <v>179.9999999999784</v>
      </c>
      <c r="V17" s="16">
        <f t="shared" si="1"/>
        <v>5670.4699999992445</v>
      </c>
    </row>
    <row r="18" spans="1:22" x14ac:dyDescent="0.25">
      <c r="A18" s="3">
        <f>'Kwh Reading'!A18</f>
        <v>44454</v>
      </c>
      <c r="B18" s="26">
        <f>TOTAL!E16</f>
        <v>18569.999999999709</v>
      </c>
      <c r="C18" s="4">
        <f>('Kwh Reading'!T19-'Kwh Reading'!T18)*1000</f>
        <v>500</v>
      </c>
      <c r="D18" s="2">
        <f>('Kwh Reading'!F19-'Kwh Reading'!F18)*1000000</f>
        <v>2400.0000000001796</v>
      </c>
      <c r="E18" s="2">
        <f>('Kwh Reading'!C19-'Kwh Reading'!C18)*1000</f>
        <v>240.00000000000909</v>
      </c>
      <c r="F18" s="2">
        <f>('Kwh Reading'!J19-'Kwh Reading'!J18)*1000</f>
        <v>260.00000000004775</v>
      </c>
      <c r="G18" s="2">
        <f>('Kwh Reading'!K19-'Kwh Reading'!K18)*1000</f>
        <v>230.00000000001819</v>
      </c>
      <c r="H18" s="2">
        <f>('Kwh Reading'!L19-'Kwh Reading'!L18)*1000</f>
        <v>219.99999999999886</v>
      </c>
      <c r="I18" s="2">
        <f>('Kwh Reading'!R19-'Kwh Reading'!R18)*1000</f>
        <v>239.99999999998067</v>
      </c>
      <c r="J18" s="2">
        <f>('Kwh Reading'!S19-'Kwh Reading'!S18)*1000</f>
        <v>119.99999999999034</v>
      </c>
      <c r="K18" s="2">
        <f>('Kwh Reading'!I19-'Kwh Reading'!I18)*1000</f>
        <v>240.00000000000909</v>
      </c>
      <c r="L18" s="2">
        <f>('Kwh Reading'!B19-'Kwh Reading'!B18)*1000000</f>
        <v>1100.000000000101</v>
      </c>
      <c r="M18" s="2">
        <f>('Kwh Reading'!M19-'Kwh Reading'!M18)*1000</f>
        <v>599.99999999990905</v>
      </c>
      <c r="N18" s="2">
        <f>('Kwh Reading'!H19-'Kwh Reading'!H18)*1000</f>
        <v>419.99999999995907</v>
      </c>
      <c r="O18" s="2">
        <f>('Kwh Reading'!P19-'Kwh Reading'!P18)*1000</f>
        <v>720.00000000002728</v>
      </c>
      <c r="P18" s="2">
        <f>('Kwh Reading'!G19-'Kwh Reading'!G18)*1000</f>
        <v>610.00000000001364</v>
      </c>
      <c r="Q18" s="2">
        <f>('Kwh Reading'!Q19-'Kwh Reading'!Q18)*1000</f>
        <v>549.99999999995453</v>
      </c>
      <c r="R18" s="2">
        <f>('Kwh Reading'!N19-'Kwh Reading'!N18)*1000</f>
        <v>559.99999999994543</v>
      </c>
      <c r="S18" s="34">
        <f>'Kwh Reading'!E19-'Kwh Reading'!E18</f>
        <v>2090.0099999997765</v>
      </c>
      <c r="T18" s="34">
        <f>'Kwh Reading'!D19-'Kwh Reading'!D18</f>
        <v>1889.1299999998882</v>
      </c>
      <c r="U18" s="27">
        <f>('Kwh Reading'!O19-'Kwh Reading'!O18)*1000</f>
        <v>180.00000000000682</v>
      </c>
      <c r="V18" s="16">
        <f t="shared" si="1"/>
        <v>5400.8599999998933</v>
      </c>
    </row>
    <row r="19" spans="1:22" x14ac:dyDescent="0.25">
      <c r="A19" s="3">
        <f>'Kwh Reading'!A19</f>
        <v>44455</v>
      </c>
      <c r="B19" s="26">
        <f>TOTAL!E17</f>
        <v>21740.000000002055</v>
      </c>
      <c r="C19" s="4">
        <f>('Kwh Reading'!T20-'Kwh Reading'!T19)*1000</f>
        <v>490.00000000000909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209.99999999997954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230.00000000001819</v>
      </c>
      <c r="J19" s="2">
        <f>('Kwh Reading'!S20-'Kwh Reading'!S19)*1000</f>
        <v>109.99999999999943</v>
      </c>
      <c r="K19" s="2">
        <f>('Kwh Reading'!I20-'Kwh Reading'!I19)*1000</f>
        <v>279.99999999997272</v>
      </c>
      <c r="L19" s="2">
        <f>('Kwh Reading'!B20-'Kwh Reading'!B19)*1000000</f>
        <v>1299.9999999998568</v>
      </c>
      <c r="M19" s="2">
        <f>('Kwh Reading'!M20-'Kwh Reading'!M19)*1000</f>
        <v>790.00000000007731</v>
      </c>
      <c r="N19" s="2">
        <f>('Kwh Reading'!H20-'Kwh Reading'!H19)*1000</f>
        <v>690.00000000005457</v>
      </c>
      <c r="O19" s="2">
        <f>('Kwh Reading'!P20-'Kwh Reading'!P19)*1000</f>
        <v>919.99999999995907</v>
      </c>
      <c r="P19" s="2">
        <f>('Kwh Reading'!G20-'Kwh Reading'!G19)*1000</f>
        <v>830.00000000004093</v>
      </c>
      <c r="Q19" s="2">
        <f>('Kwh Reading'!Q20-'Kwh Reading'!Q19)*1000</f>
        <v>700.00000000004547</v>
      </c>
      <c r="R19" s="2">
        <f>('Kwh Reading'!N20-'Kwh Reading'!N19)*1000</f>
        <v>820.00000000005002</v>
      </c>
      <c r="S19" s="34">
        <f>'Kwh Reading'!E20-'Kwh Reading'!E19</f>
        <v>2849.0500000007451</v>
      </c>
      <c r="T19" s="34">
        <f>'Kwh Reading'!D20-'Kwh Reading'!D19</f>
        <v>2564.660000000149</v>
      </c>
      <c r="U19" s="27">
        <f>('Kwh Reading'!O20-'Kwh Reading'!O19)*1000</f>
        <v>189.99999999999773</v>
      </c>
      <c r="V19" s="16">
        <f t="shared" si="1"/>
        <v>5636.2900000009595</v>
      </c>
    </row>
    <row r="20" spans="1:22" x14ac:dyDescent="0.25">
      <c r="A20" s="3">
        <f>'Kwh Reading'!A20</f>
        <v>44456</v>
      </c>
      <c r="B20" s="26">
        <f>TOTAL!E18</f>
        <v>22409.999999998261</v>
      </c>
      <c r="C20" s="4">
        <f>('Kwh Reading'!T21-'Kwh Reading'!T20)*1000</f>
        <v>269.99999999998181</v>
      </c>
      <c r="D20" s="2">
        <f>('Kwh Reading'!F21-'Kwh Reading'!F20)*1000000</f>
        <v>2399.9999999997358</v>
      </c>
      <c r="E20" s="2">
        <f>('Kwh Reading'!C21-'Kwh Reading'!C20)*1000</f>
        <v>229.99999999998977</v>
      </c>
      <c r="F20" s="2">
        <f>('Kwh Reading'!J21-'Kwh Reading'!J20)*1000</f>
        <v>269.99999999998181</v>
      </c>
      <c r="G20" s="2">
        <f>('Kwh Reading'!K21-'Kwh Reading'!K20)*1000</f>
        <v>310.00000000000227</v>
      </c>
      <c r="H20" s="2">
        <f>('Kwh Reading'!L21-'Kwh Reading'!L20)*1000</f>
        <v>210.00000000000796</v>
      </c>
      <c r="I20" s="2">
        <f>('Kwh Reading'!R21-'Kwh Reading'!R20)*1000</f>
        <v>239.99999999998067</v>
      </c>
      <c r="J20" s="2">
        <f>('Kwh Reading'!S21-'Kwh Reading'!S20)*1000</f>
        <v>109.99999999999943</v>
      </c>
      <c r="K20" s="2">
        <f>('Kwh Reading'!I21-'Kwh Reading'!I20)*1000</f>
        <v>269.99999999998181</v>
      </c>
      <c r="L20" s="2">
        <f>('Kwh Reading'!B21-'Kwh Reading'!B20)*1000000</f>
        <v>1300.0000000000789</v>
      </c>
      <c r="M20" s="2">
        <f>('Kwh Reading'!M21-'Kwh Reading'!M20)*1000</f>
        <v>850.00000000002274</v>
      </c>
      <c r="N20" s="2">
        <f>('Kwh Reading'!H21-'Kwh Reading'!H20)*1000</f>
        <v>719.9999999999136</v>
      </c>
      <c r="O20" s="2">
        <f>('Kwh Reading'!P21-'Kwh Reading'!P20)*1000</f>
        <v>899.99999999997726</v>
      </c>
      <c r="P20" s="2">
        <f>('Kwh Reading'!G21-'Kwh Reading'!G20)*1000</f>
        <v>830.00000000004093</v>
      </c>
      <c r="Q20" s="2">
        <f>('Kwh Reading'!Q21-'Kwh Reading'!Q20)*1000</f>
        <v>709.99999999992269</v>
      </c>
      <c r="R20" s="2">
        <f>('Kwh Reading'!N21-'Kwh Reading'!N20)*1000</f>
        <v>819.99999999993634</v>
      </c>
      <c r="S20" s="34">
        <f>'Kwh Reading'!E21-'Kwh Reading'!E20</f>
        <v>2741.570000000298</v>
      </c>
      <c r="T20" s="34">
        <f>'Kwh Reading'!D21-'Kwh Reading'!D20</f>
        <v>2572.0099999997765</v>
      </c>
      <c r="U20" s="27">
        <f>('Kwh Reading'!O21-'Kwh Reading'!O20)*1000</f>
        <v>210.00000000000796</v>
      </c>
      <c r="V20" s="16">
        <f t="shared" si="1"/>
        <v>6446.4199999986249</v>
      </c>
    </row>
    <row r="21" spans="1:22" ht="16.5" customHeight="1" x14ac:dyDescent="0.25">
      <c r="A21" s="3">
        <f>'Kwh Reading'!A21</f>
        <v>44457</v>
      </c>
      <c r="B21" s="26">
        <f>TOTAL!E19</f>
        <v>22720.000000000029</v>
      </c>
      <c r="C21" s="4">
        <f>('Kwh Reading'!T22-'Kwh Reading'!T21)*1000</f>
        <v>500</v>
      </c>
      <c r="D21" s="2">
        <f>('Kwh Reading'!F22-'Kwh Reading'!F21)*1000000</f>
        <v>2400.0000000001796</v>
      </c>
      <c r="E21" s="2">
        <f>('Kwh Reading'!C22-'Kwh Reading'!C21)*1000</f>
        <v>219.99999999999886</v>
      </c>
      <c r="F21" s="2">
        <f>('Kwh Reading'!J22-'Kwh Reading'!J21)*1000</f>
        <v>230.00000000001819</v>
      </c>
      <c r="G21" s="2">
        <f>('Kwh Reading'!K22-'Kwh Reading'!K21)*1000</f>
        <v>319.99999999999318</v>
      </c>
      <c r="H21" s="2">
        <f>('Kwh Reading'!L22-'Kwh Reading'!L21)*1000</f>
        <v>180.00000000000682</v>
      </c>
      <c r="I21" s="2">
        <f>('Kwh Reading'!R22-'Kwh Reading'!R21)*1000</f>
        <v>230.00000000001819</v>
      </c>
      <c r="J21" s="2">
        <f>('Kwh Reading'!S22-'Kwh Reading'!S21)*1000</f>
        <v>120.00000000000455</v>
      </c>
      <c r="K21" s="2">
        <f>('Kwh Reading'!I22-'Kwh Reading'!I21)*1000</f>
        <v>290.00000000002046</v>
      </c>
      <c r="L21" s="2">
        <f>('Kwh Reading'!B22-'Kwh Reading'!B21)*1000000</f>
        <v>1400.0000000000678</v>
      </c>
      <c r="M21" s="2">
        <f>('Kwh Reading'!M22-'Kwh Reading'!M21)*1000</f>
        <v>799.99999999995453</v>
      </c>
      <c r="N21" s="2">
        <f>('Kwh Reading'!H22-'Kwh Reading'!H21)*1000</f>
        <v>759.99999999999091</v>
      </c>
      <c r="O21" s="2">
        <f>('Kwh Reading'!P22-'Kwh Reading'!P21)*1000</f>
        <v>980.00000000001819</v>
      </c>
      <c r="P21" s="2">
        <f>('Kwh Reading'!G22-'Kwh Reading'!G21)*1000</f>
        <v>819.99999999993634</v>
      </c>
      <c r="Q21" s="2">
        <f>('Kwh Reading'!Q22-'Kwh Reading'!Q21)*1000</f>
        <v>780.0000000000864</v>
      </c>
      <c r="R21" s="2">
        <f>('Kwh Reading'!N22-'Kwh Reading'!N21)*1000</f>
        <v>870.00000000000455</v>
      </c>
      <c r="S21" s="34">
        <f>'Kwh Reading'!E22-'Kwh Reading'!E21</f>
        <v>3018.25</v>
      </c>
      <c r="T21" s="34">
        <f>'Kwh Reading'!D22-'Kwh Reading'!D21</f>
        <v>2534.8899999996647</v>
      </c>
      <c r="U21" s="27">
        <f>('Kwh Reading'!O22-'Kwh Reading'!O21)*1000</f>
        <v>210.00000000000796</v>
      </c>
      <c r="V21" s="16">
        <f t="shared" si="1"/>
        <v>6056.8600000000588</v>
      </c>
    </row>
    <row r="22" spans="1:22" x14ac:dyDescent="0.25">
      <c r="A22" s="3">
        <f>'Kwh Reading'!A22</f>
        <v>44458</v>
      </c>
      <c r="B22" s="26">
        <f>TOTAL!E20</f>
        <v>21610.000000001946</v>
      </c>
      <c r="C22" s="4">
        <f>('Kwh Reading'!T23-'Kwh Reading'!T22)*1000</f>
        <v>540.00000000002046</v>
      </c>
      <c r="D22" s="2">
        <f>('Kwh Reading'!F23-'Kwh Reading'!F22)*1000000</f>
        <v>2599.9999999997135</v>
      </c>
      <c r="E22" s="2">
        <f>('Kwh Reading'!C23-'Kwh Reading'!C22)*1000</f>
        <v>240.00000000000909</v>
      </c>
      <c r="F22" s="2">
        <f>('Kwh Reading'!J23-'Kwh Reading'!J22)*1000</f>
        <v>250</v>
      </c>
      <c r="G22" s="2">
        <f>('Kwh Reading'!K23-'Kwh Reading'!K22)*1000</f>
        <v>280.00000000002956</v>
      </c>
      <c r="H22" s="2">
        <f>('Kwh Reading'!L23-'Kwh Reading'!L22)*1000</f>
        <v>210.00000000000796</v>
      </c>
      <c r="I22" s="2">
        <f>('Kwh Reading'!R23-'Kwh Reading'!R22)*1000</f>
        <v>239.99999999998067</v>
      </c>
      <c r="J22" s="2">
        <f>('Kwh Reading'!S23-'Kwh Reading'!S22)*1000</f>
        <v>120.00000000000455</v>
      </c>
      <c r="K22" s="2">
        <f>('Kwh Reading'!I23-'Kwh Reading'!I22)*1000</f>
        <v>290.00000000002046</v>
      </c>
      <c r="L22" s="2">
        <f>('Kwh Reading'!B23-'Kwh Reading'!B22)*1000000</f>
        <v>1399.9999999998458</v>
      </c>
      <c r="M22" s="2">
        <f>('Kwh Reading'!M23-'Kwh Reading'!M22)*1000</f>
        <v>779.99999999997272</v>
      </c>
      <c r="N22" s="2">
        <f>('Kwh Reading'!H23-'Kwh Reading'!H22)*1000</f>
        <v>629.99999999999545</v>
      </c>
      <c r="O22" s="2">
        <f>('Kwh Reading'!P23-'Kwh Reading'!P22)*1000</f>
        <v>970.00000000002728</v>
      </c>
      <c r="P22" s="2">
        <f>('Kwh Reading'!G23-'Kwh Reading'!G22)*1000</f>
        <v>830.00000000004093</v>
      </c>
      <c r="Q22" s="2">
        <f>('Kwh Reading'!Q23-'Kwh Reading'!Q22)*1000</f>
        <v>740.00000000000909</v>
      </c>
      <c r="R22" s="2">
        <f>('Kwh Reading'!N23-'Kwh Reading'!N22)*1000</f>
        <v>830.00000000004093</v>
      </c>
      <c r="S22" s="34">
        <f>'Kwh Reading'!E23-'Kwh Reading'!E22</f>
        <v>2831.4900000002235</v>
      </c>
      <c r="T22" s="34">
        <f>'Kwh Reading'!D23-'Kwh Reading'!D22</f>
        <v>2318.25</v>
      </c>
      <c r="U22" s="27">
        <f>('Kwh Reading'!O23-'Kwh Reading'!O22)*1000</f>
        <v>219.99999999999886</v>
      </c>
      <c r="V22" s="16">
        <f t="shared" si="1"/>
        <v>5290.2600000020047</v>
      </c>
    </row>
    <row r="23" spans="1:22" x14ac:dyDescent="0.25">
      <c r="A23" s="3">
        <f>'Kwh Reading'!A23</f>
        <v>44459</v>
      </c>
      <c r="B23" s="26">
        <f>TOTAL!E21</f>
        <v>0</v>
      </c>
      <c r="C23" s="4">
        <f>('Kwh Reading'!T24-'Kwh Reading'!T23)*1000</f>
        <v>-458050</v>
      </c>
      <c r="D23" s="2">
        <f>('Kwh Reading'!F24-'Kwh Reading'!F23)*1000000</f>
        <v>-2574000</v>
      </c>
      <c r="E23" s="2">
        <f>('Kwh Reading'!C24-'Kwh Reading'!C23)*1000</f>
        <v>-249280</v>
      </c>
      <c r="F23" s="2">
        <f>('Kwh Reading'!J24-'Kwh Reading'!J23)*1000</f>
        <v>-337430</v>
      </c>
      <c r="G23" s="2">
        <f>('Kwh Reading'!K24-'Kwh Reading'!K23)*1000</f>
        <v>-363490</v>
      </c>
      <c r="H23" s="2">
        <f>('Kwh Reading'!L24-'Kwh Reading'!L23)*1000</f>
        <v>-250300</v>
      </c>
      <c r="I23" s="2">
        <f>('Kwh Reading'!R24-'Kwh Reading'!R23)*1000</f>
        <v>-179140</v>
      </c>
      <c r="J23" s="2">
        <f>('Kwh Reading'!S24-'Kwh Reading'!S23)*1000</f>
        <v>-124980</v>
      </c>
      <c r="K23" s="2">
        <f>('Kwh Reading'!I24-'Kwh Reading'!I23)*1000</f>
        <v>-261290.00000000003</v>
      </c>
      <c r="L23" s="2">
        <f>('Kwh Reading'!B24-'Kwh Reading'!B23)*1000000</f>
        <v>-1091400</v>
      </c>
      <c r="M23" s="2">
        <f>('Kwh Reading'!M24-'Kwh Reading'!M23)*1000</f>
        <v>-579900</v>
      </c>
      <c r="N23" s="2">
        <f>('Kwh Reading'!H24-'Kwh Reading'!H23)*1000</f>
        <v>-665550</v>
      </c>
      <c r="O23" s="2">
        <f>('Kwh Reading'!P24-'Kwh Reading'!P23)*1000</f>
        <v>-699250</v>
      </c>
      <c r="P23" s="2">
        <f>('Kwh Reading'!G24-'Kwh Reading'!G23)*1000</f>
        <v>-813730</v>
      </c>
      <c r="Q23" s="2">
        <f>('Kwh Reading'!Q24-'Kwh Reading'!Q23)*1000</f>
        <v>-516830.00000000006</v>
      </c>
      <c r="R23" s="2">
        <f>('Kwh Reading'!N24-'Kwh Reading'!N23)*1000</f>
        <v>-531250</v>
      </c>
      <c r="S23" s="34">
        <f>'Kwh Reading'!E24-'Kwh Reading'!E23</f>
        <v>-8434612.7200000007</v>
      </c>
      <c r="T23" s="34">
        <f>'Kwh Reading'!D24-'Kwh Reading'!D23</f>
        <v>-7669893.8899999997</v>
      </c>
      <c r="U23" s="27">
        <f>('Kwh Reading'!O24-'Kwh Reading'!O23)*1000</f>
        <v>-169490</v>
      </c>
      <c r="V23" s="16">
        <f t="shared" si="1"/>
        <v>25969866.609999999</v>
      </c>
    </row>
    <row r="24" spans="1:22" x14ac:dyDescent="0.25">
      <c r="A24" s="3">
        <f>'Kwh Reading'!A24</f>
        <v>44460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410360.00000000239</v>
      </c>
      <c r="C35" s="75">
        <f t="shared" ref="C35" si="2">SUM(C4:C34)</f>
        <v>-449370</v>
      </c>
      <c r="D35" s="75">
        <f t="shared" ref="D35" si="3">SUM(D4:D34)</f>
        <v>-2528500.0000000005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</v>
      </c>
      <c r="H35" s="75">
        <f t="shared" si="6"/>
        <v>-246580</v>
      </c>
      <c r="I35" s="75">
        <f t="shared" si="6"/>
        <v>-174590.00000000003</v>
      </c>
      <c r="J35" s="75">
        <f t="shared" si="6"/>
        <v>-122739.99999999999</v>
      </c>
      <c r="K35" s="75">
        <f t="shared" si="6"/>
        <v>-256100.00000000003</v>
      </c>
      <c r="L35" s="75">
        <f t="shared" si="6"/>
        <v>-1065000</v>
      </c>
      <c r="M35" s="75">
        <f t="shared" si="6"/>
        <v>-564620</v>
      </c>
      <c r="N35" s="75">
        <f t="shared" si="6"/>
        <v>-653780</v>
      </c>
      <c r="O35" s="75">
        <f t="shared" si="6"/>
        <v>-682280</v>
      </c>
      <c r="P35" s="75">
        <f t="shared" si="6"/>
        <v>-798320</v>
      </c>
      <c r="Q35" s="75">
        <f t="shared" si="6"/>
        <v>-503900</v>
      </c>
      <c r="R35" s="75">
        <f t="shared" si="6"/>
        <v>-517909.99999999994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</v>
      </c>
      <c r="V35" s="75">
        <f>SUM(V4:V34)</f>
        <v>26086177.48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22480.000000000247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6540.2200000019584</v>
      </c>
    </row>
    <row r="8" spans="1:12" x14ac:dyDescent="0.25">
      <c r="A8" s="14">
        <f>'Kwh Reading'!A9</f>
        <v>44445</v>
      </c>
      <c r="B8" s="83">
        <f>TOTAL!E7</f>
        <v>21649.999999997817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6023.6999999968448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20830.000000000611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5812.4500000000589</v>
      </c>
    </row>
    <row r="11" spans="1:12" x14ac:dyDescent="0.25">
      <c r="A11" s="14">
        <f>'Kwh Reading'!A12</f>
        <v>44448</v>
      </c>
      <c r="B11" s="83">
        <f>TOTAL!E10</f>
        <v>21529.999999997472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6136.309999998728</v>
      </c>
    </row>
    <row r="12" spans="1:12" x14ac:dyDescent="0.25">
      <c r="A12" s="14">
        <f>'Kwh Reading'!A13</f>
        <v>44449</v>
      </c>
      <c r="B12" s="83">
        <f>TOTAL!E11</f>
        <v>21059.999999999945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5499.080000000371</v>
      </c>
    </row>
    <row r="13" spans="1:12" x14ac:dyDescent="0.25">
      <c r="A13" s="14">
        <f>'Kwh Reading'!A14</f>
        <v>44450</v>
      </c>
      <c r="B13" s="83">
        <f>TOTAL!E12</f>
        <v>21830.000000003114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5920.270000002547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21360.000000000131</v>
      </c>
      <c r="C15" s="1">
        <f>'Kwh Consumption'!C16</f>
        <v>490.00000000000909</v>
      </c>
      <c r="D15" s="1">
        <f>'Kwh Consumption'!D16</f>
        <v>2400.0000000001796</v>
      </c>
      <c r="E15" s="1">
        <f>'Kwh Consumption'!E16</f>
        <v>210.00000000000796</v>
      </c>
      <c r="F15" s="1">
        <f>('Kwh Consumption'!F16+'Kwh Consumption'!G16+'Kwh Consumption'!H16)</f>
        <v>780.00000000000114</v>
      </c>
      <c r="G15" s="16">
        <f>('Kwh Consumption'!I16+'Kwh Consumption'!J16)</f>
        <v>359.99999999999943</v>
      </c>
      <c r="H15" s="1">
        <f>('Kwh Consumption'!K16+'Kwh Consumption'!L16)</f>
        <v>1769.9999999998165</v>
      </c>
      <c r="I15" s="1">
        <f>('Kwh Consumption'!M16+'Kwh Consumption'!N16+'Kwh Consumption'!O16+'Kwh Consumption'!P16+'Kwh Consumption'!Q16+'Kwh Consumption'!R16)</f>
        <v>4480.0000000000182</v>
      </c>
      <c r="J15" s="1">
        <f>('Kwh Consumption'!S16+'Kwh Consumption'!T16)</f>
        <v>4716.5499999998137</v>
      </c>
      <c r="K15" s="1">
        <f>'Kwh Consumption'!U16</f>
        <v>200.00000000001705</v>
      </c>
      <c r="L15" s="32">
        <f t="shared" si="0"/>
        <v>5953.4500000002727</v>
      </c>
    </row>
    <row r="16" spans="1:12" x14ac:dyDescent="0.25">
      <c r="A16" s="14">
        <f>'Kwh Reading'!A17</f>
        <v>44453</v>
      </c>
      <c r="B16" s="83">
        <f>TOTAL!E15</f>
        <v>21449.999999998457</v>
      </c>
      <c r="C16" s="1">
        <f>'Kwh Consumption'!C17</f>
        <v>509.99999999999091</v>
      </c>
      <c r="D16" s="1">
        <f>'Kwh Consumption'!D17</f>
        <v>2399.9999999997358</v>
      </c>
      <c r="E16" s="1">
        <f>'Kwh Consumption'!E17</f>
        <v>250</v>
      </c>
      <c r="F16" s="1">
        <f>('Kwh Consumption'!F17+'Kwh Consumption'!G17+'Kwh Consumption'!H17)</f>
        <v>749.99999999997158</v>
      </c>
      <c r="G16" s="16">
        <f>('Kwh Consumption'!I17+'Kwh Consumption'!J17)</f>
        <v>370.00000000001876</v>
      </c>
      <c r="H16" s="1">
        <f>('Kwh Consumption'!K17+'Kwh Consumption'!L17)</f>
        <v>1790.0000000000773</v>
      </c>
      <c r="I16" s="1">
        <f>('Kwh Consumption'!M17+'Kwh Consumption'!N17+'Kwh Consumption'!O17+'Kwh Consumption'!P17+'Kwh Consumption'!Q17+'Kwh Consumption'!R17)</f>
        <v>4380.0000000001091</v>
      </c>
      <c r="J16" s="1">
        <f>('Kwh Consumption'!S17+'Kwh Consumption'!T17)</f>
        <v>5149.5299999993294</v>
      </c>
      <c r="K16" s="1">
        <f>'Kwh Consumption'!U17</f>
        <v>179.9999999999784</v>
      </c>
      <c r="L16" s="32">
        <f t="shared" si="0"/>
        <v>5670.4699999992481</v>
      </c>
    </row>
    <row r="17" spans="1:12" x14ac:dyDescent="0.25">
      <c r="A17" s="14">
        <f>'Kwh Reading'!A18</f>
        <v>44454</v>
      </c>
      <c r="B17" s="83">
        <f>TOTAL!E16</f>
        <v>18569.999999999709</v>
      </c>
      <c r="C17" s="1">
        <f>'Kwh Consumption'!C18</f>
        <v>500</v>
      </c>
      <c r="D17" s="1">
        <f>'Kwh Consumption'!D18</f>
        <v>2400.0000000001796</v>
      </c>
      <c r="E17" s="1">
        <f>'Kwh Consumption'!E18</f>
        <v>240.00000000000909</v>
      </c>
      <c r="F17" s="1">
        <f>('Kwh Consumption'!F18+'Kwh Consumption'!G18+'Kwh Consumption'!H18)</f>
        <v>710.0000000000648</v>
      </c>
      <c r="G17" s="16">
        <f>('Kwh Consumption'!I18+'Kwh Consumption'!J18)</f>
        <v>359.99999999997101</v>
      </c>
      <c r="H17" s="1">
        <f>('Kwh Consumption'!K18+'Kwh Consumption'!L18)</f>
        <v>1340.00000000011</v>
      </c>
      <c r="I17" s="1">
        <f>('Kwh Consumption'!M18+'Kwh Consumption'!N18+'Kwh Consumption'!O18+'Kwh Consumption'!P18+'Kwh Consumption'!Q18+'Kwh Consumption'!R18)</f>
        <v>3459.999999999809</v>
      </c>
      <c r="J17" s="1">
        <f>('Kwh Consumption'!S18+'Kwh Consumption'!T18)</f>
        <v>3979.1399999996647</v>
      </c>
      <c r="K17" s="31">
        <f>'Kwh Consumption'!U18</f>
        <v>180.00000000000682</v>
      </c>
      <c r="L17" s="32">
        <f t="shared" si="0"/>
        <v>5400.8599999998933</v>
      </c>
    </row>
    <row r="18" spans="1:12" x14ac:dyDescent="0.25">
      <c r="A18" s="14">
        <f>'Kwh Reading'!A19</f>
        <v>44455</v>
      </c>
      <c r="B18" s="83">
        <f>TOTAL!E17</f>
        <v>21740.000000002055</v>
      </c>
      <c r="C18" s="1">
        <f>'Kwh Consumption'!C19</f>
        <v>490.00000000000909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679.99999999994998</v>
      </c>
      <c r="G18" s="16">
        <f>('Kwh Consumption'!I19+'Kwh Consumption'!J19)</f>
        <v>340.00000000001762</v>
      </c>
      <c r="H18" s="1">
        <f>('Kwh Consumption'!K19+'Kwh Consumption'!L19)</f>
        <v>1579.9999999998295</v>
      </c>
      <c r="I18" s="1">
        <f>('Kwh Consumption'!M19+'Kwh Consumption'!N19+'Kwh Consumption'!O19+'Kwh Consumption'!P19+'Kwh Consumption'!Q19+'Kwh Consumption'!R19)</f>
        <v>4750.0000000002274</v>
      </c>
      <c r="J18" s="1">
        <f>('Kwh Consumption'!S19+'Kwh Consumption'!T19)</f>
        <v>5413.7100000008941</v>
      </c>
      <c r="K18" s="31">
        <f>'Kwh Consumption'!U19</f>
        <v>189.99999999999773</v>
      </c>
      <c r="L18" s="32">
        <f t="shared" si="0"/>
        <v>5636.2900000009613</v>
      </c>
    </row>
    <row r="19" spans="1:12" x14ac:dyDescent="0.25">
      <c r="A19" s="14">
        <f>'Kwh Reading'!A20</f>
        <v>44456</v>
      </c>
      <c r="B19" s="83">
        <f>TOTAL!E18</f>
        <v>22409.999999998261</v>
      </c>
      <c r="C19" s="1">
        <f>'Kwh Consumption'!C20</f>
        <v>269.99999999998181</v>
      </c>
      <c r="D19" s="1">
        <f>'Kwh Consumption'!D20</f>
        <v>2399.9999999997358</v>
      </c>
      <c r="E19" s="1">
        <f>'Kwh Consumption'!E20</f>
        <v>229.99999999998977</v>
      </c>
      <c r="F19" s="1">
        <f>('Kwh Consumption'!F20+'Kwh Consumption'!G20+'Kwh Consumption'!H20)</f>
        <v>789.99999999999204</v>
      </c>
      <c r="G19" s="16">
        <f>('Kwh Consumption'!I20+'Kwh Consumption'!J20)</f>
        <v>349.9999999999801</v>
      </c>
      <c r="H19" s="1">
        <f>('Kwh Consumption'!K20+'Kwh Consumption'!L20)</f>
        <v>1570.0000000000607</v>
      </c>
      <c r="I19" s="1">
        <f>('Kwh Consumption'!M20+'Kwh Consumption'!N20+'Kwh Consumption'!O20+'Kwh Consumption'!P20+'Kwh Consumption'!Q20+'Kwh Consumption'!R20)</f>
        <v>4829.9999999998136</v>
      </c>
      <c r="J19" s="1">
        <f>('Kwh Consumption'!S20+'Kwh Consumption'!T20)</f>
        <v>5313.5800000000745</v>
      </c>
      <c r="K19" s="1">
        <f>'Kwh Consumption'!U20</f>
        <v>210.00000000000796</v>
      </c>
      <c r="L19" s="32">
        <f t="shared" si="0"/>
        <v>6446.4199999986222</v>
      </c>
    </row>
    <row r="20" spans="1:12" x14ac:dyDescent="0.25">
      <c r="A20" s="14">
        <f>'Kwh Reading'!A21</f>
        <v>44457</v>
      </c>
      <c r="B20" s="83">
        <f>TOTAL!E19</f>
        <v>22720.000000000029</v>
      </c>
      <c r="C20" s="1">
        <f>'Kwh Consumption'!C21</f>
        <v>500</v>
      </c>
      <c r="D20" s="1">
        <f>'Kwh Consumption'!D21</f>
        <v>2400.0000000001796</v>
      </c>
      <c r="E20" s="1">
        <f>'Kwh Consumption'!E21</f>
        <v>219.99999999999886</v>
      </c>
      <c r="F20" s="1">
        <f>('Kwh Consumption'!F21+'Kwh Consumption'!G21+'Kwh Consumption'!H21)</f>
        <v>730.00000000001819</v>
      </c>
      <c r="G20" s="16">
        <f>('Kwh Consumption'!I21+'Kwh Consumption'!J21)</f>
        <v>350.00000000002274</v>
      </c>
      <c r="H20" s="1">
        <f>('Kwh Consumption'!K21+'Kwh Consumption'!L21)</f>
        <v>1690.0000000000882</v>
      </c>
      <c r="I20" s="1">
        <f>('Kwh Consumption'!M21+'Kwh Consumption'!N21+'Kwh Consumption'!O21+'Kwh Consumption'!P21+'Kwh Consumption'!Q21+'Kwh Consumption'!R21)</f>
        <v>5009.9999999999909</v>
      </c>
      <c r="J20" s="1">
        <f>('Kwh Consumption'!S21+'Kwh Consumption'!T21)</f>
        <v>5553.1399999996647</v>
      </c>
      <c r="K20" s="1">
        <f>'Kwh Consumption'!U21</f>
        <v>210.00000000000796</v>
      </c>
      <c r="L20" s="32">
        <f t="shared" si="0"/>
        <v>6056.8600000000597</v>
      </c>
    </row>
    <row r="21" spans="1:12" x14ac:dyDescent="0.25">
      <c r="A21" s="14">
        <f>'Kwh Reading'!A22</f>
        <v>44458</v>
      </c>
      <c r="B21" s="83">
        <f>TOTAL!E20</f>
        <v>21610.000000001946</v>
      </c>
      <c r="C21" s="1">
        <f>'Kwh Consumption'!C22</f>
        <v>540.00000000002046</v>
      </c>
      <c r="D21" s="1">
        <f>'Kwh Consumption'!D22</f>
        <v>2599.9999999997135</v>
      </c>
      <c r="E21" s="1">
        <f>'Kwh Consumption'!E22</f>
        <v>240.00000000000909</v>
      </c>
      <c r="F21" s="1">
        <f>('Kwh Consumption'!F22+'Kwh Consumption'!G22+'Kwh Consumption'!H22)</f>
        <v>740.00000000003752</v>
      </c>
      <c r="G21" s="16">
        <f>('Kwh Consumption'!I22+'Kwh Consumption'!J22)</f>
        <v>359.99999999998522</v>
      </c>
      <c r="H21" s="1">
        <f>('Kwh Consumption'!K22+'Kwh Consumption'!L22)</f>
        <v>1689.9999999998663</v>
      </c>
      <c r="I21" s="1">
        <f>('Kwh Consumption'!M22+'Kwh Consumption'!N22+'Kwh Consumption'!O22+'Kwh Consumption'!P22+'Kwh Consumption'!Q22+'Kwh Consumption'!R22)</f>
        <v>4780.0000000000864</v>
      </c>
      <c r="J21" s="1">
        <f>('Kwh Consumption'!S22+'Kwh Consumption'!T22)</f>
        <v>5149.7400000002235</v>
      </c>
      <c r="K21" s="1">
        <f>'Kwh Consumption'!U22</f>
        <v>219.99999999999886</v>
      </c>
      <c r="L21" s="32">
        <f t="shared" si="0"/>
        <v>5290.2600000020075</v>
      </c>
    </row>
    <row r="22" spans="1:12" x14ac:dyDescent="0.25">
      <c r="A22" s="14">
        <f>'Kwh Reading'!A23</f>
        <v>44459</v>
      </c>
      <c r="B22" s="83">
        <f>TOTAL!E21</f>
        <v>0</v>
      </c>
      <c r="C22" s="1">
        <f>'Kwh Consumption'!C23</f>
        <v>-458050</v>
      </c>
      <c r="D22" s="1">
        <f>'Kwh Consumption'!D23</f>
        <v>-2574000</v>
      </c>
      <c r="E22" s="1">
        <f>'Kwh Consumption'!E23</f>
        <v>-249280</v>
      </c>
      <c r="F22" s="1">
        <f>('Kwh Consumption'!F23+'Kwh Consumption'!G23+'Kwh Consumption'!H23)</f>
        <v>-951220</v>
      </c>
      <c r="G22" s="16">
        <f>('Kwh Consumption'!I23+'Kwh Consumption'!J23)</f>
        <v>-304120</v>
      </c>
      <c r="H22" s="1">
        <f>('Kwh Consumption'!K23+'Kwh Consumption'!L23)</f>
        <v>-1352690</v>
      </c>
      <c r="I22" s="1">
        <f>('Kwh Consumption'!M23+'Kwh Consumption'!N23+'Kwh Consumption'!O23+'Kwh Consumption'!P23+'Kwh Consumption'!Q23+'Kwh Consumption'!R23)</f>
        <v>-3806510</v>
      </c>
      <c r="J22" s="1">
        <f>('Kwh Consumption'!S23+'Kwh Consumption'!T23)</f>
        <v>-16104506.609999999</v>
      </c>
      <c r="K22" s="1">
        <f>'Kwh Consumption'!U23</f>
        <v>-169490</v>
      </c>
      <c r="L22" s="32">
        <f t="shared" si="0"/>
        <v>25969866.609999999</v>
      </c>
    </row>
    <row r="23" spans="1:12" x14ac:dyDescent="0.25">
      <c r="A23" s="14">
        <f>'Kwh Reading'!A24</f>
        <v>44460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408030.00000000192</v>
      </c>
      <c r="C34" s="75">
        <f>SUM(C3:C33)</f>
        <v>-449370</v>
      </c>
      <c r="D34" s="75">
        <f t="shared" ref="D34:L34" si="1">SUM(D3:D33)</f>
        <v>-2528500.0000000005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>
        <f t="shared" si="1"/>
        <v>-1321100</v>
      </c>
      <c r="I34" s="75">
        <f t="shared" si="1"/>
        <v>-3720810</v>
      </c>
      <c r="J34" s="75">
        <f t="shared" si="1"/>
        <v>-16009947.479999999</v>
      </c>
      <c r="K34" s="75">
        <f t="shared" si="1"/>
        <v>-165550</v>
      </c>
      <c r="L34" s="75">
        <f t="shared" si="1"/>
        <v>26083847.48</v>
      </c>
      <c r="M34" s="84">
        <f>C34+D34+E34+F34+G34+H34+I34+J34+K34+L34</f>
        <v>408030.00000000373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-379275.00000000006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>
        <f>H34*B36</f>
        <v>-198165</v>
      </c>
      <c r="I36" s="75">
        <f>I34*B36</f>
        <v>-558121.5</v>
      </c>
      <c r="J36" s="75">
        <f>J34*B36</f>
        <v>-2401492.1219999995</v>
      </c>
      <c r="K36" s="75">
        <f>K34*B36</f>
        <v>-24832.5</v>
      </c>
      <c r="L36" s="75">
        <f>L34*B36</f>
        <v>3912577.122</v>
      </c>
      <c r="M36" s="84">
        <f>C36+D36+E36+F36+G36+H36+I36+J36+K36+L36</f>
        <v>61204.500000000466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3372.0000000000368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981.03300000029344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3247.4999999996726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903.55499999952588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3158.9999999999918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824.86200000005533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3274.500000000467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888.04050000038148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3204.0000000000196</v>
      </c>
      <c r="D15" s="1">
        <f>'Kwh Consumption'!C16*' Kwh area wise $ '!B15</f>
        <v>73.500000000001364</v>
      </c>
      <c r="E15" s="1">
        <f>'Kwh Consumption'!D16*' Kwh area wise $ '!B15</f>
        <v>360.00000000002694</v>
      </c>
      <c r="F15" s="1">
        <f>'Kwh Consumption'!E16*' Kwh area wise $ '!B15</f>
        <v>31.500000000001194</v>
      </c>
      <c r="G15" s="1">
        <f>('Kwh Consumption'!F16+'Kwh Consumption'!G16+'Kwh Consumption'!H16)*' Kwh area wise $ '!B15</f>
        <v>117.00000000000017</v>
      </c>
      <c r="H15" s="16">
        <f>('Kwh Consumption'!I16+'Kwh Consumption'!J16)*' Kwh area wise $ '!B15</f>
        <v>53.999999999999915</v>
      </c>
      <c r="I15" s="1">
        <f>('Kwh Consumption'!K16+'Kwh Consumption'!L16)*' Kwh area wise $ '!B15</f>
        <v>265.49999999997249</v>
      </c>
      <c r="J15" s="1">
        <f>('Kwh Consumption'!M16+'Kwh Consumption'!N16+'Kwh Consumption'!O16+'Kwh Consumption'!P16+'Kwh Consumption'!Q16+'Kwh Consumption'!R16)*' Kwh area wise $ '!B15</f>
        <v>672.00000000000273</v>
      </c>
      <c r="K15" s="1">
        <f>('Kwh Consumption'!S16+'Kwh Consumption'!T16)*' Kwh area wise $ '!B15</f>
        <v>707.48249999997199</v>
      </c>
      <c r="L15" s="1">
        <f>'Kwh Consumption'!U16*' Kwh area wise $ '!B15</f>
        <v>30.000000000002558</v>
      </c>
      <c r="M15" s="1">
        <f>'Kwh Consumption'!V16*' Kwh area wise $ '!B15</f>
        <v>893.01750000004051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3217.4999999997685</v>
      </c>
      <c r="D16" s="1">
        <f>'Kwh Consumption'!C17*' Kwh area wise $ '!B16</f>
        <v>76.499999999998636</v>
      </c>
      <c r="E16" s="1">
        <f>'Kwh Consumption'!D17*' Kwh area wise $ '!B16</f>
        <v>359.99999999996038</v>
      </c>
      <c r="F16" s="1">
        <f>'Kwh Consumption'!E17*' Kwh area wise $ '!B16</f>
        <v>37.5</v>
      </c>
      <c r="G16" s="1">
        <f>('Kwh Consumption'!F17+'Kwh Consumption'!G17+'Kwh Consumption'!H17)*' Kwh area wise $ '!B16</f>
        <v>112.49999999999574</v>
      </c>
      <c r="H16" s="16">
        <f>('Kwh Consumption'!I17+'Kwh Consumption'!J17)*' Kwh area wise $ '!B16</f>
        <v>55.500000000002814</v>
      </c>
      <c r="I16" s="1">
        <f>('Kwh Consumption'!K17+'Kwh Consumption'!L17)*' Kwh area wise $ '!B16</f>
        <v>268.5000000000116</v>
      </c>
      <c r="J16" s="1">
        <f>('Kwh Consumption'!M17+'Kwh Consumption'!N17+'Kwh Consumption'!O17+'Kwh Consumption'!P17+'Kwh Consumption'!Q17+'Kwh Consumption'!R17)*' Kwh area wise $ '!B16</f>
        <v>657.00000000001637</v>
      </c>
      <c r="K16" s="1">
        <f>('Kwh Consumption'!S17+'Kwh Consumption'!T17)*' Kwh area wise $ '!B16</f>
        <v>772.42949999989935</v>
      </c>
      <c r="L16" s="1">
        <f>'Kwh Consumption'!U17*' Kwh area wise $ '!B16</f>
        <v>26.99999999999676</v>
      </c>
      <c r="M16" s="1">
        <f>'Kwh Consumption'!V17*' Kwh area wise $ '!B16</f>
        <v>850.57049999988669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2785.4999999999563</v>
      </c>
      <c r="D17" s="1">
        <f>'Kwh Consumption'!C18*' Kwh area wise $ '!B17</f>
        <v>75</v>
      </c>
      <c r="E17" s="1">
        <f>'Kwh Consumption'!D18*' Kwh area wise $ '!B17</f>
        <v>360.00000000002694</v>
      </c>
      <c r="F17" s="1">
        <f>'Kwh Consumption'!E18*' Kwh area wise $ '!B17</f>
        <v>36.000000000001364</v>
      </c>
      <c r="G17" s="1">
        <f>('Kwh Consumption'!F18+'Kwh Consumption'!G18+'Kwh Consumption'!H18)*' Kwh area wise $ '!B17</f>
        <v>106.50000000000972</v>
      </c>
      <c r="H17" s="16">
        <f>('Kwh Consumption'!I18+'Kwh Consumption'!J18)*' Kwh area wise $ '!B17</f>
        <v>53.999999999995651</v>
      </c>
      <c r="I17" s="1">
        <f>('Kwh Consumption'!K18+'Kwh Consumption'!L18)*' Kwh area wise $ '!B17</f>
        <v>201.00000000001651</v>
      </c>
      <c r="J17" s="1">
        <f>('Kwh Consumption'!M18+'Kwh Consumption'!N18+'Kwh Consumption'!O18+'Kwh Consumption'!P18+'Kwh Consumption'!Q18+'Kwh Consumption'!R18)*' Kwh area wise $ '!B17</f>
        <v>518.99999999997135</v>
      </c>
      <c r="K17" s="1">
        <f>('Kwh Consumption'!S18+'Kwh Consumption'!T18)*' Kwh area wise $ '!B17</f>
        <v>596.87099999994973</v>
      </c>
      <c r="L17" s="1">
        <f>'Kwh Consumption'!U18*' Kwh area wise $ '!B17</f>
        <v>27.000000000001023</v>
      </c>
      <c r="M17" s="1">
        <f>'Kwh Consumption'!V18*' Kwh area wise $ '!B17</f>
        <v>810.12899999998399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3261.0000000003083</v>
      </c>
      <c r="D18" s="1">
        <f>'Kwh Consumption'!C19*' Kwh area wise $ '!B18</f>
        <v>73.500000000001364</v>
      </c>
      <c r="E18" s="1">
        <f>'Kwh Consumption'!D19*' Kwh area wise $ '!B18</f>
        <v>360.00000000002694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101.9999999999925</v>
      </c>
      <c r="H18" s="16">
        <f>('Kwh Consumption'!I19+'Kwh Consumption'!J19)*' Kwh area wise $ '!B18</f>
        <v>51.000000000002643</v>
      </c>
      <c r="I18" s="1">
        <f>('Kwh Consumption'!K19+'Kwh Consumption'!L19)*' Kwh area wise $ '!B18</f>
        <v>236.99999999997442</v>
      </c>
      <c r="J18" s="1">
        <f>('Kwh Consumption'!M19+'Kwh Consumption'!N19+'Kwh Consumption'!O19+'Kwh Consumption'!P19+'Kwh Consumption'!Q19+'Kwh Consumption'!R19)*' Kwh area wise $ '!B18</f>
        <v>712.50000000003411</v>
      </c>
      <c r="K18" s="1">
        <f>('Kwh Consumption'!S19+'Kwh Consumption'!T19)*' Kwh area wise $ '!B18</f>
        <v>812.05650000013406</v>
      </c>
      <c r="L18" s="1">
        <f>'Kwh Consumption'!U19*' Kwh area wise $ '!B18</f>
        <v>28.499999999999659</v>
      </c>
      <c r="M18" s="1">
        <f>'Kwh Consumption'!V19*' Kwh area wise $ '!B18</f>
        <v>845.4435000001439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3361.499999999739</v>
      </c>
      <c r="D19" s="1">
        <f>'Kwh Consumption'!C20*' Kwh area wise $ '!B19</f>
        <v>40.499999999997272</v>
      </c>
      <c r="E19" s="1">
        <f>'Kwh Consumption'!D20*' Kwh area wise $ '!B19</f>
        <v>359.99999999996038</v>
      </c>
      <c r="F19" s="1">
        <f>'Kwh Consumption'!E20*' Kwh area wise $ '!B19</f>
        <v>34.499999999998465</v>
      </c>
      <c r="G19" s="1">
        <f>('Kwh Consumption'!F20+'Kwh Consumption'!G20+'Kwh Consumption'!H20)*' Kwh area wise $ '!B19</f>
        <v>118.49999999999881</v>
      </c>
      <c r="H19" s="16">
        <f>('Kwh Consumption'!I20+'Kwh Consumption'!J20)*' Kwh area wise $ '!B19</f>
        <v>52.499999999997016</v>
      </c>
      <c r="I19" s="1">
        <f>('Kwh Consumption'!K20+'Kwh Consumption'!L20)*' Kwh area wise $ '!B19</f>
        <v>235.50000000000909</v>
      </c>
      <c r="J19" s="1">
        <f>('Kwh Consumption'!M20+'Kwh Consumption'!N20+'Kwh Consumption'!O20+'Kwh Consumption'!P20+'Kwh Consumption'!Q20+'Kwh Consumption'!R20)*' Kwh area wise $ '!B19</f>
        <v>724.49999999997203</v>
      </c>
      <c r="K19" s="1">
        <f>('Kwh Consumption'!S20+'Kwh Consumption'!T20)*' Kwh area wise $ '!B19</f>
        <v>797.03700000001118</v>
      </c>
      <c r="L19" s="1">
        <f>'Kwh Consumption'!U20*' Kwh area wise $ '!B19</f>
        <v>31.500000000001194</v>
      </c>
      <c r="M19" s="1">
        <f>'Kwh Consumption'!V20*' Kwh area wise $ '!B19</f>
        <v>966.96299999979374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3408.0000000000041</v>
      </c>
      <c r="D20" s="1">
        <f>'Kwh Consumption'!C21*' Kwh area wise $ '!B20</f>
        <v>75</v>
      </c>
      <c r="E20" s="1">
        <f>'Kwh Consumption'!D21*' Kwh area wise $ '!B20</f>
        <v>360.00000000002694</v>
      </c>
      <c r="F20" s="1">
        <f>'Kwh Consumption'!E21*' Kwh area wise $ '!B20</f>
        <v>32.999999999999829</v>
      </c>
      <c r="G20" s="1">
        <f>('Kwh Consumption'!F21+'Kwh Consumption'!G21+'Kwh Consumption'!H21)*' Kwh area wise $ '!B20</f>
        <v>109.50000000000273</v>
      </c>
      <c r="H20" s="16">
        <f>('Kwh Consumption'!I21+'Kwh Consumption'!J21)*' Kwh area wise $ '!B20</f>
        <v>52.500000000003411</v>
      </c>
      <c r="I20" s="1">
        <f>('Kwh Consumption'!K21+'Kwh Consumption'!L21)*' Kwh area wise $ '!B20</f>
        <v>253.50000000001322</v>
      </c>
      <c r="J20" s="1">
        <f>('Kwh Consumption'!M21+'Kwh Consumption'!N21+'Kwh Consumption'!O21+'Kwh Consumption'!P21+'Kwh Consumption'!Q21+'Kwh Consumption'!R21)*' Kwh area wise $ '!B20</f>
        <v>751.49999999999864</v>
      </c>
      <c r="K20" s="1">
        <f>('Kwh Consumption'!S21+'Kwh Consumption'!T21)*' Kwh area wise $ '!B20</f>
        <v>832.97099999994964</v>
      </c>
      <c r="L20" s="1">
        <f>'Kwh Consumption'!U21*' Kwh area wise $ '!B20</f>
        <v>31.500000000001194</v>
      </c>
      <c r="M20" s="1">
        <f>'Kwh Consumption'!V21*' Kwh area wise $ '!B20</f>
        <v>908.52900000000875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3241.5000000002919</v>
      </c>
      <c r="D21" s="1">
        <f>'Kwh Consumption'!C22*' Kwh area wise $ '!B21</f>
        <v>81.00000000000307</v>
      </c>
      <c r="E21" s="1">
        <f>'Kwh Consumption'!D22*' Kwh area wise $ '!B21</f>
        <v>389.99999999995703</v>
      </c>
      <c r="F21" s="1">
        <f>'Kwh Consumption'!E22*' Kwh area wise $ '!B21</f>
        <v>36.000000000001364</v>
      </c>
      <c r="G21" s="1">
        <f>('Kwh Consumption'!F22+'Kwh Consumption'!G22+'Kwh Consumption'!H22)*' Kwh area wise $ '!B21</f>
        <v>111.00000000000563</v>
      </c>
      <c r="H21" s="16">
        <f>('Kwh Consumption'!I22+'Kwh Consumption'!J22)*' Kwh area wise $ '!B21</f>
        <v>53.999999999997783</v>
      </c>
      <c r="I21" s="1">
        <f>('Kwh Consumption'!K22+'Kwh Consumption'!L22)*' Kwh area wise $ '!B21</f>
        <v>253.49999999997993</v>
      </c>
      <c r="J21" s="1">
        <f>('Kwh Consumption'!M22+'Kwh Consumption'!N22+'Kwh Consumption'!O22+'Kwh Consumption'!P22+'Kwh Consumption'!Q22+'Kwh Consumption'!R22)*' Kwh area wise $ '!B21</f>
        <v>717.00000000001296</v>
      </c>
      <c r="K21" s="1">
        <f>('Kwh Consumption'!S22+'Kwh Consumption'!T22)*' Kwh area wise $ '!B21</f>
        <v>772.46100000003355</v>
      </c>
      <c r="L21" s="1">
        <f>'Kwh Consumption'!U22*' Kwh area wise $ '!B21</f>
        <v>32.999999999999829</v>
      </c>
      <c r="M21" s="1">
        <f>'Kwh Consumption'!V22*' Kwh area wise $ '!B21</f>
        <v>793.53900000030069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-68707.5</v>
      </c>
      <c r="E22" s="1">
        <f>'Kwh Consumption'!D23*' Kwh area wise $ '!B22</f>
        <v>-386100</v>
      </c>
      <c r="F22" s="1">
        <f>'Kwh Consumption'!E23*' Kwh area wise $ '!B22</f>
        <v>-37392</v>
      </c>
      <c r="G22" s="1">
        <f>('Kwh Consumption'!F23+'Kwh Consumption'!G23+'Kwh Consumption'!H23)*' Kwh area wise $ '!B22</f>
        <v>-142683</v>
      </c>
      <c r="H22" s="16">
        <f>('Kwh Consumption'!I23+'Kwh Consumption'!J23)*' Kwh area wise $ '!B22</f>
        <v>-45618</v>
      </c>
      <c r="I22" s="1">
        <f>('Kwh Consumption'!K23+'Kwh Consumption'!L23)*' Kwh area wise $ '!B22</f>
        <v>-202903.5</v>
      </c>
      <c r="J22" s="1">
        <f>('Kwh Consumption'!M23+'Kwh Consumption'!N23+'Kwh Consumption'!O23+'Kwh Consumption'!P23+'Kwh Consumption'!Q23+'Kwh Consumption'!R23)*' Kwh area wise $ '!B22</f>
        <v>-570976.5</v>
      </c>
      <c r="K22" s="1">
        <f>('Kwh Consumption'!S23+'Kwh Consumption'!T23)*' Kwh area wise $ '!B22</f>
        <v>-2415675.9915</v>
      </c>
      <c r="L22" s="1">
        <f>'Kwh Consumption'!U23*' Kwh area wise $ '!B22</f>
        <v>-25423.5</v>
      </c>
      <c r="M22" s="1">
        <f>'Kwh Consumption'!V23*' Kwh area wise $ '!B22</f>
        <v>3895479.9914999995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61554.000000000364</v>
      </c>
      <c r="D34" s="75">
        <f t="shared" si="0"/>
        <v>-67405.5</v>
      </c>
      <c r="E34" s="75">
        <f t="shared" si="0"/>
        <v>-379275.00000000006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-198165</v>
      </c>
      <c r="J34" s="75">
        <f t="shared" si="0"/>
        <v>-558121.5</v>
      </c>
      <c r="K34" s="75">
        <f t="shared" si="0"/>
        <v>-2401492.122</v>
      </c>
      <c r="L34" s="75">
        <f t="shared" si="0"/>
        <v>-24832.5</v>
      </c>
      <c r="M34" s="75">
        <f>SUM(M3:M33)</f>
        <v>3912926.622</v>
      </c>
      <c r="N34" s="84">
        <f>D34+E34+F34+G34+H34+I34+J34+K34+L34+M34</f>
        <v>61554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22" sqref="C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>
        <v>182047</v>
      </c>
      <c r="C16" s="56">
        <v>144790</v>
      </c>
      <c r="D16" s="55">
        <v>220984</v>
      </c>
      <c r="E16" s="55">
        <v>252265</v>
      </c>
      <c r="F16" s="55">
        <v>66987</v>
      </c>
      <c r="G16" s="55">
        <v>112983</v>
      </c>
      <c r="H16" s="33">
        <v>55697</v>
      </c>
      <c r="I16" s="55">
        <v>65838</v>
      </c>
      <c r="J16" s="55">
        <v>21142</v>
      </c>
      <c r="K16" s="55">
        <v>1024</v>
      </c>
      <c r="L16" s="55">
        <v>17802</v>
      </c>
      <c r="M16" s="55">
        <v>25345</v>
      </c>
      <c r="N16" s="55">
        <v>7639</v>
      </c>
      <c r="O16" s="55">
        <v>1750</v>
      </c>
      <c r="P16" s="55">
        <v>27822</v>
      </c>
      <c r="Q16" s="33">
        <v>968</v>
      </c>
      <c r="R16" s="55">
        <v>6659</v>
      </c>
    </row>
    <row r="17" spans="1:22" x14ac:dyDescent="0.25">
      <c r="A17" s="54">
        <v>44454</v>
      </c>
      <c r="B17" s="33">
        <v>182295</v>
      </c>
      <c r="C17" s="33">
        <v>145389</v>
      </c>
      <c r="D17" s="55">
        <v>221120</v>
      </c>
      <c r="E17" s="55">
        <v>252322</v>
      </c>
      <c r="F17" s="55">
        <v>66988</v>
      </c>
      <c r="G17" s="55">
        <v>112999</v>
      </c>
      <c r="H17" s="33">
        <v>55724</v>
      </c>
      <c r="I17" s="55">
        <v>65868</v>
      </c>
      <c r="J17" s="55">
        <v>21152</v>
      </c>
      <c r="K17" s="55">
        <v>1024</v>
      </c>
      <c r="L17" s="55">
        <v>17811</v>
      </c>
      <c r="M17" s="55">
        <v>25363</v>
      </c>
      <c r="N17" s="55">
        <v>7644</v>
      </c>
      <c r="O17" s="55">
        <v>1751</v>
      </c>
      <c r="P17" s="55">
        <v>27835</v>
      </c>
      <c r="Q17" s="33">
        <v>970</v>
      </c>
      <c r="R17" s="55">
        <v>6666</v>
      </c>
    </row>
    <row r="18" spans="1:22" x14ac:dyDescent="0.25">
      <c r="A18" s="54">
        <v>44455</v>
      </c>
      <c r="B18" s="33">
        <v>182713</v>
      </c>
      <c r="C18" s="56">
        <v>145420</v>
      </c>
      <c r="D18" s="55">
        <v>221290</v>
      </c>
      <c r="E18" s="55">
        <v>252380</v>
      </c>
      <c r="F18" s="55">
        <v>66988</v>
      </c>
      <c r="G18" s="55">
        <v>113015</v>
      </c>
      <c r="H18" s="33">
        <v>55758</v>
      </c>
      <c r="I18" s="55">
        <v>65897</v>
      </c>
      <c r="J18" s="33">
        <v>21163</v>
      </c>
      <c r="K18" s="55">
        <v>1024</v>
      </c>
      <c r="L18" s="55">
        <v>17819</v>
      </c>
      <c r="M18" s="55">
        <v>25381</v>
      </c>
      <c r="N18" s="55">
        <v>7645</v>
      </c>
      <c r="O18" s="55">
        <v>1751</v>
      </c>
      <c r="P18" s="55">
        <v>27843</v>
      </c>
      <c r="Q18" s="33">
        <v>972</v>
      </c>
      <c r="R18" s="55">
        <v>6672</v>
      </c>
      <c r="U18" s="110"/>
    </row>
    <row r="19" spans="1:22" x14ac:dyDescent="0.25">
      <c r="A19" s="54">
        <v>44456</v>
      </c>
      <c r="B19" s="33">
        <v>183085</v>
      </c>
      <c r="C19" s="33">
        <v>145409</v>
      </c>
      <c r="D19" s="55">
        <v>221402</v>
      </c>
      <c r="E19" s="55">
        <v>252429</v>
      </c>
      <c r="F19" s="55">
        <v>66989</v>
      </c>
      <c r="G19" s="55">
        <v>113031</v>
      </c>
      <c r="H19" s="33">
        <v>55810</v>
      </c>
      <c r="I19" s="55">
        <v>65922</v>
      </c>
      <c r="J19" s="55">
        <v>21173</v>
      </c>
      <c r="K19" s="55">
        <v>1024</v>
      </c>
      <c r="L19" s="55">
        <v>17826</v>
      </c>
      <c r="M19" s="55">
        <v>25392</v>
      </c>
      <c r="N19" s="55">
        <v>7648</v>
      </c>
      <c r="O19" s="55">
        <v>1754</v>
      </c>
      <c r="P19" s="55">
        <v>27851</v>
      </c>
      <c r="Q19" s="33">
        <v>973</v>
      </c>
      <c r="R19" s="55">
        <v>6680</v>
      </c>
    </row>
    <row r="20" spans="1:22" x14ac:dyDescent="0.25">
      <c r="A20" s="54">
        <v>44457</v>
      </c>
      <c r="B20" s="33">
        <v>183300</v>
      </c>
      <c r="C20" s="56">
        <v>145498</v>
      </c>
      <c r="D20" s="10">
        <v>221519</v>
      </c>
      <c r="E20" s="55">
        <v>252482</v>
      </c>
      <c r="F20" s="55">
        <v>66989</v>
      </c>
      <c r="G20" s="55">
        <v>113048</v>
      </c>
      <c r="H20" s="33">
        <v>55849</v>
      </c>
      <c r="I20" s="55">
        <v>65952</v>
      </c>
      <c r="J20" s="55">
        <v>21183</v>
      </c>
      <c r="K20" s="55">
        <v>1024</v>
      </c>
      <c r="L20" s="55">
        <v>17832</v>
      </c>
      <c r="M20" s="55">
        <v>25404</v>
      </c>
      <c r="N20" s="55">
        <v>7653</v>
      </c>
      <c r="O20" s="55">
        <v>1755</v>
      </c>
      <c r="P20" s="55">
        <v>27866</v>
      </c>
      <c r="Q20" s="33">
        <v>978</v>
      </c>
      <c r="R20" s="55">
        <v>6685</v>
      </c>
    </row>
    <row r="21" spans="1:22" x14ac:dyDescent="0.25">
      <c r="A21" s="54">
        <v>44458</v>
      </c>
      <c r="B21" s="33">
        <v>183488</v>
      </c>
      <c r="C21" s="33">
        <v>146171</v>
      </c>
      <c r="D21" s="55">
        <v>221630</v>
      </c>
      <c r="E21" s="55">
        <v>252530</v>
      </c>
      <c r="F21" s="55">
        <v>66989</v>
      </c>
      <c r="G21" s="55">
        <v>113066</v>
      </c>
      <c r="H21" s="33">
        <v>55881</v>
      </c>
      <c r="I21" s="55">
        <v>65969</v>
      </c>
      <c r="J21" s="55">
        <v>21193</v>
      </c>
      <c r="K21" s="55">
        <v>1024</v>
      </c>
      <c r="L21" s="55">
        <v>17837</v>
      </c>
      <c r="M21" s="55">
        <v>25416</v>
      </c>
      <c r="N21" s="55">
        <v>7658</v>
      </c>
      <c r="O21" s="55">
        <v>1756</v>
      </c>
      <c r="P21" s="55">
        <v>27866</v>
      </c>
      <c r="Q21" s="33">
        <v>979</v>
      </c>
      <c r="R21" s="55">
        <v>6692</v>
      </c>
    </row>
    <row r="22" spans="1:22" x14ac:dyDescent="0.25">
      <c r="A22" s="54">
        <v>44459</v>
      </c>
      <c r="B22" s="33">
        <v>183790</v>
      </c>
      <c r="C22" s="56">
        <v>146467</v>
      </c>
      <c r="D22" s="55">
        <v>221736</v>
      </c>
      <c r="E22" s="55">
        <v>252581</v>
      </c>
      <c r="F22" s="55">
        <v>66990</v>
      </c>
      <c r="G22" s="55">
        <v>113084</v>
      </c>
      <c r="H22" s="33">
        <v>55939</v>
      </c>
      <c r="I22" s="55">
        <v>66000</v>
      </c>
      <c r="J22" s="55">
        <v>21204</v>
      </c>
      <c r="K22" s="55">
        <v>1024</v>
      </c>
      <c r="L22" s="55">
        <v>17844</v>
      </c>
      <c r="M22" s="55">
        <v>25430</v>
      </c>
      <c r="N22" s="55">
        <v>7661</v>
      </c>
      <c r="O22" s="55">
        <v>1756</v>
      </c>
      <c r="P22" s="55">
        <v>27882</v>
      </c>
      <c r="Q22" s="33">
        <v>983</v>
      </c>
      <c r="R22" s="55">
        <v>6699</v>
      </c>
    </row>
    <row r="23" spans="1:22" x14ac:dyDescent="0.25">
      <c r="A23" s="54">
        <v>44460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44461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50" sqref="H5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31</v>
      </c>
      <c r="B2" s="140" t="s">
        <v>108</v>
      </c>
      <c r="C2" s="140" t="s">
        <v>109</v>
      </c>
      <c r="D2" s="140"/>
      <c r="E2" s="141" t="s">
        <v>97</v>
      </c>
      <c r="F2" s="138"/>
      <c r="G2" s="135" t="s">
        <v>112</v>
      </c>
      <c r="H2" s="138"/>
      <c r="I2" s="135" t="s">
        <v>110</v>
      </c>
      <c r="J2" s="138"/>
      <c r="K2" s="135" t="s">
        <v>111</v>
      </c>
      <c r="L2" s="138"/>
      <c r="M2" s="135" t="s">
        <v>107</v>
      </c>
      <c r="N2" s="138"/>
      <c r="O2" s="135" t="s">
        <v>106</v>
      </c>
      <c r="P2" s="138"/>
      <c r="Q2" s="135" t="s">
        <v>113</v>
      </c>
      <c r="R2" s="138"/>
      <c r="S2" s="135" t="s">
        <v>114</v>
      </c>
      <c r="T2" s="138"/>
      <c r="U2" s="135" t="s">
        <v>115</v>
      </c>
      <c r="V2" s="138"/>
      <c r="W2" s="135" t="s">
        <v>99</v>
      </c>
      <c r="X2" s="136"/>
      <c r="Y2" s="137" t="s">
        <v>52</v>
      </c>
      <c r="Z2" s="137"/>
    </row>
    <row r="3" spans="1:26" ht="30" x14ac:dyDescent="0.35">
      <c r="A3" s="139"/>
      <c r="B3" s="140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f>('Water Reading'!B12-'Water Reading'!B11)+('Water Reading'!C12-'Water Reading'!C11)</f>
        <v>-114</v>
      </c>
      <c r="D12" s="67">
        <f t="shared" si="2"/>
        <v>-0.3413173652694611</v>
      </c>
      <c r="E12" s="88">
        <f>'Water Reading'!H12-'Water Reading'!H11</f>
        <v>25</v>
      </c>
      <c r="F12" s="89">
        <f t="shared" si="3"/>
        <v>-0.21929824561403508</v>
      </c>
      <c r="G12" s="93">
        <f>('Water Reading'!D12-'Water Reading'!D11)-('Water Reading'!R12-'Water Reading'!R11)-('Water Reading'!Q12-'Water Reading'!Q11)</f>
        <v>81</v>
      </c>
      <c r="H12" s="89">
        <f t="shared" si="4"/>
        <v>-0.71052631578947367</v>
      </c>
      <c r="I12" s="90">
        <f>'Water Reading'!P12-'Water Reading'!P11</f>
        <v>16</v>
      </c>
      <c r="J12" s="68">
        <f t="shared" si="5"/>
        <v>-0.14035087719298245</v>
      </c>
      <c r="K12" s="91">
        <f>('Water Reading'!I12-'Water Reading'!I11)-('Water Reading'!P12-'Water Reading'!P11)</f>
        <v>16</v>
      </c>
      <c r="L12" s="68">
        <f t="shared" si="6"/>
        <v>-0.14035087719298245</v>
      </c>
      <c r="M12" s="90">
        <f>'Water Reading'!R12-'Water Reading'!R11</f>
        <v>6</v>
      </c>
      <c r="N12" s="92">
        <f t="shared" si="7"/>
        <v>-5.2631578947368418E-2</v>
      </c>
      <c r="O12" s="98">
        <f>'Water Reading'!Q12-'Water Reading'!Q11</f>
        <v>2</v>
      </c>
      <c r="P12" s="99">
        <f t="shared" si="8"/>
        <v>-1.7543859649122806E-2</v>
      </c>
      <c r="Q12" s="91">
        <f>'Water Reading'!F12-'Water Reading'!F11</f>
        <v>1</v>
      </c>
      <c r="R12" s="100">
        <f t="shared" si="9"/>
        <v>-8.771929824561403E-3</v>
      </c>
      <c r="S12" s="90">
        <f>'Water Reading'!E12-'Water Reading'!E11</f>
        <v>55</v>
      </c>
      <c r="T12" s="100">
        <f t="shared" si="10"/>
        <v>-0.48245614035087719</v>
      </c>
      <c r="U12" s="90">
        <f>'Water Reading'!G12-'Water Reading'!G11</f>
        <v>15</v>
      </c>
      <c r="V12" s="100">
        <f t="shared" si="11"/>
        <v>-0.13157894736842105</v>
      </c>
      <c r="W12" s="90">
        <f>'Water Reading'!J12-'Water Reading'!J11</f>
        <v>11</v>
      </c>
      <c r="X12" s="100">
        <f t="shared" si="12"/>
        <v>-9.6491228070175433E-2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224</v>
      </c>
      <c r="C16" s="66">
        <f>('Water Reading'!B16-'Water Reading'!B15)+('Water Reading'!C16-'Water Reading'!C15)</f>
        <v>279</v>
      </c>
      <c r="D16" s="67">
        <f t="shared" si="2"/>
        <v>1.2455357142857142</v>
      </c>
      <c r="E16" s="87">
        <f>'Water Reading'!H16-'Water Reading'!H15</f>
        <v>35</v>
      </c>
      <c r="F16" s="89">
        <f t="shared" si="3"/>
        <v>0.12544802867383512</v>
      </c>
      <c r="G16" s="93">
        <f>('Water Reading'!D16-'Water Reading'!D15)-('Water Reading'!R16-'Water Reading'!R15)-('Water Reading'!Q16-'Water Reading'!Q15)</f>
        <v>93</v>
      </c>
      <c r="H16" s="89">
        <f t="shared" si="4"/>
        <v>0.33333333333333331</v>
      </c>
      <c r="I16" s="90">
        <f>'Water Reading'!P16-'Water Reading'!P15</f>
        <v>13</v>
      </c>
      <c r="J16" s="68">
        <f t="shared" si="5"/>
        <v>4.6594982078853049E-2</v>
      </c>
      <c r="K16" s="91">
        <f>('Water Reading'!I16-'Water Reading'!I15)-('Water Reading'!P16-'Water Reading'!P15)</f>
        <v>21</v>
      </c>
      <c r="L16" s="68">
        <f t="shared" si="6"/>
        <v>7.5268817204301078E-2</v>
      </c>
      <c r="M16" s="90">
        <f>'Water Reading'!R16-'Water Reading'!R15</f>
        <v>6</v>
      </c>
      <c r="N16" s="92">
        <f t="shared" si="7"/>
        <v>2.1505376344086023E-2</v>
      </c>
      <c r="O16" s="90">
        <f>'Water Reading'!Q16-'Water Reading'!Q15</f>
        <v>4</v>
      </c>
      <c r="P16" s="99">
        <f t="shared" si="8"/>
        <v>1.4336917562724014E-2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60</v>
      </c>
      <c r="T16" s="100">
        <f t="shared" si="10"/>
        <v>0.21505376344086022</v>
      </c>
      <c r="U16" s="90">
        <f>'Water Reading'!G16-'Water Reading'!G15</f>
        <v>18</v>
      </c>
      <c r="V16" s="100">
        <f t="shared" si="11"/>
        <v>6.4516129032258063E-2</v>
      </c>
      <c r="W16" s="90">
        <f>'Water Reading'!J16-'Water Reading'!J15</f>
        <v>11</v>
      </c>
      <c r="X16" s="100">
        <f t="shared" si="12"/>
        <v>3.9426523297491037E-2</v>
      </c>
      <c r="Y16" s="66">
        <f t="shared" si="0"/>
        <v>261</v>
      </c>
      <c r="Z16" s="67">
        <f t="shared" si="1"/>
        <v>1.1651785714285714</v>
      </c>
    </row>
    <row r="17" spans="1:26" x14ac:dyDescent="0.25">
      <c r="A17" s="8">
        <f>'Water Reading'!A16</f>
        <v>44453</v>
      </c>
      <c r="B17" s="65">
        <f>TOTAL!I15</f>
        <v>235</v>
      </c>
      <c r="C17" s="66">
        <f>('Water Reading'!B17-'Water Reading'!B16)+('Water Reading'!C17-'Water Reading'!C16)</f>
        <v>847</v>
      </c>
      <c r="D17" s="67">
        <f t="shared" si="2"/>
        <v>3.6042553191489364</v>
      </c>
      <c r="E17" s="87">
        <f>'Water Reading'!H17-'Water Reading'!H16</f>
        <v>27</v>
      </c>
      <c r="F17" s="89">
        <f t="shared" si="3"/>
        <v>3.1877213695395513E-2</v>
      </c>
      <c r="G17" s="93">
        <f>('Water Reading'!D17-'Water Reading'!D16)-('Water Reading'!R17-'Water Reading'!R16)-('Water Reading'!Q17-'Water Reading'!Q16)</f>
        <v>127</v>
      </c>
      <c r="H17" s="89">
        <f t="shared" si="4"/>
        <v>0.14994096812278632</v>
      </c>
      <c r="I17" s="90">
        <f>'Water Reading'!P17-'Water Reading'!P16</f>
        <v>13</v>
      </c>
      <c r="J17" s="68">
        <f t="shared" si="5"/>
        <v>1.5348288075560802E-2</v>
      </c>
      <c r="K17" s="91">
        <f>('Water Reading'!I17-'Water Reading'!I16)-('Water Reading'!P17-'Water Reading'!P16)</f>
        <v>17</v>
      </c>
      <c r="L17" s="68">
        <f t="shared" si="6"/>
        <v>2.0070838252656435E-2</v>
      </c>
      <c r="M17" s="90">
        <f>'Water Reading'!R17-'Water Reading'!R16</f>
        <v>7</v>
      </c>
      <c r="N17" s="92">
        <f t="shared" si="7"/>
        <v>8.2644628099173556E-3</v>
      </c>
      <c r="O17" s="90">
        <f>'Water Reading'!Q17-'Water Reading'!Q16</f>
        <v>2</v>
      </c>
      <c r="P17" s="99">
        <f t="shared" si="8"/>
        <v>2.3612750885478157E-3</v>
      </c>
      <c r="Q17" s="91">
        <f>'Water Reading'!F17-'Water Reading'!F16</f>
        <v>1</v>
      </c>
      <c r="R17" s="100">
        <f t="shared" si="9"/>
        <v>1.1806375442739079E-3</v>
      </c>
      <c r="S17" s="94">
        <f>'Water Reading'!E17-'Water Reading'!E16</f>
        <v>57</v>
      </c>
      <c r="T17" s="100">
        <f t="shared" si="10"/>
        <v>6.7296340023612747E-2</v>
      </c>
      <c r="U17" s="90">
        <f>'Water Reading'!G17-'Water Reading'!G16</f>
        <v>16</v>
      </c>
      <c r="V17" s="100">
        <f t="shared" si="11"/>
        <v>1.8890200708382526E-2</v>
      </c>
      <c r="W17" s="90">
        <f>'Water Reading'!J17-'Water Reading'!J16</f>
        <v>10</v>
      </c>
      <c r="X17" s="100">
        <f t="shared" si="12"/>
        <v>1.1806375442739079E-2</v>
      </c>
      <c r="Y17" s="66">
        <f t="shared" si="0"/>
        <v>277</v>
      </c>
      <c r="Z17" s="67">
        <f t="shared" si="1"/>
        <v>1.1787234042553192</v>
      </c>
    </row>
    <row r="18" spans="1:26" x14ac:dyDescent="0.25">
      <c r="A18" s="8">
        <f>'Water Reading'!A17</f>
        <v>44454</v>
      </c>
      <c r="B18" s="65">
        <f>TOTAL!I16</f>
        <v>287</v>
      </c>
      <c r="C18" s="66">
        <f>('Water Reading'!B18-'Water Reading'!B17)+('Water Reading'!C18-'Water Reading'!C17)</f>
        <v>449</v>
      </c>
      <c r="D18" s="67">
        <f t="shared" si="2"/>
        <v>1.5644599303135889</v>
      </c>
      <c r="E18" s="87">
        <f>'Water Reading'!H18-'Water Reading'!H17</f>
        <v>34</v>
      </c>
      <c r="F18" s="89">
        <f t="shared" si="3"/>
        <v>7.5723830734966593E-2</v>
      </c>
      <c r="G18" s="93">
        <f>('Water Reading'!D18-'Water Reading'!D17)-('Water Reading'!R18-'Water Reading'!R17)-('Water Reading'!Q18-'Water Reading'!Q17)</f>
        <v>162</v>
      </c>
      <c r="H18" s="89">
        <f t="shared" si="4"/>
        <v>0.36080178173719374</v>
      </c>
      <c r="I18" s="90">
        <f>'Water Reading'!P18-'Water Reading'!P17</f>
        <v>8</v>
      </c>
      <c r="J18" s="68">
        <f t="shared" si="5"/>
        <v>1.7817371937639197E-2</v>
      </c>
      <c r="K18" s="91">
        <f>('Water Reading'!I18-'Water Reading'!I17)-('Water Reading'!P18-'Water Reading'!P17)</f>
        <v>21</v>
      </c>
      <c r="L18" s="68">
        <f t="shared" si="6"/>
        <v>4.6770601336302897E-2</v>
      </c>
      <c r="M18" s="90">
        <f>'Water Reading'!R18-'Water Reading'!R17</f>
        <v>6</v>
      </c>
      <c r="N18" s="92">
        <f t="shared" si="7"/>
        <v>1.3363028953229399E-2</v>
      </c>
      <c r="O18" s="90">
        <f>'Water Reading'!Q18-'Water Reading'!Q17</f>
        <v>2</v>
      </c>
      <c r="P18" s="99">
        <f t="shared" si="8"/>
        <v>4.4543429844097994E-3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58</v>
      </c>
      <c r="T18" s="100">
        <f t="shared" si="10"/>
        <v>0.1291759465478842</v>
      </c>
      <c r="U18" s="90">
        <f>'Water Reading'!G18-'Water Reading'!G17</f>
        <v>16</v>
      </c>
      <c r="V18" s="100">
        <f t="shared" si="11"/>
        <v>3.5634743875278395E-2</v>
      </c>
      <c r="W18" s="90">
        <f>'Water Reading'!J18-'Water Reading'!J17</f>
        <v>11</v>
      </c>
      <c r="X18" s="100">
        <f t="shared" si="12"/>
        <v>2.4498886414253896E-2</v>
      </c>
      <c r="Y18" s="66">
        <f t="shared" si="0"/>
        <v>318</v>
      </c>
      <c r="Z18" s="67">
        <f t="shared" si="1"/>
        <v>1.10801393728223</v>
      </c>
    </row>
    <row r="19" spans="1:26" x14ac:dyDescent="0.25">
      <c r="A19" s="8">
        <f>'Water Reading'!A18</f>
        <v>44455</v>
      </c>
      <c r="B19" s="65">
        <f>TOTAL!I17</f>
        <v>273</v>
      </c>
      <c r="C19" s="66">
        <f>('Water Reading'!B19-'Water Reading'!B18)+('Water Reading'!C19-'Water Reading'!C18)</f>
        <v>361</v>
      </c>
      <c r="D19" s="67">
        <f t="shared" si="2"/>
        <v>1.3223443223443223</v>
      </c>
      <c r="E19" s="87">
        <f>'Water Reading'!H19-'Water Reading'!H18</f>
        <v>52</v>
      </c>
      <c r="F19" s="89">
        <f t="shared" si="3"/>
        <v>0.1440443213296399</v>
      </c>
      <c r="G19" s="93">
        <f>('Water Reading'!D19-'Water Reading'!D18)-('Water Reading'!R19-'Water Reading'!R18)-('Water Reading'!Q19-'Water Reading'!Q18)</f>
        <v>103</v>
      </c>
      <c r="H19" s="89">
        <f t="shared" si="4"/>
        <v>0.2853185595567867</v>
      </c>
      <c r="I19" s="90">
        <f>'Water Reading'!P19-'Water Reading'!P18</f>
        <v>8</v>
      </c>
      <c r="J19" s="68">
        <f t="shared" si="5"/>
        <v>2.2160664819944598E-2</v>
      </c>
      <c r="K19" s="91">
        <f>('Water Reading'!I19-'Water Reading'!I18)-('Water Reading'!P19-'Water Reading'!P18)</f>
        <v>17</v>
      </c>
      <c r="L19" s="68">
        <f t="shared" si="6"/>
        <v>4.7091412742382273E-2</v>
      </c>
      <c r="M19" s="90">
        <f>'Water Reading'!R19-'Water Reading'!R18</f>
        <v>8</v>
      </c>
      <c r="N19" s="92">
        <f t="shared" si="7"/>
        <v>2.2160664819944598E-2</v>
      </c>
      <c r="O19" s="90">
        <f>'Water Reading'!Q19-'Water Reading'!Q18</f>
        <v>1</v>
      </c>
      <c r="P19" s="99">
        <f t="shared" si="8"/>
        <v>2.7700831024930748E-3</v>
      </c>
      <c r="Q19" s="91">
        <f>'Water Reading'!F19-'Water Reading'!F18</f>
        <v>1</v>
      </c>
      <c r="R19" s="100">
        <f t="shared" si="9"/>
        <v>2.7700831024930748E-3</v>
      </c>
      <c r="S19" s="94">
        <f>'Water Reading'!E19-'Water Reading'!E18</f>
        <v>49</v>
      </c>
      <c r="T19" s="100">
        <f t="shared" si="10"/>
        <v>0.13573407202216067</v>
      </c>
      <c r="U19" s="90">
        <f>'Water Reading'!G19-'Water Reading'!G18</f>
        <v>16</v>
      </c>
      <c r="V19" s="100">
        <f t="shared" si="11"/>
        <v>4.4321329639889197E-2</v>
      </c>
      <c r="W19" s="90">
        <f>'Water Reading'!J19-'Water Reading'!J18</f>
        <v>10</v>
      </c>
      <c r="X19" s="100">
        <f t="shared" si="12"/>
        <v>2.7700831024930747E-2</v>
      </c>
      <c r="Y19" s="66">
        <f t="shared" si="0"/>
        <v>265</v>
      </c>
      <c r="Z19" s="67">
        <f t="shared" si="1"/>
        <v>0.97069597069597069</v>
      </c>
    </row>
    <row r="20" spans="1:26" x14ac:dyDescent="0.25">
      <c r="A20" s="8">
        <f>'Water Reading'!A19</f>
        <v>44456</v>
      </c>
      <c r="B20" s="65">
        <f>TOTAL!I18</f>
        <v>246</v>
      </c>
      <c r="C20" s="66">
        <f>('Water Reading'!B20-'Water Reading'!B19)+('Water Reading'!C20-'Water Reading'!C19)</f>
        <v>304</v>
      </c>
      <c r="D20" s="67">
        <f t="shared" si="2"/>
        <v>1.2357723577235773</v>
      </c>
      <c r="E20" s="87">
        <f>'Water Reading'!H20-'Water Reading'!H19</f>
        <v>39</v>
      </c>
      <c r="F20" s="89">
        <f t="shared" si="3"/>
        <v>0.12828947368421054</v>
      </c>
      <c r="G20" s="93">
        <f>('Water Reading'!D20-'Water Reading'!D19)-('Water Reading'!R20-'Water Reading'!R19)-('Water Reading'!Q20-'Water Reading'!Q19)</f>
        <v>107</v>
      </c>
      <c r="H20" s="89">
        <f t="shared" si="4"/>
        <v>0.35197368421052633</v>
      </c>
      <c r="I20" s="90">
        <f>'Water Reading'!P20-'Water Reading'!P19</f>
        <v>15</v>
      </c>
      <c r="J20" s="68">
        <f t="shared" si="5"/>
        <v>4.9342105263157895E-2</v>
      </c>
      <c r="K20" s="91">
        <f>('Water Reading'!I20-'Water Reading'!I19)-('Water Reading'!P20-'Water Reading'!P19)</f>
        <v>15</v>
      </c>
      <c r="L20" s="68">
        <f t="shared" si="6"/>
        <v>4.9342105263157895E-2</v>
      </c>
      <c r="M20" s="90">
        <f>'Water Reading'!R20-'Water Reading'!R19</f>
        <v>5</v>
      </c>
      <c r="N20" s="92">
        <f t="shared" si="7"/>
        <v>1.6447368421052631E-2</v>
      </c>
      <c r="O20" s="90">
        <f>'Water Reading'!Q20-'Water Reading'!Q19</f>
        <v>5</v>
      </c>
      <c r="P20" s="99">
        <f t="shared" si="8"/>
        <v>1.6447368421052631E-2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0.17434210526315788</v>
      </c>
      <c r="U20" s="90">
        <f>'Water Reading'!G20-'Water Reading'!G19</f>
        <v>17</v>
      </c>
      <c r="V20" s="100">
        <f t="shared" si="11"/>
        <v>5.5921052631578948E-2</v>
      </c>
      <c r="W20" s="90">
        <f>'Water Reading'!J20-'Water Reading'!J19</f>
        <v>10</v>
      </c>
      <c r="X20" s="100">
        <f t="shared" si="12"/>
        <v>3.2894736842105261E-2</v>
      </c>
      <c r="Y20" s="66">
        <f t="shared" si="0"/>
        <v>266</v>
      </c>
      <c r="Z20" s="67">
        <f t="shared" si="1"/>
        <v>1.0813008130081301</v>
      </c>
    </row>
    <row r="21" spans="1:26" x14ac:dyDescent="0.25">
      <c r="A21" s="8">
        <f>'Water Reading'!A20</f>
        <v>44457</v>
      </c>
      <c r="B21" s="65">
        <f>TOTAL!I19</f>
        <v>237</v>
      </c>
      <c r="C21" s="66">
        <f>('Water Reading'!B21-'Water Reading'!B20)+('Water Reading'!C21-'Water Reading'!C20)</f>
        <v>861</v>
      </c>
      <c r="D21" s="67">
        <f t="shared" si="2"/>
        <v>3.6329113924050631</v>
      </c>
      <c r="E21" s="87">
        <f>'Water Reading'!H21-'Water Reading'!H20</f>
        <v>32</v>
      </c>
      <c r="F21" s="89">
        <f t="shared" si="3"/>
        <v>3.7166085946573751E-2</v>
      </c>
      <c r="G21" s="93">
        <f>('Water Reading'!D21-'Water Reading'!D20)-('Water Reading'!R21-'Water Reading'!R20)-('Water Reading'!Q21-'Water Reading'!Q20)</f>
        <v>103</v>
      </c>
      <c r="H21" s="89">
        <f t="shared" si="4"/>
        <v>0.11962833914053426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17</v>
      </c>
      <c r="L21" s="68">
        <f t="shared" si="6"/>
        <v>1.9744483159117306E-2</v>
      </c>
      <c r="M21" s="90">
        <f>'Water Reading'!R21-'Water Reading'!R20</f>
        <v>7</v>
      </c>
      <c r="N21" s="92">
        <f t="shared" si="7"/>
        <v>8.130081300813009E-3</v>
      </c>
      <c r="O21" s="90">
        <f>'Water Reading'!Q21-'Water Reading'!Q20</f>
        <v>1</v>
      </c>
      <c r="P21" s="99">
        <f t="shared" si="8"/>
        <v>1.1614401858304297E-3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48</v>
      </c>
      <c r="T21" s="100">
        <f t="shared" si="10"/>
        <v>5.5749128919860627E-2</v>
      </c>
      <c r="U21" s="90">
        <f>'Water Reading'!G21-'Water Reading'!G20</f>
        <v>18</v>
      </c>
      <c r="V21" s="100">
        <f t="shared" si="11"/>
        <v>2.0905923344947737E-2</v>
      </c>
      <c r="W21" s="90">
        <f>'Water Reading'!J21-'Water Reading'!J20</f>
        <v>10</v>
      </c>
      <c r="X21" s="100">
        <f t="shared" si="12"/>
        <v>1.1614401858304297E-2</v>
      </c>
      <c r="Y21" s="66">
        <f t="shared" si="0"/>
        <v>236</v>
      </c>
      <c r="Z21" s="67">
        <f t="shared" si="1"/>
        <v>0.99578059071729963</v>
      </c>
    </row>
    <row r="22" spans="1:26" x14ac:dyDescent="0.25">
      <c r="A22" s="8">
        <f>'Water Reading'!A21</f>
        <v>44458</v>
      </c>
      <c r="B22" s="65">
        <f>TOTAL!I20</f>
        <v>206</v>
      </c>
      <c r="C22" s="66">
        <f>('Water Reading'!B22-'Water Reading'!B21)+('Water Reading'!C22-'Water Reading'!C21)</f>
        <v>598</v>
      </c>
      <c r="D22" s="67">
        <f t="shared" si="2"/>
        <v>2.9029126213592233</v>
      </c>
      <c r="E22" s="87">
        <f>'Water Reading'!H22-'Water Reading'!H21</f>
        <v>58</v>
      </c>
      <c r="F22" s="89">
        <f t="shared" si="3"/>
        <v>9.6989966555183951E-2</v>
      </c>
      <c r="G22" s="93">
        <f>('Water Reading'!D22-'Water Reading'!D21)-('Water Reading'!R22-'Water Reading'!R21)-('Water Reading'!Q22-'Water Reading'!Q21)</f>
        <v>95</v>
      </c>
      <c r="H22" s="89">
        <f t="shared" si="4"/>
        <v>0.15886287625418061</v>
      </c>
      <c r="I22" s="90">
        <f>'Water Reading'!P22-'Water Reading'!P21</f>
        <v>16</v>
      </c>
      <c r="J22" s="68">
        <f t="shared" si="5"/>
        <v>2.6755852842809364E-2</v>
      </c>
      <c r="K22" s="91">
        <f>('Water Reading'!I22-'Water Reading'!I21)-('Water Reading'!P22-'Water Reading'!P21)</f>
        <v>15</v>
      </c>
      <c r="L22" s="68">
        <f t="shared" si="6"/>
        <v>2.508361204013378E-2</v>
      </c>
      <c r="M22" s="90">
        <f>'Water Reading'!R22-'Water Reading'!R21</f>
        <v>7</v>
      </c>
      <c r="N22" s="92">
        <f t="shared" si="7"/>
        <v>1.1705685618729096E-2</v>
      </c>
      <c r="O22" s="90">
        <f>'Water Reading'!Q22-'Water Reading'!Q21</f>
        <v>4</v>
      </c>
      <c r="P22" s="99">
        <f t="shared" si="8"/>
        <v>6.688963210702341E-3</v>
      </c>
      <c r="Q22" s="91">
        <f>'Water Reading'!F22-'Water Reading'!F21</f>
        <v>1</v>
      </c>
      <c r="R22" s="100">
        <f t="shared" si="9"/>
        <v>1.6722408026755853E-3</v>
      </c>
      <c r="S22" s="94">
        <f>'Water Reading'!E22-'Water Reading'!E21</f>
        <v>51</v>
      </c>
      <c r="T22" s="100">
        <f t="shared" si="10"/>
        <v>8.5284280936454848E-2</v>
      </c>
      <c r="U22" s="90">
        <f>'Water Reading'!G22-'Water Reading'!G21</f>
        <v>18</v>
      </c>
      <c r="V22" s="100">
        <f t="shared" si="11"/>
        <v>3.0100334448160536E-2</v>
      </c>
      <c r="W22" s="90">
        <f>'Water Reading'!J22-'Water Reading'!J21</f>
        <v>11</v>
      </c>
      <c r="X22" s="100">
        <f t="shared" si="12"/>
        <v>1.839464882943144E-2</v>
      </c>
      <c r="Y22" s="66">
        <f t="shared" si="0"/>
        <v>276</v>
      </c>
      <c r="Z22" s="67">
        <f t="shared" si="1"/>
        <v>1.3398058252427185</v>
      </c>
    </row>
    <row r="23" spans="1:26" x14ac:dyDescent="0.25">
      <c r="A23" s="8">
        <f>'Water Reading'!A22</f>
        <v>44459</v>
      </c>
      <c r="B23" s="65">
        <f>TOTAL!I21</f>
        <v>0</v>
      </c>
      <c r="C23" s="66">
        <f>('Water Reading'!B23-'Water Reading'!B22)+('Water Reading'!C23-'Water Reading'!C22)</f>
        <v>-330257</v>
      </c>
      <c r="D23" s="67" t="e">
        <f t="shared" si="2"/>
        <v>#DIV/0!</v>
      </c>
      <c r="E23" s="87">
        <f>'Water Reading'!H23-'Water Reading'!H22</f>
        <v>-55939</v>
      </c>
      <c r="F23" s="89">
        <f t="shared" si="3"/>
        <v>0.16938020995769962</v>
      </c>
      <c r="G23" s="93">
        <f>('Water Reading'!D23-'Water Reading'!D22)-('Water Reading'!R23-'Water Reading'!R22)-('Water Reading'!Q23-'Water Reading'!Q22)</f>
        <v>-214054</v>
      </c>
      <c r="H23" s="89">
        <f t="shared" si="4"/>
        <v>0.64814371837690044</v>
      </c>
      <c r="I23" s="90">
        <f>'Water Reading'!P23-'Water Reading'!P22</f>
        <v>-27882</v>
      </c>
      <c r="J23" s="68">
        <f t="shared" si="5"/>
        <v>8.4425159799792288E-2</v>
      </c>
      <c r="K23" s="91">
        <f>('Water Reading'!I23-'Water Reading'!I22)-('Water Reading'!P23-'Water Reading'!P22)</f>
        <v>-38118</v>
      </c>
      <c r="L23" s="68">
        <f t="shared" si="6"/>
        <v>0.11541920383216707</v>
      </c>
      <c r="M23" s="90">
        <f>'Water Reading'!R23-'Water Reading'!R22</f>
        <v>-6699</v>
      </c>
      <c r="N23" s="92">
        <f t="shared" si="7"/>
        <v>2.0284202908643873E-2</v>
      </c>
      <c r="O23" s="90">
        <f>'Water Reading'!Q23-'Water Reading'!Q22</f>
        <v>-983</v>
      </c>
      <c r="P23" s="99">
        <f t="shared" si="8"/>
        <v>2.9764698401547884E-3</v>
      </c>
      <c r="Q23" s="91">
        <f>'Water Reading'!F23-'Water Reading'!F22</f>
        <v>-66990</v>
      </c>
      <c r="R23" s="100">
        <f t="shared" si="9"/>
        <v>0.20284202908643875</v>
      </c>
      <c r="S23" s="94">
        <f>'Water Reading'!E23-'Water Reading'!E22</f>
        <v>-252581</v>
      </c>
      <c r="T23" s="100">
        <f t="shared" si="10"/>
        <v>0.76480135167460495</v>
      </c>
      <c r="U23" s="90">
        <f>'Water Reading'!G23-'Water Reading'!G22</f>
        <v>-113084</v>
      </c>
      <c r="V23" s="100">
        <f t="shared" si="11"/>
        <v>0.34241212146903777</v>
      </c>
      <c r="W23" s="90">
        <f>'Water Reading'!J23-'Water Reading'!J22</f>
        <v>-21204</v>
      </c>
      <c r="X23" s="100">
        <f t="shared" si="12"/>
        <v>6.420454373412221E-2</v>
      </c>
      <c r="Y23" s="66">
        <f t="shared" si="0"/>
        <v>-797534</v>
      </c>
      <c r="Z23" s="67" t="e">
        <f t="shared" si="1"/>
        <v>#DIV/0!</v>
      </c>
    </row>
    <row r="24" spans="1:26" x14ac:dyDescent="0.25">
      <c r="A24" s="8">
        <f>'Water Reading'!A23</f>
        <v>44460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4853</v>
      </c>
      <c r="C35" s="75">
        <f>SUM(C4:C34)</f>
        <v>-323652</v>
      </c>
      <c r="D35" s="96">
        <f>C35/B35</f>
        <v>-66.691118895528533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-163.30846898825467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2021-09-20T11:25:35Z</dcterms:modified>
  <cp:category/>
  <cp:contentStatus/>
</cp:coreProperties>
</file>