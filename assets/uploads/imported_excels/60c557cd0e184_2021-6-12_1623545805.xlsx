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4000" windowHeight="960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2" l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0" i="2"/>
  <c r="P12" i="2" s="1"/>
  <c r="P13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18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18" i="1"/>
  <c r="G20" i="1"/>
  <c r="G22" i="1"/>
  <c r="G26" i="1"/>
  <c r="D1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<sst xmlns="http://schemas.openxmlformats.org/spreadsheetml/2006/main" count="441" uniqueCount="144">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</sst>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45306.913600000007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67190.490623999998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57229.413724000005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80842.509568000009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154600.88920400001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-96503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 t="str">
        <f>ELECT.!F15</f>
        <v>0</v>
      </c>
      <c r="J14" s="47" t="str">
        <f>ELECT.!H15</f>
        <v>0</v>
      </c>
      <c r="K14" s="47" t="str">
        <f>ELECT.!K15</f>
        <v>0</v>
      </c>
      <c r="L14" s="47" t="str">
        <f>ELECT.!M15</f>
        <v>0</v>
      </c>
      <c r="M14" s="47">
        <f>ELECT.!O15</f>
        <v>0</v>
      </c>
      <c r="N14" s="47" t="str">
        <f>ELECT.!Q15</f>
        <v>0</v>
      </c>
      <c r="O14" s="47" t="str">
        <f>ELECT.!S15</f>
        <v>0</v>
      </c>
      <c r="P14" s="47">
        <f>ELECT.!W15*2</f>
        <v>0</v>
      </c>
      <c r="Q14" s="47">
        <f>ELECT.!D15</f>
        <v>0</v>
      </c>
      <c r="R14" s="48" t="str">
        <f>BTU!C15</f>
        <v>0</v>
      </c>
      <c r="S14" s="48" t="str">
        <f>BTU!F15</f>
        <v>0</v>
      </c>
      <c r="T14" s="48" t="str">
        <f>BTU!I15</f>
        <v>0</v>
      </c>
      <c r="U14" s="48" t="str">
        <f>BTU!O15</f>
        <v>0</v>
      </c>
      <c r="V14" s="48" t="str">
        <f>BTU!L15</f>
        <v>0</v>
      </c>
      <c r="W14" s="48" t="str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14" sqref="B1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f t="shared" ref="P10:P33" si="10">P9</f>
        <v>107070</v>
      </c>
      <c r="Q10" s="16">
        <f>P10-P9</f>
        <v>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199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f t="shared" si="10"/>
        <v>107269</v>
      </c>
      <c r="Q12" s="16">
        <f t="shared" si="7"/>
        <v>0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f t="shared" si="10"/>
        <v>107269</v>
      </c>
      <c r="Q13" s="16">
        <f t="shared" si="7"/>
        <v>0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10766</v>
      </c>
      <c r="Q14" s="16">
        <f t="shared" si="7"/>
        <v>-96503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f t="shared" ref="B14:B33" si="11">B14</f>
        <v>45391</v>
      </c>
      <c r="C15" s="16">
        <f t="shared" si="0"/>
        <v>0</v>
      </c>
      <c r="D15" s="42">
        <f t="shared" ref="D14:D33" si="12">D14</f>
        <v>39586</v>
      </c>
      <c r="E15" s="16">
        <f t="shared" si="1"/>
        <v>0</v>
      </c>
      <c r="F15" s="42">
        <f t="shared" ref="F14:F33" si="13">F14</f>
        <v>20453</v>
      </c>
      <c r="G15" s="16">
        <f t="shared" si="2"/>
        <v>0</v>
      </c>
      <c r="H15" s="42">
        <f t="shared" ref="H14:H33" si="14">H14</f>
        <v>243511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ref="L14:L33" si="15">L14</f>
        <v>25027</v>
      </c>
      <c r="M15" s="16">
        <f t="shared" si="5"/>
        <v>0</v>
      </c>
      <c r="N15" s="42">
        <f t="shared" ref="N14:N33" si="16">N14</f>
        <v>215583</v>
      </c>
      <c r="O15" s="16">
        <f t="shared" si="6"/>
        <v>0</v>
      </c>
      <c r="P15" s="42">
        <f t="shared" si="10"/>
        <v>10766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ref="T14:T33" si="17">T14</f>
        <v>3664</v>
      </c>
      <c r="U15" s="16">
        <f>(T15-T14)*800/5</f>
        <v>0</v>
      </c>
      <c r="X15" t="s">
        <v>12</v>
      </c>
    </row>
    <row r="16" spans="1:24" ht="13.5" thickBot="1" x14ac:dyDescent="0.25">
      <c r="A16" s="10">
        <v>44361</v>
      </c>
      <c r="B16" s="42">
        <f t="shared" si="11"/>
        <v>45391</v>
      </c>
      <c r="C16" s="16">
        <f t="shared" si="0"/>
        <v>0</v>
      </c>
      <c r="D16" s="42">
        <f t="shared" si="12"/>
        <v>39586</v>
      </c>
      <c r="E16" s="16">
        <f t="shared" si="1"/>
        <v>0</v>
      </c>
      <c r="F16" s="42">
        <f t="shared" si="13"/>
        <v>20453</v>
      </c>
      <c r="G16" s="16">
        <f t="shared" si="2"/>
        <v>0</v>
      </c>
      <c r="H16" s="42">
        <f t="shared" si="14"/>
        <v>243511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5"/>
        <v>25027</v>
      </c>
      <c r="M16" s="16">
        <f t="shared" si="5"/>
        <v>0</v>
      </c>
      <c r="N16" s="42">
        <f t="shared" si="16"/>
        <v>215583</v>
      </c>
      <c r="O16" s="16">
        <f t="shared" si="6"/>
        <v>0</v>
      </c>
      <c r="P16" s="42">
        <f t="shared" si="10"/>
        <v>10766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3664</v>
      </c>
      <c r="U16" s="16">
        <f t="shared" si="9"/>
        <v>0</v>
      </c>
      <c r="W16" t="s">
        <v>12</v>
      </c>
    </row>
    <row r="17" spans="1:23" ht="13.5" thickBot="1" x14ac:dyDescent="0.25">
      <c r="A17" s="10">
        <v>44362</v>
      </c>
      <c r="B17" s="42">
        <f t="shared" si="11"/>
        <v>45391</v>
      </c>
      <c r="C17" s="16">
        <f t="shared" si="0"/>
        <v>0</v>
      </c>
      <c r="D17" s="42">
        <f t="shared" si="12"/>
        <v>39586</v>
      </c>
      <c r="E17" s="16">
        <f t="shared" si="1"/>
        <v>0</v>
      </c>
      <c r="F17" s="42">
        <f t="shared" si="13"/>
        <v>20453</v>
      </c>
      <c r="G17" s="16">
        <f t="shared" si="2"/>
        <v>0</v>
      </c>
      <c r="H17" s="42">
        <f t="shared" si="14"/>
        <v>243511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5"/>
        <v>25027</v>
      </c>
      <c r="M17" s="16">
        <f t="shared" si="5"/>
        <v>0</v>
      </c>
      <c r="N17" s="42">
        <f t="shared" si="16"/>
        <v>215583</v>
      </c>
      <c r="O17" s="16">
        <f t="shared" si="6"/>
        <v>0</v>
      </c>
      <c r="P17" s="42">
        <f t="shared" si="10"/>
        <v>10766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3664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1"/>
        <v>45391</v>
      </c>
      <c r="C18" s="16">
        <f t="shared" si="0"/>
        <v>0</v>
      </c>
      <c r="D18" s="42">
        <f t="shared" si="12"/>
        <v>39586</v>
      </c>
      <c r="E18" s="16">
        <f t="shared" si="1"/>
        <v>0</v>
      </c>
      <c r="F18" s="42">
        <f t="shared" si="13"/>
        <v>20453</v>
      </c>
      <c r="G18" s="16">
        <f t="shared" si="2"/>
        <v>0</v>
      </c>
      <c r="H18" s="42">
        <f t="shared" si="14"/>
        <v>243511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5"/>
        <v>25027</v>
      </c>
      <c r="M18" s="16">
        <f t="shared" si="5"/>
        <v>0</v>
      </c>
      <c r="N18" s="42">
        <f t="shared" si="16"/>
        <v>215583</v>
      </c>
      <c r="O18" s="16">
        <f t="shared" si="6"/>
        <v>0</v>
      </c>
      <c r="P18" s="42">
        <f t="shared" si="10"/>
        <v>10766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3664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1"/>
        <v>45391</v>
      </c>
      <c r="C19" s="16">
        <f t="shared" si="0"/>
        <v>0</v>
      </c>
      <c r="D19" s="42">
        <f t="shared" si="12"/>
        <v>39586</v>
      </c>
      <c r="E19" s="16">
        <f t="shared" si="1"/>
        <v>0</v>
      </c>
      <c r="F19" s="42">
        <f t="shared" si="13"/>
        <v>20453</v>
      </c>
      <c r="G19" s="16">
        <f t="shared" si="2"/>
        <v>0</v>
      </c>
      <c r="H19" s="42">
        <f t="shared" si="14"/>
        <v>243511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25027</v>
      </c>
      <c r="M19" s="16">
        <f t="shared" si="5"/>
        <v>0</v>
      </c>
      <c r="N19" s="42">
        <f t="shared" si="16"/>
        <v>215583</v>
      </c>
      <c r="O19" s="16">
        <f t="shared" si="6"/>
        <v>0</v>
      </c>
      <c r="P19" s="42">
        <f t="shared" si="10"/>
        <v>10766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3664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1"/>
        <v>45391</v>
      </c>
      <c r="C20" s="16">
        <f t="shared" si="0"/>
        <v>0</v>
      </c>
      <c r="D20" s="42">
        <f t="shared" si="12"/>
        <v>39586</v>
      </c>
      <c r="E20" s="16">
        <f t="shared" si="1"/>
        <v>0</v>
      </c>
      <c r="F20" s="42">
        <f t="shared" si="13"/>
        <v>20453</v>
      </c>
      <c r="G20" s="16">
        <f t="shared" si="2"/>
        <v>0</v>
      </c>
      <c r="H20" s="42">
        <f t="shared" si="14"/>
        <v>243511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25027</v>
      </c>
      <c r="M20" s="16">
        <f t="shared" si="5"/>
        <v>0</v>
      </c>
      <c r="N20" s="42">
        <f t="shared" si="16"/>
        <v>215583</v>
      </c>
      <c r="O20" s="16">
        <f t="shared" si="6"/>
        <v>0</v>
      </c>
      <c r="P20" s="42">
        <f t="shared" si="10"/>
        <v>10766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3664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1"/>
        <v>45391</v>
      </c>
      <c r="C21" s="16">
        <f t="shared" si="0"/>
        <v>0</v>
      </c>
      <c r="D21" s="42">
        <f t="shared" si="12"/>
        <v>39586</v>
      </c>
      <c r="E21" s="16">
        <f t="shared" si="1"/>
        <v>0</v>
      </c>
      <c r="F21" s="42">
        <f t="shared" si="13"/>
        <v>20453</v>
      </c>
      <c r="G21" s="16">
        <f t="shared" si="2"/>
        <v>0</v>
      </c>
      <c r="H21" s="42">
        <f t="shared" si="14"/>
        <v>243511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25027</v>
      </c>
      <c r="M21" s="16">
        <f t="shared" si="5"/>
        <v>0</v>
      </c>
      <c r="N21" s="42">
        <f t="shared" si="16"/>
        <v>215583</v>
      </c>
      <c r="O21" s="16">
        <f t="shared" si="6"/>
        <v>0</v>
      </c>
      <c r="P21" s="42">
        <f t="shared" si="10"/>
        <v>10766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3664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1"/>
        <v>45391</v>
      </c>
      <c r="C22" s="16">
        <f t="shared" si="0"/>
        <v>0</v>
      </c>
      <c r="D22" s="42">
        <f t="shared" si="12"/>
        <v>39586</v>
      </c>
      <c r="E22" s="16">
        <f t="shared" si="1"/>
        <v>0</v>
      </c>
      <c r="F22" s="42">
        <f t="shared" si="13"/>
        <v>20453</v>
      </c>
      <c r="G22" s="16">
        <f t="shared" si="2"/>
        <v>0</v>
      </c>
      <c r="H22" s="42">
        <f t="shared" si="14"/>
        <v>243511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25027</v>
      </c>
      <c r="M22" s="16">
        <f t="shared" si="5"/>
        <v>0</v>
      </c>
      <c r="N22" s="42">
        <f t="shared" si="16"/>
        <v>215583</v>
      </c>
      <c r="O22" s="16">
        <f t="shared" si="6"/>
        <v>0</v>
      </c>
      <c r="P22" s="42">
        <f t="shared" si="10"/>
        <v>10766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3664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1"/>
        <v>45391</v>
      </c>
      <c r="C23" s="16">
        <f t="shared" si="0"/>
        <v>0</v>
      </c>
      <c r="D23" s="42">
        <f t="shared" si="12"/>
        <v>39586</v>
      </c>
      <c r="E23" s="16">
        <f t="shared" si="1"/>
        <v>0</v>
      </c>
      <c r="F23" s="42">
        <f t="shared" si="13"/>
        <v>20453</v>
      </c>
      <c r="G23" s="16">
        <f t="shared" si="2"/>
        <v>0</v>
      </c>
      <c r="H23" s="42">
        <f t="shared" si="14"/>
        <v>243511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25027</v>
      </c>
      <c r="M23" s="16">
        <f t="shared" si="5"/>
        <v>0</v>
      </c>
      <c r="N23" s="42">
        <f t="shared" si="16"/>
        <v>215583</v>
      </c>
      <c r="O23" s="16">
        <f t="shared" si="6"/>
        <v>0</v>
      </c>
      <c r="P23" s="42">
        <f t="shared" si="10"/>
        <v>10766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3664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1"/>
        <v>45391</v>
      </c>
      <c r="C24" s="16">
        <f t="shared" si="0"/>
        <v>0</v>
      </c>
      <c r="D24" s="42">
        <f t="shared" si="12"/>
        <v>39586</v>
      </c>
      <c r="E24" s="16">
        <f t="shared" si="1"/>
        <v>0</v>
      </c>
      <c r="F24" s="42">
        <f t="shared" si="13"/>
        <v>20453</v>
      </c>
      <c r="G24" s="16">
        <f t="shared" si="2"/>
        <v>0</v>
      </c>
      <c r="H24" s="42">
        <f t="shared" si="14"/>
        <v>243511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25027</v>
      </c>
      <c r="M24" s="16">
        <f t="shared" si="5"/>
        <v>0</v>
      </c>
      <c r="N24" s="42">
        <f t="shared" si="16"/>
        <v>215583</v>
      </c>
      <c r="O24" s="16">
        <f t="shared" si="6"/>
        <v>0</v>
      </c>
      <c r="P24" s="42">
        <f t="shared" si="10"/>
        <v>10766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3664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1"/>
        <v>45391</v>
      </c>
      <c r="C25" s="16">
        <f t="shared" si="0"/>
        <v>0</v>
      </c>
      <c r="D25" s="42">
        <f t="shared" si="12"/>
        <v>39586</v>
      </c>
      <c r="E25" s="16">
        <f t="shared" si="1"/>
        <v>0</v>
      </c>
      <c r="F25" s="42">
        <f t="shared" si="13"/>
        <v>20453</v>
      </c>
      <c r="G25" s="16">
        <f t="shared" si="2"/>
        <v>0</v>
      </c>
      <c r="H25" s="42">
        <f t="shared" si="14"/>
        <v>243511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25027</v>
      </c>
      <c r="M25" s="16">
        <f t="shared" si="5"/>
        <v>0</v>
      </c>
      <c r="N25" s="42">
        <f t="shared" si="16"/>
        <v>215583</v>
      </c>
      <c r="O25" s="16">
        <f t="shared" si="6"/>
        <v>0</v>
      </c>
      <c r="P25" s="42">
        <f t="shared" si="10"/>
        <v>10766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3664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1"/>
        <v>45391</v>
      </c>
      <c r="C26" s="16">
        <f t="shared" si="0"/>
        <v>0</v>
      </c>
      <c r="D26" s="42">
        <f t="shared" si="12"/>
        <v>39586</v>
      </c>
      <c r="E26" s="16">
        <f t="shared" si="1"/>
        <v>0</v>
      </c>
      <c r="F26" s="42">
        <f t="shared" si="13"/>
        <v>20453</v>
      </c>
      <c r="G26" s="16">
        <f t="shared" si="2"/>
        <v>0</v>
      </c>
      <c r="H26" s="42">
        <f t="shared" si="14"/>
        <v>243511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25027</v>
      </c>
      <c r="M26" s="16">
        <f t="shared" si="5"/>
        <v>0</v>
      </c>
      <c r="N26" s="42">
        <f t="shared" si="16"/>
        <v>215583</v>
      </c>
      <c r="O26" s="16">
        <f t="shared" si="6"/>
        <v>0</v>
      </c>
      <c r="P26" s="42">
        <f t="shared" si="10"/>
        <v>10766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3664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1"/>
        <v>45391</v>
      </c>
      <c r="C27" s="16">
        <f t="shared" si="0"/>
        <v>0</v>
      </c>
      <c r="D27" s="42">
        <f t="shared" si="12"/>
        <v>39586</v>
      </c>
      <c r="E27" s="16">
        <f t="shared" si="1"/>
        <v>0</v>
      </c>
      <c r="F27" s="42">
        <f t="shared" si="13"/>
        <v>20453</v>
      </c>
      <c r="G27" s="16">
        <f t="shared" si="2"/>
        <v>0</v>
      </c>
      <c r="H27" s="42">
        <f t="shared" si="14"/>
        <v>243511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25027</v>
      </c>
      <c r="M27" s="16">
        <f t="shared" si="5"/>
        <v>0</v>
      </c>
      <c r="N27" s="42">
        <f t="shared" si="16"/>
        <v>215583</v>
      </c>
      <c r="O27" s="16">
        <f t="shared" si="6"/>
        <v>0</v>
      </c>
      <c r="P27" s="42">
        <f t="shared" si="10"/>
        <v>10766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3664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1"/>
        <v>45391</v>
      </c>
      <c r="C28" s="16">
        <f t="shared" si="0"/>
        <v>0</v>
      </c>
      <c r="D28" s="42">
        <f t="shared" si="12"/>
        <v>39586</v>
      </c>
      <c r="E28" s="16">
        <f t="shared" si="1"/>
        <v>0</v>
      </c>
      <c r="F28" s="42">
        <f t="shared" si="13"/>
        <v>20453</v>
      </c>
      <c r="G28" s="16">
        <f t="shared" si="2"/>
        <v>0</v>
      </c>
      <c r="H28" s="42">
        <f t="shared" si="14"/>
        <v>243511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25027</v>
      </c>
      <c r="M28" s="16">
        <f t="shared" si="5"/>
        <v>0</v>
      </c>
      <c r="N28" s="42">
        <f t="shared" si="16"/>
        <v>215583</v>
      </c>
      <c r="O28" s="16">
        <f t="shared" si="6"/>
        <v>0</v>
      </c>
      <c r="P28" s="42">
        <f t="shared" si="10"/>
        <v>10766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3664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1"/>
        <v>45391</v>
      </c>
      <c r="C29" s="16">
        <f t="shared" si="0"/>
        <v>0</v>
      </c>
      <c r="D29" s="42">
        <f t="shared" si="12"/>
        <v>39586</v>
      </c>
      <c r="E29" s="16">
        <f t="shared" si="1"/>
        <v>0</v>
      </c>
      <c r="F29" s="42">
        <f t="shared" si="13"/>
        <v>20453</v>
      </c>
      <c r="G29" s="16">
        <f t="shared" si="2"/>
        <v>0</v>
      </c>
      <c r="H29" s="42">
        <f t="shared" si="14"/>
        <v>243511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25027</v>
      </c>
      <c r="M29" s="16">
        <f t="shared" si="5"/>
        <v>0</v>
      </c>
      <c r="N29" s="42">
        <f t="shared" si="16"/>
        <v>215583</v>
      </c>
      <c r="O29" s="16">
        <f t="shared" si="6"/>
        <v>0</v>
      </c>
      <c r="P29" s="42">
        <f t="shared" si="10"/>
        <v>10766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3664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1"/>
        <v>45391</v>
      </c>
      <c r="C30" s="16">
        <f t="shared" si="0"/>
        <v>0</v>
      </c>
      <c r="D30" s="42">
        <f t="shared" si="12"/>
        <v>39586</v>
      </c>
      <c r="E30" s="16">
        <f t="shared" si="1"/>
        <v>0</v>
      </c>
      <c r="F30" s="42">
        <f t="shared" si="13"/>
        <v>20453</v>
      </c>
      <c r="G30" s="16">
        <f t="shared" si="2"/>
        <v>0</v>
      </c>
      <c r="H30" s="42">
        <f t="shared" si="14"/>
        <v>243511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25027</v>
      </c>
      <c r="M30" s="16">
        <f t="shared" si="5"/>
        <v>0</v>
      </c>
      <c r="N30" s="42">
        <f t="shared" si="16"/>
        <v>215583</v>
      </c>
      <c r="O30" s="16">
        <f t="shared" si="6"/>
        <v>0</v>
      </c>
      <c r="P30" s="42">
        <f t="shared" si="10"/>
        <v>10766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3664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1"/>
        <v>45391</v>
      </c>
      <c r="C31" s="16">
        <f t="shared" si="0"/>
        <v>0</v>
      </c>
      <c r="D31" s="42">
        <f t="shared" si="12"/>
        <v>39586</v>
      </c>
      <c r="E31" s="16">
        <f t="shared" si="1"/>
        <v>0</v>
      </c>
      <c r="F31" s="42">
        <f t="shared" si="13"/>
        <v>20453</v>
      </c>
      <c r="G31" s="16">
        <f t="shared" si="2"/>
        <v>0</v>
      </c>
      <c r="H31" s="42">
        <f t="shared" si="14"/>
        <v>243511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25027</v>
      </c>
      <c r="M31" s="16">
        <f t="shared" si="5"/>
        <v>0</v>
      </c>
      <c r="N31" s="42">
        <f t="shared" si="16"/>
        <v>215583</v>
      </c>
      <c r="O31" s="16">
        <f t="shared" si="6"/>
        <v>0</v>
      </c>
      <c r="P31" s="42">
        <f t="shared" si="10"/>
        <v>10766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3664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1"/>
        <v>45391</v>
      </c>
      <c r="C32" s="16">
        <f t="shared" si="0"/>
        <v>0</v>
      </c>
      <c r="D32" s="42">
        <f t="shared" si="12"/>
        <v>39586</v>
      </c>
      <c r="E32" s="16">
        <f t="shared" si="1"/>
        <v>0</v>
      </c>
      <c r="F32" s="42">
        <f t="shared" si="13"/>
        <v>20453</v>
      </c>
      <c r="G32" s="16">
        <f t="shared" si="2"/>
        <v>0</v>
      </c>
      <c r="H32" s="42">
        <f t="shared" si="14"/>
        <v>243511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25027</v>
      </c>
      <c r="M32" s="16">
        <f t="shared" si="5"/>
        <v>0</v>
      </c>
      <c r="N32" s="42">
        <f t="shared" si="16"/>
        <v>215583</v>
      </c>
      <c r="O32" s="16">
        <f t="shared" si="6"/>
        <v>0</v>
      </c>
      <c r="P32" s="42">
        <f t="shared" si="10"/>
        <v>10766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3664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1"/>
        <v>45391</v>
      </c>
      <c r="C33" s="16">
        <f t="shared" si="0"/>
        <v>0</v>
      </c>
      <c r="D33" s="42">
        <f t="shared" si="12"/>
        <v>39586</v>
      </c>
      <c r="E33" s="16">
        <f t="shared" si="1"/>
        <v>0</v>
      </c>
      <c r="F33" s="42">
        <f t="shared" si="13"/>
        <v>20453</v>
      </c>
      <c r="G33" s="16">
        <f t="shared" si="2"/>
        <v>0</v>
      </c>
      <c r="H33" s="42">
        <f t="shared" si="14"/>
        <v>243511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25027</v>
      </c>
      <c r="M33" s="16">
        <f t="shared" si="5"/>
        <v>0</v>
      </c>
      <c r="N33" s="42">
        <f t="shared" si="16"/>
        <v>215583</v>
      </c>
      <c r="O33" s="16">
        <f t="shared" si="6"/>
        <v>0</v>
      </c>
      <c r="P33" s="42">
        <f t="shared" si="10"/>
        <v>10766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3664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10080</v>
      </c>
      <c r="D34" s="13"/>
      <c r="E34" s="11">
        <f>SUM(E3:E33)</f>
        <v>5600</v>
      </c>
      <c r="F34" s="13"/>
      <c r="G34" s="11">
        <f>SUM(G3:G33)</f>
        <v>840</v>
      </c>
      <c r="H34" s="13"/>
      <c r="I34" s="11">
        <f>SUM(I3:I33)</f>
        <v>926</v>
      </c>
      <c r="J34" s="13"/>
      <c r="K34" s="11">
        <f>SUM(K3:K33)</f>
        <v>0</v>
      </c>
      <c r="L34" s="13"/>
      <c r="M34" s="11">
        <f>SUM(M3:M33)</f>
        <v>6880</v>
      </c>
      <c r="N34" s="43"/>
      <c r="O34" s="11">
        <f>SUM(O3:O33)</f>
        <v>39</v>
      </c>
      <c r="P34" s="13"/>
      <c r="Q34" s="11">
        <f>SUM(Q3:Q33)</f>
        <v>-95405</v>
      </c>
      <c r="R34" s="1"/>
      <c r="S34" s="11">
        <f>SUM(S3:S33)</f>
        <v>0</v>
      </c>
      <c r="T34" s="1"/>
      <c r="U34" s="11">
        <f>SUM(U3:U33)</f>
        <v>1920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K14" sqref="K1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44361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14500</v>
      </c>
      <c r="D34" s="3"/>
      <c r="E34" s="66">
        <f>SUM(E3:E33)</f>
        <v>16.2</v>
      </c>
      <c r="F34" s="3"/>
      <c r="G34" s="66">
        <f>SUM(G3:G33)</f>
        <v>7149.6</v>
      </c>
      <c r="H34" s="3"/>
      <c r="I34" s="66">
        <f>SUM(I3:I33)</f>
        <v>65.88</v>
      </c>
      <c r="J34" s="66">
        <f>SUM(J3:J33)</f>
        <v>21731.679999999997</v>
      </c>
      <c r="K34" s="66">
        <f>SUM(K3:K33)</f>
        <v>127347.64480000001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A15" sqref="A15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/>
      <c r="C15" s="161"/>
      <c r="D15" s="49">
        <f t="shared" si="11"/>
        <v>0</v>
      </c>
      <c r="E15" s="137"/>
      <c r="F15" s="49" t="str">
        <f>IF((E15-E14)&lt;0,"0",(E15-E14))</f>
        <v>0</v>
      </c>
      <c r="G15" s="141"/>
      <c r="H15" s="49" t="str">
        <f t="shared" si="13"/>
        <v>0</v>
      </c>
      <c r="I15" s="138">
        <f t="shared" si="14"/>
        <v>0</v>
      </c>
      <c r="J15" s="137"/>
      <c r="K15" s="49" t="str">
        <f t="shared" si="15"/>
        <v>0</v>
      </c>
      <c r="L15" s="139"/>
      <c r="M15" s="49" t="str">
        <f t="shared" si="16"/>
        <v>0</v>
      </c>
      <c r="N15" s="137"/>
      <c r="O15" s="49">
        <f t="shared" si="23"/>
        <v>0</v>
      </c>
      <c r="P15" s="139"/>
      <c r="Q15" s="49" t="str">
        <f t="shared" si="17"/>
        <v>0</v>
      </c>
      <c r="R15" s="137"/>
      <c r="S15" s="49" t="str">
        <f>IF((R15-R14)&lt;0,"0",(R15-R14))</f>
        <v>0</v>
      </c>
      <c r="T15" s="137">
        <v>0</v>
      </c>
      <c r="U15" s="140"/>
      <c r="V15" s="137"/>
      <c r="W15" s="49" t="str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25898.850182400001</v>
      </c>
    </row>
    <row r="16" spans="1:27" ht="16.5" thickBot="1" x14ac:dyDescent="0.25">
      <c r="A16" s="10">
        <v>44361</v>
      </c>
      <c r="B16" s="49"/>
      <c r="C16" s="161"/>
      <c r="D16" s="49">
        <f t="shared" si="11"/>
        <v>0</v>
      </c>
      <c r="E16" s="137"/>
      <c r="F16" s="49">
        <f>IF((E16-E15)&lt;0,"0",(E16-E15))</f>
        <v>0</v>
      </c>
      <c r="G16" s="141"/>
      <c r="H16" s="49">
        <f t="shared" si="13"/>
        <v>0</v>
      </c>
      <c r="I16" s="138">
        <f t="shared" si="14"/>
        <v>0</v>
      </c>
      <c r="J16" s="137"/>
      <c r="K16" s="49">
        <f t="shared" si="15"/>
        <v>0</v>
      </c>
      <c r="L16" s="139"/>
      <c r="M16" s="49">
        <f t="shared" si="16"/>
        <v>0</v>
      </c>
      <c r="N16" s="137"/>
      <c r="O16" s="49">
        <f t="shared" si="23"/>
        <v>0</v>
      </c>
      <c r="P16" s="139"/>
      <c r="Q16" s="49">
        <f t="shared" si="17"/>
        <v>0</v>
      </c>
      <c r="R16" s="137"/>
      <c r="S16" s="49">
        <f t="shared" si="18"/>
        <v>0</v>
      </c>
      <c r="T16" s="137">
        <v>0</v>
      </c>
      <c r="U16" s="140"/>
      <c r="V16" s="137"/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18365.402889599998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>
        <f t="shared" si="12"/>
        <v>0</v>
      </c>
      <c r="G17" s="141"/>
      <c r="H17" s="49">
        <f t="shared" si="13"/>
        <v>0</v>
      </c>
      <c r="I17" s="148">
        <f t="shared" si="14"/>
        <v>0</v>
      </c>
      <c r="J17" s="137"/>
      <c r="K17" s="146">
        <f t="shared" si="15"/>
        <v>0</v>
      </c>
      <c r="L17" s="139"/>
      <c r="M17" s="146">
        <f t="shared" si="16"/>
        <v>0</v>
      </c>
      <c r="N17" s="137"/>
      <c r="O17" s="146">
        <f t="shared" si="23"/>
        <v>0</v>
      </c>
      <c r="P17" s="139"/>
      <c r="Q17" s="146">
        <f t="shared" si="17"/>
        <v>0</v>
      </c>
      <c r="R17" s="137"/>
      <c r="S17" s="146">
        <f t="shared" si="18"/>
        <v>0</v>
      </c>
      <c r="T17" s="147">
        <v>0</v>
      </c>
      <c r="U17" s="140"/>
      <c r="V17" s="137"/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7638.9906736000003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2369</v>
      </c>
      <c r="C34" s="159"/>
      <c r="D34" s="159">
        <f>SUM(D2:D33)</f>
        <v>6720</v>
      </c>
      <c r="E34" s="159">
        <v>0</v>
      </c>
      <c r="F34" s="159">
        <f>SUM(F2:F33)</f>
        <v>171027</v>
      </c>
      <c r="G34" s="159">
        <v>0</v>
      </c>
      <c r="H34" s="159">
        <f>SUM(H2:H33)</f>
        <v>618964</v>
      </c>
      <c r="I34" s="159">
        <f>SUM(I5:I33)</f>
        <v>649860</v>
      </c>
      <c r="J34" s="159">
        <v>0</v>
      </c>
      <c r="K34" s="159">
        <f>SUM(K2:K33)</f>
        <v>71389</v>
      </c>
      <c r="L34" s="159">
        <v>0</v>
      </c>
      <c r="M34" s="159">
        <f>SUM(M2:M33)</f>
        <v>62023</v>
      </c>
      <c r="N34" s="159">
        <v>0</v>
      </c>
      <c r="O34" s="159">
        <f>SUM(O2:O33)</f>
        <v>110698</v>
      </c>
      <c r="P34" s="159">
        <v>0</v>
      </c>
      <c r="Q34" s="159">
        <f>SUM(Q2:Q33)</f>
        <v>141208</v>
      </c>
      <c r="R34" s="159">
        <v>0</v>
      </c>
      <c r="S34" s="159">
        <f>SUM(S2:S33)</f>
        <v>119620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136168</v>
      </c>
      <c r="X34" s="159">
        <f>SUM(X5:X33)</f>
        <v>524514</v>
      </c>
      <c r="Y34" s="159">
        <f>SUM(Y2:Y33)</f>
        <v>152786</v>
      </c>
      <c r="Z34" s="159">
        <f>SUM(Z2:Z33)</f>
        <v>98551.563385600006</v>
      </c>
      <c r="AA34" s="159">
        <f>SUM(AA2:AA33)</f>
        <v>384499.79075040005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B15" sqref="B1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/>
      <c r="C15" s="55" t="str">
        <f t="shared" si="0"/>
        <v>0</v>
      </c>
      <c r="I15" t="s">
        <v>12</v>
      </c>
    </row>
    <row r="16" spans="1:9" ht="26.25" customHeight="1" thickBot="1" x14ac:dyDescent="0.4">
      <c r="A16" s="10">
        <v>44361</v>
      </c>
      <c r="B16" s="154"/>
      <c r="C16" s="55">
        <f t="shared" si="0"/>
        <v>0</v>
      </c>
    </row>
    <row r="17" spans="1:9" ht="25.5" customHeight="1" thickBot="1" x14ac:dyDescent="0.4">
      <c r="A17" s="10">
        <v>44362</v>
      </c>
      <c r="B17" s="154"/>
      <c r="C17" s="55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24328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zoomScale="87" zoomScaleNormal="87" workbookViewId="0">
      <pane xSplit="1" topLeftCell="B1" activePane="topRight" state="frozen"/>
      <selection pane="topRight" activeCell="A14" sqref="A1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/>
      <c r="C15" s="54" t="str">
        <f t="shared" si="11"/>
        <v>0</v>
      </c>
      <c r="D15" s="38">
        <f t="shared" si="12"/>
        <v>0</v>
      </c>
      <c r="E15" s="1"/>
      <c r="F15" s="54" t="str">
        <f t="shared" si="13"/>
        <v>0</v>
      </c>
      <c r="G15" s="38">
        <f t="shared" si="14"/>
        <v>0</v>
      </c>
      <c r="H15" s="1"/>
      <c r="I15" s="54" t="str">
        <f t="shared" si="15"/>
        <v>0</v>
      </c>
      <c r="J15" s="38">
        <f t="shared" si="16"/>
        <v>0</v>
      </c>
      <c r="K15" s="7"/>
      <c r="L15" s="54" t="str">
        <f t="shared" si="17"/>
        <v>0</v>
      </c>
      <c r="M15" s="38">
        <f t="shared" si="18"/>
        <v>0</v>
      </c>
      <c r="N15" s="7"/>
      <c r="O15" s="54" t="str">
        <f t="shared" si="19"/>
        <v>0</v>
      </c>
      <c r="P15" s="38">
        <f t="shared" si="20"/>
        <v>0</v>
      </c>
      <c r="Q15" s="7"/>
      <c r="R15" s="54" t="str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44361</v>
      </c>
      <c r="B16" s="1"/>
      <c r="C16" s="54">
        <f t="shared" si="11"/>
        <v>0</v>
      </c>
      <c r="D16" s="38">
        <f t="shared" si="12"/>
        <v>0</v>
      </c>
      <c r="E16" s="1"/>
      <c r="F16" s="54">
        <f t="shared" si="13"/>
        <v>0</v>
      </c>
      <c r="G16" s="38">
        <f t="shared" si="14"/>
        <v>0</v>
      </c>
      <c r="H16" s="1"/>
      <c r="I16" s="54">
        <f t="shared" si="15"/>
        <v>0</v>
      </c>
      <c r="J16" s="38">
        <f t="shared" si="16"/>
        <v>0</v>
      </c>
      <c r="K16" s="7"/>
      <c r="L16" s="54">
        <f t="shared" si="17"/>
        <v>0</v>
      </c>
      <c r="M16" s="38">
        <f t="shared" si="18"/>
        <v>0</v>
      </c>
      <c r="N16" s="7"/>
      <c r="O16" s="54">
        <f t="shared" si="19"/>
        <v>0</v>
      </c>
      <c r="P16" s="38">
        <f t="shared" si="20"/>
        <v>0</v>
      </c>
      <c r="Q16" s="7"/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44362</v>
      </c>
      <c r="B17" s="1"/>
      <c r="C17" s="54">
        <f t="shared" si="11"/>
        <v>0</v>
      </c>
      <c r="D17" s="38">
        <f t="shared" si="12"/>
        <v>0</v>
      </c>
      <c r="E17" s="1"/>
      <c r="F17" s="54">
        <f t="shared" si="13"/>
        <v>0</v>
      </c>
      <c r="G17" s="38">
        <f t="shared" si="14"/>
        <v>0</v>
      </c>
      <c r="H17" s="1"/>
      <c r="I17" s="54">
        <f t="shared" si="15"/>
        <v>0</v>
      </c>
      <c r="J17" s="38">
        <f t="shared" si="16"/>
        <v>0</v>
      </c>
      <c r="K17" s="7"/>
      <c r="L17" s="54">
        <f t="shared" si="17"/>
        <v>0</v>
      </c>
      <c r="M17" s="38">
        <f t="shared" si="18"/>
        <v>0</v>
      </c>
      <c r="N17" s="7"/>
      <c r="O17" s="54">
        <f t="shared" si="19"/>
        <v>0</v>
      </c>
      <c r="P17" s="38">
        <f t="shared" si="20"/>
        <v>0</v>
      </c>
      <c r="Q17" s="7"/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106.58899999999994</v>
      </c>
      <c r="D34" s="159">
        <f>SUM(D2:D33)</f>
        <v>221471.59999999712</v>
      </c>
      <c r="E34" s="159">
        <v>0</v>
      </c>
      <c r="F34" s="159">
        <f>SUM(F2:F33)</f>
        <v>29.996000000000095</v>
      </c>
      <c r="G34" s="159">
        <f>SUM(G2:G33)</f>
        <v>56992.400000000176</v>
      </c>
      <c r="H34" s="159"/>
      <c r="I34" s="159">
        <f>SUM(I2:I33)</f>
        <v>93</v>
      </c>
      <c r="J34" s="159">
        <f>SUM(J2:J33)</f>
        <v>176700</v>
      </c>
      <c r="K34" s="159"/>
      <c r="L34" s="159">
        <f>SUM(L2:L33)</f>
        <v>26.970000000001164</v>
      </c>
      <c r="M34" s="159">
        <f>SUM(M2:M33)</f>
        <v>51243.000000002212</v>
      </c>
      <c r="N34" s="159"/>
      <c r="O34" s="159">
        <f>SUM(O2:O33)</f>
        <v>17.740999999999985</v>
      </c>
      <c r="P34" s="159">
        <f>SUM(P2:P33)</f>
        <v>33707.899999999972</v>
      </c>
      <c r="Q34" s="159"/>
      <c r="R34" s="159">
        <f>SUM(R2:R33)</f>
        <v>29.479999999999563</v>
      </c>
      <c r="S34" s="159">
        <f>SUM(S2:S33)</f>
        <v>56011.999999999156</v>
      </c>
      <c r="T34" s="159">
        <f>SUM(T2:T33)</f>
        <v>313.75099999999929</v>
      </c>
      <c r="U34" s="159">
        <f>SUM(U2:U33)</f>
        <v>596126.89999999863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-13173042</v>
      </c>
      <c r="D7" s="115">
        <f t="shared" si="0"/>
        <v>-16729763.34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14926</v>
      </c>
      <c r="D8" s="115">
        <f t="shared" si="0"/>
        <v>18956.02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1959</v>
      </c>
      <c r="D9" s="115">
        <f t="shared" si="0"/>
        <v>2487.9299999999998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6880</v>
      </c>
      <c r="D10" s="115">
        <f t="shared" si="0"/>
        <v>8737.6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-95405</v>
      </c>
      <c r="D11" s="115">
        <f t="shared" si="0"/>
        <v>-121164.35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3664</v>
      </c>
      <c r="K16" s="104">
        <f>(J16-I16)*160</f>
        <v>1920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25027</v>
      </c>
      <c r="K18" s="104">
        <f>(J18-I18)*160</f>
        <v>6880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10766</v>
      </c>
      <c r="K19" s="104">
        <f>J19-I19</f>
        <v>-95405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45391</v>
      </c>
      <c r="K21" s="104">
        <f>(J21-I21)*120</f>
        <v>7560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39586</v>
      </c>
      <c r="K22" s="104">
        <f>(J22-I22)*160</f>
        <v>5600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20453</v>
      </c>
      <c r="K23" s="104">
        <f>(J23-I23)*20</f>
        <v>840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243511</v>
      </c>
      <c r="K24" s="104">
        <f>J24-I24</f>
        <v>926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215583</v>
      </c>
      <c r="K25" s="104">
        <f>J25-I25</f>
        <v>39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2021-06-13T00:49:12Z</dcterms:modified>
</cp:coreProperties>
</file>