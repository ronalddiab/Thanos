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<sst xmlns="http://schemas.openxmlformats.org/spreadsheetml/2006/main" count="296" uniqueCount="138">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</sst>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 t="e">
        <f>Submetering!E26+Submetering!F26+Submetering!G26+Submetering!H26-Submetering!AV26</f>
        <v>#VALUE!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 t="str">
        <f>'FS Desroches Daily'!D28</f>
        <v>0</v>
      </c>
      <c r="F26" s="36" t="str">
        <f>'FS Desroches Daily'!F28</f>
        <v>0</v>
      </c>
      <c r="G26" s="35" t="str">
        <f>'FS Desroches Daily'!H28</f>
        <v>0</v>
      </c>
      <c r="H26" s="36" t="str">
        <f>'FS Desroches Daily'!J28</f>
        <v>0</v>
      </c>
      <c r="I26" s="35" t="str">
        <f>'FS Desroches Daily'!L28</f>
        <v>0</v>
      </c>
      <c r="J26" s="36" t="str">
        <f>'FS Desroches Daily'!N28</f>
        <v/>
      </c>
      <c r="K26" s="13" t="str">
        <f>'FS Desroches Daily'!P28</f>
        <v/>
      </c>
      <c r="L26" s="35" t="str">
        <f>'FS Desroches Daily'!R28</f>
        <v/>
      </c>
      <c r="M26" s="35" t="str">
        <f>'FS Desroches Daily'!T28</f>
        <v/>
      </c>
      <c r="N26" s="35" t="str">
        <f>'FS Desroches Daily'!V28</f>
        <v/>
      </c>
      <c r="O26" s="35" t="str">
        <f>'FS Desroches Daily'!X28</f>
        <v/>
      </c>
      <c r="P26" s="35" t="str">
        <f>'FS Desroches Daily'!Z28</f>
        <v/>
      </c>
      <c r="Q26" s="35" t="str">
        <f>'FS Desroches Daily'!AB28</f>
        <v/>
      </c>
      <c r="R26" s="35" t="str">
        <f>'FS Desroches Daily'!AD28</f>
        <v/>
      </c>
      <c r="S26" s="35" t="str">
        <f>'FS Desroches Daily'!AF28</f>
        <v/>
      </c>
      <c r="T26" s="35" t="str">
        <f>'FS Desroches Daily'!AH28</f>
        <v/>
      </c>
      <c r="U26" s="39" t="str">
        <f>'FS Desroches Daily'!AJ28</f>
        <v/>
      </c>
      <c r="V26" s="39" t="str">
        <f>'FS Desroches Daily'!AL28</f>
        <v/>
      </c>
      <c r="W26" s="39" t="str">
        <f>'FS Desroches Daily'!AN28</f>
        <v/>
      </c>
      <c r="X26" s="39" t="str">
        <f>'FS Desroches Daily'!AP28</f>
        <v/>
      </c>
      <c r="Y26" s="39" t="str">
        <f>'FS Desroches Daily'!AR28</f>
        <v/>
      </c>
      <c r="Z26" s="39" t="str">
        <f>'FS Desroches Daily'!AT28</f>
        <v/>
      </c>
      <c r="AA26" s="39" t="str">
        <f>'FS Desroches Daily'!AT28</f>
        <v/>
      </c>
      <c r="AB26" s="39" t="str">
        <f>'FS Desroches Daily'!AV28</f>
        <v/>
      </c>
      <c r="AC26" s="39" t="str">
        <f>'FS Desroches Daily'!AZ28</f>
        <v/>
      </c>
      <c r="AD26" s="39" t="str">
        <f>'FS Desroches Daily'!BB28</f>
        <v/>
      </c>
      <c r="AE26" s="39" t="str">
        <f>'FS Desroches Daily'!BD28</f>
        <v/>
      </c>
      <c r="AF26" s="35" t="str">
        <f>'FS Desroches Daily'!BF28</f>
        <v/>
      </c>
      <c r="AG26" s="36" t="str">
        <f>'FS Desroches Daily'!BH28</f>
        <v/>
      </c>
      <c r="AH26" s="36" t="str">
        <f>'FS Desroches Daily'!BJ28</f>
        <v/>
      </c>
      <c r="AI26" s="36" t="str">
        <f>'FS Desroches Daily'!BL28</f>
        <v/>
      </c>
      <c r="AJ26" s="36" t="str">
        <f>'FS Desroches Daily'!BN28</f>
        <v/>
      </c>
      <c r="AK26" s="36" t="str">
        <f>'FS Desroches Daily'!BP28</f>
        <v/>
      </c>
      <c r="AL26" s="36" t="str">
        <f>'FS Desroches Daily'!BR28</f>
        <v/>
      </c>
      <c r="AM26" s="36" t="str">
        <f>'FS Desroches Daily'!BT28</f>
        <v/>
      </c>
      <c r="AN26" s="36" t="str">
        <f>'FS Desroches Daily'!BV28</f>
        <v/>
      </c>
      <c r="AO26" s="36" t="str">
        <f>'FS Desroches Daily'!BX28</f>
        <v/>
      </c>
      <c r="AP26" s="36" t="str">
        <f>'FS Desroches Daily'!BZ28</f>
        <v/>
      </c>
      <c r="AQ26" s="35" t="str">
        <f>'FS Desroches Daily'!CB28</f>
        <v/>
      </c>
      <c r="AR26" s="35" t="str">
        <f>'FS Desroches Daily'!CD28</f>
        <v/>
      </c>
      <c r="AS26" s="35" t="str">
        <f>'FS Desroches Daily'!CF28</f>
        <v/>
      </c>
      <c r="AT26" s="35" t="str">
        <f>'FS Desroches Daily'!CH28</f>
        <v/>
      </c>
      <c r="AU26" s="35" t="str">
        <f>'FS Desroches Daily'!CJ28</f>
        <v/>
      </c>
      <c r="AV26" s="35" t="str">
        <f>'FS Desroches Daily'!CL28</f>
        <v/>
      </c>
      <c r="AW26" s="35">
        <f>'FS Desroches Daily'!CM28</f>
        <v>0</v>
      </c>
      <c r="AX26" s="35" t="str">
        <f>IF(LPG!F33-LPG!F32&lt;0,"0",(LPG!F33-LPG!F32)*1.8315)</f>
        <v>0</v>
      </c>
      <c r="AY26" s="35" t="str">
        <f>IF(LPG!H33-LPG!H32&lt;0,"0",(LPG!H33-LPG!H32)*1.8315)</f>
        <v>0</v>
      </c>
      <c r="AZ26" s="35" t="str">
        <f>IF(LPG!J33-LPG!J32&lt;0,"0",(LPG!J33-LPG!J32)*1.8315)</f>
        <v>0</v>
      </c>
      <c r="BA26" s="35" t="str">
        <f>IF(LPG!M33-LPG!M32&lt;0,"0",(LPG!M33-LPG!M32)*1.8315)</f>
        <v>0</v>
      </c>
      <c r="BB26" s="35" t="str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37800.000000000065</v>
      </c>
      <c r="F33" s="17">
        <f t="shared" ref="F33:BC33" si="1">SUM(F2:F32)</f>
        <v>22600.000000000182</v>
      </c>
      <c r="G33" s="17">
        <f t="shared" si="1"/>
        <v>43200.000000000146</v>
      </c>
      <c r="H33" s="17">
        <f t="shared" si="1"/>
        <v>29699.999999999847</v>
      </c>
      <c r="I33" s="17">
        <f t="shared" si="1"/>
        <v>54300</v>
      </c>
      <c r="J33" s="17">
        <f t="shared" si="1"/>
        <v>27000.000000000138</v>
      </c>
      <c r="K33" s="17">
        <f t="shared" si="1"/>
        <v>5</v>
      </c>
      <c r="L33" s="17">
        <f t="shared" si="1"/>
        <v>124</v>
      </c>
      <c r="M33" s="17">
        <f t="shared" si="1"/>
        <v>4842</v>
      </c>
      <c r="N33" s="17">
        <f t="shared" si="1"/>
        <v>2844</v>
      </c>
      <c r="O33" s="17">
        <f t="shared" si="1"/>
        <v>5110.0000000000146</v>
      </c>
      <c r="P33" s="17">
        <f t="shared" si="1"/>
        <v>14499.999999999964</v>
      </c>
      <c r="Q33" s="17">
        <f t="shared" si="1"/>
        <v>2750</v>
      </c>
      <c r="R33" s="17">
        <f t="shared" si="1"/>
        <v>7409.9999999999691</v>
      </c>
      <c r="S33" s="17">
        <f t="shared" si="1"/>
        <v>14060.000000000002</v>
      </c>
      <c r="T33" s="17">
        <f t="shared" si="1"/>
        <v>24.400000000000091</v>
      </c>
      <c r="U33" s="39">
        <f t="shared" si="1"/>
        <v>6980.0000000000182</v>
      </c>
      <c r="V33" s="39">
        <f t="shared" si="1"/>
        <v>4.3100000000000307</v>
      </c>
      <c r="W33" s="39">
        <f t="shared" si="1"/>
        <v>3.3799999999999955</v>
      </c>
      <c r="X33" s="39">
        <f t="shared" si="1"/>
        <v>3.2299999999999898</v>
      </c>
      <c r="Y33" s="39">
        <f t="shared" si="1"/>
        <v>3049.9999999999845</v>
      </c>
      <c r="Z33" s="39">
        <f t="shared" si="1"/>
        <v>2681.860000000016</v>
      </c>
      <c r="AA33" s="39">
        <f t="shared" si="1"/>
        <v>2681.860000000016</v>
      </c>
      <c r="AB33" s="39">
        <f t="shared" si="1"/>
        <v>2079.9999999999841</v>
      </c>
      <c r="AC33" s="39">
        <f t="shared" si="1"/>
        <v>1849.9999999999659</v>
      </c>
      <c r="AD33" s="39">
        <f t="shared" si="1"/>
        <v>2120.0000000000045</v>
      </c>
      <c r="AE33" s="39">
        <f t="shared" si="1"/>
        <v>280.00000000000114</v>
      </c>
      <c r="AF33" s="17">
        <f t="shared" si="1"/>
        <v>754</v>
      </c>
      <c r="AG33" s="36">
        <f t="shared" si="1"/>
        <v>710.00000000000796</v>
      </c>
      <c r="AH33" s="36">
        <f t="shared" si="1"/>
        <v>870.00000000000455</v>
      </c>
      <c r="AI33" s="36">
        <f t="shared" si="1"/>
        <v>820.0000000000216</v>
      </c>
      <c r="AJ33" s="36">
        <f t="shared" si="1"/>
        <v>1090.0000000000034</v>
      </c>
      <c r="AK33" s="36">
        <f t="shared" si="1"/>
        <v>1220.0000000000273</v>
      </c>
      <c r="AL33" s="36">
        <f t="shared" si="1"/>
        <v>533</v>
      </c>
      <c r="AM33" s="36">
        <f t="shared" si="1"/>
        <v>550.00000000001137</v>
      </c>
      <c r="AN33" s="36">
        <f t="shared" si="1"/>
        <v>585</v>
      </c>
      <c r="AO33" s="36">
        <f t="shared" si="1"/>
        <v>850.00000000002274</v>
      </c>
      <c r="AP33" s="36">
        <f t="shared" si="1"/>
        <v>977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1407</v>
      </c>
      <c r="AU33" s="17">
        <f t="shared" si="1"/>
        <v>5565</v>
      </c>
      <c r="AV33" s="17">
        <f t="shared" si="1"/>
        <v>9960.0000000000364</v>
      </c>
      <c r="AW33" s="17">
        <f t="shared" si="1"/>
        <v>667.40000000000009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172.16099999999994</v>
      </c>
      <c r="BC33" s="17">
        <f t="shared" si="1"/>
        <v>0</v>
      </c>
    </row>
    <row r="35" spans="5:55" x14ac:dyDescent="0.25">
      <c r="E35" s="42">
        <f>E33/E37</f>
        <v>0.24960709993528685</v>
      </c>
      <c r="G35" s="33">
        <f>G33-M36</f>
        <v>35514.000000000146</v>
      </c>
      <c r="AE35" s="39">
        <f>SUM(U33:AE33)</f>
        <v>21734.639999999989</v>
      </c>
      <c r="AG35" s="36">
        <f>SUM(AG33:AP33)</f>
        <v>8205.0000000000982</v>
      </c>
    </row>
    <row r="36" spans="5:55" x14ac:dyDescent="0.25">
      <c r="G36" s="33">
        <f>G35-633*14</f>
        <v>26652.000000000146</v>
      </c>
      <c r="M36" s="33">
        <f>M33+N33</f>
        <v>7686</v>
      </c>
    </row>
    <row r="37" spans="5:55" x14ac:dyDescent="0.25">
      <c r="E37" s="17">
        <f>E33+F33+G33+H33+J33-633*14</f>
        <v>151438.00000000038</v>
      </c>
      <c r="G37" s="41">
        <f>M36/E37</f>
        <v>5.0753443653508243E-2</v>
      </c>
      <c r="M37" s="39">
        <f>AE35</f>
        <v>21734.639999999989</v>
      </c>
    </row>
    <row r="38" spans="5:55" x14ac:dyDescent="0.25">
      <c r="L38" s="31">
        <f>M38/E37</f>
        <v>5.4180588755794963E-2</v>
      </c>
      <c r="M38" s="33">
        <f>AG35</f>
        <v>8205.0000000000982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8" activePane="bottomLeft" state="frozen"/>
      <selection pane="bottomLeft" activeCell="CN28" sqref="CN2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/>
      <c r="D28" s="71" t="str">
        <f t="shared" si="3"/>
        <v>0</v>
      </c>
      <c r="E28" s="64"/>
      <c r="F28" s="71" t="str">
        <f t="shared" si="4"/>
        <v>0</v>
      </c>
      <c r="G28" s="64"/>
      <c r="H28" s="71" t="str">
        <f t="shared" si="5"/>
        <v>0</v>
      </c>
      <c r="I28" s="64"/>
      <c r="J28" s="71" t="str">
        <f t="shared" si="43"/>
        <v>0</v>
      </c>
      <c r="K28" s="64"/>
      <c r="L28" s="71" t="str">
        <f t="shared" si="0"/>
        <v>0</v>
      </c>
      <c r="M28" s="64"/>
      <c r="N28" s="71" t="str">
        <f t="shared" si="6"/>
        <v/>
      </c>
      <c r="O28" s="64"/>
      <c r="P28" s="72" t="str">
        <f t="shared" si="7"/>
        <v/>
      </c>
      <c r="Q28" s="64"/>
      <c r="R28" s="72" t="str">
        <f t="shared" si="8"/>
        <v/>
      </c>
      <c r="S28" s="64"/>
      <c r="T28" s="72" t="str">
        <f t="shared" si="44"/>
        <v/>
      </c>
      <c r="U28" s="64"/>
      <c r="V28" s="72" t="str">
        <f t="shared" si="10"/>
        <v/>
      </c>
      <c r="W28" s="64"/>
      <c r="X28" s="72" t="str">
        <f t="shared" si="23"/>
        <v/>
      </c>
      <c r="Y28" s="64"/>
      <c r="Z28" s="72" t="str">
        <f t="shared" si="24"/>
        <v/>
      </c>
      <c r="AA28" s="64"/>
      <c r="AB28" s="72" t="str">
        <f t="shared" si="25"/>
        <v/>
      </c>
      <c r="AC28" s="64"/>
      <c r="AD28" s="72" t="str">
        <f t="shared" si="26"/>
        <v/>
      </c>
      <c r="AE28" s="64"/>
      <c r="AF28" s="72" t="str">
        <f t="shared" si="27"/>
        <v/>
      </c>
      <c r="AG28" s="64"/>
      <c r="AH28" s="72" t="str">
        <f t="shared" si="11"/>
        <v/>
      </c>
      <c r="AI28" s="64"/>
      <c r="AJ28" s="72" t="str">
        <f t="shared" si="28"/>
        <v/>
      </c>
      <c r="AK28" s="64"/>
      <c r="AL28" s="72" t="str">
        <f t="shared" si="12"/>
        <v/>
      </c>
      <c r="AM28" s="64"/>
      <c r="AN28" s="72" t="str">
        <f t="shared" si="13"/>
        <v/>
      </c>
      <c r="AO28" s="64"/>
      <c r="AP28" s="72" t="str">
        <f t="shared" si="14"/>
        <v/>
      </c>
      <c r="AQ28" s="64"/>
      <c r="AR28" s="72" t="str">
        <f t="shared" si="29"/>
        <v/>
      </c>
      <c r="AS28" s="64"/>
      <c r="AT28" s="72" t="str">
        <f t="shared" si="30"/>
        <v/>
      </c>
      <c r="AU28" s="64"/>
      <c r="AV28" s="72" t="str">
        <f t="shared" si="31"/>
        <v/>
      </c>
      <c r="AW28" s="64"/>
      <c r="AX28" s="72" t="str">
        <f t="shared" si="32"/>
        <v/>
      </c>
      <c r="AY28" s="64"/>
      <c r="AZ28" s="72" t="str">
        <f t="shared" si="33"/>
        <v/>
      </c>
      <c r="BA28" s="64"/>
      <c r="BB28" s="72" t="str">
        <f t="shared" si="34"/>
        <v/>
      </c>
      <c r="BC28" s="64"/>
      <c r="BD28" s="72" t="str">
        <f t="shared" si="35"/>
        <v/>
      </c>
      <c r="BE28" s="66"/>
      <c r="BF28" s="72" t="str">
        <f t="shared" si="15"/>
        <v/>
      </c>
      <c r="BG28" s="67"/>
      <c r="BH28" s="72" t="str">
        <f t="shared" si="36"/>
        <v/>
      </c>
      <c r="BI28" s="67"/>
      <c r="BJ28" s="72" t="str">
        <f t="shared" si="37"/>
        <v/>
      </c>
      <c r="BK28" s="67"/>
      <c r="BL28" s="72" t="str">
        <f t="shared" si="38"/>
        <v/>
      </c>
      <c r="BM28" s="67"/>
      <c r="BN28" s="72" t="str">
        <f t="shared" si="39"/>
        <v/>
      </c>
      <c r="BO28" s="67"/>
      <c r="BP28" s="72" t="str">
        <f t="shared" si="40"/>
        <v/>
      </c>
      <c r="BQ28" s="67"/>
      <c r="BR28" s="72" t="str">
        <f t="shared" si="16"/>
        <v/>
      </c>
      <c r="BS28" s="67"/>
      <c r="BT28" s="72" t="str">
        <f t="shared" si="41"/>
        <v/>
      </c>
      <c r="BU28" s="67"/>
      <c r="BV28" s="72" t="str">
        <f t="shared" si="1"/>
        <v/>
      </c>
      <c r="BW28" s="67"/>
      <c r="BX28" s="72" t="str">
        <f t="shared" si="42"/>
        <v/>
      </c>
      <c r="BY28" s="67"/>
      <c r="BZ28" s="72" t="str">
        <f t="shared" si="17"/>
        <v/>
      </c>
      <c r="CA28" s="67"/>
      <c r="CB28" s="72" t="str">
        <f t="shared" si="18"/>
        <v/>
      </c>
      <c r="CC28" s="67"/>
      <c r="CD28" s="72" t="str">
        <f t="shared" si="19"/>
        <v/>
      </c>
      <c r="CE28" s="67"/>
      <c r="CF28" s="72" t="str">
        <f t="shared" si="20"/>
        <v/>
      </c>
      <c r="CG28" s="67"/>
      <c r="CH28" s="72" t="str">
        <f t="shared" si="21"/>
        <v/>
      </c>
      <c r="CI28" s="67"/>
      <c r="CJ28" s="72" t="str">
        <f t="shared" si="2"/>
        <v/>
      </c>
      <c r="CK28" s="67"/>
      <c r="CL28" s="71" t="str">
        <f t="shared" si="22"/>
        <v/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124</v>
      </c>
      <c r="AX35" s="72">
        <f t="shared" si="32"/>
        <v>0</v>
      </c>
      <c r="BF35" s="76">
        <f>SUM(BF4:BF33)</f>
        <v>754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E31" sqref="E31:O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2020-04-25T04:30:12Z</dcterms:modified>
</cp:coreProperties>
</file>