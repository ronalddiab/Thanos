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B32" i="3" l="1"/>
  <c r="L32" i="1"/>
  <c r="K32" i="1"/>
  <c r="I32" i="1"/>
  <c r="G32" i="1"/>
  <c r="E32" i="1"/>
  <c r="B32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<sst xmlns="http://schemas.openxmlformats.org/spreadsheetml/2006/main" count="108" uniqueCount="33">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</sst>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D34" sqref="D34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</v>
      </c>
      <c r="D2" s="9">
        <v>2020</v>
      </c>
      <c r="E2" s="20">
        <f>Submetering!E3</f>
        <v>7420.5</v>
      </c>
      <c r="F2" s="16">
        <v>0.12</v>
      </c>
      <c r="G2" s="20">
        <f>Submetering!F3+Submetering!G3</f>
        <v>841.72467587691597</v>
      </c>
      <c r="H2" s="16">
        <v>0.71</v>
      </c>
      <c r="I2" s="20">
        <f>Submetering!J3+Submetering!I3+Submetering!H3</f>
        <v>74.3063533455</v>
      </c>
      <c r="J2" s="16">
        <v>2.3196172978505634</v>
      </c>
      <c r="K2" s="20">
        <f>Submetering!K2</f>
        <v>70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</v>
      </c>
      <c r="D3" s="9">
        <v>2020</v>
      </c>
      <c r="E3" s="20">
        <f>Submetering!E4</f>
        <v>7524</v>
      </c>
      <c r="F3" s="16">
        <v>0.12</v>
      </c>
      <c r="G3" s="20">
        <f>Submetering!F4+Submetering!G4</f>
        <v>811.73222156476652</v>
      </c>
      <c r="H3" s="16">
        <v>0.71</v>
      </c>
      <c r="I3" s="20">
        <f>Submetering!J4+Submetering!I4+Submetering!H4</f>
        <v>76.262828280600004</v>
      </c>
      <c r="J3" s="16">
        <v>2.3196172978505634</v>
      </c>
      <c r="K3" s="20">
        <f>Submetering!K3</f>
        <v>74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</v>
      </c>
      <c r="D4" s="9">
        <v>2020</v>
      </c>
      <c r="E4" s="20">
        <f>Submetering!E5</f>
        <v>7393.5</v>
      </c>
      <c r="F4" s="16">
        <v>0.12</v>
      </c>
      <c r="G4" s="20">
        <f>Submetering!F5+Submetering!G5</f>
        <v>627.40824192084119</v>
      </c>
      <c r="H4" s="16">
        <v>0.71</v>
      </c>
      <c r="I4" s="20">
        <f>Submetering!J5+Submetering!I5+Submetering!H5</f>
        <v>73.948260312900004</v>
      </c>
      <c r="J4" s="16">
        <v>2.3196172978505634</v>
      </c>
      <c r="K4" s="20">
        <f>Submetering!K4</f>
        <v>70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</v>
      </c>
      <c r="D5" s="9">
        <v>2020</v>
      </c>
      <c r="E5" s="20">
        <f>Submetering!E6</f>
        <v>7382.25</v>
      </c>
      <c r="F5" s="16">
        <v>0.12</v>
      </c>
      <c r="G5" s="20">
        <f>Submetering!F6+Submetering!G6</f>
        <v>775.78315521336458</v>
      </c>
      <c r="H5" s="16">
        <v>0.71</v>
      </c>
      <c r="I5" s="20">
        <f>Submetering!J6+Submetering!I6+Submetering!H6</f>
        <v>64.590352692400003</v>
      </c>
      <c r="J5" s="16">
        <v>2.3196172978505634</v>
      </c>
      <c r="K5" s="20">
        <f>Submetering!K5</f>
        <v>68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</v>
      </c>
      <c r="D6" s="9">
        <v>2020</v>
      </c>
      <c r="E6" s="20">
        <f>Submetering!E7</f>
        <v>7418.25</v>
      </c>
      <c r="F6" s="16">
        <v>0.12</v>
      </c>
      <c r="G6" s="20">
        <f>Submetering!F7+Submetering!G7</f>
        <v>759.6090785021496</v>
      </c>
      <c r="H6" s="16">
        <v>0.71</v>
      </c>
      <c r="I6" s="20">
        <f>Submetering!J7+Submetering!I7+Submetering!H7</f>
        <v>71.691563856800002</v>
      </c>
      <c r="J6" s="16">
        <v>2.3196172978505634</v>
      </c>
      <c r="K6" s="20">
        <f>Submetering!K6</f>
        <v>62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</v>
      </c>
      <c r="D7" s="9">
        <v>2020</v>
      </c>
      <c r="E7" s="20">
        <f>Submetering!E8</f>
        <v>7368.5527916999999</v>
      </c>
      <c r="F7" s="16">
        <v>0.12</v>
      </c>
      <c r="G7" s="20">
        <f>Submetering!F8+Submetering!G8</f>
        <v>688.64979361682242</v>
      </c>
      <c r="H7" s="16">
        <v>0.71</v>
      </c>
      <c r="I7" s="20">
        <f>Submetering!J8+Submetering!I8+Submetering!H8</f>
        <v>76.77553679879999</v>
      </c>
      <c r="J7" s="16">
        <v>2.3196172978505634</v>
      </c>
      <c r="K7" s="20">
        <f>Submetering!K7</f>
        <v>64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</v>
      </c>
      <c r="D8" s="9">
        <v>2020</v>
      </c>
      <c r="E8" s="20">
        <f>Submetering!E9</f>
        <v>7347.4341065299996</v>
      </c>
      <c r="F8" s="16">
        <v>0.12</v>
      </c>
      <c r="G8" s="20">
        <f>Submetering!F9+Submetering!G9</f>
        <v>686.67608472242989</v>
      </c>
      <c r="H8" s="16">
        <v>0.71</v>
      </c>
      <c r="I8" s="20">
        <f>Submetering!J9+Submetering!I9+Submetering!H9</f>
        <v>73.504949752800002</v>
      </c>
      <c r="J8" s="16">
        <v>2.3196172978505634</v>
      </c>
      <c r="K8" s="20">
        <f>Submetering!K8</f>
        <v>75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</v>
      </c>
      <c r="D9" s="9">
        <v>2020</v>
      </c>
      <c r="E9" s="20">
        <f>Submetering!E9</f>
        <v>7347.4341065299996</v>
      </c>
      <c r="F9" s="16">
        <v>0.12</v>
      </c>
      <c r="G9" s="20">
        <f>Submetering!F10+Submetering!G10</f>
        <v>585.4317428411216</v>
      </c>
      <c r="H9" s="16">
        <v>0.71</v>
      </c>
      <c r="I9" s="20">
        <f>Submetering!J10+Submetering!I10+Submetering!H10</f>
        <v>69.533341520600004</v>
      </c>
      <c r="J9" s="16">
        <v>2.3196172978505634</v>
      </c>
      <c r="K9" s="20">
        <f>Submetering!K9</f>
        <v>85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</v>
      </c>
      <c r="D10" s="9">
        <v>2020</v>
      </c>
      <c r="E10" s="20">
        <f>Submetering!E10</f>
        <v>6264.1196484000002</v>
      </c>
      <c r="F10" s="16">
        <v>0.12</v>
      </c>
      <c r="G10" s="20">
        <f>Submetering!F11+Submetering!G11</f>
        <v>0</v>
      </c>
      <c r="H10" s="16">
        <v>0.71</v>
      </c>
      <c r="I10" s="20">
        <f>Submetering!J10+Submetering!I10+Submetering!H10</f>
        <v>69.533341520600004</v>
      </c>
      <c r="J10" s="16">
        <v>2.3196172978505634</v>
      </c>
      <c r="K10" s="20">
        <f>Submetering!K10</f>
        <v>91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</v>
      </c>
      <c r="D11" s="9">
        <v>2020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</v>
      </c>
      <c r="D12" s="9">
        <v>2020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</v>
      </c>
      <c r="D13" s="9">
        <v>2020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</v>
      </c>
      <c r="D14" s="9">
        <v>2020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Submetering!H12+Submetering!J12+Submetering!I12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</v>
      </c>
      <c r="D17" s="9">
        <v>2020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</v>
      </c>
      <c r="D18" s="9">
        <v>2020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</v>
      </c>
      <c r="D19" s="9">
        <v>2020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</v>
      </c>
      <c r="D20" s="9">
        <v>2020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</v>
      </c>
      <c r="D21" s="9">
        <v>2020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</v>
      </c>
      <c r="D22" s="9">
        <v>2020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</v>
      </c>
      <c r="D23" s="9">
        <v>2020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</v>
      </c>
      <c r="D24" s="9">
        <v>2020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</v>
      </c>
      <c r="D25" s="9">
        <v>2020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</v>
      </c>
      <c r="D26" s="9">
        <v>2020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</v>
      </c>
      <c r="D27" s="9">
        <v>2020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</v>
      </c>
      <c r="D28" s="9">
        <v>2020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</v>
      </c>
      <c r="D29" s="9">
        <v>2020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</v>
      </c>
      <c r="D30" s="9">
        <v>2020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</v>
      </c>
      <c r="D31" s="9">
        <v>2020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</v>
      </c>
      <c r="D32" s="9">
        <v>2020</v>
      </c>
      <c r="E32" s="20">
        <f>Submetering!E32</f>
        <v>7560</v>
      </c>
      <c r="F32" s="16">
        <v>0.12</v>
      </c>
      <c r="G32" s="20">
        <f>Submetering!F32+Submetering!G32</f>
        <v>811.2607204523365</v>
      </c>
      <c r="H32" s="16">
        <v>0.71</v>
      </c>
      <c r="I32" s="20">
        <f>Submetering!J32+Submetering!I32+Submetering!H32</f>
        <v>84.299647727500002</v>
      </c>
      <c r="J32" s="16">
        <v>2.3196172978505634</v>
      </c>
      <c r="K32" s="20">
        <f>Submetering!K32</f>
        <v>85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K9" sqref="K9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</v>
      </c>
      <c r="D2" s="6">
        <v>2020</v>
      </c>
      <c r="E2" s="20">
        <v>7476.75</v>
      </c>
      <c r="F2" s="20">
        <v>813.81909651495334</v>
      </c>
      <c r="G2" s="20">
        <v>19.270329477850467</v>
      </c>
      <c r="H2" s="20">
        <v>1.383</v>
      </c>
      <c r="I2" s="20">
        <v>50</v>
      </c>
      <c r="J2" s="20">
        <v>29.0011978193</v>
      </c>
      <c r="K2" s="20">
        <v>70</v>
      </c>
    </row>
    <row r="3" spans="1:12" x14ac:dyDescent="0.25">
      <c r="A3" s="17" t="s">
        <v>32</v>
      </c>
      <c r="B3" s="6">
        <f>B2+1</f>
        <v>2</v>
      </c>
      <c r="C3" s="6">
        <v>1</v>
      </c>
      <c r="D3" s="6">
        <v>2020</v>
      </c>
      <c r="E3" s="20">
        <v>7420.5</v>
      </c>
      <c r="F3" s="20">
        <v>822.45434639906546</v>
      </c>
      <c r="G3" s="20">
        <v>19.270329477850467</v>
      </c>
      <c r="H3" s="20">
        <v>1.3120000000000001</v>
      </c>
      <c r="I3" s="20">
        <v>44</v>
      </c>
      <c r="J3" s="20">
        <v>28.994353345499999</v>
      </c>
      <c r="K3" s="20">
        <v>74</v>
      </c>
    </row>
    <row r="4" spans="1:12" x14ac:dyDescent="0.25">
      <c r="A4" s="17" t="s">
        <v>32</v>
      </c>
      <c r="B4" s="6">
        <f t="shared" ref="B4:B32" si="0">B3+1</f>
        <v>3</v>
      </c>
      <c r="C4" s="6">
        <v>1</v>
      </c>
      <c r="D4" s="6">
        <v>2020</v>
      </c>
      <c r="E4" s="20">
        <v>7524</v>
      </c>
      <c r="F4" s="20">
        <v>792.46189208691601</v>
      </c>
      <c r="G4" s="20">
        <v>19.270329477850467</v>
      </c>
      <c r="H4" s="20">
        <v>1.262</v>
      </c>
      <c r="I4" s="20">
        <v>48</v>
      </c>
      <c r="J4" s="20">
        <v>27.0008282806</v>
      </c>
      <c r="K4" s="20">
        <v>70</v>
      </c>
    </row>
    <row r="5" spans="1:12" x14ac:dyDescent="0.25">
      <c r="A5" s="17" t="s">
        <v>32</v>
      </c>
      <c r="B5" s="6">
        <f t="shared" si="0"/>
        <v>4</v>
      </c>
      <c r="C5" s="6">
        <v>1</v>
      </c>
      <c r="D5" s="6">
        <v>2020</v>
      </c>
      <c r="E5" s="20">
        <v>7393.5</v>
      </c>
      <c r="F5" s="20">
        <v>608.13791244299068</v>
      </c>
      <c r="G5" s="20">
        <v>19.270329477850467</v>
      </c>
      <c r="H5" s="20">
        <v>1.3089999999999999</v>
      </c>
      <c r="I5" s="20">
        <v>50</v>
      </c>
      <c r="J5" s="20">
        <v>22.639260312899999</v>
      </c>
      <c r="K5" s="20">
        <v>68</v>
      </c>
    </row>
    <row r="6" spans="1:12" x14ac:dyDescent="0.25">
      <c r="A6" s="17" t="s">
        <v>32</v>
      </c>
      <c r="B6" s="6">
        <f t="shared" si="0"/>
        <v>5</v>
      </c>
      <c r="C6" s="6">
        <v>1</v>
      </c>
      <c r="D6" s="6">
        <v>2020</v>
      </c>
      <c r="E6" s="20">
        <v>7382.25</v>
      </c>
      <c r="F6" s="20">
        <v>756.51282573551407</v>
      </c>
      <c r="G6" s="20">
        <v>19.270329477850467</v>
      </c>
      <c r="H6" s="20">
        <v>1.2230000000000001</v>
      </c>
      <c r="I6" s="20">
        <v>40</v>
      </c>
      <c r="J6" s="20">
        <v>23.367352692400001</v>
      </c>
      <c r="K6" s="20">
        <v>62</v>
      </c>
    </row>
    <row r="7" spans="1:12" x14ac:dyDescent="0.25">
      <c r="A7" s="17" t="s">
        <v>32</v>
      </c>
      <c r="B7" s="6">
        <f t="shared" si="0"/>
        <v>6</v>
      </c>
      <c r="C7" s="6">
        <v>1</v>
      </c>
      <c r="D7" s="6">
        <v>2020</v>
      </c>
      <c r="E7" s="20">
        <v>7418.25</v>
      </c>
      <c r="F7" s="20">
        <v>740.33874902429909</v>
      </c>
      <c r="G7" s="20">
        <v>19.270329477850467</v>
      </c>
      <c r="H7" s="20">
        <v>4.6909999999999998</v>
      </c>
      <c r="I7" s="20">
        <v>42</v>
      </c>
      <c r="J7" s="20">
        <v>25.000563856799999</v>
      </c>
      <c r="K7" s="20">
        <v>64</v>
      </c>
    </row>
    <row r="8" spans="1:12" x14ac:dyDescent="0.25">
      <c r="A8" s="17" t="s">
        <v>32</v>
      </c>
      <c r="B8" s="6">
        <f t="shared" si="0"/>
        <v>7</v>
      </c>
      <c r="C8" s="6">
        <v>1</v>
      </c>
      <c r="D8" s="6">
        <v>2020</v>
      </c>
      <c r="E8" s="20">
        <v>7368.5527916999999</v>
      </c>
      <c r="F8" s="20">
        <v>688.64979361682242</v>
      </c>
      <c r="G8" s="20">
        <v>0</v>
      </c>
      <c r="H8" s="20">
        <v>4.7759999999999998</v>
      </c>
      <c r="I8" s="6">
        <v>48</v>
      </c>
      <c r="J8" s="20">
        <v>23.999536798800001</v>
      </c>
      <c r="K8" s="20">
        <v>75</v>
      </c>
    </row>
    <row r="9" spans="1:12" x14ac:dyDescent="0.25">
      <c r="A9" s="17" t="s">
        <v>32</v>
      </c>
      <c r="B9" s="6">
        <f t="shared" si="0"/>
        <v>8</v>
      </c>
      <c r="C9" s="6">
        <v>1</v>
      </c>
      <c r="D9" s="6">
        <v>2020</v>
      </c>
      <c r="E9" s="20">
        <v>7347.4341065299996</v>
      </c>
      <c r="F9" s="20">
        <v>686.67608472242989</v>
      </c>
      <c r="G9" s="20">
        <v>0</v>
      </c>
      <c r="H9" s="20">
        <v>3.51</v>
      </c>
      <c r="I9" s="6">
        <v>46</v>
      </c>
      <c r="J9" s="20">
        <v>23.9949497528</v>
      </c>
      <c r="K9" s="20">
        <v>85</v>
      </c>
    </row>
    <row r="10" spans="1:12" x14ac:dyDescent="0.25">
      <c r="A10" s="17" t="s">
        <v>32</v>
      </c>
      <c r="B10" s="6">
        <f t="shared" si="0"/>
        <v>9</v>
      </c>
      <c r="C10" s="6">
        <v>1</v>
      </c>
      <c r="D10" s="6">
        <v>2020</v>
      </c>
      <c r="E10" s="20">
        <v>6264.1196484000002</v>
      </c>
      <c r="F10" s="20">
        <v>585.4317428411216</v>
      </c>
      <c r="G10" s="20">
        <v>0</v>
      </c>
      <c r="H10" s="20">
        <v>1.53</v>
      </c>
      <c r="I10" s="6">
        <v>42</v>
      </c>
      <c r="J10" s="20">
        <v>26.003341520599999</v>
      </c>
      <c r="K10" s="20">
        <v>91</v>
      </c>
    </row>
    <row r="11" spans="1:12" x14ac:dyDescent="0.25">
      <c r="A11" s="17" t="s">
        <v>32</v>
      </c>
      <c r="B11" s="6">
        <f t="shared" si="0"/>
        <v>10</v>
      </c>
      <c r="C11" s="6">
        <v>1</v>
      </c>
      <c r="D11" s="6">
        <v>2020</v>
      </c>
      <c r="F11" s="20">
        <v>0</v>
      </c>
      <c r="G11" s="20">
        <v>0</v>
      </c>
      <c r="I11" s="6"/>
      <c r="K11" s="20"/>
    </row>
    <row r="12" spans="1:12" x14ac:dyDescent="0.25">
      <c r="A12" s="17" t="s">
        <v>32</v>
      </c>
      <c r="B12" s="6">
        <f t="shared" si="0"/>
        <v>11</v>
      </c>
      <c r="C12" s="6">
        <v>1</v>
      </c>
      <c r="D12" s="6">
        <v>2020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1</v>
      </c>
      <c r="D13" s="6">
        <v>2020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1</v>
      </c>
      <c r="D14" s="6">
        <v>2020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1</v>
      </c>
      <c r="D15" s="6">
        <v>2020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1</v>
      </c>
      <c r="D16" s="6">
        <v>2020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1</v>
      </c>
      <c r="D17" s="6">
        <v>2020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1</v>
      </c>
      <c r="D18" s="6">
        <v>2020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1</v>
      </c>
      <c r="D19" s="6">
        <v>2020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1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1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1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1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1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1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1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</v>
      </c>
      <c r="D31" s="6">
        <v>2020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1</v>
      </c>
      <c r="D32" s="6">
        <v>2020</v>
      </c>
      <c r="E32" s="20">
        <v>7560</v>
      </c>
      <c r="F32" s="20">
        <v>811.2607204523365</v>
      </c>
      <c r="G32" s="20">
        <v>0</v>
      </c>
      <c r="H32" s="20">
        <v>1.3</v>
      </c>
      <c r="I32" s="20">
        <v>55</v>
      </c>
      <c r="J32" s="20">
        <v>27.999647727500001</v>
      </c>
      <c r="K32" s="20">
        <v>85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2020-01-10T14:41:14Z</dcterms:modified>
</cp:coreProperties>
</file>