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4" documentId="8_{5A9CD38F-6435-42F7-B247-CE2D98CD87B6}" xr6:coauthVersionLast="47" xr6:coauthVersionMax="47" xr10:uidLastSave="{6ACCE050-05F0-49B1-B5DA-5A15D40552C9}"/>
  <bookViews>
    <workbookView xWindow="-98" yWindow="-98" windowWidth="19396" windowHeight="10276" tabRatio="500" activeTab="1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D10" i="4"/>
  <c r="D7" i="4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E7" i="19"/>
  <c r="D7" i="20" s="1"/>
  <c r="E3" i="19"/>
  <c r="B3" i="19"/>
  <c r="E22" i="18"/>
  <c r="D22" i="19" s="1"/>
  <c r="E18" i="18"/>
  <c r="D18" i="19" s="1"/>
  <c r="D18" i="18"/>
  <c r="F18" i="18" s="1"/>
  <c r="F17" i="18"/>
  <c r="E17" i="18"/>
  <c r="E16" i="18"/>
  <c r="E15" i="18"/>
  <c r="D15" i="19" s="1"/>
  <c r="E14" i="18"/>
  <c r="D14" i="19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5" s="1"/>
  <c r="E10" i="14"/>
  <c r="D10" i="15" s="1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F15" i="12" s="1"/>
  <c r="D15" i="1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E17" i="10"/>
  <c r="D17" i="11" s="1"/>
  <c r="E16" i="10"/>
  <c r="E15" i="10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M30" i="1"/>
  <c r="N30" i="2" s="1"/>
  <c r="M29" i="1"/>
  <c r="N29" i="2" s="1"/>
  <c r="M28" i="1"/>
  <c r="N28" i="2" s="1"/>
  <c r="M27" i="1"/>
  <c r="N27" i="2" s="1"/>
  <c r="I27" i="1"/>
  <c r="M26" i="1"/>
  <c r="N26" i="2" s="1"/>
  <c r="M25" i="1"/>
  <c r="N25" i="2" s="1"/>
  <c r="I25" i="1"/>
  <c r="G25" i="1"/>
  <c r="M24" i="1"/>
  <c r="N24" i="2" s="1"/>
  <c r="M23" i="1"/>
  <c r="N23" i="2" s="1"/>
  <c r="M22" i="1"/>
  <c r="N22" i="2" s="1"/>
  <c r="M21" i="1"/>
  <c r="N21" i="2" s="1"/>
  <c r="M20" i="1"/>
  <c r="N20" i="2" s="1"/>
  <c r="M19" i="1"/>
  <c r="N19" i="2" s="1"/>
  <c r="G19" i="1"/>
  <c r="M18" i="1"/>
  <c r="N18" i="2" s="1"/>
  <c r="I18" i="1"/>
  <c r="M17" i="1"/>
  <c r="N17" i="2" s="1"/>
  <c r="M16" i="1"/>
  <c r="N16" i="2" s="1"/>
  <c r="G16" i="1"/>
  <c r="M15" i="1"/>
  <c r="N15" i="2" s="1"/>
  <c r="M14" i="1"/>
  <c r="N14" i="2" s="1"/>
  <c r="M13" i="1"/>
  <c r="N13" i="2" s="1"/>
  <c r="M12" i="1"/>
  <c r="N12" i="2" s="1"/>
  <c r="M11" i="1"/>
  <c r="N11" i="2" s="1"/>
  <c r="M10" i="1"/>
  <c r="N10" i="2" s="1"/>
  <c r="M9" i="1"/>
  <c r="N9" i="2" s="1"/>
  <c r="M8" i="1"/>
  <c r="N8" i="2" s="1"/>
  <c r="M7" i="1"/>
  <c r="N7" i="2" s="1"/>
  <c r="I7" i="1"/>
  <c r="G7" i="1"/>
  <c r="M6" i="1"/>
  <c r="N6" i="2" s="1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D47" i="35" l="1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7" i="9"/>
  <c r="F8" i="9" s="1"/>
  <c r="F10" i="19"/>
  <c r="F11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F19" i="9" s="1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G11" i="7"/>
  <c r="G29" i="7" s="1"/>
  <c r="F29" i="7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8" i="1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34" l="1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5" l="1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<sst xmlns="http://schemas.openxmlformats.org/spreadsheetml/2006/main" count="2629" uniqueCount="181">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</sst>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4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Jan24.xlsx" TargetMode="External"/><Relationship Id="rId1" Type="http://schemas.openxmlformats.org/officeDocument/2006/relationships/externalLinkPath" Target="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A12" zoomScaleNormal="100" workbookViewId="0">
      <selection activeCell="F28" sqref="F28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5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327" t="s">
        <v>0</v>
      </c>
      <c r="B1" s="327" t="s">
        <v>1</v>
      </c>
      <c r="C1" s="328" t="s">
        <v>2</v>
      </c>
      <c r="D1" s="327" t="s">
        <v>3</v>
      </c>
      <c r="E1" s="329" t="s">
        <v>4</v>
      </c>
      <c r="F1" s="330" t="s">
        <v>5</v>
      </c>
      <c r="G1" s="329" t="s">
        <v>6</v>
      </c>
      <c r="H1" s="330" t="s">
        <v>7</v>
      </c>
      <c r="I1" s="329" t="s">
        <v>8</v>
      </c>
      <c r="J1" s="331" t="s">
        <v>177</v>
      </c>
      <c r="K1" s="332" t="s">
        <v>175</v>
      </c>
      <c r="L1" s="331" t="s">
        <v>176</v>
      </c>
      <c r="M1" s="333" t="s">
        <v>9</v>
      </c>
      <c r="N1" s="329" t="s">
        <v>10</v>
      </c>
    </row>
    <row r="2" spans="1:15" ht="14.6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f>0.568+0.075</f>
        <v>0.6429999999999999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f t="shared" ref="L3:L30" si="1">0.568+0.075</f>
        <v>0.6429999999999999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f t="shared" si="1"/>
        <v>0.6429999999999999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f t="shared" si="1"/>
        <v>0.6429999999999999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f t="shared" si="1"/>
        <v>0.6429999999999999</v>
      </c>
      <c r="M6" s="6">
        <f>INT('Daily Meter'!O10*434/100)</f>
        <v>0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Submetering!E7+Submetering!F7+Submetering!G7+Submetering!H7+Submetering!I7+Submetering!J7</f>
        <v>#VALUE!</v>
      </c>
      <c r="F7" s="5">
        <v>0.44</v>
      </c>
      <c r="G7" s="6" t="e">
        <f>Submetering!M7</f>
        <v>#VALUE!</v>
      </c>
      <c r="H7" s="12">
        <v>2.5</v>
      </c>
      <c r="I7" s="6" t="e">
        <f>Submetering!L7</f>
        <v>#VALUE!</v>
      </c>
      <c r="J7" s="5">
        <v>0.06</v>
      </c>
      <c r="K7" s="275" t="e">
        <f>Submetering!K7</f>
        <v>#VALUE!</v>
      </c>
      <c r="L7" s="5">
        <f t="shared" si="1"/>
        <v>0.6429999999999999</v>
      </c>
      <c r="M7" s="6" t="e">
        <f>INT('Daily Meter'!O11*434/100)</f>
        <v>#VALUE!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Submetering!E8+Submetering!F8+Submetering!G8+Submetering!H8+Submetering!I8+Submetering!J8</f>
        <v>#VALUE!</v>
      </c>
      <c r="F8" s="5">
        <v>0.44</v>
      </c>
      <c r="G8" s="6" t="e">
        <f>Submetering!M8</f>
        <v>#VALUE!</v>
      </c>
      <c r="H8" s="12">
        <v>2.5</v>
      </c>
      <c r="I8" s="6" t="e">
        <f>Submetering!L8</f>
        <v>#VALUE!</v>
      </c>
      <c r="J8" s="5">
        <v>0.06</v>
      </c>
      <c r="K8" s="275" t="e">
        <f>Submetering!K8</f>
        <v>#VALUE!</v>
      </c>
      <c r="L8" s="5">
        <f t="shared" si="1"/>
        <v>0.6429999999999999</v>
      </c>
      <c r="M8" s="6" t="e">
        <f>INT('Daily Meter'!O12*434/100)</f>
        <v>#VALUE!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Submetering!E9+Submetering!F9+Submetering!G9+Submetering!H9+Submetering!I9+Submetering!J9</f>
        <v>#VALUE!</v>
      </c>
      <c r="F9" s="5">
        <v>0.44</v>
      </c>
      <c r="G9" s="6" t="e">
        <f>Submetering!M9</f>
        <v>#VALUE!</v>
      </c>
      <c r="H9" s="12">
        <v>2.5</v>
      </c>
      <c r="I9" s="6" t="e">
        <f>Submetering!L9</f>
        <v>#VALUE!</v>
      </c>
      <c r="J9" s="5">
        <v>0.06</v>
      </c>
      <c r="K9" s="275" t="e">
        <f>Submetering!K9</f>
        <v>#VALUE!</v>
      </c>
      <c r="L9" s="5">
        <f t="shared" si="1"/>
        <v>0.6429999999999999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2">
        <v>2.5</v>
      </c>
      <c r="I10" s="6" t="e">
        <f>Submetering!L10</f>
        <v>#VALUE!</v>
      </c>
      <c r="J10" s="5">
        <v>0.06</v>
      </c>
      <c r="K10" s="275" t="e">
        <f>Submetering!K10</f>
        <v>#VALUE!</v>
      </c>
      <c r="L10" s="5">
        <f t="shared" si="1"/>
        <v>0.6429999999999999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2">
        <v>2.5</v>
      </c>
      <c r="I11" s="6" t="e">
        <f>Submetering!L11</f>
        <v>#VALUE!</v>
      </c>
      <c r="J11" s="5">
        <v>0.06</v>
      </c>
      <c r="K11" s="275" t="e">
        <f>Submetering!K11</f>
        <v>#VALUE!</v>
      </c>
      <c r="L11" s="5">
        <f t="shared" si="1"/>
        <v>0.6429999999999999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2">
        <v>2.5</v>
      </c>
      <c r="I12" s="6" t="e">
        <f>Submetering!L12</f>
        <v>#VALUE!</v>
      </c>
      <c r="J12" s="5">
        <v>0.06</v>
      </c>
      <c r="K12" s="275" t="e">
        <f>Submetering!K12</f>
        <v>#VALUE!</v>
      </c>
      <c r="L12" s="5">
        <f t="shared" si="1"/>
        <v>0.6429999999999999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2">
        <v>2.5</v>
      </c>
      <c r="I13" s="6" t="e">
        <f>Submetering!L13</f>
        <v>#VALUE!</v>
      </c>
      <c r="J13" s="5">
        <v>0.06</v>
      </c>
      <c r="K13" s="275" t="e">
        <f>Submetering!K13</f>
        <v>#VALUE!</v>
      </c>
      <c r="L13" s="5">
        <f t="shared" si="1"/>
        <v>0.6429999999999999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2">
        <v>2.5</v>
      </c>
      <c r="I14" s="6" t="e">
        <f>Submetering!L14</f>
        <v>#VALUE!</v>
      </c>
      <c r="J14" s="5">
        <v>0.06</v>
      </c>
      <c r="K14" s="275" t="e">
        <f>Submetering!K14</f>
        <v>#VALUE!</v>
      </c>
      <c r="L14" s="5">
        <f t="shared" si="1"/>
        <v>0.6429999999999999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2">
        <v>2.5</v>
      </c>
      <c r="I15" s="6" t="e">
        <f>Submetering!L15</f>
        <v>#VALUE!</v>
      </c>
      <c r="J15" s="5">
        <v>0.06</v>
      </c>
      <c r="K15" s="275" t="e">
        <f>Submetering!K15</f>
        <v>#VALUE!</v>
      </c>
      <c r="L15" s="5">
        <f t="shared" si="1"/>
        <v>0.6429999999999999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2">
        <v>2.5</v>
      </c>
      <c r="I16" s="6" t="e">
        <f>Submetering!L16</f>
        <v>#VALUE!</v>
      </c>
      <c r="J16" s="5">
        <v>0.06</v>
      </c>
      <c r="K16" s="275" t="e">
        <f>Submetering!K16</f>
        <v>#VALUE!</v>
      </c>
      <c r="L16" s="5">
        <f t="shared" si="1"/>
        <v>0.6429999999999999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f t="shared" si="1"/>
        <v>0.6429999999999999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f t="shared" si="1"/>
        <v>0.6429999999999999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f t="shared" si="1"/>
        <v>0.6429999999999999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f t="shared" si="1"/>
        <v>0.6429999999999999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f t="shared" si="1"/>
        <v>0.6429999999999999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f t="shared" si="1"/>
        <v>0.6429999999999999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f t="shared" si="1"/>
        <v>0.6429999999999999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f t="shared" si="1"/>
        <v>0.6429999999999999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f t="shared" si="1"/>
        <v>0.6429999999999999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f t="shared" si="1"/>
        <v>0.6429999999999999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f t="shared" si="1"/>
        <v>0.6429999999999999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f t="shared" si="1"/>
        <v>0.6429999999999999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f t="shared" si="1"/>
        <v>0.6429999999999999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f t="shared" si="1"/>
        <v>0.6429999999999999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abSelected="1" topLeftCell="B15" zoomScaleNormal="100" workbookViewId="0">
      <selection activeCell="E2" sqref="E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0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IF(('Daily Meter'!H11-'Daily Meter'!H10)&lt;0,"0",'Daily Meter'!H11-'Daily Meter'!H10)*480</f>
        <v>#VALUE!</v>
      </c>
      <c r="F7" s="6" t="e">
        <f>IF(('Daily Meter'!I11-'Daily Meter'!I10)&lt;0,"0",'Daily Meter'!I11-'Daily Meter'!I10)*480</f>
        <v>#VALUE!</v>
      </c>
      <c r="G7" s="6" t="e">
        <f>IF(('Daily Meter'!J11-'Daily Meter'!J10)&lt;0,"0",'Daily Meter'!J11-'Daily Meter'!J10)*480</f>
        <v>#VALUE!</v>
      </c>
      <c r="H7" s="6" t="e">
        <f>IF(('Daily Meter'!K11-'Daily Meter'!K10)&lt;0,"0",'Daily Meter'!K11-'Daily Meter'!K10)*480</f>
        <v>#VALUE!</v>
      </c>
      <c r="I7" s="6" t="e">
        <f>IF(('Daily Meter'!L11-'Daily Meter'!L10)&lt;0,"0",'Daily Meter'!L11-'Daily Meter'!L10)*480</f>
        <v>#VALUE!</v>
      </c>
      <c r="J7" s="6" t="e">
        <f>IF(('Daily Meter'!M11-'Daily Meter'!M10)&lt;0,"0",'Daily Meter'!M11-'Daily Meter'!M10)*480</f>
        <v>#VALUE!</v>
      </c>
      <c r="K7" s="6" t="e">
        <f>IF(('Daily Meter'!B11-'Daily Meter'!B10)&lt;0,"0",'Daily Meter'!B11-'Daily Meter'!B10)*284.34</f>
        <v>#VALUE!</v>
      </c>
      <c r="L7" s="6" t="e">
        <f>IF(('Daily Meter'!C11-'Daily Meter'!C10)&lt;0,"0",'Daily Meter'!C11-'Daily Meter'!C10)*219.969</f>
        <v>#VALUE!</v>
      </c>
      <c r="M7" s="6" t="e">
        <f>IF(('Daily Meter'!N11-'Daily Meter'!N10)&lt;0,"0",'Daily Meter'!N11-'Daily Meter'!N10)*3.7</f>
        <v>#VALUE!</v>
      </c>
      <c r="N7" s="6" t="e">
        <f>Total!M7</f>
        <v>#VALUE!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IF(('Daily Meter'!H12-'Daily Meter'!H11)&lt;0,"0",'Daily Meter'!H12-'Daily Meter'!H11)*480</f>
        <v>#VALUE!</v>
      </c>
      <c r="F8" s="6" t="e">
        <f>IF(('Daily Meter'!I12-'Daily Meter'!I11)&lt;0,"0",'Daily Meter'!I12-'Daily Meter'!I11)*480</f>
        <v>#VALUE!</v>
      </c>
      <c r="G8" s="6" t="e">
        <f>IF(('Daily Meter'!J12-'Daily Meter'!J11)&lt;0,"0",'Daily Meter'!J12-'Daily Meter'!J11)*480</f>
        <v>#VALUE!</v>
      </c>
      <c r="H8" s="6" t="e">
        <f>IF(('Daily Meter'!K12-'Daily Meter'!K11)&lt;0,"0",'Daily Meter'!K12-'Daily Meter'!K11)*480</f>
        <v>#VALUE!</v>
      </c>
      <c r="I8" s="6" t="e">
        <f>IF(('Daily Meter'!L12-'Daily Meter'!L11)&lt;0,"0",'Daily Meter'!L12-'Daily Meter'!L11)*480</f>
        <v>#VALUE!</v>
      </c>
      <c r="J8" s="6" t="e">
        <f>IF(('Daily Meter'!M12-'Daily Meter'!M11)&lt;0,"0",'Daily Meter'!M12-'Daily Meter'!M11)*480</f>
        <v>#VALUE!</v>
      </c>
      <c r="K8" s="6" t="e">
        <f>IF(('Daily Meter'!B12-'Daily Meter'!B11)&lt;0,"0",'Daily Meter'!B12-'Daily Meter'!B11)*284.34</f>
        <v>#VALUE!</v>
      </c>
      <c r="L8" s="6" t="e">
        <f>IF(('Daily Meter'!C12-'Daily Meter'!C11)&lt;0,"0",'Daily Meter'!C12-'Daily Meter'!C11)*219.969</f>
        <v>#VALUE!</v>
      </c>
      <c r="M8" s="6" t="e">
        <f>IF(('Daily Meter'!N12-'Daily Meter'!N11)&lt;0,"0",'Daily Meter'!N12-'Daily Meter'!N11)*3.7</f>
        <v>#VALUE!</v>
      </c>
      <c r="N8" s="6" t="e">
        <f>Total!M8</f>
        <v>#VALUE!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IF(('Daily Meter'!H13-'Daily Meter'!H12)&lt;0,"0",'Daily Meter'!H13-'Daily Meter'!H12)*480</f>
        <v>#VALUE!</v>
      </c>
      <c r="F9" s="6" t="e">
        <f>IF(('Daily Meter'!I13-'Daily Meter'!I12)&lt;0,"0",'Daily Meter'!I13-'Daily Meter'!I12)*480</f>
        <v>#VALUE!</v>
      </c>
      <c r="G9" s="6" t="e">
        <f>IF(('Daily Meter'!J13-'Daily Meter'!J12)&lt;0,"0",'Daily Meter'!J13-'Daily Meter'!J12)*480</f>
        <v>#VALUE!</v>
      </c>
      <c r="H9" s="6" t="e">
        <f>IF(('Daily Meter'!K13-'Daily Meter'!K12)&lt;0,"0",'Daily Meter'!K13-'Daily Meter'!K12)*480</f>
        <v>#VALUE!</v>
      </c>
      <c r="I9" s="6" t="e">
        <f>IF(('Daily Meter'!L13-'Daily Meter'!L12)&lt;0,"0",'Daily Meter'!L13-'Daily Meter'!L12)*480</f>
        <v>#VALUE!</v>
      </c>
      <c r="J9" s="6" t="e">
        <f>IF(('Daily Meter'!M13-'Daily Meter'!M12)&lt;0,"0",'Daily Meter'!M13-'Daily Meter'!M12)*480</f>
        <v>#VALUE!</v>
      </c>
      <c r="K9" s="6" t="e">
        <f>IF(('Daily Meter'!B13-'Daily Meter'!B12)&lt;0,"0",'Daily Meter'!B13-'Daily Meter'!B12)*284.34</f>
        <v>#VALUE!</v>
      </c>
      <c r="L9" s="6" t="e">
        <f>IF(('Daily Meter'!C13-'Daily Meter'!C12)&lt;0,"0",'Daily Meter'!C13-'Daily Meter'!C12)*219.969</f>
        <v>#VALUE!</v>
      </c>
      <c r="M9" s="6" t="e">
        <f>IF(('Daily Meter'!N13-'Daily Meter'!N12)&lt;0,"0",'Daily Meter'!N13-'Daily Meter'!N12)*3.7</f>
        <v>#VALUE!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6" sqref="H6"/>
    </sheetView>
  </sheetViews>
  <sheetFormatPr defaultColWidth="8.59765625" defaultRowHeight="14.25"/>
  <cols>
    <col min="1" max="1" width="9.1328125" style="14" customWidth="1"/>
    <col min="2" max="2" width="17.265625" style="14" customWidth="1"/>
    <col min="3" max="3" width="14.73046875" style="15" customWidth="1"/>
    <col min="4" max="4" width="8.73046875" style="14" hidden="1" customWidth="1"/>
    <col min="5" max="5" width="5.3984375" style="14" hidden="1" customWidth="1"/>
    <col min="6" max="6" width="6.59765625" style="14" hidden="1" customWidth="1"/>
    <col min="7" max="7" width="6.86328125" style="14" hidden="1" customWidth="1"/>
    <col min="8" max="13" width="12.73046875" customWidth="1"/>
    <col min="14" max="14" width="17.1328125" style="2" customWidth="1"/>
    <col min="15" max="15" width="10.86328125" style="2" customWidth="1"/>
  </cols>
  <sheetData>
    <row r="1" spans="1:17" ht="25.5" customHeight="1">
      <c r="A1" s="285" t="s">
        <v>180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Q1" s="16" t="s">
        <v>22</v>
      </c>
    </row>
    <row r="2" spans="1:17" s="13" customFormat="1">
      <c r="A2" s="17"/>
      <c r="B2" s="18" t="s">
        <v>23</v>
      </c>
      <c r="C2" s="286" t="s">
        <v>24</v>
      </c>
      <c r="D2" s="286"/>
      <c r="E2" s="286"/>
      <c r="F2" s="286"/>
      <c r="G2" s="286"/>
      <c r="H2" s="287" t="s">
        <v>25</v>
      </c>
      <c r="I2" s="287"/>
      <c r="J2" s="287"/>
      <c r="K2" s="287"/>
      <c r="L2" s="287"/>
      <c r="M2" s="287"/>
      <c r="N2" s="288" t="s">
        <v>26</v>
      </c>
      <c r="O2" s="289" t="s">
        <v>27</v>
      </c>
    </row>
    <row r="3" spans="1:17" s="13" customFormat="1">
      <c r="A3" s="290" t="s">
        <v>28</v>
      </c>
      <c r="B3" s="19" t="s">
        <v>29</v>
      </c>
      <c r="C3" s="20" t="s">
        <v>30</v>
      </c>
      <c r="D3" s="291" t="s">
        <v>31</v>
      </c>
      <c r="E3" s="291"/>
      <c r="F3" s="292" t="s">
        <v>32</v>
      </c>
      <c r="G3" s="29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88"/>
      <c r="O3" s="289"/>
    </row>
    <row r="4" spans="1:17" s="13" customFormat="1">
      <c r="A4" s="290"/>
      <c r="B4" s="19" t="s">
        <v>36</v>
      </c>
      <c r="C4" s="22" t="s">
        <v>37</v>
      </c>
      <c r="D4" s="293" t="s">
        <v>38</v>
      </c>
      <c r="E4" s="293"/>
      <c r="F4" s="294" t="s">
        <v>39</v>
      </c>
      <c r="G4" s="29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81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/>
    </row>
    <row r="11" spans="1:17">
      <c r="A11" s="28">
        <v>6</v>
      </c>
      <c r="B11" s="27" t="s">
        <v>12</v>
      </c>
      <c r="C11" s="27" t="s">
        <v>12</v>
      </c>
      <c r="D11" s="27" t="s">
        <v>12</v>
      </c>
      <c r="E11" s="27" t="s">
        <v>12</v>
      </c>
      <c r="F11" s="27" t="s">
        <v>12</v>
      </c>
      <c r="G11" s="27" t="s">
        <v>12</v>
      </c>
      <c r="H11" s="27" t="s">
        <v>12</v>
      </c>
      <c r="I11" s="27" t="s">
        <v>12</v>
      </c>
      <c r="J11" s="27" t="s">
        <v>12</v>
      </c>
      <c r="K11" s="27" t="s">
        <v>12</v>
      </c>
      <c r="L11" s="27" t="s">
        <v>12</v>
      </c>
      <c r="M11" s="27" t="s">
        <v>12</v>
      </c>
      <c r="N11" s="27" t="s">
        <v>12</v>
      </c>
      <c r="O11" s="27" t="s">
        <v>12</v>
      </c>
    </row>
    <row r="12" spans="1:17">
      <c r="A12" s="28">
        <v>7</v>
      </c>
      <c r="B12" s="27" t="s">
        <v>12</v>
      </c>
      <c r="C12" s="27" t="s">
        <v>12</v>
      </c>
      <c r="D12" s="27" t="s">
        <v>12</v>
      </c>
      <c r="E12" s="27" t="s">
        <v>12</v>
      </c>
      <c r="F12" s="27" t="s">
        <v>12</v>
      </c>
      <c r="G12" s="27" t="s">
        <v>12</v>
      </c>
      <c r="H12" s="27" t="s">
        <v>12</v>
      </c>
      <c r="I12" s="27" t="s">
        <v>12</v>
      </c>
      <c r="J12" s="27" t="s">
        <v>12</v>
      </c>
      <c r="K12" s="27" t="s">
        <v>12</v>
      </c>
      <c r="L12" s="27" t="s">
        <v>12</v>
      </c>
      <c r="M12" s="27" t="s">
        <v>12</v>
      </c>
      <c r="N12" s="27" t="s">
        <v>12</v>
      </c>
      <c r="O12" s="27" t="s">
        <v>12</v>
      </c>
    </row>
    <row r="13" spans="1:17">
      <c r="A13" s="28">
        <v>8</v>
      </c>
      <c r="B13" s="27" t="s">
        <v>12</v>
      </c>
      <c r="C13" s="27" t="s">
        <v>12</v>
      </c>
      <c r="D13" s="27" t="s">
        <v>12</v>
      </c>
      <c r="E13" s="27" t="s">
        <v>12</v>
      </c>
      <c r="F13" s="27" t="s">
        <v>12</v>
      </c>
      <c r="G13" s="27" t="s">
        <v>12</v>
      </c>
      <c r="H13" s="27" t="s">
        <v>12</v>
      </c>
      <c r="I13" s="27" t="s">
        <v>12</v>
      </c>
      <c r="J13" s="27" t="s">
        <v>12</v>
      </c>
      <c r="K13" s="27" t="s">
        <v>12</v>
      </c>
      <c r="L13" s="27" t="s">
        <v>12</v>
      </c>
      <c r="M13" s="27" t="s">
        <v>12</v>
      </c>
      <c r="N13" s="27" t="s">
        <v>12</v>
      </c>
      <c r="O13" s="27" t="s">
        <v>12</v>
      </c>
    </row>
    <row r="14" spans="1:17">
      <c r="A14" s="28">
        <v>9</v>
      </c>
      <c r="B14" s="27" t="s">
        <v>12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7" t="s">
        <v>12</v>
      </c>
      <c r="L14" s="27" t="s">
        <v>12</v>
      </c>
      <c r="M14" s="27" t="s">
        <v>12</v>
      </c>
      <c r="N14" s="27" t="s">
        <v>12</v>
      </c>
      <c r="O14" s="27" t="s">
        <v>12</v>
      </c>
    </row>
    <row r="15" spans="1:17">
      <c r="A15" s="28">
        <v>10</v>
      </c>
      <c r="B15" s="27" t="s">
        <v>12</v>
      </c>
      <c r="C15" s="27" t="s">
        <v>12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</row>
    <row r="16" spans="1:17">
      <c r="A16" s="28">
        <v>11</v>
      </c>
      <c r="B16" s="27" t="s">
        <v>12</v>
      </c>
      <c r="C16" s="27" t="s">
        <v>12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</row>
    <row r="17" spans="1:17">
      <c r="A17" s="28">
        <v>12</v>
      </c>
      <c r="B17" s="27" t="s">
        <v>12</v>
      </c>
      <c r="C17" s="27" t="s">
        <v>12</v>
      </c>
      <c r="D17" s="27" t="s">
        <v>12</v>
      </c>
      <c r="E17" s="27" t="s">
        <v>12</v>
      </c>
      <c r="F17" s="27" t="s">
        <v>12</v>
      </c>
      <c r="G17" s="27" t="s">
        <v>12</v>
      </c>
      <c r="H17" s="27" t="s">
        <v>12</v>
      </c>
      <c r="I17" s="27" t="s">
        <v>12</v>
      </c>
      <c r="J17" s="27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</row>
    <row r="18" spans="1:17">
      <c r="A18" s="28">
        <v>13</v>
      </c>
      <c r="B18" s="27" t="s">
        <v>12</v>
      </c>
      <c r="C18" s="27" t="s">
        <v>12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27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62.272500000000008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D10" sqref="D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6</v>
      </c>
      <c r="D3" s="42" t="s">
        <v>48</v>
      </c>
      <c r="E3" s="43" t="str">
        <f>'Daily Meter'!O11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 t="str">
        <f>'Daily Meter'!B11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 t="str">
        <f>'Daily Meter'!C11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 t="str">
        <f>'Daily Meter'!H11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 t="str">
        <f>'Daily Meter'!I11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 t="str">
        <f>'Daily Meter'!J11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 t="str">
        <f>'Daily Meter'!K11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 t="str">
        <f>'Daily Meter'!L11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 t="str">
        <f>'Daily Meter'!M11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 t="str">
        <f>'Daily Meter'!N11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7</v>
      </c>
      <c r="D3" s="42" t="s">
        <v>48</v>
      </c>
      <c r="E3" s="43" t="str">
        <f>'Daily Meter'!O12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'6'!E7</f>
        <v xml:space="preserve"> </v>
      </c>
      <c r="E7" s="61" t="str">
        <f>'Daily Meter'!B12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'6'!E10</f>
        <v xml:space="preserve"> </v>
      </c>
      <c r="E10" s="61" t="str">
        <f>'Daily Meter'!C12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'6'!E13</f>
        <v xml:space="preserve"> </v>
      </c>
      <c r="E13" s="61" t="str">
        <f>'Daily Meter'!H12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'6'!E14</f>
        <v xml:space="preserve"> </v>
      </c>
      <c r="E14" s="61" t="str">
        <f>'Daily Meter'!I12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'6'!E15</f>
        <v xml:space="preserve"> </v>
      </c>
      <c r="E15" s="61" t="str">
        <f>'Daily Meter'!J12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'6'!E16</f>
        <v xml:space="preserve"> </v>
      </c>
      <c r="E16" s="61" t="str">
        <f>'Daily Meter'!K12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'6'!E17</f>
        <v xml:space="preserve"> </v>
      </c>
      <c r="E17" s="61" t="str">
        <f>'Daily Meter'!L12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'6'!E18</f>
        <v xml:space="preserve"> </v>
      </c>
      <c r="E18" s="61" t="str">
        <f>'Daily Meter'!M12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'6'!E22</f>
        <v xml:space="preserve"> </v>
      </c>
      <c r="E22" s="61" t="str">
        <f>'Daily Meter'!N12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8</v>
      </c>
      <c r="D3" s="42" t="s">
        <v>48</v>
      </c>
      <c r="E3" s="43" t="str">
        <f>'Daily Meter'!O13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'7'!E7</f>
        <v xml:space="preserve"> </v>
      </c>
      <c r="E7" s="61" t="str">
        <f>'Daily Meter'!B13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'7'!E10</f>
        <v xml:space="preserve"> </v>
      </c>
      <c r="E10" s="61" t="str">
        <f>'Daily Meter'!C13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'7'!E13</f>
        <v xml:space="preserve"> </v>
      </c>
      <c r="E13" s="61" t="str">
        <f>'Daily Meter'!H13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'7'!E14</f>
        <v xml:space="preserve"> </v>
      </c>
      <c r="E14" s="61" t="str">
        <f>'Daily Meter'!I13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'7'!E15</f>
        <v xml:space="preserve"> </v>
      </c>
      <c r="E15" s="61" t="str">
        <f>'Daily Meter'!J13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'7'!E16</f>
        <v xml:space="preserve"> </v>
      </c>
      <c r="E16" s="61" t="str">
        <f>'Daily Meter'!K13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'7'!E17</f>
        <v xml:space="preserve"> </v>
      </c>
      <c r="E17" s="61" t="str">
        <f>'Daily Meter'!L13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'7'!E18</f>
        <v xml:space="preserve"> </v>
      </c>
      <c r="E18" s="61" t="str">
        <f>'Daily Meter'!M13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'7'!E22</f>
        <v xml:space="preserve"> </v>
      </c>
      <c r="E22" s="61" t="str">
        <f>'Daily Meter'!N13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9</v>
      </c>
      <c r="D3" s="42" t="s">
        <v>48</v>
      </c>
      <c r="E3" s="43" t="str">
        <f>'Daily Meter'!O14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'8'!E7</f>
        <v xml:space="preserve"> </v>
      </c>
      <c r="E7" s="61" t="str">
        <f>'Daily Meter'!B14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'8'!E10</f>
        <v xml:space="preserve"> </v>
      </c>
      <c r="E10" s="61" t="str">
        <f>'Daily Meter'!C14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'8'!E13</f>
        <v xml:space="preserve"> </v>
      </c>
      <c r="E13" s="61" t="str">
        <f>'Daily Meter'!H14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'8'!E14</f>
        <v xml:space="preserve"> </v>
      </c>
      <c r="E14" s="61" t="str">
        <f>'Daily Meter'!I14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'8'!E15</f>
        <v xml:space="preserve"> </v>
      </c>
      <c r="E15" s="61" t="str">
        <f>'Daily Meter'!J14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'8'!E16</f>
        <v xml:space="preserve"> </v>
      </c>
      <c r="E16" s="61" t="str">
        <f>'Daily Meter'!K14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'8'!E17</f>
        <v xml:space="preserve"> </v>
      </c>
      <c r="E17" s="61" t="str">
        <f>'Daily Meter'!L14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'8'!E18</f>
        <v xml:space="preserve"> </v>
      </c>
      <c r="E18" s="61" t="str">
        <f>'Daily Meter'!M14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'8'!E22</f>
        <v xml:space="preserve"> </v>
      </c>
      <c r="E22" s="61" t="str">
        <f>'Daily Meter'!N14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10</v>
      </c>
      <c r="D3" s="42" t="s">
        <v>48</v>
      </c>
      <c r="E3" s="43" t="str">
        <f>'Daily Meter'!O15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'9'!E7</f>
        <v xml:space="preserve"> </v>
      </c>
      <c r="E7" s="61" t="str">
        <f>'Daily Meter'!B15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'9'!E10</f>
        <v xml:space="preserve"> </v>
      </c>
      <c r="E10" s="61" t="str">
        <f>'Daily Meter'!C15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'9'!E13</f>
        <v xml:space="preserve"> </v>
      </c>
      <c r="E13" s="61" t="str">
        <f>'Daily Meter'!H15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'9'!E14</f>
        <v xml:space="preserve"> </v>
      </c>
      <c r="E14" s="61" t="str">
        <f>'Daily Meter'!I15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'9'!E15</f>
        <v xml:space="preserve"> </v>
      </c>
      <c r="E15" s="61" t="str">
        <f>'Daily Meter'!J15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'9'!E16</f>
        <v xml:space="preserve"> </v>
      </c>
      <c r="E16" s="61" t="str">
        <f>'Daily Meter'!K15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'9'!E17</f>
        <v xml:space="preserve"> </v>
      </c>
      <c r="E17" s="61" t="str">
        <f>'Daily Meter'!L15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'9'!E18</f>
        <v xml:space="preserve"> </v>
      </c>
      <c r="E18" s="61" t="str">
        <f>'Daily Meter'!M15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'9'!E22</f>
        <v xml:space="preserve"> </v>
      </c>
      <c r="E22" s="61" t="str">
        <f>'Daily Meter'!N15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11</v>
      </c>
      <c r="D3" s="42" t="s">
        <v>48</v>
      </c>
      <c r="E3" s="43" t="str">
        <f>'Daily Meter'!O16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'10'!E7</f>
        <v xml:space="preserve"> </v>
      </c>
      <c r="E7" s="61" t="str">
        <f>'Daily Meter'!B16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'10'!E10</f>
        <v xml:space="preserve"> </v>
      </c>
      <c r="E10" s="61" t="str">
        <f>'Daily Meter'!C16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'10'!E13</f>
        <v xml:space="preserve"> </v>
      </c>
      <c r="E13" s="61" t="str">
        <f>'Daily Meter'!H16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'10'!E14</f>
        <v xml:space="preserve"> </v>
      </c>
      <c r="E14" s="61" t="str">
        <f>'Daily Meter'!I16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'10'!E15</f>
        <v xml:space="preserve"> </v>
      </c>
      <c r="E15" s="61" t="str">
        <f>'Daily Meter'!J16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'10'!E16</f>
        <v xml:space="preserve"> </v>
      </c>
      <c r="E16" s="61" t="str">
        <f>'Daily Meter'!K16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'10'!E17</f>
        <v xml:space="preserve"> </v>
      </c>
      <c r="E17" s="61" t="str">
        <f>'Daily Meter'!L16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'10'!E18</f>
        <v xml:space="preserve"> </v>
      </c>
      <c r="E18" s="61" t="str">
        <f>'Daily Meter'!M16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'10'!E22</f>
        <v xml:space="preserve"> </v>
      </c>
      <c r="E22" s="61" t="str">
        <f>'Daily Meter'!N16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12</v>
      </c>
      <c r="D3" s="42" t="s">
        <v>48</v>
      </c>
      <c r="E3" s="43" t="str">
        <f>'Daily Meter'!O17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'11'!E7</f>
        <v xml:space="preserve"> </v>
      </c>
      <c r="E7" s="61" t="str">
        <f>'Daily Meter'!B17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'11'!E10</f>
        <v xml:space="preserve"> </v>
      </c>
      <c r="E10" s="61" t="str">
        <f>'Daily Meter'!C17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'11'!E13</f>
        <v xml:space="preserve"> </v>
      </c>
      <c r="E13" s="61" t="str">
        <f>'Daily Meter'!H17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'11'!E14</f>
        <v xml:space="preserve"> </v>
      </c>
      <c r="E14" s="61" t="str">
        <f>'Daily Meter'!I17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'11'!E15</f>
        <v xml:space="preserve"> </v>
      </c>
      <c r="E15" s="61" t="str">
        <f>'Daily Meter'!J17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'11'!E16</f>
        <v xml:space="preserve"> </v>
      </c>
      <c r="E16" s="61" t="str">
        <f>'Daily Meter'!K17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'11'!E17</f>
        <v xml:space="preserve"> </v>
      </c>
      <c r="E17" s="61" t="str">
        <f>'Daily Meter'!L17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'11'!E18</f>
        <v xml:space="preserve"> </v>
      </c>
      <c r="E18" s="61" t="str">
        <f>'Daily Meter'!M17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'11'!E22</f>
        <v xml:space="preserve"> </v>
      </c>
      <c r="E22" s="61" t="str">
        <f>'Daily Meter'!N17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'12'!E7</f>
        <v xml:space="preserve"> </v>
      </c>
      <c r="E7" s="61" t="str">
        <f>'Daily Meter'!B18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'12'!E10</f>
        <v xml:space="preserve"> </v>
      </c>
      <c r="E10" s="61" t="str">
        <f>'Daily Meter'!C18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'12'!E13</f>
        <v xml:space="preserve"> </v>
      </c>
      <c r="E13" s="61" t="str">
        <f>'Daily Meter'!H18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'12'!E14</f>
        <v xml:space="preserve"> </v>
      </c>
      <c r="E14" s="61" t="str">
        <f>'Daily Meter'!I18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'12'!E15</f>
        <v xml:space="preserve"> </v>
      </c>
      <c r="E15" s="61" t="str">
        <f>'Daily Meter'!J18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'12'!E16</f>
        <v xml:space="preserve"> </v>
      </c>
      <c r="E16" s="61" t="str">
        <f>'Daily Meter'!K18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'12'!E17</f>
        <v xml:space="preserve"> </v>
      </c>
      <c r="E17" s="61" t="str">
        <f>'Daily Meter'!L18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'12'!E18</f>
        <v xml:space="preserve"> </v>
      </c>
      <c r="E18" s="61" t="str">
        <f>'Daily Meter'!M18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'12'!E22</f>
        <v xml:space="preserve"> </v>
      </c>
      <c r="E22" s="61" t="str">
        <f>'Daily Meter'!N18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'13'!E7</f>
        <v xml:space="preserve"> </v>
      </c>
      <c r="E7" s="61" t="str">
        <f>'Daily Meter'!B19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'13'!E10</f>
        <v xml:space="preserve"> 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'13'!E13</f>
        <v xml:space="preserve"> 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'13'!E14</f>
        <v xml:space="preserve"> 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'13'!E15</f>
        <v xml:space="preserve"> 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'13'!E16</f>
        <v xml:space="preserve"> 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'13'!E17</f>
        <v xml:space="preserve"> 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'13'!E18</f>
        <v xml:space="preserve"> 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'13'!E22</f>
        <v xml:space="preserve"> 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297" t="s">
        <v>75</v>
      </c>
      <c r="E26" s="297"/>
      <c r="F26" s="297"/>
      <c r="G26" s="297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295" t="s">
        <v>45</v>
      </c>
      <c r="B1" s="295"/>
      <c r="C1" s="295"/>
      <c r="D1" s="295"/>
      <c r="E1" s="295"/>
      <c r="F1" s="295"/>
      <c r="G1" s="295"/>
      <c r="H1" s="16" t="s">
        <v>46</v>
      </c>
    </row>
    <row r="2" spans="1:8" ht="17.649999999999999">
      <c r="A2" s="296" t="s">
        <v>47</v>
      </c>
      <c r="B2" s="296"/>
      <c r="C2" s="296"/>
      <c r="D2" s="296"/>
      <c r="E2" s="296"/>
      <c r="F2" s="296"/>
      <c r="G2" s="296"/>
    </row>
    <row r="3" spans="1:8" s="44" customFormat="1" ht="17.649999999999999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62.272500000000008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298"/>
      <c r="E5" s="29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297" t="s">
        <v>75</v>
      </c>
      <c r="E26" s="297"/>
      <c r="F26" s="297"/>
      <c r="G26" s="29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44" customWidth="1"/>
    <col min="2" max="2" width="37.59765625" style="44" customWidth="1"/>
    <col min="3" max="3" width="21.59765625" style="44" customWidth="1"/>
    <col min="4" max="4" width="21.1328125" style="44" customWidth="1"/>
    <col min="5" max="5" width="21.59765625" style="44" customWidth="1"/>
    <col min="6" max="6" width="20.86328125" style="107" customWidth="1"/>
    <col min="7" max="8" width="20" style="107" customWidth="1"/>
    <col min="9" max="16384" width="9.1328125" style="44"/>
  </cols>
  <sheetData>
    <row r="1" spans="1:16" ht="15" customHeight="1">
      <c r="A1" s="299" t="s">
        <v>45</v>
      </c>
      <c r="B1" s="299"/>
      <c r="C1" s="299"/>
      <c r="D1" s="299"/>
      <c r="E1" s="299"/>
      <c r="F1" s="299"/>
      <c r="G1" s="299"/>
      <c r="H1" s="108"/>
      <c r="P1" s="16" t="s">
        <v>22</v>
      </c>
    </row>
    <row r="2" spans="1:16" ht="12" customHeight="1">
      <c r="A2" s="299"/>
      <c r="B2" s="299"/>
      <c r="C2" s="299"/>
      <c r="D2" s="299"/>
      <c r="E2" s="299"/>
      <c r="F2" s="299"/>
      <c r="G2" s="299"/>
      <c r="H2" s="108"/>
    </row>
    <row r="3" spans="1:16" ht="17.649999999999999">
      <c r="A3" s="300" t="s">
        <v>47</v>
      </c>
      <c r="B3" s="300"/>
      <c r="C3" s="300"/>
      <c r="D3" s="300"/>
      <c r="E3" s="300"/>
      <c r="F3" s="300"/>
      <c r="G3" s="300"/>
      <c r="H3" s="108"/>
      <c r="P3" s="16" t="s">
        <v>46</v>
      </c>
    </row>
    <row r="4" spans="1:16" ht="17.649999999999999">
      <c r="A4" s="301" t="s">
        <v>87</v>
      </c>
      <c r="B4" s="301"/>
      <c r="C4" s="301"/>
      <c r="D4" s="109" t="s">
        <v>88</v>
      </c>
      <c r="E4" s="110"/>
      <c r="F4" s="111" t="s">
        <v>89</v>
      </c>
      <c r="G4" s="302"/>
      <c r="H4" s="302"/>
    </row>
    <row r="5" spans="1:16" ht="27.75" customHeight="1">
      <c r="A5" s="303" t="s">
        <v>49</v>
      </c>
      <c r="B5" s="304" t="s">
        <v>50</v>
      </c>
      <c r="C5" s="113"/>
      <c r="D5" s="115" t="s">
        <v>90</v>
      </c>
      <c r="E5" s="115" t="s">
        <v>91</v>
      </c>
      <c r="F5" s="305" t="s">
        <v>92</v>
      </c>
      <c r="G5" s="305" t="s">
        <v>93</v>
      </c>
      <c r="H5" s="305" t="s">
        <v>94</v>
      </c>
    </row>
    <row r="6" spans="1:16" ht="24" customHeight="1">
      <c r="A6" s="303"/>
      <c r="B6" s="304"/>
      <c r="C6" s="116"/>
      <c r="D6" s="117" t="s">
        <v>95</v>
      </c>
      <c r="E6" s="117" t="s">
        <v>96</v>
      </c>
      <c r="F6" s="305"/>
      <c r="G6" s="305"/>
      <c r="H6" s="305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06"/>
      <c r="D10" s="306"/>
      <c r="E10" s="306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06"/>
      <c r="D11" s="306"/>
      <c r="E11" s="306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07"/>
      <c r="D12" s="307"/>
      <c r="E12" s="307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07"/>
      <c r="D13" s="307"/>
      <c r="E13" s="307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08"/>
      <c r="C14" s="308"/>
      <c r="D14" s="308"/>
      <c r="E14" s="308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09"/>
      <c r="D15" s="309"/>
      <c r="E15" s="309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0" t="s">
        <v>103</v>
      </c>
      <c r="H16" s="310"/>
    </row>
    <row r="17" spans="1:8" ht="27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06"/>
      <c r="D18" s="306"/>
      <c r="E18" s="306"/>
      <c r="F18" s="142">
        <v>350</v>
      </c>
      <c r="G18" s="143"/>
      <c r="H18" s="137"/>
    </row>
    <row r="19" spans="1:8">
      <c r="A19" s="68"/>
      <c r="B19" s="126" t="s">
        <v>106</v>
      </c>
      <c r="C19" s="306"/>
      <c r="D19" s="306"/>
      <c r="E19" s="306"/>
      <c r="F19" s="142">
        <v>400</v>
      </c>
      <c r="G19" s="143"/>
      <c r="H19" s="137"/>
    </row>
    <row r="20" spans="1:8">
      <c r="A20" s="68"/>
      <c r="B20" s="126" t="s">
        <v>107</v>
      </c>
      <c r="C20" s="306"/>
      <c r="D20" s="306"/>
      <c r="E20" s="306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06"/>
      <c r="D21" s="306"/>
      <c r="E21" s="306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06"/>
      <c r="D22" s="306"/>
      <c r="E22" s="306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1"/>
      <c r="D23" s="311"/>
      <c r="E23" s="311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09"/>
      <c r="D24" s="309"/>
      <c r="E24" s="309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09"/>
      <c r="D31" s="309"/>
      <c r="E31" s="309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06"/>
      <c r="D32" s="306"/>
      <c r="E32" s="306"/>
      <c r="F32" s="128">
        <v>460</v>
      </c>
      <c r="G32" s="153"/>
      <c r="H32" s="137"/>
    </row>
    <row r="33" spans="1:8">
      <c r="A33" s="56"/>
      <c r="B33" s="126" t="s">
        <v>112</v>
      </c>
      <c r="C33" s="306"/>
      <c r="D33" s="306"/>
      <c r="E33" s="306"/>
      <c r="F33" s="128">
        <v>560</v>
      </c>
      <c r="G33" s="153"/>
      <c r="H33" s="137"/>
    </row>
    <row r="34" spans="1:8">
      <c r="A34" s="56"/>
      <c r="B34" s="126" t="s">
        <v>113</v>
      </c>
      <c r="C34" s="306"/>
      <c r="D34" s="306"/>
      <c r="E34" s="306"/>
      <c r="F34" s="128">
        <v>640</v>
      </c>
      <c r="G34" s="153"/>
      <c r="H34" s="137"/>
    </row>
    <row r="35" spans="1:8">
      <c r="A35" s="56"/>
      <c r="B35" s="126" t="s">
        <v>114</v>
      </c>
      <c r="C35" s="306"/>
      <c r="D35" s="306"/>
      <c r="E35" s="306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06"/>
      <c r="D36" s="306"/>
      <c r="E36" s="306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12"/>
      <c r="D37" s="312"/>
      <c r="E37" s="312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13"/>
      <c r="D39" s="313"/>
      <c r="E39" s="313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12"/>
      <c r="D42" s="312"/>
      <c r="E42" s="312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14" t="s">
        <v>75</v>
      </c>
      <c r="C44" s="314"/>
      <c r="D44" s="314"/>
      <c r="E44" s="314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44" customWidth="1"/>
    <col min="2" max="2" width="38.265625" style="44" customWidth="1"/>
    <col min="3" max="3" width="21.59765625" style="44" customWidth="1"/>
    <col min="4" max="4" width="20.1328125" style="44" customWidth="1"/>
    <col min="5" max="5" width="20.265625" style="44" customWidth="1"/>
    <col min="6" max="6" width="21.265625" style="107" customWidth="1"/>
    <col min="7" max="7" width="20" style="107" customWidth="1"/>
    <col min="8" max="10" width="9.1328125" style="44"/>
    <col min="11" max="16" width="10.59765625" style="44" customWidth="1"/>
    <col min="17" max="16384" width="9.1328125" style="44"/>
  </cols>
  <sheetData>
    <row r="1" spans="1:14" ht="15" customHeight="1">
      <c r="A1" s="316" t="s">
        <v>45</v>
      </c>
      <c r="B1" s="316"/>
      <c r="C1" s="316"/>
      <c r="D1" s="316"/>
      <c r="E1" s="316"/>
      <c r="F1" s="316"/>
      <c r="G1" s="316"/>
    </row>
    <row r="2" spans="1:14" ht="10.5" customHeight="1">
      <c r="A2" s="316"/>
      <c r="B2" s="316"/>
      <c r="C2" s="316"/>
      <c r="D2" s="316"/>
      <c r="E2" s="316"/>
      <c r="F2" s="316"/>
      <c r="G2" s="316"/>
    </row>
    <row r="3" spans="1:14" ht="21.75" customHeight="1">
      <c r="A3" s="317" t="s">
        <v>47</v>
      </c>
      <c r="B3" s="317"/>
      <c r="C3" s="317"/>
      <c r="D3" s="317"/>
      <c r="E3" s="317"/>
      <c r="F3" s="317"/>
      <c r="G3" s="317"/>
    </row>
    <row r="4" spans="1:14" ht="35.25">
      <c r="A4" s="318" t="s">
        <v>123</v>
      </c>
      <c r="B4" s="318"/>
      <c r="C4" s="168" t="s">
        <v>124</v>
      </c>
      <c r="D4" s="112"/>
      <c r="E4" s="169" t="s">
        <v>88</v>
      </c>
      <c r="F4" s="319"/>
      <c r="G4" s="319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0" t="s">
        <v>125</v>
      </c>
      <c r="G5" s="321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0"/>
      <c r="G6" s="321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7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15" t="s">
        <v>75</v>
      </c>
      <c r="C44" s="315"/>
      <c r="D44" s="315"/>
      <c r="E44" s="315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7" customWidth="1"/>
    <col min="2" max="32" width="16.73046875" style="218" customWidth="1"/>
    <col min="33" max="35" width="9.1328125" style="218"/>
    <col min="36" max="36" width="24.73046875" style="218" customWidth="1"/>
    <col min="37" max="16384" width="9.13281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22"/>
      <c r="B4" s="322"/>
      <c r="C4" s="322"/>
      <c r="D4" s="322"/>
      <c r="E4" s="322"/>
      <c r="F4" s="322"/>
      <c r="G4" s="322"/>
      <c r="H4" s="322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22"/>
      <c r="B15" s="322"/>
      <c r="C15" s="322"/>
      <c r="D15" s="322"/>
      <c r="E15" s="322"/>
      <c r="F15" s="322"/>
      <c r="G15" s="322"/>
      <c r="H15" s="322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2.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22"/>
      <c r="B18" s="322"/>
      <c r="C18" s="322"/>
      <c r="D18" s="322"/>
      <c r="E18" s="322"/>
      <c r="F18" s="322"/>
      <c r="G18" s="322"/>
      <c r="H18" s="322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2.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3046875" defaultRowHeight="52.5"/>
  <cols>
    <col min="1" max="1" width="35.86328125" style="236" customWidth="1"/>
    <col min="2" max="16384" width="35.730468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3046875" defaultRowHeight="52.5"/>
  <cols>
    <col min="1" max="4" width="35.73046875" style="236"/>
    <col min="5" max="5" width="32.86328125" style="236" customWidth="1"/>
    <col min="6" max="6" width="35.73046875" style="236"/>
    <col min="7" max="7" width="6.73046875" style="236" customWidth="1"/>
    <col min="8" max="16384" width="35.730468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24"/>
      <c r="G1" s="324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25" t="s">
        <v>158</v>
      </c>
      <c r="G2" s="325"/>
      <c r="H2" s="266"/>
    </row>
    <row r="3" spans="1:12" ht="69.75" customHeight="1">
      <c r="A3" s="265"/>
      <c r="B3" s="249"/>
      <c r="C3" s="244"/>
      <c r="E3" s="267" t="s">
        <v>159</v>
      </c>
      <c r="F3" s="326">
        <v>1292977.78</v>
      </c>
      <c r="G3" s="326"/>
      <c r="H3" s="268"/>
    </row>
    <row r="4" spans="1:12" ht="69.75" customHeight="1">
      <c r="A4" s="265"/>
      <c r="B4" s="269"/>
      <c r="C4" s="244"/>
      <c r="E4" s="270" t="s">
        <v>160</v>
      </c>
      <c r="F4" s="323">
        <v>553296</v>
      </c>
      <c r="G4" s="323"/>
      <c r="H4" s="268"/>
    </row>
    <row r="5" spans="1:12" ht="69.75" customHeight="1">
      <c r="A5" s="265"/>
      <c r="B5" s="271"/>
      <c r="C5" s="244"/>
      <c r="E5" s="270" t="s">
        <v>161</v>
      </c>
      <c r="F5" s="323">
        <v>528379</v>
      </c>
      <c r="G5" s="323"/>
      <c r="H5" s="268"/>
    </row>
    <row r="6" spans="1:12" ht="69.75" customHeight="1">
      <c r="A6" s="265"/>
      <c r="B6" s="271"/>
      <c r="C6" s="244"/>
      <c r="E6" s="270" t="s">
        <v>162</v>
      </c>
      <c r="F6" s="323">
        <v>13436.55</v>
      </c>
      <c r="G6" s="323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2024-02-05T16:19:07Z</dcterms:modified>
  <dc:language>en-IN</dc:language>
</cp:coreProperties>
</file>