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0" documentId="8_{0F7FDDD8-37E3-43F4-BE31-EB20BA27089F}" xr6:coauthVersionLast="47" xr6:coauthVersionMax="47" xr10:uidLastSave="{00000000-0000-0000-0000-000000000000}"/>
  <bookViews>
    <workbookView xWindow="-120" yWindow="-120" windowWidth="20730" windowHeight="11160" firstSheet="4" xr2:uid="{00000000-000D-0000-FFFF-FFFF00000000}"/>
  </bookViews>
  <sheets>
    <sheet name="TOTAL" sheetId="6" r:id="rId1"/>
    <sheet name="B16" sheetId="8" r:id="rId2"/>
    <sheet name="B16 ext" sheetId="9" r:id="rId3"/>
    <sheet name="B17" sheetId="10" r:id="rId4"/>
    <sheet name="Water Reading" sheetId="1" r:id="rId5"/>
    <sheet name="Diesel Reading " sheetId="7" r:id="rId6"/>
  </sheets>
  <externalReferences>
    <externalReference r:id="rId7"/>
  </externalReferenc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6" l="1"/>
  <c r="J36" i="7"/>
  <c r="I32" i="6"/>
  <c r="C34" i="9"/>
  <c r="C33" i="9"/>
  <c r="C32" i="9"/>
  <c r="H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H35" i="7"/>
  <c r="G32" i="6"/>
  <c r="G7" i="6"/>
  <c r="H4" i="7"/>
  <c r="G3" i="6"/>
  <c r="G2" i="6"/>
  <c r="H16" i="7"/>
  <c r="H15" i="7"/>
  <c r="G6" i="6"/>
  <c r="G5" i="6"/>
  <c r="G4" i="6"/>
  <c r="H10" i="7"/>
  <c r="L4" i="8"/>
  <c r="E2" i="6"/>
  <c r="H4" i="6"/>
  <c r="H25" i="7"/>
  <c r="H29" i="7"/>
  <c r="H31" i="7"/>
  <c r="H33" i="7"/>
  <c r="H34" i="7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4" i="1"/>
  <c r="L5" i="10"/>
  <c r="L6" i="10"/>
  <c r="L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L22" i="10"/>
  <c r="L4" i="10"/>
  <c r="L5" i="9"/>
  <c r="L6" i="9"/>
  <c r="L7" i="9"/>
  <c r="L8" i="9"/>
  <c r="L9" i="9"/>
  <c r="L10" i="9"/>
  <c r="L11" i="9"/>
  <c r="L12" i="9"/>
  <c r="L13" i="9"/>
  <c r="L14" i="9"/>
  <c r="L15" i="9"/>
  <c r="L16" i="9"/>
  <c r="L17" i="9"/>
  <c r="L18" i="9"/>
  <c r="L19" i="9"/>
  <c r="L20" i="9"/>
  <c r="L21" i="9"/>
  <c r="L22" i="9"/>
  <c r="L34" i="9"/>
  <c r="L4" i="9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34" i="8"/>
  <c r="E14" i="7"/>
  <c r="I34" i="7"/>
  <c r="E34" i="7"/>
  <c r="E33" i="7"/>
  <c r="E31" i="7"/>
  <c r="E30" i="7"/>
  <c r="C26" i="8"/>
  <c r="C27" i="8"/>
  <c r="H24" i="7"/>
  <c r="H19" i="7"/>
  <c r="H20" i="7"/>
  <c r="H21" i="7"/>
  <c r="I10" i="7"/>
  <c r="E9" i="7"/>
  <c r="E10" i="7"/>
  <c r="H9" i="7"/>
  <c r="I9" i="7"/>
  <c r="C27" i="10"/>
  <c r="C25" i="10"/>
  <c r="C24" i="10"/>
  <c r="E15" i="9"/>
  <c r="E14" i="9"/>
  <c r="I33" i="7"/>
  <c r="C11" i="1"/>
  <c r="H11" i="7"/>
  <c r="H12" i="7"/>
  <c r="H13" i="7"/>
  <c r="H14" i="7"/>
  <c r="H17" i="7"/>
  <c r="E34" i="1"/>
  <c r="C34" i="1"/>
  <c r="L34" i="1" s="1"/>
  <c r="I34" i="1"/>
  <c r="E33" i="1"/>
  <c r="C33" i="1"/>
  <c r="L33" i="1"/>
  <c r="I31" i="6"/>
  <c r="I33" i="1"/>
  <c r="E32" i="1"/>
  <c r="C32" i="1"/>
  <c r="L32" i="1"/>
  <c r="I30" i="6"/>
  <c r="I32" i="1"/>
  <c r="E31" i="1"/>
  <c r="C31" i="1"/>
  <c r="L31" i="1"/>
  <c r="I29" i="6"/>
  <c r="I31" i="1"/>
  <c r="E30" i="1"/>
  <c r="C30" i="1"/>
  <c r="L30" i="1"/>
  <c r="I28" i="6"/>
  <c r="I30" i="1"/>
  <c r="E29" i="1"/>
  <c r="C29" i="1"/>
  <c r="L29" i="1"/>
  <c r="I27" i="6"/>
  <c r="I29" i="1"/>
  <c r="E28" i="1"/>
  <c r="C28" i="1"/>
  <c r="L28" i="1"/>
  <c r="I26" i="6"/>
  <c r="I28" i="1"/>
  <c r="E27" i="1"/>
  <c r="C27" i="1"/>
  <c r="L27" i="1"/>
  <c r="I25" i="6"/>
  <c r="I27" i="1"/>
  <c r="E26" i="1"/>
  <c r="C26" i="1"/>
  <c r="L26" i="1"/>
  <c r="I24" i="6"/>
  <c r="I26" i="1"/>
  <c r="E25" i="1"/>
  <c r="C25" i="1"/>
  <c r="L25" i="1"/>
  <c r="I23" i="6"/>
  <c r="I25" i="1"/>
  <c r="E24" i="1"/>
  <c r="C24" i="1"/>
  <c r="L24" i="1"/>
  <c r="I22" i="6"/>
  <c r="I24" i="1"/>
  <c r="E23" i="1"/>
  <c r="C23" i="1"/>
  <c r="L23" i="1"/>
  <c r="I21" i="6"/>
  <c r="I23" i="1"/>
  <c r="E22" i="1"/>
  <c r="C22" i="1"/>
  <c r="I22" i="1"/>
  <c r="E21" i="1"/>
  <c r="C21" i="1"/>
  <c r="I21" i="1"/>
  <c r="E20" i="1"/>
  <c r="C20" i="1"/>
  <c r="I20" i="1"/>
  <c r="E19" i="1"/>
  <c r="C19" i="1"/>
  <c r="I19" i="1"/>
  <c r="E18" i="1"/>
  <c r="C18" i="1"/>
  <c r="I18" i="1"/>
  <c r="E17" i="1"/>
  <c r="C17" i="1"/>
  <c r="I17" i="1"/>
  <c r="E16" i="1"/>
  <c r="C16" i="1"/>
  <c r="I16" i="1"/>
  <c r="E15" i="1"/>
  <c r="C15" i="1"/>
  <c r="I15" i="1"/>
  <c r="E14" i="1"/>
  <c r="C14" i="1"/>
  <c r="I14" i="1"/>
  <c r="E13" i="1"/>
  <c r="C13" i="1"/>
  <c r="I13" i="1"/>
  <c r="E12" i="1"/>
  <c r="C12" i="1"/>
  <c r="I12" i="1"/>
  <c r="E11" i="1"/>
  <c r="I11" i="1"/>
  <c r="E10" i="1"/>
  <c r="C10" i="1"/>
  <c r="I10" i="1"/>
  <c r="E9" i="1"/>
  <c r="C9" i="1"/>
  <c r="I9" i="1"/>
  <c r="E8" i="1"/>
  <c r="C8" i="1"/>
  <c r="I8" i="1"/>
  <c r="E7" i="1"/>
  <c r="C7" i="1"/>
  <c r="I7" i="1"/>
  <c r="E6" i="1"/>
  <c r="C6" i="1"/>
  <c r="I6" i="1"/>
  <c r="E5" i="1"/>
  <c r="C5" i="1"/>
  <c r="I5" i="1"/>
  <c r="E4" i="1"/>
  <c r="C4" i="1"/>
  <c r="A37" i="8"/>
  <c r="F36" i="8"/>
  <c r="J35" i="8"/>
  <c r="I35" i="8"/>
  <c r="J34" i="8"/>
  <c r="I34" i="8"/>
  <c r="E33" i="8"/>
  <c r="C33" i="8"/>
  <c r="L33" i="8"/>
  <c r="J33" i="8"/>
  <c r="E32" i="8"/>
  <c r="C32" i="8"/>
  <c r="L32" i="8"/>
  <c r="J32" i="8"/>
  <c r="E31" i="8"/>
  <c r="C31" i="8"/>
  <c r="L31" i="8"/>
  <c r="J31" i="8"/>
  <c r="E30" i="8"/>
  <c r="C30" i="8"/>
  <c r="L30" i="8"/>
  <c r="J30" i="8"/>
  <c r="E29" i="8"/>
  <c r="C29" i="8"/>
  <c r="L29" i="8"/>
  <c r="J29" i="8"/>
  <c r="E28" i="8"/>
  <c r="C28" i="8"/>
  <c r="L28" i="8"/>
  <c r="J28" i="8"/>
  <c r="E27" i="8"/>
  <c r="J27" i="8"/>
  <c r="E26" i="8"/>
  <c r="J26" i="8"/>
  <c r="E25" i="8"/>
  <c r="C25" i="8"/>
  <c r="L25" i="8"/>
  <c r="J25" i="8"/>
  <c r="E24" i="8"/>
  <c r="C24" i="8"/>
  <c r="L24" i="8"/>
  <c r="J24" i="8"/>
  <c r="E23" i="8"/>
  <c r="C23" i="8"/>
  <c r="L23" i="8"/>
  <c r="J23" i="8"/>
  <c r="E22" i="8"/>
  <c r="C22" i="8"/>
  <c r="J22" i="8"/>
  <c r="E21" i="8"/>
  <c r="C21" i="8"/>
  <c r="J21" i="8"/>
  <c r="E20" i="8"/>
  <c r="C20" i="8"/>
  <c r="J20" i="8"/>
  <c r="E19" i="8"/>
  <c r="C19" i="8"/>
  <c r="J19" i="8"/>
  <c r="E18" i="8"/>
  <c r="C18" i="8"/>
  <c r="J18" i="8"/>
  <c r="E17" i="8"/>
  <c r="C17" i="8"/>
  <c r="J17" i="8"/>
  <c r="E16" i="8"/>
  <c r="C16" i="8"/>
  <c r="J16" i="8"/>
  <c r="E15" i="8"/>
  <c r="C15" i="8"/>
  <c r="J15" i="8"/>
  <c r="E14" i="8"/>
  <c r="C14" i="8"/>
  <c r="J14" i="8"/>
  <c r="E13" i="8"/>
  <c r="C13" i="8"/>
  <c r="J13" i="8"/>
  <c r="E12" i="8"/>
  <c r="C12" i="8"/>
  <c r="J12" i="8"/>
  <c r="E11" i="8"/>
  <c r="C11" i="8"/>
  <c r="J11" i="8"/>
  <c r="E10" i="8"/>
  <c r="C10" i="8"/>
  <c r="J10" i="8"/>
  <c r="E9" i="8"/>
  <c r="C9" i="8"/>
  <c r="J9" i="8"/>
  <c r="E8" i="8"/>
  <c r="C8" i="8"/>
  <c r="J8" i="8"/>
  <c r="E7" i="8"/>
  <c r="C7" i="8"/>
  <c r="J7" i="8"/>
  <c r="E6" i="8"/>
  <c r="C6" i="8"/>
  <c r="J6" i="8"/>
  <c r="E5" i="8"/>
  <c r="C5" i="8"/>
  <c r="J5" i="8"/>
  <c r="E4" i="8"/>
  <c r="C4" i="8"/>
  <c r="A37" i="9"/>
  <c r="F36" i="9"/>
  <c r="J35" i="9"/>
  <c r="I35" i="9"/>
  <c r="J34" i="9"/>
  <c r="I34" i="9"/>
  <c r="E33" i="9"/>
  <c r="L33" i="9"/>
  <c r="J33" i="9"/>
  <c r="E32" i="9"/>
  <c r="L32" i="9"/>
  <c r="J32" i="9"/>
  <c r="E31" i="9"/>
  <c r="C31" i="9"/>
  <c r="L31" i="9"/>
  <c r="J31" i="9"/>
  <c r="E30" i="9"/>
  <c r="C30" i="9"/>
  <c r="L30" i="9"/>
  <c r="J30" i="9"/>
  <c r="E29" i="9"/>
  <c r="C29" i="9"/>
  <c r="L29" i="9"/>
  <c r="J29" i="9"/>
  <c r="E28" i="9"/>
  <c r="C28" i="9"/>
  <c r="L28" i="9"/>
  <c r="J28" i="9"/>
  <c r="E27" i="9"/>
  <c r="C27" i="9"/>
  <c r="L27" i="9"/>
  <c r="J27" i="9"/>
  <c r="E26" i="9"/>
  <c r="C26" i="9"/>
  <c r="L26" i="9"/>
  <c r="J26" i="9"/>
  <c r="E25" i="9"/>
  <c r="C25" i="9"/>
  <c r="L25" i="9"/>
  <c r="J25" i="9"/>
  <c r="E24" i="9"/>
  <c r="C24" i="9"/>
  <c r="L24" i="9"/>
  <c r="J24" i="9"/>
  <c r="E23" i="9"/>
  <c r="C23" i="9"/>
  <c r="L23" i="9"/>
  <c r="J23" i="9"/>
  <c r="E22" i="9"/>
  <c r="C22" i="9"/>
  <c r="J22" i="9"/>
  <c r="E21" i="9"/>
  <c r="C21" i="9"/>
  <c r="J21" i="9"/>
  <c r="E20" i="9"/>
  <c r="C20" i="9"/>
  <c r="J20" i="9"/>
  <c r="E19" i="9"/>
  <c r="C19" i="9"/>
  <c r="J19" i="9"/>
  <c r="E18" i="9"/>
  <c r="C18" i="9"/>
  <c r="J18" i="9"/>
  <c r="E17" i="9"/>
  <c r="C17" i="9"/>
  <c r="J17" i="9"/>
  <c r="E16" i="9"/>
  <c r="C16" i="9"/>
  <c r="J16" i="9"/>
  <c r="C15" i="9"/>
  <c r="J15" i="9"/>
  <c r="C14" i="9"/>
  <c r="J14" i="9"/>
  <c r="E13" i="9"/>
  <c r="C13" i="9"/>
  <c r="J13" i="9"/>
  <c r="E12" i="9"/>
  <c r="C12" i="9"/>
  <c r="J12" i="9"/>
  <c r="E11" i="9"/>
  <c r="C11" i="9"/>
  <c r="J11" i="9"/>
  <c r="E10" i="9"/>
  <c r="C10" i="9"/>
  <c r="J10" i="9"/>
  <c r="E9" i="9"/>
  <c r="C9" i="9"/>
  <c r="J9" i="9"/>
  <c r="E8" i="9"/>
  <c r="C8" i="9"/>
  <c r="J8" i="9"/>
  <c r="E7" i="9"/>
  <c r="C7" i="9"/>
  <c r="J7" i="9"/>
  <c r="E6" i="9"/>
  <c r="C6" i="9"/>
  <c r="J6" i="9"/>
  <c r="E5" i="9"/>
  <c r="C5" i="9"/>
  <c r="J5" i="9"/>
  <c r="E4" i="9"/>
  <c r="C4" i="9"/>
  <c r="A37" i="10"/>
  <c r="F36" i="10"/>
  <c r="J35" i="10"/>
  <c r="I35" i="10"/>
  <c r="E34" i="10"/>
  <c r="C34" i="10"/>
  <c r="L34" i="10" s="1"/>
  <c r="J34" i="10"/>
  <c r="E33" i="10"/>
  <c r="C33" i="10"/>
  <c r="L33" i="10"/>
  <c r="J33" i="10"/>
  <c r="E32" i="10"/>
  <c r="C32" i="10"/>
  <c r="L32" i="10"/>
  <c r="J32" i="10"/>
  <c r="E31" i="10"/>
  <c r="C31" i="10"/>
  <c r="L31" i="10"/>
  <c r="J31" i="10"/>
  <c r="E30" i="10"/>
  <c r="C30" i="10"/>
  <c r="L30" i="10"/>
  <c r="J30" i="10"/>
  <c r="E29" i="10"/>
  <c r="C29" i="10"/>
  <c r="L29" i="10"/>
  <c r="J29" i="10"/>
  <c r="E28" i="10"/>
  <c r="C28" i="10"/>
  <c r="L28" i="10"/>
  <c r="J28" i="10"/>
  <c r="E27" i="10"/>
  <c r="J27" i="10"/>
  <c r="E26" i="10"/>
  <c r="C26" i="10"/>
  <c r="L26" i="10"/>
  <c r="J26" i="10"/>
  <c r="E25" i="10"/>
  <c r="J25" i="10"/>
  <c r="E24" i="10"/>
  <c r="J24" i="10"/>
  <c r="E23" i="10"/>
  <c r="C23" i="10"/>
  <c r="L23" i="10"/>
  <c r="J23" i="10"/>
  <c r="E22" i="10"/>
  <c r="C22" i="10"/>
  <c r="J22" i="10"/>
  <c r="E21" i="10"/>
  <c r="C21" i="10"/>
  <c r="J21" i="10"/>
  <c r="E20" i="10"/>
  <c r="C20" i="10"/>
  <c r="J20" i="10"/>
  <c r="E19" i="10"/>
  <c r="C19" i="10"/>
  <c r="J19" i="10"/>
  <c r="E18" i="10"/>
  <c r="C18" i="10"/>
  <c r="J18" i="10"/>
  <c r="E17" i="10"/>
  <c r="C17" i="10"/>
  <c r="J17" i="10"/>
  <c r="E16" i="10"/>
  <c r="C16" i="10"/>
  <c r="J16" i="10"/>
  <c r="E15" i="10"/>
  <c r="C15" i="10"/>
  <c r="J15" i="10"/>
  <c r="E14" i="10"/>
  <c r="C14" i="10"/>
  <c r="J14" i="10"/>
  <c r="E13" i="10"/>
  <c r="C13" i="10"/>
  <c r="J13" i="10"/>
  <c r="E12" i="10"/>
  <c r="C12" i="10"/>
  <c r="J12" i="10"/>
  <c r="E11" i="10"/>
  <c r="C11" i="10"/>
  <c r="J11" i="10"/>
  <c r="E10" i="10"/>
  <c r="C10" i="10"/>
  <c r="J10" i="10"/>
  <c r="E9" i="10"/>
  <c r="C9" i="10"/>
  <c r="J9" i="10"/>
  <c r="E8" i="10"/>
  <c r="C8" i="10"/>
  <c r="J8" i="10"/>
  <c r="E7" i="10"/>
  <c r="C7" i="10"/>
  <c r="J7" i="10"/>
  <c r="E6" i="10"/>
  <c r="C6" i="10"/>
  <c r="J6" i="10"/>
  <c r="E5" i="10"/>
  <c r="C5" i="10"/>
  <c r="J5" i="10"/>
  <c r="E4" i="10"/>
  <c r="C4" i="10"/>
  <c r="H6" i="7"/>
  <c r="H7" i="7"/>
  <c r="H8" i="7"/>
  <c r="I6" i="7"/>
  <c r="I7" i="7"/>
  <c r="I8" i="7"/>
  <c r="I11" i="7"/>
  <c r="I12" i="7"/>
  <c r="I13" i="7"/>
  <c r="I14" i="7"/>
  <c r="I15" i="7"/>
  <c r="I16" i="7"/>
  <c r="I17" i="7"/>
  <c r="I35" i="7"/>
  <c r="E35" i="7"/>
  <c r="H32" i="7"/>
  <c r="I32" i="7"/>
  <c r="E32" i="7"/>
  <c r="I31" i="7"/>
  <c r="H30" i="7"/>
  <c r="I30" i="7"/>
  <c r="I29" i="7"/>
  <c r="E29" i="7"/>
  <c r="H28" i="7"/>
  <c r="I28" i="7"/>
  <c r="E28" i="7"/>
  <c r="H27" i="7"/>
  <c r="I27" i="7"/>
  <c r="E27" i="7"/>
  <c r="H26" i="7"/>
  <c r="I26" i="7"/>
  <c r="E26" i="7"/>
  <c r="I25" i="7"/>
  <c r="E25" i="7"/>
  <c r="I24" i="7"/>
  <c r="E24" i="7"/>
  <c r="H23" i="7"/>
  <c r="I23" i="7"/>
  <c r="E23" i="7"/>
  <c r="H22" i="7"/>
  <c r="I22" i="7"/>
  <c r="E22" i="7"/>
  <c r="I21" i="7"/>
  <c r="E21" i="7"/>
  <c r="I20" i="7"/>
  <c r="E20" i="7"/>
  <c r="I19" i="7"/>
  <c r="E19" i="7"/>
  <c r="H18" i="7"/>
  <c r="I18" i="7"/>
  <c r="E18" i="7"/>
  <c r="E17" i="7"/>
  <c r="E16" i="7"/>
  <c r="E15" i="7"/>
  <c r="E13" i="7"/>
  <c r="E12" i="7"/>
  <c r="E11" i="7"/>
  <c r="E8" i="7"/>
  <c r="E7" i="7"/>
  <c r="E6" i="7"/>
  <c r="H5" i="7"/>
  <c r="I5" i="7"/>
  <c r="E5" i="7"/>
  <c r="H36" i="7"/>
  <c r="E4" i="7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1" i="6"/>
  <c r="H10" i="6"/>
  <c r="H9" i="6"/>
  <c r="H6" i="6"/>
  <c r="H5" i="6"/>
  <c r="H3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H12" i="6"/>
  <c r="H8" i="6"/>
  <c r="C35" i="1"/>
  <c r="I4" i="1"/>
  <c r="E35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C37" i="8"/>
  <c r="C36" i="8"/>
  <c r="J4" i="8"/>
  <c r="E36" i="8"/>
  <c r="I36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C36" i="9"/>
  <c r="J4" i="9"/>
  <c r="E36" i="9"/>
  <c r="I36" i="9"/>
  <c r="I4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C36" i="10"/>
  <c r="J4" i="10"/>
  <c r="E36" i="10"/>
  <c r="I36" i="10"/>
  <c r="I4" i="10"/>
  <c r="I5" i="10"/>
  <c r="F3" i="6"/>
  <c r="I6" i="10"/>
  <c r="F4" i="6"/>
  <c r="I7" i="10"/>
  <c r="F5" i="6"/>
  <c r="I8" i="10"/>
  <c r="F6" i="6"/>
  <c r="I9" i="10"/>
  <c r="F7" i="6"/>
  <c r="I10" i="10"/>
  <c r="F8" i="6"/>
  <c r="I11" i="10"/>
  <c r="F9" i="6"/>
  <c r="I12" i="10"/>
  <c r="F10" i="6"/>
  <c r="I13" i="10"/>
  <c r="F11" i="6"/>
  <c r="I14" i="10"/>
  <c r="F12" i="6"/>
  <c r="I15" i="10"/>
  <c r="F13" i="6"/>
  <c r="I16" i="10"/>
  <c r="F14" i="6"/>
  <c r="I17" i="10"/>
  <c r="F15" i="6"/>
  <c r="I18" i="10"/>
  <c r="F16" i="6"/>
  <c r="I19" i="10"/>
  <c r="F17" i="6"/>
  <c r="I20" i="10"/>
  <c r="F18" i="6"/>
  <c r="I21" i="10"/>
  <c r="F19" i="6"/>
  <c r="I22" i="10"/>
  <c r="F20" i="6"/>
  <c r="I23" i="10"/>
  <c r="I24" i="10"/>
  <c r="I25" i="10"/>
  <c r="I26" i="10"/>
  <c r="I27" i="10"/>
  <c r="I28" i="10"/>
  <c r="I29" i="10"/>
  <c r="I30" i="10"/>
  <c r="I31" i="10"/>
  <c r="I32" i="10"/>
  <c r="I33" i="10"/>
  <c r="I34" i="10"/>
  <c r="J32" i="6"/>
  <c r="J31" i="6"/>
  <c r="J30" i="6"/>
  <c r="J29" i="6"/>
  <c r="J28" i="6"/>
  <c r="J27" i="6"/>
  <c r="J26" i="6"/>
  <c r="J25" i="6"/>
  <c r="J24" i="6"/>
  <c r="J23" i="6"/>
  <c r="J22" i="6"/>
  <c r="J21" i="6"/>
  <c r="J20" i="6"/>
  <c r="J19" i="6"/>
  <c r="J18" i="6"/>
  <c r="J17" i="6"/>
  <c r="J16" i="6"/>
  <c r="J15" i="6"/>
  <c r="J14" i="6"/>
  <c r="J13" i="6"/>
  <c r="J12" i="6"/>
  <c r="J11" i="6"/>
  <c r="J10" i="6"/>
  <c r="J9" i="6"/>
  <c r="J8" i="6"/>
  <c r="J7" i="6"/>
  <c r="J6" i="6"/>
  <c r="J5" i="6"/>
  <c r="J4" i="6"/>
  <c r="J3" i="6"/>
  <c r="H35" i="1"/>
  <c r="I35" i="1"/>
  <c r="J2" i="6"/>
  <c r="J36" i="8"/>
  <c r="J36" i="9"/>
  <c r="F2" i="6"/>
  <c r="J36" i="10"/>
  <c r="I4" i="7"/>
  <c r="I36" i="7"/>
  <c r="H32" i="6"/>
  <c r="E28" i="6"/>
  <c r="F28" i="6"/>
  <c r="E27" i="6"/>
  <c r="F27" i="6"/>
  <c r="E26" i="6"/>
  <c r="F26" i="6"/>
  <c r="L27" i="10"/>
  <c r="L25" i="10"/>
  <c r="L24" i="10"/>
  <c r="E23" i="6"/>
  <c r="F23" i="6"/>
  <c r="E21" i="6"/>
  <c r="F21" i="6"/>
  <c r="E22" i="6"/>
  <c r="F22" i="6"/>
  <c r="L27" i="8"/>
  <c r="E25" i="6"/>
  <c r="F25" i="6"/>
  <c r="L26" i="8"/>
  <c r="E24" i="6"/>
  <c r="F24" i="6"/>
  <c r="E31" i="6"/>
  <c r="F31" i="6"/>
  <c r="E30" i="6"/>
  <c r="F30" i="6"/>
  <c r="E29" i="6"/>
  <c r="F29" i="6"/>
  <c r="E32" i="6" l="1"/>
  <c r="F32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tc={258A1C81-8228-4B13-9778-A9262B24DED1}</author>
  </authors>
  <commentList>
    <comment ref="C4" authorId="0" shapeId="0" xr:uid="{258A1C81-8228-4B13-9778-A9262B24DED1}">
      <text>
        <t>[Threaded comment]
Your version of Excel allows you to read this threaded comment; however, any edits to it will get removed if the file is opened in a newer version of Excel. Learn more: https://go.microsoft.com/fwlink/?linkid=870924
Comment:
    Pipe leaks repair</t>
      </text>
    </comment>
  </commentList>
</comments>
</file>

<file path=xl/sharedStrings.xml><?xml version="1.0" encoding="utf-8"?>
<sst xmlns="http://schemas.openxmlformats.org/spreadsheetml/2006/main" count="302" uniqueCount="73">
  <si>
    <t>Site Name</t>
  </si>
  <si>
    <t>Day</t>
  </si>
  <si>
    <t>Month</t>
  </si>
  <si>
    <t>Year</t>
  </si>
  <si>
    <t>Total Electricity Kwh</t>
  </si>
  <si>
    <t>Electricity Tariff ($/Kwh)</t>
  </si>
  <si>
    <t xml:space="preserve">Total Fuel Oil  (Liters) </t>
  </si>
  <si>
    <t>Fuel Oil  $/Liter</t>
  </si>
  <si>
    <t>Water Utility Supply (m3) m3</t>
  </si>
  <si>
    <t>Water Utility Supply (m3) $/m3</t>
  </si>
  <si>
    <t xml:space="preserve">Room Nights </t>
  </si>
  <si>
    <t>Food Covers</t>
  </si>
  <si>
    <t>Langkawi</t>
  </si>
  <si>
    <t>Daily Electricity Consumption</t>
  </si>
  <si>
    <t>Meter Reading (kWh)</t>
  </si>
  <si>
    <t>Consumption (kWh)</t>
  </si>
  <si>
    <t>MD (kW)</t>
  </si>
  <si>
    <t>Occupancy</t>
  </si>
  <si>
    <t>Weather</t>
  </si>
  <si>
    <t>Total Consumption</t>
  </si>
  <si>
    <t>Cost</t>
  </si>
  <si>
    <t>(Peak)</t>
  </si>
  <si>
    <t>(Off Peak)</t>
  </si>
  <si>
    <t>%</t>
  </si>
  <si>
    <t>Daily (KWh)</t>
  </si>
  <si>
    <t>Daily (RM)</t>
  </si>
  <si>
    <t>CLEAR</t>
  </si>
  <si>
    <t>Total</t>
  </si>
  <si>
    <t>PLEASE MAKE SURE TO KEY IN THE OCCUPANCY AND WEATHER FOR THE DAY!</t>
  </si>
  <si>
    <t>f</t>
  </si>
  <si>
    <t>Rain</t>
  </si>
  <si>
    <t>Hot</t>
  </si>
  <si>
    <t>Cloudy</t>
  </si>
  <si>
    <t>Daily Water Consumption</t>
  </si>
  <si>
    <t>Meter Reading (Main)</t>
  </si>
  <si>
    <t>Consumption</t>
  </si>
  <si>
    <t>Meter Reading Landscape</t>
  </si>
  <si>
    <t>Remarks</t>
  </si>
  <si>
    <t>(m3)</t>
  </si>
  <si>
    <t>Pipe leaks repair</t>
  </si>
  <si>
    <t>Daily Diesel Consumption</t>
  </si>
  <si>
    <t>BOILER</t>
  </si>
  <si>
    <t>TIME</t>
  </si>
  <si>
    <t>TOTAL</t>
  </si>
  <si>
    <t>Meter Reading</t>
  </si>
  <si>
    <t>Diesel in/Litre</t>
  </si>
  <si>
    <t>NO</t>
  </si>
  <si>
    <t>START</t>
  </si>
  <si>
    <t>STOP</t>
  </si>
  <si>
    <t>HRS</t>
  </si>
  <si>
    <t>(L)</t>
  </si>
  <si>
    <t>Carry foward last month</t>
  </si>
  <si>
    <t>OFF</t>
  </si>
  <si>
    <t>Diesel In</t>
  </si>
  <si>
    <t>Wood Chipper</t>
  </si>
  <si>
    <t>TEST RUN</t>
  </si>
  <si>
    <t>tractor</t>
  </si>
  <si>
    <t>Lanscape Tractor and Wood Chipper</t>
  </si>
  <si>
    <t>Balance (Litre)</t>
  </si>
  <si>
    <t>Date : 21/1/2022</t>
  </si>
  <si>
    <t xml:space="preserve"> Outside tank</t>
  </si>
  <si>
    <t>length        :  452 cm</t>
  </si>
  <si>
    <t>Diameter   :  196 cm</t>
  </si>
  <si>
    <t>Fill Depth   :   75 cm</t>
  </si>
  <si>
    <t>Total           :  4800  Litre</t>
  </si>
  <si>
    <t>Inside Tank</t>
  </si>
  <si>
    <t>Length       :  121.5 cm</t>
  </si>
  <si>
    <t xml:space="preserve">  Inside Tank</t>
  </si>
  <si>
    <t>Width         :  121.5 cm</t>
  </si>
  <si>
    <t>Width         :  121 cm</t>
  </si>
  <si>
    <t>Height        :  122.5 cm</t>
  </si>
  <si>
    <t>Fill Depth   :   70 cm</t>
  </si>
  <si>
    <t xml:space="preserve">Total           :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</si>
</sst>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d\-mmm\-yy;@"/>
    <numFmt numFmtId="165" formatCode="#,##0.0"/>
  </numFmts>
  <fonts count="13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u/>
      <sz val="14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b/>
      <sz val="10"/>
      <color rgb="FF000000"/>
      <name val="Arial"/>
      <charset val="1"/>
    </font>
    <font>
      <b/>
      <sz val="10"/>
      <name val="Arial"/>
    </font>
  </fonts>
  <fills count="9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120">
    <xf numFmtId="0" fontId="0" fillId="0" borderId="0" xfId="0"/>
    <xf numFmtId="0" fontId="0" fillId="0" borderId="0" xfId="0" applyAlignment="1">
      <alignment horizontal="center"/>
    </xf>
    <xf numFmtId="164" fontId="3" fillId="0" borderId="1" xfId="0" applyNumberFormat="1" applyFont="1" applyBorder="1"/>
    <xf numFmtId="164" fontId="0" fillId="0" borderId="1" xfId="0" applyNumberFormat="1" applyBorder="1"/>
    <xf numFmtId="164" fontId="0" fillId="0" borderId="0" xfId="0" applyNumberFormat="1"/>
    <xf numFmtId="164" fontId="0" fillId="0" borderId="1" xfId="0" applyNumberFormat="1" applyBorder="1" applyAlignment="1">
      <alignment horizontal="center"/>
    </xf>
    <xf numFmtId="164" fontId="3" fillId="0" borderId="0" xfId="0" applyNumberFormat="1" applyFont="1" applyAlignment="1">
      <alignment horizontal="left"/>
    </xf>
    <xf numFmtId="0" fontId="2" fillId="0" borderId="1" xfId="0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3" fontId="0" fillId="2" borderId="1" xfId="0" applyNumberFormat="1" applyFill="1" applyBorder="1" applyAlignment="1" applyProtection="1">
      <alignment horizontal="center"/>
      <protection locked="0"/>
    </xf>
    <xf numFmtId="0" fontId="0" fillId="0" borderId="1" xfId="0" applyBorder="1"/>
    <xf numFmtId="0" fontId="0" fillId="2" borderId="1" xfId="0" applyFill="1" applyBorder="1" applyAlignment="1" applyProtection="1">
      <alignment horizontal="center"/>
      <protection locked="0"/>
    </xf>
    <xf numFmtId="164" fontId="5" fillId="0" borderId="0" xfId="0" applyNumberFormat="1" applyFont="1"/>
    <xf numFmtId="39" fontId="0" fillId="0" borderId="0" xfId="1" applyNumberFormat="1" applyFont="1" applyAlignment="1">
      <alignment horizontal="center"/>
    </xf>
    <xf numFmtId="39" fontId="2" fillId="0" borderId="1" xfId="1" applyNumberFormat="1" applyFont="1" applyFill="1" applyBorder="1" applyAlignment="1">
      <alignment horizontal="center"/>
    </xf>
    <xf numFmtId="39" fontId="0" fillId="0" borderId="1" xfId="1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8" fillId="0" borderId="1" xfId="2" applyFont="1" applyBorder="1" applyAlignment="1">
      <alignment horizontal="center" vertical="center"/>
    </xf>
    <xf numFmtId="0" fontId="9" fillId="0" borderId="1" xfId="2" applyFont="1" applyBorder="1" applyAlignment="1">
      <alignment horizontal="center" vertical="center"/>
    </xf>
    <xf numFmtId="0" fontId="8" fillId="0" borderId="1" xfId="2" applyFont="1" applyBorder="1" applyAlignment="1">
      <alignment horizontal="center" vertical="center" wrapText="1"/>
    </xf>
    <xf numFmtId="2" fontId="9" fillId="0" borderId="1" xfId="2" applyNumberFormat="1" applyFont="1" applyBorder="1" applyAlignment="1">
      <alignment horizontal="center" vertical="center" wrapText="1"/>
    </xf>
    <xf numFmtId="0" fontId="9" fillId="0" borderId="1" xfId="2" applyFont="1" applyBorder="1" applyAlignment="1">
      <alignment horizontal="center" vertical="center" wrapText="1"/>
    </xf>
    <xf numFmtId="0" fontId="1" fillId="0" borderId="0" xfId="2"/>
    <xf numFmtId="0" fontId="10" fillId="0" borderId="1" xfId="2" applyFont="1" applyBorder="1" applyAlignment="1">
      <alignment horizontal="center"/>
    </xf>
    <xf numFmtId="0" fontId="8" fillId="0" borderId="1" xfId="2" applyFont="1" applyBorder="1" applyAlignment="1">
      <alignment horizontal="center"/>
    </xf>
    <xf numFmtId="0" fontId="9" fillId="0" borderId="1" xfId="2" applyFont="1" applyBorder="1" applyAlignment="1">
      <alignment horizontal="center"/>
    </xf>
    <xf numFmtId="1" fontId="1" fillId="0" borderId="1" xfId="2" applyNumberFormat="1" applyBorder="1" applyAlignment="1">
      <alignment horizontal="center"/>
    </xf>
    <xf numFmtId="0" fontId="7" fillId="0" borderId="1" xfId="2" applyFont="1" applyBorder="1" applyAlignment="1">
      <alignment horizontal="center"/>
    </xf>
    <xf numFmtId="2" fontId="7" fillId="0" borderId="1" xfId="2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165" fontId="2" fillId="0" borderId="0" xfId="0" applyNumberFormat="1" applyFont="1" applyAlignment="1">
      <alignment horizontal="center"/>
    </xf>
    <xf numFmtId="0" fontId="0" fillId="5" borderId="4" xfId="0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165" fontId="1" fillId="0" borderId="0" xfId="0" applyNumberFormat="1" applyFont="1" applyAlignment="1">
      <alignment horizontal="left"/>
    </xf>
    <xf numFmtId="0" fontId="2" fillId="0" borderId="1" xfId="0" applyFont="1" applyBorder="1" applyAlignment="1" applyProtection="1">
      <alignment horizontal="center"/>
      <protection locked="0"/>
    </xf>
    <xf numFmtId="3" fontId="1" fillId="2" borderId="1" xfId="0" applyNumberFormat="1" applyFont="1" applyFill="1" applyBorder="1" applyAlignment="1" applyProtection="1">
      <alignment horizontal="center"/>
      <protection locked="0"/>
    </xf>
    <xf numFmtId="3" fontId="0" fillId="2" borderId="3" xfId="0" applyNumberFormat="1" applyFill="1" applyBorder="1" applyAlignment="1" applyProtection="1">
      <alignment horizontal="center"/>
      <protection locked="0"/>
    </xf>
    <xf numFmtId="164" fontId="0" fillId="0" borderId="2" xfId="0" applyNumberFormat="1" applyBorder="1" applyAlignment="1">
      <alignment horizontal="center"/>
    </xf>
    <xf numFmtId="9" fontId="0" fillId="2" borderId="1" xfId="0" applyNumberFormat="1" applyFill="1" applyBorder="1" applyAlignment="1" applyProtection="1">
      <alignment horizontal="center"/>
      <protection locked="0"/>
    </xf>
    <xf numFmtId="9" fontId="0" fillId="2" borderId="5" xfId="0" applyNumberFormat="1" applyFill="1" applyBorder="1" applyAlignment="1" applyProtection="1">
      <alignment horizontal="center"/>
      <protection locked="0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3" fontId="0" fillId="2" borderId="1" xfId="0" applyNumberFormat="1" applyFill="1" applyBorder="1" applyAlignment="1" applyProtection="1">
      <alignment horizontal="center" vertical="top"/>
      <protection locked="0"/>
    </xf>
    <xf numFmtId="3" fontId="0" fillId="0" borderId="1" xfId="0" applyNumberFormat="1" applyBorder="1" applyAlignment="1">
      <alignment horizontal="center" vertical="top"/>
    </xf>
    <xf numFmtId="39" fontId="0" fillId="0" borderId="1" xfId="1" applyNumberFormat="1" applyFont="1" applyBorder="1" applyAlignment="1">
      <alignment horizontal="center" vertical="top"/>
    </xf>
    <xf numFmtId="0" fontId="0" fillId="0" borderId="0" xfId="0" applyAlignment="1">
      <alignment vertical="top"/>
    </xf>
    <xf numFmtId="9" fontId="6" fillId="2" borderId="1" xfId="0" applyNumberFormat="1" applyFont="1" applyFill="1" applyBorder="1" applyAlignment="1" applyProtection="1">
      <alignment horizontal="center"/>
      <protection locked="0"/>
    </xf>
    <xf numFmtId="165" fontId="0" fillId="6" borderId="0" xfId="0" applyNumberFormat="1" applyFill="1" applyAlignment="1">
      <alignment horizontal="center"/>
    </xf>
    <xf numFmtId="0" fontId="0" fillId="6" borderId="0" xfId="0" applyFill="1"/>
    <xf numFmtId="0" fontId="2" fillId="0" borderId="6" xfId="0" applyFont="1" applyBorder="1" applyAlignment="1">
      <alignment horizontal="center"/>
    </xf>
    <xf numFmtId="39" fontId="2" fillId="0" borderId="6" xfId="1" applyNumberFormat="1" applyFont="1" applyBorder="1" applyAlignment="1">
      <alignment horizontal="center"/>
    </xf>
    <xf numFmtId="39" fontId="2" fillId="0" borderId="6" xfId="1" applyNumberFormat="1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165" fontId="1" fillId="3" borderId="6" xfId="0" applyNumberFormat="1" applyFont="1" applyFill="1" applyBorder="1" applyAlignment="1">
      <alignment horizontal="center"/>
    </xf>
    <xf numFmtId="165" fontId="1" fillId="3" borderId="6" xfId="0" applyNumberFormat="1" applyFont="1" applyFill="1" applyBorder="1" applyAlignment="1" applyProtection="1">
      <alignment horizontal="center"/>
      <protection locked="0"/>
    </xf>
    <xf numFmtId="165" fontId="1" fillId="0" borderId="6" xfId="0" applyNumberFormat="1" applyFont="1" applyBorder="1" applyAlignment="1">
      <alignment horizontal="center"/>
    </xf>
    <xf numFmtId="39" fontId="0" fillId="0" borderId="6" xfId="1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165" fontId="0" fillId="3" borderId="6" xfId="0" applyNumberFormat="1" applyFill="1" applyBorder="1" applyAlignment="1">
      <alignment horizontal="center"/>
    </xf>
    <xf numFmtId="165" fontId="0" fillId="3" borderId="6" xfId="0" applyNumberFormat="1" applyFill="1" applyBorder="1" applyAlignment="1" applyProtection="1">
      <alignment horizontal="center"/>
      <protection locked="0"/>
    </xf>
    <xf numFmtId="165" fontId="0" fillId="0" borderId="6" xfId="0" applyNumberFormat="1" applyBorder="1" applyAlignment="1">
      <alignment horizontal="center"/>
    </xf>
    <xf numFmtId="165" fontId="1" fillId="4" borderId="6" xfId="0" applyNumberFormat="1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164" fontId="3" fillId="0" borderId="7" xfId="0" applyNumberFormat="1" applyFont="1" applyBorder="1"/>
    <xf numFmtId="0" fontId="2" fillId="0" borderId="8" xfId="0" applyFont="1" applyBorder="1" applyAlignment="1">
      <alignment horizontal="center"/>
    </xf>
    <xf numFmtId="39" fontId="2" fillId="0" borderId="8" xfId="1" applyNumberFormat="1" applyFont="1" applyBorder="1" applyAlignment="1">
      <alignment horizontal="center"/>
    </xf>
    <xf numFmtId="39" fontId="2" fillId="0" borderId="8" xfId="1" applyNumberFormat="1" applyFont="1" applyFill="1" applyBorder="1" applyAlignment="1">
      <alignment horizontal="center"/>
    </xf>
    <xf numFmtId="165" fontId="2" fillId="0" borderId="9" xfId="0" applyNumberFormat="1" applyFont="1" applyBorder="1" applyAlignment="1">
      <alignment horizontal="center" wrapText="1"/>
    </xf>
    <xf numFmtId="164" fontId="0" fillId="0" borderId="10" xfId="0" applyNumberFormat="1" applyBorder="1"/>
    <xf numFmtId="165" fontId="2" fillId="0" borderId="11" xfId="0" applyNumberFormat="1" applyFon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11" fillId="7" borderId="11" xfId="0" quotePrefix="1" applyNumberFormat="1" applyFont="1" applyFill="1" applyBorder="1" applyAlignment="1">
      <alignment horizontal="center"/>
    </xf>
    <xf numFmtId="165" fontId="12" fillId="6" borderId="11" xfId="0" applyNumberFormat="1" applyFont="1" applyFill="1" applyBorder="1" applyAlignment="1" applyProtection="1">
      <alignment horizontal="center"/>
      <protection locked="0"/>
    </xf>
    <xf numFmtId="165" fontId="0" fillId="6" borderId="11" xfId="0" applyNumberFormat="1" applyFill="1" applyBorder="1" applyAlignment="1" applyProtection="1">
      <alignment horizontal="center"/>
      <protection locked="0"/>
    </xf>
    <xf numFmtId="165" fontId="1" fillId="6" borderId="11" xfId="0" applyNumberFormat="1" applyFont="1" applyFill="1" applyBorder="1" applyAlignment="1" applyProtection="1">
      <alignment horizontal="center"/>
      <protection locked="0"/>
    </xf>
    <xf numFmtId="165" fontId="12" fillId="6" borderId="11" xfId="0" applyNumberFormat="1" applyFont="1" applyFill="1" applyBorder="1" applyAlignment="1">
      <alignment horizontal="center"/>
    </xf>
    <xf numFmtId="165" fontId="1" fillId="4" borderId="11" xfId="0" applyNumberFormat="1" applyFont="1" applyFill="1" applyBorder="1" applyAlignment="1" applyProtection="1">
      <alignment horizontal="center"/>
      <protection locked="0"/>
    </xf>
    <xf numFmtId="165" fontId="1" fillId="0" borderId="11" xfId="0" applyNumberFormat="1" applyFont="1" applyBorder="1" applyAlignment="1" applyProtection="1">
      <alignment horizontal="center"/>
      <protection locked="0"/>
    </xf>
    <xf numFmtId="0" fontId="0" fillId="0" borderId="13" xfId="0" applyBorder="1" applyAlignment="1">
      <alignment horizontal="center"/>
    </xf>
    <xf numFmtId="39" fontId="0" fillId="0" borderId="13" xfId="1" applyNumberFormat="1" applyFont="1" applyBorder="1" applyAlignment="1">
      <alignment horizontal="center"/>
    </xf>
    <xf numFmtId="3" fontId="2" fillId="0" borderId="13" xfId="0" applyNumberFormat="1" applyFont="1" applyBorder="1" applyAlignment="1">
      <alignment horizontal="center"/>
    </xf>
    <xf numFmtId="0" fontId="0" fillId="0" borderId="13" xfId="0" applyBorder="1"/>
    <xf numFmtId="39" fontId="2" fillId="0" borderId="13" xfId="1" applyNumberFormat="1" applyFont="1" applyBorder="1" applyAlignment="1">
      <alignment horizontal="center"/>
    </xf>
    <xf numFmtId="165" fontId="11" fillId="5" borderId="14" xfId="0" quotePrefix="1" applyNumberFormat="1" applyFont="1" applyFill="1" applyBorder="1" applyAlignment="1">
      <alignment horizontal="center"/>
    </xf>
    <xf numFmtId="0" fontId="12" fillId="0" borderId="15" xfId="0" applyFont="1" applyBorder="1"/>
    <xf numFmtId="0" fontId="12" fillId="0" borderId="18" xfId="0" applyFont="1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165" fontId="12" fillId="7" borderId="11" xfId="0" applyNumberFormat="1" applyFont="1" applyFill="1" applyBorder="1" applyAlignment="1" applyProtection="1">
      <alignment horizontal="center"/>
      <protection locked="0"/>
    </xf>
    <xf numFmtId="0" fontId="0" fillId="0" borderId="17" xfId="0" applyBorder="1"/>
    <xf numFmtId="0" fontId="0" fillId="0" borderId="19" xfId="0" applyBorder="1"/>
    <xf numFmtId="0" fontId="0" fillId="0" borderId="18" xfId="0" applyBorder="1"/>
    <xf numFmtId="39" fontId="2" fillId="0" borderId="2" xfId="1" applyNumberFormat="1" applyFont="1" applyFill="1" applyBorder="1" applyAlignment="1">
      <alignment horizontal="center"/>
    </xf>
    <xf numFmtId="0" fontId="0" fillId="0" borderId="6" xfId="0" applyBorder="1"/>
    <xf numFmtId="39" fontId="0" fillId="0" borderId="2" xfId="1" applyNumberFormat="1" applyFont="1" applyBorder="1" applyAlignment="1">
      <alignment horizontal="center"/>
    </xf>
    <xf numFmtId="165" fontId="1" fillId="8" borderId="11" xfId="0" applyNumberFormat="1" applyFont="1" applyFill="1" applyBorder="1" applyAlignment="1" applyProtection="1">
      <alignment horizontal="center"/>
      <protection locked="0"/>
    </xf>
    <xf numFmtId="0" fontId="12" fillId="0" borderId="0" xfId="0" applyFont="1"/>
    <xf numFmtId="0" fontId="12" fillId="0" borderId="16" xfId="0" applyFont="1" applyBorder="1"/>
    <xf numFmtId="3" fontId="0" fillId="0" borderId="0" xfId="0" applyNumberFormat="1"/>
    <xf numFmtId="0" fontId="12" fillId="0" borderId="19" xfId="0" applyFont="1" applyBorder="1"/>
    <xf numFmtId="165" fontId="1" fillId="7" borderId="11" xfId="0" applyNumberFormat="1" applyFont="1" applyFill="1" applyBorder="1" applyAlignment="1" applyProtection="1">
      <alignment horizontal="center"/>
      <protection locked="0"/>
    </xf>
    <xf numFmtId="1" fontId="2" fillId="0" borderId="2" xfId="0" applyNumberFormat="1" applyFont="1" applyBorder="1"/>
    <xf numFmtId="3" fontId="1" fillId="0" borderId="1" xfId="0" applyNumberFormat="1" applyFont="1" applyBorder="1" applyAlignment="1">
      <alignment horizontal="center"/>
    </xf>
    <xf numFmtId="3" fontId="2" fillId="0" borderId="3" xfId="0" applyNumberFormat="1" applyFont="1" applyBorder="1" applyAlignment="1">
      <alignment horizontal="center"/>
    </xf>
    <xf numFmtId="3" fontId="0" fillId="2" borderId="23" xfId="0" applyNumberFormat="1" applyFill="1" applyBorder="1" applyAlignment="1" applyProtection="1">
      <alignment horizontal="center"/>
      <protection locked="0"/>
    </xf>
    <xf numFmtId="1" fontId="2" fillId="0" borderId="2" xfId="0" applyNumberFormat="1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12" fillId="0" borderId="6" xfId="0" applyFont="1" applyBorder="1" applyAlignment="1">
      <alignment horizontal="center" vertical="center"/>
    </xf>
    <xf numFmtId="165" fontId="12" fillId="7" borderId="0" xfId="0" applyNumberFormat="1" applyFont="1" applyFill="1" applyAlignment="1">
      <alignment horizontal="center"/>
    </xf>
    <xf numFmtId="1" fontId="2" fillId="0" borderId="12" xfId="0" applyNumberFormat="1" applyFont="1" applyBorder="1" applyAlignment="1">
      <alignment horizontal="center"/>
    </xf>
    <xf numFmtId="0" fontId="0" fillId="0" borderId="13" xfId="0" applyBorder="1" applyAlignment="1">
      <alignment horizontal="center"/>
    </xf>
    <xf numFmtId="165" fontId="0" fillId="6" borderId="0" xfId="0" applyNumberFormat="1" applyFill="1" applyAlignment="1">
      <alignment horizontal="center"/>
    </xf>
    <xf numFmtId="165" fontId="0" fillId="8" borderId="0" xfId="0" applyNumberFormat="1" applyFill="1" applyAlignment="1">
      <alignment horizontal="center"/>
    </xf>
    <xf numFmtId="165" fontId="0" fillId="8" borderId="18" xfId="0" applyNumberFormat="1" applyFill="1" applyBorder="1" applyAlignment="1">
      <alignment horizontal="center"/>
    </xf>
    <xf numFmtId="165" fontId="0" fillId="6" borderId="18" xfId="0" applyNumberFormat="1" applyFill="1" applyBorder="1" applyAlignment="1">
      <alignment horizontal="center"/>
    </xf>
    <xf numFmtId="165" fontId="0" fillId="3" borderId="18" xfId="0" applyNumberFormat="1" applyFill="1" applyBorder="1" applyAlignment="1">
      <alignment horizontal="center"/>
    </xf>
    <xf numFmtId="165" fontId="0" fillId="3" borderId="0" xfId="0" applyNumberFormat="1" applyFill="1" applyAlignment="1">
      <alignment horizontal="center"/>
    </xf>
  </cellXfs>
  <cellStyles count="3">
    <cellStyle name="Comma" xfId="1" builtinId="3"/>
    <cellStyle name="Normal" xfId="0" builtinId="0"/>
    <cellStyle name="Normal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nfp3\fslan\Users\Joe.ElKhoury\AppData\Local\Microsoft\Windows\INetCache\Content.Outlook\SR778SAZ\Diesel%20202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Diesel Reading Mac"/>
    </sheetNames>
    <sheetDataSet>
      <sheetData sheetId="0">
        <row r="6">
          <cell r="C6">
            <v>2.84</v>
          </cell>
        </row>
      </sheetData>
      <sheetData sheetId="1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Noorazlan Yahaya" id="{E91C16BF-90E5-4A66-AC29-3005FC4DE25B}" userId="S::noorazlan.yahaya@fourseasons.com::2c86c89e-9dc1-442c-9893-3795d400cc1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4" dT="2022-01-11T08:06:09.03" personId="{E91C16BF-90E5-4A66-AC29-3005FC4DE25B}" id="{258A1C81-8228-4B13-9778-A9262B24DED1}">
    <text>Pipe leaks repair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workbookViewId="0">
      <selection activeCell="F5" sqref="F5"/>
    </sheetView>
  </sheetViews>
  <sheetFormatPr defaultColWidth="9.140625" defaultRowHeight="12.75" x14ac:dyDescent="0.2"/>
  <cols>
    <col min="1" max="1" width="12.7109375" style="23" bestFit="1" customWidth="1"/>
    <col min="2" max="4" width="9.140625" style="23"/>
    <col min="5" max="5" width="14.28515625" style="23" customWidth="1"/>
    <col min="6" max="6" width="12.140625" style="23" customWidth="1"/>
    <col min="7" max="7" width="9.140625" style="23"/>
    <col min="8" max="8" width="19.28515625" style="23" customWidth="1"/>
    <col min="9" max="9" width="13.5703125" style="23" customWidth="1"/>
    <col min="10" max="10" width="11.28515625" style="23" customWidth="1"/>
    <col min="11" max="16384" width="9.140625" style="23"/>
  </cols>
  <sheetData>
    <row r="1" spans="1:12" ht="60" x14ac:dyDescent="0.2">
      <c r="A1" s="18" t="s">
        <v>0</v>
      </c>
      <c r="B1" s="18" t="s">
        <v>1</v>
      </c>
      <c r="C1" s="19" t="s">
        <v>2</v>
      </c>
      <c r="D1" s="18" t="s">
        <v>3</v>
      </c>
      <c r="E1" s="20" t="s">
        <v>4</v>
      </c>
      <c r="F1" s="21" t="s">
        <v>5</v>
      </c>
      <c r="G1" s="20" t="s">
        <v>6</v>
      </c>
      <c r="H1" s="21" t="s">
        <v>7</v>
      </c>
      <c r="I1" s="20" t="s">
        <v>8</v>
      </c>
      <c r="J1" s="22" t="s">
        <v>9</v>
      </c>
      <c r="K1" s="20" t="s">
        <v>10</v>
      </c>
      <c r="L1" s="20" t="s">
        <v>11</v>
      </c>
    </row>
    <row r="2" spans="1:12" ht="15" x14ac:dyDescent="0.25">
      <c r="A2" s="24" t="s">
        <v>12</v>
      </c>
      <c r="B2" s="25">
        <v>1</v>
      </c>
      <c r="C2" s="26">
        <v>1</v>
      </c>
      <c r="D2" s="25">
        <v>2022</v>
      </c>
      <c r="E2" s="27">
        <f>'B16'!L4+'B16 ext'!L4+'B17'!L4</f>
        <v>20074</v>
      </c>
      <c r="F2" s="29">
        <f>('B16'!J4+'B16 ext'!J4+'B17'!J4)/TOTAL!E2</f>
        <v>0.24421709674205438</v>
      </c>
      <c r="G2" s="27">
        <f>'Diesel Reading '!H4</f>
        <v>281.30000000004657</v>
      </c>
      <c r="H2" s="28">
        <f>'Diesel Reading '!I4/'Diesel Reading '!H4</f>
        <v>2.84</v>
      </c>
      <c r="I2" s="27">
        <f>'Water Reading'!L4</f>
        <v>1101</v>
      </c>
      <c r="J2" s="29">
        <f>'Water Reading'!I4/'Water Reading'!H4</f>
        <v>1.35</v>
      </c>
      <c r="K2" s="27">
        <v>37</v>
      </c>
      <c r="L2" s="27"/>
    </row>
    <row r="3" spans="1:12" ht="15" x14ac:dyDescent="0.25">
      <c r="A3" s="24" t="s">
        <v>12</v>
      </c>
      <c r="B3" s="25">
        <f>B2+1</f>
        <v>2</v>
      </c>
      <c r="C3" s="26">
        <v>1</v>
      </c>
      <c r="D3" s="25">
        <v>2022</v>
      </c>
      <c r="E3" s="27">
        <f>'B16'!L5+'B16 ext'!L5+'B17'!L5</f>
        <v>18132</v>
      </c>
      <c r="F3" s="29">
        <f>('B16'!J5+'B16 ext'!J5+'B17'!J5)/TOTAL!E3</f>
        <v>0.24718001323626734</v>
      </c>
      <c r="G3" s="27">
        <f>'Diesel Reading '!H5</f>
        <v>362.39999999990687</v>
      </c>
      <c r="H3" s="28">
        <f>'Diesel Reading '!I5/'Diesel Reading '!H5</f>
        <v>2.84</v>
      </c>
      <c r="I3" s="27">
        <f>'Water Reading'!L5</f>
        <v>914</v>
      </c>
      <c r="J3" s="29">
        <f>'Water Reading'!I5/'Water Reading'!H5</f>
        <v>1.35</v>
      </c>
      <c r="K3" s="27">
        <v>21</v>
      </c>
      <c r="L3" s="27"/>
    </row>
    <row r="4" spans="1:12" ht="15" x14ac:dyDescent="0.25">
      <c r="A4" s="24" t="s">
        <v>12</v>
      </c>
      <c r="B4" s="25">
        <f t="shared" ref="B4:B31" si="0">B3+1</f>
        <v>3</v>
      </c>
      <c r="C4" s="26">
        <v>1</v>
      </c>
      <c r="D4" s="25">
        <v>2022</v>
      </c>
      <c r="E4" s="27">
        <f>'B16'!L6+'B16 ext'!L6+'B17'!L6</f>
        <v>19028</v>
      </c>
      <c r="F4" s="29">
        <f>('B16'!J6+'B16 ext'!J6+'B17'!J6)/TOTAL!E4</f>
        <v>0.24766712213579986</v>
      </c>
      <c r="G4" s="27">
        <f>'Diesel Reading '!H6</f>
        <v>0</v>
      </c>
      <c r="H4" s="28" t="e">
        <f>'Diesel Reading '!I6/'Diesel Reading '!H6</f>
        <v>#DIV/0!</v>
      </c>
      <c r="I4" s="27">
        <f>'Water Reading'!L6</f>
        <v>978</v>
      </c>
      <c r="J4" s="29">
        <f>'Water Reading'!I6/'Water Reading'!H6</f>
        <v>1.35</v>
      </c>
      <c r="K4" s="27">
        <v>22</v>
      </c>
      <c r="L4" s="27"/>
    </row>
    <row r="5" spans="1:12" ht="15" x14ac:dyDescent="0.25">
      <c r="A5" s="24" t="s">
        <v>12</v>
      </c>
      <c r="B5" s="25">
        <f t="shared" si="0"/>
        <v>4</v>
      </c>
      <c r="C5" s="26">
        <v>1</v>
      </c>
      <c r="D5" s="25">
        <v>2022</v>
      </c>
      <c r="E5" s="27">
        <f>'B16'!L7+'B16 ext'!L7+'B17'!L7</f>
        <v>18457</v>
      </c>
      <c r="F5" s="29">
        <f>('B16'!J7+'B16 ext'!J7+'B17'!J7)/TOTAL!E5</f>
        <v>0.24712298856802295</v>
      </c>
      <c r="G5" s="27">
        <f>'Diesel Reading '!H7</f>
        <v>260.20000000018626</v>
      </c>
      <c r="H5" s="28">
        <f>'Diesel Reading '!I7/'Diesel Reading '!H7</f>
        <v>2.84</v>
      </c>
      <c r="I5" s="27">
        <f>'Water Reading'!L7</f>
        <v>1037</v>
      </c>
      <c r="J5" s="29">
        <f>'Water Reading'!I7/'Water Reading'!H7</f>
        <v>1.3500000000000003</v>
      </c>
      <c r="K5" s="27">
        <v>33</v>
      </c>
      <c r="L5" s="27"/>
    </row>
    <row r="6" spans="1:12" ht="15" x14ac:dyDescent="0.25">
      <c r="A6" s="24" t="s">
        <v>12</v>
      </c>
      <c r="B6" s="25">
        <f t="shared" si="0"/>
        <v>5</v>
      </c>
      <c r="C6" s="26">
        <v>1</v>
      </c>
      <c r="D6" s="25">
        <v>2022</v>
      </c>
      <c r="E6" s="27">
        <f>'B16'!L8+'B16 ext'!L8+'B17'!L8</f>
        <v>19521</v>
      </c>
      <c r="F6" s="29">
        <f>('B16'!J8+'B16 ext'!J8+'B17'!J8)/TOTAL!E6</f>
        <v>0.24790102966036576</v>
      </c>
      <c r="G6" s="27">
        <f>'Diesel Reading '!H8</f>
        <v>0</v>
      </c>
      <c r="H6" s="28" t="e">
        <f>'Diesel Reading '!I8/'Diesel Reading '!H8</f>
        <v>#DIV/0!</v>
      </c>
      <c r="I6" s="27">
        <f>'Water Reading'!L8</f>
        <v>1139</v>
      </c>
      <c r="J6" s="29">
        <f>'Water Reading'!I8/'Water Reading'!H8</f>
        <v>1.35</v>
      </c>
      <c r="K6" s="27">
        <v>30</v>
      </c>
      <c r="L6" s="27"/>
    </row>
    <row r="7" spans="1:12" ht="15" x14ac:dyDescent="0.25">
      <c r="A7" s="24" t="s">
        <v>12</v>
      </c>
      <c r="B7" s="25">
        <f t="shared" si="0"/>
        <v>6</v>
      </c>
      <c r="C7" s="26">
        <v>1</v>
      </c>
      <c r="D7" s="25">
        <v>2022</v>
      </c>
      <c r="E7" s="27">
        <f>'B16'!L9+'B16 ext'!L9+'B17'!L9</f>
        <v>18041</v>
      </c>
      <c r="F7" s="29">
        <f>('B16'!J9+'B16 ext'!J9+'B17'!J9)/TOTAL!E7</f>
        <v>0.24550363061914529</v>
      </c>
      <c r="G7" s="27">
        <f>'Diesel Reading '!H10</f>
        <v>232.69999999995343</v>
      </c>
      <c r="H7" s="28">
        <f>'Diesel Reading '!I10/'Diesel Reading '!H10</f>
        <v>2.84</v>
      </c>
      <c r="I7" s="27">
        <f>'Water Reading'!L9</f>
        <v>1105</v>
      </c>
      <c r="J7" s="29">
        <f>'Water Reading'!I9/'Water Reading'!H9</f>
        <v>1.3500000000000003</v>
      </c>
      <c r="K7" s="27">
        <v>29</v>
      </c>
      <c r="L7" s="27"/>
    </row>
    <row r="8" spans="1:12" ht="15" x14ac:dyDescent="0.25">
      <c r="A8" s="24" t="s">
        <v>12</v>
      </c>
      <c r="B8" s="25">
        <f t="shared" si="0"/>
        <v>7</v>
      </c>
      <c r="C8" s="26">
        <v>1</v>
      </c>
      <c r="D8" s="25">
        <v>2022</v>
      </c>
      <c r="E8" s="27">
        <f>'B16'!L10+'B16 ext'!L10+'B17'!L10</f>
        <v>21719</v>
      </c>
      <c r="F8" s="29">
        <f>('B16'!J10+'B16 ext'!J10+'B17'!J10)/TOTAL!E8</f>
        <v>0.25033901192504254</v>
      </c>
      <c r="G8" s="27">
        <f>'Diesel Reading '!H11</f>
        <v>0</v>
      </c>
      <c r="H8" s="28" t="e">
        <f>'Diesel Reading '!I11/'Diesel Reading '!H11</f>
        <v>#DIV/0!</v>
      </c>
      <c r="I8" s="27">
        <f>'Water Reading'!L10</f>
        <v>1026</v>
      </c>
      <c r="J8" s="29">
        <f>'Water Reading'!I10/'Water Reading'!H10</f>
        <v>1.35</v>
      </c>
      <c r="K8" s="27">
        <v>29</v>
      </c>
      <c r="L8" s="27"/>
    </row>
    <row r="9" spans="1:12" ht="15" x14ac:dyDescent="0.25">
      <c r="A9" s="24" t="s">
        <v>12</v>
      </c>
      <c r="B9" s="25">
        <f t="shared" si="0"/>
        <v>8</v>
      </c>
      <c r="C9" s="26">
        <v>1</v>
      </c>
      <c r="D9" s="25">
        <v>2022</v>
      </c>
      <c r="E9" s="27">
        <f>'B16'!L11+'B16 ext'!L11+'B17'!L11</f>
        <v>19689</v>
      </c>
      <c r="F9" s="29">
        <f>('B16'!J11+'B16 ext'!J11+'B17'!J11)/TOTAL!E9</f>
        <v>0.24729605363400883</v>
      </c>
      <c r="G9" s="27">
        <f>'Diesel Reading '!H12</f>
        <v>225.5</v>
      </c>
      <c r="H9" s="28">
        <f>'Diesel Reading '!I12/'Diesel Reading '!H12</f>
        <v>2.84</v>
      </c>
      <c r="I9" s="27">
        <f>'Water Reading'!L11</f>
        <v>923</v>
      </c>
      <c r="J9" s="29">
        <f>'Water Reading'!I11/'Water Reading'!H11</f>
        <v>1.3499999999999999</v>
      </c>
      <c r="K9" s="27">
        <v>29</v>
      </c>
      <c r="L9" s="27"/>
    </row>
    <row r="10" spans="1:12" ht="15" x14ac:dyDescent="0.25">
      <c r="A10" s="24" t="s">
        <v>12</v>
      </c>
      <c r="B10" s="25">
        <f t="shared" si="0"/>
        <v>9</v>
      </c>
      <c r="C10" s="26">
        <v>1</v>
      </c>
      <c r="D10" s="25">
        <v>2022</v>
      </c>
      <c r="E10" s="27">
        <f>'B16'!L12+'B16 ext'!L12+'B17'!L12</f>
        <v>19025</v>
      </c>
      <c r="F10" s="29">
        <f>('B16'!J12+'B16 ext'!J12+'B17'!J12)/TOTAL!E10</f>
        <v>0.25076467805519054</v>
      </c>
      <c r="G10" s="27">
        <f>'Diesel Reading '!H13</f>
        <v>88.899999999906868</v>
      </c>
      <c r="H10" s="28">
        <f>'Diesel Reading '!I13/'Diesel Reading '!H13</f>
        <v>2.84</v>
      </c>
      <c r="I10" s="27">
        <f>'Water Reading'!L12</f>
        <v>1126</v>
      </c>
      <c r="J10" s="29">
        <f>'Water Reading'!I12/'Water Reading'!H12</f>
        <v>1.3499999999999999</v>
      </c>
      <c r="K10" s="27">
        <v>21</v>
      </c>
      <c r="L10" s="27"/>
    </row>
    <row r="11" spans="1:12" ht="15" x14ac:dyDescent="0.25">
      <c r="A11" s="24" t="s">
        <v>12</v>
      </c>
      <c r="B11" s="25">
        <f t="shared" si="0"/>
        <v>10</v>
      </c>
      <c r="C11" s="26">
        <v>1</v>
      </c>
      <c r="D11" s="25">
        <v>2022</v>
      </c>
      <c r="E11" s="27">
        <f>'B16'!L13+'B16 ext'!L13+'B17'!L13</f>
        <v>18799</v>
      </c>
      <c r="F11" s="29">
        <f>('B16'!J13+'B16 ext'!J13+'B17'!J13)/TOTAL!E11</f>
        <v>0.24723485291770839</v>
      </c>
      <c r="G11" s="27">
        <f>'Diesel Reading '!H14</f>
        <v>180.60000000009313</v>
      </c>
      <c r="H11" s="28">
        <f>'Diesel Reading '!I14/'Diesel Reading '!H14</f>
        <v>2.84</v>
      </c>
      <c r="I11" s="27">
        <f>'Water Reading'!L13</f>
        <v>1092</v>
      </c>
      <c r="J11" s="29">
        <f>'Water Reading'!I13/'Water Reading'!H13</f>
        <v>1.3500000000000003</v>
      </c>
      <c r="K11" s="27">
        <v>21</v>
      </c>
      <c r="L11" s="27"/>
    </row>
    <row r="12" spans="1:12" ht="15" x14ac:dyDescent="0.25">
      <c r="A12" s="24" t="s">
        <v>12</v>
      </c>
      <c r="B12" s="25">
        <f t="shared" si="0"/>
        <v>11</v>
      </c>
      <c r="C12" s="26">
        <v>1</v>
      </c>
      <c r="D12" s="25">
        <v>2022</v>
      </c>
      <c r="E12" s="27">
        <f>'B16'!L14+'B16 ext'!L14+'B17'!L14</f>
        <v>19636</v>
      </c>
      <c r="F12" s="29">
        <f>('B16'!J14+'B16 ext'!J14+'B17'!J14)/TOTAL!E12</f>
        <v>0.24622519861478911</v>
      </c>
      <c r="G12" s="27">
        <f>'Diesel Reading '!H15</f>
        <v>25.800000000046566</v>
      </c>
      <c r="H12" s="28">
        <f>'Diesel Reading '!I15/'Diesel Reading '!H15</f>
        <v>2.8399999999999994</v>
      </c>
      <c r="I12" s="27">
        <f>'Water Reading'!L14</f>
        <v>1124</v>
      </c>
      <c r="J12" s="29">
        <f>'Water Reading'!I14/'Water Reading'!H14</f>
        <v>1.35</v>
      </c>
      <c r="K12" s="27">
        <v>15</v>
      </c>
      <c r="L12" s="27"/>
    </row>
    <row r="13" spans="1:12" ht="15" x14ac:dyDescent="0.25">
      <c r="A13" s="24" t="s">
        <v>12</v>
      </c>
      <c r="B13" s="25">
        <f t="shared" si="0"/>
        <v>12</v>
      </c>
      <c r="C13" s="26">
        <v>1</v>
      </c>
      <c r="D13" s="25">
        <v>2022</v>
      </c>
      <c r="E13" s="27">
        <f>'B16'!L15+'B16 ext'!L15+'B17'!L15</f>
        <v>19422</v>
      </c>
      <c r="F13" s="29">
        <f>('B16'!J15+'B16 ext'!J15+'B17'!J15)/TOTAL!E13</f>
        <v>0.24601065801668207</v>
      </c>
      <c r="G13" s="27">
        <f>'Diesel Reading '!H16</f>
        <v>178.89999999990687</v>
      </c>
      <c r="H13" s="28">
        <f>'Diesel Reading '!I16/'Diesel Reading '!H16</f>
        <v>2.84</v>
      </c>
      <c r="I13" s="27">
        <f>'Water Reading'!L15</f>
        <v>1142</v>
      </c>
      <c r="J13" s="29">
        <f>'Water Reading'!I15/'Water Reading'!H15</f>
        <v>1.3500000000000003</v>
      </c>
      <c r="K13" s="27">
        <v>16</v>
      </c>
      <c r="L13" s="27"/>
    </row>
    <row r="14" spans="1:12" ht="15" x14ac:dyDescent="0.25">
      <c r="A14" s="24" t="s">
        <v>12</v>
      </c>
      <c r="B14" s="25">
        <f t="shared" si="0"/>
        <v>13</v>
      </c>
      <c r="C14" s="26">
        <v>1</v>
      </c>
      <c r="D14" s="25">
        <v>2022</v>
      </c>
      <c r="E14" s="27">
        <f>'B16'!L16+'B16 ext'!L16+'B17'!L16</f>
        <v>19756</v>
      </c>
      <c r="F14" s="29">
        <f>('B16'!J16+'B16 ext'!J16+'B17'!J16)/TOTAL!E14</f>
        <v>0.24849600121482082</v>
      </c>
      <c r="G14" s="27">
        <f>'Diesel Reading '!H17</f>
        <v>0</v>
      </c>
      <c r="H14" s="28" t="e">
        <f>'Diesel Reading '!I17/'Diesel Reading '!H17</f>
        <v>#DIV/0!</v>
      </c>
      <c r="I14" s="27">
        <f>'Water Reading'!L16</f>
        <v>1086</v>
      </c>
      <c r="J14" s="29">
        <f>'Water Reading'!I16/'Water Reading'!H16</f>
        <v>1.35</v>
      </c>
      <c r="K14" s="27">
        <v>22</v>
      </c>
      <c r="L14" s="27"/>
    </row>
    <row r="15" spans="1:12" ht="15" x14ac:dyDescent="0.25">
      <c r="A15" s="24" t="s">
        <v>12</v>
      </c>
      <c r="B15" s="25">
        <f t="shared" si="0"/>
        <v>14</v>
      </c>
      <c r="C15" s="26">
        <v>1</v>
      </c>
      <c r="D15" s="25">
        <v>2022</v>
      </c>
      <c r="E15" s="27">
        <f>'B16'!L17+'B16 ext'!L17+'B17'!L17</f>
        <v>20573</v>
      </c>
      <c r="F15" s="29">
        <f>('B16'!J17+'B16 ext'!J17+'B17'!J17)/TOTAL!E15</f>
        <v>0.24690847226947937</v>
      </c>
      <c r="G15" s="27">
        <f>'Diesel Reading '!H18</f>
        <v>200.69999999995343</v>
      </c>
      <c r="H15" s="28">
        <f>'Diesel Reading '!I18/'Diesel Reading '!H18</f>
        <v>2.84</v>
      </c>
      <c r="I15" s="27">
        <f>'Water Reading'!L17</f>
        <v>1144</v>
      </c>
      <c r="J15" s="29">
        <f>'Water Reading'!I17/'Water Reading'!H17</f>
        <v>1.35</v>
      </c>
      <c r="K15" s="27">
        <v>30</v>
      </c>
      <c r="L15" s="27"/>
    </row>
    <row r="16" spans="1:12" ht="15" x14ac:dyDescent="0.25">
      <c r="A16" s="24" t="s">
        <v>12</v>
      </c>
      <c r="B16" s="25">
        <f t="shared" si="0"/>
        <v>15</v>
      </c>
      <c r="C16" s="26">
        <v>1</v>
      </c>
      <c r="D16" s="25">
        <v>2022</v>
      </c>
      <c r="E16" s="27">
        <f>'B16'!L18+'B16 ext'!L18+'B17'!L18</f>
        <v>21062</v>
      </c>
      <c r="F16" s="29">
        <f>('B16'!J18+'B16 ext'!J18+'B17'!J18)/TOTAL!E16</f>
        <v>0.24925909220396916</v>
      </c>
      <c r="G16" s="27">
        <f>'Diesel Reading '!H19</f>
        <v>193.4000000001397</v>
      </c>
      <c r="H16" s="28">
        <f>'Diesel Reading '!I19/'Diesel Reading '!H19</f>
        <v>2.84</v>
      </c>
      <c r="I16" s="27">
        <f>'Water Reading'!L18</f>
        <v>1102</v>
      </c>
      <c r="J16" s="29">
        <f>'Water Reading'!I18/'Water Reading'!H18</f>
        <v>1.35</v>
      </c>
      <c r="K16" s="27">
        <v>43</v>
      </c>
      <c r="L16" s="27"/>
    </row>
    <row r="17" spans="1:12" ht="15" x14ac:dyDescent="0.25">
      <c r="A17" s="24" t="s">
        <v>12</v>
      </c>
      <c r="B17" s="25">
        <f t="shared" si="0"/>
        <v>16</v>
      </c>
      <c r="C17" s="26">
        <v>1</v>
      </c>
      <c r="D17" s="25">
        <v>2022</v>
      </c>
      <c r="E17" s="27">
        <f>'B16'!L19+'B16 ext'!L19+'B17'!L19</f>
        <v>21471</v>
      </c>
      <c r="F17" s="29">
        <f>('B16'!J19+'B16 ext'!J19+'B17'!J19)/TOTAL!E17</f>
        <v>0.24759829537515715</v>
      </c>
      <c r="G17" s="27">
        <f>'Diesel Reading '!H20</f>
        <v>205.89999999990687</v>
      </c>
      <c r="H17" s="28">
        <f>'Diesel Reading '!I20/'Diesel Reading '!H20</f>
        <v>2.8399999999999994</v>
      </c>
      <c r="I17" s="27">
        <f>'Water Reading'!L19</f>
        <v>1114</v>
      </c>
      <c r="J17" s="29">
        <f>'Water Reading'!I19/'Water Reading'!H19</f>
        <v>1.35</v>
      </c>
      <c r="K17" s="27">
        <v>31</v>
      </c>
      <c r="L17" s="27"/>
    </row>
    <row r="18" spans="1:12" ht="15" x14ac:dyDescent="0.25">
      <c r="A18" s="24" t="s">
        <v>12</v>
      </c>
      <c r="B18" s="25">
        <f t="shared" si="0"/>
        <v>17</v>
      </c>
      <c r="C18" s="26">
        <v>1</v>
      </c>
      <c r="D18" s="25">
        <v>2022</v>
      </c>
      <c r="E18" s="27">
        <f>'B16'!L20+'B16 ext'!L20+'B17'!L20</f>
        <v>20275</v>
      </c>
      <c r="F18" s="29">
        <f>('B16'!J20+'B16 ext'!J20+'B17'!J20)/TOTAL!E18</f>
        <v>0.24813854500616522</v>
      </c>
      <c r="G18" s="27">
        <f>'Diesel Reading '!H21</f>
        <v>176.60000000009313</v>
      </c>
      <c r="H18" s="28">
        <f>'Diesel Reading '!I21/'Diesel Reading '!H21</f>
        <v>2.84</v>
      </c>
      <c r="I18" s="27">
        <f>'Water Reading'!L20</f>
        <v>983</v>
      </c>
      <c r="J18" s="29">
        <f>'Water Reading'!I20/'Water Reading'!H20</f>
        <v>1.35</v>
      </c>
      <c r="K18" s="27">
        <v>33</v>
      </c>
      <c r="L18" s="27"/>
    </row>
    <row r="19" spans="1:12" ht="15" x14ac:dyDescent="0.25">
      <c r="A19" s="24" t="s">
        <v>12</v>
      </c>
      <c r="B19" s="25">
        <f t="shared" si="0"/>
        <v>18</v>
      </c>
      <c r="C19" s="26">
        <v>1</v>
      </c>
      <c r="D19" s="25">
        <v>2022</v>
      </c>
      <c r="E19" s="27">
        <f>'B16'!L21+'B16 ext'!L21+'B17'!L21</f>
        <v>20113</v>
      </c>
      <c r="F19" s="29">
        <f>('B16'!J21+'B16 ext'!J21+'B17'!J21)/TOTAL!E19</f>
        <v>0.2472104111768508</v>
      </c>
      <c r="G19" s="27">
        <f>'Diesel Reading '!H22</f>
        <v>0</v>
      </c>
      <c r="H19" s="28" t="e">
        <f>'Diesel Reading '!I22/'Diesel Reading '!H22</f>
        <v>#DIV/0!</v>
      </c>
      <c r="I19" s="27">
        <f>'Water Reading'!L21</f>
        <v>1200</v>
      </c>
      <c r="J19" s="29">
        <f>'Water Reading'!I21/'Water Reading'!H21</f>
        <v>1.35</v>
      </c>
      <c r="K19" s="27">
        <v>29</v>
      </c>
      <c r="L19" s="27"/>
    </row>
    <row r="20" spans="1:12" ht="15" x14ac:dyDescent="0.25">
      <c r="A20" s="24" t="s">
        <v>12</v>
      </c>
      <c r="B20" s="25">
        <f t="shared" si="0"/>
        <v>19</v>
      </c>
      <c r="C20" s="26">
        <v>1</v>
      </c>
      <c r="D20" s="25">
        <v>2022</v>
      </c>
      <c r="E20" s="27">
        <f>'B16'!L22+'B16 ext'!L22+'B17'!L22</f>
        <v>20188</v>
      </c>
      <c r="F20" s="29">
        <f>('B16'!J22+'B16 ext'!J22+'B17'!J22)/TOTAL!E20</f>
        <v>0.24615781652466809</v>
      </c>
      <c r="G20" s="27">
        <f>'Diesel Reading '!H23</f>
        <v>175.0999999998603</v>
      </c>
      <c r="H20" s="28">
        <f>'Diesel Reading '!I23/'Diesel Reading '!H23</f>
        <v>2.84</v>
      </c>
      <c r="I20" s="27">
        <f>'Water Reading'!L22</f>
        <v>1066</v>
      </c>
      <c r="J20" s="29">
        <f>'Water Reading'!I22/'Water Reading'!H22</f>
        <v>1.35</v>
      </c>
      <c r="K20" s="27">
        <v>28</v>
      </c>
      <c r="L20" s="27"/>
    </row>
    <row r="21" spans="1:12" ht="15" x14ac:dyDescent="0.25">
      <c r="A21" s="24" t="s">
        <v>12</v>
      </c>
      <c r="B21" s="25">
        <f t="shared" si="0"/>
        <v>20</v>
      </c>
      <c r="C21" s="26">
        <v>1</v>
      </c>
      <c r="D21" s="25">
        <v>2022</v>
      </c>
      <c r="E21" s="27">
        <f>'B16'!L23+'B16 ext'!L23+'B17'!L23</f>
        <v>20084</v>
      </c>
      <c r="F21" s="29">
        <f>('B16'!J23+'B16 ext'!J23+'B17'!J23)/TOTAL!E21</f>
        <v>0.24738916550487947</v>
      </c>
      <c r="G21" s="27">
        <f>'Diesel Reading '!H24</f>
        <v>0</v>
      </c>
      <c r="H21" s="28" t="e">
        <f>'Diesel Reading '!I24/'Diesel Reading '!H24</f>
        <v>#DIV/0!</v>
      </c>
      <c r="I21" s="27">
        <f>'Water Reading'!L23</f>
        <v>1030</v>
      </c>
      <c r="J21" s="29">
        <f>'Water Reading'!I23/'Water Reading'!H23</f>
        <v>1.35</v>
      </c>
      <c r="K21" s="27">
        <v>24</v>
      </c>
      <c r="L21" s="27"/>
    </row>
    <row r="22" spans="1:12" ht="15" x14ac:dyDescent="0.25">
      <c r="A22" s="24" t="s">
        <v>12</v>
      </c>
      <c r="B22" s="25">
        <f t="shared" si="0"/>
        <v>21</v>
      </c>
      <c r="C22" s="26">
        <v>1</v>
      </c>
      <c r="D22" s="25">
        <v>2022</v>
      </c>
      <c r="E22" s="27">
        <f>'B16'!L24+'B16 ext'!L24+'B17'!L24</f>
        <v>20573</v>
      </c>
      <c r="F22" s="29">
        <f>('B16'!J24+'B16 ext'!J24+'B17'!J24)/TOTAL!E22</f>
        <v>0.24705414864142319</v>
      </c>
      <c r="G22" s="27">
        <f>'Diesel Reading '!H25</f>
        <v>181.30000000004657</v>
      </c>
      <c r="H22" s="28">
        <f>'Diesel Reading '!I25/'Diesel Reading '!H25</f>
        <v>2.8400000000000003</v>
      </c>
      <c r="I22" s="27">
        <f>'Water Reading'!L24</f>
        <v>1047</v>
      </c>
      <c r="J22" s="29">
        <f>'Water Reading'!I24/'Water Reading'!H24</f>
        <v>1.35</v>
      </c>
      <c r="K22" s="27">
        <v>29</v>
      </c>
      <c r="L22" s="27"/>
    </row>
    <row r="23" spans="1:12" ht="15" x14ac:dyDescent="0.25">
      <c r="A23" s="24" t="s">
        <v>12</v>
      </c>
      <c r="B23" s="25">
        <f t="shared" si="0"/>
        <v>22</v>
      </c>
      <c r="C23" s="26">
        <v>1</v>
      </c>
      <c r="D23" s="25">
        <v>2022</v>
      </c>
      <c r="E23" s="27">
        <f>'B16'!L25+'B16 ext'!L25+'B17'!L25</f>
        <v>20747</v>
      </c>
      <c r="F23" s="29">
        <f>('B16'!J25+'B16 ext'!J25+'B17'!J25)/TOTAL!E23</f>
        <v>0.24719424495107725</v>
      </c>
      <c r="G23" s="27">
        <f>'Diesel Reading '!H26</f>
        <v>0</v>
      </c>
      <c r="H23" s="28" t="e">
        <f>'Diesel Reading '!I26/'Diesel Reading '!H26</f>
        <v>#DIV/0!</v>
      </c>
      <c r="I23" s="27">
        <f>'Water Reading'!L25</f>
        <v>1062</v>
      </c>
      <c r="J23" s="29">
        <f>'Water Reading'!I25/'Water Reading'!H25</f>
        <v>1.35</v>
      </c>
      <c r="K23" s="27">
        <v>28</v>
      </c>
      <c r="L23" s="27"/>
    </row>
    <row r="24" spans="1:12" ht="15" x14ac:dyDescent="0.25">
      <c r="A24" s="24" t="s">
        <v>12</v>
      </c>
      <c r="B24" s="25">
        <f t="shared" si="0"/>
        <v>23</v>
      </c>
      <c r="C24" s="26">
        <v>1</v>
      </c>
      <c r="D24" s="25">
        <v>2022</v>
      </c>
      <c r="E24" s="27">
        <f>'B16'!L26+'B16 ext'!L26+'B17'!L26</f>
        <v>20564</v>
      </c>
      <c r="F24" s="29">
        <f>('B16'!J26+'B16 ext'!J26+'B17'!J26)/TOTAL!E24</f>
        <v>0.24723594631394669</v>
      </c>
      <c r="G24" s="27">
        <f>'Diesel Reading '!H27</f>
        <v>178</v>
      </c>
      <c r="H24" s="28">
        <f>'Diesel Reading '!I27/'Diesel Reading '!H27</f>
        <v>2.84</v>
      </c>
      <c r="I24" s="27">
        <f>'Water Reading'!L26</f>
        <v>968</v>
      </c>
      <c r="J24" s="29">
        <f>'Water Reading'!I26/'Water Reading'!H26</f>
        <v>1.3499999999999999</v>
      </c>
      <c r="K24" s="27">
        <v>14</v>
      </c>
      <c r="L24" s="27"/>
    </row>
    <row r="25" spans="1:12" ht="15" x14ac:dyDescent="0.25">
      <c r="A25" s="24" t="s">
        <v>12</v>
      </c>
      <c r="B25" s="25">
        <f t="shared" si="0"/>
        <v>24</v>
      </c>
      <c r="C25" s="26">
        <v>1</v>
      </c>
      <c r="D25" s="25">
        <v>2022</v>
      </c>
      <c r="E25" s="27">
        <f>'B16'!L27+'B16 ext'!L27+'B17'!L27</f>
        <v>21067</v>
      </c>
      <c r="F25" s="29">
        <f>('B16'!J27+'B16 ext'!J27+'B17'!J27)/TOTAL!E25</f>
        <v>0.24628608724545498</v>
      </c>
      <c r="G25" s="27">
        <f>'Diesel Reading '!H28</f>
        <v>0</v>
      </c>
      <c r="H25" s="28" t="e">
        <f>'Diesel Reading '!I28/'Diesel Reading '!H28</f>
        <v>#DIV/0!</v>
      </c>
      <c r="I25" s="27">
        <f>'Water Reading'!L27</f>
        <v>943</v>
      </c>
      <c r="J25" s="29">
        <f>'Water Reading'!I27/'Water Reading'!H27</f>
        <v>1.3499999999999999</v>
      </c>
      <c r="K25" s="27">
        <v>19</v>
      </c>
      <c r="L25" s="27"/>
    </row>
    <row r="26" spans="1:12" ht="15" x14ac:dyDescent="0.25">
      <c r="A26" s="24" t="s">
        <v>12</v>
      </c>
      <c r="B26" s="25">
        <f>B25+1</f>
        <v>25</v>
      </c>
      <c r="C26" s="26">
        <v>1</v>
      </c>
      <c r="D26" s="25">
        <v>2022</v>
      </c>
      <c r="E26" s="27">
        <f>'B16'!L28+'B16 ext'!L28+'B17'!L28</f>
        <v>20764</v>
      </c>
      <c r="F26" s="29">
        <f>('B16'!J28+'B16 ext'!J28+'B17'!J28)/TOTAL!E26</f>
        <v>0.24870309188980927</v>
      </c>
      <c r="G26" s="27">
        <f>'Diesel Reading '!H29</f>
        <v>252.80000000004657</v>
      </c>
      <c r="H26" s="28">
        <f>'Diesel Reading '!I29/'Diesel Reading '!H29</f>
        <v>2.84</v>
      </c>
      <c r="I26" s="27">
        <f>'Water Reading'!L28</f>
        <v>914</v>
      </c>
      <c r="J26" s="29">
        <f>'Water Reading'!I28/'Water Reading'!H28</f>
        <v>1.35</v>
      </c>
      <c r="K26" s="27">
        <v>28</v>
      </c>
      <c r="L26" s="27"/>
    </row>
    <row r="27" spans="1:12" ht="15" x14ac:dyDescent="0.25">
      <c r="A27" s="24" t="s">
        <v>12</v>
      </c>
      <c r="B27" s="25">
        <f t="shared" si="0"/>
        <v>26</v>
      </c>
      <c r="C27" s="26">
        <v>1</v>
      </c>
      <c r="D27" s="25">
        <v>2022</v>
      </c>
      <c r="E27" s="27">
        <f>'B16'!L29+'B16 ext'!L29+'B17'!L29</f>
        <v>20128</v>
      </c>
      <c r="F27" s="29">
        <f>('B16'!J29+'B16 ext'!J29+'B17'!J29)/TOTAL!E27</f>
        <v>0.24565257352941172</v>
      </c>
      <c r="G27" s="27">
        <f>'Diesel Reading '!H30</f>
        <v>0</v>
      </c>
      <c r="H27" s="28" t="e">
        <f>'Diesel Reading '!I30/'Diesel Reading '!H30</f>
        <v>#DIV/0!</v>
      </c>
      <c r="I27" s="27">
        <f>'Water Reading'!L29</f>
        <v>982</v>
      </c>
      <c r="J27" s="29">
        <f>'Water Reading'!I29/'Water Reading'!H29</f>
        <v>1.35</v>
      </c>
      <c r="K27" s="27">
        <v>12</v>
      </c>
      <c r="L27" s="27"/>
    </row>
    <row r="28" spans="1:12" ht="15" x14ac:dyDescent="0.25">
      <c r="A28" s="24" t="s">
        <v>12</v>
      </c>
      <c r="B28" s="25">
        <f t="shared" si="0"/>
        <v>27</v>
      </c>
      <c r="C28" s="26">
        <v>1</v>
      </c>
      <c r="D28" s="25">
        <v>2022</v>
      </c>
      <c r="E28" s="27">
        <f>'B16'!L30+'B16 ext'!L30+'B17'!L30</f>
        <v>20833</v>
      </c>
      <c r="F28" s="29">
        <f>('B16'!J30+'B16 ext'!J30+'B17'!J30)/TOTAL!E28</f>
        <v>0.24400600009600157</v>
      </c>
      <c r="G28" s="27">
        <f>'Diesel Reading '!H31</f>
        <v>218.5</v>
      </c>
      <c r="H28" s="28">
        <f>'Diesel Reading '!I31/'Diesel Reading '!H31</f>
        <v>2.84</v>
      </c>
      <c r="I28" s="27">
        <f>'Water Reading'!L30</f>
        <v>1029</v>
      </c>
      <c r="J28" s="29">
        <f>'Water Reading'!I30/'Water Reading'!H30</f>
        <v>1.35</v>
      </c>
      <c r="K28" s="27">
        <v>20</v>
      </c>
      <c r="L28" s="27"/>
    </row>
    <row r="29" spans="1:12" ht="15" x14ac:dyDescent="0.25">
      <c r="A29" s="24" t="s">
        <v>12</v>
      </c>
      <c r="B29" s="25">
        <f t="shared" si="0"/>
        <v>28</v>
      </c>
      <c r="C29" s="26">
        <v>1</v>
      </c>
      <c r="D29" s="25">
        <v>2022</v>
      </c>
      <c r="E29" s="27">
        <f>'B16'!L31+'B16 ext'!L31+'B17'!L31</f>
        <v>22807</v>
      </c>
      <c r="F29" s="29">
        <f>('B16'!J31+'B16 ext'!J31+'B17'!J31)/TOTAL!E29</f>
        <v>0.25000390231069408</v>
      </c>
      <c r="G29" s="27">
        <f>'Diesel Reading '!H32</f>
        <v>0</v>
      </c>
      <c r="H29" s="28" t="e">
        <f>'Diesel Reading '!I32/'Diesel Reading '!H32</f>
        <v>#DIV/0!</v>
      </c>
      <c r="I29" s="27">
        <f>'Water Reading'!L31</f>
        <v>1033</v>
      </c>
      <c r="J29" s="29">
        <f>'Water Reading'!I31/'Water Reading'!H31</f>
        <v>1.35</v>
      </c>
      <c r="K29" s="27">
        <v>14</v>
      </c>
      <c r="L29" s="27"/>
    </row>
    <row r="30" spans="1:12" ht="15" x14ac:dyDescent="0.25">
      <c r="A30" s="24" t="s">
        <v>12</v>
      </c>
      <c r="B30" s="25">
        <f t="shared" si="0"/>
        <v>29</v>
      </c>
      <c r="C30" s="26">
        <v>1</v>
      </c>
      <c r="D30" s="25">
        <v>2022</v>
      </c>
      <c r="E30" s="27">
        <f>'B16'!L32+'B16 ext'!L32+'B17'!L32</f>
        <v>24276</v>
      </c>
      <c r="F30" s="29">
        <f>('B16'!J32+'B16 ext'!J32+'B17'!J32)/TOTAL!E30</f>
        <v>0.24797305981216014</v>
      </c>
      <c r="G30" s="27">
        <f>'Diesel Reading '!H33</f>
        <v>336.69999999995343</v>
      </c>
      <c r="H30" s="28">
        <f>'Diesel Reading '!I33/'Diesel Reading '!H33</f>
        <v>2.84</v>
      </c>
      <c r="I30" s="27">
        <f>'Water Reading'!L32</f>
        <v>1145</v>
      </c>
      <c r="J30" s="29">
        <f>'Water Reading'!I32/'Water Reading'!H32</f>
        <v>1.35</v>
      </c>
      <c r="K30" s="27">
        <v>39</v>
      </c>
      <c r="L30" s="27"/>
    </row>
    <row r="31" spans="1:12" ht="15" x14ac:dyDescent="0.25">
      <c r="A31" s="24" t="s">
        <v>12</v>
      </c>
      <c r="B31" s="25">
        <f t="shared" si="0"/>
        <v>30</v>
      </c>
      <c r="C31" s="26">
        <v>1</v>
      </c>
      <c r="D31" s="25">
        <v>2022</v>
      </c>
      <c r="E31" s="27">
        <f>'B16'!L33+'B16 ext'!L33+'B17'!L33</f>
        <v>0</v>
      </c>
      <c r="F31" s="29" t="e">
        <f>('B16'!J33+'B16 ext'!J33+'B17'!J33)/TOTAL!E31</f>
        <v>#DIV/0!</v>
      </c>
      <c r="G31" s="27">
        <f>'Diesel Reading '!H34</f>
        <v>208.60000000009313</v>
      </c>
      <c r="H31" s="28">
        <f>'Diesel Reading '!I35/'Diesel Reading '!H35</f>
        <v>2.84</v>
      </c>
      <c r="I31" s="27">
        <f>'Water Reading'!L33</f>
        <v>1159</v>
      </c>
      <c r="J31" s="29">
        <f>'Water Reading'!I33/'Water Reading'!H33</f>
        <v>1.35</v>
      </c>
      <c r="K31" s="27">
        <v>61</v>
      </c>
      <c r="L31" s="27"/>
    </row>
    <row r="32" spans="1:12" ht="15" x14ac:dyDescent="0.25">
      <c r="A32" s="24" t="s">
        <v>12</v>
      </c>
      <c r="B32" s="25">
        <v>31</v>
      </c>
      <c r="C32" s="26">
        <v>1</v>
      </c>
      <c r="D32" s="25">
        <v>2022</v>
      </c>
      <c r="E32" s="27">
        <f>'B16'!L34+'B16 ext'!L34+'B17'!L34</f>
        <v>0</v>
      </c>
      <c r="F32" s="29" t="e">
        <f>('B16'!J34+'B16 ext'!J34+'B17'!J34)/TOTAL!E32</f>
        <v>#DIV/0!</v>
      </c>
      <c r="G32" s="27">
        <f>'Diesel Reading '!H35</f>
        <v>247.39999999990687</v>
      </c>
      <c r="H32" s="28">
        <f>'Diesel Reading '!I36/'Diesel Reading '!H36</f>
        <v>2.84</v>
      </c>
      <c r="I32" s="27">
        <f>'Water Reading'!L34</f>
        <v>1211</v>
      </c>
      <c r="J32" s="29">
        <f>'Water Reading'!I34/'Water Reading'!H34</f>
        <v>1.35</v>
      </c>
      <c r="K32" s="27">
        <v>67</v>
      </c>
      <c r="L32" s="2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39"/>
  <sheetViews>
    <sheetView zoomScaleNormal="100" workbookViewId="0">
      <selection activeCell="F34" sqref="F34"/>
    </sheetView>
  </sheetViews>
  <sheetFormatPr defaultRowHeight="12.75" x14ac:dyDescent="0.2"/>
  <cols>
    <col min="1" max="1" width="14" style="4" customWidth="1"/>
    <col min="2" max="2" width="20.28515625" style="1" bestFit="1" customWidth="1"/>
    <col min="3" max="3" width="18.85546875" style="1" bestFit="1" customWidth="1"/>
    <col min="4" max="4" width="20.28515625" style="1" bestFit="1" customWidth="1"/>
    <col min="5" max="5" width="18.85546875" style="1" customWidth="1"/>
    <col min="6" max="6" width="14.7109375" style="1" customWidth="1"/>
    <col min="7" max="7" width="11.28515625" customWidth="1"/>
    <col min="8" max="8" width="11.7109375" customWidth="1"/>
    <col min="9" max="9" width="19.140625" style="1" bestFit="1" customWidth="1"/>
    <col min="10" max="10" width="10.140625" style="14" bestFit="1" customWidth="1"/>
  </cols>
  <sheetData>
    <row r="1" spans="1:12" ht="18" x14ac:dyDescent="0.25">
      <c r="A1" s="6" t="s">
        <v>13</v>
      </c>
    </row>
    <row r="2" spans="1:12" ht="18" x14ac:dyDescent="0.25">
      <c r="A2" s="2"/>
      <c r="B2" s="7" t="s">
        <v>14</v>
      </c>
      <c r="C2" s="7" t="s">
        <v>15</v>
      </c>
      <c r="D2" s="7" t="s">
        <v>14</v>
      </c>
      <c r="E2" s="7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15" t="s">
        <v>20</v>
      </c>
    </row>
    <row r="3" spans="1:12" x14ac:dyDescent="0.2">
      <c r="A3" s="3"/>
      <c r="B3" s="7" t="s">
        <v>21</v>
      </c>
      <c r="C3" s="7" t="s">
        <v>21</v>
      </c>
      <c r="D3" s="7" t="s">
        <v>22</v>
      </c>
      <c r="E3" s="7" t="s">
        <v>22</v>
      </c>
      <c r="F3" s="35" t="s">
        <v>21</v>
      </c>
      <c r="G3" s="7" t="s">
        <v>23</v>
      </c>
      <c r="H3" s="11"/>
      <c r="I3" s="7" t="s">
        <v>24</v>
      </c>
      <c r="J3" s="15" t="s">
        <v>25</v>
      </c>
    </row>
    <row r="4" spans="1:12" x14ac:dyDescent="0.2">
      <c r="A4" s="5">
        <v>44562</v>
      </c>
      <c r="B4" s="10">
        <v>5575</v>
      </c>
      <c r="C4" s="8">
        <f>IF(B5-B4 &lt; 0,0,B5-B4)</f>
        <v>5578</v>
      </c>
      <c r="D4" s="10">
        <v>5442</v>
      </c>
      <c r="E4" s="8">
        <f>IF(D5-D4 &lt; 0,0,D5-D4)</f>
        <v>3820</v>
      </c>
      <c r="F4" s="10">
        <v>459</v>
      </c>
      <c r="G4" s="39">
        <v>0.4</v>
      </c>
      <c r="H4" s="12" t="s">
        <v>26</v>
      </c>
      <c r="I4" s="8">
        <f>+E4+C4</f>
        <v>9398</v>
      </c>
      <c r="J4" s="16">
        <f>(C4*0.288)+(E4*0.177)</f>
        <v>2282.6039999999998</v>
      </c>
      <c r="L4" s="101">
        <f>C4+E4</f>
        <v>9398</v>
      </c>
    </row>
    <row r="5" spans="1:12" x14ac:dyDescent="0.2">
      <c r="A5" s="5">
        <v>44563</v>
      </c>
      <c r="B5" s="10">
        <v>11153</v>
      </c>
      <c r="C5" s="8">
        <f t="shared" ref="C5:C33" si="0">IF(B6-B5 &lt; 0,0,B6-B5)</f>
        <v>5402</v>
      </c>
      <c r="D5" s="10">
        <v>9262</v>
      </c>
      <c r="E5" s="8">
        <f t="shared" ref="E5:E33" si="1">IF(D6-D5 &lt; 0,0,D6-D5)</f>
        <v>3189</v>
      </c>
      <c r="F5" s="10">
        <v>459</v>
      </c>
      <c r="G5" s="39">
        <v>0.21</v>
      </c>
      <c r="H5" s="12" t="s">
        <v>26</v>
      </c>
      <c r="I5" s="8">
        <f t="shared" ref="I5:I35" si="2">+E5+C5</f>
        <v>8591</v>
      </c>
      <c r="J5" s="16">
        <f t="shared" ref="J5:J35" si="3">(C5*0.288)+(E5*0.177)</f>
        <v>2120.2289999999998</v>
      </c>
      <c r="L5" s="101">
        <f t="shared" ref="L5:L34" si="4">C5+E5</f>
        <v>8591</v>
      </c>
    </row>
    <row r="6" spans="1:12" x14ac:dyDescent="0.2">
      <c r="A6" s="5">
        <v>44564</v>
      </c>
      <c r="B6" s="10">
        <v>16555</v>
      </c>
      <c r="C6" s="8">
        <f t="shared" si="0"/>
        <v>5879</v>
      </c>
      <c r="D6" s="10">
        <v>12451</v>
      </c>
      <c r="E6" s="8">
        <f t="shared" si="1"/>
        <v>3409</v>
      </c>
      <c r="F6" s="10">
        <v>456</v>
      </c>
      <c r="G6" s="39">
        <v>0.25</v>
      </c>
      <c r="H6" s="12" t="s">
        <v>26</v>
      </c>
      <c r="I6" s="8">
        <f t="shared" si="2"/>
        <v>9288</v>
      </c>
      <c r="J6" s="16">
        <f t="shared" si="3"/>
        <v>2296.5449999999996</v>
      </c>
      <c r="L6" s="101">
        <f t="shared" si="4"/>
        <v>9288</v>
      </c>
    </row>
    <row r="7" spans="1:12" x14ac:dyDescent="0.2">
      <c r="A7" s="5">
        <v>44565</v>
      </c>
      <c r="B7" s="10">
        <v>22434</v>
      </c>
      <c r="C7" s="8">
        <f t="shared" si="0"/>
        <v>5395</v>
      </c>
      <c r="D7" s="10">
        <v>15860</v>
      </c>
      <c r="E7" s="8">
        <f t="shared" si="1"/>
        <v>3215</v>
      </c>
      <c r="F7" s="10">
        <v>484</v>
      </c>
      <c r="G7" s="39">
        <v>0.37</v>
      </c>
      <c r="H7" s="12" t="s">
        <v>26</v>
      </c>
      <c r="I7" s="8">
        <f t="shared" si="2"/>
        <v>8610</v>
      </c>
      <c r="J7" s="16">
        <f t="shared" si="3"/>
        <v>2122.8150000000001</v>
      </c>
      <c r="L7" s="101">
        <f t="shared" si="4"/>
        <v>8610</v>
      </c>
    </row>
    <row r="8" spans="1:12" x14ac:dyDescent="0.2">
      <c r="A8" s="5">
        <v>44566</v>
      </c>
      <c r="B8" s="10">
        <v>27829</v>
      </c>
      <c r="C8" s="8">
        <f t="shared" si="0"/>
        <v>5762</v>
      </c>
      <c r="D8" s="10">
        <v>19075</v>
      </c>
      <c r="E8" s="8">
        <f t="shared" si="1"/>
        <v>3370</v>
      </c>
      <c r="F8" s="10">
        <v>484</v>
      </c>
      <c r="G8" s="39">
        <v>0.34</v>
      </c>
      <c r="H8" s="12" t="s">
        <v>26</v>
      </c>
      <c r="I8" s="8">
        <f t="shared" si="2"/>
        <v>9132</v>
      </c>
      <c r="J8" s="16">
        <f t="shared" si="3"/>
        <v>2255.9459999999999</v>
      </c>
      <c r="L8" s="101">
        <f t="shared" si="4"/>
        <v>9132</v>
      </c>
    </row>
    <row r="9" spans="1:12" x14ac:dyDescent="0.2">
      <c r="A9" s="5">
        <v>44567</v>
      </c>
      <c r="B9" s="10">
        <v>33591</v>
      </c>
      <c r="C9" s="8">
        <f t="shared" si="0"/>
        <v>5455</v>
      </c>
      <c r="D9" s="10">
        <v>22445</v>
      </c>
      <c r="E9" s="8">
        <f t="shared" si="1"/>
        <v>3224</v>
      </c>
      <c r="F9" s="10">
        <v>484</v>
      </c>
      <c r="G9" s="39">
        <v>0.32</v>
      </c>
      <c r="H9" s="12" t="s">
        <v>26</v>
      </c>
      <c r="I9" s="8">
        <f t="shared" si="2"/>
        <v>8679</v>
      </c>
      <c r="J9" s="16">
        <f t="shared" si="3"/>
        <v>2141.6880000000001</v>
      </c>
      <c r="L9" s="101">
        <f t="shared" si="4"/>
        <v>8679</v>
      </c>
    </row>
    <row r="10" spans="1:12" x14ac:dyDescent="0.2">
      <c r="A10" s="5">
        <v>44568</v>
      </c>
      <c r="B10" s="10">
        <v>39046</v>
      </c>
      <c r="C10" s="8">
        <f t="shared" si="0"/>
        <v>6089</v>
      </c>
      <c r="D10" s="10">
        <v>25669</v>
      </c>
      <c r="E10" s="8">
        <f t="shared" si="1"/>
        <v>3414</v>
      </c>
      <c r="F10" s="10">
        <v>484</v>
      </c>
      <c r="G10" s="40">
        <v>0.32</v>
      </c>
      <c r="H10" s="12" t="s">
        <v>26</v>
      </c>
      <c r="I10" s="8">
        <f t="shared" si="2"/>
        <v>9503</v>
      </c>
      <c r="J10" s="16">
        <f t="shared" si="3"/>
        <v>2357.91</v>
      </c>
      <c r="L10" s="101">
        <f t="shared" si="4"/>
        <v>9503</v>
      </c>
    </row>
    <row r="11" spans="1:12" x14ac:dyDescent="0.2">
      <c r="A11" s="5">
        <v>44569</v>
      </c>
      <c r="B11" s="10">
        <v>45135</v>
      </c>
      <c r="C11" s="8">
        <f t="shared" si="0"/>
        <v>5530</v>
      </c>
      <c r="D11" s="10">
        <v>29083</v>
      </c>
      <c r="E11" s="8">
        <f t="shared" si="1"/>
        <v>3327</v>
      </c>
      <c r="F11" s="10">
        <v>495</v>
      </c>
      <c r="G11" s="39">
        <v>0.34</v>
      </c>
      <c r="H11" s="12" t="s">
        <v>26</v>
      </c>
      <c r="I11" s="8">
        <f t="shared" si="2"/>
        <v>8857</v>
      </c>
      <c r="J11" s="16">
        <f t="shared" si="3"/>
        <v>2181.5189999999998</v>
      </c>
      <c r="L11" s="101">
        <f t="shared" si="4"/>
        <v>8857</v>
      </c>
    </row>
    <row r="12" spans="1:12" x14ac:dyDescent="0.2">
      <c r="A12" s="5">
        <v>44570</v>
      </c>
      <c r="B12" s="10">
        <v>50665</v>
      </c>
      <c r="C12" s="8">
        <f t="shared" si="0"/>
        <v>5772</v>
      </c>
      <c r="D12" s="10">
        <v>32410</v>
      </c>
      <c r="E12" s="8">
        <f t="shared" si="1"/>
        <v>2957</v>
      </c>
      <c r="F12" s="10">
        <v>495</v>
      </c>
      <c r="G12" s="39">
        <v>0.23</v>
      </c>
      <c r="H12" s="12" t="s">
        <v>26</v>
      </c>
      <c r="I12" s="8">
        <f t="shared" si="2"/>
        <v>8729</v>
      </c>
      <c r="J12" s="16">
        <f t="shared" si="3"/>
        <v>2185.7249999999999</v>
      </c>
      <c r="L12" s="101">
        <f t="shared" si="4"/>
        <v>8729</v>
      </c>
    </row>
    <row r="13" spans="1:12" x14ac:dyDescent="0.2">
      <c r="A13" s="5">
        <v>44571</v>
      </c>
      <c r="B13" s="10">
        <v>56437</v>
      </c>
      <c r="C13" s="8">
        <f t="shared" si="0"/>
        <v>5270</v>
      </c>
      <c r="D13" s="10">
        <v>35367</v>
      </c>
      <c r="E13" s="8">
        <f t="shared" si="1"/>
        <v>3240</v>
      </c>
      <c r="F13" s="10">
        <v>495</v>
      </c>
      <c r="G13" s="39">
        <v>0.24</v>
      </c>
      <c r="H13" s="12" t="s">
        <v>26</v>
      </c>
      <c r="I13" s="8">
        <f t="shared" si="2"/>
        <v>8510</v>
      </c>
      <c r="J13" s="16">
        <f t="shared" si="3"/>
        <v>2091.2399999999998</v>
      </c>
      <c r="L13" s="101">
        <f t="shared" si="4"/>
        <v>8510</v>
      </c>
    </row>
    <row r="14" spans="1:12" x14ac:dyDescent="0.2">
      <c r="A14" s="5">
        <v>44572</v>
      </c>
      <c r="B14" s="10">
        <v>61707</v>
      </c>
      <c r="C14" s="8">
        <f t="shared" si="0"/>
        <v>5718</v>
      </c>
      <c r="D14" s="10">
        <v>38607</v>
      </c>
      <c r="E14" s="8">
        <f t="shared" si="1"/>
        <v>3426</v>
      </c>
      <c r="F14" s="10">
        <v>495</v>
      </c>
      <c r="G14" s="39">
        <v>0.17</v>
      </c>
      <c r="H14" s="12" t="s">
        <v>26</v>
      </c>
      <c r="I14" s="8">
        <f t="shared" si="2"/>
        <v>9144</v>
      </c>
      <c r="J14" s="16">
        <f t="shared" si="3"/>
        <v>2253.1859999999997</v>
      </c>
      <c r="L14" s="101">
        <f t="shared" si="4"/>
        <v>9144</v>
      </c>
    </row>
    <row r="15" spans="1:12" x14ac:dyDescent="0.2">
      <c r="A15" s="5">
        <v>44573</v>
      </c>
      <c r="B15" s="10">
        <v>67425</v>
      </c>
      <c r="C15" s="8">
        <f t="shared" si="0"/>
        <v>5455</v>
      </c>
      <c r="D15" s="10">
        <v>42033</v>
      </c>
      <c r="E15" s="8">
        <f t="shared" si="1"/>
        <v>3393</v>
      </c>
      <c r="F15" s="10">
        <v>495</v>
      </c>
      <c r="G15" s="39">
        <v>0.18</v>
      </c>
      <c r="H15" s="12" t="s">
        <v>26</v>
      </c>
      <c r="I15" s="8">
        <f t="shared" si="2"/>
        <v>8848</v>
      </c>
      <c r="J15" s="16">
        <f t="shared" si="3"/>
        <v>2171.6009999999997</v>
      </c>
      <c r="L15" s="101">
        <f t="shared" si="4"/>
        <v>8848</v>
      </c>
    </row>
    <row r="16" spans="1:12" x14ac:dyDescent="0.2">
      <c r="A16" s="5">
        <v>44574</v>
      </c>
      <c r="B16" s="10">
        <v>72880</v>
      </c>
      <c r="C16" s="8">
        <f t="shared" si="0"/>
        <v>5963</v>
      </c>
      <c r="D16" s="10">
        <v>45426</v>
      </c>
      <c r="E16" s="8">
        <f t="shared" si="1"/>
        <v>3343</v>
      </c>
      <c r="F16" s="10">
        <v>495</v>
      </c>
      <c r="G16" s="39">
        <v>0.21</v>
      </c>
      <c r="H16" s="12" t="s">
        <v>26</v>
      </c>
      <c r="I16" s="8">
        <f t="shared" si="2"/>
        <v>9306</v>
      </c>
      <c r="J16" s="16">
        <f t="shared" si="3"/>
        <v>2309.0549999999998</v>
      </c>
      <c r="L16" s="101">
        <f t="shared" si="4"/>
        <v>9306</v>
      </c>
    </row>
    <row r="17" spans="1:12" x14ac:dyDescent="0.2">
      <c r="A17" s="5">
        <v>44575</v>
      </c>
      <c r="B17" s="10">
        <v>78843</v>
      </c>
      <c r="C17" s="8">
        <f t="shared" si="0"/>
        <v>5943</v>
      </c>
      <c r="D17" s="10">
        <v>48769</v>
      </c>
      <c r="E17" s="8">
        <f t="shared" si="1"/>
        <v>3658</v>
      </c>
      <c r="F17" s="10">
        <v>506</v>
      </c>
      <c r="G17" s="39">
        <v>0.26</v>
      </c>
      <c r="H17" s="12" t="s">
        <v>26</v>
      </c>
      <c r="I17" s="8">
        <f t="shared" si="2"/>
        <v>9601</v>
      </c>
      <c r="J17" s="16">
        <f t="shared" si="3"/>
        <v>2359.0499999999997</v>
      </c>
      <c r="L17" s="101">
        <f t="shared" si="4"/>
        <v>9601</v>
      </c>
    </row>
    <row r="18" spans="1:12" x14ac:dyDescent="0.2">
      <c r="A18" s="5">
        <v>44576</v>
      </c>
      <c r="B18" s="10">
        <v>84786</v>
      </c>
      <c r="C18" s="8">
        <f t="shared" si="0"/>
        <v>6084</v>
      </c>
      <c r="D18" s="10">
        <v>52427</v>
      </c>
      <c r="E18" s="8">
        <f t="shared" si="1"/>
        <v>3402</v>
      </c>
      <c r="F18" s="10">
        <v>506</v>
      </c>
      <c r="G18" s="39">
        <v>0.45</v>
      </c>
      <c r="H18" s="12" t="s">
        <v>26</v>
      </c>
      <c r="I18" s="8">
        <f t="shared" si="2"/>
        <v>9486</v>
      </c>
      <c r="J18" s="16">
        <f t="shared" si="3"/>
        <v>2354.3459999999995</v>
      </c>
      <c r="L18" s="101">
        <f t="shared" si="4"/>
        <v>9486</v>
      </c>
    </row>
    <row r="19" spans="1:12" x14ac:dyDescent="0.2">
      <c r="A19" s="5">
        <v>44577</v>
      </c>
      <c r="B19" s="10">
        <v>90870</v>
      </c>
      <c r="C19" s="8">
        <f t="shared" si="0"/>
        <v>6443</v>
      </c>
      <c r="D19" s="10">
        <v>55829</v>
      </c>
      <c r="E19" s="8">
        <f t="shared" si="1"/>
        <v>3716</v>
      </c>
      <c r="F19" s="10">
        <v>506</v>
      </c>
      <c r="G19" s="39">
        <v>0.34</v>
      </c>
      <c r="H19" s="12" t="s">
        <v>26</v>
      </c>
      <c r="I19" s="8">
        <f t="shared" si="2"/>
        <v>10159</v>
      </c>
      <c r="J19" s="16">
        <f t="shared" si="3"/>
        <v>2513.3159999999998</v>
      </c>
      <c r="L19" s="101">
        <f t="shared" si="4"/>
        <v>10159</v>
      </c>
    </row>
    <row r="20" spans="1:12" x14ac:dyDescent="0.2">
      <c r="A20" s="5">
        <v>44578</v>
      </c>
      <c r="B20" s="10">
        <v>97313</v>
      </c>
      <c r="C20" s="8">
        <f t="shared" si="0"/>
        <v>5978</v>
      </c>
      <c r="D20" s="10">
        <v>59545</v>
      </c>
      <c r="E20" s="8">
        <f t="shared" si="1"/>
        <v>3493</v>
      </c>
      <c r="F20" s="12">
        <v>540</v>
      </c>
      <c r="G20" s="39">
        <v>0.35</v>
      </c>
      <c r="H20" s="12" t="s">
        <v>26</v>
      </c>
      <c r="I20" s="8">
        <f t="shared" si="2"/>
        <v>9471</v>
      </c>
      <c r="J20" s="16">
        <f t="shared" si="3"/>
        <v>2339.9249999999997</v>
      </c>
      <c r="L20" s="101">
        <f t="shared" si="4"/>
        <v>9471</v>
      </c>
    </row>
    <row r="21" spans="1:12" x14ac:dyDescent="0.2">
      <c r="A21" s="5">
        <v>44579</v>
      </c>
      <c r="B21" s="10">
        <v>103291</v>
      </c>
      <c r="C21" s="8">
        <f t="shared" si="0"/>
        <v>5970</v>
      </c>
      <c r="D21" s="10">
        <v>63038</v>
      </c>
      <c r="E21" s="8">
        <f t="shared" si="1"/>
        <v>3531</v>
      </c>
      <c r="F21" s="12">
        <v>540</v>
      </c>
      <c r="G21" s="39">
        <v>0.33</v>
      </c>
      <c r="H21" s="12" t="s">
        <v>26</v>
      </c>
      <c r="I21" s="8">
        <f t="shared" si="2"/>
        <v>9501</v>
      </c>
      <c r="J21" s="16">
        <f t="shared" si="3"/>
        <v>2344.3469999999998</v>
      </c>
      <c r="L21" s="101">
        <f t="shared" si="4"/>
        <v>9501</v>
      </c>
    </row>
    <row r="22" spans="1:12" x14ac:dyDescent="0.2">
      <c r="A22" s="5">
        <v>44580</v>
      </c>
      <c r="B22" s="10">
        <v>109261</v>
      </c>
      <c r="C22" s="8">
        <f t="shared" si="0"/>
        <v>5683</v>
      </c>
      <c r="D22" s="10">
        <v>66569</v>
      </c>
      <c r="E22" s="8">
        <f t="shared" si="1"/>
        <v>3609</v>
      </c>
      <c r="F22" s="12">
        <v>540</v>
      </c>
      <c r="G22" s="39">
        <v>0.32</v>
      </c>
      <c r="H22" s="12" t="s">
        <v>26</v>
      </c>
      <c r="I22" s="8">
        <f t="shared" si="2"/>
        <v>9292</v>
      </c>
      <c r="J22" s="16">
        <f t="shared" si="3"/>
        <v>2275.4969999999998</v>
      </c>
      <c r="L22" s="101">
        <f t="shared" si="4"/>
        <v>9292</v>
      </c>
    </row>
    <row r="23" spans="1:12" x14ac:dyDescent="0.2">
      <c r="A23" s="5">
        <v>44581</v>
      </c>
      <c r="B23" s="10">
        <v>114944</v>
      </c>
      <c r="C23" s="8">
        <f t="shared" si="0"/>
        <v>5923</v>
      </c>
      <c r="D23" s="10">
        <v>70178</v>
      </c>
      <c r="E23" s="8">
        <f t="shared" si="1"/>
        <v>3496</v>
      </c>
      <c r="F23" s="10">
        <v>540</v>
      </c>
      <c r="G23" s="39">
        <v>0.28000000000000003</v>
      </c>
      <c r="H23" s="12" t="s">
        <v>26</v>
      </c>
      <c r="I23" s="8">
        <f t="shared" si="2"/>
        <v>9419</v>
      </c>
      <c r="J23" s="16">
        <f t="shared" si="3"/>
        <v>2324.616</v>
      </c>
      <c r="L23" s="101">
        <f t="shared" si="4"/>
        <v>9419</v>
      </c>
    </row>
    <row r="24" spans="1:12" x14ac:dyDescent="0.2">
      <c r="A24" s="5">
        <v>44582</v>
      </c>
      <c r="B24" s="10">
        <v>120867</v>
      </c>
      <c r="C24" s="8">
        <f t="shared" si="0"/>
        <v>4959</v>
      </c>
      <c r="D24" s="10">
        <v>73674</v>
      </c>
      <c r="E24" s="8">
        <f t="shared" si="1"/>
        <v>3278</v>
      </c>
      <c r="F24" s="10">
        <v>540</v>
      </c>
      <c r="G24" s="39">
        <v>0.27</v>
      </c>
      <c r="H24" s="12" t="s">
        <v>26</v>
      </c>
      <c r="I24" s="8">
        <f t="shared" si="2"/>
        <v>8237</v>
      </c>
      <c r="J24" s="16">
        <f t="shared" si="3"/>
        <v>2008.3979999999997</v>
      </c>
      <c r="L24" s="101">
        <f t="shared" si="4"/>
        <v>8237</v>
      </c>
    </row>
    <row r="25" spans="1:12" x14ac:dyDescent="0.2">
      <c r="A25" s="5">
        <v>44583</v>
      </c>
      <c r="B25" s="10">
        <v>125826</v>
      </c>
      <c r="C25" s="8">
        <f t="shared" si="0"/>
        <v>6897</v>
      </c>
      <c r="D25" s="10">
        <v>76952</v>
      </c>
      <c r="E25" s="8">
        <f t="shared" si="1"/>
        <v>3828</v>
      </c>
      <c r="F25" s="10">
        <v>403</v>
      </c>
      <c r="G25" s="39">
        <v>0.28999999999999998</v>
      </c>
      <c r="H25" s="12" t="s">
        <v>26</v>
      </c>
      <c r="I25" s="8">
        <f t="shared" si="2"/>
        <v>10725</v>
      </c>
      <c r="J25" s="16">
        <f t="shared" si="3"/>
        <v>2663.8919999999998</v>
      </c>
      <c r="L25" s="101">
        <f t="shared" si="4"/>
        <v>10725</v>
      </c>
    </row>
    <row r="26" spans="1:12" x14ac:dyDescent="0.2">
      <c r="A26" s="5">
        <v>44584</v>
      </c>
      <c r="B26" s="10">
        <v>132723</v>
      </c>
      <c r="C26" s="8">
        <f>IF(B27-B26 &lt; 0,0,B27-B26)</f>
        <v>5953</v>
      </c>
      <c r="D26" s="10">
        <v>80780</v>
      </c>
      <c r="E26" s="8">
        <f t="shared" si="1"/>
        <v>3507</v>
      </c>
      <c r="F26" s="10">
        <v>540</v>
      </c>
      <c r="G26" s="48">
        <v>0.15</v>
      </c>
      <c r="H26" s="12" t="s">
        <v>26</v>
      </c>
      <c r="I26" s="8">
        <f t="shared" si="2"/>
        <v>9460</v>
      </c>
      <c r="J26" s="16">
        <f t="shared" si="3"/>
        <v>2335.203</v>
      </c>
      <c r="L26" s="101">
        <f t="shared" si="4"/>
        <v>9460</v>
      </c>
    </row>
    <row r="27" spans="1:12" x14ac:dyDescent="0.2">
      <c r="A27" s="5">
        <v>44585</v>
      </c>
      <c r="B27" s="10">
        <v>138676</v>
      </c>
      <c r="C27" s="8">
        <f>IF(B28-B27 &lt; 0,0,B28-B27)</f>
        <v>5877</v>
      </c>
      <c r="D27" s="10">
        <v>84287</v>
      </c>
      <c r="E27" s="8">
        <f t="shared" si="1"/>
        <v>3586</v>
      </c>
      <c r="F27" s="10">
        <v>540</v>
      </c>
      <c r="G27" s="39">
        <v>0.18</v>
      </c>
      <c r="H27" s="12" t="s">
        <v>26</v>
      </c>
      <c r="I27" s="8">
        <f t="shared" si="2"/>
        <v>9463</v>
      </c>
      <c r="J27" s="16">
        <f t="shared" si="3"/>
        <v>2327.2979999999998</v>
      </c>
      <c r="L27" s="101">
        <f t="shared" si="4"/>
        <v>9463</v>
      </c>
    </row>
    <row r="28" spans="1:12" x14ac:dyDescent="0.2">
      <c r="A28" s="5">
        <v>44586</v>
      </c>
      <c r="B28" s="10">
        <v>144553</v>
      </c>
      <c r="C28" s="8">
        <f t="shared" si="0"/>
        <v>5660</v>
      </c>
      <c r="D28" s="10">
        <v>87873</v>
      </c>
      <c r="E28" s="8">
        <f t="shared" si="1"/>
        <v>3261</v>
      </c>
      <c r="F28" s="10">
        <v>540</v>
      </c>
      <c r="G28" s="39">
        <v>0.32</v>
      </c>
      <c r="H28" s="12" t="s">
        <v>26</v>
      </c>
      <c r="I28" s="8">
        <f t="shared" si="2"/>
        <v>8921</v>
      </c>
      <c r="J28" s="16">
        <f t="shared" si="3"/>
        <v>2207.277</v>
      </c>
      <c r="L28" s="101">
        <f t="shared" si="4"/>
        <v>8921</v>
      </c>
    </row>
    <row r="29" spans="1:12" x14ac:dyDescent="0.2">
      <c r="A29" s="5">
        <v>44587</v>
      </c>
      <c r="B29" s="10">
        <v>150213</v>
      </c>
      <c r="C29" s="8">
        <f t="shared" si="0"/>
        <v>5666</v>
      </c>
      <c r="D29" s="10">
        <v>91134</v>
      </c>
      <c r="E29" s="8">
        <f t="shared" si="1"/>
        <v>3335</v>
      </c>
      <c r="F29" s="10">
        <v>540</v>
      </c>
      <c r="G29" s="39">
        <v>0.13</v>
      </c>
      <c r="H29" s="12" t="s">
        <v>26</v>
      </c>
      <c r="I29" s="8">
        <f t="shared" si="2"/>
        <v>9001</v>
      </c>
      <c r="J29" s="16">
        <f t="shared" si="3"/>
        <v>2222.1029999999996</v>
      </c>
      <c r="L29" s="101">
        <f t="shared" si="4"/>
        <v>9001</v>
      </c>
    </row>
    <row r="30" spans="1:12" x14ac:dyDescent="0.2">
      <c r="A30" s="5">
        <v>44588</v>
      </c>
      <c r="B30" s="10">
        <v>155879</v>
      </c>
      <c r="C30" s="8">
        <f t="shared" si="0"/>
        <v>5352</v>
      </c>
      <c r="D30" s="10">
        <v>94469</v>
      </c>
      <c r="E30" s="8">
        <f t="shared" si="1"/>
        <v>3947</v>
      </c>
      <c r="F30" s="10">
        <v>554</v>
      </c>
      <c r="G30" s="39">
        <v>0.21</v>
      </c>
      <c r="H30" s="12" t="s">
        <v>26</v>
      </c>
      <c r="I30" s="8">
        <f t="shared" si="2"/>
        <v>9299</v>
      </c>
      <c r="J30" s="16">
        <f t="shared" si="3"/>
        <v>2239.9949999999999</v>
      </c>
      <c r="L30" s="101">
        <f t="shared" si="4"/>
        <v>9299</v>
      </c>
    </row>
    <row r="31" spans="1:12" x14ac:dyDescent="0.2">
      <c r="A31" s="5">
        <v>44589</v>
      </c>
      <c r="B31" s="10">
        <v>161231</v>
      </c>
      <c r="C31" s="8">
        <f t="shared" si="0"/>
        <v>6918</v>
      </c>
      <c r="D31" s="10">
        <v>98416</v>
      </c>
      <c r="E31" s="8">
        <f t="shared" si="1"/>
        <v>3157</v>
      </c>
      <c r="F31" s="10">
        <v>554</v>
      </c>
      <c r="G31" s="39">
        <v>0.15</v>
      </c>
      <c r="H31" s="12" t="s">
        <v>26</v>
      </c>
      <c r="I31" s="8">
        <f t="shared" si="2"/>
        <v>10075</v>
      </c>
      <c r="J31" s="16">
        <f t="shared" si="3"/>
        <v>2551.1729999999998</v>
      </c>
      <c r="L31" s="101">
        <f t="shared" si="4"/>
        <v>10075</v>
      </c>
    </row>
    <row r="32" spans="1:12" x14ac:dyDescent="0.2">
      <c r="A32" s="5">
        <v>44590</v>
      </c>
      <c r="B32" s="10">
        <v>168149</v>
      </c>
      <c r="C32" s="8">
        <f t="shared" si="0"/>
        <v>7064</v>
      </c>
      <c r="D32" s="10">
        <v>101573</v>
      </c>
      <c r="E32" s="8">
        <f t="shared" si="1"/>
        <v>4011</v>
      </c>
      <c r="F32" s="10">
        <v>557</v>
      </c>
      <c r="G32" s="39">
        <v>0.39</v>
      </c>
      <c r="H32" s="12" t="s">
        <v>26</v>
      </c>
      <c r="I32" s="8">
        <f t="shared" si="2"/>
        <v>11075</v>
      </c>
      <c r="J32" s="16">
        <f t="shared" si="3"/>
        <v>2744.3789999999999</v>
      </c>
      <c r="L32" s="101">
        <f t="shared" si="4"/>
        <v>11075</v>
      </c>
    </row>
    <row r="33" spans="1:12" x14ac:dyDescent="0.2">
      <c r="A33" s="5">
        <v>44591</v>
      </c>
      <c r="B33" s="10">
        <v>175213</v>
      </c>
      <c r="C33" s="8">
        <f t="shared" si="0"/>
        <v>0</v>
      </c>
      <c r="D33" s="10">
        <v>105584</v>
      </c>
      <c r="E33" s="8">
        <f t="shared" si="1"/>
        <v>0</v>
      </c>
      <c r="F33" s="10">
        <v>616</v>
      </c>
      <c r="G33" s="39">
        <v>0.64</v>
      </c>
      <c r="H33" s="12" t="s">
        <v>26</v>
      </c>
      <c r="I33" s="8">
        <f t="shared" si="2"/>
        <v>0</v>
      </c>
      <c r="J33" s="16">
        <f t="shared" si="3"/>
        <v>0</v>
      </c>
      <c r="L33" s="101">
        <f t="shared" si="4"/>
        <v>0</v>
      </c>
    </row>
    <row r="34" spans="1:12" x14ac:dyDescent="0.2">
      <c r="A34" s="5">
        <v>44592</v>
      </c>
      <c r="B34" s="37">
        <v>0</v>
      </c>
      <c r="C34" s="8">
        <v>0</v>
      </c>
      <c r="D34" s="10">
        <v>2553</v>
      </c>
      <c r="E34" s="8">
        <v>0</v>
      </c>
      <c r="F34" s="10">
        <v>0</v>
      </c>
      <c r="G34" s="39">
        <v>0.73</v>
      </c>
      <c r="H34" s="12" t="s">
        <v>26</v>
      </c>
      <c r="I34" s="8">
        <f t="shared" si="2"/>
        <v>0</v>
      </c>
      <c r="J34" s="16">
        <f t="shared" si="3"/>
        <v>0</v>
      </c>
      <c r="L34" s="101">
        <f t="shared" si="4"/>
        <v>0</v>
      </c>
    </row>
    <row r="35" spans="1:12" x14ac:dyDescent="0.2">
      <c r="A35" s="38"/>
      <c r="B35" s="10"/>
      <c r="C35" s="8"/>
      <c r="D35" s="10"/>
      <c r="E35" s="8"/>
      <c r="F35" s="10"/>
      <c r="G35" s="12"/>
      <c r="H35" s="12"/>
      <c r="I35" s="8">
        <f t="shared" si="2"/>
        <v>0</v>
      </c>
      <c r="J35" s="16">
        <f t="shared" si="3"/>
        <v>0</v>
      </c>
    </row>
    <row r="36" spans="1:12" x14ac:dyDescent="0.2">
      <c r="A36" s="108" t="s">
        <v>27</v>
      </c>
      <c r="B36" s="109"/>
      <c r="C36" s="9">
        <f>SUM(C4:C34)</f>
        <v>169638</v>
      </c>
      <c r="D36" s="9"/>
      <c r="E36" s="9">
        <f>SUM(E4:E34)</f>
        <v>100142</v>
      </c>
      <c r="F36" s="9">
        <f>MAX(F4:F34)</f>
        <v>616</v>
      </c>
      <c r="G36" s="11"/>
      <c r="H36" s="11"/>
      <c r="I36" s="8">
        <f>+E36+C36</f>
        <v>269780</v>
      </c>
      <c r="J36" s="16">
        <f>(C36*0.288)+(E36*0.177)</f>
        <v>66580.877999999997</v>
      </c>
    </row>
    <row r="37" spans="1:12" x14ac:dyDescent="0.2">
      <c r="A37" s="17">
        <f>COUNT(A4:A34)</f>
        <v>31</v>
      </c>
      <c r="C37" s="1">
        <f>COUNTIF(C4:C34,"&gt;0")</f>
        <v>29</v>
      </c>
      <c r="G37" s="1"/>
    </row>
    <row r="39" spans="1:12" ht="15.75" x14ac:dyDescent="0.25">
      <c r="A39" s="13" t="s">
        <v>28</v>
      </c>
    </row>
  </sheetData>
  <mergeCells count="1">
    <mergeCell ref="A36:B36"/>
  </mergeCells>
  <pageMargins left="0.21" right="0.21" top="0.57999999999999996" bottom="0.69" header="0.5" footer="0.5"/>
  <pageSetup paperSize="9" scale="64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L40"/>
  <sheetViews>
    <sheetView zoomScaleNormal="100" workbookViewId="0">
      <selection activeCell="F35" sqref="F35"/>
    </sheetView>
  </sheetViews>
  <sheetFormatPr defaultRowHeight="12.75" x14ac:dyDescent="0.2"/>
  <cols>
    <col min="1" max="1" width="14" style="4" customWidth="1"/>
    <col min="2" max="2" width="20.28515625" style="1" bestFit="1" customWidth="1"/>
    <col min="3" max="3" width="18.85546875" style="1" bestFit="1" customWidth="1"/>
    <col min="4" max="4" width="20.28515625" style="1" bestFit="1" customWidth="1"/>
    <col min="5" max="5" width="18.85546875" style="1" customWidth="1"/>
    <col min="6" max="6" width="14.7109375" style="1" customWidth="1"/>
    <col min="7" max="7" width="11.28515625" customWidth="1"/>
    <col min="8" max="8" width="13.85546875" customWidth="1"/>
    <col min="9" max="9" width="19.140625" style="1" bestFit="1" customWidth="1"/>
    <col min="10" max="10" width="10.140625" style="14" bestFit="1" customWidth="1"/>
  </cols>
  <sheetData>
    <row r="1" spans="1:12" ht="18" x14ac:dyDescent="0.25">
      <c r="A1" s="6" t="s">
        <v>13</v>
      </c>
    </row>
    <row r="2" spans="1:12" ht="18" x14ac:dyDescent="0.25">
      <c r="A2" s="2"/>
      <c r="B2" s="7" t="s">
        <v>14</v>
      </c>
      <c r="C2" s="7" t="s">
        <v>15</v>
      </c>
      <c r="D2" s="7" t="s">
        <v>14</v>
      </c>
      <c r="E2" s="7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15" t="s">
        <v>20</v>
      </c>
    </row>
    <row r="3" spans="1:12" x14ac:dyDescent="0.2">
      <c r="A3" s="3"/>
      <c r="B3" s="7" t="s">
        <v>21</v>
      </c>
      <c r="C3" s="7" t="s">
        <v>21</v>
      </c>
      <c r="D3" s="7" t="s">
        <v>22</v>
      </c>
      <c r="E3" s="7" t="s">
        <v>22</v>
      </c>
      <c r="F3" s="35" t="s">
        <v>21</v>
      </c>
      <c r="G3" s="7" t="s">
        <v>23</v>
      </c>
      <c r="H3" s="11"/>
      <c r="I3" s="7" t="s">
        <v>24</v>
      </c>
      <c r="J3" s="15" t="s">
        <v>25</v>
      </c>
    </row>
    <row r="4" spans="1:12" x14ac:dyDescent="0.2">
      <c r="A4" s="5">
        <v>44562</v>
      </c>
      <c r="B4" s="10">
        <v>2141</v>
      </c>
      <c r="C4" s="8">
        <f>IF(B5-B4 &lt; 0,0,B5-B4)</f>
        <v>2019</v>
      </c>
      <c r="D4" s="10">
        <v>1867</v>
      </c>
      <c r="E4" s="8">
        <f t="shared" ref="E4:E33" si="0">IF(D5-D4 &lt; 0,0,D5-D4)</f>
        <v>915</v>
      </c>
      <c r="F4" s="10">
        <v>186</v>
      </c>
      <c r="G4" s="39">
        <v>0.4</v>
      </c>
      <c r="H4" s="12" t="s">
        <v>26</v>
      </c>
      <c r="I4" s="8">
        <f>+E4+C4</f>
        <v>2934</v>
      </c>
      <c r="J4" s="16">
        <f>(C4*0.288)+(E4*0.177)</f>
        <v>743.42699999999991</v>
      </c>
      <c r="L4" s="101">
        <f>C4+E4</f>
        <v>2934</v>
      </c>
    </row>
    <row r="5" spans="1:12" x14ac:dyDescent="0.2">
      <c r="A5" s="5">
        <v>44563</v>
      </c>
      <c r="B5" s="10">
        <v>4160</v>
      </c>
      <c r="C5" s="8">
        <f t="shared" ref="C5:C31" si="1">IF(B6-B5 &lt; 0,0,B6-B5)</f>
        <v>2003</v>
      </c>
      <c r="D5" s="10">
        <v>2782</v>
      </c>
      <c r="E5" s="8">
        <f t="shared" si="0"/>
        <v>1056</v>
      </c>
      <c r="F5" s="10">
        <v>186</v>
      </c>
      <c r="G5" s="39">
        <v>0.21</v>
      </c>
      <c r="H5" s="12" t="s">
        <v>26</v>
      </c>
      <c r="I5" s="8">
        <f t="shared" ref="I5:I35" si="2">+E5+C5</f>
        <v>3059</v>
      </c>
      <c r="J5" s="16">
        <f t="shared" ref="J5:J35" si="3">(C5*0.288)+(E5*0.177)</f>
        <v>763.77599999999984</v>
      </c>
      <c r="L5" s="101">
        <f t="shared" ref="L5:L34" si="4">C5+E5</f>
        <v>3059</v>
      </c>
    </row>
    <row r="6" spans="1:12" x14ac:dyDescent="0.2">
      <c r="A6" s="5">
        <v>44564</v>
      </c>
      <c r="B6" s="10">
        <v>6163</v>
      </c>
      <c r="C6" s="8">
        <f t="shared" si="1"/>
        <v>1956</v>
      </c>
      <c r="D6" s="10">
        <v>3838</v>
      </c>
      <c r="E6" s="8">
        <f t="shared" si="0"/>
        <v>747</v>
      </c>
      <c r="F6" s="10">
        <v>187</v>
      </c>
      <c r="G6" s="39">
        <v>0.25</v>
      </c>
      <c r="H6" s="12" t="s">
        <v>26</v>
      </c>
      <c r="I6" s="8">
        <f t="shared" si="2"/>
        <v>2703</v>
      </c>
      <c r="J6" s="16">
        <f t="shared" si="3"/>
        <v>695.54700000000003</v>
      </c>
      <c r="L6" s="101">
        <f t="shared" si="4"/>
        <v>2703</v>
      </c>
    </row>
    <row r="7" spans="1:12" x14ac:dyDescent="0.2">
      <c r="A7" s="5">
        <v>44565</v>
      </c>
      <c r="B7" s="10">
        <v>8119</v>
      </c>
      <c r="C7" s="8">
        <f t="shared" si="1"/>
        <v>1996</v>
      </c>
      <c r="D7" s="10">
        <v>4585</v>
      </c>
      <c r="E7" s="8">
        <f t="shared" si="0"/>
        <v>937</v>
      </c>
      <c r="F7" s="10">
        <v>187</v>
      </c>
      <c r="G7" s="39">
        <v>0.37</v>
      </c>
      <c r="H7" s="12" t="s">
        <v>26</v>
      </c>
      <c r="I7" s="8">
        <f t="shared" si="2"/>
        <v>2933</v>
      </c>
      <c r="J7" s="16">
        <f t="shared" si="3"/>
        <v>740.69699999999989</v>
      </c>
      <c r="L7" s="101">
        <f t="shared" si="4"/>
        <v>2933</v>
      </c>
    </row>
    <row r="8" spans="1:12" x14ac:dyDescent="0.2">
      <c r="A8" s="5">
        <v>44566</v>
      </c>
      <c r="B8" s="10">
        <v>10115</v>
      </c>
      <c r="C8" s="8">
        <f t="shared" si="1"/>
        <v>2098</v>
      </c>
      <c r="D8" s="10">
        <v>5522</v>
      </c>
      <c r="E8" s="8">
        <f t="shared" si="0"/>
        <v>906</v>
      </c>
      <c r="F8" s="10">
        <v>187</v>
      </c>
      <c r="G8" s="39">
        <v>0.34</v>
      </c>
      <c r="H8" s="12" t="s">
        <v>26</v>
      </c>
      <c r="I8" s="8">
        <f t="shared" si="2"/>
        <v>3004</v>
      </c>
      <c r="J8" s="16">
        <f t="shared" si="3"/>
        <v>764.5859999999999</v>
      </c>
      <c r="L8" s="101">
        <f t="shared" si="4"/>
        <v>3004</v>
      </c>
    </row>
    <row r="9" spans="1:12" x14ac:dyDescent="0.2">
      <c r="A9" s="5">
        <v>44567</v>
      </c>
      <c r="B9" s="10">
        <v>12213</v>
      </c>
      <c r="C9" s="8">
        <f t="shared" si="1"/>
        <v>1960</v>
      </c>
      <c r="D9" s="10">
        <v>6428</v>
      </c>
      <c r="E9" s="8">
        <f t="shared" si="0"/>
        <v>828</v>
      </c>
      <c r="F9" s="10">
        <v>187</v>
      </c>
      <c r="G9" s="39">
        <v>0.32</v>
      </c>
      <c r="H9" s="12" t="s">
        <v>26</v>
      </c>
      <c r="I9" s="8">
        <f t="shared" si="2"/>
        <v>2788</v>
      </c>
      <c r="J9" s="16">
        <f t="shared" si="3"/>
        <v>711.03599999999983</v>
      </c>
      <c r="L9" s="101">
        <f t="shared" si="4"/>
        <v>2788</v>
      </c>
    </row>
    <row r="10" spans="1:12" x14ac:dyDescent="0.2">
      <c r="A10" s="5">
        <v>44568</v>
      </c>
      <c r="B10" s="10">
        <v>14173</v>
      </c>
      <c r="C10" s="8">
        <f t="shared" si="1"/>
        <v>1962</v>
      </c>
      <c r="D10" s="10">
        <v>7256</v>
      </c>
      <c r="E10" s="8">
        <f t="shared" si="0"/>
        <v>770</v>
      </c>
      <c r="F10" s="10">
        <v>187</v>
      </c>
      <c r="G10" s="40">
        <v>0.32</v>
      </c>
      <c r="H10" s="12" t="s">
        <v>26</v>
      </c>
      <c r="I10" s="8">
        <f t="shared" si="2"/>
        <v>2732</v>
      </c>
      <c r="J10" s="16">
        <f t="shared" si="3"/>
        <v>701.34599999999989</v>
      </c>
      <c r="L10" s="101">
        <f t="shared" si="4"/>
        <v>2732</v>
      </c>
    </row>
    <row r="11" spans="1:12" x14ac:dyDescent="0.2">
      <c r="A11" s="5">
        <v>44569</v>
      </c>
      <c r="B11" s="10">
        <v>16135</v>
      </c>
      <c r="C11" s="8">
        <f t="shared" si="1"/>
        <v>1831</v>
      </c>
      <c r="D11" s="10">
        <v>8026</v>
      </c>
      <c r="E11" s="8">
        <f t="shared" si="0"/>
        <v>859</v>
      </c>
      <c r="F11" s="10">
        <v>186</v>
      </c>
      <c r="G11" s="39">
        <v>0.34</v>
      </c>
      <c r="H11" s="12" t="s">
        <v>26</v>
      </c>
      <c r="I11" s="8">
        <f t="shared" si="2"/>
        <v>2690</v>
      </c>
      <c r="J11" s="16">
        <f t="shared" si="3"/>
        <v>679.37099999999998</v>
      </c>
      <c r="L11" s="101">
        <f t="shared" si="4"/>
        <v>2690</v>
      </c>
    </row>
    <row r="12" spans="1:12" x14ac:dyDescent="0.2">
      <c r="A12" s="5">
        <v>44570</v>
      </c>
      <c r="B12" s="10">
        <v>17966</v>
      </c>
      <c r="C12" s="8">
        <f t="shared" si="1"/>
        <v>1882</v>
      </c>
      <c r="D12" s="10">
        <v>8885</v>
      </c>
      <c r="E12" s="8">
        <f t="shared" si="0"/>
        <v>763</v>
      </c>
      <c r="F12" s="10">
        <v>186</v>
      </c>
      <c r="G12" s="39">
        <v>0.23</v>
      </c>
      <c r="H12" s="12" t="s">
        <v>26</v>
      </c>
      <c r="I12" s="8">
        <f t="shared" si="2"/>
        <v>2645</v>
      </c>
      <c r="J12" s="16">
        <f t="shared" si="3"/>
        <v>677.06700000000001</v>
      </c>
      <c r="L12" s="101">
        <f t="shared" si="4"/>
        <v>2645</v>
      </c>
    </row>
    <row r="13" spans="1:12" x14ac:dyDescent="0.2">
      <c r="A13" s="5">
        <v>44571</v>
      </c>
      <c r="B13" s="10">
        <v>19848</v>
      </c>
      <c r="C13" s="8">
        <f t="shared" si="1"/>
        <v>1737</v>
      </c>
      <c r="D13" s="10">
        <v>9648</v>
      </c>
      <c r="E13" s="8">
        <f t="shared" si="0"/>
        <v>636</v>
      </c>
      <c r="F13" s="10">
        <v>186</v>
      </c>
      <c r="G13" s="39">
        <v>0.24</v>
      </c>
      <c r="H13" s="12" t="s">
        <v>26</v>
      </c>
      <c r="I13" s="8">
        <f t="shared" si="2"/>
        <v>2373</v>
      </c>
      <c r="J13" s="16">
        <f t="shared" si="3"/>
        <v>612.82799999999997</v>
      </c>
      <c r="L13" s="101">
        <f t="shared" si="4"/>
        <v>2373</v>
      </c>
    </row>
    <row r="14" spans="1:12" x14ac:dyDescent="0.2">
      <c r="A14" s="5">
        <v>44572</v>
      </c>
      <c r="B14" s="10">
        <v>21585</v>
      </c>
      <c r="C14" s="8">
        <f t="shared" si="1"/>
        <v>1889</v>
      </c>
      <c r="D14" s="10">
        <v>10284</v>
      </c>
      <c r="E14" s="8">
        <f>IF(D15-D14 &lt; 0,0,D15-D14)</f>
        <v>888</v>
      </c>
      <c r="F14" s="10">
        <v>186</v>
      </c>
      <c r="G14" s="39">
        <v>0.17</v>
      </c>
      <c r="H14" s="12" t="s">
        <v>26</v>
      </c>
      <c r="I14" s="8">
        <f t="shared" si="2"/>
        <v>2777</v>
      </c>
      <c r="J14" s="16">
        <f t="shared" si="3"/>
        <v>701.20799999999986</v>
      </c>
      <c r="L14" s="101">
        <f t="shared" si="4"/>
        <v>2777</v>
      </c>
    </row>
    <row r="15" spans="1:12" x14ac:dyDescent="0.2">
      <c r="A15" s="5">
        <v>44573</v>
      </c>
      <c r="B15" s="10">
        <v>23474</v>
      </c>
      <c r="C15" s="8">
        <f t="shared" si="1"/>
        <v>2022</v>
      </c>
      <c r="D15" s="10">
        <v>11172</v>
      </c>
      <c r="E15" s="8">
        <f>IF(D16-D15 &lt; 0,0,D16-D15)</f>
        <v>947</v>
      </c>
      <c r="F15" s="10">
        <v>186</v>
      </c>
      <c r="G15" s="39">
        <v>0.18</v>
      </c>
      <c r="H15" s="12" t="s">
        <v>26</v>
      </c>
      <c r="I15" s="8">
        <f t="shared" si="2"/>
        <v>2969</v>
      </c>
      <c r="J15" s="16">
        <f t="shared" si="3"/>
        <v>749.95500000000004</v>
      </c>
      <c r="L15" s="101">
        <f t="shared" si="4"/>
        <v>2969</v>
      </c>
    </row>
    <row r="16" spans="1:12" x14ac:dyDescent="0.2">
      <c r="A16" s="5">
        <v>44574</v>
      </c>
      <c r="B16" s="10">
        <v>25496</v>
      </c>
      <c r="C16" s="8">
        <f t="shared" si="1"/>
        <v>2023</v>
      </c>
      <c r="D16" s="10">
        <v>12119</v>
      </c>
      <c r="E16" s="8">
        <f t="shared" si="0"/>
        <v>833</v>
      </c>
      <c r="F16" s="10">
        <v>186</v>
      </c>
      <c r="G16" s="39">
        <v>0.21</v>
      </c>
      <c r="H16" s="12" t="s">
        <v>26</v>
      </c>
      <c r="I16" s="8">
        <f t="shared" si="2"/>
        <v>2856</v>
      </c>
      <c r="J16" s="16">
        <f t="shared" si="3"/>
        <v>730.06499999999994</v>
      </c>
      <c r="L16" s="101">
        <f t="shared" si="4"/>
        <v>2856</v>
      </c>
    </row>
    <row r="17" spans="1:12" x14ac:dyDescent="0.2">
      <c r="A17" s="5">
        <v>44575</v>
      </c>
      <c r="B17" s="10">
        <v>27519</v>
      </c>
      <c r="C17" s="8">
        <f t="shared" si="1"/>
        <v>1966</v>
      </c>
      <c r="D17" s="10">
        <v>12952</v>
      </c>
      <c r="E17" s="8">
        <f t="shared" si="0"/>
        <v>852</v>
      </c>
      <c r="F17" s="10">
        <v>186</v>
      </c>
      <c r="G17" s="39">
        <v>0.26</v>
      </c>
      <c r="H17" s="12" t="s">
        <v>26</v>
      </c>
      <c r="I17" s="8">
        <f t="shared" si="2"/>
        <v>2818</v>
      </c>
      <c r="J17" s="16">
        <f t="shared" si="3"/>
        <v>717.01199999999994</v>
      </c>
      <c r="L17" s="101">
        <f t="shared" si="4"/>
        <v>2818</v>
      </c>
    </row>
    <row r="18" spans="1:12" x14ac:dyDescent="0.2">
      <c r="A18" s="5">
        <v>44576</v>
      </c>
      <c r="B18" s="10">
        <v>29485</v>
      </c>
      <c r="C18" s="8">
        <f t="shared" si="1"/>
        <v>2058</v>
      </c>
      <c r="D18" s="10">
        <v>13804</v>
      </c>
      <c r="E18" s="8">
        <f t="shared" si="0"/>
        <v>784</v>
      </c>
      <c r="F18" s="10">
        <v>186</v>
      </c>
      <c r="G18" s="39">
        <v>0.45</v>
      </c>
      <c r="H18" s="12" t="s">
        <v>26</v>
      </c>
      <c r="I18" s="8">
        <f t="shared" si="2"/>
        <v>2842</v>
      </c>
      <c r="J18" s="16">
        <f t="shared" si="3"/>
        <v>731.47199999999998</v>
      </c>
      <c r="L18" s="101">
        <f t="shared" si="4"/>
        <v>2842</v>
      </c>
    </row>
    <row r="19" spans="1:12" x14ac:dyDescent="0.2">
      <c r="A19" s="5">
        <v>44577</v>
      </c>
      <c r="B19" s="10">
        <v>31543</v>
      </c>
      <c r="C19" s="8">
        <f t="shared" si="1"/>
        <v>1965</v>
      </c>
      <c r="D19" s="10">
        <v>14588</v>
      </c>
      <c r="E19" s="8">
        <f t="shared" si="0"/>
        <v>843</v>
      </c>
      <c r="F19" s="10">
        <v>186</v>
      </c>
      <c r="G19" s="39">
        <v>0.34</v>
      </c>
      <c r="H19" s="12" t="s">
        <v>26</v>
      </c>
      <c r="I19" s="8">
        <f t="shared" si="2"/>
        <v>2808</v>
      </c>
      <c r="J19" s="16">
        <f t="shared" si="3"/>
        <v>715.13099999999997</v>
      </c>
      <c r="L19" s="101">
        <f t="shared" si="4"/>
        <v>2808</v>
      </c>
    </row>
    <row r="20" spans="1:12" x14ac:dyDescent="0.2">
      <c r="A20" s="5">
        <v>44578</v>
      </c>
      <c r="B20" s="10">
        <v>33508</v>
      </c>
      <c r="C20" s="8">
        <f t="shared" si="1"/>
        <v>2008</v>
      </c>
      <c r="D20" s="10">
        <v>15431</v>
      </c>
      <c r="E20" s="8">
        <f t="shared" si="0"/>
        <v>814</v>
      </c>
      <c r="F20" s="10">
        <v>186</v>
      </c>
      <c r="G20" s="39">
        <v>0.35</v>
      </c>
      <c r="H20" s="12" t="s">
        <v>26</v>
      </c>
      <c r="I20" s="8">
        <f t="shared" si="2"/>
        <v>2822</v>
      </c>
      <c r="J20" s="16">
        <f t="shared" si="3"/>
        <v>722.38199999999995</v>
      </c>
      <c r="L20" s="101">
        <f t="shared" si="4"/>
        <v>2822</v>
      </c>
    </row>
    <row r="21" spans="1:12" x14ac:dyDescent="0.2">
      <c r="A21" s="5">
        <v>44579</v>
      </c>
      <c r="B21" s="10">
        <v>35516</v>
      </c>
      <c r="C21" s="8">
        <f t="shared" si="1"/>
        <v>1963</v>
      </c>
      <c r="D21" s="10">
        <v>16245</v>
      </c>
      <c r="E21" s="8">
        <f t="shared" si="0"/>
        <v>835</v>
      </c>
      <c r="F21" s="10">
        <v>186</v>
      </c>
      <c r="G21" s="39">
        <v>0.33</v>
      </c>
      <c r="H21" s="12" t="s">
        <v>26</v>
      </c>
      <c r="I21" s="8">
        <f t="shared" si="2"/>
        <v>2798</v>
      </c>
      <c r="J21" s="16">
        <f t="shared" si="3"/>
        <v>713.1389999999999</v>
      </c>
      <c r="L21" s="101">
        <f t="shared" si="4"/>
        <v>2798</v>
      </c>
    </row>
    <row r="22" spans="1:12" x14ac:dyDescent="0.2">
      <c r="A22" s="5">
        <v>44580</v>
      </c>
      <c r="B22" s="10">
        <v>37479</v>
      </c>
      <c r="C22" s="8">
        <f t="shared" si="1"/>
        <v>2108</v>
      </c>
      <c r="D22" s="10">
        <v>17080</v>
      </c>
      <c r="E22" s="8">
        <f t="shared" si="0"/>
        <v>986</v>
      </c>
      <c r="F22" s="10">
        <v>156</v>
      </c>
      <c r="G22" s="39">
        <v>0.32</v>
      </c>
      <c r="H22" s="12" t="s">
        <v>26</v>
      </c>
      <c r="I22" s="8">
        <f t="shared" si="2"/>
        <v>3094</v>
      </c>
      <c r="J22" s="16">
        <f t="shared" si="3"/>
        <v>781.62599999999998</v>
      </c>
      <c r="L22" s="101">
        <f t="shared" si="4"/>
        <v>3094</v>
      </c>
    </row>
    <row r="23" spans="1:12" x14ac:dyDescent="0.2">
      <c r="A23" s="5">
        <v>44581</v>
      </c>
      <c r="B23" s="10">
        <v>39587</v>
      </c>
      <c r="C23" s="8">
        <f t="shared" si="1"/>
        <v>2116</v>
      </c>
      <c r="D23" s="10">
        <v>18066</v>
      </c>
      <c r="E23" s="8">
        <f t="shared" si="0"/>
        <v>918</v>
      </c>
      <c r="F23" s="10">
        <v>156</v>
      </c>
      <c r="G23" s="39">
        <v>0.28000000000000003</v>
      </c>
      <c r="H23" s="12" t="s">
        <v>26</v>
      </c>
      <c r="I23" s="8">
        <f t="shared" si="2"/>
        <v>3034</v>
      </c>
      <c r="J23" s="16">
        <f t="shared" si="3"/>
        <v>771.89399999999989</v>
      </c>
      <c r="L23" s="101">
        <f t="shared" si="4"/>
        <v>3034</v>
      </c>
    </row>
    <row r="24" spans="1:12" x14ac:dyDescent="0.2">
      <c r="A24" s="5">
        <v>44582</v>
      </c>
      <c r="B24" s="10">
        <v>41703</v>
      </c>
      <c r="C24" s="8">
        <f t="shared" si="1"/>
        <v>2073</v>
      </c>
      <c r="D24" s="10">
        <v>18984</v>
      </c>
      <c r="E24" s="8">
        <f t="shared" si="0"/>
        <v>961</v>
      </c>
      <c r="F24" s="10">
        <v>186</v>
      </c>
      <c r="G24" s="39">
        <v>0.27</v>
      </c>
      <c r="H24" s="12" t="s">
        <v>26</v>
      </c>
      <c r="I24" s="8">
        <f t="shared" si="2"/>
        <v>3034</v>
      </c>
      <c r="J24" s="16">
        <f t="shared" si="3"/>
        <v>767.12099999999998</v>
      </c>
      <c r="L24" s="101">
        <f t="shared" si="4"/>
        <v>3034</v>
      </c>
    </row>
    <row r="25" spans="1:12" x14ac:dyDescent="0.2">
      <c r="A25" s="5">
        <v>44583</v>
      </c>
      <c r="B25" s="10">
        <v>43776</v>
      </c>
      <c r="C25" s="8">
        <f t="shared" si="1"/>
        <v>2060</v>
      </c>
      <c r="D25" s="10">
        <v>19945</v>
      </c>
      <c r="E25" s="8">
        <f t="shared" si="0"/>
        <v>888</v>
      </c>
      <c r="F25" s="10">
        <v>186</v>
      </c>
      <c r="G25" s="39">
        <v>0.28999999999999998</v>
      </c>
      <c r="H25" s="12" t="s">
        <v>26</v>
      </c>
      <c r="I25" s="8">
        <f t="shared" si="2"/>
        <v>2948</v>
      </c>
      <c r="J25" s="16">
        <f t="shared" si="3"/>
        <v>750.4559999999999</v>
      </c>
      <c r="L25" s="101">
        <f t="shared" si="4"/>
        <v>2948</v>
      </c>
    </row>
    <row r="26" spans="1:12" x14ac:dyDescent="0.2">
      <c r="A26" s="5">
        <v>44584</v>
      </c>
      <c r="B26" s="10">
        <v>45836</v>
      </c>
      <c r="C26" s="8">
        <f t="shared" si="1"/>
        <v>2091</v>
      </c>
      <c r="D26" s="10">
        <v>20833</v>
      </c>
      <c r="E26" s="8">
        <f t="shared" si="0"/>
        <v>1000</v>
      </c>
      <c r="F26" s="10">
        <v>186</v>
      </c>
      <c r="G26" s="48">
        <v>0.15</v>
      </c>
      <c r="H26" s="12" t="s">
        <v>26</v>
      </c>
      <c r="I26" s="8">
        <f t="shared" si="2"/>
        <v>3091</v>
      </c>
      <c r="J26" s="16">
        <f t="shared" si="3"/>
        <v>779.20799999999997</v>
      </c>
      <c r="L26" s="101">
        <f t="shared" si="4"/>
        <v>3091</v>
      </c>
    </row>
    <row r="27" spans="1:12" x14ac:dyDescent="0.2">
      <c r="A27" s="5">
        <v>44585</v>
      </c>
      <c r="B27" s="10">
        <v>47927</v>
      </c>
      <c r="C27" s="8">
        <f t="shared" si="1"/>
        <v>2065</v>
      </c>
      <c r="D27" s="10">
        <v>21833</v>
      </c>
      <c r="E27" s="8">
        <f t="shared" si="0"/>
        <v>1035</v>
      </c>
      <c r="F27" s="10">
        <v>186</v>
      </c>
      <c r="G27" s="39">
        <v>0.18</v>
      </c>
      <c r="H27" s="12" t="s">
        <v>26</v>
      </c>
      <c r="I27" s="8">
        <f t="shared" si="2"/>
        <v>3100</v>
      </c>
      <c r="J27" s="16">
        <f t="shared" si="3"/>
        <v>777.91499999999996</v>
      </c>
      <c r="L27" s="101">
        <f t="shared" si="4"/>
        <v>3100</v>
      </c>
    </row>
    <row r="28" spans="1:12" x14ac:dyDescent="0.2">
      <c r="A28" s="5">
        <v>44586</v>
      </c>
      <c r="B28" s="10">
        <v>49992</v>
      </c>
      <c r="C28" s="8">
        <f t="shared" si="1"/>
        <v>2044</v>
      </c>
      <c r="D28" s="10">
        <v>22868</v>
      </c>
      <c r="E28" s="8">
        <f t="shared" si="0"/>
        <v>965</v>
      </c>
      <c r="F28" s="10">
        <v>186</v>
      </c>
      <c r="G28" s="39">
        <v>0.32</v>
      </c>
      <c r="H28" s="12" t="s">
        <v>26</v>
      </c>
      <c r="I28" s="8">
        <f t="shared" si="2"/>
        <v>3009</v>
      </c>
      <c r="J28" s="16">
        <f t="shared" si="3"/>
        <v>759.47699999999986</v>
      </c>
      <c r="L28" s="101">
        <f t="shared" si="4"/>
        <v>3009</v>
      </c>
    </row>
    <row r="29" spans="1:12" x14ac:dyDescent="0.2">
      <c r="A29" s="5">
        <v>44587</v>
      </c>
      <c r="B29" s="10">
        <v>52036</v>
      </c>
      <c r="C29" s="8">
        <f t="shared" si="1"/>
        <v>2212</v>
      </c>
      <c r="D29" s="10">
        <v>23833</v>
      </c>
      <c r="E29" s="8">
        <f t="shared" si="0"/>
        <v>1167</v>
      </c>
      <c r="F29" s="10">
        <v>186</v>
      </c>
      <c r="G29" s="39">
        <v>0.13</v>
      </c>
      <c r="H29" s="12" t="s">
        <v>26</v>
      </c>
      <c r="I29" s="8">
        <f t="shared" si="2"/>
        <v>3379</v>
      </c>
      <c r="J29" s="16">
        <f t="shared" si="3"/>
        <v>843.6149999999999</v>
      </c>
      <c r="L29" s="101">
        <f t="shared" si="4"/>
        <v>3379</v>
      </c>
    </row>
    <row r="30" spans="1:12" x14ac:dyDescent="0.2">
      <c r="A30" s="5">
        <v>44588</v>
      </c>
      <c r="B30" s="10">
        <v>54248</v>
      </c>
      <c r="C30" s="8">
        <f t="shared" si="1"/>
        <v>2006</v>
      </c>
      <c r="D30" s="10">
        <v>25000</v>
      </c>
      <c r="E30" s="8">
        <f t="shared" si="0"/>
        <v>1044</v>
      </c>
      <c r="F30" s="10">
        <v>187</v>
      </c>
      <c r="G30" s="39">
        <v>0.21</v>
      </c>
      <c r="H30" s="12" t="s">
        <v>26</v>
      </c>
      <c r="I30" s="8">
        <f t="shared" si="2"/>
        <v>3050</v>
      </c>
      <c r="J30" s="16">
        <f t="shared" si="3"/>
        <v>762.51599999999996</v>
      </c>
      <c r="L30" s="101">
        <f t="shared" si="4"/>
        <v>3050</v>
      </c>
    </row>
    <row r="31" spans="1:12" x14ac:dyDescent="0.2">
      <c r="A31" s="5">
        <v>44589</v>
      </c>
      <c r="B31" s="10">
        <v>56254</v>
      </c>
      <c r="C31" s="8">
        <f t="shared" si="1"/>
        <v>2156</v>
      </c>
      <c r="D31" s="10">
        <v>26044</v>
      </c>
      <c r="E31" s="8">
        <f t="shared" si="0"/>
        <v>1055</v>
      </c>
      <c r="F31" s="10">
        <v>187</v>
      </c>
      <c r="G31" s="39">
        <v>0.15</v>
      </c>
      <c r="H31" s="12" t="s">
        <v>26</v>
      </c>
      <c r="I31" s="8">
        <f t="shared" si="2"/>
        <v>3211</v>
      </c>
      <c r="J31" s="16">
        <f t="shared" si="3"/>
        <v>807.66300000000001</v>
      </c>
      <c r="L31" s="101">
        <f t="shared" si="4"/>
        <v>3211</v>
      </c>
    </row>
    <row r="32" spans="1:12" x14ac:dyDescent="0.2">
      <c r="A32" s="5">
        <v>44590</v>
      </c>
      <c r="B32" s="10">
        <v>58410</v>
      </c>
      <c r="C32" s="8">
        <f>IF(B33-B32 &lt; 0,0,B33-B32)</f>
        <v>2309</v>
      </c>
      <c r="D32" s="10">
        <v>27099</v>
      </c>
      <c r="E32" s="8">
        <f t="shared" si="0"/>
        <v>1128</v>
      </c>
      <c r="F32" s="10">
        <v>186</v>
      </c>
      <c r="G32" s="39">
        <v>0.39</v>
      </c>
      <c r="H32" s="12" t="s">
        <v>26</v>
      </c>
      <c r="I32" s="8">
        <f t="shared" si="2"/>
        <v>3437</v>
      </c>
      <c r="J32" s="16">
        <f t="shared" si="3"/>
        <v>864.64799999999991</v>
      </c>
      <c r="L32" s="101">
        <f t="shared" si="4"/>
        <v>3437</v>
      </c>
    </row>
    <row r="33" spans="1:12" x14ac:dyDescent="0.2">
      <c r="A33" s="5">
        <v>44591</v>
      </c>
      <c r="B33" s="10">
        <v>60719</v>
      </c>
      <c r="C33" s="8">
        <f>IF(B34-B33 &lt; 0,0,B34-B33)</f>
        <v>0</v>
      </c>
      <c r="D33" s="10">
        <v>28227</v>
      </c>
      <c r="E33" s="8">
        <f t="shared" si="0"/>
        <v>0</v>
      </c>
      <c r="F33" s="10">
        <v>207</v>
      </c>
      <c r="G33" s="39">
        <v>0.64</v>
      </c>
      <c r="H33" s="12" t="s">
        <v>26</v>
      </c>
      <c r="I33" s="8">
        <f t="shared" si="2"/>
        <v>0</v>
      </c>
      <c r="J33" s="16">
        <f t="shared" si="3"/>
        <v>0</v>
      </c>
      <c r="L33" s="101">
        <f t="shared" si="4"/>
        <v>0</v>
      </c>
    </row>
    <row r="34" spans="1:12" x14ac:dyDescent="0.2">
      <c r="A34" s="5">
        <v>44592</v>
      </c>
      <c r="B34" s="10">
        <v>0</v>
      </c>
      <c r="C34" s="8">
        <f>IF(B35-B34 &lt; 0,0,B35-B34)</f>
        <v>0</v>
      </c>
      <c r="D34" s="10">
        <v>189</v>
      </c>
      <c r="E34" s="8">
        <v>0</v>
      </c>
      <c r="F34" s="10">
        <v>0</v>
      </c>
      <c r="G34" s="39">
        <v>0.73</v>
      </c>
      <c r="H34" s="12" t="s">
        <v>26</v>
      </c>
      <c r="I34" s="8">
        <f t="shared" si="2"/>
        <v>0</v>
      </c>
      <c r="J34" s="16">
        <f t="shared" si="3"/>
        <v>0</v>
      </c>
      <c r="L34" s="101">
        <f t="shared" si="4"/>
        <v>0</v>
      </c>
    </row>
    <row r="35" spans="1:12" x14ac:dyDescent="0.2">
      <c r="A35" s="5"/>
      <c r="B35" s="37"/>
      <c r="C35" s="8"/>
      <c r="D35" s="10"/>
      <c r="E35" s="8"/>
      <c r="F35" s="10"/>
      <c r="G35" s="12"/>
      <c r="H35" s="12"/>
      <c r="I35" s="8">
        <f t="shared" si="2"/>
        <v>0</v>
      </c>
      <c r="J35" s="16">
        <f t="shared" si="3"/>
        <v>0</v>
      </c>
    </row>
    <row r="36" spans="1:12" ht="13.5" customHeight="1" x14ac:dyDescent="0.2">
      <c r="A36" s="108"/>
      <c r="B36" s="109"/>
      <c r="C36" s="9">
        <f>SUM(C4:C35)</f>
        <v>58578</v>
      </c>
      <c r="D36" s="9"/>
      <c r="E36" s="9">
        <f>SUM(E4:E35)</f>
        <v>26360</v>
      </c>
      <c r="F36" s="9">
        <f>MAX(F4:F34)</f>
        <v>207</v>
      </c>
      <c r="G36" s="11"/>
      <c r="H36" s="11"/>
      <c r="I36" s="8">
        <f>+E36+C36</f>
        <v>84938</v>
      </c>
      <c r="J36" s="16">
        <f>(C36*0.288)+(E36*0.177)</f>
        <v>21536.184000000001</v>
      </c>
    </row>
    <row r="37" spans="1:12" x14ac:dyDescent="0.2">
      <c r="A37" s="4">
        <f>COUNT(A4:A34)</f>
        <v>31</v>
      </c>
      <c r="G37" s="1"/>
      <c r="H37" t="s">
        <v>29</v>
      </c>
    </row>
    <row r="38" spans="1:12" x14ac:dyDescent="0.2">
      <c r="H38" t="s">
        <v>30</v>
      </c>
    </row>
    <row r="39" spans="1:12" ht="15.75" x14ac:dyDescent="0.25">
      <c r="A39" s="13" t="s">
        <v>28</v>
      </c>
      <c r="H39" t="s">
        <v>31</v>
      </c>
    </row>
    <row r="40" spans="1:12" x14ac:dyDescent="0.2">
      <c r="H40" t="s">
        <v>32</v>
      </c>
    </row>
  </sheetData>
  <mergeCells count="1">
    <mergeCell ref="A36:B36"/>
  </mergeCells>
  <pageMargins left="0.24" right="0.18" top="0.63" bottom="0.56999999999999995" header="0.5" footer="0.5"/>
  <pageSetup paperSize="9" scale="51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40"/>
  <sheetViews>
    <sheetView zoomScaleNormal="100" workbookViewId="0">
      <selection activeCell="F35" sqref="F35"/>
    </sheetView>
  </sheetViews>
  <sheetFormatPr defaultRowHeight="12.75" x14ac:dyDescent="0.2"/>
  <cols>
    <col min="1" max="1" width="14" style="4" customWidth="1"/>
    <col min="2" max="2" width="20.28515625" style="1" bestFit="1" customWidth="1"/>
    <col min="3" max="3" width="18.85546875" style="1" bestFit="1" customWidth="1"/>
    <col min="4" max="4" width="20.28515625" style="1" bestFit="1" customWidth="1"/>
    <col min="5" max="5" width="18.85546875" style="1" customWidth="1"/>
    <col min="6" max="6" width="14.7109375" style="1" customWidth="1"/>
    <col min="7" max="7" width="11.28515625" customWidth="1"/>
    <col min="8" max="8" width="18.7109375" style="41" customWidth="1"/>
    <col min="9" max="9" width="19.140625" style="1" bestFit="1" customWidth="1"/>
    <col min="10" max="10" width="10.140625" style="14" bestFit="1" customWidth="1"/>
  </cols>
  <sheetData>
    <row r="1" spans="1:12" ht="18" x14ac:dyDescent="0.25">
      <c r="A1" s="6" t="s">
        <v>13</v>
      </c>
    </row>
    <row r="2" spans="1:12" ht="18" x14ac:dyDescent="0.25">
      <c r="A2" s="2"/>
      <c r="B2" s="7" t="s">
        <v>14</v>
      </c>
      <c r="C2" s="7" t="s">
        <v>15</v>
      </c>
      <c r="D2" s="7" t="s">
        <v>14</v>
      </c>
      <c r="E2" s="7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15" t="s">
        <v>20</v>
      </c>
    </row>
    <row r="3" spans="1:12" x14ac:dyDescent="0.2">
      <c r="A3" s="3"/>
      <c r="B3" s="7" t="s">
        <v>21</v>
      </c>
      <c r="C3" s="7" t="s">
        <v>21</v>
      </c>
      <c r="D3" s="7"/>
      <c r="E3" s="7" t="s">
        <v>22</v>
      </c>
      <c r="F3" s="35" t="s">
        <v>21</v>
      </c>
      <c r="G3" s="7" t="s">
        <v>23</v>
      </c>
      <c r="H3" s="42"/>
      <c r="I3" s="7" t="s">
        <v>24</v>
      </c>
      <c r="J3" s="15" t="s">
        <v>25</v>
      </c>
    </row>
    <row r="4" spans="1:12" x14ac:dyDescent="0.2">
      <c r="A4" s="5">
        <v>44562</v>
      </c>
      <c r="B4" s="10">
        <v>4808</v>
      </c>
      <c r="C4" s="8">
        <f>IF(B5-B4 &lt; 0,0,B5-B4)</f>
        <v>4559</v>
      </c>
      <c r="D4" s="10">
        <v>4865</v>
      </c>
      <c r="E4" s="8">
        <f>IF(D5-D4 &lt; 0,0,D5-D4)</f>
        <v>3183</v>
      </c>
      <c r="F4" s="10">
        <v>308</v>
      </c>
      <c r="G4" s="39">
        <v>0.4</v>
      </c>
      <c r="H4" s="12" t="s">
        <v>26</v>
      </c>
      <c r="I4" s="8">
        <f>+E4+C4</f>
        <v>7742</v>
      </c>
      <c r="J4" s="16">
        <f>(C4*0.288)+(E4*0.177)</f>
        <v>1876.3829999999998</v>
      </c>
      <c r="L4" s="101">
        <f>C4+E4</f>
        <v>7742</v>
      </c>
    </row>
    <row r="5" spans="1:12" x14ac:dyDescent="0.2">
      <c r="A5" s="5">
        <v>44563</v>
      </c>
      <c r="B5" s="10">
        <v>9367</v>
      </c>
      <c r="C5" s="8">
        <f t="shared" ref="C5:C34" si="0">IF(B6-B5 &lt; 0,0,B6-B5)</f>
        <v>4059</v>
      </c>
      <c r="D5" s="10">
        <v>8048</v>
      </c>
      <c r="E5" s="8">
        <f t="shared" ref="E5:E34" si="1">IF(D6-D5 &lt; 0,0,D6-D5)</f>
        <v>2423</v>
      </c>
      <c r="F5" s="10">
        <v>383</v>
      </c>
      <c r="G5" s="39">
        <v>0.21</v>
      </c>
      <c r="H5" s="12" t="s">
        <v>26</v>
      </c>
      <c r="I5" s="8">
        <f>+E5+C5</f>
        <v>6482</v>
      </c>
      <c r="J5" s="16">
        <f t="shared" ref="J5:J35" si="2">(C5*0.288)+(E5*0.177)</f>
        <v>1597.8629999999998</v>
      </c>
      <c r="L5" s="101">
        <f t="shared" ref="L5:L34" si="3">C5+E5</f>
        <v>6482</v>
      </c>
    </row>
    <row r="6" spans="1:12" s="47" customFormat="1" ht="11.25" customHeight="1" x14ac:dyDescent="0.2">
      <c r="A6" s="5">
        <v>44564</v>
      </c>
      <c r="B6" s="44">
        <v>13426</v>
      </c>
      <c r="C6" s="45">
        <f t="shared" si="0"/>
        <v>4279</v>
      </c>
      <c r="D6" s="44">
        <v>10471</v>
      </c>
      <c r="E6" s="45">
        <f t="shared" si="1"/>
        <v>2758</v>
      </c>
      <c r="F6" s="44">
        <v>383</v>
      </c>
      <c r="G6" s="39">
        <v>0.25</v>
      </c>
      <c r="H6" s="12" t="s">
        <v>26</v>
      </c>
      <c r="I6" s="45">
        <f>+E6+C6</f>
        <v>7037</v>
      </c>
      <c r="J6" s="46">
        <f t="shared" si="2"/>
        <v>1720.5179999999998</v>
      </c>
      <c r="L6" s="101">
        <f t="shared" si="3"/>
        <v>7037</v>
      </c>
    </row>
    <row r="7" spans="1:12" x14ac:dyDescent="0.2">
      <c r="A7" s="5">
        <v>44565</v>
      </c>
      <c r="B7" s="10">
        <v>17705</v>
      </c>
      <c r="C7" s="8">
        <f t="shared" si="0"/>
        <v>4269</v>
      </c>
      <c r="D7" s="10">
        <v>13229</v>
      </c>
      <c r="E7" s="8">
        <f t="shared" si="1"/>
        <v>2645</v>
      </c>
      <c r="F7" s="12">
        <v>383</v>
      </c>
      <c r="G7" s="39">
        <v>0.37</v>
      </c>
      <c r="H7" s="12" t="s">
        <v>26</v>
      </c>
      <c r="I7" s="8">
        <f t="shared" ref="I7:I35" si="4">+E7+C7</f>
        <v>6914</v>
      </c>
      <c r="J7" s="16">
        <f t="shared" si="2"/>
        <v>1697.6369999999999</v>
      </c>
      <c r="L7" s="101">
        <f t="shared" si="3"/>
        <v>6914</v>
      </c>
    </row>
    <row r="8" spans="1:12" x14ac:dyDescent="0.2">
      <c r="A8" s="5">
        <v>44566</v>
      </c>
      <c r="B8" s="10">
        <v>21974</v>
      </c>
      <c r="C8" s="8">
        <f t="shared" si="0"/>
        <v>4609</v>
      </c>
      <c r="D8" s="10">
        <v>15874</v>
      </c>
      <c r="E8" s="8">
        <f t="shared" si="1"/>
        <v>2776</v>
      </c>
      <c r="F8" s="12">
        <v>383</v>
      </c>
      <c r="G8" s="39">
        <v>0.34</v>
      </c>
      <c r="H8" s="12" t="s">
        <v>26</v>
      </c>
      <c r="I8" s="8">
        <f t="shared" si="4"/>
        <v>7385</v>
      </c>
      <c r="J8" s="16">
        <f t="shared" si="2"/>
        <v>1818.7439999999997</v>
      </c>
      <c r="L8" s="101">
        <f t="shared" si="3"/>
        <v>7385</v>
      </c>
    </row>
    <row r="9" spans="1:12" x14ac:dyDescent="0.2">
      <c r="A9" s="5">
        <v>44567</v>
      </c>
      <c r="B9" s="10">
        <v>26583</v>
      </c>
      <c r="C9" s="8">
        <f t="shared" si="0"/>
        <v>3719</v>
      </c>
      <c r="D9" s="10">
        <v>18650</v>
      </c>
      <c r="E9" s="8">
        <f t="shared" si="1"/>
        <v>2855</v>
      </c>
      <c r="F9" s="10">
        <v>384</v>
      </c>
      <c r="G9" s="39">
        <v>0.32</v>
      </c>
      <c r="H9" s="12" t="s">
        <v>26</v>
      </c>
      <c r="I9" s="8">
        <f t="shared" si="4"/>
        <v>6574</v>
      </c>
      <c r="J9" s="16">
        <f t="shared" si="2"/>
        <v>1576.4069999999999</v>
      </c>
      <c r="L9" s="101">
        <f t="shared" si="3"/>
        <v>6574</v>
      </c>
    </row>
    <row r="10" spans="1:12" x14ac:dyDescent="0.2">
      <c r="A10" s="5">
        <v>44568</v>
      </c>
      <c r="B10" s="10">
        <v>30302</v>
      </c>
      <c r="C10" s="8">
        <f t="shared" si="0"/>
        <v>6299</v>
      </c>
      <c r="D10" s="10">
        <v>21505</v>
      </c>
      <c r="E10" s="8">
        <f t="shared" si="1"/>
        <v>3185</v>
      </c>
      <c r="F10" s="10">
        <v>384</v>
      </c>
      <c r="G10" s="40">
        <v>0.32</v>
      </c>
      <c r="H10" s="12" t="s">
        <v>26</v>
      </c>
      <c r="I10" s="8">
        <f t="shared" si="4"/>
        <v>9484</v>
      </c>
      <c r="J10" s="16">
        <f t="shared" si="2"/>
        <v>2377.857</v>
      </c>
      <c r="L10" s="101">
        <f t="shared" si="3"/>
        <v>9484</v>
      </c>
    </row>
    <row r="11" spans="1:12" x14ac:dyDescent="0.2">
      <c r="A11" s="5">
        <v>44569</v>
      </c>
      <c r="B11" s="10">
        <v>36601</v>
      </c>
      <c r="C11" s="8">
        <f t="shared" si="0"/>
        <v>5108</v>
      </c>
      <c r="D11" s="10">
        <v>24690</v>
      </c>
      <c r="E11" s="8">
        <f t="shared" si="1"/>
        <v>3034</v>
      </c>
      <c r="F11" s="10">
        <v>444</v>
      </c>
      <c r="G11" s="39">
        <v>0.34</v>
      </c>
      <c r="H11" s="12" t="s">
        <v>26</v>
      </c>
      <c r="I11" s="8">
        <f t="shared" si="4"/>
        <v>8142</v>
      </c>
      <c r="J11" s="16">
        <f t="shared" si="2"/>
        <v>2008.1219999999998</v>
      </c>
      <c r="L11" s="101">
        <f t="shared" si="3"/>
        <v>8142</v>
      </c>
    </row>
    <row r="12" spans="1:12" x14ac:dyDescent="0.2">
      <c r="A12" s="5">
        <v>44570</v>
      </c>
      <c r="B12" s="10">
        <v>41709</v>
      </c>
      <c r="C12" s="8">
        <f t="shared" si="0"/>
        <v>4989</v>
      </c>
      <c r="D12" s="10">
        <v>27724</v>
      </c>
      <c r="E12" s="8">
        <f t="shared" si="1"/>
        <v>2662</v>
      </c>
      <c r="F12" s="10">
        <v>444</v>
      </c>
      <c r="G12" s="39">
        <v>0.23</v>
      </c>
      <c r="H12" s="12" t="s">
        <v>26</v>
      </c>
      <c r="I12" s="8">
        <f t="shared" si="4"/>
        <v>7651</v>
      </c>
      <c r="J12" s="16">
        <f t="shared" si="2"/>
        <v>1908.0059999999999</v>
      </c>
      <c r="L12" s="101">
        <f t="shared" si="3"/>
        <v>7651</v>
      </c>
    </row>
    <row r="13" spans="1:12" x14ac:dyDescent="0.2">
      <c r="A13" s="5">
        <v>44571</v>
      </c>
      <c r="B13" s="10">
        <v>46698</v>
      </c>
      <c r="C13" s="8">
        <f t="shared" si="0"/>
        <v>4888</v>
      </c>
      <c r="D13" s="10">
        <v>30386</v>
      </c>
      <c r="E13" s="8">
        <f t="shared" si="1"/>
        <v>3028</v>
      </c>
      <c r="F13" s="10">
        <v>444</v>
      </c>
      <c r="G13" s="39">
        <v>0.24</v>
      </c>
      <c r="H13" s="12" t="s">
        <v>26</v>
      </c>
      <c r="I13" s="8">
        <f t="shared" si="4"/>
        <v>7916</v>
      </c>
      <c r="J13" s="16">
        <f t="shared" si="2"/>
        <v>1943.6999999999998</v>
      </c>
      <c r="L13" s="101">
        <f t="shared" si="3"/>
        <v>7916</v>
      </c>
    </row>
    <row r="14" spans="1:12" x14ac:dyDescent="0.2">
      <c r="A14" s="5">
        <v>44572</v>
      </c>
      <c r="B14" s="10">
        <v>51586</v>
      </c>
      <c r="C14" s="8">
        <f t="shared" si="0"/>
        <v>4639</v>
      </c>
      <c r="D14" s="10">
        <v>33414</v>
      </c>
      <c r="E14" s="8">
        <f t="shared" si="1"/>
        <v>3076</v>
      </c>
      <c r="F14" s="10">
        <v>444</v>
      </c>
      <c r="G14" s="39">
        <v>0.17</v>
      </c>
      <c r="H14" s="12" t="s">
        <v>26</v>
      </c>
      <c r="I14" s="8">
        <f t="shared" si="4"/>
        <v>7715</v>
      </c>
      <c r="J14" s="16">
        <f t="shared" si="2"/>
        <v>1880.4839999999999</v>
      </c>
      <c r="L14" s="101">
        <f t="shared" si="3"/>
        <v>7715</v>
      </c>
    </row>
    <row r="15" spans="1:12" x14ac:dyDescent="0.2">
      <c r="A15" s="5">
        <v>44573</v>
      </c>
      <c r="B15" s="10">
        <v>56225</v>
      </c>
      <c r="C15" s="8">
        <f t="shared" si="0"/>
        <v>4598</v>
      </c>
      <c r="D15" s="10">
        <v>36490</v>
      </c>
      <c r="E15" s="8">
        <f t="shared" si="1"/>
        <v>3007</v>
      </c>
      <c r="F15" s="10">
        <v>444</v>
      </c>
      <c r="G15" s="39">
        <v>0.18</v>
      </c>
      <c r="H15" s="12" t="s">
        <v>26</v>
      </c>
      <c r="I15" s="8">
        <f t="shared" si="4"/>
        <v>7605</v>
      </c>
      <c r="J15" s="16">
        <f t="shared" si="2"/>
        <v>1856.4629999999997</v>
      </c>
      <c r="L15" s="101">
        <f t="shared" si="3"/>
        <v>7605</v>
      </c>
    </row>
    <row r="16" spans="1:12" x14ac:dyDescent="0.2">
      <c r="A16" s="5">
        <v>44574</v>
      </c>
      <c r="B16" s="10">
        <v>60823</v>
      </c>
      <c r="C16" s="8">
        <f t="shared" si="0"/>
        <v>4739</v>
      </c>
      <c r="D16" s="10">
        <v>39497</v>
      </c>
      <c r="E16" s="8">
        <f t="shared" si="1"/>
        <v>2855</v>
      </c>
      <c r="F16" s="10">
        <v>444</v>
      </c>
      <c r="G16" s="39">
        <v>0.21</v>
      </c>
      <c r="H16" s="12" t="s">
        <v>26</v>
      </c>
      <c r="I16" s="8">
        <f t="shared" si="4"/>
        <v>7594</v>
      </c>
      <c r="J16" s="16">
        <f t="shared" si="2"/>
        <v>1870.1669999999999</v>
      </c>
      <c r="L16" s="101">
        <f t="shared" si="3"/>
        <v>7594</v>
      </c>
    </row>
    <row r="17" spans="1:12" x14ac:dyDescent="0.2">
      <c r="A17" s="5">
        <v>44575</v>
      </c>
      <c r="B17" s="10">
        <v>65562</v>
      </c>
      <c r="C17" s="8">
        <f t="shared" si="0"/>
        <v>5048</v>
      </c>
      <c r="D17" s="10">
        <v>42352</v>
      </c>
      <c r="E17" s="8">
        <f t="shared" si="1"/>
        <v>3106</v>
      </c>
      <c r="F17" s="10">
        <v>444</v>
      </c>
      <c r="G17" s="39">
        <v>0.26</v>
      </c>
      <c r="H17" s="12" t="s">
        <v>26</v>
      </c>
      <c r="I17" s="8">
        <f t="shared" si="4"/>
        <v>8154</v>
      </c>
      <c r="J17" s="16">
        <f t="shared" si="2"/>
        <v>2003.5859999999998</v>
      </c>
      <c r="L17" s="101">
        <f t="shared" si="3"/>
        <v>8154</v>
      </c>
    </row>
    <row r="18" spans="1:12" x14ac:dyDescent="0.2">
      <c r="A18" s="5">
        <v>44576</v>
      </c>
      <c r="B18" s="10">
        <v>70610</v>
      </c>
      <c r="C18" s="8">
        <f t="shared" si="0"/>
        <v>5569</v>
      </c>
      <c r="D18" s="10">
        <v>45458</v>
      </c>
      <c r="E18" s="8">
        <f t="shared" si="1"/>
        <v>3165</v>
      </c>
      <c r="F18" s="10">
        <v>444</v>
      </c>
      <c r="G18" s="39">
        <v>0.45</v>
      </c>
      <c r="H18" s="12" t="s">
        <v>26</v>
      </c>
      <c r="I18" s="8">
        <f t="shared" si="4"/>
        <v>8734</v>
      </c>
      <c r="J18" s="16">
        <f t="shared" si="2"/>
        <v>2164.0769999999998</v>
      </c>
      <c r="L18" s="101">
        <f t="shared" si="3"/>
        <v>8734</v>
      </c>
    </row>
    <row r="19" spans="1:12" x14ac:dyDescent="0.2">
      <c r="A19" s="5">
        <v>44577</v>
      </c>
      <c r="B19" s="10">
        <v>76179</v>
      </c>
      <c r="C19" s="8">
        <f t="shared" si="0"/>
        <v>5248</v>
      </c>
      <c r="D19" s="10">
        <v>48623</v>
      </c>
      <c r="E19" s="8">
        <f t="shared" si="1"/>
        <v>3256</v>
      </c>
      <c r="F19" s="10">
        <v>463</v>
      </c>
      <c r="G19" s="39">
        <v>0.34</v>
      </c>
      <c r="H19" s="12" t="s">
        <v>26</v>
      </c>
      <c r="I19" s="8">
        <f t="shared" si="4"/>
        <v>8504</v>
      </c>
      <c r="J19" s="16">
        <f t="shared" si="2"/>
        <v>2087.7359999999999</v>
      </c>
      <c r="L19" s="101">
        <f t="shared" si="3"/>
        <v>8504</v>
      </c>
    </row>
    <row r="20" spans="1:12" x14ac:dyDescent="0.2">
      <c r="A20" s="5">
        <v>44578</v>
      </c>
      <c r="B20" s="10">
        <v>81427</v>
      </c>
      <c r="C20" s="8">
        <f t="shared" si="0"/>
        <v>5008</v>
      </c>
      <c r="D20" s="10">
        <v>51879</v>
      </c>
      <c r="E20" s="8">
        <f t="shared" si="1"/>
        <v>2974</v>
      </c>
      <c r="F20" s="10">
        <v>464</v>
      </c>
      <c r="G20" s="39">
        <v>0.35</v>
      </c>
      <c r="H20" s="12" t="s">
        <v>26</v>
      </c>
      <c r="I20" s="8">
        <f t="shared" si="4"/>
        <v>7982</v>
      </c>
      <c r="J20" s="16">
        <f t="shared" si="2"/>
        <v>1968.7019999999998</v>
      </c>
      <c r="L20" s="101">
        <f t="shared" si="3"/>
        <v>7982</v>
      </c>
    </row>
    <row r="21" spans="1:12" x14ac:dyDescent="0.2">
      <c r="A21" s="5">
        <v>44579</v>
      </c>
      <c r="B21" s="10">
        <v>86435</v>
      </c>
      <c r="C21" s="8">
        <f t="shared" si="0"/>
        <v>4789</v>
      </c>
      <c r="D21" s="10">
        <v>54853</v>
      </c>
      <c r="E21" s="8">
        <f t="shared" si="1"/>
        <v>3025</v>
      </c>
      <c r="F21" s="10">
        <v>463</v>
      </c>
      <c r="G21" s="39">
        <v>0.33</v>
      </c>
      <c r="H21" s="12" t="s">
        <v>26</v>
      </c>
      <c r="I21" s="8">
        <f t="shared" si="4"/>
        <v>7814</v>
      </c>
      <c r="J21" s="16">
        <f t="shared" si="2"/>
        <v>1914.6569999999999</v>
      </c>
      <c r="L21" s="101">
        <f t="shared" si="3"/>
        <v>7814</v>
      </c>
    </row>
    <row r="22" spans="1:12" x14ac:dyDescent="0.2">
      <c r="A22" s="5">
        <v>44580</v>
      </c>
      <c r="B22" s="10">
        <v>91224</v>
      </c>
      <c r="C22" s="8">
        <f t="shared" si="0"/>
        <v>4787</v>
      </c>
      <c r="D22" s="10">
        <v>57878</v>
      </c>
      <c r="E22" s="8">
        <f t="shared" si="1"/>
        <v>3015</v>
      </c>
      <c r="F22" s="10">
        <v>463</v>
      </c>
      <c r="G22" s="39">
        <v>0.32</v>
      </c>
      <c r="H22" s="12" t="s">
        <v>26</v>
      </c>
      <c r="I22" s="8">
        <f t="shared" si="4"/>
        <v>7802</v>
      </c>
      <c r="J22" s="16">
        <f t="shared" si="2"/>
        <v>1912.3109999999999</v>
      </c>
      <c r="L22" s="101">
        <f t="shared" si="3"/>
        <v>7802</v>
      </c>
    </row>
    <row r="23" spans="1:12" x14ac:dyDescent="0.2">
      <c r="A23" s="5">
        <v>44581</v>
      </c>
      <c r="B23" s="10">
        <v>96011</v>
      </c>
      <c r="C23" s="8">
        <f t="shared" si="0"/>
        <v>4697</v>
      </c>
      <c r="D23" s="10">
        <v>60893</v>
      </c>
      <c r="E23" s="8">
        <f t="shared" si="1"/>
        <v>2934</v>
      </c>
      <c r="F23" s="10">
        <v>463</v>
      </c>
      <c r="G23" s="39">
        <v>0.28000000000000003</v>
      </c>
      <c r="H23" s="12" t="s">
        <v>26</v>
      </c>
      <c r="I23" s="8">
        <f t="shared" si="4"/>
        <v>7631</v>
      </c>
      <c r="J23" s="16">
        <f t="shared" si="2"/>
        <v>1872.0539999999999</v>
      </c>
      <c r="L23" s="101">
        <f t="shared" si="3"/>
        <v>7631</v>
      </c>
    </row>
    <row r="24" spans="1:12" x14ac:dyDescent="0.2">
      <c r="A24" s="5">
        <v>44582</v>
      </c>
      <c r="B24" s="10">
        <v>100708</v>
      </c>
      <c r="C24" s="8">
        <f>IF(B25-B24 &lt; 0,0,B25-B24)</f>
        <v>5952</v>
      </c>
      <c r="D24" s="10">
        <v>63827</v>
      </c>
      <c r="E24" s="8">
        <f t="shared" si="1"/>
        <v>3350</v>
      </c>
      <c r="F24" s="10">
        <v>463</v>
      </c>
      <c r="G24" s="39">
        <v>0.27</v>
      </c>
      <c r="H24" s="12" t="s">
        <v>26</v>
      </c>
      <c r="I24" s="8">
        <f t="shared" si="4"/>
        <v>9302</v>
      </c>
      <c r="J24" s="16">
        <f t="shared" si="2"/>
        <v>2307.1259999999997</v>
      </c>
      <c r="L24" s="101">
        <f t="shared" si="3"/>
        <v>9302</v>
      </c>
    </row>
    <row r="25" spans="1:12" x14ac:dyDescent="0.2">
      <c r="A25" s="5">
        <v>44583</v>
      </c>
      <c r="B25" s="36">
        <v>106660</v>
      </c>
      <c r="C25" s="8">
        <f>IF(B26-B25 &lt; 0,0,B26-B25)</f>
        <v>4163</v>
      </c>
      <c r="D25" s="10">
        <v>67177</v>
      </c>
      <c r="E25" s="8">
        <f t="shared" si="1"/>
        <v>2911</v>
      </c>
      <c r="F25" s="10">
        <v>540</v>
      </c>
      <c r="G25" s="39">
        <v>0.28999999999999998</v>
      </c>
      <c r="H25" s="12" t="s">
        <v>26</v>
      </c>
      <c r="I25" s="8">
        <f t="shared" si="4"/>
        <v>7074</v>
      </c>
      <c r="J25" s="16">
        <f t="shared" si="2"/>
        <v>1714.1909999999998</v>
      </c>
      <c r="L25" s="101">
        <f t="shared" si="3"/>
        <v>7074</v>
      </c>
    </row>
    <row r="26" spans="1:12" x14ac:dyDescent="0.2">
      <c r="A26" s="5">
        <v>44584</v>
      </c>
      <c r="B26" s="10">
        <v>110823</v>
      </c>
      <c r="C26" s="8">
        <f t="shared" si="0"/>
        <v>4968</v>
      </c>
      <c r="D26" s="10">
        <v>70088</v>
      </c>
      <c r="E26" s="8">
        <f t="shared" si="1"/>
        <v>3045</v>
      </c>
      <c r="F26" s="10">
        <v>463</v>
      </c>
      <c r="G26" s="48">
        <v>0.15</v>
      </c>
      <c r="H26" s="12" t="s">
        <v>26</v>
      </c>
      <c r="I26" s="8">
        <f t="shared" si="4"/>
        <v>8013</v>
      </c>
      <c r="J26" s="16">
        <f t="shared" si="2"/>
        <v>1969.7489999999998</v>
      </c>
      <c r="L26" s="101">
        <f t="shared" si="3"/>
        <v>8013</v>
      </c>
    </row>
    <row r="27" spans="1:12" x14ac:dyDescent="0.2">
      <c r="A27" s="5">
        <v>44585</v>
      </c>
      <c r="B27" s="10">
        <v>115791</v>
      </c>
      <c r="C27" s="8">
        <f>IF(B28-B27 &lt; 0,0,B28-B27)</f>
        <v>5208</v>
      </c>
      <c r="D27" s="10">
        <v>73133</v>
      </c>
      <c r="E27" s="8">
        <f t="shared" si="1"/>
        <v>3296</v>
      </c>
      <c r="F27" s="10">
        <v>463</v>
      </c>
      <c r="G27" s="39">
        <v>0.18</v>
      </c>
      <c r="H27" s="12" t="s">
        <v>26</v>
      </c>
      <c r="I27" s="8">
        <f t="shared" si="4"/>
        <v>8504</v>
      </c>
      <c r="J27" s="16">
        <f t="shared" si="2"/>
        <v>2083.2959999999998</v>
      </c>
      <c r="L27" s="101">
        <f t="shared" si="3"/>
        <v>8504</v>
      </c>
    </row>
    <row r="28" spans="1:12" x14ac:dyDescent="0.2">
      <c r="A28" s="5">
        <v>44586</v>
      </c>
      <c r="B28" s="10">
        <v>120999</v>
      </c>
      <c r="C28" s="8">
        <f t="shared" si="0"/>
        <v>5709</v>
      </c>
      <c r="D28" s="10">
        <v>76429</v>
      </c>
      <c r="E28" s="8">
        <f t="shared" si="1"/>
        <v>3125</v>
      </c>
      <c r="F28" s="10">
        <v>463</v>
      </c>
      <c r="G28" s="39">
        <v>0.32</v>
      </c>
      <c r="H28" s="12" t="s">
        <v>26</v>
      </c>
      <c r="I28" s="8">
        <f t="shared" si="4"/>
        <v>8834</v>
      </c>
      <c r="J28" s="16">
        <f t="shared" si="2"/>
        <v>2197.317</v>
      </c>
      <c r="L28" s="101">
        <f t="shared" si="3"/>
        <v>8834</v>
      </c>
    </row>
    <row r="29" spans="1:12" x14ac:dyDescent="0.2">
      <c r="A29" s="5">
        <v>44587</v>
      </c>
      <c r="B29" s="10">
        <v>126708</v>
      </c>
      <c r="C29" s="8">
        <f t="shared" si="0"/>
        <v>4571</v>
      </c>
      <c r="D29" s="10">
        <v>79554</v>
      </c>
      <c r="E29" s="8">
        <f t="shared" si="1"/>
        <v>3177</v>
      </c>
      <c r="F29" s="10">
        <v>463</v>
      </c>
      <c r="G29" s="39">
        <v>0.13</v>
      </c>
      <c r="H29" s="12" t="s">
        <v>26</v>
      </c>
      <c r="I29" s="8">
        <f t="shared" si="4"/>
        <v>7748</v>
      </c>
      <c r="J29" s="16">
        <f t="shared" si="2"/>
        <v>1878.7769999999998</v>
      </c>
      <c r="L29" s="101">
        <f t="shared" si="3"/>
        <v>7748</v>
      </c>
    </row>
    <row r="30" spans="1:12" x14ac:dyDescent="0.2">
      <c r="A30" s="5">
        <v>44588</v>
      </c>
      <c r="B30" s="10">
        <v>131279</v>
      </c>
      <c r="C30" s="8">
        <f t="shared" si="0"/>
        <v>5218</v>
      </c>
      <c r="D30" s="10">
        <v>82731</v>
      </c>
      <c r="E30" s="8">
        <f t="shared" si="1"/>
        <v>3266</v>
      </c>
      <c r="F30" s="10">
        <v>463</v>
      </c>
      <c r="G30" s="39">
        <v>0.21</v>
      </c>
      <c r="H30" s="12" t="s">
        <v>26</v>
      </c>
      <c r="I30" s="8">
        <f t="shared" si="4"/>
        <v>8484</v>
      </c>
      <c r="J30" s="16">
        <f t="shared" si="2"/>
        <v>2080.866</v>
      </c>
      <c r="L30" s="101">
        <f t="shared" si="3"/>
        <v>8484</v>
      </c>
    </row>
    <row r="31" spans="1:12" x14ac:dyDescent="0.2">
      <c r="A31" s="5">
        <v>44589</v>
      </c>
      <c r="B31" s="10">
        <v>136497</v>
      </c>
      <c r="C31" s="8">
        <f t="shared" si="0"/>
        <v>5926</v>
      </c>
      <c r="D31" s="10">
        <v>85997</v>
      </c>
      <c r="E31" s="8">
        <f t="shared" si="1"/>
        <v>3595</v>
      </c>
      <c r="F31" s="10">
        <v>463</v>
      </c>
      <c r="G31" s="39">
        <v>0.15</v>
      </c>
      <c r="H31" s="12" t="s">
        <v>26</v>
      </c>
      <c r="I31" s="8">
        <f t="shared" si="4"/>
        <v>9521</v>
      </c>
      <c r="J31" s="16">
        <f t="shared" si="2"/>
        <v>2343.0029999999997</v>
      </c>
      <c r="L31" s="101">
        <f t="shared" si="3"/>
        <v>9521</v>
      </c>
    </row>
    <row r="32" spans="1:12" x14ac:dyDescent="0.2">
      <c r="A32" s="5">
        <v>44590</v>
      </c>
      <c r="B32" s="10">
        <v>142423</v>
      </c>
      <c r="C32" s="8">
        <f t="shared" si="0"/>
        <v>6149</v>
      </c>
      <c r="D32" s="10">
        <v>89592</v>
      </c>
      <c r="E32" s="8">
        <f t="shared" si="1"/>
        <v>3615</v>
      </c>
      <c r="F32" s="10">
        <v>484</v>
      </c>
      <c r="G32" s="39">
        <v>0.39</v>
      </c>
      <c r="H32" s="12" t="s">
        <v>26</v>
      </c>
      <c r="I32" s="8">
        <f t="shared" si="4"/>
        <v>9764</v>
      </c>
      <c r="J32" s="16">
        <f t="shared" si="2"/>
        <v>2410.7669999999998</v>
      </c>
      <c r="L32" s="101">
        <f t="shared" si="3"/>
        <v>9764</v>
      </c>
    </row>
    <row r="33" spans="1:12" x14ac:dyDescent="0.2">
      <c r="A33" s="5">
        <v>44591</v>
      </c>
      <c r="B33" s="10">
        <v>148572</v>
      </c>
      <c r="C33" s="8">
        <f t="shared" si="0"/>
        <v>0</v>
      </c>
      <c r="D33" s="10">
        <v>93207</v>
      </c>
      <c r="E33" s="8">
        <f t="shared" si="1"/>
        <v>0</v>
      </c>
      <c r="F33" s="10">
        <v>503</v>
      </c>
      <c r="G33" s="39">
        <v>0.64</v>
      </c>
      <c r="H33" s="12" t="s">
        <v>26</v>
      </c>
      <c r="I33" s="8">
        <f t="shared" si="4"/>
        <v>0</v>
      </c>
      <c r="J33" s="16">
        <f t="shared" si="2"/>
        <v>0</v>
      </c>
      <c r="L33" s="101">
        <f t="shared" si="3"/>
        <v>0</v>
      </c>
    </row>
    <row r="34" spans="1:12" x14ac:dyDescent="0.2">
      <c r="A34" s="5">
        <v>44592</v>
      </c>
      <c r="B34" s="10">
        <v>0</v>
      </c>
      <c r="C34" s="8">
        <f t="shared" si="0"/>
        <v>0</v>
      </c>
      <c r="D34" s="10">
        <v>2497</v>
      </c>
      <c r="E34" s="8">
        <f t="shared" si="1"/>
        <v>0</v>
      </c>
      <c r="F34" s="10">
        <v>0</v>
      </c>
      <c r="G34" s="39">
        <v>0.73</v>
      </c>
      <c r="H34" s="12" t="s">
        <v>26</v>
      </c>
      <c r="I34" s="8">
        <f t="shared" si="4"/>
        <v>0</v>
      </c>
      <c r="J34" s="16">
        <f t="shared" si="2"/>
        <v>0</v>
      </c>
      <c r="L34" s="101">
        <f t="shared" si="3"/>
        <v>0</v>
      </c>
    </row>
    <row r="35" spans="1:12" x14ac:dyDescent="0.2">
      <c r="A35" s="5"/>
      <c r="B35" s="37"/>
      <c r="C35" s="8"/>
      <c r="D35" s="10"/>
      <c r="E35" s="8"/>
      <c r="F35" s="10"/>
      <c r="G35" s="12"/>
      <c r="H35" s="43"/>
      <c r="I35" s="8">
        <f t="shared" si="4"/>
        <v>0</v>
      </c>
      <c r="J35" s="16">
        <f t="shared" si="2"/>
        <v>0</v>
      </c>
    </row>
    <row r="36" spans="1:12" x14ac:dyDescent="0.2">
      <c r="A36" s="108"/>
      <c r="B36" s="109"/>
      <c r="C36" s="9">
        <f>SUM(C4:C35)</f>
        <v>143764</v>
      </c>
      <c r="D36" s="9"/>
      <c r="E36" s="9">
        <f>SUM(E4:E35)</f>
        <v>88342</v>
      </c>
      <c r="F36" s="9">
        <f>MAX(F4:F34)</f>
        <v>540</v>
      </c>
      <c r="G36" s="11"/>
      <c r="H36" s="42"/>
      <c r="I36" s="8">
        <f>+E36+C36</f>
        <v>232106</v>
      </c>
      <c r="J36" s="16">
        <f>(C36*0.288)+(E36*0.177)</f>
        <v>57040.565999999999</v>
      </c>
    </row>
    <row r="37" spans="1:12" x14ac:dyDescent="0.2">
      <c r="A37" s="4">
        <f>COUNT(A4:A34)</f>
        <v>31</v>
      </c>
      <c r="G37" s="1"/>
    </row>
    <row r="38" spans="1:12" x14ac:dyDescent="0.2">
      <c r="H38" s="41" t="s">
        <v>30</v>
      </c>
    </row>
    <row r="39" spans="1:12" ht="15.75" x14ac:dyDescent="0.25">
      <c r="A39" s="13" t="s">
        <v>28</v>
      </c>
      <c r="H39" s="41" t="s">
        <v>31</v>
      </c>
    </row>
    <row r="40" spans="1:12" x14ac:dyDescent="0.2">
      <c r="H40" s="41" t="s">
        <v>32</v>
      </c>
    </row>
  </sheetData>
  <mergeCells count="1">
    <mergeCell ref="A36:B36"/>
  </mergeCells>
  <pageMargins left="0.25" right="0.17" top="0.63" bottom="0.57999999999999996" header="0.5" footer="0.5"/>
  <pageSetup paperSize="9" scale="61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L38"/>
  <sheetViews>
    <sheetView topLeftCell="A23" zoomScale="90" zoomScaleNormal="90" workbookViewId="0">
      <selection activeCell="H42" sqref="H42"/>
    </sheetView>
  </sheetViews>
  <sheetFormatPr defaultRowHeight="12.75" x14ac:dyDescent="0.2"/>
  <cols>
    <col min="1" max="1" width="14" style="4" customWidth="1"/>
    <col min="2" max="2" width="20.28515625" style="1" bestFit="1" customWidth="1"/>
    <col min="3" max="3" width="18.85546875" style="1" bestFit="1" customWidth="1"/>
    <col min="4" max="4" width="25.7109375" style="1" bestFit="1" customWidth="1"/>
    <col min="5" max="5" width="18.85546875" style="1" customWidth="1"/>
    <col min="6" max="6" width="11.28515625" customWidth="1"/>
    <col min="7" max="7" width="11.7109375" customWidth="1"/>
    <col min="8" max="8" width="19.140625" style="1" bestFit="1" customWidth="1"/>
    <col min="9" max="9" width="13.28515625" style="14" customWidth="1"/>
    <col min="10" max="10" width="15.140625" bestFit="1" customWidth="1"/>
  </cols>
  <sheetData>
    <row r="1" spans="1:12" ht="18" x14ac:dyDescent="0.25">
      <c r="A1" s="6" t="s">
        <v>33</v>
      </c>
    </row>
    <row r="2" spans="1:12" ht="18" x14ac:dyDescent="0.25">
      <c r="A2" s="2"/>
      <c r="B2" s="7" t="s">
        <v>34</v>
      </c>
      <c r="C2" s="7" t="s">
        <v>35</v>
      </c>
      <c r="D2" s="7" t="s">
        <v>36</v>
      </c>
      <c r="E2" s="7" t="s">
        <v>35</v>
      </c>
      <c r="F2" s="7" t="s">
        <v>17</v>
      </c>
      <c r="G2" s="7" t="s">
        <v>18</v>
      </c>
      <c r="H2" s="7" t="s">
        <v>19</v>
      </c>
      <c r="I2" s="95" t="s">
        <v>20</v>
      </c>
      <c r="J2" s="110" t="s">
        <v>37</v>
      </c>
    </row>
    <row r="3" spans="1:12" x14ac:dyDescent="0.2">
      <c r="A3" s="3"/>
      <c r="B3" s="7" t="s">
        <v>38</v>
      </c>
      <c r="C3" s="7" t="s">
        <v>38</v>
      </c>
      <c r="D3" s="7" t="s">
        <v>38</v>
      </c>
      <c r="E3" s="7" t="s">
        <v>38</v>
      </c>
      <c r="F3" s="7" t="s">
        <v>23</v>
      </c>
      <c r="G3" s="11"/>
      <c r="H3" s="7" t="s">
        <v>38</v>
      </c>
      <c r="I3" s="95" t="s">
        <v>25</v>
      </c>
      <c r="J3" s="110"/>
    </row>
    <row r="4" spans="1:12" x14ac:dyDescent="0.2">
      <c r="A4" s="5">
        <v>44197</v>
      </c>
      <c r="B4" s="10">
        <v>179805</v>
      </c>
      <c r="C4" s="8">
        <f t="shared" ref="C4:C6" si="0">IF(B5-B4&lt;0,0,B5-B4)</f>
        <v>1086</v>
      </c>
      <c r="D4" s="10">
        <v>1674</v>
      </c>
      <c r="E4" s="8">
        <f t="shared" ref="E4:E6" si="1">IF(D5-D4&lt;0,0,D5-D4)</f>
        <v>15</v>
      </c>
      <c r="F4" s="39">
        <v>0.4</v>
      </c>
      <c r="G4" s="12" t="s">
        <v>26</v>
      </c>
      <c r="H4" s="8">
        <f>+E4+C4</f>
        <v>1101</v>
      </c>
      <c r="I4" s="97">
        <f>(C4*1.35)+(E4*1.35)</f>
        <v>1486.3500000000001</v>
      </c>
      <c r="J4" s="96" t="s">
        <v>39</v>
      </c>
      <c r="L4" s="101">
        <f>C4+E4</f>
        <v>1101</v>
      </c>
    </row>
    <row r="5" spans="1:12" x14ac:dyDescent="0.2">
      <c r="A5" s="5">
        <v>44198</v>
      </c>
      <c r="B5" s="10">
        <v>180891</v>
      </c>
      <c r="C5" s="8">
        <f t="shared" si="0"/>
        <v>885</v>
      </c>
      <c r="D5" s="10">
        <v>1689</v>
      </c>
      <c r="E5" s="8">
        <f t="shared" si="1"/>
        <v>29</v>
      </c>
      <c r="F5" s="39">
        <v>0.21</v>
      </c>
      <c r="G5" s="12" t="s">
        <v>26</v>
      </c>
      <c r="H5" s="8">
        <f t="shared" ref="H5:H34" si="2">+E5+C5</f>
        <v>914</v>
      </c>
      <c r="I5" s="97">
        <f t="shared" ref="I5:I34" si="3">(C5*1.35)+(E5*1.35)</f>
        <v>1233.9000000000001</v>
      </c>
      <c r="J5" s="96"/>
      <c r="L5" s="101">
        <f t="shared" ref="L5:L34" si="4">C5+E5</f>
        <v>914</v>
      </c>
    </row>
    <row r="6" spans="1:12" x14ac:dyDescent="0.2">
      <c r="A6" s="5">
        <v>44199</v>
      </c>
      <c r="B6" s="10">
        <v>181776</v>
      </c>
      <c r="C6" s="8">
        <f t="shared" si="0"/>
        <v>948</v>
      </c>
      <c r="D6" s="10">
        <v>1718</v>
      </c>
      <c r="E6" s="8">
        <f t="shared" si="1"/>
        <v>30</v>
      </c>
      <c r="F6" s="39">
        <v>0.25</v>
      </c>
      <c r="G6" s="12" t="s">
        <v>26</v>
      </c>
      <c r="H6" s="8">
        <f t="shared" si="2"/>
        <v>978</v>
      </c>
      <c r="I6" s="97">
        <f>(C6*1.35)+(E6*1.35)</f>
        <v>1320.3000000000002</v>
      </c>
      <c r="J6" s="96"/>
      <c r="L6" s="101">
        <f t="shared" si="4"/>
        <v>978</v>
      </c>
    </row>
    <row r="7" spans="1:12" x14ac:dyDescent="0.2">
      <c r="A7" s="5">
        <v>44200</v>
      </c>
      <c r="B7" s="10">
        <v>182724</v>
      </c>
      <c r="C7" s="8">
        <f>IF(B8-B7&lt;0,0,B8-B7)</f>
        <v>998</v>
      </c>
      <c r="D7" s="10">
        <v>1748</v>
      </c>
      <c r="E7" s="8">
        <f>IF(D8-D7&lt;0,0,D8-D7)</f>
        <v>39</v>
      </c>
      <c r="F7" s="39">
        <v>0.37</v>
      </c>
      <c r="G7" s="12" t="s">
        <v>26</v>
      </c>
      <c r="H7" s="8">
        <f t="shared" si="2"/>
        <v>1037</v>
      </c>
      <c r="I7" s="97">
        <f t="shared" si="3"/>
        <v>1399.9500000000003</v>
      </c>
      <c r="J7" s="96"/>
      <c r="L7" s="101">
        <f t="shared" si="4"/>
        <v>1037</v>
      </c>
    </row>
    <row r="8" spans="1:12" x14ac:dyDescent="0.2">
      <c r="A8" s="5">
        <v>44201</v>
      </c>
      <c r="B8" s="10">
        <v>183722</v>
      </c>
      <c r="C8" s="8">
        <f>IF(B9-B8&lt;0,0,B9-B8)</f>
        <v>1110</v>
      </c>
      <c r="D8" s="10">
        <v>1787</v>
      </c>
      <c r="E8" s="8">
        <f>IF(D9-D8&lt;0,0,D9-D8)</f>
        <v>29</v>
      </c>
      <c r="F8" s="39">
        <v>0.34</v>
      </c>
      <c r="G8" s="12" t="s">
        <v>26</v>
      </c>
      <c r="H8" s="8">
        <f t="shared" si="2"/>
        <v>1139</v>
      </c>
      <c r="I8" s="97">
        <f t="shared" si="3"/>
        <v>1537.65</v>
      </c>
      <c r="J8" s="96"/>
      <c r="L8" s="101">
        <f t="shared" si="4"/>
        <v>1139</v>
      </c>
    </row>
    <row r="9" spans="1:12" x14ac:dyDescent="0.2">
      <c r="A9" s="5">
        <v>44202</v>
      </c>
      <c r="B9" s="10">
        <v>184832</v>
      </c>
      <c r="C9" s="8">
        <f t="shared" ref="C9:C34" si="5">IF(B10-B9&lt;0,0,B10-B9)</f>
        <v>1076</v>
      </c>
      <c r="D9" s="10">
        <v>1816</v>
      </c>
      <c r="E9" s="8">
        <f t="shared" ref="E9:E34" si="6">IF(D10-D9&lt;0,0,D10-D9)</f>
        <v>29</v>
      </c>
      <c r="F9" s="39">
        <v>0.32</v>
      </c>
      <c r="G9" s="12" t="s">
        <v>26</v>
      </c>
      <c r="H9" s="8">
        <f t="shared" si="2"/>
        <v>1105</v>
      </c>
      <c r="I9" s="97">
        <f t="shared" si="3"/>
        <v>1491.7500000000002</v>
      </c>
      <c r="J9" s="96"/>
      <c r="L9" s="101">
        <f t="shared" si="4"/>
        <v>1105</v>
      </c>
    </row>
    <row r="10" spans="1:12" x14ac:dyDescent="0.2">
      <c r="A10" s="5">
        <v>44203</v>
      </c>
      <c r="B10" s="10">
        <v>185908</v>
      </c>
      <c r="C10" s="8">
        <f t="shared" si="5"/>
        <v>1004</v>
      </c>
      <c r="D10" s="10">
        <v>1845</v>
      </c>
      <c r="E10" s="8">
        <f t="shared" si="6"/>
        <v>22</v>
      </c>
      <c r="F10" s="40">
        <v>0.32</v>
      </c>
      <c r="G10" s="12" t="s">
        <v>26</v>
      </c>
      <c r="H10" s="8">
        <f t="shared" si="2"/>
        <v>1026</v>
      </c>
      <c r="I10" s="97">
        <f t="shared" si="3"/>
        <v>1385.1000000000001</v>
      </c>
      <c r="J10" s="96"/>
      <c r="L10" s="101">
        <f t="shared" si="4"/>
        <v>1026</v>
      </c>
    </row>
    <row r="11" spans="1:12" x14ac:dyDescent="0.2">
      <c r="A11" s="5">
        <v>44204</v>
      </c>
      <c r="B11" s="10">
        <v>186912</v>
      </c>
      <c r="C11" s="8">
        <f>IF(B12-B11&lt;0,0,B12-B11)</f>
        <v>890</v>
      </c>
      <c r="D11" s="10">
        <v>1867</v>
      </c>
      <c r="E11" s="8">
        <f t="shared" si="6"/>
        <v>33</v>
      </c>
      <c r="F11" s="39">
        <v>0.34</v>
      </c>
      <c r="G11" s="12" t="s">
        <v>26</v>
      </c>
      <c r="H11" s="8">
        <f t="shared" si="2"/>
        <v>923</v>
      </c>
      <c r="I11" s="97">
        <f t="shared" si="3"/>
        <v>1246.05</v>
      </c>
      <c r="J11" s="96"/>
      <c r="L11" s="101">
        <f t="shared" si="4"/>
        <v>923</v>
      </c>
    </row>
    <row r="12" spans="1:12" x14ac:dyDescent="0.2">
      <c r="A12" s="5">
        <v>44205</v>
      </c>
      <c r="B12" s="10">
        <v>187802</v>
      </c>
      <c r="C12" s="8">
        <f t="shared" si="5"/>
        <v>1105</v>
      </c>
      <c r="D12" s="10">
        <v>1900</v>
      </c>
      <c r="E12" s="8">
        <f t="shared" si="6"/>
        <v>21</v>
      </c>
      <c r="F12" s="39">
        <v>0.23</v>
      </c>
      <c r="G12" s="12" t="s">
        <v>26</v>
      </c>
      <c r="H12" s="8">
        <f t="shared" si="2"/>
        <v>1126</v>
      </c>
      <c r="I12" s="97">
        <f t="shared" si="3"/>
        <v>1520.1</v>
      </c>
      <c r="J12" s="96"/>
      <c r="L12" s="101">
        <f t="shared" si="4"/>
        <v>1126</v>
      </c>
    </row>
    <row r="13" spans="1:12" x14ac:dyDescent="0.2">
      <c r="A13" s="5">
        <v>44206</v>
      </c>
      <c r="B13" s="10">
        <v>188907</v>
      </c>
      <c r="C13" s="8">
        <f t="shared" si="5"/>
        <v>1063</v>
      </c>
      <c r="D13" s="10">
        <v>1921</v>
      </c>
      <c r="E13" s="8">
        <f t="shared" si="6"/>
        <v>29</v>
      </c>
      <c r="F13" s="39">
        <v>0.24</v>
      </c>
      <c r="G13" s="12" t="s">
        <v>26</v>
      </c>
      <c r="H13" s="8">
        <f t="shared" si="2"/>
        <v>1092</v>
      </c>
      <c r="I13" s="97">
        <f t="shared" si="3"/>
        <v>1474.2000000000003</v>
      </c>
      <c r="J13" s="96"/>
      <c r="L13" s="101">
        <f t="shared" si="4"/>
        <v>1092</v>
      </c>
    </row>
    <row r="14" spans="1:12" x14ac:dyDescent="0.2">
      <c r="A14" s="5">
        <v>44207</v>
      </c>
      <c r="B14" s="10">
        <v>189970</v>
      </c>
      <c r="C14" s="8">
        <f t="shared" si="5"/>
        <v>1095</v>
      </c>
      <c r="D14" s="10">
        <v>1950</v>
      </c>
      <c r="E14" s="8">
        <f t="shared" si="6"/>
        <v>29</v>
      </c>
      <c r="F14" s="39">
        <v>0.17</v>
      </c>
      <c r="G14" s="12" t="s">
        <v>26</v>
      </c>
      <c r="H14" s="8">
        <f t="shared" si="2"/>
        <v>1124</v>
      </c>
      <c r="I14" s="97">
        <f t="shared" si="3"/>
        <v>1517.4</v>
      </c>
      <c r="J14" s="96"/>
      <c r="L14" s="101">
        <f t="shared" si="4"/>
        <v>1124</v>
      </c>
    </row>
    <row r="15" spans="1:12" x14ac:dyDescent="0.2">
      <c r="A15" s="5">
        <v>44208</v>
      </c>
      <c r="B15" s="10">
        <v>191065</v>
      </c>
      <c r="C15" s="8">
        <f t="shared" si="5"/>
        <v>1118</v>
      </c>
      <c r="D15" s="10">
        <v>1979</v>
      </c>
      <c r="E15" s="8">
        <f t="shared" si="6"/>
        <v>24</v>
      </c>
      <c r="F15" s="39">
        <v>0.18</v>
      </c>
      <c r="G15" s="12" t="s">
        <v>26</v>
      </c>
      <c r="H15" s="8">
        <f t="shared" si="2"/>
        <v>1142</v>
      </c>
      <c r="I15" s="97">
        <f t="shared" si="3"/>
        <v>1541.7000000000003</v>
      </c>
      <c r="J15" s="96"/>
      <c r="L15" s="101">
        <f t="shared" si="4"/>
        <v>1142</v>
      </c>
    </row>
    <row r="16" spans="1:12" x14ac:dyDescent="0.2">
      <c r="A16" s="5">
        <v>44209</v>
      </c>
      <c r="B16" s="10">
        <v>192183</v>
      </c>
      <c r="C16" s="8">
        <f t="shared" si="5"/>
        <v>1063</v>
      </c>
      <c r="D16" s="10">
        <v>2003</v>
      </c>
      <c r="E16" s="8">
        <f t="shared" si="6"/>
        <v>23</v>
      </c>
      <c r="F16" s="39">
        <v>0.21</v>
      </c>
      <c r="G16" s="12" t="s">
        <v>26</v>
      </c>
      <c r="H16" s="8">
        <f t="shared" si="2"/>
        <v>1086</v>
      </c>
      <c r="I16" s="97">
        <f t="shared" si="3"/>
        <v>1466.1000000000001</v>
      </c>
      <c r="J16" s="96"/>
      <c r="L16" s="101">
        <f t="shared" si="4"/>
        <v>1086</v>
      </c>
    </row>
    <row r="17" spans="1:12" x14ac:dyDescent="0.2">
      <c r="A17" s="5">
        <v>44210</v>
      </c>
      <c r="B17" s="10">
        <v>193246</v>
      </c>
      <c r="C17" s="8">
        <f t="shared" si="5"/>
        <v>1121</v>
      </c>
      <c r="D17" s="10">
        <v>2026</v>
      </c>
      <c r="E17" s="8">
        <f t="shared" si="6"/>
        <v>23</v>
      </c>
      <c r="F17" s="39">
        <v>0.26</v>
      </c>
      <c r="G17" s="12" t="s">
        <v>26</v>
      </c>
      <c r="H17" s="8">
        <f t="shared" si="2"/>
        <v>1144</v>
      </c>
      <c r="I17" s="97">
        <f t="shared" si="3"/>
        <v>1544.4</v>
      </c>
      <c r="J17" s="96"/>
      <c r="L17" s="101">
        <f t="shared" si="4"/>
        <v>1144</v>
      </c>
    </row>
    <row r="18" spans="1:12" x14ac:dyDescent="0.2">
      <c r="A18" s="5">
        <v>44211</v>
      </c>
      <c r="B18" s="10">
        <v>194367</v>
      </c>
      <c r="C18" s="8">
        <f t="shared" si="5"/>
        <v>1082</v>
      </c>
      <c r="D18" s="10">
        <v>2049</v>
      </c>
      <c r="E18" s="8">
        <f t="shared" si="6"/>
        <v>20</v>
      </c>
      <c r="F18" s="39">
        <v>0.45</v>
      </c>
      <c r="G18" s="12" t="s">
        <v>26</v>
      </c>
      <c r="H18" s="8">
        <f t="shared" si="2"/>
        <v>1102</v>
      </c>
      <c r="I18" s="97">
        <f t="shared" si="3"/>
        <v>1487.7</v>
      </c>
      <c r="J18" s="96"/>
      <c r="L18" s="101">
        <f t="shared" si="4"/>
        <v>1102</v>
      </c>
    </row>
    <row r="19" spans="1:12" x14ac:dyDescent="0.2">
      <c r="A19" s="5">
        <v>44212</v>
      </c>
      <c r="B19" s="10">
        <v>195449</v>
      </c>
      <c r="C19" s="8">
        <f t="shared" si="5"/>
        <v>1091</v>
      </c>
      <c r="D19" s="10">
        <v>2069</v>
      </c>
      <c r="E19" s="8">
        <f t="shared" si="6"/>
        <v>23</v>
      </c>
      <c r="F19" s="39">
        <v>0.34</v>
      </c>
      <c r="G19" s="12" t="s">
        <v>26</v>
      </c>
      <c r="H19" s="8">
        <f t="shared" si="2"/>
        <v>1114</v>
      </c>
      <c r="I19" s="97">
        <f t="shared" si="3"/>
        <v>1503.9</v>
      </c>
      <c r="J19" s="96"/>
      <c r="L19" s="101">
        <f t="shared" si="4"/>
        <v>1114</v>
      </c>
    </row>
    <row r="20" spans="1:12" x14ac:dyDescent="0.2">
      <c r="A20" s="5">
        <v>44213</v>
      </c>
      <c r="B20" s="10">
        <v>196540</v>
      </c>
      <c r="C20" s="8">
        <f t="shared" si="5"/>
        <v>958</v>
      </c>
      <c r="D20" s="10">
        <v>2092</v>
      </c>
      <c r="E20" s="8">
        <f t="shared" si="6"/>
        <v>25</v>
      </c>
      <c r="F20" s="39">
        <v>0.35</v>
      </c>
      <c r="G20" s="12" t="s">
        <v>26</v>
      </c>
      <c r="H20" s="8">
        <f t="shared" si="2"/>
        <v>983</v>
      </c>
      <c r="I20" s="97">
        <f t="shared" si="3"/>
        <v>1327.0500000000002</v>
      </c>
      <c r="J20" s="96"/>
      <c r="L20" s="101">
        <f t="shared" si="4"/>
        <v>983</v>
      </c>
    </row>
    <row r="21" spans="1:12" x14ac:dyDescent="0.2">
      <c r="A21" s="5">
        <v>44214</v>
      </c>
      <c r="B21" s="10">
        <v>197498</v>
      </c>
      <c r="C21" s="8">
        <f t="shared" si="5"/>
        <v>1177</v>
      </c>
      <c r="D21" s="10">
        <v>2117</v>
      </c>
      <c r="E21" s="8">
        <f t="shared" si="6"/>
        <v>23</v>
      </c>
      <c r="F21" s="39">
        <v>0.33</v>
      </c>
      <c r="G21" s="12" t="s">
        <v>26</v>
      </c>
      <c r="H21" s="8">
        <f t="shared" si="2"/>
        <v>1200</v>
      </c>
      <c r="I21" s="97">
        <f t="shared" si="3"/>
        <v>1620</v>
      </c>
      <c r="J21" s="96"/>
      <c r="L21" s="101">
        <f t="shared" si="4"/>
        <v>1200</v>
      </c>
    </row>
    <row r="22" spans="1:12" x14ac:dyDescent="0.2">
      <c r="A22" s="5">
        <v>44215</v>
      </c>
      <c r="B22" s="10">
        <v>198675</v>
      </c>
      <c r="C22" s="8">
        <f t="shared" si="5"/>
        <v>1037</v>
      </c>
      <c r="D22" s="10">
        <v>2140</v>
      </c>
      <c r="E22" s="8">
        <f t="shared" si="6"/>
        <v>29</v>
      </c>
      <c r="F22" s="39">
        <v>0.32</v>
      </c>
      <c r="G22" s="12" t="s">
        <v>26</v>
      </c>
      <c r="H22" s="8">
        <f t="shared" si="2"/>
        <v>1066</v>
      </c>
      <c r="I22" s="97">
        <f t="shared" si="3"/>
        <v>1439.1000000000001</v>
      </c>
      <c r="J22" s="96"/>
      <c r="L22" s="101">
        <f t="shared" si="4"/>
        <v>1066</v>
      </c>
    </row>
    <row r="23" spans="1:12" x14ac:dyDescent="0.2">
      <c r="A23" s="5">
        <v>44216</v>
      </c>
      <c r="B23" s="10">
        <v>199712</v>
      </c>
      <c r="C23" s="8">
        <f t="shared" si="5"/>
        <v>994</v>
      </c>
      <c r="D23" s="10">
        <v>2169</v>
      </c>
      <c r="E23" s="8">
        <f t="shared" si="6"/>
        <v>36</v>
      </c>
      <c r="F23" s="39">
        <v>0.28000000000000003</v>
      </c>
      <c r="G23" s="12" t="s">
        <v>26</v>
      </c>
      <c r="H23" s="8">
        <f t="shared" si="2"/>
        <v>1030</v>
      </c>
      <c r="I23" s="97">
        <f t="shared" si="3"/>
        <v>1390.5</v>
      </c>
      <c r="J23" s="96"/>
      <c r="L23" s="101">
        <f t="shared" si="4"/>
        <v>1030</v>
      </c>
    </row>
    <row r="24" spans="1:12" x14ac:dyDescent="0.2">
      <c r="A24" s="5">
        <v>44217</v>
      </c>
      <c r="B24" s="10">
        <v>200706</v>
      </c>
      <c r="C24" s="8">
        <f t="shared" si="5"/>
        <v>1016</v>
      </c>
      <c r="D24" s="10">
        <v>2205</v>
      </c>
      <c r="E24" s="8">
        <f t="shared" si="6"/>
        <v>31</v>
      </c>
      <c r="F24" s="39">
        <v>0.27</v>
      </c>
      <c r="G24" s="12" t="s">
        <v>26</v>
      </c>
      <c r="H24" s="8">
        <f t="shared" si="2"/>
        <v>1047</v>
      </c>
      <c r="I24" s="97">
        <f t="shared" si="3"/>
        <v>1413.45</v>
      </c>
      <c r="J24" s="96"/>
      <c r="L24" s="101">
        <f t="shared" si="4"/>
        <v>1047</v>
      </c>
    </row>
    <row r="25" spans="1:12" x14ac:dyDescent="0.2">
      <c r="A25" s="5">
        <v>44218</v>
      </c>
      <c r="B25" s="10">
        <v>201722</v>
      </c>
      <c r="C25" s="8">
        <f t="shared" si="5"/>
        <v>1034</v>
      </c>
      <c r="D25" s="10">
        <v>2236</v>
      </c>
      <c r="E25" s="8">
        <f t="shared" si="6"/>
        <v>28</v>
      </c>
      <c r="F25" s="39">
        <v>0.28999999999999998</v>
      </c>
      <c r="G25" s="12" t="s">
        <v>26</v>
      </c>
      <c r="H25" s="8">
        <f t="shared" si="2"/>
        <v>1062</v>
      </c>
      <c r="I25" s="97">
        <f t="shared" si="3"/>
        <v>1433.7</v>
      </c>
      <c r="J25" s="96"/>
      <c r="L25" s="101">
        <f t="shared" si="4"/>
        <v>1062</v>
      </c>
    </row>
    <row r="26" spans="1:12" x14ac:dyDescent="0.2">
      <c r="A26" s="5">
        <v>44219</v>
      </c>
      <c r="B26" s="10">
        <v>202756</v>
      </c>
      <c r="C26" s="8">
        <f t="shared" si="5"/>
        <v>945</v>
      </c>
      <c r="D26" s="10">
        <v>2264</v>
      </c>
      <c r="E26" s="8">
        <f t="shared" si="6"/>
        <v>23</v>
      </c>
      <c r="F26" s="48">
        <v>0.15</v>
      </c>
      <c r="G26" s="12" t="s">
        <v>26</v>
      </c>
      <c r="H26" s="8">
        <f t="shared" si="2"/>
        <v>968</v>
      </c>
      <c r="I26" s="97">
        <f t="shared" si="3"/>
        <v>1306.8</v>
      </c>
      <c r="J26" s="96"/>
      <c r="L26" s="101">
        <f t="shared" si="4"/>
        <v>968</v>
      </c>
    </row>
    <row r="27" spans="1:12" x14ac:dyDescent="0.2">
      <c r="A27" s="5">
        <v>44220</v>
      </c>
      <c r="B27" s="10">
        <v>203701</v>
      </c>
      <c r="C27" s="8">
        <f t="shared" si="5"/>
        <v>922</v>
      </c>
      <c r="D27" s="10">
        <v>2287</v>
      </c>
      <c r="E27" s="8">
        <f t="shared" si="6"/>
        <v>21</v>
      </c>
      <c r="F27" s="39">
        <v>0.18</v>
      </c>
      <c r="G27" s="12" t="s">
        <v>26</v>
      </c>
      <c r="H27" s="8">
        <f t="shared" si="2"/>
        <v>943</v>
      </c>
      <c r="I27" s="97">
        <f t="shared" si="3"/>
        <v>1273.05</v>
      </c>
      <c r="J27" s="96"/>
      <c r="L27" s="101">
        <f t="shared" si="4"/>
        <v>943</v>
      </c>
    </row>
    <row r="28" spans="1:12" x14ac:dyDescent="0.2">
      <c r="A28" s="5">
        <v>44221</v>
      </c>
      <c r="B28" s="10">
        <v>204623</v>
      </c>
      <c r="C28" s="8">
        <f t="shared" si="5"/>
        <v>888</v>
      </c>
      <c r="D28" s="10">
        <v>2308</v>
      </c>
      <c r="E28" s="8">
        <f t="shared" si="6"/>
        <v>26</v>
      </c>
      <c r="F28" s="39">
        <v>0.32</v>
      </c>
      <c r="G28" s="12" t="s">
        <v>26</v>
      </c>
      <c r="H28" s="8">
        <f t="shared" si="2"/>
        <v>914</v>
      </c>
      <c r="I28" s="97">
        <f t="shared" si="3"/>
        <v>1233.9000000000001</v>
      </c>
      <c r="J28" s="96"/>
      <c r="L28" s="101">
        <f t="shared" si="4"/>
        <v>914</v>
      </c>
    </row>
    <row r="29" spans="1:12" x14ac:dyDescent="0.2">
      <c r="A29" s="5">
        <v>44222</v>
      </c>
      <c r="B29" s="10">
        <v>205511</v>
      </c>
      <c r="C29" s="8">
        <f t="shared" si="5"/>
        <v>950</v>
      </c>
      <c r="D29" s="10">
        <v>2334</v>
      </c>
      <c r="E29" s="8">
        <f t="shared" si="6"/>
        <v>32</v>
      </c>
      <c r="F29" s="39">
        <v>0.13</v>
      </c>
      <c r="G29" s="12" t="s">
        <v>26</v>
      </c>
      <c r="H29" s="8">
        <f t="shared" si="2"/>
        <v>982</v>
      </c>
      <c r="I29" s="97">
        <f t="shared" si="3"/>
        <v>1325.7</v>
      </c>
      <c r="J29" s="96"/>
      <c r="L29" s="101">
        <f t="shared" si="4"/>
        <v>982</v>
      </c>
    </row>
    <row r="30" spans="1:12" x14ac:dyDescent="0.2">
      <c r="A30" s="5">
        <v>44223</v>
      </c>
      <c r="B30" s="10">
        <v>206461</v>
      </c>
      <c r="C30" s="8">
        <f t="shared" si="5"/>
        <v>990</v>
      </c>
      <c r="D30" s="10">
        <v>2366</v>
      </c>
      <c r="E30" s="8">
        <f t="shared" si="6"/>
        <v>39</v>
      </c>
      <c r="F30" s="39">
        <v>0.21</v>
      </c>
      <c r="G30" s="12" t="s">
        <v>26</v>
      </c>
      <c r="H30" s="8">
        <f t="shared" si="2"/>
        <v>1029</v>
      </c>
      <c r="I30" s="97">
        <f t="shared" si="3"/>
        <v>1389.15</v>
      </c>
      <c r="J30" s="96"/>
      <c r="L30" s="101">
        <f t="shared" si="4"/>
        <v>1029</v>
      </c>
    </row>
    <row r="31" spans="1:12" x14ac:dyDescent="0.2">
      <c r="A31" s="5">
        <v>44224</v>
      </c>
      <c r="B31" s="10">
        <v>207451</v>
      </c>
      <c r="C31" s="8">
        <f t="shared" si="5"/>
        <v>1008</v>
      </c>
      <c r="D31" s="10">
        <v>2405</v>
      </c>
      <c r="E31" s="8">
        <f t="shared" si="6"/>
        <v>25</v>
      </c>
      <c r="F31" s="39">
        <v>0.15</v>
      </c>
      <c r="G31" s="12" t="s">
        <v>26</v>
      </c>
      <c r="H31" s="8">
        <f t="shared" si="2"/>
        <v>1033</v>
      </c>
      <c r="I31" s="97">
        <f t="shared" si="3"/>
        <v>1394.5500000000002</v>
      </c>
      <c r="J31" s="96"/>
      <c r="L31" s="101">
        <f t="shared" si="4"/>
        <v>1033</v>
      </c>
    </row>
    <row r="32" spans="1:12" x14ac:dyDescent="0.2">
      <c r="A32" s="5">
        <v>44225</v>
      </c>
      <c r="B32" s="10">
        <v>208459</v>
      </c>
      <c r="C32" s="8">
        <f t="shared" si="5"/>
        <v>1126</v>
      </c>
      <c r="D32" s="10">
        <v>2430</v>
      </c>
      <c r="E32" s="8">
        <f t="shared" si="6"/>
        <v>19</v>
      </c>
      <c r="F32" s="39">
        <v>0.39</v>
      </c>
      <c r="G32" s="12" t="s">
        <v>26</v>
      </c>
      <c r="H32" s="8">
        <f t="shared" si="2"/>
        <v>1145</v>
      </c>
      <c r="I32" s="97">
        <f t="shared" si="3"/>
        <v>1545.7500000000002</v>
      </c>
      <c r="J32" s="96"/>
      <c r="L32" s="101">
        <f t="shared" si="4"/>
        <v>1145</v>
      </c>
    </row>
    <row r="33" spans="1:12" x14ac:dyDescent="0.2">
      <c r="A33" s="5">
        <v>44226</v>
      </c>
      <c r="B33" s="10">
        <v>209585</v>
      </c>
      <c r="C33" s="8">
        <f t="shared" si="5"/>
        <v>1128</v>
      </c>
      <c r="D33" s="10">
        <v>2449</v>
      </c>
      <c r="E33" s="8">
        <f t="shared" si="6"/>
        <v>31</v>
      </c>
      <c r="F33" s="39">
        <v>0.64</v>
      </c>
      <c r="G33" s="12" t="s">
        <v>26</v>
      </c>
      <c r="H33" s="8">
        <f t="shared" si="2"/>
        <v>1159</v>
      </c>
      <c r="I33" s="97">
        <f t="shared" si="3"/>
        <v>1564.65</v>
      </c>
      <c r="J33" s="96"/>
      <c r="L33" s="101">
        <f t="shared" si="4"/>
        <v>1159</v>
      </c>
    </row>
    <row r="34" spans="1:12" x14ac:dyDescent="0.2">
      <c r="A34" s="5">
        <v>44227</v>
      </c>
      <c r="B34" s="107">
        <v>210713</v>
      </c>
      <c r="C34" s="8">
        <f t="shared" si="5"/>
        <v>1168</v>
      </c>
      <c r="D34" s="10">
        <v>2480</v>
      </c>
      <c r="E34" s="8">
        <f t="shared" si="6"/>
        <v>43</v>
      </c>
      <c r="F34" s="39">
        <v>0.73</v>
      </c>
      <c r="G34" s="12" t="s">
        <v>26</v>
      </c>
      <c r="H34" s="8">
        <f t="shared" si="2"/>
        <v>1211</v>
      </c>
      <c r="I34" s="97">
        <f t="shared" si="3"/>
        <v>1634.8500000000001</v>
      </c>
      <c r="J34" s="96"/>
      <c r="L34" s="101">
        <f t="shared" si="4"/>
        <v>1211</v>
      </c>
    </row>
    <row r="35" spans="1:12" x14ac:dyDescent="0.2">
      <c r="A35" s="104"/>
      <c r="B35" s="59">
        <v>211881</v>
      </c>
      <c r="C35" s="106">
        <f>SUM(C4:C34)</f>
        <v>32076</v>
      </c>
      <c r="D35" s="105">
        <v>2523</v>
      </c>
      <c r="E35" s="9">
        <f>SUM(E4:E34)</f>
        <v>849</v>
      </c>
      <c r="F35" s="11"/>
      <c r="G35" s="11"/>
      <c r="H35" s="8">
        <f>SUM(H4:H34)</f>
        <v>32925</v>
      </c>
      <c r="I35" s="97">
        <f>SUM(I4:I34)</f>
        <v>44448.750000000007</v>
      </c>
      <c r="J35" s="96"/>
    </row>
    <row r="36" spans="1:12" x14ac:dyDescent="0.2">
      <c r="A36" s="17"/>
      <c r="F36" s="1"/>
    </row>
    <row r="38" spans="1:12" ht="15.75" x14ac:dyDescent="0.25">
      <c r="A38" s="13" t="s">
        <v>28</v>
      </c>
    </row>
  </sheetData>
  <mergeCells count="1">
    <mergeCell ref="J2:J3"/>
  </mergeCells>
  <phoneticPr fontId="4" type="noConversion"/>
  <printOptions horizontalCentered="1" verticalCentered="1"/>
  <pageMargins left="0.21" right="0.21" top="0.57999999999999996" bottom="0.69" header="0.5" footer="0.5"/>
  <pageSetup paperSize="9" scale="77" orientation="landscape" r:id="rId1"/>
  <headerFooter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N52"/>
  <sheetViews>
    <sheetView zoomScale="85" workbookViewId="0">
      <selection activeCell="N34" sqref="N34"/>
    </sheetView>
  </sheetViews>
  <sheetFormatPr defaultRowHeight="12.75" x14ac:dyDescent="0.2"/>
  <cols>
    <col min="1" max="1" width="14" style="4" customWidth="1"/>
    <col min="2" max="2" width="12.140625" style="1" customWidth="1"/>
    <col min="3" max="3" width="12.5703125" style="1" customWidth="1"/>
    <col min="4" max="4" width="12.5703125" customWidth="1"/>
    <col min="5" max="5" width="9.42578125" style="14" customWidth="1"/>
    <col min="6" max="6" width="14" style="30" bestFit="1" customWidth="1"/>
    <col min="7" max="7" width="16.7109375" style="30" customWidth="1"/>
    <col min="8" max="8" width="13.7109375" style="30" customWidth="1"/>
    <col min="9" max="9" width="11" style="30" customWidth="1"/>
    <col min="10" max="10" width="9" style="30" customWidth="1"/>
    <col min="14" max="14" width="14.28515625" customWidth="1"/>
    <col min="15" max="15" width="13.85546875" customWidth="1"/>
    <col min="16" max="16" width="22.42578125" customWidth="1"/>
  </cols>
  <sheetData>
    <row r="1" spans="1:13" ht="18" x14ac:dyDescent="0.25">
      <c r="A1" s="6" t="s">
        <v>40</v>
      </c>
    </row>
    <row r="2" spans="1:13" ht="26.25" x14ac:dyDescent="0.25">
      <c r="A2" s="65"/>
      <c r="B2" s="66" t="s">
        <v>41</v>
      </c>
      <c r="C2" s="66" t="s">
        <v>42</v>
      </c>
      <c r="D2" s="66" t="s">
        <v>42</v>
      </c>
      <c r="E2" s="67" t="s">
        <v>43</v>
      </c>
      <c r="F2" s="66" t="s">
        <v>44</v>
      </c>
      <c r="G2" s="66" t="s">
        <v>44</v>
      </c>
      <c r="H2" s="66" t="s">
        <v>35</v>
      </c>
      <c r="I2" s="68" t="s">
        <v>20</v>
      </c>
      <c r="J2" s="69" t="s">
        <v>45</v>
      </c>
      <c r="K2" s="31"/>
    </row>
    <row r="3" spans="1:13" x14ac:dyDescent="0.2">
      <c r="A3" s="70"/>
      <c r="B3" s="51" t="s">
        <v>46</v>
      </c>
      <c r="C3" s="51" t="s">
        <v>47</v>
      </c>
      <c r="D3" s="51" t="s">
        <v>48</v>
      </c>
      <c r="E3" s="52" t="s">
        <v>49</v>
      </c>
      <c r="F3" s="51" t="s">
        <v>47</v>
      </c>
      <c r="G3" s="51" t="s">
        <v>48</v>
      </c>
      <c r="H3" s="51" t="s">
        <v>50</v>
      </c>
      <c r="I3" s="53" t="s">
        <v>25</v>
      </c>
      <c r="J3" s="71"/>
      <c r="K3" s="31"/>
    </row>
    <row r="4" spans="1:13" x14ac:dyDescent="0.2">
      <c r="A4" s="72">
        <v>44562</v>
      </c>
      <c r="B4" s="54">
        <v>2</v>
      </c>
      <c r="C4" s="54">
        <v>8.3000000000000007</v>
      </c>
      <c r="D4" s="54">
        <v>18</v>
      </c>
      <c r="E4" s="55">
        <f>D4-C4</f>
        <v>9.6999999999999993</v>
      </c>
      <c r="F4" s="56">
        <v>1607677.7</v>
      </c>
      <c r="G4" s="57">
        <v>1607959</v>
      </c>
      <c r="H4" s="55">
        <f>G4-F4</f>
        <v>281.30000000004657</v>
      </c>
      <c r="I4" s="58">
        <f>(H4*[1]Summary!$C$6)</f>
        <v>798.89200000013216</v>
      </c>
      <c r="J4" s="73">
        <v>1620.1</v>
      </c>
      <c r="K4" s="111" t="s">
        <v>51</v>
      </c>
      <c r="L4" s="111"/>
      <c r="M4" s="111"/>
    </row>
    <row r="5" spans="1:13" x14ac:dyDescent="0.2">
      <c r="A5" s="72">
        <v>44563</v>
      </c>
      <c r="B5" s="54">
        <v>2</v>
      </c>
      <c r="C5" s="59">
        <v>8.3000000000000007</v>
      </c>
      <c r="D5" s="59">
        <v>18</v>
      </c>
      <c r="E5" s="55">
        <f>D5-C5</f>
        <v>9.6999999999999993</v>
      </c>
      <c r="F5" s="56">
        <v>1607959</v>
      </c>
      <c r="G5" s="57">
        <v>1608321.4</v>
      </c>
      <c r="H5" s="60">
        <f t="shared" ref="H5:H35" si="0">G5-F5</f>
        <v>362.39999999990687</v>
      </c>
      <c r="I5" s="58">
        <f>(H5*[1]Summary!$C$6)</f>
        <v>1029.2159999997355</v>
      </c>
      <c r="J5" s="74"/>
      <c r="K5" s="49"/>
      <c r="L5" s="50"/>
      <c r="M5" s="50"/>
    </row>
    <row r="6" spans="1:13" x14ac:dyDescent="0.2">
      <c r="A6" s="72">
        <v>44564</v>
      </c>
      <c r="B6" s="59" t="s">
        <v>52</v>
      </c>
      <c r="C6" s="59"/>
      <c r="D6" s="59"/>
      <c r="E6" s="55">
        <f t="shared" ref="E6:E35" si="1">D6-C6</f>
        <v>0</v>
      </c>
      <c r="F6" s="61"/>
      <c r="G6" s="62"/>
      <c r="H6" s="60">
        <f t="shared" si="0"/>
        <v>0</v>
      </c>
      <c r="I6" s="58">
        <f>(H6*[1]Summary!$C$6)</f>
        <v>0</v>
      </c>
      <c r="J6" s="75"/>
      <c r="K6" s="114"/>
      <c r="L6" s="114"/>
      <c r="M6" s="50"/>
    </row>
    <row r="7" spans="1:13" x14ac:dyDescent="0.2">
      <c r="A7" s="72">
        <v>44565</v>
      </c>
      <c r="B7" s="59">
        <v>2</v>
      </c>
      <c r="C7" s="59">
        <v>8.3000000000000007</v>
      </c>
      <c r="D7" s="59">
        <v>18</v>
      </c>
      <c r="E7" s="55">
        <f t="shared" si="1"/>
        <v>9.6999999999999993</v>
      </c>
      <c r="F7" s="56">
        <v>1608321.4</v>
      </c>
      <c r="G7" s="57">
        <v>1608581.6</v>
      </c>
      <c r="H7" s="60">
        <f t="shared" si="0"/>
        <v>260.20000000018626</v>
      </c>
      <c r="I7" s="58">
        <f>(H7*[1]Summary!$C$6)</f>
        <v>738.96800000052895</v>
      </c>
      <c r="J7" s="91">
        <v>4800</v>
      </c>
      <c r="K7" s="111" t="s">
        <v>53</v>
      </c>
      <c r="L7" s="111"/>
      <c r="M7" s="50"/>
    </row>
    <row r="8" spans="1:13" x14ac:dyDescent="0.2">
      <c r="A8" s="72">
        <v>44566</v>
      </c>
      <c r="B8" s="54" t="s">
        <v>52</v>
      </c>
      <c r="C8" s="54"/>
      <c r="D8" s="54"/>
      <c r="E8" s="55">
        <f t="shared" si="1"/>
        <v>0</v>
      </c>
      <c r="F8" s="56"/>
      <c r="G8" s="57"/>
      <c r="H8" s="55">
        <f t="shared" si="0"/>
        <v>0</v>
      </c>
      <c r="I8" s="58">
        <f>(H8*[1]Summary!$C$6)</f>
        <v>0</v>
      </c>
      <c r="J8" s="76"/>
      <c r="K8" s="49"/>
      <c r="L8" s="50"/>
      <c r="M8" s="50"/>
    </row>
    <row r="9" spans="1:13" hidden="1" x14ac:dyDescent="0.2">
      <c r="A9" s="72">
        <v>44567</v>
      </c>
      <c r="B9" s="54"/>
      <c r="C9" s="54"/>
      <c r="D9" s="54"/>
      <c r="E9" s="55">
        <f t="shared" si="1"/>
        <v>0</v>
      </c>
      <c r="F9" s="56"/>
      <c r="G9" s="63"/>
      <c r="H9" s="55">
        <f t="shared" si="0"/>
        <v>0</v>
      </c>
      <c r="I9" s="58">
        <f>(H9*[1]Summary!$C$6)</f>
        <v>0</v>
      </c>
      <c r="J9" s="76"/>
      <c r="K9" s="114"/>
      <c r="L9" s="114"/>
      <c r="M9" s="50"/>
    </row>
    <row r="10" spans="1:13" x14ac:dyDescent="0.2">
      <c r="A10" s="72">
        <v>44567</v>
      </c>
      <c r="B10" s="54">
        <v>2</v>
      </c>
      <c r="C10" s="54">
        <v>8.3000000000000007</v>
      </c>
      <c r="D10" s="54">
        <v>18</v>
      </c>
      <c r="E10" s="55">
        <f t="shared" si="1"/>
        <v>9.6999999999999993</v>
      </c>
      <c r="F10" s="56">
        <v>1608581.6</v>
      </c>
      <c r="G10" s="63">
        <v>1608814.3</v>
      </c>
      <c r="H10" s="55">
        <f>G10-F10</f>
        <v>232.69999999995343</v>
      </c>
      <c r="I10" s="58">
        <f>(H10*[1]Summary!$C$6)</f>
        <v>660.86799999986772</v>
      </c>
      <c r="J10" s="76"/>
      <c r="K10" s="49"/>
      <c r="L10" s="49"/>
      <c r="M10" s="50"/>
    </row>
    <row r="11" spans="1:13" x14ac:dyDescent="0.2">
      <c r="A11" s="72">
        <v>44568</v>
      </c>
      <c r="B11" s="54" t="s">
        <v>52</v>
      </c>
      <c r="C11" s="54"/>
      <c r="D11" s="54"/>
      <c r="E11" s="55">
        <f t="shared" si="1"/>
        <v>0</v>
      </c>
      <c r="F11" s="56"/>
      <c r="G11" s="63"/>
      <c r="H11" s="55">
        <f t="shared" si="0"/>
        <v>0</v>
      </c>
      <c r="I11" s="58">
        <f>(H11*[1]Summary!$C$6)</f>
        <v>0</v>
      </c>
      <c r="J11" s="76"/>
      <c r="K11" s="114"/>
      <c r="L11" s="114"/>
      <c r="M11" s="50"/>
    </row>
    <row r="12" spans="1:13" x14ac:dyDescent="0.2">
      <c r="A12" s="72">
        <v>44569</v>
      </c>
      <c r="B12" s="54">
        <v>2</v>
      </c>
      <c r="C12" s="59">
        <v>8.3000000000000007</v>
      </c>
      <c r="D12" s="59">
        <v>18</v>
      </c>
      <c r="E12" s="55">
        <f t="shared" si="1"/>
        <v>9.6999999999999993</v>
      </c>
      <c r="F12" s="56">
        <v>1608814.3</v>
      </c>
      <c r="G12" s="63">
        <v>1609039.8</v>
      </c>
      <c r="H12" s="55">
        <f t="shared" si="0"/>
        <v>225.5</v>
      </c>
      <c r="I12" s="58">
        <f>(H12*[1]Summary!$C$6)</f>
        <v>640.41999999999996</v>
      </c>
      <c r="J12" s="98">
        <v>-100</v>
      </c>
      <c r="K12" s="115" t="s">
        <v>54</v>
      </c>
      <c r="L12" s="115"/>
      <c r="M12" s="50"/>
    </row>
    <row r="13" spans="1:13" x14ac:dyDescent="0.2">
      <c r="A13" s="72">
        <v>44570</v>
      </c>
      <c r="B13" s="54">
        <v>2</v>
      </c>
      <c r="C13" s="54">
        <v>8.3000000000000007</v>
      </c>
      <c r="D13" s="54">
        <v>13</v>
      </c>
      <c r="E13" s="55">
        <f t="shared" si="1"/>
        <v>4.6999999999999993</v>
      </c>
      <c r="F13" s="56">
        <v>1609039.8</v>
      </c>
      <c r="G13" s="63">
        <v>1609128.7</v>
      </c>
      <c r="H13" s="55">
        <f t="shared" si="0"/>
        <v>88.899999999906868</v>
      </c>
      <c r="I13" s="58">
        <f>(H13*[1]Summary!$C$6)</f>
        <v>252.47599999973548</v>
      </c>
      <c r="J13" s="76"/>
      <c r="K13" s="117"/>
      <c r="L13" s="114"/>
      <c r="M13" s="50"/>
    </row>
    <row r="14" spans="1:13" x14ac:dyDescent="0.2">
      <c r="A14" s="72">
        <v>44571</v>
      </c>
      <c r="B14" s="54">
        <v>2</v>
      </c>
      <c r="C14" s="54">
        <v>8.3000000000000007</v>
      </c>
      <c r="D14" s="54">
        <v>18</v>
      </c>
      <c r="E14" s="55">
        <f t="shared" si="1"/>
        <v>9.6999999999999993</v>
      </c>
      <c r="F14" s="56">
        <v>1609128.7</v>
      </c>
      <c r="G14" s="63">
        <v>1609309.3</v>
      </c>
      <c r="H14" s="55">
        <f t="shared" si="0"/>
        <v>180.60000000009313</v>
      </c>
      <c r="I14" s="58">
        <f>(H14*[1]Summary!$C$6)</f>
        <v>512.90400000026443</v>
      </c>
      <c r="J14" s="76"/>
      <c r="K14" s="114"/>
      <c r="L14" s="114"/>
      <c r="M14" s="114"/>
    </row>
    <row r="15" spans="1:13" x14ac:dyDescent="0.2">
      <c r="A15" s="72">
        <v>44572</v>
      </c>
      <c r="B15" s="54">
        <v>2</v>
      </c>
      <c r="C15" s="54">
        <v>8.3000000000000007</v>
      </c>
      <c r="D15" s="54">
        <v>18</v>
      </c>
      <c r="E15" s="55">
        <f t="shared" si="1"/>
        <v>9.6999999999999993</v>
      </c>
      <c r="F15" s="56">
        <v>1609309.3</v>
      </c>
      <c r="G15" s="63">
        <v>1609335.1</v>
      </c>
      <c r="H15" s="55">
        <f>G15-F15</f>
        <v>25.800000000046566</v>
      </c>
      <c r="I15" s="58">
        <f>(H15*[1]Summary!$C$6)</f>
        <v>73.272000000132238</v>
      </c>
      <c r="J15" s="76"/>
      <c r="K15" s="118" t="s">
        <v>55</v>
      </c>
      <c r="L15" s="119"/>
      <c r="M15" s="50"/>
    </row>
    <row r="16" spans="1:13" x14ac:dyDescent="0.2">
      <c r="A16" s="72">
        <v>44573</v>
      </c>
      <c r="B16" s="54">
        <v>2</v>
      </c>
      <c r="C16" s="54">
        <v>8.3000000000000007</v>
      </c>
      <c r="D16" s="54">
        <v>18</v>
      </c>
      <c r="E16" s="55">
        <f t="shared" si="1"/>
        <v>9.6999999999999993</v>
      </c>
      <c r="F16" s="56">
        <v>1609335.1</v>
      </c>
      <c r="G16" s="63">
        <v>1609514</v>
      </c>
      <c r="H16" s="55">
        <f>G16-F16</f>
        <v>178.89999999990687</v>
      </c>
      <c r="I16" s="58">
        <f>(H16*[1]Summary!$C$6)</f>
        <v>508.07599999973547</v>
      </c>
      <c r="J16" s="76"/>
      <c r="K16" s="49"/>
      <c r="L16" s="50"/>
      <c r="M16" s="50"/>
    </row>
    <row r="17" spans="1:14" x14ac:dyDescent="0.2">
      <c r="A17" s="72">
        <v>44574</v>
      </c>
      <c r="B17" s="54" t="s">
        <v>52</v>
      </c>
      <c r="C17" s="54"/>
      <c r="D17" s="54"/>
      <c r="E17" s="55">
        <f t="shared" si="1"/>
        <v>0</v>
      </c>
      <c r="F17" s="56"/>
      <c r="G17" s="63"/>
      <c r="H17" s="55">
        <f>G17-F17</f>
        <v>0</v>
      </c>
      <c r="I17" s="58">
        <f>(H17*[1]Summary!$C$6)</f>
        <v>0</v>
      </c>
      <c r="J17" s="76"/>
      <c r="K17" s="49"/>
      <c r="L17" s="50"/>
      <c r="M17" s="50"/>
    </row>
    <row r="18" spans="1:14" x14ac:dyDescent="0.2">
      <c r="A18" s="72">
        <v>44575</v>
      </c>
      <c r="B18" s="64">
        <v>2</v>
      </c>
      <c r="C18" s="64">
        <v>8.3000000000000007</v>
      </c>
      <c r="D18" s="64">
        <v>18</v>
      </c>
      <c r="E18" s="55">
        <f t="shared" si="1"/>
        <v>9.6999999999999993</v>
      </c>
      <c r="F18" s="56">
        <v>1609514</v>
      </c>
      <c r="G18" s="63">
        <v>1609714.7</v>
      </c>
      <c r="H18" s="55">
        <f t="shared" si="0"/>
        <v>200.69999999995343</v>
      </c>
      <c r="I18" s="58">
        <f>(H18*[1]Summary!$C$6)</f>
        <v>569.98799999986772</v>
      </c>
      <c r="J18" s="76"/>
      <c r="K18" s="49"/>
      <c r="L18" s="50"/>
      <c r="M18" s="50"/>
    </row>
    <row r="19" spans="1:14" x14ac:dyDescent="0.2">
      <c r="A19" s="72">
        <v>44576</v>
      </c>
      <c r="B19" s="64">
        <v>2</v>
      </c>
      <c r="C19" s="64">
        <v>8.3000000000000007</v>
      </c>
      <c r="D19" s="64">
        <v>18</v>
      </c>
      <c r="E19" s="55">
        <f t="shared" si="1"/>
        <v>9.6999999999999993</v>
      </c>
      <c r="F19" s="56">
        <v>1609714.7</v>
      </c>
      <c r="G19" s="63">
        <v>1609908.1</v>
      </c>
      <c r="H19" s="55">
        <f>G19-F19</f>
        <v>193.4000000001397</v>
      </c>
      <c r="I19" s="58">
        <f>(H19*[1]Summary!$C$6)</f>
        <v>549.25600000039674</v>
      </c>
      <c r="J19" s="98">
        <v>-50</v>
      </c>
      <c r="K19" s="116" t="s">
        <v>56</v>
      </c>
      <c r="L19" s="115"/>
      <c r="M19" s="50"/>
    </row>
    <row r="20" spans="1:14" x14ac:dyDescent="0.2">
      <c r="A20" s="72">
        <v>44577</v>
      </c>
      <c r="B20" s="64">
        <v>2</v>
      </c>
      <c r="C20" s="64">
        <v>8.3000000000000007</v>
      </c>
      <c r="D20" s="64">
        <v>18</v>
      </c>
      <c r="E20" s="55">
        <f t="shared" si="1"/>
        <v>9.6999999999999993</v>
      </c>
      <c r="F20" s="56">
        <v>1609908.1</v>
      </c>
      <c r="G20" s="63">
        <v>1610114</v>
      </c>
      <c r="H20" s="55">
        <f t="shared" si="0"/>
        <v>205.89999999990687</v>
      </c>
      <c r="I20" s="58">
        <f>(H20*[1]Summary!$C$6)</f>
        <v>584.75599999973542</v>
      </c>
      <c r="J20" s="98">
        <v>-10</v>
      </c>
      <c r="K20" s="115" t="s">
        <v>56</v>
      </c>
      <c r="L20" s="115"/>
      <c r="M20" s="50"/>
    </row>
    <row r="21" spans="1:14" x14ac:dyDescent="0.2">
      <c r="A21" s="72">
        <v>44578</v>
      </c>
      <c r="B21" s="64">
        <v>2</v>
      </c>
      <c r="C21" s="64">
        <v>8.3000000000000007</v>
      </c>
      <c r="D21" s="64">
        <v>18</v>
      </c>
      <c r="E21" s="55">
        <f t="shared" si="1"/>
        <v>9.6999999999999993</v>
      </c>
      <c r="F21" s="56">
        <v>1610114</v>
      </c>
      <c r="G21" s="63">
        <v>1610290.6</v>
      </c>
      <c r="H21" s="55">
        <f t="shared" si="0"/>
        <v>176.60000000009313</v>
      </c>
      <c r="I21" s="58">
        <f>(H21*[1]Summary!$C$6)</f>
        <v>501.54400000026448</v>
      </c>
      <c r="J21" s="76"/>
      <c r="K21" s="49"/>
      <c r="L21" s="50"/>
      <c r="M21" s="50"/>
    </row>
    <row r="22" spans="1:14" x14ac:dyDescent="0.2">
      <c r="A22" s="72">
        <v>44579</v>
      </c>
      <c r="B22" s="64" t="s">
        <v>52</v>
      </c>
      <c r="C22" s="64"/>
      <c r="D22" s="64"/>
      <c r="E22" s="55">
        <f t="shared" si="1"/>
        <v>0</v>
      </c>
      <c r="F22" s="55"/>
      <c r="G22" s="63"/>
      <c r="H22" s="55">
        <f>G22-F22</f>
        <v>0</v>
      </c>
      <c r="I22" s="58">
        <f>(H22*[1]Summary!$C$6)</f>
        <v>0</v>
      </c>
      <c r="J22" s="77"/>
      <c r="K22" s="49"/>
      <c r="L22" s="50"/>
      <c r="M22" s="50"/>
    </row>
    <row r="23" spans="1:14" x14ac:dyDescent="0.2">
      <c r="A23" s="72">
        <v>44580</v>
      </c>
      <c r="B23" s="64">
        <v>2</v>
      </c>
      <c r="C23" s="64">
        <v>8.3000000000000007</v>
      </c>
      <c r="D23" s="64">
        <v>18</v>
      </c>
      <c r="E23" s="55">
        <f t="shared" si="1"/>
        <v>9.6999999999999993</v>
      </c>
      <c r="F23" s="55">
        <v>1610290.6</v>
      </c>
      <c r="G23" s="63">
        <v>1610465.7</v>
      </c>
      <c r="H23" s="55">
        <f t="shared" si="0"/>
        <v>175.0999999998603</v>
      </c>
      <c r="I23" s="58">
        <f>(H23*[1]Summary!$C$6)</f>
        <v>497.28399999960322</v>
      </c>
      <c r="J23" s="76"/>
      <c r="K23" s="49"/>
      <c r="L23" s="50"/>
      <c r="M23" s="50"/>
    </row>
    <row r="24" spans="1:14" x14ac:dyDescent="0.2">
      <c r="A24" s="72">
        <v>44581</v>
      </c>
      <c r="B24" s="64" t="s">
        <v>52</v>
      </c>
      <c r="C24" s="64"/>
      <c r="D24" s="64"/>
      <c r="E24" s="55">
        <f t="shared" si="1"/>
        <v>0</v>
      </c>
      <c r="F24" s="55"/>
      <c r="G24" s="63"/>
      <c r="H24" s="55">
        <f>G24-F24</f>
        <v>0</v>
      </c>
      <c r="I24" s="58">
        <f>(H24*[1]Summary!$C$6)</f>
        <v>0</v>
      </c>
      <c r="J24" s="76"/>
      <c r="K24" s="49"/>
      <c r="L24" s="50"/>
      <c r="M24" s="50"/>
    </row>
    <row r="25" spans="1:14" x14ac:dyDescent="0.2">
      <c r="A25" s="72">
        <v>44582</v>
      </c>
      <c r="B25" s="64">
        <v>2</v>
      </c>
      <c r="C25" s="64">
        <v>8.3000000000000007</v>
      </c>
      <c r="D25" s="64">
        <v>18</v>
      </c>
      <c r="E25" s="55">
        <f t="shared" si="1"/>
        <v>9.6999999999999993</v>
      </c>
      <c r="F25" s="55">
        <v>1610465.7</v>
      </c>
      <c r="G25" s="63">
        <v>1610647</v>
      </c>
      <c r="H25" s="55">
        <f t="shared" si="0"/>
        <v>181.30000000004657</v>
      </c>
      <c r="I25" s="58">
        <f>(H25*[1]Summary!$C$6)</f>
        <v>514.89200000013227</v>
      </c>
      <c r="J25" s="76"/>
      <c r="K25" s="49"/>
      <c r="L25" s="50"/>
      <c r="M25" s="50"/>
    </row>
    <row r="26" spans="1:14" x14ac:dyDescent="0.2">
      <c r="A26" s="72">
        <v>44583</v>
      </c>
      <c r="B26" s="64" t="s">
        <v>52</v>
      </c>
      <c r="C26" s="64"/>
      <c r="D26" s="64"/>
      <c r="E26" s="55">
        <f t="shared" si="1"/>
        <v>0</v>
      </c>
      <c r="F26" s="56"/>
      <c r="G26" s="63"/>
      <c r="H26" s="55">
        <f t="shared" si="0"/>
        <v>0</v>
      </c>
      <c r="I26" s="58">
        <f>(H26*[1]Summary!$C$6)</f>
        <v>0</v>
      </c>
      <c r="J26" s="76"/>
      <c r="K26" s="49"/>
      <c r="L26" s="50"/>
      <c r="M26" s="50"/>
    </row>
    <row r="27" spans="1:14" x14ac:dyDescent="0.2">
      <c r="A27" s="72">
        <v>44584</v>
      </c>
      <c r="B27" s="64">
        <v>2</v>
      </c>
      <c r="C27" s="64">
        <v>8.3000000000000007</v>
      </c>
      <c r="D27" s="64">
        <v>18</v>
      </c>
      <c r="E27" s="55">
        <f t="shared" si="1"/>
        <v>9.6999999999999993</v>
      </c>
      <c r="F27" s="56">
        <v>1610647</v>
      </c>
      <c r="G27" s="63">
        <v>1610825</v>
      </c>
      <c r="H27" s="55">
        <f t="shared" si="0"/>
        <v>178</v>
      </c>
      <c r="I27" s="58">
        <f>(H27*[1]Summary!$C$6)</f>
        <v>505.52</v>
      </c>
      <c r="J27" s="98">
        <v>-100</v>
      </c>
      <c r="K27" s="116" t="s">
        <v>57</v>
      </c>
      <c r="L27" s="115"/>
      <c r="M27" s="115"/>
      <c r="N27" s="115"/>
    </row>
    <row r="28" spans="1:14" x14ac:dyDescent="0.2">
      <c r="A28" s="72">
        <v>44585</v>
      </c>
      <c r="B28" s="64" t="s">
        <v>52</v>
      </c>
      <c r="C28" s="64"/>
      <c r="D28" s="64"/>
      <c r="E28" s="55">
        <f t="shared" si="1"/>
        <v>0</v>
      </c>
      <c r="F28" s="56"/>
      <c r="G28" s="63"/>
      <c r="H28" s="55">
        <f t="shared" si="0"/>
        <v>0</v>
      </c>
      <c r="I28" s="58">
        <f>(H28*[1]Summary!$C$6)</f>
        <v>0</v>
      </c>
      <c r="J28" s="103">
        <v>2400</v>
      </c>
      <c r="K28" s="111" t="s">
        <v>53</v>
      </c>
      <c r="L28" s="111"/>
      <c r="M28" s="50"/>
    </row>
    <row r="29" spans="1:14" x14ac:dyDescent="0.2">
      <c r="A29" s="72">
        <v>44586</v>
      </c>
      <c r="B29" s="64">
        <v>2</v>
      </c>
      <c r="C29" s="64">
        <v>8.3000000000000007</v>
      </c>
      <c r="D29" s="64">
        <v>18</v>
      </c>
      <c r="E29" s="55">
        <f t="shared" si="1"/>
        <v>9.6999999999999993</v>
      </c>
      <c r="F29" s="56">
        <v>1610825</v>
      </c>
      <c r="G29" s="63">
        <v>1611077.8</v>
      </c>
      <c r="H29" s="55">
        <f t="shared" si="0"/>
        <v>252.80000000004657</v>
      </c>
      <c r="I29" s="58">
        <f>(H29*[1]Summary!$C$6)</f>
        <v>717.95200000013222</v>
      </c>
      <c r="J29" s="76"/>
      <c r="K29" s="49"/>
      <c r="L29" s="50"/>
      <c r="M29" s="50"/>
    </row>
    <row r="30" spans="1:14" x14ac:dyDescent="0.2">
      <c r="A30" s="72">
        <v>44587</v>
      </c>
      <c r="B30" s="64" t="s">
        <v>52</v>
      </c>
      <c r="C30" s="64"/>
      <c r="D30" s="64"/>
      <c r="E30" s="55">
        <f>D30-C30</f>
        <v>0</v>
      </c>
      <c r="F30" s="56"/>
      <c r="G30" s="63"/>
      <c r="H30" s="55">
        <f t="shared" si="0"/>
        <v>0</v>
      </c>
      <c r="I30" s="58">
        <f>(H30*[1]Summary!$C$6)</f>
        <v>0</v>
      </c>
      <c r="J30" s="76"/>
      <c r="K30" s="49"/>
      <c r="L30" s="50"/>
      <c r="M30" s="50"/>
    </row>
    <row r="31" spans="1:14" x14ac:dyDescent="0.2">
      <c r="A31" s="72">
        <v>44588</v>
      </c>
      <c r="B31" s="54">
        <v>2</v>
      </c>
      <c r="C31" s="54">
        <v>8.3000000000000007</v>
      </c>
      <c r="D31" s="54">
        <v>18</v>
      </c>
      <c r="E31" s="55">
        <f>D31-C31</f>
        <v>9.6999999999999993</v>
      </c>
      <c r="F31" s="56">
        <v>1611077.8</v>
      </c>
      <c r="G31" s="57">
        <v>1611296.3</v>
      </c>
      <c r="H31" s="55">
        <f>G31-F31</f>
        <v>218.5</v>
      </c>
      <c r="I31" s="58">
        <f>(H31*[1]Summary!$C$6)</f>
        <v>620.54</v>
      </c>
      <c r="J31" s="76"/>
      <c r="K31" s="114"/>
      <c r="L31" s="114"/>
      <c r="M31" s="50"/>
    </row>
    <row r="32" spans="1:14" x14ac:dyDescent="0.2">
      <c r="A32" s="72">
        <v>44589</v>
      </c>
      <c r="B32" s="54" t="s">
        <v>52</v>
      </c>
      <c r="C32" s="54"/>
      <c r="D32" s="54"/>
      <c r="E32" s="55">
        <f t="shared" si="1"/>
        <v>0</v>
      </c>
      <c r="F32" s="56"/>
      <c r="G32" s="57"/>
      <c r="H32" s="55">
        <f t="shared" si="0"/>
        <v>0</v>
      </c>
      <c r="I32" s="58">
        <f>(H32*[1]Summary!$C$6)</f>
        <v>0</v>
      </c>
      <c r="J32" s="76"/>
      <c r="K32" s="49"/>
      <c r="L32" s="50"/>
      <c r="M32" s="50"/>
    </row>
    <row r="33" spans="1:13" x14ac:dyDescent="0.2">
      <c r="A33" s="72">
        <v>44590</v>
      </c>
      <c r="B33" s="54">
        <v>2</v>
      </c>
      <c r="C33" s="54">
        <v>8.3000000000000007</v>
      </c>
      <c r="D33" s="54">
        <v>18</v>
      </c>
      <c r="E33" s="55">
        <f>D33-C33</f>
        <v>9.6999999999999993</v>
      </c>
      <c r="F33" s="56">
        <v>1611296.3</v>
      </c>
      <c r="G33" s="57">
        <v>1611633</v>
      </c>
      <c r="H33" s="55">
        <f>G33-F33</f>
        <v>336.69999999995343</v>
      </c>
      <c r="I33" s="58">
        <f>(H33*[1]Summary!$C$6)</f>
        <v>956.22799999986773</v>
      </c>
      <c r="J33" s="76"/>
      <c r="K33" s="49"/>
      <c r="L33" s="50"/>
      <c r="M33" s="50"/>
    </row>
    <row r="34" spans="1:13" x14ac:dyDescent="0.2">
      <c r="A34" s="72">
        <v>44591</v>
      </c>
      <c r="B34" s="54">
        <v>2</v>
      </c>
      <c r="C34" s="54">
        <v>8.3000000000000007</v>
      </c>
      <c r="D34" s="54">
        <v>18</v>
      </c>
      <c r="E34" s="55">
        <f>D34-C34</f>
        <v>9.6999999999999993</v>
      </c>
      <c r="F34" s="56">
        <v>1611633</v>
      </c>
      <c r="G34" s="57">
        <v>1611841.6</v>
      </c>
      <c r="H34" s="55">
        <f>G34-F34</f>
        <v>208.60000000009313</v>
      </c>
      <c r="I34" s="58">
        <f>(H34*[1]Summary!$C$6)</f>
        <v>592.42400000026441</v>
      </c>
      <c r="J34" s="78"/>
      <c r="K34" s="30"/>
    </row>
    <row r="35" spans="1:13" x14ac:dyDescent="0.2">
      <c r="A35" s="72">
        <v>44592</v>
      </c>
      <c r="B35" s="54">
        <v>2</v>
      </c>
      <c r="C35" s="54">
        <v>8.3000000000000007</v>
      </c>
      <c r="D35" s="54">
        <v>21</v>
      </c>
      <c r="E35" s="55">
        <f t="shared" si="1"/>
        <v>12.7</v>
      </c>
      <c r="F35" s="56">
        <v>1611841.6</v>
      </c>
      <c r="G35" s="57">
        <v>1612089</v>
      </c>
      <c r="H35" s="55">
        <f t="shared" si="0"/>
        <v>247.39999999990687</v>
      </c>
      <c r="I35" s="58">
        <f>(H35*[1]Summary!$C$6)</f>
        <v>702.61599999973544</v>
      </c>
      <c r="J35" s="79"/>
      <c r="K35" s="30"/>
    </row>
    <row r="36" spans="1:13" ht="25.5" x14ac:dyDescent="0.2">
      <c r="A36" s="112" t="s">
        <v>27</v>
      </c>
      <c r="B36" s="113"/>
      <c r="C36" s="80"/>
      <c r="D36" s="80"/>
      <c r="E36" s="81"/>
      <c r="F36" s="82"/>
      <c r="G36" s="83"/>
      <c r="H36" s="84">
        <f>SUM(H4:H35)</f>
        <v>4411.3000000000466</v>
      </c>
      <c r="I36" s="84">
        <f>SUM(I4:I35)</f>
        <v>12528.092000000132</v>
      </c>
      <c r="J36" s="85">
        <f>SUM(J4:J35)-H36</f>
        <v>4148.7999999999538</v>
      </c>
      <c r="K36" s="32" t="s">
        <v>58</v>
      </c>
      <c r="L36" s="33"/>
    </row>
    <row r="37" spans="1:13" x14ac:dyDescent="0.2">
      <c r="A37" s="17"/>
      <c r="D37" s="1"/>
    </row>
    <row r="38" spans="1:13" x14ac:dyDescent="0.2">
      <c r="F38" s="34"/>
      <c r="G38" s="31"/>
      <c r="H38" s="31"/>
    </row>
    <row r="39" spans="1:13" x14ac:dyDescent="0.2">
      <c r="A39" s="99" t="s">
        <v>59</v>
      </c>
      <c r="B39"/>
      <c r="C39"/>
    </row>
    <row r="40" spans="1:13" x14ac:dyDescent="0.2">
      <c r="A40" s="86"/>
      <c r="B40" s="100" t="s">
        <v>60</v>
      </c>
      <c r="C40" s="100"/>
      <c r="D40" s="92"/>
    </row>
    <row r="41" spans="1:13" x14ac:dyDescent="0.2">
      <c r="A41" s="87"/>
      <c r="B41" s="99"/>
      <c r="C41" s="99" t="s">
        <v>61</v>
      </c>
      <c r="D41" s="93"/>
    </row>
    <row r="42" spans="1:13" x14ac:dyDescent="0.2">
      <c r="A42" s="87"/>
      <c r="B42" s="99"/>
      <c r="C42" s="99" t="s">
        <v>62</v>
      </c>
      <c r="D42" s="93"/>
    </row>
    <row r="43" spans="1:13" x14ac:dyDescent="0.2">
      <c r="A43" s="87"/>
      <c r="B43" s="99"/>
      <c r="C43" s="99" t="s">
        <v>63</v>
      </c>
      <c r="D43" s="93"/>
    </row>
    <row r="44" spans="1:13" x14ac:dyDescent="0.2">
      <c r="A44" s="87"/>
      <c r="B44" s="99"/>
      <c r="C44" s="99" t="s">
        <v>64</v>
      </c>
      <c r="D44" s="93"/>
    </row>
    <row r="45" spans="1:13" x14ac:dyDescent="0.2">
      <c r="A45" s="87"/>
      <c r="B45"/>
      <c r="C45"/>
      <c r="D45" s="93"/>
    </row>
    <row r="46" spans="1:13" x14ac:dyDescent="0.2">
      <c r="A46" s="87"/>
      <c r="B46" s="99" t="s">
        <v>65</v>
      </c>
      <c r="C46" s="99" t="s">
        <v>66</v>
      </c>
      <c r="D46" s="93"/>
    </row>
    <row r="47" spans="1:13" x14ac:dyDescent="0.2">
      <c r="A47" s="87"/>
      <c r="B47" s="99" t="s">
        <v>67</v>
      </c>
      <c r="C47" s="99" t="s">
        <v>68</v>
      </c>
      <c r="D47" s="93"/>
    </row>
    <row r="48" spans="1:13" x14ac:dyDescent="0.2">
      <c r="A48" s="87"/>
      <c r="B48" s="99"/>
      <c r="C48" s="99" t="s">
        <v>69</v>
      </c>
      <c r="D48" s="93"/>
    </row>
    <row r="49" spans="1:4" x14ac:dyDescent="0.2">
      <c r="A49" s="94"/>
      <c r="B49" s="99"/>
      <c r="C49" s="99" t="s">
        <v>70</v>
      </c>
      <c r="D49" s="93"/>
    </row>
    <row r="50" spans="1:4" x14ac:dyDescent="0.2">
      <c r="A50" s="94"/>
      <c r="B50" s="99"/>
      <c r="C50" s="99" t="s">
        <v>71</v>
      </c>
      <c r="D50" s="102"/>
    </row>
    <row r="51" spans="1:4" x14ac:dyDescent="0.2">
      <c r="A51" s="94"/>
      <c r="B51"/>
      <c r="C51" s="99" t="s">
        <v>72</v>
      </c>
      <c r="D51" s="93"/>
    </row>
    <row r="52" spans="1:4" x14ac:dyDescent="0.2">
      <c r="A52" s="88"/>
      <c r="B52" s="89"/>
      <c r="C52" s="89"/>
      <c r="D52" s="90"/>
    </row>
  </sheetData>
  <mergeCells count="15">
    <mergeCell ref="K4:M4"/>
    <mergeCell ref="A36:B36"/>
    <mergeCell ref="K9:L9"/>
    <mergeCell ref="K11:L11"/>
    <mergeCell ref="K20:L20"/>
    <mergeCell ref="K12:L12"/>
    <mergeCell ref="K14:M14"/>
    <mergeCell ref="K6:L6"/>
    <mergeCell ref="K7:L7"/>
    <mergeCell ref="K31:L31"/>
    <mergeCell ref="K19:L19"/>
    <mergeCell ref="K13:L13"/>
    <mergeCell ref="K15:L15"/>
    <mergeCell ref="K27:N27"/>
    <mergeCell ref="K28:L28"/>
  </mergeCells>
  <pageMargins left="0.21" right="0.21" top="0.57999999999999996" bottom="0.69" header="0.5" footer="0.5"/>
  <pageSetup paperSize="9" scale="7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TOTAL</vt:lpstr>
      <vt:lpstr>B16</vt:lpstr>
      <vt:lpstr>B16 ext</vt:lpstr>
      <vt:lpstr>B17</vt:lpstr>
      <vt:lpstr>Water Reading</vt:lpstr>
      <vt:lpstr>Diesel Reading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Adi Ezani</dc:creator>
  <cp:keywords/>
  <dc:description/>
  <cp:lastModifiedBy>Joe J. El Khoury</cp:lastModifiedBy>
  <cp:revision/>
  <dcterms:created xsi:type="dcterms:W3CDTF">2010-04-20T02:02:44Z</dcterms:created>
  <dcterms:modified xsi:type="dcterms:W3CDTF">2022-03-08T14:05:33Z</dcterms:modified>
  <cp:category/>
  <cp:contentStatus/>
</cp:coreProperties>
</file>