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855" documentId="13_ncr:1_{83C287CF-C334-4BE5-BF29-FA1D4D504CBD}" xr6:coauthVersionLast="47" xr6:coauthVersionMax="47" xr10:uidLastSave="{E63D12E5-E8B0-4B6B-86E9-7AEA5353ECD4}"/>
  <bookViews>
    <workbookView xWindow="-120" yWindow="-120" windowWidth="29040" windowHeight="1584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6" l="1"/>
  <c r="I38" i="6"/>
  <c r="G38" i="6"/>
  <c r="K36" i="6"/>
  <c r="K37" i="6"/>
  <c r="I36" i="6"/>
  <c r="I37" i="6"/>
  <c r="G36" i="6"/>
  <c r="G37" i="6"/>
  <c r="E36" i="6"/>
  <c r="E37" i="6"/>
  <c r="E38" i="6"/>
  <c r="K35" i="6"/>
  <c r="I35" i="6"/>
  <c r="G35" i="6"/>
  <c r="E35" i="6"/>
  <c r="K34" i="6"/>
  <c r="I34" i="6"/>
  <c r="G34" i="6"/>
  <c r="E34" i="6"/>
  <c r="K33" i="6"/>
  <c r="I33" i="6"/>
  <c r="G33" i="6"/>
  <c r="E33" i="6"/>
  <c r="K32" i="6"/>
  <c r="I32" i="6"/>
  <c r="G32" i="6"/>
  <c r="E32" i="6"/>
  <c r="K29" i="6"/>
  <c r="I29" i="6"/>
  <c r="I30" i="6"/>
  <c r="G30" i="6"/>
  <c r="G29" i="6"/>
  <c r="G31" i="6"/>
  <c r="E29" i="6"/>
  <c r="E30" i="6"/>
  <c r="E31" i="6"/>
  <c r="K28" i="6"/>
  <c r="I28" i="6"/>
  <c r="G28" i="6"/>
  <c r="E28" i="6"/>
  <c r="K27" i="6"/>
  <c r="I27" i="6"/>
  <c r="G27" i="6"/>
  <c r="E27" i="6"/>
  <c r="K25" i="6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34" i="4"/>
  <c r="P35" i="4"/>
  <c r="P36" i="4"/>
  <c r="P37" i="4"/>
  <c r="P38" i="4"/>
  <c r="P39" i="4"/>
  <c r="P40" i="4"/>
  <c r="P41" i="4"/>
  <c r="P42" i="4"/>
  <c r="P4" i="4"/>
  <c r="X11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30" i="6"/>
  <c r="K31" i="6"/>
  <c r="K40" i="6"/>
  <c r="I31" i="6"/>
  <c r="I40" i="6"/>
  <c r="G40" i="6"/>
  <c r="E40" i="6"/>
  <c r="C40" i="6"/>
  <c r="I2" i="21"/>
  <c r="H2" i="21"/>
  <c r="E16" i="6"/>
  <c r="K17" i="6"/>
  <c r="I17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C23" i="4" s="1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 s="1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X39" i="2" s="1"/>
  <c r="V26" i="2"/>
  <c r="X26" i="2" s="1"/>
  <c r="V25" i="2"/>
  <c r="X25" i="2" s="1"/>
  <c r="V31" i="2"/>
  <c r="X31" i="2" s="1"/>
  <c r="V32" i="2"/>
  <c r="X32" i="2" s="1"/>
  <c r="V38" i="2"/>
  <c r="X38" i="2" s="1"/>
  <c r="V17" i="2"/>
  <c r="X17" i="2" s="1"/>
  <c r="V18" i="2"/>
  <c r="X18" i="2" s="1"/>
  <c r="V30" i="2"/>
  <c r="X30" i="2" s="1"/>
  <c r="V35" i="2"/>
  <c r="X35" i="2" s="1"/>
  <c r="V27" i="2"/>
  <c r="X27" i="2" s="1"/>
  <c r="V24" i="2"/>
  <c r="X24" i="2" s="1"/>
  <c r="V36" i="2"/>
  <c r="X36" i="2" s="1"/>
  <c r="V40" i="2"/>
  <c r="V33" i="2"/>
  <c r="X33" i="2" s="1"/>
  <c r="V20" i="2"/>
  <c r="X20" i="2" s="1"/>
  <c r="V22" i="2"/>
  <c r="X22" i="2" s="1"/>
  <c r="V34" i="2"/>
  <c r="X34" i="2" s="1"/>
  <c r="V37" i="2"/>
  <c r="X37" i="2" s="1"/>
  <c r="V16" i="2"/>
  <c r="X16" i="2" s="1"/>
  <c r="V19" i="2"/>
  <c r="X19" i="2" s="1"/>
  <c r="V23" i="2"/>
  <c r="X23" i="2" s="1"/>
  <c r="V29" i="2"/>
  <c r="X29" i="2" s="1"/>
  <c r="V28" i="2"/>
  <c r="X28" i="2" s="1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<sst xmlns="http://schemas.openxmlformats.org/spreadsheetml/2006/main" count="510" uniqueCount="205">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</sst>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50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0" fontId="28" fillId="0" borderId="55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8" fillId="0" borderId="41" xfId="0" applyFont="1" applyBorder="1" applyAlignment="1">
      <alignment vertical="center" wrapText="1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9" fillId="0" borderId="62" xfId="0" applyFont="1" applyBorder="1" applyAlignment="1">
      <alignment horizontal="center" wrapText="1"/>
    </xf>
    <xf numFmtId="0" fontId="29" fillId="0" borderId="55" xfId="0" applyFont="1" applyBorder="1" applyAlignment="1">
      <alignment horizontal="center" wrapText="1"/>
    </xf>
    <xf numFmtId="0" fontId="0" fillId="0" borderId="55" xfId="0" applyBorder="1" applyAlignment="1">
      <alignment horizontal="left"/>
    </xf>
    <xf numFmtId="0" fontId="0" fillId="0" borderId="6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18" borderId="55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55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62" xfId="0" applyBorder="1"/>
    <xf numFmtId="0" fontId="29" fillId="0" borderId="56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44" fillId="17" borderId="61" xfId="0" applyFont="1" applyFill="1" applyBorder="1" applyAlignment="1">
      <alignment horizontal="left"/>
    </xf>
    <xf numFmtId="0" fontId="30" fillId="17" borderId="61" xfId="0" applyFont="1" applyFill="1" applyBorder="1"/>
    <xf numFmtId="0" fontId="0" fillId="0" borderId="64" xfId="0" applyBorder="1" applyAlignment="1">
      <alignment horizontal="center" vertic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8">
                  <c:v>108</c:v>
                </c:pt>
                <c:pt idx="19">
                  <c:v>117</c:v>
                </c:pt>
                <c:pt idx="20">
                  <c:v>112</c:v>
                </c:pt>
                <c:pt idx="21">
                  <c:v>128</c:v>
                </c:pt>
                <c:pt idx="22">
                  <c:v>134</c:v>
                </c:pt>
                <c:pt idx="23">
                  <c:v>123</c:v>
                </c:pt>
                <c:pt idx="24">
                  <c:v>147</c:v>
                </c:pt>
                <c:pt idx="25">
                  <c:v>91</c:v>
                </c:pt>
                <c:pt idx="26">
                  <c:v>114</c:v>
                </c:pt>
                <c:pt idx="27">
                  <c:v>153</c:v>
                </c:pt>
                <c:pt idx="28">
                  <c:v>106</c:v>
                </c:pt>
                <c:pt idx="29">
                  <c:v>114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8">
                  <c:v>4176</c:v>
                </c:pt>
                <c:pt idx="19">
                  <c:v>4325</c:v>
                </c:pt>
                <c:pt idx="20">
                  <c:v>3810</c:v>
                </c:pt>
                <c:pt idx="21">
                  <c:v>3925</c:v>
                </c:pt>
                <c:pt idx="22">
                  <c:v>4049</c:v>
                </c:pt>
                <c:pt idx="23">
                  <c:v>3527</c:v>
                </c:pt>
                <c:pt idx="24">
                  <c:v>3818</c:v>
                </c:pt>
                <c:pt idx="25">
                  <c:v>4011</c:v>
                </c:pt>
                <c:pt idx="26">
                  <c:v>4206</c:v>
                </c:pt>
                <c:pt idx="27">
                  <c:v>3881</c:v>
                </c:pt>
                <c:pt idx="28">
                  <c:v>3958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8">
                  <c:v>6032</c:v>
                </c:pt>
                <c:pt idx="19">
                  <c:v>5724</c:v>
                </c:pt>
                <c:pt idx="20">
                  <c:v>5891</c:v>
                </c:pt>
                <c:pt idx="21">
                  <c:v>5865</c:v>
                </c:pt>
                <c:pt idx="22">
                  <c:v>5735</c:v>
                </c:pt>
                <c:pt idx="23">
                  <c:v>5734</c:v>
                </c:pt>
                <c:pt idx="24">
                  <c:v>5754</c:v>
                </c:pt>
                <c:pt idx="25">
                  <c:v>5777</c:v>
                </c:pt>
                <c:pt idx="26">
                  <c:v>5726</c:v>
                </c:pt>
                <c:pt idx="27">
                  <c:v>5705</c:v>
                </c:pt>
                <c:pt idx="28">
                  <c:v>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8">
                  <c:v>2698</c:v>
                </c:pt>
                <c:pt idx="19">
                  <c:v>2686</c:v>
                </c:pt>
                <c:pt idx="20">
                  <c:v>2801</c:v>
                </c:pt>
                <c:pt idx="21">
                  <c:v>2659</c:v>
                </c:pt>
                <c:pt idx="22">
                  <c:v>2598</c:v>
                </c:pt>
                <c:pt idx="23">
                  <c:v>1974</c:v>
                </c:pt>
                <c:pt idx="24">
                  <c:v>3341</c:v>
                </c:pt>
                <c:pt idx="25">
                  <c:v>2689</c:v>
                </c:pt>
                <c:pt idx="26">
                  <c:v>2888</c:v>
                </c:pt>
                <c:pt idx="27">
                  <c:v>3137</c:v>
                </c:pt>
                <c:pt idx="28">
                  <c:v>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447.98894000000001</c:v>
                </c:pt>
                <c:pt idx="18">
                  <c:v>575.98577999999998</c:v>
                </c:pt>
                <c:pt idx="19">
                  <c:v>735.98183000000006</c:v>
                </c:pt>
                <c:pt idx="20">
                  <c:v>479.98815000000002</c:v>
                </c:pt>
                <c:pt idx="21">
                  <c:v>447.98894000000001</c:v>
                </c:pt>
                <c:pt idx="22">
                  <c:v>543.98657000000003</c:v>
                </c:pt>
                <c:pt idx="23">
                  <c:v>703.98262</c:v>
                </c:pt>
                <c:pt idx="24">
                  <c:v>639.98419999999999</c:v>
                </c:pt>
                <c:pt idx="25">
                  <c:v>383.99052</c:v>
                </c:pt>
                <c:pt idx="26">
                  <c:v>639.98419999999999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276225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009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R22" sqref="R22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639.98419999999999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87</v>
      </c>
      <c r="L14" s="128">
        <f>'Consommation mensuel énergie'!E22</f>
        <v>114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13661</v>
      </c>
      <c r="F15" s="125">
        <v>1.05</v>
      </c>
      <c r="G15" s="125">
        <f>'Consommation mensuel énergie'!V23</f>
        <v>511.98736000000002</v>
      </c>
      <c r="H15" s="125">
        <v>12.53</v>
      </c>
      <c r="I15" s="125">
        <f>'Consommation mensuel énergie'!F23</f>
        <v>143</v>
      </c>
      <c r="J15" s="125">
        <v>11.4</v>
      </c>
      <c r="K15" s="128">
        <f>'Consommation mensuel énergie'!D23</f>
        <v>127</v>
      </c>
      <c r="L15" s="128">
        <f>'Consommation mensuel énergie'!E23</f>
        <v>182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12924</v>
      </c>
      <c r="F16" s="125">
        <v>1.05</v>
      </c>
      <c r="G16" s="125">
        <f>'Consommation mensuel énergie'!V24</f>
        <v>447.98894000000001</v>
      </c>
      <c r="H16" s="125">
        <v>12.53</v>
      </c>
      <c r="I16" s="125">
        <f>'Consommation mensuel énergie'!F24</f>
        <v>121</v>
      </c>
      <c r="J16" s="125">
        <v>11.4</v>
      </c>
      <c r="K16" s="128">
        <f>'Consommation mensuel énergie'!D24</f>
        <v>116</v>
      </c>
      <c r="L16" s="128">
        <f>'Consommation mensuel énergie'!E24</f>
        <v>157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12551</v>
      </c>
      <c r="F17" s="125">
        <v>1.05</v>
      </c>
      <c r="G17" s="125">
        <f>'Consommation mensuel énergie'!V25</f>
        <v>799.98025000000007</v>
      </c>
      <c r="H17" s="125">
        <v>12.53</v>
      </c>
      <c r="I17" s="125">
        <f>'Consommation mensuel énergie'!F25</f>
        <v>124</v>
      </c>
      <c r="J17" s="125">
        <v>11.4</v>
      </c>
      <c r="K17" s="128">
        <f>'Consommation mensuel énergie'!D25</f>
        <v>146</v>
      </c>
      <c r="L17" s="128">
        <f>'Consommation mensuel énergie'!E25</f>
        <v>201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12791</v>
      </c>
      <c r="F18" s="125">
        <v>1.05</v>
      </c>
      <c r="G18" s="125">
        <f>'Consommation mensuel énergie'!V26</f>
        <v>415.98973000000001</v>
      </c>
      <c r="H18" s="125">
        <v>12.53</v>
      </c>
      <c r="I18" s="125">
        <f>'Consommation mensuel énergie'!F26</f>
        <v>135</v>
      </c>
      <c r="J18" s="125">
        <v>11.4</v>
      </c>
      <c r="K18" s="128">
        <f>'Consommation mensuel énergie'!D26</f>
        <v>121</v>
      </c>
      <c r="L18" s="128">
        <f>'Consommation mensuel énergie'!E26</f>
        <v>164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12601</v>
      </c>
      <c r="F19" s="125">
        <v>1.05</v>
      </c>
      <c r="G19" s="125">
        <f>'Consommation mensuel énergie'!V27</f>
        <v>447.98894000000001</v>
      </c>
      <c r="H19" s="125">
        <v>12.53</v>
      </c>
      <c r="I19" s="125">
        <f>'Consommation mensuel énergie'!F27</f>
        <v>143</v>
      </c>
      <c r="J19" s="125">
        <v>11.4</v>
      </c>
      <c r="K19" s="128">
        <f>'Consommation mensuel énergie'!D27</f>
        <v>113</v>
      </c>
      <c r="L19" s="128">
        <f>'Consommation mensuel énergie'!E27</f>
        <v>148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12906</v>
      </c>
      <c r="F20" s="125">
        <v>1.05</v>
      </c>
      <c r="G20" s="125">
        <f>'Consommation mensuel énergie'!V28</f>
        <v>575.98577999999998</v>
      </c>
      <c r="H20" s="125">
        <v>12.53</v>
      </c>
      <c r="I20" s="125">
        <f>'Consommation mensuel énergie'!F28</f>
        <v>108</v>
      </c>
      <c r="J20" s="125">
        <v>11.4</v>
      </c>
      <c r="K20" s="128">
        <f>'Consommation mensuel énergie'!D28</f>
        <v>78</v>
      </c>
      <c r="L20" s="128">
        <f>'Consommation mensuel énergie'!E28</f>
        <v>105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12735</v>
      </c>
      <c r="F21" s="125">
        <v>1.05</v>
      </c>
      <c r="G21" s="125">
        <f>'Consommation mensuel énergie'!V29</f>
        <v>735.98183000000006</v>
      </c>
      <c r="H21" s="125">
        <v>12.53</v>
      </c>
      <c r="I21" s="125">
        <f>'Consommation mensuel énergie'!F29</f>
        <v>117</v>
      </c>
      <c r="J21" s="125">
        <v>11.4</v>
      </c>
      <c r="K21" s="128">
        <f>'Consommation mensuel énergie'!D29</f>
        <v>69</v>
      </c>
      <c r="L21" s="128">
        <f>'Consommation mensuel énergie'!E29</f>
        <v>108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12502</v>
      </c>
      <c r="F22" s="125">
        <v>1.05</v>
      </c>
      <c r="G22" s="125">
        <f>'Consommation mensuel énergie'!V30</f>
        <v>479.98815000000002</v>
      </c>
      <c r="H22" s="125">
        <v>12.53</v>
      </c>
      <c r="I22" s="125">
        <f>'Consommation mensuel énergie'!F30</f>
        <v>112</v>
      </c>
      <c r="J22" s="125">
        <v>11.4</v>
      </c>
      <c r="K22" s="128">
        <f>'Consommation mensuel énergie'!D30</f>
        <v>82</v>
      </c>
      <c r="L22" s="128">
        <f>'Consommation mensuel énergie'!E30</f>
        <v>138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12449</v>
      </c>
      <c r="F23" s="125">
        <v>1.05</v>
      </c>
      <c r="G23" s="125">
        <f>'Consommation mensuel énergie'!V31</f>
        <v>447.98894000000001</v>
      </c>
      <c r="H23" s="125">
        <v>12.53</v>
      </c>
      <c r="I23" s="125">
        <f>'Consommation mensuel énergie'!F31</f>
        <v>128</v>
      </c>
      <c r="J23" s="125">
        <v>11.4</v>
      </c>
      <c r="K23" s="128">
        <f>'Consommation mensuel énergie'!D31</f>
        <v>79</v>
      </c>
      <c r="L23" s="128">
        <f>'Consommation mensuel énergie'!E31</f>
        <v>121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12382</v>
      </c>
      <c r="F24" s="125">
        <v>1.05</v>
      </c>
      <c r="G24" s="125">
        <f>'Consommation mensuel énergie'!V32</f>
        <v>543.98657000000003</v>
      </c>
      <c r="H24" s="125">
        <v>12.53</v>
      </c>
      <c r="I24" s="125">
        <f>'Consommation mensuel énergie'!F32</f>
        <v>134</v>
      </c>
      <c r="J24" s="125">
        <v>11.4</v>
      </c>
      <c r="K24" s="128">
        <f>'Consommation mensuel énergie'!D32</f>
        <v>111</v>
      </c>
      <c r="L24" s="128">
        <f>'Consommation mensuel énergie'!E32</f>
        <v>146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11235</v>
      </c>
      <c r="F25" s="125">
        <v>1.05</v>
      </c>
      <c r="G25" s="125">
        <f>'Consommation mensuel énergie'!V33</f>
        <v>703.98262</v>
      </c>
      <c r="H25" s="125">
        <v>12.53</v>
      </c>
      <c r="I25" s="125">
        <f>'Consommation mensuel énergie'!F33</f>
        <v>123</v>
      </c>
      <c r="J25" s="125">
        <v>11.4</v>
      </c>
      <c r="K25" s="128">
        <f>'Consommation mensuel énergie'!D33</f>
        <v>132</v>
      </c>
      <c r="L25" s="128">
        <f>'Consommation mensuel énergie'!E33</f>
        <v>176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12913</v>
      </c>
      <c r="F26" s="125">
        <v>1.05</v>
      </c>
      <c r="G26" s="125">
        <f>'Consommation mensuel énergie'!V34</f>
        <v>639.98419999999999</v>
      </c>
      <c r="H26" s="125">
        <v>12.53</v>
      </c>
      <c r="I26" s="125">
        <f>'Consommation mensuel énergie'!F34</f>
        <v>147</v>
      </c>
      <c r="J26" s="125">
        <v>11.4</v>
      </c>
      <c r="K26" s="128">
        <f>'Consommation mensuel énergie'!D34</f>
        <v>125</v>
      </c>
      <c r="L26" s="128">
        <f>'Consommation mensuel énergie'!E34</f>
        <v>157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12477</v>
      </c>
      <c r="F27" s="125">
        <v>1.05</v>
      </c>
      <c r="G27" s="125">
        <f>'Consommation mensuel énergie'!V35</f>
        <v>383.99052</v>
      </c>
      <c r="H27" s="125">
        <v>12.53</v>
      </c>
      <c r="I27" s="125">
        <f>'Consommation mensuel énergie'!F35</f>
        <v>91</v>
      </c>
      <c r="J27" s="125">
        <v>11.4</v>
      </c>
      <c r="K27" s="128">
        <f>'Consommation mensuel énergie'!D35</f>
        <v>133</v>
      </c>
      <c r="L27" s="128">
        <f>'Consommation mensuel énergie'!E35</f>
        <v>178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12820</v>
      </c>
      <c r="F28" s="125">
        <v>1.05</v>
      </c>
      <c r="G28" s="125">
        <f>'Consommation mensuel énergie'!V36</f>
        <v>639.98419999999999</v>
      </c>
      <c r="H28" s="125">
        <v>12.53</v>
      </c>
      <c r="I28" s="125">
        <f>'Consommation mensuel énergie'!F36</f>
        <v>114</v>
      </c>
      <c r="J28" s="125">
        <v>11.4</v>
      </c>
      <c r="K28" s="128">
        <f>'Consommation mensuel énergie'!D36</f>
        <v>103</v>
      </c>
      <c r="L28" s="128">
        <f>'Consommation mensuel énergie'!E36</f>
        <v>150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12723</v>
      </c>
      <c r="F29" s="125">
        <v>1.05</v>
      </c>
      <c r="G29" s="125">
        <f>'Consommation mensuel énergie'!V37</f>
        <v>575.98577999999998</v>
      </c>
      <c r="H29" s="125">
        <v>12.53</v>
      </c>
      <c r="I29" s="125">
        <f>'Consommation mensuel énergie'!F37</f>
        <v>153</v>
      </c>
      <c r="J29" s="125">
        <v>11.4</v>
      </c>
      <c r="K29" s="128">
        <f>'Consommation mensuel énergie'!D37</f>
        <v>74</v>
      </c>
      <c r="L29" s="128">
        <f>'Consommation mensuel énergie'!E37</f>
        <v>122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12262</v>
      </c>
      <c r="F30" s="125">
        <v>1.05</v>
      </c>
      <c r="G30" s="125">
        <f>'Consommation mensuel énergie'!V38</f>
        <v>543.98657000000003</v>
      </c>
      <c r="H30" s="125">
        <v>12.53</v>
      </c>
      <c r="I30" s="125">
        <f>'Consommation mensuel énergie'!F38</f>
        <v>106</v>
      </c>
      <c r="J30" s="125">
        <v>11.4</v>
      </c>
      <c r="K30" s="128">
        <f>'Consommation mensuel énergie'!D38</f>
        <v>75</v>
      </c>
      <c r="L30" s="128">
        <f>'Consommation mensuel énergie'!E38</f>
        <v>103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11655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114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L21" sqref="L21:S25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87</v>
      </c>
      <c r="I14" s="128">
        <f>'Consommation mensuel énergie'!E22</f>
        <v>114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4443</v>
      </c>
      <c r="F15" s="128">
        <f>'Consommation mensuel énergie'!M23</f>
        <v>6248</v>
      </c>
      <c r="G15" s="128">
        <f>'Consommation mensuel énergie'!N23</f>
        <v>2970</v>
      </c>
      <c r="H15" s="128">
        <f>'Consommation mensuel énergie'!D23</f>
        <v>127</v>
      </c>
      <c r="I15" s="128">
        <f>'Consommation mensuel énergie'!E23</f>
        <v>182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4001</v>
      </c>
      <c r="F16" s="128">
        <f>'Consommation mensuel énergie'!M24</f>
        <v>6092</v>
      </c>
      <c r="G16" s="128">
        <f>'Consommation mensuel énergie'!N24</f>
        <v>2831</v>
      </c>
      <c r="H16" s="128">
        <f>'Consommation mensuel énergie'!D24</f>
        <v>116</v>
      </c>
      <c r="I16" s="128">
        <f>'Consommation mensuel énergie'!E24</f>
        <v>157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3929</v>
      </c>
      <c r="F17" s="128">
        <f>'Consommation mensuel énergie'!M25</f>
        <v>5893</v>
      </c>
      <c r="G17" s="128">
        <f>'Consommation mensuel énergie'!N25</f>
        <v>2729</v>
      </c>
      <c r="H17" s="128">
        <f>'Consommation mensuel énergie'!D25</f>
        <v>146</v>
      </c>
      <c r="I17" s="128">
        <f>'Consommation mensuel énergie'!E25</f>
        <v>201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3952</v>
      </c>
      <c r="F18" s="128">
        <f>'Consommation mensuel énergie'!M26</f>
        <v>5890</v>
      </c>
      <c r="G18" s="128">
        <f>'Consommation mensuel énergie'!N26</f>
        <v>2949</v>
      </c>
      <c r="H18" s="128">
        <f>'Consommation mensuel énergie'!D26</f>
        <v>121</v>
      </c>
      <c r="I18" s="128">
        <f>'Consommation mensuel énergie'!E26</f>
        <v>164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3687</v>
      </c>
      <c r="F19" s="128">
        <f>'Consommation mensuel énergie'!M27</f>
        <v>6121</v>
      </c>
      <c r="G19" s="128">
        <f>'Consommation mensuel énergie'!N27</f>
        <v>2793</v>
      </c>
      <c r="H19" s="128">
        <f>'Consommation mensuel énergie'!D27</f>
        <v>113</v>
      </c>
      <c r="I19" s="128">
        <f>'Consommation mensuel énergie'!E27</f>
        <v>148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4176</v>
      </c>
      <c r="F20" s="128">
        <f>'Consommation mensuel énergie'!M28</f>
        <v>6032</v>
      </c>
      <c r="G20" s="128">
        <f>'Consommation mensuel énergie'!N28</f>
        <v>2698</v>
      </c>
      <c r="H20" s="128">
        <f>'Consommation mensuel énergie'!D28</f>
        <v>78</v>
      </c>
      <c r="I20" s="128">
        <f>'Consommation mensuel énergie'!E28</f>
        <v>105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4325</v>
      </c>
      <c r="F21" s="128">
        <f>'Consommation mensuel énergie'!M29</f>
        <v>5724</v>
      </c>
      <c r="G21" s="128">
        <f>'Consommation mensuel énergie'!N29</f>
        <v>2686</v>
      </c>
      <c r="H21" s="128">
        <f>'Consommation mensuel énergie'!D29</f>
        <v>69</v>
      </c>
      <c r="I21" s="128">
        <f>'Consommation mensuel énergie'!E29</f>
        <v>108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3810</v>
      </c>
      <c r="F22" s="128">
        <f>'Consommation mensuel énergie'!M30</f>
        <v>5891</v>
      </c>
      <c r="G22" s="128">
        <f>'Consommation mensuel énergie'!N30</f>
        <v>2801</v>
      </c>
      <c r="H22" s="128">
        <f>'Consommation mensuel énergie'!D30</f>
        <v>82</v>
      </c>
      <c r="I22" s="128">
        <f>'Consommation mensuel énergie'!E30</f>
        <v>138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3925</v>
      </c>
      <c r="F23" s="128">
        <f>'Consommation mensuel énergie'!M31</f>
        <v>5865</v>
      </c>
      <c r="G23" s="128">
        <f>'Consommation mensuel énergie'!N31</f>
        <v>2659</v>
      </c>
      <c r="H23" s="128">
        <f>'Consommation mensuel énergie'!D31</f>
        <v>79</v>
      </c>
      <c r="I23" s="128">
        <f>'Consommation mensuel énergie'!E31</f>
        <v>121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4049</v>
      </c>
      <c r="F24" s="128">
        <f>'Consommation mensuel énergie'!M32</f>
        <v>5735</v>
      </c>
      <c r="G24" s="128">
        <f>'Consommation mensuel énergie'!N32</f>
        <v>2598</v>
      </c>
      <c r="H24" s="128">
        <f>'Consommation mensuel énergie'!D32</f>
        <v>111</v>
      </c>
      <c r="I24" s="128">
        <f>'Consommation mensuel énergie'!E32</f>
        <v>146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3527</v>
      </c>
      <c r="F25" s="128">
        <f>'Consommation mensuel énergie'!M33</f>
        <v>5734</v>
      </c>
      <c r="G25" s="128">
        <f>'Consommation mensuel énergie'!N33</f>
        <v>1974</v>
      </c>
      <c r="H25" s="128">
        <f>'Consommation mensuel énergie'!D33</f>
        <v>132</v>
      </c>
      <c r="I25" s="128">
        <f>'Consommation mensuel énergie'!E33</f>
        <v>176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3818</v>
      </c>
      <c r="F26" s="128">
        <f>'Consommation mensuel énergie'!M34</f>
        <v>5754</v>
      </c>
      <c r="G26" s="128">
        <f>'Consommation mensuel énergie'!N34</f>
        <v>3341</v>
      </c>
      <c r="H26" s="128">
        <f>'Consommation mensuel énergie'!D34</f>
        <v>125</v>
      </c>
      <c r="I26" s="128">
        <f>'Consommation mensuel énergie'!E34</f>
        <v>157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4011</v>
      </c>
      <c r="F27" s="128">
        <f>'Consommation mensuel énergie'!M35</f>
        <v>5777</v>
      </c>
      <c r="G27" s="128">
        <f>'Consommation mensuel énergie'!N35</f>
        <v>2689</v>
      </c>
      <c r="H27" s="128">
        <f>'Consommation mensuel énergie'!D35</f>
        <v>133</v>
      </c>
      <c r="I27" s="128">
        <f>'Consommation mensuel énergie'!E35</f>
        <v>178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4206</v>
      </c>
      <c r="F28" s="128">
        <f>'Consommation mensuel énergie'!M36</f>
        <v>5726</v>
      </c>
      <c r="G28" s="128">
        <f>'Consommation mensuel énergie'!N36</f>
        <v>2888</v>
      </c>
      <c r="H28" s="128">
        <f>'Consommation mensuel énergie'!D36</f>
        <v>103</v>
      </c>
      <c r="I28" s="128">
        <f>'Consommation mensuel énergie'!E36</f>
        <v>150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3881</v>
      </c>
      <c r="F29" s="128">
        <f>'Consommation mensuel énergie'!M37</f>
        <v>5705</v>
      </c>
      <c r="G29" s="128">
        <f>'Consommation mensuel énergie'!N37</f>
        <v>3137</v>
      </c>
      <c r="H29" s="128">
        <f>'Consommation mensuel énergie'!D37</f>
        <v>74</v>
      </c>
      <c r="I29" s="128">
        <f>'Consommation mensuel énergie'!E37</f>
        <v>122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3958</v>
      </c>
      <c r="F30" s="128">
        <f>'Consommation mensuel énergie'!M38</f>
        <v>5746</v>
      </c>
      <c r="G30" s="128">
        <f>'Consommation mensuel énergie'!N38</f>
        <v>2558</v>
      </c>
      <c r="H30" s="128">
        <f>'Consommation mensuel énergie'!D38</f>
        <v>75</v>
      </c>
      <c r="I30" s="128">
        <f>'Consommation mensuel énergie'!E38</f>
        <v>103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3751</v>
      </c>
      <c r="F31" s="128">
        <f>'Consommation mensuel énergie'!M39</f>
        <v>5334</v>
      </c>
      <c r="G31" s="128">
        <f>'Consommation mensuel énergie'!N39</f>
        <v>2570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10" activePane="bottomRight" state="frozen"/>
      <selection pane="bottomRight" activeCell="Q10" sqref="Q10:Q3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28" width="11.42578125" style="9"/>
    <col min="29" max="29" width="18.5703125" style="9" customWidth="1"/>
    <col min="30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/>
    <row r="2" spans="1:24" ht="100.5" customHeight="1" thickBot="1">
      <c r="A2" s="271"/>
      <c r="B2" s="272"/>
      <c r="C2" s="272"/>
      <c r="D2" s="272"/>
      <c r="E2" s="272"/>
      <c r="F2" s="272"/>
      <c r="G2" s="272"/>
      <c r="H2" s="273"/>
      <c r="I2" s="282" t="s">
        <v>17</v>
      </c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</row>
    <row r="3" spans="1:24" ht="15" hidden="1" customHeight="1" thickBot="1"/>
    <row r="4" spans="1:24" ht="39" hidden="1" customHeight="1" thickBot="1">
      <c r="A4" s="274"/>
      <c r="B4" s="274"/>
      <c r="C4" s="27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74"/>
      <c r="B5" s="274"/>
      <c r="C5" s="274"/>
      <c r="D5" s="5"/>
      <c r="E5" s="5"/>
      <c r="F5" s="5"/>
      <c r="G5" s="5"/>
      <c r="H5" s="5"/>
      <c r="I5" s="5"/>
      <c r="J5" s="5"/>
      <c r="K5" s="5"/>
      <c r="L5" s="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</row>
    <row r="6" spans="1:24" s="5" customFormat="1" ht="44.25" hidden="1" customHeight="1" thickBot="1">
      <c r="A6" s="3"/>
      <c r="B6" s="3"/>
      <c r="C6" s="3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</row>
    <row r="7" spans="1:24" s="5" customFormat="1" ht="18.75" hidden="1" customHeight="1" thickBot="1">
      <c r="F7" s="275"/>
      <c r="G7" s="275"/>
      <c r="H7" s="275"/>
      <c r="I7" s="275"/>
      <c r="J7" s="275"/>
      <c r="K7" s="275"/>
      <c r="L7" s="275"/>
      <c r="M7" s="275"/>
      <c r="N7" s="284"/>
      <c r="O7" s="284"/>
      <c r="P7" s="275"/>
      <c r="Q7" s="275"/>
      <c r="R7" s="275"/>
      <c r="S7" s="275"/>
      <c r="T7" s="275"/>
      <c r="U7" s="275"/>
      <c r="V7" s="275"/>
      <c r="W7" s="275"/>
      <c r="X7" s="275"/>
    </row>
    <row r="8" spans="1:24" ht="18.75" customHeight="1" thickBot="1">
      <c r="A8" s="275"/>
      <c r="B8" s="286" t="s">
        <v>19</v>
      </c>
      <c r="C8" s="4"/>
      <c r="D8" s="246" t="s">
        <v>20</v>
      </c>
      <c r="E8" s="246" t="s">
        <v>21</v>
      </c>
      <c r="F8" s="269" t="s">
        <v>22</v>
      </c>
      <c r="G8" s="2"/>
      <c r="H8" s="276" t="s">
        <v>23</v>
      </c>
      <c r="I8" s="277"/>
      <c r="J8" s="278"/>
      <c r="K8" s="287" t="s">
        <v>24</v>
      </c>
      <c r="L8" s="268" t="s">
        <v>25</v>
      </c>
      <c r="M8" s="268"/>
      <c r="N8" s="268"/>
      <c r="O8" s="268" t="s">
        <v>26</v>
      </c>
      <c r="P8" s="2"/>
      <c r="Q8" s="248" t="s">
        <v>23</v>
      </c>
      <c r="R8" s="2"/>
      <c r="S8" s="248" t="s">
        <v>27</v>
      </c>
      <c r="T8" s="2"/>
      <c r="U8" s="248" t="s">
        <v>28</v>
      </c>
      <c r="V8" s="250" t="s">
        <v>29</v>
      </c>
      <c r="W8" s="2"/>
      <c r="X8" s="248" t="s">
        <v>23</v>
      </c>
    </row>
    <row r="9" spans="1:24" ht="59.25" customHeight="1" thickBot="1">
      <c r="A9" s="275"/>
      <c r="B9" s="286"/>
      <c r="C9" s="4"/>
      <c r="D9" s="247"/>
      <c r="E9" s="247"/>
      <c r="F9" s="270"/>
      <c r="G9" s="2"/>
      <c r="H9" s="279"/>
      <c r="I9" s="280"/>
      <c r="J9" s="281"/>
      <c r="K9" s="288"/>
      <c r="L9" s="146" t="s">
        <v>30</v>
      </c>
      <c r="M9" s="146" t="s">
        <v>31</v>
      </c>
      <c r="N9" s="146" t="s">
        <v>32</v>
      </c>
      <c r="O9" s="285"/>
      <c r="P9" s="2"/>
      <c r="Q9" s="249"/>
      <c r="R9" s="2"/>
      <c r="S9" s="249"/>
      <c r="T9" s="2"/>
      <c r="U9" s="249"/>
      <c r="V9" s="251"/>
      <c r="W9" s="2"/>
      <c r="X9" s="249"/>
    </row>
    <row r="10" spans="1:24" ht="32.25" customHeight="1">
      <c r="A10" s="2"/>
      <c r="B10" s="6">
        <v>44927</v>
      </c>
      <c r="C10" s="7"/>
      <c r="D10" s="134">
        <v>137</v>
      </c>
      <c r="E10" s="189">
        <v>257</v>
      </c>
      <c r="F10" s="13">
        <f>'Suivi EAU-ELEC'!E9</f>
        <v>167</v>
      </c>
      <c r="G10" s="11"/>
      <c r="H10" s="205">
        <f>F10*8.79</f>
        <v>1467.9299999999998</v>
      </c>
      <c r="I10" s="206"/>
      <c r="J10" s="206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8">
        <f>'Suivi EAU-ELEC'!E10</f>
        <v>159</v>
      </c>
      <c r="G11" s="11"/>
      <c r="H11" s="205">
        <f t="shared" ref="H11:H21" si="0">F11*8.79</f>
        <v>1397.61</v>
      </c>
      <c r="I11" s="206"/>
      <c r="J11" s="206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05">
        <f t="shared" si="0"/>
        <v>1380.03</v>
      </c>
      <c r="I12" s="206"/>
      <c r="J12" s="206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05">
        <f t="shared" si="0"/>
        <v>1239.3899999999999</v>
      </c>
      <c r="I13" s="206"/>
      <c r="J13" s="206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05">
        <f t="shared" si="0"/>
        <v>1327.29</v>
      </c>
      <c r="I14" s="206"/>
      <c r="J14" s="206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05">
        <f t="shared" si="0"/>
        <v>1371.2399999999998</v>
      </c>
      <c r="I15" s="206"/>
      <c r="J15" s="206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05">
        <f t="shared" si="0"/>
        <v>1423.9799999999998</v>
      </c>
      <c r="I16" s="206"/>
      <c r="J16" s="206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05">
        <f t="shared" si="0"/>
        <v>1142.6999999999998</v>
      </c>
      <c r="I17" s="206"/>
      <c r="J17" s="206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05">
        <f t="shared" si="0"/>
        <v>878.99999999999989</v>
      </c>
      <c r="I18" s="206"/>
      <c r="J18" s="206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05">
        <f t="shared" si="0"/>
        <v>1063.5899999999999</v>
      </c>
      <c r="I19" s="206"/>
      <c r="J19" s="206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05">
        <f t="shared" si="0"/>
        <v>931.7399999999999</v>
      </c>
      <c r="I20" s="206"/>
      <c r="J20" s="206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05">
        <f t="shared" si="0"/>
        <v>914.15999999999985</v>
      </c>
      <c r="I21" s="206"/>
      <c r="J21" s="206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>
        <v>87</v>
      </c>
      <c r="E22" s="134">
        <v>114</v>
      </c>
      <c r="F22" s="13">
        <f>'Suivi EAU-ELEC'!E21</f>
        <v>110</v>
      </c>
      <c r="G22" s="12"/>
      <c r="H22" s="205">
        <f t="shared" ref="H22:H35" si="4">F22*8.79</f>
        <v>966.89999999999986</v>
      </c>
      <c r="I22" s="206"/>
      <c r="J22" s="206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639.98419999999999</v>
      </c>
      <c r="W22" s="11"/>
      <c r="X22" s="34">
        <f t="shared" si="1"/>
        <v>8019.0020259999992</v>
      </c>
    </row>
    <row r="23" spans="1:24" ht="32.25" customHeight="1">
      <c r="A23" s="2"/>
      <c r="B23" s="6">
        <v>44940</v>
      </c>
      <c r="C23" s="7"/>
      <c r="D23" s="134">
        <v>127</v>
      </c>
      <c r="E23" s="134">
        <v>182</v>
      </c>
      <c r="F23" s="13">
        <f>'Suivi EAU-ELEC'!E22</f>
        <v>143</v>
      </c>
      <c r="G23" s="14"/>
      <c r="H23" s="205">
        <f t="shared" si="4"/>
        <v>1256.9699999999998</v>
      </c>
      <c r="I23" s="206"/>
      <c r="J23" s="206"/>
      <c r="K23" s="54">
        <v>42291</v>
      </c>
      <c r="L23" s="84">
        <f>'Suivi EAU-ELEC'!G22</f>
        <v>4443</v>
      </c>
      <c r="M23" s="85">
        <f>'Suivi EAU-ELEC'!I22</f>
        <v>6248</v>
      </c>
      <c r="N23" s="85">
        <f>'Suivi EAU-ELEC'!K22</f>
        <v>2970</v>
      </c>
      <c r="O23" s="85">
        <f>L23+M23+N23</f>
        <v>13661</v>
      </c>
      <c r="P23" s="12"/>
      <c r="Q23" s="34">
        <f>L23*0.6985+M23*0.9514+N23*1.3304</f>
        <v>12999.0707</v>
      </c>
      <c r="R23" s="12"/>
      <c r="S23" s="28"/>
      <c r="T23" s="14"/>
      <c r="U23" s="28"/>
      <c r="V23" s="137">
        <f>'Suvi Gaz'!O17</f>
        <v>511.98736000000002</v>
      </c>
      <c r="W23" s="11"/>
      <c r="X23" s="34">
        <f t="shared" si="1"/>
        <v>6415.2016207999995</v>
      </c>
    </row>
    <row r="24" spans="1:24" ht="32.25" customHeight="1">
      <c r="A24" s="2"/>
      <c r="B24" s="6">
        <v>44941</v>
      </c>
      <c r="C24" s="7"/>
      <c r="D24" s="134">
        <v>116</v>
      </c>
      <c r="E24" s="134">
        <v>157</v>
      </c>
      <c r="F24" s="13">
        <f>'Suivi EAU-ELEC'!E23</f>
        <v>121</v>
      </c>
      <c r="G24" s="14"/>
      <c r="H24" s="205">
        <f t="shared" si="4"/>
        <v>1063.5899999999999</v>
      </c>
      <c r="I24" s="206"/>
      <c r="J24" s="206"/>
      <c r="K24" s="54">
        <v>42292</v>
      </c>
      <c r="L24" s="84">
        <f>'Suivi EAU-ELEC'!G23</f>
        <v>4001</v>
      </c>
      <c r="M24" s="85">
        <f>'Suivi EAU-ELEC'!I23</f>
        <v>6092</v>
      </c>
      <c r="N24" s="85">
        <f>'Suivi EAU-ELEC'!K23</f>
        <v>2831</v>
      </c>
      <c r="O24" s="85">
        <f>L24+M24+N24</f>
        <v>12924</v>
      </c>
      <c r="P24" s="12"/>
      <c r="Q24" s="34">
        <f>L24*0.6985+M24*0.9514+N24*1.3304</f>
        <v>12356.9897</v>
      </c>
      <c r="R24" s="12"/>
      <c r="S24" s="28"/>
      <c r="T24" s="14"/>
      <c r="U24" s="28"/>
      <c r="V24" s="137">
        <f>'Suvi Gaz'!O18</f>
        <v>447.98894000000001</v>
      </c>
      <c r="W24" s="11"/>
      <c r="X24" s="34">
        <f t="shared" si="1"/>
        <v>5613.3014181999997</v>
      </c>
    </row>
    <row r="25" spans="1:24" ht="32.25" customHeight="1">
      <c r="A25" s="2"/>
      <c r="B25" s="6">
        <v>44942</v>
      </c>
      <c r="C25" s="7"/>
      <c r="D25" s="134">
        <v>146</v>
      </c>
      <c r="E25" s="134">
        <v>201</v>
      </c>
      <c r="F25" s="13">
        <f>'Suivi EAU-ELEC'!E24</f>
        <v>124</v>
      </c>
      <c r="G25" s="14"/>
      <c r="H25" s="205">
        <f t="shared" si="4"/>
        <v>1089.9599999999998</v>
      </c>
      <c r="I25" s="206"/>
      <c r="J25" s="206"/>
      <c r="K25" s="54">
        <v>42293</v>
      </c>
      <c r="L25" s="84">
        <f>'Suivi EAU-ELEC'!G24</f>
        <v>3929</v>
      </c>
      <c r="M25" s="85">
        <f>'Suivi EAU-ELEC'!I24</f>
        <v>5893</v>
      </c>
      <c r="N25" s="85">
        <f>'Suivi EAU-ELEC'!K24</f>
        <v>2729</v>
      </c>
      <c r="O25" s="85">
        <f>L25+M25+N25</f>
        <v>12551</v>
      </c>
      <c r="P25" s="12"/>
      <c r="Q25" s="34">
        <f>L25*0.6985+M25*0.9514+N25*1.3304</f>
        <v>11981.668299999999</v>
      </c>
      <c r="R25" s="12"/>
      <c r="S25" s="28"/>
      <c r="T25" s="14"/>
      <c r="U25" s="28"/>
      <c r="V25" s="137">
        <f>'Suvi Gaz'!O19</f>
        <v>799.98025000000007</v>
      </c>
      <c r="W25" s="11"/>
      <c r="X25" s="34">
        <f t="shared" si="1"/>
        <v>10023.752532500001</v>
      </c>
    </row>
    <row r="26" spans="1:24" ht="32.25" customHeight="1">
      <c r="A26" s="2"/>
      <c r="B26" s="6">
        <v>44943</v>
      </c>
      <c r="C26" s="7"/>
      <c r="D26" s="134">
        <v>121</v>
      </c>
      <c r="E26" s="134">
        <v>164</v>
      </c>
      <c r="F26" s="13">
        <f>'Suivi EAU-ELEC'!E25</f>
        <v>135</v>
      </c>
      <c r="G26" s="14"/>
      <c r="H26" s="205">
        <f t="shared" si="4"/>
        <v>1186.6499999999999</v>
      </c>
      <c r="I26" s="206"/>
      <c r="J26" s="206"/>
      <c r="K26" s="54">
        <v>42294</v>
      </c>
      <c r="L26" s="84">
        <f>'Suivi EAU-ELEC'!G25</f>
        <v>3952</v>
      </c>
      <c r="M26" s="85">
        <f>'Suivi EAU-ELEC'!I25</f>
        <v>5890</v>
      </c>
      <c r="N26" s="85">
        <f>'Suivi EAU-ELEC'!K25</f>
        <v>2949</v>
      </c>
      <c r="O26" s="85">
        <f>L26+M26+N26</f>
        <v>12791</v>
      </c>
      <c r="P26" s="14"/>
      <c r="Q26" s="34">
        <f>L26*0.6985+M26*0.9514+N26*1.3304</f>
        <v>12287.5676</v>
      </c>
      <c r="R26" s="14"/>
      <c r="S26" s="28"/>
      <c r="T26" s="14"/>
      <c r="U26" s="28"/>
      <c r="V26" s="137">
        <f>'Suvi Gaz'!O20</f>
        <v>415.98973000000001</v>
      </c>
      <c r="W26" s="11"/>
      <c r="X26" s="34">
        <f t="shared" si="1"/>
        <v>5212.3513168999998</v>
      </c>
    </row>
    <row r="27" spans="1:24" ht="32.25" customHeight="1">
      <c r="A27" s="2"/>
      <c r="B27" s="6">
        <v>44944</v>
      </c>
      <c r="C27" s="7"/>
      <c r="D27" s="134">
        <v>113</v>
      </c>
      <c r="E27" s="134">
        <v>148</v>
      </c>
      <c r="F27" s="13">
        <f>'Suivi EAU-ELEC'!E26</f>
        <v>143</v>
      </c>
      <c r="G27" s="14"/>
      <c r="H27" s="205">
        <f t="shared" si="4"/>
        <v>1256.9699999999998</v>
      </c>
      <c r="I27" s="206"/>
      <c r="J27" s="206"/>
      <c r="K27" s="54">
        <v>42295</v>
      </c>
      <c r="L27" s="84">
        <f>'Suivi EAU-ELEC'!G26</f>
        <v>3687</v>
      </c>
      <c r="M27" s="85">
        <f>'Suivi EAU-ELEC'!I26</f>
        <v>6121</v>
      </c>
      <c r="N27" s="85">
        <f>'Suivi EAU-ELEC'!K26</f>
        <v>2793</v>
      </c>
      <c r="O27" s="85">
        <f t="shared" si="2"/>
        <v>12601</v>
      </c>
      <c r="P27" s="14"/>
      <c r="Q27" s="34">
        <f t="shared" si="3"/>
        <v>12114.696100000001</v>
      </c>
      <c r="R27" s="14"/>
      <c r="S27" s="28"/>
      <c r="T27" s="14"/>
      <c r="U27" s="28"/>
      <c r="V27" s="137">
        <f>'Suvi Gaz'!O21</f>
        <v>447.98894000000001</v>
      </c>
      <c r="W27" s="11"/>
      <c r="X27" s="34">
        <f t="shared" si="1"/>
        <v>5613.3014181999997</v>
      </c>
    </row>
    <row r="28" spans="1:24" ht="32.25" customHeight="1">
      <c r="A28" s="2"/>
      <c r="B28" s="6">
        <v>44945</v>
      </c>
      <c r="C28" s="7"/>
      <c r="D28" s="134">
        <v>78</v>
      </c>
      <c r="E28" s="134">
        <v>105</v>
      </c>
      <c r="F28" s="13">
        <f>'Suivi EAU-ELEC'!E27</f>
        <v>108</v>
      </c>
      <c r="G28" s="11"/>
      <c r="H28" s="205">
        <f t="shared" si="4"/>
        <v>949.31999999999994</v>
      </c>
      <c r="I28" s="206"/>
      <c r="J28" s="206"/>
      <c r="K28" s="54">
        <v>42296</v>
      </c>
      <c r="L28" s="84">
        <f>'Suivi EAU-ELEC'!G27</f>
        <v>4176</v>
      </c>
      <c r="M28" s="85">
        <f>'Suivi EAU-ELEC'!I27</f>
        <v>6032</v>
      </c>
      <c r="N28" s="85">
        <f>'Suivi EAU-ELEC'!K27</f>
        <v>2698</v>
      </c>
      <c r="O28" s="85">
        <f t="shared" si="2"/>
        <v>12906</v>
      </c>
      <c r="P28" s="11"/>
      <c r="Q28" s="34">
        <f>L28*0.6985+M28*0.9514+N28*1.3304</f>
        <v>12245.2</v>
      </c>
      <c r="R28" s="11"/>
      <c r="S28" s="28"/>
      <c r="T28" s="11"/>
      <c r="U28" s="28"/>
      <c r="V28" s="137">
        <f>'Suvi Gaz'!O22</f>
        <v>575.98577999999998</v>
      </c>
      <c r="W28" s="11"/>
      <c r="X28" s="34">
        <f t="shared" si="1"/>
        <v>7217.1018233999994</v>
      </c>
    </row>
    <row r="29" spans="1:24" ht="32.25" customHeight="1">
      <c r="A29" s="2"/>
      <c r="B29" s="6">
        <v>44946</v>
      </c>
      <c r="C29" s="7"/>
      <c r="D29" s="134">
        <v>69</v>
      </c>
      <c r="E29" s="134">
        <v>108</v>
      </c>
      <c r="F29" s="13">
        <f>'Suivi EAU-ELEC'!E28</f>
        <v>117</v>
      </c>
      <c r="G29" s="11"/>
      <c r="H29" s="205">
        <f t="shared" si="4"/>
        <v>1028.4299999999998</v>
      </c>
      <c r="I29" s="206"/>
      <c r="J29" s="206"/>
      <c r="K29" s="54">
        <v>42297</v>
      </c>
      <c r="L29" s="84">
        <f>'Suivi EAU-ELEC'!G28</f>
        <v>4325</v>
      </c>
      <c r="M29" s="85">
        <f>'Suivi EAU-ELEC'!I28</f>
        <v>5724</v>
      </c>
      <c r="N29" s="85">
        <f>'Suivi EAU-ELEC'!K28</f>
        <v>2686</v>
      </c>
      <c r="O29" s="85">
        <f>L29+M29+N29</f>
        <v>12735</v>
      </c>
      <c r="P29" s="11"/>
      <c r="Q29" s="34">
        <f t="shared" si="3"/>
        <v>12040.280500000001</v>
      </c>
      <c r="R29" s="11"/>
      <c r="S29" s="28"/>
      <c r="T29" s="11"/>
      <c r="U29" s="28"/>
      <c r="V29" s="137">
        <f>'Suvi Gaz'!O23</f>
        <v>735.98183000000006</v>
      </c>
      <c r="W29" s="11"/>
      <c r="X29" s="34">
        <f t="shared" si="1"/>
        <v>9221.8523299000008</v>
      </c>
    </row>
    <row r="30" spans="1:24" ht="32.25" customHeight="1">
      <c r="A30" s="2"/>
      <c r="B30" s="6">
        <v>44947</v>
      </c>
      <c r="C30" s="7"/>
      <c r="D30" s="134">
        <v>82</v>
      </c>
      <c r="E30" s="134">
        <v>138</v>
      </c>
      <c r="F30" s="13">
        <f>'Suivi EAU-ELEC'!E29</f>
        <v>112</v>
      </c>
      <c r="G30" s="11"/>
      <c r="H30" s="205">
        <f t="shared" si="4"/>
        <v>984.4799999999999</v>
      </c>
      <c r="I30" s="206"/>
      <c r="J30" s="206"/>
      <c r="K30" s="54">
        <v>42298</v>
      </c>
      <c r="L30" s="84">
        <f>'Suivi EAU-ELEC'!G29</f>
        <v>3810</v>
      </c>
      <c r="M30" s="85">
        <f>'Suivi EAU-ELEC'!I29</f>
        <v>5891</v>
      </c>
      <c r="N30" s="85">
        <f>'Suivi EAU-ELEC'!K29</f>
        <v>2801</v>
      </c>
      <c r="O30" s="85">
        <f>L30+M30+N30</f>
        <v>12502</v>
      </c>
      <c r="P30" s="11"/>
      <c r="Q30" s="34">
        <f>L30*0.6985+M30*0.9514+N30*1.3304</f>
        <v>11992.4328</v>
      </c>
      <c r="R30" s="11"/>
      <c r="S30" s="28"/>
      <c r="T30" s="11"/>
      <c r="U30" s="28"/>
      <c r="V30" s="137">
        <f>'Suvi Gaz'!O24</f>
        <v>479.98815000000002</v>
      </c>
      <c r="W30" s="11"/>
      <c r="X30" s="34">
        <f t="shared" si="1"/>
        <v>6014.2515194999996</v>
      </c>
    </row>
    <row r="31" spans="1:24" ht="27.75" customHeight="1">
      <c r="A31" s="2"/>
      <c r="B31" s="6">
        <v>44948</v>
      </c>
      <c r="C31" s="7"/>
      <c r="D31" s="134">
        <v>79</v>
      </c>
      <c r="E31" s="134">
        <v>121</v>
      </c>
      <c r="F31" s="13">
        <f>'Suivi EAU-ELEC'!E30</f>
        <v>128</v>
      </c>
      <c r="G31" s="11"/>
      <c r="H31" s="205">
        <f t="shared" si="4"/>
        <v>1125.1199999999999</v>
      </c>
      <c r="I31" s="206"/>
      <c r="J31" s="206"/>
      <c r="K31" s="54">
        <v>42299</v>
      </c>
      <c r="L31" s="84">
        <f>'Suivi EAU-ELEC'!G30</f>
        <v>3925</v>
      </c>
      <c r="M31" s="85">
        <f>'Suivi EAU-ELEC'!I30</f>
        <v>5865</v>
      </c>
      <c r="N31" s="85">
        <f>'Suivi EAU-ELEC'!K30</f>
        <v>2659</v>
      </c>
      <c r="O31" s="85">
        <f>L31+M31+N31</f>
        <v>12449</v>
      </c>
      <c r="P31" s="11"/>
      <c r="Q31" s="34">
        <f>L31*0.6985+M31*0.9514+N31*1.3304</f>
        <v>11859.107100000001</v>
      </c>
      <c r="R31" s="11"/>
      <c r="S31" s="28"/>
      <c r="T31" s="11"/>
      <c r="U31" s="28"/>
      <c r="V31" s="137">
        <f>'Suvi Gaz'!O25</f>
        <v>447.98894000000001</v>
      </c>
      <c r="W31" s="11"/>
      <c r="X31" s="34">
        <f t="shared" si="1"/>
        <v>5613.3014181999997</v>
      </c>
    </row>
    <row r="32" spans="1:24" ht="37.5" customHeight="1">
      <c r="A32" s="2"/>
      <c r="B32" s="6">
        <v>44949</v>
      </c>
      <c r="C32" s="7"/>
      <c r="D32" s="134">
        <v>111</v>
      </c>
      <c r="E32" s="134">
        <v>146</v>
      </c>
      <c r="F32" s="13">
        <f>'Suivi EAU-ELEC'!E31</f>
        <v>134</v>
      </c>
      <c r="G32" s="11"/>
      <c r="H32" s="205">
        <f t="shared" si="4"/>
        <v>1177.8599999999999</v>
      </c>
      <c r="I32" s="206"/>
      <c r="J32" s="206"/>
      <c r="K32" s="54">
        <v>42300</v>
      </c>
      <c r="L32" s="84">
        <f>'Suivi EAU-ELEC'!G31</f>
        <v>4049</v>
      </c>
      <c r="M32" s="85">
        <f>'Suivi EAU-ELEC'!I31</f>
        <v>5735</v>
      </c>
      <c r="N32" s="85">
        <f>'Suivi EAU-ELEC'!K31</f>
        <v>2598</v>
      </c>
      <c r="O32" s="85">
        <f t="shared" si="2"/>
        <v>12382</v>
      </c>
      <c r="P32" s="11"/>
      <c r="Q32" s="34">
        <f t="shared" si="3"/>
        <v>11740.884700000001</v>
      </c>
      <c r="R32" s="11"/>
      <c r="S32" s="28"/>
      <c r="T32" s="11"/>
      <c r="U32" s="28"/>
      <c r="V32" s="137">
        <f>'Suvi Gaz'!O26</f>
        <v>543.98657000000003</v>
      </c>
      <c r="W32" s="11"/>
      <c r="X32" s="34">
        <f t="shared" si="1"/>
        <v>6816.1517221000004</v>
      </c>
    </row>
    <row r="33" spans="1:24" ht="37.5" customHeight="1">
      <c r="A33" s="2"/>
      <c r="B33" s="6">
        <v>44950</v>
      </c>
      <c r="C33" s="7"/>
      <c r="D33" s="134">
        <v>132</v>
      </c>
      <c r="E33" s="134">
        <v>176</v>
      </c>
      <c r="F33" s="13">
        <f>'Suivi EAU-ELEC'!E32</f>
        <v>123</v>
      </c>
      <c r="G33" s="11"/>
      <c r="H33" s="205">
        <f t="shared" si="4"/>
        <v>1081.1699999999998</v>
      </c>
      <c r="I33" s="206"/>
      <c r="J33" s="206"/>
      <c r="K33" s="54">
        <v>42301</v>
      </c>
      <c r="L33" s="84">
        <f>'Suivi EAU-ELEC'!G32</f>
        <v>3527</v>
      </c>
      <c r="M33" s="85">
        <f>'Suivi EAU-ELEC'!I32</f>
        <v>5734</v>
      </c>
      <c r="N33" s="85">
        <f>'Suivi EAU-ELEC'!K32</f>
        <v>1974</v>
      </c>
      <c r="O33" s="85">
        <f t="shared" si="2"/>
        <v>11235</v>
      </c>
      <c r="P33" s="11"/>
      <c r="Q33" s="34">
        <f t="shared" si="3"/>
        <v>10545.146700000001</v>
      </c>
      <c r="R33" s="11"/>
      <c r="S33" s="28"/>
      <c r="T33" s="11"/>
      <c r="U33" s="28"/>
      <c r="V33" s="137">
        <f>'Suvi Gaz'!O27</f>
        <v>703.98262</v>
      </c>
      <c r="W33" s="11"/>
      <c r="X33" s="34">
        <f t="shared" si="1"/>
        <v>8820.9022285999999</v>
      </c>
    </row>
    <row r="34" spans="1:24" ht="37.5" customHeight="1">
      <c r="A34" s="2"/>
      <c r="B34" s="6">
        <v>44951</v>
      </c>
      <c r="C34" s="7"/>
      <c r="D34" s="134">
        <v>125</v>
      </c>
      <c r="E34" s="134">
        <v>157</v>
      </c>
      <c r="F34" s="13">
        <f>'Suivi EAU-ELEC'!E33</f>
        <v>147</v>
      </c>
      <c r="G34" s="11"/>
      <c r="H34" s="205">
        <f t="shared" si="4"/>
        <v>1292.1299999999999</v>
      </c>
      <c r="I34" s="206"/>
      <c r="J34" s="206"/>
      <c r="K34" s="54">
        <v>42302</v>
      </c>
      <c r="L34" s="84">
        <f>'Suivi EAU-ELEC'!G33</f>
        <v>3818</v>
      </c>
      <c r="M34" s="85">
        <f>'Suivi EAU-ELEC'!I33</f>
        <v>5754</v>
      </c>
      <c r="N34" s="85">
        <f>'Suivi EAU-ELEC'!K33</f>
        <v>3341</v>
      </c>
      <c r="O34" s="85">
        <f t="shared" si="2"/>
        <v>12913</v>
      </c>
      <c r="P34" s="11"/>
      <c r="Q34" s="34">
        <f t="shared" si="3"/>
        <v>12586.095000000001</v>
      </c>
      <c r="R34" s="11"/>
      <c r="S34" s="28"/>
      <c r="T34" s="11"/>
      <c r="U34" s="28"/>
      <c r="V34" s="137">
        <f>'Suvi Gaz'!O28</f>
        <v>639.98419999999999</v>
      </c>
      <c r="W34" s="11"/>
      <c r="X34" s="34">
        <f t="shared" si="1"/>
        <v>8019.0020259999992</v>
      </c>
    </row>
    <row r="35" spans="1:24" ht="33.75" customHeight="1">
      <c r="A35" s="2"/>
      <c r="B35" s="6">
        <v>44952</v>
      </c>
      <c r="C35" s="7"/>
      <c r="D35" s="134">
        <v>133</v>
      </c>
      <c r="E35" s="134">
        <v>178</v>
      </c>
      <c r="F35" s="13">
        <f>'Suivi EAU-ELEC'!E34</f>
        <v>91</v>
      </c>
      <c r="G35" s="11"/>
      <c r="H35" s="205">
        <f t="shared" si="4"/>
        <v>799.88999999999987</v>
      </c>
      <c r="I35" s="206"/>
      <c r="J35" s="206"/>
      <c r="K35" s="54">
        <v>42303</v>
      </c>
      <c r="L35" s="84">
        <f>'Suivi EAU-ELEC'!G34</f>
        <v>4011</v>
      </c>
      <c r="M35" s="85">
        <f>'Suivi EAU-ELEC'!I34</f>
        <v>5777</v>
      </c>
      <c r="N35" s="85">
        <f>'Suivi EAU-ELEC'!K34</f>
        <v>2689</v>
      </c>
      <c r="O35" s="85">
        <f t="shared" si="2"/>
        <v>12477</v>
      </c>
      <c r="P35" s="11"/>
      <c r="Q35" s="34">
        <f t="shared" si="3"/>
        <v>11875.366900000001</v>
      </c>
      <c r="R35" s="11"/>
      <c r="S35" s="28"/>
      <c r="T35" s="11"/>
      <c r="U35" s="28"/>
      <c r="V35" s="137">
        <f>'Suvi Gaz'!O29</f>
        <v>383.99052</v>
      </c>
      <c r="W35" s="11"/>
      <c r="X35" s="34">
        <f t="shared" si="1"/>
        <v>4811.4012155999999</v>
      </c>
    </row>
    <row r="36" spans="1:24" ht="33.75" customHeight="1">
      <c r="A36" s="2"/>
      <c r="B36" s="6">
        <v>44953</v>
      </c>
      <c r="C36" s="7"/>
      <c r="D36" s="134">
        <v>103</v>
      </c>
      <c r="E36" s="134">
        <v>150</v>
      </c>
      <c r="F36" s="13">
        <f>'Suivi EAU-ELEC'!E35</f>
        <v>114</v>
      </c>
      <c r="G36" s="11"/>
      <c r="H36" s="205">
        <f>F36*8.79</f>
        <v>1002.06</v>
      </c>
      <c r="I36" s="206"/>
      <c r="J36" s="206"/>
      <c r="K36" s="54">
        <v>42304</v>
      </c>
      <c r="L36" s="84">
        <f>'Suivi EAU-ELEC'!G35</f>
        <v>4206</v>
      </c>
      <c r="M36" s="85">
        <f>'Suivi EAU-ELEC'!I35</f>
        <v>5726</v>
      </c>
      <c r="N36" s="85">
        <f>'Suivi EAU-ELEC'!K35</f>
        <v>2888</v>
      </c>
      <c r="O36" s="85">
        <f t="shared" si="2"/>
        <v>12820</v>
      </c>
      <c r="P36" s="11"/>
      <c r="Q36" s="34">
        <f t="shared" si="3"/>
        <v>12227.802600000001</v>
      </c>
      <c r="R36" s="11"/>
      <c r="S36" s="28"/>
      <c r="T36" s="11"/>
      <c r="U36" s="28"/>
      <c r="V36" s="137">
        <f>'Suvi Gaz'!O30</f>
        <v>639.98419999999999</v>
      </c>
      <c r="W36" s="11"/>
      <c r="X36" s="34">
        <f t="shared" si="1"/>
        <v>8019.0020259999992</v>
      </c>
    </row>
    <row r="37" spans="1:24" ht="33.75" customHeight="1">
      <c r="A37" s="2"/>
      <c r="B37" s="6">
        <v>44954</v>
      </c>
      <c r="C37" s="7"/>
      <c r="D37" s="134">
        <v>74</v>
      </c>
      <c r="E37" s="134">
        <v>122</v>
      </c>
      <c r="F37" s="13">
        <f>'Suivi EAU-ELEC'!E36</f>
        <v>153</v>
      </c>
      <c r="G37" s="11"/>
      <c r="H37" s="205">
        <f t="shared" ref="H37:H38" si="5">F37*8.79</f>
        <v>1344.87</v>
      </c>
      <c r="I37" s="206"/>
      <c r="J37" s="206"/>
      <c r="K37" s="54"/>
      <c r="L37" s="84">
        <f>'Suivi EAU-ELEC'!G36</f>
        <v>3881</v>
      </c>
      <c r="M37" s="85">
        <f>'Suivi EAU-ELEC'!I36</f>
        <v>5705</v>
      </c>
      <c r="N37" s="85">
        <f>'Suivi EAU-ELEC'!K36</f>
        <v>3137</v>
      </c>
      <c r="O37" s="85">
        <f t="shared" si="2"/>
        <v>12723</v>
      </c>
      <c r="P37" s="11"/>
      <c r="Q37" s="34">
        <f t="shared" si="3"/>
        <v>12312.0803</v>
      </c>
      <c r="R37" s="11"/>
      <c r="S37" s="28"/>
      <c r="T37" s="11"/>
      <c r="U37" s="28"/>
      <c r="V37" s="137">
        <f>'Suvi Gaz'!O31</f>
        <v>575.98577999999998</v>
      </c>
      <c r="W37" s="11"/>
      <c r="X37" s="34">
        <f t="shared" si="1"/>
        <v>7217.1018233999994</v>
      </c>
    </row>
    <row r="38" spans="1:24" ht="33.75" customHeight="1">
      <c r="A38" s="2"/>
      <c r="B38" s="6">
        <v>44955</v>
      </c>
      <c r="C38" s="7"/>
      <c r="D38" s="134">
        <v>75</v>
      </c>
      <c r="E38" s="134">
        <v>103</v>
      </c>
      <c r="F38" s="13">
        <f>'Suivi EAU-ELEC'!E37</f>
        <v>106</v>
      </c>
      <c r="G38" s="11"/>
      <c r="H38" s="205">
        <f t="shared" si="5"/>
        <v>931.7399999999999</v>
      </c>
      <c r="I38" s="206"/>
      <c r="J38" s="206"/>
      <c r="K38" s="54"/>
      <c r="L38" s="84">
        <f>'Suivi EAU-ELEC'!G37</f>
        <v>3958</v>
      </c>
      <c r="M38" s="85">
        <f>'Suivi EAU-ELEC'!I37</f>
        <v>5746</v>
      </c>
      <c r="N38" s="85">
        <f>'Suivi EAU-ELEC'!K37</f>
        <v>2558</v>
      </c>
      <c r="O38" s="85">
        <f t="shared" si="2"/>
        <v>12262</v>
      </c>
      <c r="P38" s="11"/>
      <c r="Q38" s="34">
        <f t="shared" si="3"/>
        <v>11634.570599999999</v>
      </c>
      <c r="R38" s="11"/>
      <c r="S38" s="28"/>
      <c r="T38" s="11"/>
      <c r="U38" s="28"/>
      <c r="V38" s="137">
        <f>'Suvi Gaz'!O32</f>
        <v>543.98657000000003</v>
      </c>
      <c r="W38" s="11"/>
      <c r="X38" s="34">
        <f t="shared" si="1"/>
        <v>6816.1517221000004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114</v>
      </c>
      <c r="G39" s="11"/>
      <c r="H39" s="205">
        <f t="shared" ref="H39" si="6">F39*8.79</f>
        <v>1002.06</v>
      </c>
      <c r="I39" s="206"/>
      <c r="J39" s="206"/>
      <c r="K39" s="54"/>
      <c r="L39" s="84">
        <f>'Suivi EAU-ELEC'!G38</f>
        <v>3751</v>
      </c>
      <c r="M39" s="85">
        <f>'Suivi EAU-ELEC'!I38</f>
        <v>5334</v>
      </c>
      <c r="N39" s="85">
        <f>'Suivi EAU-ELEC'!K38</f>
        <v>2570</v>
      </c>
      <c r="O39" s="85">
        <f t="shared" si="2"/>
        <v>11655</v>
      </c>
      <c r="P39" s="11"/>
      <c r="Q39" s="34">
        <f t="shared" si="3"/>
        <v>11113.9691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05">
        <f t="shared" ref="H40" si="7">F40*8.79</f>
        <v>0</v>
      </c>
      <c r="I40" s="206"/>
      <c r="J40" s="206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2935</v>
      </c>
      <c r="E41" s="8">
        <f>SUM(E10:E40)</f>
        <v>4485</v>
      </c>
      <c r="F41" s="143">
        <f>SUM(F10:F40)</f>
        <v>3877</v>
      </c>
      <c r="G41" s="1"/>
      <c r="H41" s="243">
        <f>SUM(H10:H40)</f>
        <v>34078.829999999994</v>
      </c>
      <c r="I41" s="244"/>
      <c r="J41" s="245"/>
      <c r="K41" s="1"/>
      <c r="L41" s="51">
        <f>SUM(L10:L40)</f>
        <v>123658</v>
      </c>
      <c r="M41" s="51">
        <f>SUM(M10:M40)</f>
        <v>181815</v>
      </c>
      <c r="N41" s="52">
        <f>SUM(N10:N40)</f>
        <v>85765</v>
      </c>
      <c r="O41" s="53">
        <f>SUM(O10:O40)</f>
        <v>391238</v>
      </c>
      <c r="P41" s="31"/>
      <c r="Q41" s="32">
        <f>SUM(Q10:Q40)</f>
        <v>373552.77919999999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16320.68592</v>
      </c>
      <c r="W41" s="31"/>
      <c r="X41" s="32">
        <f>SUM(X10:X40)</f>
        <v>204498.19457759999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23" t="s">
        <v>33</v>
      </c>
      <c r="B43" s="224"/>
      <c r="C43" s="224"/>
      <c r="D43" s="224"/>
      <c r="E43" s="224"/>
      <c r="F43" s="225"/>
      <c r="G43" s="26"/>
      <c r="H43" s="27" t="s">
        <v>34</v>
      </c>
      <c r="I43" s="235" t="s">
        <v>35</v>
      </c>
      <c r="J43" s="236"/>
      <c r="K43" s="237"/>
      <c r="L43" s="266" t="s">
        <v>36</v>
      </c>
      <c r="M43" s="267"/>
      <c r="N43" s="223" t="s">
        <v>37</v>
      </c>
      <c r="O43" s="224"/>
      <c r="P43" s="224"/>
      <c r="Q43" s="224"/>
      <c r="R43" s="224"/>
      <c r="S43" s="224"/>
      <c r="T43" s="224"/>
      <c r="U43" s="224"/>
      <c r="V43" s="224"/>
      <c r="W43" s="224"/>
      <c r="X43" s="225"/>
    </row>
    <row r="44" spans="1:24" s="18" customFormat="1" ht="29.25" customHeight="1" thickBot="1">
      <c r="A44" s="260" t="s">
        <v>38</v>
      </c>
      <c r="B44" s="261"/>
      <c r="C44" s="262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57">
        <f>L41</f>
        <v>123658</v>
      </c>
      <c r="J44" s="258"/>
      <c r="K44" s="259"/>
      <c r="L44" s="241">
        <f>I44*H44</f>
        <v>86375.112999999998</v>
      </c>
      <c r="M44" s="242"/>
      <c r="N44" s="214">
        <f>L44+L45+L46</f>
        <v>373455.66</v>
      </c>
      <c r="O44" s="215"/>
      <c r="P44" s="215"/>
      <c r="Q44" s="215"/>
      <c r="R44" s="215"/>
      <c r="S44" s="215"/>
      <c r="T44" s="215"/>
      <c r="U44" s="215"/>
      <c r="V44" s="215"/>
      <c r="W44" s="215"/>
      <c r="X44" s="216"/>
    </row>
    <row r="45" spans="1:24" s="18" customFormat="1" ht="29.25" customHeight="1" thickBot="1">
      <c r="A45" s="263"/>
      <c r="B45" s="264"/>
      <c r="C45" s="265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57">
        <f>M41</f>
        <v>181815</v>
      </c>
      <c r="J45" s="258"/>
      <c r="K45" s="259"/>
      <c r="L45" s="241">
        <f>I45*H45</f>
        <v>172978.791</v>
      </c>
      <c r="M45" s="242"/>
      <c r="N45" s="217"/>
      <c r="O45" s="218"/>
      <c r="P45" s="218"/>
      <c r="Q45" s="218"/>
      <c r="R45" s="218"/>
      <c r="S45" s="218"/>
      <c r="T45" s="218"/>
      <c r="U45" s="218"/>
      <c r="V45" s="218"/>
      <c r="W45" s="218"/>
      <c r="X45" s="219"/>
    </row>
    <row r="46" spans="1:24" s="18" customFormat="1" ht="24.75" customHeight="1" thickBot="1">
      <c r="A46" s="263"/>
      <c r="B46" s="264"/>
      <c r="C46" s="265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32">
        <f>N41</f>
        <v>85765</v>
      </c>
      <c r="J46" s="233"/>
      <c r="K46" s="234"/>
      <c r="L46" s="241">
        <f>I46*H46</f>
        <v>114101.75600000001</v>
      </c>
      <c r="M46" s="242"/>
      <c r="N46" s="220"/>
      <c r="O46" s="221"/>
      <c r="P46" s="221"/>
      <c r="Q46" s="221"/>
      <c r="R46" s="221"/>
      <c r="S46" s="221"/>
      <c r="T46" s="221"/>
      <c r="U46" s="221"/>
      <c r="V46" s="221"/>
      <c r="W46" s="221"/>
      <c r="X46" s="222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38">
        <f>N44*1.3</f>
        <v>485492.35800000001</v>
      </c>
      <c r="O47" s="239"/>
      <c r="P47" s="239"/>
      <c r="Q47" s="239"/>
      <c r="R47" s="239"/>
      <c r="S47" s="239"/>
      <c r="T47" s="239"/>
      <c r="U47" s="239"/>
      <c r="V47" s="239"/>
      <c r="W47" s="239"/>
      <c r="X47" s="240"/>
    </row>
    <row r="48" spans="1:24" s="23" customFormat="1" ht="32.25" customHeight="1" thickBot="1">
      <c r="A48" s="252" t="s">
        <v>39</v>
      </c>
      <c r="B48" s="253"/>
      <c r="C48" s="253"/>
      <c r="D48" s="253"/>
      <c r="E48" s="253"/>
      <c r="F48" s="254"/>
      <c r="G48" s="21"/>
      <c r="H48" s="22">
        <v>8.7899999999999991</v>
      </c>
      <c r="I48" s="252">
        <f>F41</f>
        <v>3877</v>
      </c>
      <c r="J48" s="253"/>
      <c r="K48" s="254"/>
      <c r="L48" s="255">
        <f>I48*H48</f>
        <v>34078.829999999994</v>
      </c>
      <c r="M48" s="256"/>
      <c r="N48" s="211">
        <f>L48</f>
        <v>34078.829999999994</v>
      </c>
      <c r="O48" s="212"/>
      <c r="P48" s="212"/>
      <c r="Q48" s="212"/>
      <c r="R48" s="212"/>
      <c r="S48" s="212"/>
      <c r="T48" s="212"/>
      <c r="U48" s="212"/>
      <c r="V48" s="212"/>
      <c r="W48" s="212"/>
      <c r="X48" s="213"/>
    </row>
    <row r="49" spans="1:24" s="23" customFormat="1" ht="36.75" customHeight="1">
      <c r="A49" s="226" t="s">
        <v>40</v>
      </c>
      <c r="B49" s="227"/>
      <c r="C49" s="227"/>
      <c r="D49" s="227"/>
      <c r="E49" s="227"/>
      <c r="F49" s="228"/>
      <c r="G49" s="24"/>
      <c r="H49" s="25">
        <v>12.53</v>
      </c>
      <c r="I49" s="229">
        <f>V41</f>
        <v>16320.68592</v>
      </c>
      <c r="J49" s="230"/>
      <c r="K49" s="231"/>
      <c r="L49" s="229">
        <f>I49*H49</f>
        <v>204498.19457759999</v>
      </c>
      <c r="M49" s="231"/>
      <c r="N49" s="208">
        <f>L49</f>
        <v>204498.19457759999</v>
      </c>
      <c r="O49" s="209"/>
      <c r="P49" s="209"/>
      <c r="Q49" s="209"/>
      <c r="R49" s="209"/>
      <c r="S49" s="209"/>
      <c r="T49" s="209"/>
      <c r="U49" s="209"/>
      <c r="V49" s="209"/>
      <c r="W49" s="209"/>
      <c r="X49" s="210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9" activePane="bottomRight" state="frozen"/>
      <selection pane="bottomRight" activeCell="J36" sqref="J36:J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07"/>
      <c r="B1" s="308"/>
      <c r="C1" s="308"/>
      <c r="D1" s="309"/>
      <c r="E1" s="290" t="s">
        <v>41</v>
      </c>
      <c r="F1" s="291"/>
      <c r="G1" s="291"/>
      <c r="H1" s="291"/>
      <c r="I1" s="292"/>
      <c r="J1" s="299" t="s">
        <v>42</v>
      </c>
      <c r="K1" s="300"/>
      <c r="L1" s="49"/>
    </row>
    <row r="2" spans="1:12" ht="16.5" customHeight="1">
      <c r="A2" s="310"/>
      <c r="B2" s="311"/>
      <c r="C2" s="311"/>
      <c r="D2" s="312"/>
      <c r="E2" s="293"/>
      <c r="F2" s="294"/>
      <c r="G2" s="294"/>
      <c r="H2" s="294"/>
      <c r="I2" s="295"/>
      <c r="J2" s="301"/>
      <c r="K2" s="302"/>
      <c r="L2" s="49"/>
    </row>
    <row r="3" spans="1:12" ht="48" customHeight="1">
      <c r="A3" s="313"/>
      <c r="B3" s="314"/>
      <c r="C3" s="314"/>
      <c r="D3" s="315"/>
      <c r="E3" s="296"/>
      <c r="F3" s="297"/>
      <c r="G3" s="297"/>
      <c r="H3" s="297"/>
      <c r="I3" s="298"/>
      <c r="J3" s="303"/>
      <c r="K3" s="304"/>
      <c r="L3" s="49"/>
    </row>
    <row r="6" spans="1:12" ht="10.5" customHeight="1"/>
    <row r="7" spans="1:12" ht="16.5" customHeight="1">
      <c r="A7" s="289" t="s">
        <v>43</v>
      </c>
      <c r="B7" s="316" t="s">
        <v>44</v>
      </c>
      <c r="C7" s="316"/>
      <c r="D7" s="305" t="s">
        <v>45</v>
      </c>
      <c r="E7" s="305"/>
      <c r="F7" s="306" t="s">
        <v>46</v>
      </c>
      <c r="G7" s="306"/>
      <c r="H7" s="306"/>
      <c r="I7" s="306"/>
      <c r="J7" s="306"/>
      <c r="K7" s="306"/>
    </row>
    <row r="8" spans="1:12" s="29" customFormat="1" ht="28.5" customHeight="1">
      <c r="A8" s="289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H36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>
        <v>2594</v>
      </c>
      <c r="C22" s="162">
        <v>0</v>
      </c>
      <c r="D22" s="163">
        <v>182184</v>
      </c>
      <c r="E22" s="164">
        <f t="shared" ref="E22:E38" si="7">D22-D21</f>
        <v>143</v>
      </c>
      <c r="F22" s="165">
        <v>12959845</v>
      </c>
      <c r="G22" s="164">
        <f t="shared" si="0"/>
        <v>4443</v>
      </c>
      <c r="H22" s="165">
        <v>22102652</v>
      </c>
      <c r="I22" s="164">
        <f t="shared" si="5"/>
        <v>6248</v>
      </c>
      <c r="J22" s="165">
        <v>9699551</v>
      </c>
      <c r="K22" s="164">
        <f t="shared" ref="K22:K29" si="8">J22-J21</f>
        <v>2970</v>
      </c>
    </row>
    <row r="23" spans="1:29" ht="23.25" customHeight="1">
      <c r="A23" s="160">
        <v>44941</v>
      </c>
      <c r="B23" s="161">
        <v>2594</v>
      </c>
      <c r="C23" s="162">
        <v>0</v>
      </c>
      <c r="D23" s="163">
        <v>182305</v>
      </c>
      <c r="E23" s="164">
        <f t="shared" si="7"/>
        <v>121</v>
      </c>
      <c r="F23" s="165">
        <v>12963846</v>
      </c>
      <c r="G23" s="164">
        <f t="shared" si="0"/>
        <v>4001</v>
      </c>
      <c r="H23" s="165">
        <v>22108744</v>
      </c>
      <c r="I23" s="164">
        <f t="shared" si="5"/>
        <v>6092</v>
      </c>
      <c r="J23" s="165">
        <v>9702382</v>
      </c>
      <c r="K23" s="164">
        <f t="shared" si="8"/>
        <v>2831</v>
      </c>
    </row>
    <row r="24" spans="1:29" ht="23.25" customHeight="1">
      <c r="A24" s="160">
        <v>44942</v>
      </c>
      <c r="B24" s="161">
        <v>2594</v>
      </c>
      <c r="C24" s="162">
        <v>0</v>
      </c>
      <c r="D24" s="163">
        <v>182429</v>
      </c>
      <c r="E24" s="164">
        <f t="shared" si="7"/>
        <v>124</v>
      </c>
      <c r="F24" s="165">
        <v>12967775</v>
      </c>
      <c r="G24" s="164">
        <f t="shared" si="0"/>
        <v>3929</v>
      </c>
      <c r="H24" s="165">
        <v>22114637</v>
      </c>
      <c r="I24" s="164">
        <f t="shared" si="5"/>
        <v>5893</v>
      </c>
      <c r="J24" s="165">
        <v>9705111</v>
      </c>
      <c r="K24" s="164">
        <f t="shared" si="8"/>
        <v>2729</v>
      </c>
    </row>
    <row r="25" spans="1:29" ht="19.5">
      <c r="A25" s="160">
        <v>44943</v>
      </c>
      <c r="B25" s="161">
        <v>2594</v>
      </c>
      <c r="C25" s="162">
        <v>0</v>
      </c>
      <c r="D25" s="163">
        <v>182564</v>
      </c>
      <c r="E25" s="164">
        <f t="shared" si="7"/>
        <v>135</v>
      </c>
      <c r="F25" s="165">
        <v>12971727</v>
      </c>
      <c r="G25" s="164">
        <f t="shared" si="0"/>
        <v>3952</v>
      </c>
      <c r="H25" s="165">
        <v>22120527</v>
      </c>
      <c r="I25" s="164">
        <f t="shared" si="5"/>
        <v>5890</v>
      </c>
      <c r="J25" s="165">
        <v>9708060</v>
      </c>
      <c r="K25" s="164">
        <f t="shared" si="8"/>
        <v>2949</v>
      </c>
    </row>
    <row r="26" spans="1:29" ht="19.5">
      <c r="A26" s="160">
        <v>44944</v>
      </c>
      <c r="B26" s="161">
        <v>2594</v>
      </c>
      <c r="C26" s="162">
        <v>0</v>
      </c>
      <c r="D26" s="163">
        <v>182707</v>
      </c>
      <c r="E26" s="164">
        <f t="shared" si="7"/>
        <v>143</v>
      </c>
      <c r="F26" s="165">
        <v>12975414</v>
      </c>
      <c r="G26" s="164">
        <f t="shared" si="0"/>
        <v>3687</v>
      </c>
      <c r="H26" s="165">
        <v>22126648</v>
      </c>
      <c r="I26" s="164">
        <f t="shared" si="5"/>
        <v>6121</v>
      </c>
      <c r="J26" s="165">
        <v>9710853</v>
      </c>
      <c r="K26" s="164">
        <f t="shared" si="8"/>
        <v>2793</v>
      </c>
    </row>
    <row r="27" spans="1:29" ht="19.5">
      <c r="A27" s="160">
        <v>44945</v>
      </c>
      <c r="B27" s="161">
        <v>2594</v>
      </c>
      <c r="C27" s="162">
        <v>0</v>
      </c>
      <c r="D27" s="163">
        <v>182815</v>
      </c>
      <c r="E27" s="164">
        <f t="shared" si="7"/>
        <v>108</v>
      </c>
      <c r="F27" s="165">
        <v>12979590</v>
      </c>
      <c r="G27" s="164">
        <f t="shared" si="0"/>
        <v>4176</v>
      </c>
      <c r="H27" s="165">
        <v>22132680</v>
      </c>
      <c r="I27" s="164">
        <f t="shared" si="5"/>
        <v>6032</v>
      </c>
      <c r="J27" s="165">
        <v>9713551</v>
      </c>
      <c r="K27" s="164">
        <f t="shared" si="8"/>
        <v>2698</v>
      </c>
    </row>
    <row r="28" spans="1:29" ht="19.5">
      <c r="A28" s="160">
        <v>44946</v>
      </c>
      <c r="B28" s="161">
        <v>2594</v>
      </c>
      <c r="C28" s="162">
        <v>0</v>
      </c>
      <c r="D28" s="163">
        <v>182932</v>
      </c>
      <c r="E28" s="164">
        <f t="shared" si="7"/>
        <v>117</v>
      </c>
      <c r="F28" s="165">
        <v>12983915</v>
      </c>
      <c r="G28" s="164">
        <f t="shared" si="0"/>
        <v>4325</v>
      </c>
      <c r="H28" s="165">
        <v>22138404</v>
      </c>
      <c r="I28" s="164">
        <f t="shared" si="5"/>
        <v>5724</v>
      </c>
      <c r="J28" s="165">
        <v>9716237</v>
      </c>
      <c r="K28" s="164">
        <f t="shared" si="8"/>
        <v>2686</v>
      </c>
    </row>
    <row r="29" spans="1:29" ht="19.5">
      <c r="A29" s="160">
        <v>44947</v>
      </c>
      <c r="B29" s="161">
        <v>2594</v>
      </c>
      <c r="C29" s="162">
        <v>0</v>
      </c>
      <c r="D29" s="163">
        <v>183044</v>
      </c>
      <c r="E29" s="164">
        <f t="shared" si="7"/>
        <v>112</v>
      </c>
      <c r="F29" s="165">
        <v>12987725</v>
      </c>
      <c r="G29" s="164">
        <f t="shared" si="0"/>
        <v>3810</v>
      </c>
      <c r="H29" s="165">
        <v>22144295</v>
      </c>
      <c r="I29" s="164">
        <f t="shared" si="5"/>
        <v>5891</v>
      </c>
      <c r="J29" s="165">
        <v>9719038</v>
      </c>
      <c r="K29" s="164">
        <f t="shared" si="8"/>
        <v>2801</v>
      </c>
    </row>
    <row r="30" spans="1:29" ht="19.5">
      <c r="A30" s="160">
        <v>44948</v>
      </c>
      <c r="B30" s="161">
        <v>2594</v>
      </c>
      <c r="C30" s="162">
        <v>0</v>
      </c>
      <c r="D30" s="163">
        <v>183172</v>
      </c>
      <c r="E30" s="164">
        <f t="shared" si="7"/>
        <v>128</v>
      </c>
      <c r="F30" s="165">
        <v>12991650</v>
      </c>
      <c r="G30" s="164">
        <f t="shared" si="0"/>
        <v>3925</v>
      </c>
      <c r="H30" s="165">
        <v>22150160</v>
      </c>
      <c r="I30" s="164">
        <f t="shared" si="5"/>
        <v>5865</v>
      </c>
      <c r="J30" s="165">
        <v>9721697</v>
      </c>
      <c r="K30" s="164">
        <f t="shared" si="6"/>
        <v>2659</v>
      </c>
    </row>
    <row r="31" spans="1:29" ht="19.5">
      <c r="A31" s="173">
        <v>44949</v>
      </c>
      <c r="B31" s="161">
        <v>2594</v>
      </c>
      <c r="C31" s="162">
        <v>0</v>
      </c>
      <c r="D31" s="174">
        <v>183306</v>
      </c>
      <c r="E31" s="164">
        <f t="shared" si="7"/>
        <v>134</v>
      </c>
      <c r="F31" s="175">
        <v>12995699</v>
      </c>
      <c r="G31" s="164">
        <f t="shared" si="0"/>
        <v>4049</v>
      </c>
      <c r="H31" s="175">
        <v>22155895</v>
      </c>
      <c r="I31" s="164">
        <f t="shared" si="5"/>
        <v>5735</v>
      </c>
      <c r="J31" s="175">
        <v>9724295</v>
      </c>
      <c r="K31" s="164">
        <f t="shared" si="6"/>
        <v>2598</v>
      </c>
    </row>
    <row r="32" spans="1:29" ht="19.5">
      <c r="A32" s="160">
        <v>44950</v>
      </c>
      <c r="B32" s="161">
        <v>2594</v>
      </c>
      <c r="C32" s="162">
        <v>0</v>
      </c>
      <c r="D32" s="163">
        <v>183429</v>
      </c>
      <c r="E32" s="164">
        <f t="shared" si="7"/>
        <v>123</v>
      </c>
      <c r="F32" s="165">
        <v>12999226</v>
      </c>
      <c r="G32" s="164">
        <f t="shared" si="0"/>
        <v>3527</v>
      </c>
      <c r="H32" s="165">
        <v>22161629</v>
      </c>
      <c r="I32" s="164">
        <f t="shared" si="5"/>
        <v>5734</v>
      </c>
      <c r="J32" s="165">
        <v>9726269</v>
      </c>
      <c r="K32" s="164">
        <f t="shared" si="6"/>
        <v>1974</v>
      </c>
    </row>
    <row r="33" spans="1:11" ht="19.5">
      <c r="A33" s="160">
        <v>44951</v>
      </c>
      <c r="B33" s="161">
        <v>2594</v>
      </c>
      <c r="C33" s="162">
        <v>0</v>
      </c>
      <c r="D33" s="163">
        <v>183576</v>
      </c>
      <c r="E33" s="164">
        <f t="shared" si="7"/>
        <v>147</v>
      </c>
      <c r="F33" s="165">
        <v>13003044</v>
      </c>
      <c r="G33" s="164">
        <f t="shared" si="0"/>
        <v>3818</v>
      </c>
      <c r="H33" s="165">
        <v>22167383</v>
      </c>
      <c r="I33" s="164">
        <f t="shared" si="5"/>
        <v>5754</v>
      </c>
      <c r="J33" s="165">
        <v>9729610</v>
      </c>
      <c r="K33" s="164">
        <f t="shared" si="6"/>
        <v>3341</v>
      </c>
    </row>
    <row r="34" spans="1:11" ht="19.5">
      <c r="A34" s="160">
        <v>44952</v>
      </c>
      <c r="B34" s="161">
        <v>2594</v>
      </c>
      <c r="C34" s="162">
        <v>0</v>
      </c>
      <c r="D34" s="163">
        <v>183667</v>
      </c>
      <c r="E34" s="164">
        <f t="shared" si="7"/>
        <v>91</v>
      </c>
      <c r="F34" s="165">
        <v>13007055</v>
      </c>
      <c r="G34" s="164">
        <f t="shared" si="0"/>
        <v>4011</v>
      </c>
      <c r="H34" s="165">
        <v>22173160</v>
      </c>
      <c r="I34" s="164">
        <f t="shared" si="5"/>
        <v>5777</v>
      </c>
      <c r="J34" s="165">
        <v>9732299</v>
      </c>
      <c r="K34" s="164">
        <f t="shared" si="6"/>
        <v>2689</v>
      </c>
    </row>
    <row r="35" spans="1:11" ht="19.5">
      <c r="A35" s="160">
        <v>44953</v>
      </c>
      <c r="B35" s="161">
        <v>2594</v>
      </c>
      <c r="C35" s="162">
        <v>0</v>
      </c>
      <c r="D35" s="163">
        <v>183781</v>
      </c>
      <c r="E35" s="164">
        <f t="shared" si="7"/>
        <v>114</v>
      </c>
      <c r="F35" s="165">
        <v>13011261</v>
      </c>
      <c r="G35" s="164">
        <f t="shared" si="0"/>
        <v>4206</v>
      </c>
      <c r="H35" s="165">
        <v>22178886</v>
      </c>
      <c r="I35" s="164">
        <f t="shared" si="5"/>
        <v>5726</v>
      </c>
      <c r="J35" s="165">
        <v>9735187</v>
      </c>
      <c r="K35" s="164">
        <f t="shared" si="6"/>
        <v>2888</v>
      </c>
    </row>
    <row r="36" spans="1:11" ht="19.5">
      <c r="A36" s="160">
        <v>44954</v>
      </c>
      <c r="B36" s="161">
        <v>2594</v>
      </c>
      <c r="C36" s="162">
        <v>0</v>
      </c>
      <c r="D36" s="163">
        <v>183934</v>
      </c>
      <c r="E36" s="164">
        <f t="shared" si="7"/>
        <v>153</v>
      </c>
      <c r="F36" s="165">
        <v>13015142</v>
      </c>
      <c r="G36" s="164">
        <f t="shared" si="0"/>
        <v>3881</v>
      </c>
      <c r="H36" s="165">
        <v>22184591</v>
      </c>
      <c r="I36" s="164">
        <f t="shared" si="5"/>
        <v>5705</v>
      </c>
      <c r="J36" s="165">
        <v>9738324</v>
      </c>
      <c r="K36" s="164">
        <f t="shared" si="6"/>
        <v>3137</v>
      </c>
    </row>
    <row r="37" spans="1:11" ht="19.5">
      <c r="A37" s="160">
        <v>44955</v>
      </c>
      <c r="B37" s="161">
        <v>2594</v>
      </c>
      <c r="C37" s="162">
        <v>0</v>
      </c>
      <c r="D37" s="163">
        <v>184040</v>
      </c>
      <c r="E37" s="164">
        <f t="shared" si="7"/>
        <v>106</v>
      </c>
      <c r="F37" s="165">
        <v>13019100</v>
      </c>
      <c r="G37" s="164">
        <f t="shared" ref="G37:G38" si="9">F37-F36</f>
        <v>3958</v>
      </c>
      <c r="H37" s="165">
        <v>22190337</v>
      </c>
      <c r="I37" s="164">
        <f t="shared" si="5"/>
        <v>5746</v>
      </c>
      <c r="J37" s="165">
        <v>9740882</v>
      </c>
      <c r="K37" s="164">
        <f t="shared" si="6"/>
        <v>2558</v>
      </c>
    </row>
    <row r="38" spans="1:11" ht="19.5">
      <c r="A38" s="160">
        <v>44956</v>
      </c>
      <c r="B38" s="161">
        <v>2594</v>
      </c>
      <c r="C38" s="162">
        <v>0</v>
      </c>
      <c r="D38" s="163">
        <v>184154</v>
      </c>
      <c r="E38" s="164">
        <f t="shared" si="7"/>
        <v>114</v>
      </c>
      <c r="F38" s="165">
        <v>13022851</v>
      </c>
      <c r="G38" s="164">
        <f t="shared" si="9"/>
        <v>3751</v>
      </c>
      <c r="H38" s="165">
        <v>22195671</v>
      </c>
      <c r="I38" s="164">
        <f t="shared" si="5"/>
        <v>5334</v>
      </c>
      <c r="J38" s="165">
        <v>9743452</v>
      </c>
      <c r="K38" s="164">
        <f t="shared" si="6"/>
        <v>2570</v>
      </c>
    </row>
    <row r="39" spans="1:11" ht="19.5">
      <c r="A39" s="160">
        <v>44957</v>
      </c>
      <c r="B39" s="161"/>
      <c r="C39" s="162"/>
      <c r="D39" s="163"/>
      <c r="E39" s="164"/>
      <c r="F39" s="165"/>
      <c r="G39" s="164"/>
      <c r="H39" s="165"/>
      <c r="I39" s="164"/>
      <c r="J39" s="165"/>
      <c r="K39" s="164"/>
    </row>
    <row r="40" spans="1:11" ht="19.5">
      <c r="A40" s="160">
        <v>44958</v>
      </c>
      <c r="B40" s="161"/>
      <c r="C40" s="162">
        <f t="shared" ref="C10:C40" si="10">B40-B39</f>
        <v>0</v>
      </c>
      <c r="D40" s="163"/>
      <c r="E40" s="164">
        <f t="shared" si="4"/>
        <v>0</v>
      </c>
      <c r="F40" s="165"/>
      <c r="G40" s="164">
        <f t="shared" ref="G11:G40" si="11">F40-F39</f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H31" sqref="H31:H3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20" t="s">
        <v>57</v>
      </c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</row>
    <row r="2" spans="1:31" ht="41.25" customHeight="1">
      <c r="Q2" s="325">
        <v>803</v>
      </c>
      <c r="R2" s="326"/>
      <c r="S2" s="327"/>
      <c r="T2" s="328">
        <v>519</v>
      </c>
      <c r="U2" s="326"/>
      <c r="V2" s="327"/>
      <c r="W2" s="328">
        <v>800</v>
      </c>
      <c r="X2" s="326"/>
      <c r="Y2" s="327"/>
      <c r="Z2" s="328">
        <v>802</v>
      </c>
      <c r="AA2" s="326"/>
      <c r="AB2" s="329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6">
        <v>2018</v>
      </c>
      <c r="R7" s="176">
        <v>45</v>
      </c>
      <c r="S7" s="176">
        <v>74</v>
      </c>
      <c r="T7" s="176">
        <v>1980</v>
      </c>
      <c r="U7" s="176">
        <v>45</v>
      </c>
      <c r="V7" s="176">
        <v>73</v>
      </c>
      <c r="W7" s="176">
        <v>2124</v>
      </c>
      <c r="X7" s="176">
        <v>45</v>
      </c>
      <c r="Y7" s="176">
        <v>74</v>
      </c>
      <c r="Z7" s="176">
        <v>2106</v>
      </c>
      <c r="AA7" s="176">
        <v>45</v>
      </c>
      <c r="AB7" s="176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6">
        <v>2822</v>
      </c>
      <c r="R14" s="176">
        <v>42</v>
      </c>
      <c r="S14" s="176">
        <v>85</v>
      </c>
      <c r="T14" s="176">
        <v>2963</v>
      </c>
      <c r="U14" s="176">
        <v>42</v>
      </c>
      <c r="V14" s="176">
        <v>85</v>
      </c>
      <c r="W14" s="176">
        <v>3047</v>
      </c>
      <c r="X14" s="176">
        <v>42</v>
      </c>
      <c r="Y14" s="176">
        <v>80</v>
      </c>
      <c r="Z14" s="176">
        <v>3191</v>
      </c>
      <c r="AA14" s="176">
        <v>42</v>
      </c>
      <c r="AB14" s="176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10</v>
      </c>
      <c r="D16" s="41">
        <v>79</v>
      </c>
      <c r="E16" s="39">
        <f t="shared" si="8"/>
        <v>5</v>
      </c>
      <c r="F16" s="41">
        <v>80</v>
      </c>
      <c r="G16" s="39">
        <f t="shared" si="9"/>
        <v>5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5</v>
      </c>
      <c r="M16" s="140">
        <f t="shared" si="17"/>
        <v>24196</v>
      </c>
      <c r="N16" s="39">
        <f t="shared" si="15"/>
        <v>1209.8</v>
      </c>
      <c r="O16" s="39">
        <f t="shared" si="16"/>
        <v>639.98419999999999</v>
      </c>
      <c r="P16" s="42">
        <f t="shared" si="10"/>
        <v>8019.0020259999992</v>
      </c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>
        <v>70</v>
      </c>
      <c r="C17" s="39">
        <f t="shared" si="7"/>
        <v>5</v>
      </c>
      <c r="D17" s="41">
        <v>74</v>
      </c>
      <c r="E17" s="39">
        <f t="shared" si="8"/>
        <v>5</v>
      </c>
      <c r="F17" s="41">
        <v>75</v>
      </c>
      <c r="G17" s="39">
        <f t="shared" si="9"/>
        <v>5</v>
      </c>
      <c r="H17" s="41">
        <v>81</v>
      </c>
      <c r="I17" s="39">
        <f t="shared" si="11"/>
        <v>1</v>
      </c>
      <c r="J17" s="39">
        <f t="shared" si="12"/>
        <v>300</v>
      </c>
      <c r="K17" s="39">
        <f t="shared" si="13"/>
        <v>75</v>
      </c>
      <c r="L17" s="39">
        <f t="shared" si="14"/>
        <v>4</v>
      </c>
      <c r="M17" s="140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>
        <v>65</v>
      </c>
      <c r="C18" s="39">
        <f t="shared" si="7"/>
        <v>4</v>
      </c>
      <c r="D18" s="41">
        <v>69</v>
      </c>
      <c r="E18" s="39">
        <f t="shared" si="8"/>
        <v>5</v>
      </c>
      <c r="F18" s="41">
        <v>70</v>
      </c>
      <c r="G18" s="39">
        <f t="shared" si="9"/>
        <v>4</v>
      </c>
      <c r="H18" s="41">
        <v>80</v>
      </c>
      <c r="I18" s="39">
        <f t="shared" si="11"/>
        <v>1</v>
      </c>
      <c r="J18" s="39">
        <f t="shared" si="12"/>
        <v>284</v>
      </c>
      <c r="K18" s="39">
        <f t="shared" si="13"/>
        <v>71</v>
      </c>
      <c r="L18" s="39">
        <f t="shared" si="14"/>
        <v>3.5</v>
      </c>
      <c r="M18" s="140">
        <f t="shared" si="17"/>
        <v>24196</v>
      </c>
      <c r="N18" s="39">
        <f t="shared" si="15"/>
        <v>846.86</v>
      </c>
      <c r="O18" s="39">
        <f t="shared" si="16"/>
        <v>447.98894000000001</v>
      </c>
      <c r="P18" s="42">
        <f t="shared" si="10"/>
        <v>5613.3014181999997</v>
      </c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>
        <v>61</v>
      </c>
      <c r="C19" s="39">
        <f t="shared" si="7"/>
        <v>6</v>
      </c>
      <c r="D19" s="41">
        <v>64</v>
      </c>
      <c r="E19" s="39">
        <f t="shared" si="8"/>
        <v>9</v>
      </c>
      <c r="F19" s="41">
        <v>66</v>
      </c>
      <c r="G19" s="39">
        <f t="shared" si="9"/>
        <v>6</v>
      </c>
      <c r="H19" s="41">
        <v>79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6.25</v>
      </c>
      <c r="M19" s="140">
        <f t="shared" si="17"/>
        <v>24196</v>
      </c>
      <c r="N19" s="39">
        <f t="shared" si="15"/>
        <v>1512.25</v>
      </c>
      <c r="O19" s="39">
        <f t="shared" si="16"/>
        <v>799.98025000000007</v>
      </c>
      <c r="P19" s="42">
        <f t="shared" si="10"/>
        <v>10023.752532500001</v>
      </c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>
        <v>55</v>
      </c>
      <c r="C20" s="39">
        <f t="shared" si="7"/>
        <v>3</v>
      </c>
      <c r="D20" s="41">
        <v>55</v>
      </c>
      <c r="E20" s="39">
        <f t="shared" si="8"/>
        <v>0</v>
      </c>
      <c r="F20" s="41">
        <v>60</v>
      </c>
      <c r="G20" s="39">
        <f t="shared" si="9"/>
        <v>-10</v>
      </c>
      <c r="H20" s="41">
        <v>75</v>
      </c>
      <c r="I20" s="39">
        <f t="shared" si="11"/>
        <v>20</v>
      </c>
      <c r="J20" s="39">
        <f t="shared" si="12"/>
        <v>245</v>
      </c>
      <c r="K20" s="39">
        <f t="shared" si="13"/>
        <v>61.25</v>
      </c>
      <c r="L20" s="39">
        <f t="shared" ref="L20:L42" si="18">IF(AC20&gt;0,((K20-AD20)+(AE20-K21)),IF(K21=0, ,(K20-K21)))</f>
        <v>3.25</v>
      </c>
      <c r="M20" s="140">
        <f t="shared" si="17"/>
        <v>24196</v>
      </c>
      <c r="N20" s="39">
        <f t="shared" si="15"/>
        <v>786.37</v>
      </c>
      <c r="O20" s="39">
        <f t="shared" si="16"/>
        <v>415.98973000000001</v>
      </c>
      <c r="P20" s="42">
        <f t="shared" si="10"/>
        <v>5212.3513168999998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>
        <v>52</v>
      </c>
      <c r="C21" s="39">
        <f t="shared" si="7"/>
        <v>4</v>
      </c>
      <c r="D21" s="41">
        <v>55</v>
      </c>
      <c r="E21" s="39">
        <f t="shared" si="8"/>
        <v>5</v>
      </c>
      <c r="F21" s="41">
        <v>70</v>
      </c>
      <c r="G21" s="39">
        <f t="shared" si="9"/>
        <v>0</v>
      </c>
      <c r="H21" s="41">
        <v>55</v>
      </c>
      <c r="I21" s="39">
        <f t="shared" si="11"/>
        <v>5</v>
      </c>
      <c r="J21" s="39">
        <f t="shared" si="12"/>
        <v>232</v>
      </c>
      <c r="K21" s="39">
        <f t="shared" si="13"/>
        <v>58</v>
      </c>
      <c r="L21" s="39">
        <f>IF(AC21&gt;0,((K21-AD21)+(AE21-K22)),IF(K22=0, ,(K21-K22)))</f>
        <v>3.5</v>
      </c>
      <c r="M21" s="140">
        <f t="shared" si="17"/>
        <v>24196</v>
      </c>
      <c r="N21" s="39">
        <f t="shared" si="15"/>
        <v>846.86</v>
      </c>
      <c r="O21" s="39">
        <f t="shared" si="16"/>
        <v>447.98894000000001</v>
      </c>
      <c r="P21" s="42">
        <f t="shared" si="10"/>
        <v>5613.3014181999997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>
        <v>48</v>
      </c>
      <c r="C22" s="39">
        <f t="shared" si="7"/>
        <v>4</v>
      </c>
      <c r="D22" s="41">
        <v>50</v>
      </c>
      <c r="E22" s="39">
        <f t="shared" si="8"/>
        <v>5</v>
      </c>
      <c r="F22" s="41">
        <v>70</v>
      </c>
      <c r="G22" s="39">
        <f t="shared" si="9"/>
        <v>24</v>
      </c>
      <c r="H22" s="41">
        <v>50</v>
      </c>
      <c r="I22" s="39">
        <f t="shared" si="11"/>
        <v>-15</v>
      </c>
      <c r="J22" s="39">
        <f t="shared" si="12"/>
        <v>218</v>
      </c>
      <c r="K22" s="39">
        <f t="shared" si="13"/>
        <v>54.5</v>
      </c>
      <c r="L22" s="39">
        <f>IF(AC22&gt;0,((K22-AD22)+(AE22-K23)),IF(K23=0, ,(K22-K23)))</f>
        <v>4.5</v>
      </c>
      <c r="M22" s="140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7217.1018233999994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>
        <v>44</v>
      </c>
      <c r="C23" s="39">
        <f t="shared" si="7"/>
        <v>6</v>
      </c>
      <c r="D23" s="41">
        <v>45</v>
      </c>
      <c r="E23" s="39">
        <f t="shared" si="8"/>
        <v>10</v>
      </c>
      <c r="F23" s="41">
        <v>46</v>
      </c>
      <c r="G23" s="39">
        <f t="shared" si="9"/>
        <v>-18</v>
      </c>
      <c r="H23" s="41">
        <v>65</v>
      </c>
      <c r="I23" s="39">
        <f t="shared" si="11"/>
        <v>25</v>
      </c>
      <c r="J23" s="39">
        <f t="shared" si="12"/>
        <v>200</v>
      </c>
      <c r="K23" s="39">
        <f t="shared" si="13"/>
        <v>50</v>
      </c>
      <c r="L23" s="39">
        <f t="shared" si="18"/>
        <v>5.75</v>
      </c>
      <c r="M23" s="140">
        <f t="shared" si="17"/>
        <v>24196</v>
      </c>
      <c r="N23" s="39">
        <f t="shared" si="15"/>
        <v>1391.27</v>
      </c>
      <c r="O23" s="39">
        <f t="shared" si="16"/>
        <v>735.98183000000006</v>
      </c>
      <c r="P23" s="42">
        <f t="shared" si="10"/>
        <v>9221.8523299000008</v>
      </c>
      <c r="Q23" s="39">
        <v>3093</v>
      </c>
      <c r="R23" s="39">
        <v>39</v>
      </c>
      <c r="S23" s="39">
        <v>85</v>
      </c>
      <c r="T23" s="39">
        <v>3451</v>
      </c>
      <c r="U23" s="39">
        <v>38</v>
      </c>
      <c r="V23" s="39">
        <v>85</v>
      </c>
      <c r="W23" s="39">
        <v>1672</v>
      </c>
      <c r="X23" s="39">
        <v>65</v>
      </c>
      <c r="Y23" s="39">
        <v>85</v>
      </c>
      <c r="Z23" s="39">
        <v>3176</v>
      </c>
      <c r="AA23" s="39">
        <v>40</v>
      </c>
      <c r="AB23" s="39">
        <v>85</v>
      </c>
      <c r="AC23" s="39">
        <f t="shared" si="4"/>
        <v>11392</v>
      </c>
      <c r="AD23" s="38">
        <f t="shared" si="5"/>
        <v>45.5</v>
      </c>
      <c r="AE23" s="38">
        <f t="shared" si="6"/>
        <v>85</v>
      </c>
    </row>
    <row r="24" spans="1:31" ht="32.25" customHeight="1">
      <c r="A24" s="40">
        <v>44947</v>
      </c>
      <c r="B24" s="41">
        <v>84</v>
      </c>
      <c r="C24" s="39">
        <f t="shared" si="7"/>
        <v>4</v>
      </c>
      <c r="D24" s="41">
        <v>82</v>
      </c>
      <c r="E24" s="39">
        <f t="shared" si="8"/>
        <v>5</v>
      </c>
      <c r="F24" s="41">
        <v>84</v>
      </c>
      <c r="G24" s="39">
        <f t="shared" si="9"/>
        <v>5</v>
      </c>
      <c r="H24" s="41">
        <v>85</v>
      </c>
      <c r="I24" s="39">
        <f t="shared" si="11"/>
        <v>1</v>
      </c>
      <c r="J24" s="39">
        <f t="shared" si="12"/>
        <v>335</v>
      </c>
      <c r="K24" s="39">
        <f t="shared" si="13"/>
        <v>83.75</v>
      </c>
      <c r="L24" s="39">
        <f t="shared" si="18"/>
        <v>3.75</v>
      </c>
      <c r="M24" s="140">
        <f t="shared" si="17"/>
        <v>24196</v>
      </c>
      <c r="N24" s="39">
        <f t="shared" si="15"/>
        <v>907.35</v>
      </c>
      <c r="O24" s="39">
        <f t="shared" si="16"/>
        <v>479.98815000000002</v>
      </c>
      <c r="P24" s="42">
        <f t="shared" si="10"/>
        <v>6014.2515194999996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>
        <v>80</v>
      </c>
      <c r="C25" s="39">
        <f t="shared" si="7"/>
        <v>4</v>
      </c>
      <c r="D25" s="41">
        <v>77</v>
      </c>
      <c r="E25" s="39">
        <f t="shared" si="8"/>
        <v>4</v>
      </c>
      <c r="F25" s="41">
        <v>79</v>
      </c>
      <c r="G25" s="39">
        <f t="shared" si="9"/>
        <v>4</v>
      </c>
      <c r="H25" s="41">
        <v>84</v>
      </c>
      <c r="I25" s="39">
        <f t="shared" si="11"/>
        <v>2</v>
      </c>
      <c r="J25" s="39">
        <f t="shared" si="12"/>
        <v>320</v>
      </c>
      <c r="K25" s="39">
        <f t="shared" si="13"/>
        <v>80</v>
      </c>
      <c r="L25" s="39">
        <f t="shared" si="18"/>
        <v>3.5</v>
      </c>
      <c r="M25" s="140">
        <f t="shared" si="17"/>
        <v>24196</v>
      </c>
      <c r="N25" s="39">
        <f t="shared" si="15"/>
        <v>846.86</v>
      </c>
      <c r="O25" s="39">
        <f t="shared" si="16"/>
        <v>447.98894000000001</v>
      </c>
      <c r="P25" s="42">
        <f t="shared" si="10"/>
        <v>5613.3014181999997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>
        <v>76</v>
      </c>
      <c r="C26" s="39">
        <f t="shared" si="7"/>
        <v>6</v>
      </c>
      <c r="D26" s="41">
        <v>73</v>
      </c>
      <c r="E26" s="39">
        <f t="shared" si="8"/>
        <v>3</v>
      </c>
      <c r="F26" s="41">
        <v>75</v>
      </c>
      <c r="G26" s="39">
        <f t="shared" si="9"/>
        <v>5</v>
      </c>
      <c r="H26" s="41">
        <v>82</v>
      </c>
      <c r="I26" s="39">
        <f t="shared" si="11"/>
        <v>3</v>
      </c>
      <c r="J26" s="39">
        <f t="shared" si="12"/>
        <v>306</v>
      </c>
      <c r="K26" s="39">
        <f t="shared" si="13"/>
        <v>76.5</v>
      </c>
      <c r="L26" s="39">
        <f t="shared" si="18"/>
        <v>4.25</v>
      </c>
      <c r="M26" s="140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0"/>
        <v>6816.1517221000004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>
        <v>70</v>
      </c>
      <c r="C27" s="39">
        <f t="shared" si="7"/>
        <v>6</v>
      </c>
      <c r="D27" s="41">
        <v>70</v>
      </c>
      <c r="E27" s="39">
        <f t="shared" si="8"/>
        <v>7</v>
      </c>
      <c r="F27" s="41">
        <v>70</v>
      </c>
      <c r="G27" s="39">
        <f t="shared" si="9"/>
        <v>5</v>
      </c>
      <c r="H27" s="41">
        <v>79</v>
      </c>
      <c r="I27" s="39">
        <f t="shared" si="11"/>
        <v>4</v>
      </c>
      <c r="J27" s="39">
        <f t="shared" si="12"/>
        <v>289</v>
      </c>
      <c r="K27" s="39">
        <f t="shared" si="13"/>
        <v>72.25</v>
      </c>
      <c r="L27" s="39">
        <f t="shared" si="18"/>
        <v>5.5</v>
      </c>
      <c r="M27" s="140">
        <f t="shared" si="17"/>
        <v>24196</v>
      </c>
      <c r="N27" s="39">
        <f t="shared" si="15"/>
        <v>1330.78</v>
      </c>
      <c r="O27" s="39">
        <f t="shared" si="16"/>
        <v>703.98262</v>
      </c>
      <c r="P27" s="42">
        <f t="shared" si="10"/>
        <v>8820.9022285999999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>
        <v>64</v>
      </c>
      <c r="C28" s="39">
        <f t="shared" si="7"/>
        <v>5</v>
      </c>
      <c r="D28" s="41">
        <v>63</v>
      </c>
      <c r="E28" s="39">
        <f t="shared" si="8"/>
        <v>5</v>
      </c>
      <c r="F28" s="41">
        <v>65</v>
      </c>
      <c r="G28" s="39">
        <f t="shared" si="9"/>
        <v>5</v>
      </c>
      <c r="H28" s="41">
        <v>75</v>
      </c>
      <c r="I28" s="39">
        <f>IF(AC28&gt;0,((H28-AA28)+(AB28-H29)),IF(H29=0, ,(H28-H29)))</f>
        <v>5</v>
      </c>
      <c r="J28" s="39">
        <f t="shared" si="12"/>
        <v>267</v>
      </c>
      <c r="K28" s="39">
        <f t="shared" si="13"/>
        <v>66.75</v>
      </c>
      <c r="L28" s="39">
        <f t="shared" si="18"/>
        <v>5</v>
      </c>
      <c r="M28" s="140">
        <f t="shared" si="17"/>
        <v>24196</v>
      </c>
      <c r="N28" s="39">
        <f t="shared" si="15"/>
        <v>1209.8</v>
      </c>
      <c r="O28" s="39">
        <f t="shared" si="16"/>
        <v>639.98419999999999</v>
      </c>
      <c r="P28" s="42">
        <f t="shared" si="10"/>
        <v>8019.0020259999992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>
        <v>59</v>
      </c>
      <c r="C29" s="39">
        <f t="shared" si="7"/>
        <v>4</v>
      </c>
      <c r="D29" s="41">
        <v>58</v>
      </c>
      <c r="E29" s="39">
        <f t="shared" si="8"/>
        <v>3</v>
      </c>
      <c r="F29" s="41">
        <v>60</v>
      </c>
      <c r="G29" s="39">
        <f t="shared" si="9"/>
        <v>5</v>
      </c>
      <c r="H29" s="41">
        <v>70</v>
      </c>
      <c r="I29" s="39">
        <f t="shared" si="11"/>
        <v>0</v>
      </c>
      <c r="J29" s="39">
        <f t="shared" si="12"/>
        <v>247</v>
      </c>
      <c r="K29" s="39">
        <f t="shared" si="13"/>
        <v>61.75</v>
      </c>
      <c r="L29" s="39">
        <f t="shared" si="18"/>
        <v>3</v>
      </c>
      <c r="M29" s="140">
        <f t="shared" si="17"/>
        <v>24196</v>
      </c>
      <c r="N29" s="39">
        <f t="shared" si="15"/>
        <v>725.88</v>
      </c>
      <c r="O29" s="39">
        <f t="shared" si="16"/>
        <v>383.99052</v>
      </c>
      <c r="P29" s="42">
        <f t="shared" si="10"/>
        <v>4811.4012155999999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>
        <v>55</v>
      </c>
      <c r="C30" s="39">
        <f t="shared" si="7"/>
        <v>5</v>
      </c>
      <c r="D30" s="41">
        <v>55</v>
      </c>
      <c r="E30" s="39">
        <f t="shared" si="8"/>
        <v>5</v>
      </c>
      <c r="F30" s="41">
        <v>55</v>
      </c>
      <c r="G30" s="39">
        <f t="shared" si="9"/>
        <v>5</v>
      </c>
      <c r="H30" s="41">
        <v>70</v>
      </c>
      <c r="I30" s="39">
        <f t="shared" si="11"/>
        <v>5</v>
      </c>
      <c r="J30" s="39">
        <f t="shared" si="12"/>
        <v>235</v>
      </c>
      <c r="K30" s="39">
        <f t="shared" si="13"/>
        <v>58.75</v>
      </c>
      <c r="L30" s="39">
        <f t="shared" si="18"/>
        <v>5</v>
      </c>
      <c r="M30" s="140">
        <f t="shared" si="17"/>
        <v>24196</v>
      </c>
      <c r="N30" s="39">
        <f t="shared" si="15"/>
        <v>1209.8</v>
      </c>
      <c r="O30" s="39">
        <f t="shared" si="16"/>
        <v>639.98419999999999</v>
      </c>
      <c r="P30" s="42">
        <f t="shared" si="10"/>
        <v>8019.0020259999992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>
        <v>50</v>
      </c>
      <c r="C31" s="39">
        <f t="shared" si="7"/>
        <v>6</v>
      </c>
      <c r="D31" s="41">
        <v>50</v>
      </c>
      <c r="E31" s="39">
        <f t="shared" si="8"/>
        <v>6</v>
      </c>
      <c r="F31" s="41">
        <v>50</v>
      </c>
      <c r="G31" s="39">
        <f t="shared" si="9"/>
        <v>5</v>
      </c>
      <c r="H31" s="41">
        <v>65</v>
      </c>
      <c r="I31" s="39">
        <f t="shared" si="11"/>
        <v>1</v>
      </c>
      <c r="J31" s="39">
        <f t="shared" si="12"/>
        <v>215</v>
      </c>
      <c r="K31" s="39">
        <f t="shared" si="13"/>
        <v>53.75</v>
      </c>
      <c r="L31" s="39">
        <f t="shared" si="18"/>
        <v>4.5</v>
      </c>
      <c r="M31" s="140">
        <f t="shared" si="17"/>
        <v>24196</v>
      </c>
      <c r="N31" s="39">
        <f t="shared" si="15"/>
        <v>1088.82</v>
      </c>
      <c r="O31" s="39">
        <f t="shared" si="16"/>
        <v>575.98577999999998</v>
      </c>
      <c r="P31" s="42">
        <f t="shared" si="10"/>
        <v>7217.1018233999994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>
        <v>44</v>
      </c>
      <c r="C32" s="39">
        <f t="shared" si="7"/>
        <v>5</v>
      </c>
      <c r="D32" s="41">
        <v>44</v>
      </c>
      <c r="E32" s="39">
        <f t="shared" si="8"/>
        <v>5</v>
      </c>
      <c r="F32" s="41">
        <v>45</v>
      </c>
      <c r="G32" s="39">
        <f t="shared" si="9"/>
        <v>5</v>
      </c>
      <c r="H32" s="41">
        <v>64</v>
      </c>
      <c r="I32" s="39">
        <f t="shared" si="11"/>
        <v>2</v>
      </c>
      <c r="J32" s="39">
        <f t="shared" si="12"/>
        <v>197</v>
      </c>
      <c r="K32" s="39">
        <f t="shared" si="13"/>
        <v>49.25</v>
      </c>
      <c r="L32" s="39">
        <f t="shared" si="18"/>
        <v>4.25</v>
      </c>
      <c r="M32" s="140">
        <f t="shared" si="17"/>
        <v>24196</v>
      </c>
      <c r="N32" s="39">
        <f t="shared" si="15"/>
        <v>1028.33</v>
      </c>
      <c r="O32" s="140">
        <f t="shared" si="16"/>
        <v>543.98657000000003</v>
      </c>
      <c r="P32" s="42">
        <f t="shared" si="10"/>
        <v>6816.1517221000004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>
        <v>39</v>
      </c>
      <c r="C33" s="39">
        <f t="shared" si="7"/>
        <v>0</v>
      </c>
      <c r="D33" s="41">
        <v>39</v>
      </c>
      <c r="E33" s="39">
        <f t="shared" si="8"/>
        <v>0</v>
      </c>
      <c r="F33" s="41">
        <v>40</v>
      </c>
      <c r="G33" s="39">
        <f t="shared" si="9"/>
        <v>0</v>
      </c>
      <c r="H33" s="41">
        <v>62</v>
      </c>
      <c r="I33" s="39">
        <f t="shared" si="11"/>
        <v>0</v>
      </c>
      <c r="J33" s="39">
        <f t="shared" si="12"/>
        <v>180</v>
      </c>
      <c r="K33" s="39">
        <f t="shared" si="13"/>
        <v>45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30849.899999999994</v>
      </c>
      <c r="O43" s="39">
        <f>N43*0.529</f>
        <v>16319.597099999997</v>
      </c>
      <c r="P43" s="42">
        <f>O43*12.53</f>
        <v>204484.55166299996</v>
      </c>
      <c r="Q43" s="321">
        <f>SUM(Q4:Q42)</f>
        <v>7933</v>
      </c>
      <c r="R43" s="322"/>
      <c r="S43" s="323"/>
      <c r="T43" s="324">
        <f>SUM(T4:T42)</f>
        <v>8394</v>
      </c>
      <c r="U43" s="322"/>
      <c r="V43" s="323"/>
      <c r="W43" s="324">
        <f>SUM(W4:W42)</f>
        <v>6843</v>
      </c>
      <c r="X43" s="322"/>
      <c r="Y43" s="323"/>
      <c r="Z43" s="324">
        <f>SUM(Z4:Z42)</f>
        <v>8473</v>
      </c>
      <c r="AA43" s="322"/>
      <c r="AB43" s="323"/>
      <c r="AC43" s="39">
        <f t="shared" si="20"/>
        <v>31643</v>
      </c>
    </row>
    <row r="44" spans="1:31" ht="35.25" customHeight="1" thickBot="1">
      <c r="B44" s="330"/>
      <c r="C44" s="331"/>
      <c r="D44" s="331"/>
      <c r="E44" s="331"/>
      <c r="F44" s="331"/>
      <c r="G44" s="331"/>
      <c r="H44" s="331"/>
      <c r="I44" s="332"/>
      <c r="J44" s="37"/>
      <c r="K44" s="37"/>
      <c r="L44" s="37"/>
      <c r="M44" s="37"/>
      <c r="N44" s="37"/>
      <c r="O44" s="37"/>
      <c r="P44" s="37"/>
      <c r="Q44" s="333">
        <f>Q43+T43+W43+Z43</f>
        <v>31643</v>
      </c>
      <c r="R44" s="334"/>
      <c r="S44" s="334"/>
      <c r="T44" s="334"/>
      <c r="U44" s="334"/>
      <c r="V44" s="334"/>
      <c r="W44" s="334"/>
      <c r="X44" s="334"/>
      <c r="Y44" s="334"/>
      <c r="Z44" s="334"/>
      <c r="AA44" s="334"/>
      <c r="AB44" s="335"/>
      <c r="AC44" s="39">
        <f>Q44+T44+W44+Z44</f>
        <v>31643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17" t="s">
        <v>85</v>
      </c>
      <c r="I47" s="318"/>
      <c r="J47" s="319"/>
      <c r="K47" s="45">
        <f>N43</f>
        <v>30849.899999999994</v>
      </c>
      <c r="L47" s="46">
        <f>O43</f>
        <v>16319.597099999997</v>
      </c>
      <c r="M47" s="46">
        <f>P43</f>
        <v>204484.55166299996</v>
      </c>
    </row>
    <row r="48" spans="1:31" ht="54.75" customHeight="1" thickBot="1">
      <c r="H48" s="317" t="s">
        <v>86</v>
      </c>
      <c r="I48" s="318"/>
      <c r="J48" s="319"/>
      <c r="K48" s="43">
        <f>AC44</f>
        <v>31643</v>
      </c>
      <c r="L48" s="44">
        <f>K48*0.529</f>
        <v>16739.147000000001</v>
      </c>
      <c r="M48" s="44">
        <f>L48*12.44</f>
        <v>208234.98868000001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O19" sqref="O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07"/>
      <c r="B1" s="309"/>
      <c r="C1" s="393" t="s">
        <v>87</v>
      </c>
      <c r="D1" s="394"/>
      <c r="E1" s="394"/>
      <c r="F1" s="394"/>
      <c r="G1" s="394"/>
      <c r="H1" s="399" t="s">
        <v>88</v>
      </c>
      <c r="I1" s="400"/>
      <c r="J1" s="401"/>
    </row>
    <row r="2" spans="1:10" ht="16.5" customHeight="1" thickBot="1">
      <c r="A2" s="310"/>
      <c r="B2" s="312"/>
      <c r="C2" s="395"/>
      <c r="D2" s="396"/>
      <c r="E2" s="396"/>
      <c r="F2" s="396"/>
      <c r="G2" s="396"/>
      <c r="H2" s="402"/>
      <c r="I2" s="403"/>
      <c r="J2" s="404"/>
    </row>
    <row r="3" spans="1:10" ht="15" customHeight="1">
      <c r="A3" s="310"/>
      <c r="B3" s="312"/>
      <c r="C3" s="395"/>
      <c r="D3" s="396"/>
      <c r="E3" s="396"/>
      <c r="F3" s="396"/>
      <c r="G3" s="396"/>
      <c r="H3" s="405" t="s">
        <v>89</v>
      </c>
      <c r="I3" s="406"/>
      <c r="J3" s="407"/>
    </row>
    <row r="4" spans="1:10" ht="15.75" customHeight="1" thickBot="1">
      <c r="A4" s="313"/>
      <c r="B4" s="315"/>
      <c r="C4" s="397"/>
      <c r="D4" s="398"/>
      <c r="E4" s="398"/>
      <c r="F4" s="398"/>
      <c r="G4" s="398"/>
      <c r="H4" s="408"/>
      <c r="I4" s="409"/>
      <c r="J4" s="410"/>
    </row>
    <row r="6" spans="1:10" ht="33" customHeight="1" thickBot="1"/>
    <row r="7" spans="1:10" ht="36.75" thickTop="1">
      <c r="A7" s="411" t="s">
        <v>90</v>
      </c>
      <c r="B7" s="411"/>
      <c r="C7" s="412" t="s">
        <v>91</v>
      </c>
      <c r="D7" s="413"/>
      <c r="E7" s="55" t="s">
        <v>92</v>
      </c>
      <c r="F7" s="55" t="s">
        <v>93</v>
      </c>
      <c r="G7" s="55" t="s">
        <v>94</v>
      </c>
      <c r="H7" s="55" t="s">
        <v>95</v>
      </c>
      <c r="I7" s="414" t="s">
        <v>96</v>
      </c>
      <c r="J7" s="415"/>
    </row>
    <row r="8" spans="1:10">
      <c r="A8" s="382">
        <v>95670781</v>
      </c>
      <c r="B8" s="382"/>
      <c r="C8" s="386">
        <v>44923</v>
      </c>
      <c r="D8" s="387"/>
      <c r="E8" s="107">
        <v>44954</v>
      </c>
      <c r="F8" s="154" t="s">
        <v>97</v>
      </c>
      <c r="G8" s="56"/>
      <c r="H8" s="56"/>
      <c r="I8" s="388"/>
      <c r="J8" s="389"/>
    </row>
    <row r="10" spans="1:10" ht="23.25" customHeight="1" thickBot="1"/>
    <row r="11" spans="1:10" ht="24.75" customHeight="1" thickTop="1">
      <c r="A11" s="366" t="s">
        <v>98</v>
      </c>
      <c r="B11" s="366"/>
      <c r="C11" s="390" t="s">
        <v>99</v>
      </c>
      <c r="D11" s="391"/>
      <c r="E11" s="366" t="s">
        <v>100</v>
      </c>
      <c r="F11" s="366"/>
      <c r="G11" s="390" t="s">
        <v>101</v>
      </c>
      <c r="H11" s="391"/>
      <c r="I11" s="392" t="s">
        <v>102</v>
      </c>
      <c r="J11" s="392"/>
    </row>
    <row r="12" spans="1:10">
      <c r="A12" s="382" t="s">
        <v>103</v>
      </c>
      <c r="B12" s="382"/>
      <c r="C12" s="382">
        <v>3750</v>
      </c>
      <c r="D12" s="382"/>
      <c r="E12" s="382">
        <v>1000</v>
      </c>
      <c r="F12" s="382"/>
      <c r="G12" s="383">
        <v>939</v>
      </c>
      <c r="H12" s="383"/>
      <c r="I12" s="384"/>
      <c r="J12" s="384"/>
    </row>
    <row r="13" spans="1:10">
      <c r="A13" s="385"/>
      <c r="B13" s="497"/>
      <c r="C13" s="497"/>
      <c r="D13" s="497"/>
      <c r="E13" s="497"/>
      <c r="F13" s="497"/>
      <c r="G13" s="497"/>
      <c r="H13" s="497"/>
      <c r="I13" s="497"/>
      <c r="J13" s="497"/>
    </row>
    <row r="15" spans="1:10" ht="13.5" thickBot="1"/>
    <row r="16" spans="1:10" ht="26.25" thickTop="1">
      <c r="A16" s="366" t="s">
        <v>104</v>
      </c>
      <c r="B16" s="366"/>
      <c r="C16" s="57" t="s">
        <v>105</v>
      </c>
      <c r="D16" s="58" t="s">
        <v>106</v>
      </c>
      <c r="E16" s="58" t="s">
        <v>48</v>
      </c>
      <c r="F16" s="58" t="s">
        <v>107</v>
      </c>
      <c r="G16" s="379" t="s">
        <v>108</v>
      </c>
      <c r="H16" s="379"/>
      <c r="I16" s="380" t="s">
        <v>109</v>
      </c>
      <c r="J16" s="381"/>
    </row>
    <row r="17" spans="1:10">
      <c r="A17" s="371" t="s">
        <v>110</v>
      </c>
      <c r="B17" s="372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73"/>
      <c r="H17" s="374"/>
      <c r="I17" s="373">
        <f>+E17</f>
        <v>0</v>
      </c>
      <c r="J17" s="374"/>
    </row>
    <row r="18" spans="1:10">
      <c r="A18" s="371" t="s">
        <v>111</v>
      </c>
      <c r="B18" s="372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73"/>
      <c r="H18" s="374"/>
      <c r="I18" s="373">
        <f>+E18</f>
        <v>0</v>
      </c>
      <c r="J18" s="374"/>
    </row>
    <row r="19" spans="1:10">
      <c r="A19" s="371" t="s">
        <v>112</v>
      </c>
      <c r="B19" s="372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73"/>
      <c r="H19" s="374"/>
      <c r="I19" s="373">
        <f>+E19</f>
        <v>0</v>
      </c>
      <c r="J19" s="374"/>
    </row>
    <row r="20" spans="1:10" ht="15">
      <c r="A20" s="375" t="s">
        <v>113</v>
      </c>
      <c r="B20" s="376"/>
      <c r="C20" s="62"/>
      <c r="D20" s="63"/>
      <c r="E20" s="62">
        <f>SUM(E17:E19)</f>
        <v>0</v>
      </c>
      <c r="F20" s="64"/>
      <c r="G20" s="377"/>
      <c r="H20" s="378"/>
      <c r="I20" s="377"/>
      <c r="J20" s="378"/>
    </row>
    <row r="21" spans="1:10">
      <c r="C21" s="104" t="s">
        <v>18</v>
      </c>
      <c r="D21" t="s">
        <v>114</v>
      </c>
      <c r="G21" s="358"/>
      <c r="H21" s="358"/>
    </row>
    <row r="22" spans="1:10" ht="13.5" thickBot="1">
      <c r="G22" s="359"/>
      <c r="H22" s="359"/>
    </row>
    <row r="23" spans="1:10" ht="13.5" thickTop="1">
      <c r="A23" s="360" t="s">
        <v>115</v>
      </c>
      <c r="B23" s="361"/>
      <c r="C23" s="362"/>
      <c r="D23" s="366" t="s">
        <v>116</v>
      </c>
      <c r="E23" s="366" t="s">
        <v>117</v>
      </c>
      <c r="F23" s="368" t="s">
        <v>118</v>
      </c>
      <c r="G23" s="370" t="s">
        <v>119</v>
      </c>
      <c r="H23" s="370"/>
      <c r="I23" s="354" t="s">
        <v>120</v>
      </c>
      <c r="J23" s="354"/>
    </row>
    <row r="24" spans="1:10">
      <c r="A24" s="363"/>
      <c r="B24" s="364"/>
      <c r="C24" s="365"/>
      <c r="D24" s="367"/>
      <c r="E24" s="367"/>
      <c r="F24" s="369"/>
      <c r="G24" s="155" t="s">
        <v>121</v>
      </c>
      <c r="H24" s="65" t="s">
        <v>122</v>
      </c>
      <c r="I24" s="354"/>
      <c r="J24" s="354"/>
    </row>
    <row r="25" spans="1:10" ht="15">
      <c r="A25" s="355" t="s">
        <v>123</v>
      </c>
      <c r="B25" s="356"/>
      <c r="C25" s="357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39">
        <f>SUM(H25,F25)</f>
        <v>0</v>
      </c>
      <c r="J25" s="340"/>
    </row>
    <row r="26" spans="1:10" ht="15">
      <c r="A26" s="336" t="s">
        <v>124</v>
      </c>
      <c r="B26" s="337"/>
      <c r="C26" s="338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39">
        <f t="shared" ref="I26:I31" si="0">SUM(H26,F26)</f>
        <v>0</v>
      </c>
      <c r="J26" s="340"/>
    </row>
    <row r="27" spans="1:10" ht="15">
      <c r="A27" s="336" t="s">
        <v>125</v>
      </c>
      <c r="B27" s="337"/>
      <c r="C27" s="338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39">
        <f>SUM(H27,F27)</f>
        <v>0</v>
      </c>
      <c r="J27" s="340"/>
    </row>
    <row r="28" spans="1:10" ht="15">
      <c r="A28" s="336" t="s">
        <v>126</v>
      </c>
      <c r="B28" s="337"/>
      <c r="C28" s="338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39">
        <f t="shared" si="0"/>
        <v>50025.103799999997</v>
      </c>
      <c r="J28" s="340"/>
    </row>
    <row r="29" spans="1:10" ht="15">
      <c r="A29" s="349" t="s">
        <v>127</v>
      </c>
      <c r="B29" s="350"/>
      <c r="C29" s="351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352">
        <f t="shared" si="0"/>
        <v>0</v>
      </c>
      <c r="J29" s="353"/>
    </row>
    <row r="30" spans="1:10" ht="15">
      <c r="A30" s="336" t="s">
        <v>128</v>
      </c>
      <c r="B30" s="337"/>
      <c r="C30" s="338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39">
        <f>SUM(H30,F30)</f>
        <v>1009.2</v>
      </c>
      <c r="J30" s="340"/>
    </row>
    <row r="31" spans="1:10" ht="15.75" thickBot="1">
      <c r="A31" s="341" t="s">
        <v>129</v>
      </c>
      <c r="B31" s="342"/>
      <c r="C31" s="343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39">
        <f t="shared" si="0"/>
        <v>1596.44</v>
      </c>
      <c r="J31" s="340"/>
    </row>
    <row r="32" spans="1:10" ht="21">
      <c r="A32" s="344" t="s">
        <v>130</v>
      </c>
      <c r="B32" s="345"/>
      <c r="C32" s="345"/>
      <c r="D32" s="345"/>
      <c r="E32" s="345"/>
      <c r="F32" s="78">
        <f>SUM(F25:F31)</f>
        <v>46214.67</v>
      </c>
      <c r="G32" s="79"/>
      <c r="H32" s="80"/>
      <c r="I32" s="348">
        <f>SUM(I25:J31)</f>
        <v>52630.743799999997</v>
      </c>
      <c r="J32" s="348"/>
    </row>
    <row r="33" spans="1:10" ht="21.75" thickBot="1">
      <c r="A33" s="346"/>
      <c r="B33" s="347"/>
      <c r="C33" s="347"/>
      <c r="D33" s="347"/>
      <c r="E33" s="347"/>
      <c r="F33" s="81"/>
      <c r="G33" s="82"/>
      <c r="H33" s="83"/>
      <c r="I33" s="348"/>
      <c r="J33" s="34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M16" sqref="M16:P2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>
      <c r="A1" s="307"/>
      <c r="B1" s="309"/>
      <c r="C1" s="393" t="s">
        <v>87</v>
      </c>
      <c r="D1" s="394"/>
      <c r="E1" s="394"/>
      <c r="F1" s="394"/>
      <c r="G1" s="394"/>
      <c r="H1" s="399" t="s">
        <v>88</v>
      </c>
      <c r="I1" s="400"/>
      <c r="J1" s="401"/>
    </row>
    <row r="2" spans="1:10" ht="16.5" customHeight="1" thickBot="1">
      <c r="A2" s="310"/>
      <c r="B2" s="312"/>
      <c r="C2" s="395"/>
      <c r="D2" s="396"/>
      <c r="E2" s="396"/>
      <c r="F2" s="396"/>
      <c r="G2" s="396"/>
      <c r="H2" s="402"/>
      <c r="I2" s="403"/>
      <c r="J2" s="404"/>
    </row>
    <row r="3" spans="1:10" ht="15" customHeight="1">
      <c r="A3" s="310"/>
      <c r="B3" s="312"/>
      <c r="C3" s="395"/>
      <c r="D3" s="396"/>
      <c r="E3" s="396"/>
      <c r="F3" s="396"/>
      <c r="G3" s="396"/>
      <c r="H3" s="405" t="s">
        <v>89</v>
      </c>
      <c r="I3" s="406"/>
      <c r="J3" s="407"/>
    </row>
    <row r="4" spans="1:10" ht="15.75" customHeight="1" thickBot="1">
      <c r="A4" s="313"/>
      <c r="B4" s="315"/>
      <c r="C4" s="397"/>
      <c r="D4" s="398"/>
      <c r="E4" s="398"/>
      <c r="F4" s="398"/>
      <c r="G4" s="398"/>
      <c r="H4" s="408"/>
      <c r="I4" s="409"/>
      <c r="J4" s="410"/>
    </row>
    <row r="6" spans="1:10" ht="33" customHeight="1"/>
    <row r="7" spans="1:10" ht="37.5">
      <c r="A7" s="416" t="s">
        <v>90</v>
      </c>
      <c r="B7" s="416"/>
      <c r="C7" s="417" t="s">
        <v>91</v>
      </c>
      <c r="D7" s="417"/>
      <c r="E7" s="198" t="s">
        <v>92</v>
      </c>
      <c r="F7" s="198" t="s">
        <v>93</v>
      </c>
      <c r="G7" s="198" t="s">
        <v>94</v>
      </c>
      <c r="H7" s="198" t="s">
        <v>95</v>
      </c>
      <c r="I7" s="417" t="s">
        <v>96</v>
      </c>
      <c r="J7" s="417"/>
    </row>
    <row r="8" spans="1:10">
      <c r="A8" s="418">
        <v>95670781</v>
      </c>
      <c r="B8" s="418"/>
      <c r="C8" s="419">
        <v>44955</v>
      </c>
      <c r="D8" s="420"/>
      <c r="E8" s="199">
        <v>44956</v>
      </c>
      <c r="F8" s="197" t="s">
        <v>131</v>
      </c>
      <c r="G8" s="200"/>
      <c r="H8" s="200"/>
      <c r="I8" s="421"/>
      <c r="J8" s="422"/>
    </row>
    <row r="10" spans="1:10" ht="23.25" customHeight="1"/>
    <row r="11" spans="1:10" ht="24.75" customHeight="1">
      <c r="A11" s="423" t="s">
        <v>98</v>
      </c>
      <c r="B11" s="423"/>
      <c r="C11" s="424" t="s">
        <v>99</v>
      </c>
      <c r="D11" s="424"/>
      <c r="E11" s="423" t="s">
        <v>100</v>
      </c>
      <c r="F11" s="423"/>
      <c r="G11" s="424" t="s">
        <v>101</v>
      </c>
      <c r="H11" s="424"/>
      <c r="I11" s="424" t="s">
        <v>102</v>
      </c>
      <c r="J11" s="424"/>
    </row>
    <row r="12" spans="1:10">
      <c r="A12" s="418" t="s">
        <v>103</v>
      </c>
      <c r="B12" s="418"/>
      <c r="C12" s="418">
        <v>3750</v>
      </c>
      <c r="D12" s="418"/>
      <c r="E12" s="418">
        <v>1000</v>
      </c>
      <c r="F12" s="418"/>
      <c r="G12" s="425">
        <v>939</v>
      </c>
      <c r="H12" s="425"/>
      <c r="I12" s="426"/>
      <c r="J12" s="426"/>
    </row>
    <row r="13" spans="1:10">
      <c r="A13" s="385"/>
      <c r="B13" s="497"/>
      <c r="C13" s="497"/>
      <c r="D13" s="497"/>
      <c r="E13" s="497"/>
      <c r="F13" s="497"/>
      <c r="G13" s="497"/>
      <c r="H13" s="497"/>
      <c r="I13" s="497"/>
      <c r="J13" s="497"/>
    </row>
    <row r="16" spans="1:10" ht="27">
      <c r="A16" s="492" t="s">
        <v>104</v>
      </c>
      <c r="B16" s="492"/>
      <c r="C16" s="493" t="s">
        <v>105</v>
      </c>
      <c r="D16" s="493" t="s">
        <v>106</v>
      </c>
      <c r="E16" s="493" t="s">
        <v>48</v>
      </c>
      <c r="F16" s="196" t="s">
        <v>107</v>
      </c>
      <c r="G16" s="427" t="s">
        <v>108</v>
      </c>
      <c r="H16" s="428"/>
      <c r="I16" s="423" t="s">
        <v>109</v>
      </c>
      <c r="J16" s="423"/>
    </row>
    <row r="17" spans="1:10">
      <c r="A17" s="429" t="s">
        <v>110</v>
      </c>
      <c r="B17" s="429"/>
      <c r="C17" s="190">
        <v>22195671</v>
      </c>
      <c r="D17" s="190">
        <v>22190337</v>
      </c>
      <c r="E17" s="190">
        <f>MIN(C17-D17)</f>
        <v>5334</v>
      </c>
      <c r="F17" s="491">
        <f>+E17</f>
        <v>5334</v>
      </c>
      <c r="G17" s="430"/>
      <c r="H17" s="431"/>
      <c r="I17" s="311">
        <f>+E17</f>
        <v>5334</v>
      </c>
      <c r="J17" s="374"/>
    </row>
    <row r="18" spans="1:10">
      <c r="A18" s="429" t="s">
        <v>111</v>
      </c>
      <c r="B18" s="429"/>
      <c r="C18" s="190">
        <v>13022851</v>
      </c>
      <c r="D18" s="190">
        <v>13019100</v>
      </c>
      <c r="E18" s="190">
        <f>MIN(C18-D18)</f>
        <v>3751</v>
      </c>
      <c r="F18" s="491">
        <f>+E18</f>
        <v>3751</v>
      </c>
      <c r="G18" s="432"/>
      <c r="H18" s="433"/>
      <c r="I18" s="311">
        <f>+E18</f>
        <v>3751</v>
      </c>
      <c r="J18" s="374"/>
    </row>
    <row r="19" spans="1:10">
      <c r="A19" s="429" t="s">
        <v>112</v>
      </c>
      <c r="B19" s="429"/>
      <c r="C19" s="190">
        <v>9743452</v>
      </c>
      <c r="D19" s="190">
        <v>9740882</v>
      </c>
      <c r="E19" s="190">
        <f>AVERAGE(C19-D19)</f>
        <v>2570</v>
      </c>
      <c r="F19" s="491">
        <f>+E19</f>
        <v>2570</v>
      </c>
      <c r="G19" s="432"/>
      <c r="H19" s="433"/>
      <c r="I19" s="311">
        <f>+E19</f>
        <v>2570</v>
      </c>
      <c r="J19" s="374"/>
    </row>
    <row r="20" spans="1:10" ht="15">
      <c r="A20" s="494" t="s">
        <v>113</v>
      </c>
      <c r="B20" s="494"/>
      <c r="C20" s="495"/>
      <c r="D20" s="495"/>
      <c r="E20" s="495">
        <f>SUM(E17:E19)</f>
        <v>11655</v>
      </c>
      <c r="F20" s="190"/>
      <c r="G20" s="437"/>
      <c r="H20" s="378"/>
      <c r="I20" s="377"/>
      <c r="J20" s="378"/>
    </row>
    <row r="21" spans="1:10">
      <c r="C21" s="104" t="s">
        <v>18</v>
      </c>
      <c r="D21" t="s">
        <v>114</v>
      </c>
      <c r="G21" s="358"/>
      <c r="H21" s="358"/>
    </row>
    <row r="22" spans="1:10">
      <c r="G22" s="311"/>
      <c r="H22" s="311"/>
    </row>
    <row r="23" spans="1:10">
      <c r="A23" s="434" t="s">
        <v>115</v>
      </c>
      <c r="B23" s="434"/>
      <c r="C23" s="434"/>
      <c r="D23" s="423" t="s">
        <v>116</v>
      </c>
      <c r="E23" s="423" t="s">
        <v>117</v>
      </c>
      <c r="F23" s="435" t="s">
        <v>118</v>
      </c>
      <c r="G23" s="436" t="s">
        <v>119</v>
      </c>
      <c r="H23" s="436"/>
      <c r="I23" s="436" t="s">
        <v>120</v>
      </c>
      <c r="J23" s="436"/>
    </row>
    <row r="24" spans="1:10">
      <c r="A24" s="434"/>
      <c r="B24" s="434"/>
      <c r="C24" s="434"/>
      <c r="D24" s="423"/>
      <c r="E24" s="423"/>
      <c r="F24" s="435"/>
      <c r="G24" s="201" t="s">
        <v>121</v>
      </c>
      <c r="H24" s="201" t="s">
        <v>122</v>
      </c>
      <c r="I24" s="436"/>
      <c r="J24" s="436"/>
    </row>
    <row r="25" spans="1:10" ht="15">
      <c r="A25" s="336" t="s">
        <v>123</v>
      </c>
      <c r="B25" s="337"/>
      <c r="C25" s="338"/>
      <c r="D25" s="61">
        <f>+E17</f>
        <v>5334</v>
      </c>
      <c r="E25" s="68">
        <v>0.95140000000000002</v>
      </c>
      <c r="F25" s="67">
        <f>PRODUCT(D25*E25)</f>
        <v>5074.7676000000001</v>
      </c>
      <c r="G25">
        <v>14</v>
      </c>
      <c r="H25" s="61">
        <f>PRODUCT(0.14,F25)</f>
        <v>710.46746400000006</v>
      </c>
      <c r="I25" s="377">
        <f>SUM(H25,F25)</f>
        <v>5785.2350640000004</v>
      </c>
      <c r="J25" s="378"/>
    </row>
    <row r="26" spans="1:10" ht="15">
      <c r="A26" s="336" t="s">
        <v>124</v>
      </c>
      <c r="B26" s="337"/>
      <c r="C26" s="338"/>
      <c r="D26" s="61">
        <f>+E18</f>
        <v>3751</v>
      </c>
      <c r="E26" s="68">
        <v>0.69850000000000001</v>
      </c>
      <c r="F26" s="67">
        <f>PRODUCT(D26*E26)</f>
        <v>2620.0735</v>
      </c>
      <c r="G26">
        <v>14</v>
      </c>
      <c r="H26" s="61">
        <f>PRODUCT(0.14,F26)</f>
        <v>366.81029000000001</v>
      </c>
      <c r="I26" s="339">
        <f t="shared" ref="I26:I31" si="0">SUM(H26,F26)</f>
        <v>2986.8837899999999</v>
      </c>
      <c r="J26" s="340"/>
    </row>
    <row r="27" spans="1:10" ht="15">
      <c r="A27" s="336" t="s">
        <v>125</v>
      </c>
      <c r="B27" s="337"/>
      <c r="C27" s="338"/>
      <c r="D27" s="61">
        <f>+E19</f>
        <v>2570</v>
      </c>
      <c r="E27" s="68">
        <v>1.3304</v>
      </c>
      <c r="F27" s="67">
        <f>PRODUCT(D27*E27)</f>
        <v>3419.1280000000002</v>
      </c>
      <c r="G27">
        <v>14</v>
      </c>
      <c r="H27" s="61">
        <f>PRODUCT(0.14,F27)</f>
        <v>478.67792000000009</v>
      </c>
      <c r="I27" s="339">
        <f>SUM(H27,F27)</f>
        <v>3897.8059200000002</v>
      </c>
      <c r="J27" s="340"/>
    </row>
    <row r="28" spans="1:10" ht="15">
      <c r="A28" s="336" t="s">
        <v>126</v>
      </c>
      <c r="B28" s="337"/>
      <c r="C28" s="338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39">
        <f t="shared" si="0"/>
        <v>50025.103799999997</v>
      </c>
      <c r="J28" s="340"/>
    </row>
    <row r="29" spans="1:10" ht="15">
      <c r="A29" s="349" t="s">
        <v>127</v>
      </c>
      <c r="B29" s="350"/>
      <c r="C29" s="351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352">
        <f t="shared" si="0"/>
        <v>0</v>
      </c>
      <c r="J29" s="353"/>
    </row>
    <row r="30" spans="1:10" ht="15">
      <c r="A30" s="336" t="s">
        <v>128</v>
      </c>
      <c r="B30" s="337"/>
      <c r="C30" s="338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39">
        <f>SUM(H30,F30)</f>
        <v>1009.2</v>
      </c>
      <c r="J30" s="340"/>
    </row>
    <row r="31" spans="1:10" ht="15.75" thickBot="1">
      <c r="A31" s="341" t="s">
        <v>129</v>
      </c>
      <c r="B31" s="342"/>
      <c r="C31" s="343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39">
        <f t="shared" si="0"/>
        <v>1596.44</v>
      </c>
      <c r="J31" s="340"/>
    </row>
    <row r="32" spans="1:10" ht="21">
      <c r="A32" s="344" t="s">
        <v>130</v>
      </c>
      <c r="B32" s="345"/>
      <c r="C32" s="345"/>
      <c r="D32" s="345"/>
      <c r="E32" s="345"/>
      <c r="F32" s="78">
        <f>SUM(F25:F31)</f>
        <v>57328.6391</v>
      </c>
      <c r="G32" s="79"/>
      <c r="H32" s="80"/>
      <c r="I32" s="348">
        <f>SUM(I25:J31)</f>
        <v>65300.668573999996</v>
      </c>
      <c r="J32" s="348"/>
    </row>
    <row r="33" spans="1:10" ht="21.75" thickBot="1">
      <c r="A33" s="346"/>
      <c r="B33" s="347"/>
      <c r="C33" s="347"/>
      <c r="D33" s="347"/>
      <c r="E33" s="347"/>
      <c r="F33" s="81"/>
      <c r="G33" s="82"/>
      <c r="H33" s="83"/>
      <c r="I33" s="348"/>
      <c r="J33" s="34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58"/>
      <c r="B1" s="393" t="s">
        <v>132</v>
      </c>
      <c r="C1" s="394"/>
      <c r="D1" s="394"/>
      <c r="E1" s="394"/>
      <c r="F1" s="461" t="s">
        <v>88</v>
      </c>
      <c r="G1" s="462"/>
      <c r="H1" s="463"/>
    </row>
    <row r="2" spans="1:8" ht="15.75" customHeight="1" thickBot="1">
      <c r="A2" s="459"/>
      <c r="B2" s="395"/>
      <c r="C2" s="396"/>
      <c r="D2" s="396"/>
      <c r="E2" s="396"/>
      <c r="F2" s="464"/>
      <c r="G2" s="465"/>
      <c r="H2" s="466"/>
    </row>
    <row r="3" spans="1:8" ht="15" customHeight="1">
      <c r="A3" s="459"/>
      <c r="B3" s="395"/>
      <c r="C3" s="396"/>
      <c r="D3" s="396"/>
      <c r="E3" s="396"/>
      <c r="F3" s="461" t="s">
        <v>89</v>
      </c>
      <c r="G3" s="462"/>
      <c r="H3" s="463"/>
    </row>
    <row r="4" spans="1:8" ht="15.75" customHeight="1" thickBot="1">
      <c r="A4" s="460"/>
      <c r="B4" s="397"/>
      <c r="C4" s="398"/>
      <c r="D4" s="398"/>
      <c r="E4" s="398"/>
      <c r="F4" s="467"/>
      <c r="G4" s="468"/>
      <c r="H4" s="469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70" t="s">
        <v>116</v>
      </c>
      <c r="C10" s="471"/>
      <c r="D10" s="472" t="s">
        <v>138</v>
      </c>
      <c r="E10" s="472"/>
      <c r="F10" s="470" t="s">
        <v>139</v>
      </c>
      <c r="G10" s="473"/>
      <c r="H10" s="471"/>
    </row>
    <row r="11" spans="1:8" ht="15">
      <c r="A11" s="96" t="s">
        <v>140</v>
      </c>
      <c r="B11" s="453"/>
      <c r="C11" s="453"/>
      <c r="D11" s="453"/>
      <c r="E11" s="453"/>
      <c r="F11" s="453">
        <v>23</v>
      </c>
      <c r="G11" s="453"/>
      <c r="H11" s="453"/>
    </row>
    <row r="12" spans="1:8" ht="21">
      <c r="A12" s="456" t="s">
        <v>141</v>
      </c>
      <c r="B12" s="456"/>
      <c r="C12" s="456"/>
      <c r="D12" s="456"/>
      <c r="E12" s="456"/>
      <c r="F12" s="456"/>
      <c r="G12" s="456"/>
      <c r="H12" s="456"/>
    </row>
    <row r="13" spans="1:8" ht="15">
      <c r="A13" s="96" t="s">
        <v>142</v>
      </c>
      <c r="B13" s="453">
        <f>G8</f>
        <v>0</v>
      </c>
      <c r="C13" s="453"/>
      <c r="D13" s="453">
        <v>8.7899999999999991</v>
      </c>
      <c r="E13" s="453"/>
      <c r="F13" s="457">
        <f>PRODUCT(D13,B13)</f>
        <v>0</v>
      </c>
      <c r="G13" s="457"/>
      <c r="H13" s="457"/>
    </row>
    <row r="14" spans="1:8" ht="45" customHeight="1">
      <c r="A14" s="454" t="s">
        <v>143</v>
      </c>
      <c r="B14" s="454"/>
      <c r="C14" s="454"/>
      <c r="D14" s="454"/>
      <c r="E14" s="454"/>
      <c r="F14" s="454"/>
      <c r="G14" s="454"/>
      <c r="H14" s="454"/>
    </row>
    <row r="15" spans="1:8">
      <c r="A15" s="455"/>
      <c r="B15" s="455"/>
      <c r="C15" s="455"/>
      <c r="D15" s="455"/>
      <c r="E15" s="455"/>
      <c r="F15" s="455"/>
      <c r="G15" s="455"/>
      <c r="H15" s="455"/>
    </row>
    <row r="16" spans="1:8" ht="15">
      <c r="A16" s="97" t="s">
        <v>144</v>
      </c>
      <c r="B16" s="453">
        <v>0</v>
      </c>
      <c r="C16" s="453"/>
      <c r="D16" s="453">
        <v>0</v>
      </c>
      <c r="E16" s="453"/>
      <c r="F16" s="453">
        <f>PRODUCT(D16,B16)</f>
        <v>0</v>
      </c>
      <c r="G16" s="453"/>
      <c r="H16" s="453"/>
    </row>
    <row r="17" spans="1:8" ht="15">
      <c r="A17" s="97" t="s">
        <v>145</v>
      </c>
      <c r="B17" s="453">
        <v>0</v>
      </c>
      <c r="C17" s="453"/>
      <c r="D17" s="453">
        <v>0</v>
      </c>
      <c r="E17" s="453"/>
      <c r="F17" s="453">
        <f>PRODUCT(D17,B17)</f>
        <v>0</v>
      </c>
      <c r="G17" s="453"/>
      <c r="H17" s="453"/>
    </row>
    <row r="18" spans="1:8" ht="15">
      <c r="A18" s="97" t="s">
        <v>146</v>
      </c>
      <c r="B18" s="453">
        <v>0</v>
      </c>
      <c r="C18" s="453"/>
      <c r="D18" s="453">
        <v>0</v>
      </c>
      <c r="E18" s="453"/>
      <c r="F18" s="453">
        <f>PRODUCT(D18,B18)</f>
        <v>0</v>
      </c>
      <c r="G18" s="453"/>
      <c r="H18" s="453"/>
    </row>
    <row r="19" spans="1:8" ht="15">
      <c r="A19" s="97" t="s">
        <v>147</v>
      </c>
      <c r="B19" s="453">
        <f>G8</f>
        <v>0</v>
      </c>
      <c r="C19" s="453"/>
      <c r="D19" s="453">
        <v>2.61</v>
      </c>
      <c r="E19" s="453"/>
      <c r="F19" s="453">
        <f>PRODUCT(D19,B19)</f>
        <v>0</v>
      </c>
      <c r="G19" s="453"/>
      <c r="H19" s="453"/>
    </row>
    <row r="20" spans="1:8" ht="18.75">
      <c r="A20" s="449" t="s">
        <v>148</v>
      </c>
      <c r="B20" s="450"/>
      <c r="C20" s="450"/>
      <c r="D20" s="450"/>
      <c r="E20" s="451"/>
      <c r="F20" s="452">
        <f>SUM(F11+F13+F16+F17+F18+F19)</f>
        <v>23</v>
      </c>
      <c r="G20" s="452"/>
      <c r="H20" s="452"/>
    </row>
    <row r="21" spans="1:8" ht="15">
      <c r="A21" s="438" t="s">
        <v>149</v>
      </c>
      <c r="B21" s="439"/>
      <c r="C21" s="439"/>
      <c r="D21" s="439"/>
      <c r="E21" s="440"/>
      <c r="F21" s="453">
        <f>PRODUCT(F20,0.07)</f>
        <v>1.61</v>
      </c>
      <c r="G21" s="453"/>
      <c r="H21" s="453"/>
    </row>
    <row r="22" spans="1:8" ht="15">
      <c r="A22" s="498" t="s">
        <v>150</v>
      </c>
      <c r="B22" s="499"/>
      <c r="C22" s="499"/>
      <c r="D22" s="499"/>
      <c r="E22" s="500"/>
      <c r="F22" s="453">
        <v>208.26</v>
      </c>
      <c r="G22" s="453"/>
      <c r="H22" s="453"/>
    </row>
    <row r="23" spans="1:8" ht="15.75">
      <c r="A23" s="438" t="s">
        <v>151</v>
      </c>
      <c r="B23" s="439"/>
      <c r="C23" s="439"/>
      <c r="D23" s="439"/>
      <c r="E23" s="440"/>
      <c r="F23" s="441">
        <f>SUM(F21:H22)</f>
        <v>209.87</v>
      </c>
      <c r="G23" s="441"/>
      <c r="H23" s="441"/>
    </row>
    <row r="24" spans="1:8">
      <c r="A24" s="442" t="s">
        <v>152</v>
      </c>
      <c r="B24" s="443"/>
      <c r="C24" s="443"/>
      <c r="D24" s="443"/>
      <c r="E24" s="444"/>
      <c r="F24" s="448">
        <f>SUM(F20,F23)</f>
        <v>232.87</v>
      </c>
      <c r="G24" s="448"/>
      <c r="H24" s="448"/>
    </row>
    <row r="25" spans="1:8">
      <c r="A25" s="445"/>
      <c r="B25" s="446"/>
      <c r="C25" s="446"/>
      <c r="D25" s="446"/>
      <c r="E25" s="447"/>
      <c r="F25" s="448"/>
      <c r="G25" s="448"/>
      <c r="H25" s="448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N8" sqref="N8:N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58"/>
      <c r="B1" s="393" t="s">
        <v>132</v>
      </c>
      <c r="C1" s="394"/>
      <c r="D1" s="394"/>
      <c r="E1" s="394"/>
      <c r="F1" s="474" t="s">
        <v>88</v>
      </c>
      <c r="G1" s="474"/>
      <c r="H1" s="474"/>
    </row>
    <row r="2" spans="1:14" ht="15.75" customHeight="1">
      <c r="A2" s="459"/>
      <c r="B2" s="395"/>
      <c r="C2" s="396"/>
      <c r="D2" s="396"/>
      <c r="E2" s="396"/>
      <c r="F2" s="474"/>
      <c r="G2" s="474"/>
      <c r="H2" s="474"/>
    </row>
    <row r="3" spans="1:14" ht="15" customHeight="1">
      <c r="A3" s="459"/>
      <c r="B3" s="395"/>
      <c r="C3" s="396"/>
      <c r="D3" s="396"/>
      <c r="E3" s="396"/>
      <c r="F3" s="474" t="s">
        <v>89</v>
      </c>
      <c r="G3" s="474"/>
      <c r="H3" s="474"/>
    </row>
    <row r="4" spans="1:14" ht="15.75" customHeight="1">
      <c r="A4" s="460"/>
      <c r="B4" s="397"/>
      <c r="C4" s="398"/>
      <c r="D4" s="398"/>
      <c r="E4" s="398"/>
      <c r="F4" s="474"/>
      <c r="G4" s="474"/>
      <c r="H4" s="474"/>
    </row>
    <row r="6" spans="1:14" ht="42.75" customHeight="1"/>
    <row r="7" spans="1:14" ht="42.75" customHeight="1">
      <c r="A7" s="203" t="s">
        <v>90</v>
      </c>
      <c r="B7" s="202" t="s">
        <v>133</v>
      </c>
      <c r="C7" s="202" t="s">
        <v>134</v>
      </c>
      <c r="D7" s="198" t="s">
        <v>91</v>
      </c>
      <c r="E7" s="202" t="s">
        <v>135</v>
      </c>
      <c r="F7" s="198" t="s">
        <v>92</v>
      </c>
      <c r="G7" s="198" t="s">
        <v>136</v>
      </c>
      <c r="H7" s="204" t="s">
        <v>93</v>
      </c>
    </row>
    <row r="8" spans="1:14" ht="15">
      <c r="A8" s="194"/>
      <c r="B8" s="195" t="s">
        <v>137</v>
      </c>
      <c r="C8" s="496">
        <v>184040</v>
      </c>
      <c r="D8" s="192">
        <v>44955</v>
      </c>
      <c r="E8" s="496">
        <v>184154</v>
      </c>
      <c r="F8" s="192">
        <v>44956</v>
      </c>
      <c r="G8" s="193">
        <f>E8-C8</f>
        <v>114</v>
      </c>
      <c r="H8" s="191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70" t="s">
        <v>116</v>
      </c>
      <c r="C10" s="471"/>
      <c r="D10" s="472" t="s">
        <v>138</v>
      </c>
      <c r="E10" s="472"/>
      <c r="F10" s="470" t="s">
        <v>139</v>
      </c>
      <c r="G10" s="473"/>
      <c r="H10" s="471"/>
    </row>
    <row r="11" spans="1:14" ht="15">
      <c r="A11" s="96" t="s">
        <v>140</v>
      </c>
      <c r="B11" s="453"/>
      <c r="C11" s="453"/>
      <c r="D11" s="453"/>
      <c r="E11" s="453"/>
      <c r="F11" s="453">
        <v>23</v>
      </c>
      <c r="G11" s="453"/>
      <c r="H11" s="453"/>
    </row>
    <row r="12" spans="1:14" ht="21">
      <c r="A12" s="456" t="s">
        <v>141</v>
      </c>
      <c r="B12" s="456"/>
      <c r="C12" s="456"/>
      <c r="D12" s="456"/>
      <c r="E12" s="456"/>
      <c r="F12" s="456"/>
      <c r="G12" s="456"/>
      <c r="H12" s="456"/>
      <c r="K12" s="166"/>
    </row>
    <row r="13" spans="1:14" ht="19.5">
      <c r="A13" s="96" t="s">
        <v>142</v>
      </c>
      <c r="B13" s="453">
        <f>G8</f>
        <v>114</v>
      </c>
      <c r="C13" s="453"/>
      <c r="D13" s="453">
        <v>8.5</v>
      </c>
      <c r="E13" s="453"/>
      <c r="F13" s="457">
        <f>PRODUCT(D13,B13)</f>
        <v>969</v>
      </c>
      <c r="G13" s="457"/>
      <c r="H13" s="457"/>
      <c r="K13" s="166"/>
    </row>
    <row r="14" spans="1:14" ht="45" customHeight="1">
      <c r="A14" s="454" t="s">
        <v>143</v>
      </c>
      <c r="B14" s="454"/>
      <c r="C14" s="454"/>
      <c r="D14" s="454"/>
      <c r="E14" s="454"/>
      <c r="F14" s="454"/>
      <c r="G14" s="454"/>
      <c r="H14" s="454"/>
      <c r="N14" s="166"/>
    </row>
    <row r="15" spans="1:14" ht="19.5">
      <c r="A15" s="455"/>
      <c r="B15" s="455"/>
      <c r="C15" s="455"/>
      <c r="D15" s="455"/>
      <c r="E15" s="455"/>
      <c r="F15" s="455"/>
      <c r="G15" s="455"/>
      <c r="H15" s="455"/>
      <c r="M15" s="166"/>
      <c r="N15" s="166"/>
    </row>
    <row r="16" spans="1:14" ht="19.5">
      <c r="A16" s="97" t="s">
        <v>144</v>
      </c>
      <c r="B16" s="453">
        <v>0</v>
      </c>
      <c r="C16" s="453"/>
      <c r="D16" s="453">
        <v>0</v>
      </c>
      <c r="E16" s="453"/>
      <c r="F16" s="453">
        <f>PRODUCT(D16,B16)</f>
        <v>0</v>
      </c>
      <c r="G16" s="453"/>
      <c r="H16" s="453"/>
      <c r="K16" s="166"/>
    </row>
    <row r="17" spans="1:8" ht="15">
      <c r="A17" s="97" t="s">
        <v>145</v>
      </c>
      <c r="B17" s="453">
        <v>0</v>
      </c>
      <c r="C17" s="453"/>
      <c r="D17" s="453">
        <v>0</v>
      </c>
      <c r="E17" s="453"/>
      <c r="F17" s="453">
        <f>PRODUCT(D17,B17)</f>
        <v>0</v>
      </c>
      <c r="G17" s="453"/>
      <c r="H17" s="453"/>
    </row>
    <row r="18" spans="1:8" ht="15">
      <c r="A18" s="97" t="s">
        <v>146</v>
      </c>
      <c r="B18" s="453">
        <v>0</v>
      </c>
      <c r="C18" s="453"/>
      <c r="D18" s="453">
        <v>0</v>
      </c>
      <c r="E18" s="453"/>
      <c r="F18" s="453">
        <f>PRODUCT(D18,B18)</f>
        <v>0</v>
      </c>
      <c r="G18" s="453"/>
      <c r="H18" s="453"/>
    </row>
    <row r="19" spans="1:8" ht="15">
      <c r="A19" s="97" t="s">
        <v>147</v>
      </c>
      <c r="B19" s="453">
        <v>0</v>
      </c>
      <c r="C19" s="453"/>
      <c r="D19" s="475">
        <v>0</v>
      </c>
      <c r="E19" s="476"/>
      <c r="F19" s="475">
        <v>0</v>
      </c>
      <c r="G19" s="476"/>
      <c r="H19" s="156"/>
    </row>
    <row r="20" spans="1:8" ht="15">
      <c r="A20" s="97" t="s">
        <v>153</v>
      </c>
      <c r="B20" s="453">
        <f>G8</f>
        <v>114</v>
      </c>
      <c r="C20" s="453"/>
      <c r="D20" s="453">
        <v>2.54</v>
      </c>
      <c r="E20" s="453"/>
      <c r="F20" s="453">
        <f>PRODUCT(D20,B20)</f>
        <v>289.56</v>
      </c>
      <c r="G20" s="453"/>
      <c r="H20" s="453"/>
    </row>
    <row r="21" spans="1:8" ht="18.75">
      <c r="A21" s="449" t="s">
        <v>148</v>
      </c>
      <c r="B21" s="450"/>
      <c r="C21" s="450"/>
      <c r="D21" s="450"/>
      <c r="E21" s="451"/>
      <c r="F21" s="452">
        <f>SUM(F11+F13+F16+F17+F18+F20)</f>
        <v>1281.56</v>
      </c>
      <c r="G21" s="452"/>
      <c r="H21" s="452"/>
    </row>
    <row r="22" spans="1:8" ht="15">
      <c r="A22" s="438" t="s">
        <v>149</v>
      </c>
      <c r="B22" s="439"/>
      <c r="C22" s="439"/>
      <c r="D22" s="439"/>
      <c r="E22" s="440"/>
      <c r="F22" s="453">
        <f>PRODUCT(F21,0.07)</f>
        <v>89.70920000000001</v>
      </c>
      <c r="G22" s="453"/>
      <c r="H22" s="453"/>
    </row>
    <row r="23" spans="1:8" ht="15">
      <c r="A23" s="498" t="s">
        <v>150</v>
      </c>
      <c r="B23" s="499"/>
      <c r="C23" s="499"/>
      <c r="D23" s="499"/>
      <c r="E23" s="500"/>
      <c r="F23" s="453">
        <v>208.26</v>
      </c>
      <c r="G23" s="453"/>
      <c r="H23" s="453"/>
    </row>
    <row r="24" spans="1:8" ht="15.75">
      <c r="A24" s="438" t="s">
        <v>151</v>
      </c>
      <c r="B24" s="439"/>
      <c r="C24" s="439"/>
      <c r="D24" s="439"/>
      <c r="E24" s="440"/>
      <c r="F24" s="441">
        <f>SUM(F22:H23)</f>
        <v>297.9692</v>
      </c>
      <c r="G24" s="441"/>
      <c r="H24" s="441"/>
    </row>
    <row r="25" spans="1:8">
      <c r="A25" s="442" t="s">
        <v>152</v>
      </c>
      <c r="B25" s="443"/>
      <c r="C25" s="443"/>
      <c r="D25" s="443"/>
      <c r="E25" s="444"/>
      <c r="F25" s="448">
        <f>SUM(F21,F24)</f>
        <v>1579.5291999999999</v>
      </c>
      <c r="G25" s="448"/>
      <c r="H25" s="448"/>
    </row>
    <row r="26" spans="1:8">
      <c r="A26" s="445"/>
      <c r="B26" s="446"/>
      <c r="C26" s="446"/>
      <c r="D26" s="446"/>
      <c r="E26" s="447"/>
      <c r="F26" s="448"/>
      <c r="G26" s="448"/>
      <c r="H26" s="448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58"/>
      <c r="B1" s="393" t="s">
        <v>154</v>
      </c>
      <c r="C1" s="394"/>
      <c r="D1" s="394"/>
      <c r="E1" s="394"/>
      <c r="F1" s="461" t="s">
        <v>88</v>
      </c>
      <c r="G1" s="462"/>
      <c r="H1" s="463"/>
    </row>
    <row r="2" spans="1:8" ht="15.75" customHeight="1" thickBot="1">
      <c r="A2" s="459"/>
      <c r="B2" s="395"/>
      <c r="C2" s="396"/>
      <c r="D2" s="396"/>
      <c r="E2" s="396"/>
      <c r="F2" s="464"/>
      <c r="G2" s="465"/>
      <c r="H2" s="466"/>
    </row>
    <row r="3" spans="1:8" ht="15" customHeight="1">
      <c r="A3" s="459"/>
      <c r="B3" s="395"/>
      <c r="C3" s="396"/>
      <c r="D3" s="396"/>
      <c r="E3" s="396"/>
      <c r="F3" s="461" t="s">
        <v>89</v>
      </c>
      <c r="G3" s="462"/>
      <c r="H3" s="463"/>
    </row>
    <row r="4" spans="1:8" ht="15.75" customHeight="1" thickBot="1">
      <c r="A4" s="460"/>
      <c r="B4" s="397"/>
      <c r="C4" s="398"/>
      <c r="D4" s="398"/>
      <c r="E4" s="398"/>
      <c r="F4" s="467"/>
      <c r="G4" s="468"/>
      <c r="H4" s="469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70" t="s">
        <v>116</v>
      </c>
      <c r="C10" s="471"/>
      <c r="D10" s="472" t="s">
        <v>138</v>
      </c>
      <c r="E10" s="472"/>
      <c r="F10" s="470" t="s">
        <v>139</v>
      </c>
      <c r="G10" s="473"/>
      <c r="H10" s="471"/>
    </row>
    <row r="11" spans="1:8" ht="15">
      <c r="A11" s="96" t="s">
        <v>140</v>
      </c>
      <c r="B11" s="453"/>
      <c r="C11" s="453"/>
      <c r="D11" s="453"/>
      <c r="E11" s="453"/>
      <c r="F11" s="453">
        <v>15</v>
      </c>
      <c r="G11" s="453"/>
      <c r="H11" s="453"/>
    </row>
    <row r="12" spans="1:8" ht="21">
      <c r="A12" s="456" t="s">
        <v>141</v>
      </c>
      <c r="B12" s="456"/>
      <c r="C12" s="456"/>
      <c r="D12" s="456"/>
      <c r="E12" s="456"/>
      <c r="F12" s="456"/>
      <c r="G12" s="456"/>
      <c r="H12" s="456"/>
    </row>
    <row r="13" spans="1:8" ht="15">
      <c r="A13" s="96" t="s">
        <v>155</v>
      </c>
      <c r="B13" s="453">
        <f>G8</f>
        <v>0</v>
      </c>
      <c r="C13" s="453"/>
      <c r="D13" s="453">
        <v>16.48</v>
      </c>
      <c r="E13" s="453"/>
      <c r="F13" s="457">
        <f>PRODUCT(D13,B13)</f>
        <v>0</v>
      </c>
      <c r="G13" s="457"/>
      <c r="H13" s="457"/>
    </row>
    <row r="14" spans="1:8" ht="15">
      <c r="A14" s="96" t="s">
        <v>156</v>
      </c>
      <c r="B14" s="475"/>
      <c r="C14" s="476"/>
      <c r="D14" s="475"/>
      <c r="E14" s="476"/>
      <c r="F14" s="475"/>
      <c r="G14" s="476"/>
      <c r="H14" s="105"/>
    </row>
    <row r="15" spans="1:8" ht="15">
      <c r="A15" s="96" t="s">
        <v>157</v>
      </c>
      <c r="B15" s="475"/>
      <c r="C15" s="476"/>
      <c r="D15" s="475"/>
      <c r="E15" s="476"/>
      <c r="F15" s="475"/>
      <c r="G15" s="476"/>
      <c r="H15" s="105"/>
    </row>
    <row r="16" spans="1:8" ht="15">
      <c r="A16" s="96" t="s">
        <v>158</v>
      </c>
      <c r="B16" s="475"/>
      <c r="C16" s="476"/>
      <c r="D16" s="475"/>
      <c r="E16" s="476"/>
      <c r="F16" s="475"/>
      <c r="G16" s="476"/>
      <c r="H16" s="105"/>
    </row>
    <row r="17" spans="1:8" ht="15">
      <c r="A17" s="96" t="s">
        <v>159</v>
      </c>
      <c r="B17" s="475"/>
      <c r="C17" s="476"/>
      <c r="D17" s="475"/>
      <c r="E17" s="476"/>
      <c r="F17" s="475"/>
      <c r="G17" s="476"/>
      <c r="H17" s="105"/>
    </row>
    <row r="18" spans="1:8" ht="45" customHeight="1">
      <c r="A18" s="454" t="s">
        <v>143</v>
      </c>
      <c r="B18" s="454"/>
      <c r="C18" s="454"/>
      <c r="D18" s="454"/>
      <c r="E18" s="454"/>
      <c r="F18" s="454"/>
      <c r="G18" s="454"/>
      <c r="H18" s="454"/>
    </row>
    <row r="19" spans="1:8">
      <c r="A19" s="455"/>
      <c r="B19" s="455"/>
      <c r="C19" s="455"/>
      <c r="D19" s="455"/>
      <c r="E19" s="455"/>
      <c r="F19" s="455"/>
      <c r="G19" s="455"/>
      <c r="H19" s="455"/>
    </row>
    <row r="20" spans="1:8" ht="15">
      <c r="A20" s="97" t="s">
        <v>144</v>
      </c>
      <c r="B20" s="453">
        <v>0</v>
      </c>
      <c r="C20" s="453"/>
      <c r="D20" s="453">
        <v>0</v>
      </c>
      <c r="E20" s="453"/>
      <c r="F20" s="453">
        <f>PRODUCT(D20,B20)</f>
        <v>0</v>
      </c>
      <c r="G20" s="453"/>
      <c r="H20" s="453"/>
    </row>
    <row r="21" spans="1:8" ht="15">
      <c r="A21" s="97" t="s">
        <v>145</v>
      </c>
      <c r="B21" s="453">
        <v>0</v>
      </c>
      <c r="C21" s="453"/>
      <c r="D21" s="453">
        <v>0</v>
      </c>
      <c r="E21" s="453"/>
      <c r="F21" s="453">
        <f>PRODUCT(D21,B21)</f>
        <v>0</v>
      </c>
      <c r="G21" s="453"/>
      <c r="H21" s="453"/>
    </row>
    <row r="22" spans="1:8" ht="15">
      <c r="A22" s="97" t="s">
        <v>146</v>
      </c>
      <c r="B22" s="453">
        <v>0</v>
      </c>
      <c r="C22" s="453"/>
      <c r="D22" s="453">
        <v>0</v>
      </c>
      <c r="E22" s="453"/>
      <c r="F22" s="453">
        <f>PRODUCT(D22,B22)</f>
        <v>0</v>
      </c>
      <c r="G22" s="453"/>
      <c r="H22" s="453"/>
    </row>
    <row r="23" spans="1:8" ht="15">
      <c r="A23" s="97" t="s">
        <v>147</v>
      </c>
      <c r="B23" s="453">
        <f>G8</f>
        <v>0</v>
      </c>
      <c r="C23" s="453"/>
      <c r="D23" s="453">
        <v>0</v>
      </c>
      <c r="E23" s="453"/>
      <c r="F23" s="453">
        <f>PRODUCT(D23,B23)</f>
        <v>0</v>
      </c>
      <c r="G23" s="453"/>
      <c r="H23" s="453"/>
    </row>
    <row r="24" spans="1:8" ht="15">
      <c r="A24" s="97" t="s">
        <v>153</v>
      </c>
      <c r="B24" s="475">
        <v>0</v>
      </c>
      <c r="C24" s="476"/>
      <c r="D24" s="475">
        <v>2.54</v>
      </c>
      <c r="E24" s="476"/>
      <c r="F24" s="475">
        <f>B24*D24</f>
        <v>0</v>
      </c>
      <c r="G24" s="476"/>
      <c r="H24" s="156"/>
    </row>
    <row r="25" spans="1:8" ht="18.75">
      <c r="A25" s="449" t="s">
        <v>148</v>
      </c>
      <c r="B25" s="450"/>
      <c r="C25" s="450"/>
      <c r="D25" s="450"/>
      <c r="E25" s="451"/>
      <c r="F25" s="477">
        <f>SUM(F11+F13+F20+F21+F22+F23)</f>
        <v>15</v>
      </c>
      <c r="G25" s="452"/>
      <c r="H25" s="452"/>
    </row>
    <row r="26" spans="1:8" ht="15">
      <c r="A26" s="438" t="s">
        <v>149</v>
      </c>
      <c r="B26" s="439"/>
      <c r="C26" s="439"/>
      <c r="D26" s="439"/>
      <c r="E26" s="440"/>
      <c r="F26" s="453">
        <v>63.63</v>
      </c>
      <c r="G26" s="453"/>
      <c r="H26" s="453"/>
    </row>
    <row r="27" spans="1:8" ht="15">
      <c r="A27" s="498" t="s">
        <v>150</v>
      </c>
      <c r="B27" s="499"/>
      <c r="C27" s="499"/>
      <c r="D27" s="499"/>
      <c r="E27" s="500"/>
      <c r="F27" s="453">
        <v>2.4300000000000002</v>
      </c>
      <c r="G27" s="453"/>
      <c r="H27" s="453"/>
    </row>
    <row r="28" spans="1:8" ht="15.75">
      <c r="A28" s="438" t="s">
        <v>151</v>
      </c>
      <c r="B28" s="439"/>
      <c r="C28" s="439"/>
      <c r="D28" s="439"/>
      <c r="E28" s="440"/>
      <c r="F28" s="441">
        <f>SUM(F26:H27)</f>
        <v>66.06</v>
      </c>
      <c r="G28" s="441"/>
      <c r="H28" s="441"/>
    </row>
    <row r="29" spans="1:8">
      <c r="A29" s="442" t="s">
        <v>152</v>
      </c>
      <c r="B29" s="443"/>
      <c r="C29" s="443"/>
      <c r="D29" s="443"/>
      <c r="E29" s="444"/>
      <c r="F29" s="448">
        <f>SUM(F25,F28)</f>
        <v>81.06</v>
      </c>
      <c r="G29" s="448"/>
      <c r="H29" s="448"/>
    </row>
    <row r="30" spans="1:8">
      <c r="A30" s="445"/>
      <c r="B30" s="446"/>
      <c r="C30" s="446"/>
      <c r="D30" s="446"/>
      <c r="E30" s="447"/>
      <c r="F30" s="448"/>
      <c r="G30" s="448"/>
      <c r="H30" s="448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78" t="s">
        <v>160</v>
      </c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80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84"/>
      <c r="D8" s="485"/>
      <c r="E8" s="485"/>
      <c r="F8" s="485"/>
      <c r="G8" s="485"/>
      <c r="H8" s="485"/>
      <c r="I8" s="485"/>
      <c r="J8" s="485"/>
      <c r="K8" s="486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</row>
    <row r="17" spans="2:14" ht="21" thickBot="1">
      <c r="C17" s="481" t="s">
        <v>182</v>
      </c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3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84"/>
      <c r="D20" s="485"/>
      <c r="E20" s="485"/>
      <c r="F20" s="485"/>
      <c r="G20" s="485"/>
      <c r="H20" s="485"/>
      <c r="I20" s="485"/>
      <c r="J20" s="485"/>
      <c r="K20" s="486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6">
        <v>2409951822</v>
      </c>
      <c r="D27" s="186">
        <v>278597258</v>
      </c>
      <c r="E27" s="186">
        <v>3487476564</v>
      </c>
      <c r="F27" s="186">
        <v>3872201852</v>
      </c>
      <c r="G27" s="186">
        <v>4911719801</v>
      </c>
      <c r="H27" s="186">
        <v>6329563352</v>
      </c>
      <c r="I27" s="186">
        <v>654067568</v>
      </c>
      <c r="J27" s="186">
        <v>6896504079</v>
      </c>
      <c r="K27" s="186">
        <v>6387547041</v>
      </c>
      <c r="L27" s="186">
        <v>5509722905</v>
      </c>
      <c r="M27" s="186">
        <v>3669799236</v>
      </c>
      <c r="N27" s="178">
        <v>435638.13629999995</v>
      </c>
    </row>
    <row r="28" spans="2:14" ht="32.25" customHeight="1">
      <c r="B28" s="177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78" t="s">
        <v>183</v>
      </c>
      <c r="D5" s="487"/>
      <c r="E5" s="487"/>
      <c r="F5" s="487"/>
      <c r="G5" s="487"/>
      <c r="H5" s="487"/>
      <c r="I5" s="487"/>
      <c r="J5" s="487"/>
      <c r="K5" s="487"/>
      <c r="L5" s="487"/>
      <c r="M5" s="487"/>
      <c r="N5" s="488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84"/>
      <c r="D8" s="485"/>
      <c r="E8" s="485"/>
      <c r="F8" s="485"/>
      <c r="G8" s="485"/>
      <c r="H8" s="485"/>
      <c r="I8" s="485"/>
      <c r="J8" s="485"/>
      <c r="K8" s="486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0" t="s">
        <v>180</v>
      </c>
      <c r="C15" s="178" t="s">
        <v>184</v>
      </c>
      <c r="D15" s="178" t="s">
        <v>185</v>
      </c>
      <c r="E15" s="178">
        <v>3842</v>
      </c>
      <c r="F15" s="178">
        <v>3393</v>
      </c>
      <c r="G15" s="178" t="s">
        <v>186</v>
      </c>
      <c r="H15" s="178" t="s">
        <v>187</v>
      </c>
      <c r="I15" s="178">
        <v>5359</v>
      </c>
      <c r="J15" s="178" t="s">
        <v>188</v>
      </c>
      <c r="K15" s="178" t="s">
        <v>189</v>
      </c>
      <c r="L15" s="178" t="s">
        <v>190</v>
      </c>
      <c r="M15" s="178"/>
      <c r="N15" s="178">
        <v>4007</v>
      </c>
    </row>
    <row r="16" spans="2:14" ht="33.75" customHeight="1">
      <c r="B16" s="179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1" t="s">
        <v>191</v>
      </c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90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4"/>
      <c r="D20" s="485"/>
      <c r="E20" s="485"/>
      <c r="F20" s="485"/>
      <c r="G20" s="485"/>
      <c r="H20" s="485"/>
      <c r="I20" s="485"/>
      <c r="J20" s="485"/>
      <c r="K20" s="486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8" t="s">
        <v>192</v>
      </c>
      <c r="D27" s="178" t="s">
        <v>193</v>
      </c>
      <c r="E27" s="178" t="s">
        <v>194</v>
      </c>
      <c r="F27" s="178" t="s">
        <v>195</v>
      </c>
      <c r="G27" s="178" t="s">
        <v>196</v>
      </c>
      <c r="H27" s="178" t="s">
        <v>197</v>
      </c>
      <c r="I27" s="178" t="s">
        <v>198</v>
      </c>
      <c r="J27" s="178" t="s">
        <v>199</v>
      </c>
      <c r="K27" s="178" t="s">
        <v>200</v>
      </c>
      <c r="L27" s="178" t="s">
        <v>201</v>
      </c>
      <c r="M27" s="178"/>
      <c r="N27" s="178">
        <v>45702.8</v>
      </c>
    </row>
    <row r="28" spans="2:14" ht="32.25" customHeight="1">
      <c r="B28" s="181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78" t="s">
        <v>202</v>
      </c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80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84"/>
      <c r="D8" s="485"/>
      <c r="E8" s="485"/>
      <c r="F8" s="485"/>
      <c r="G8" s="485"/>
      <c r="H8" s="485"/>
      <c r="I8" s="485"/>
      <c r="J8" s="485"/>
      <c r="K8" s="486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2" t="s">
        <v>180</v>
      </c>
      <c r="C15" s="187">
        <v>8859163</v>
      </c>
      <c r="D15" s="187">
        <v>13938621</v>
      </c>
      <c r="E15" s="167">
        <v>316387</v>
      </c>
      <c r="F15" s="187">
        <v>23168613</v>
      </c>
      <c r="G15" s="167" t="s">
        <v>203</v>
      </c>
      <c r="H15" s="167" t="s">
        <v>187</v>
      </c>
      <c r="I15" s="187">
        <v>6726235</v>
      </c>
      <c r="J15" s="187">
        <v>9206716</v>
      </c>
      <c r="K15" s="187">
        <v>11550186</v>
      </c>
      <c r="L15" s="167" t="s">
        <v>18</v>
      </c>
      <c r="M15" s="167"/>
      <c r="N15" s="167"/>
    </row>
    <row r="16" spans="2:14" ht="36.75" customHeight="1">
      <c r="B16" s="183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1" t="s">
        <v>204</v>
      </c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3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4"/>
      <c r="D20" s="485"/>
      <c r="E20" s="485"/>
      <c r="F20" s="485"/>
      <c r="G20" s="485"/>
      <c r="H20" s="485"/>
      <c r="I20" s="485"/>
      <c r="J20" s="485"/>
      <c r="K20" s="486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4" t="s">
        <v>180</v>
      </c>
      <c r="C27" s="187">
        <v>1024562201</v>
      </c>
      <c r="D27" s="187">
        <v>1643363416</v>
      </c>
      <c r="E27" s="187">
        <v>3487476564</v>
      </c>
      <c r="F27" s="187">
        <v>3160198813</v>
      </c>
      <c r="G27" s="187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5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C6C9026B-FACA-412B-BFAF-D1CFE861F6E4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2023-01-30T08:42:38Z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