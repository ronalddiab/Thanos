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32" i="82"/>
  <c r="J32"/>
  <c r="I32"/>
  <c r="H32"/>
  <c r="G32"/>
  <c r="F32"/>
  <c r="E32"/>
  <c r="H32" i="81"/>
  <c r="E32"/>
  <c r="J32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R5" i="3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T8" i="5" l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V8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8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8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8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G8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7" i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H5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7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7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7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7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7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7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Y5" i="2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5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5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AC3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5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S5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18" i="77"/>
  <c r="D17"/>
  <c r="C19" l="1"/>
  <c r="C18"/>
  <c r="C17"/>
  <c r="C16"/>
  <c r="C15"/>
  <c r="C14"/>
  <c r="I6" l="1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AU16" i="5" l="1"/>
  <c r="D12" i="73"/>
  <c r="AB7" i="2"/>
  <c r="G5" i="76"/>
  <c r="AC17" l="1"/>
  <c r="AC16"/>
  <c r="AC15"/>
  <c r="V28"/>
  <c r="V27"/>
  <c r="V26"/>
  <c r="H6" i="77" l="1"/>
  <c r="W40" i="74" l="1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33" i="3" l="1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B33" i="2" l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G34" l="1"/>
  <c r="L34" s="1"/>
  <c r="W28"/>
  <c r="C20"/>
  <c r="I20"/>
  <c r="M18"/>
  <c r="D18"/>
  <c r="E18" s="1"/>
  <c r="L18"/>
  <c r="K19"/>
  <c r="N19" s="1"/>
  <c r="C34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Q33" l="1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L36" i="5" l="1"/>
  <c r="J36"/>
  <c r="L32" i="81" s="1"/>
  <c r="K32"/>
  <c r="AI33" i="3"/>
  <c r="D34" i="76"/>
  <c r="E34" s="1"/>
  <c r="M22"/>
  <c r="D22"/>
  <c r="E22" s="1"/>
  <c r="S34"/>
  <c r="T34" s="1"/>
  <c r="F32" i="81" s="1"/>
  <c r="R33" i="2"/>
  <c r="AI33" s="1"/>
  <c r="I23" i="76"/>
  <c r="K23"/>
  <c r="N23" s="1"/>
  <c r="L22"/>
  <c r="C23"/>
  <c r="G23"/>
  <c r="G30" i="73"/>
  <c r="D30"/>
  <c r="M23" i="76" l="1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G32" i="81" s="1"/>
  <c r="H36" i="7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W32" i="76"/>
  <c r="B15" i="77"/>
  <c r="E14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R18" i="7" l="1"/>
  <c r="AS18" s="1"/>
  <c r="O24" i="2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AQ18" i="7" l="1"/>
  <c r="AS19"/>
  <c r="O25" i="2"/>
  <c r="S26" i="76"/>
  <c r="I19" i="3"/>
  <c r="H20"/>
  <c r="I27"/>
  <c r="AN23" i="7"/>
  <c r="P21" i="3"/>
  <c r="Q21" s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I28" i="3"/>
  <c r="AN24" i="7"/>
  <c r="X20"/>
  <c r="AX20"/>
  <c r="Q18" i="76" s="1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AX21"/>
  <c r="Q19" i="76" s="1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AQ22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BC22" i="7"/>
  <c r="AX22"/>
  <c r="Q20" i="76" s="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BC26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7" i="76" s="1"/>
  <c r="AQ29" i="7"/>
  <c r="BC29"/>
  <c r="V32"/>
  <c r="W32" s="1"/>
  <c r="U32"/>
  <c r="AS31" l="1"/>
  <c r="AX31" s="1"/>
  <c r="AN35"/>
  <c r="AX30"/>
  <c r="Q28" i="76" s="1"/>
  <c r="AI32" i="1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AY29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U35"/>
  <c r="V35"/>
  <c r="W35" s="1"/>
  <c r="AX32" l="1"/>
  <c r="Y35"/>
  <c r="AR35" s="1"/>
  <c r="AI37" i="1"/>
  <c r="AJ34"/>
  <c r="AK34" s="1"/>
  <c r="G31" i="81"/>
  <c r="AJ33" i="1"/>
  <c r="AK33" s="1"/>
  <c r="G30" i="81"/>
  <c r="X34" i="7"/>
  <c r="AY32" l="1"/>
  <c r="Q30" i="76"/>
  <c r="X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BC24" i="7" l="1"/>
  <c r="BC23"/>
  <c r="AQ23"/>
  <c r="AX23"/>
  <c r="Q21" i="76" l="1"/>
  <c r="AY23" i="7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Q33" i="7" l="1"/>
  <c r="BC34"/>
  <c r="BC33"/>
  <c r="AQ35"/>
  <c r="BC36"/>
  <c r="AQ36"/>
  <c r="BC35"/>
  <c r="AQ34"/>
  <c r="AS35"/>
  <c r="AX35" s="1"/>
  <c r="AS34"/>
  <c r="AX34" s="1"/>
  <c r="AY34" s="1"/>
  <c r="AS36"/>
  <c r="AX36" s="1"/>
  <c r="AS33"/>
  <c r="AX33" s="1"/>
  <c r="AY33" s="1"/>
  <c r="Q33" i="76" l="1"/>
  <c r="AY35" i="7"/>
  <c r="Q34" i="76"/>
  <c r="AY36" i="7"/>
  <c r="Q32" i="76"/>
  <c r="Q31"/>
  <c r="AS6" i="7" l="1"/>
  <c r="AX6" l="1"/>
  <c r="AS40"/>
  <c r="Q4" i="76" l="1"/>
  <c r="AY6" i="7"/>
  <c r="AY37" s="1"/>
  <c r="AX37"/>
  <c r="Z42" i="76" s="1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1" i="8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R16" s="1"/>
  <c r="T16" s="1"/>
  <c r="F14" i="81" s="1"/>
  <c r="O20" i="76"/>
  <c r="P20" s="1"/>
  <c r="R20" s="1"/>
  <c r="T20" s="1"/>
  <c r="F18" i="81" s="1"/>
  <c r="O23" i="76"/>
  <c r="P23" s="1"/>
  <c r="R23" s="1"/>
  <c r="T23" s="1"/>
  <c r="F21" i="81" s="1"/>
  <c r="O14" i="76"/>
  <c r="P14" s="1"/>
  <c r="R14" s="1"/>
  <c r="T14" s="1"/>
  <c r="F12" i="81" s="1"/>
  <c r="O9" i="76"/>
  <c r="P9" s="1"/>
  <c r="R9" s="1"/>
  <c r="T9" s="1"/>
  <c r="F7" i="81" s="1"/>
  <c r="O26" i="76"/>
  <c r="P26" s="1"/>
  <c r="R26" s="1"/>
  <c r="T26" s="1"/>
  <c r="F24" i="81" s="1"/>
  <c r="O4" i="76"/>
  <c r="P4" s="1"/>
  <c r="R4" s="1"/>
  <c r="T4" s="1"/>
  <c r="F2" i="81" s="1"/>
  <c r="O34" i="76"/>
  <c r="P34" s="1"/>
  <c r="R34" s="1"/>
  <c r="O29"/>
  <c r="P29" s="1"/>
  <c r="R29" s="1"/>
  <c r="T29" s="1"/>
  <c r="F27" i="81" s="1"/>
  <c r="O6" i="76"/>
  <c r="P6" s="1"/>
  <c r="R6" s="1"/>
  <c r="T6" s="1"/>
  <c r="F4" i="81" s="1"/>
  <c r="O24" i="76"/>
  <c r="P24" s="1"/>
  <c r="R24" s="1"/>
  <c r="T24" s="1"/>
  <c r="F22" i="81" s="1"/>
  <c r="O7" i="76"/>
  <c r="P7" s="1"/>
  <c r="R7" s="1"/>
  <c r="T7" s="1"/>
  <c r="F5" i="81" s="1"/>
  <c r="O27" i="76"/>
  <c r="P27" s="1"/>
  <c r="R27" s="1"/>
  <c r="T27" s="1"/>
  <c r="F25" i="81" s="1"/>
  <c r="O11" i="76"/>
  <c r="P11" s="1"/>
  <c r="R11" s="1"/>
  <c r="T11" s="1"/>
  <c r="F9" i="81" s="1"/>
  <c r="O5" i="76"/>
  <c r="P5" s="1"/>
  <c r="R5" s="1"/>
  <c r="T5" s="1"/>
  <c r="F3" i="81" s="1"/>
  <c r="O15" i="76"/>
  <c r="P15" s="1"/>
  <c r="R15" s="1"/>
  <c r="T15" s="1"/>
  <c r="F13" i="81" s="1"/>
  <c r="O33" i="76"/>
  <c r="P33" s="1"/>
  <c r="R33" s="1"/>
  <c r="T33" s="1"/>
  <c r="F31" i="81" s="1"/>
  <c r="O19" i="76"/>
  <c r="P19" s="1"/>
  <c r="R19" s="1"/>
  <c r="T19" s="1"/>
  <c r="F17" i="81" s="1"/>
  <c r="O8" i="76"/>
  <c r="P8" s="1"/>
  <c r="R8" s="1"/>
  <c r="T8" s="1"/>
  <c r="F6" i="81" s="1"/>
  <c r="O22" i="76"/>
  <c r="P22" s="1"/>
  <c r="R22" s="1"/>
  <c r="T22" s="1"/>
  <c r="F20" i="81" s="1"/>
  <c r="O31" i="76"/>
  <c r="P31" s="1"/>
  <c r="R31" s="1"/>
  <c r="T31" s="1"/>
  <c r="F29" i="81" s="1"/>
  <c r="O30" i="76"/>
  <c r="P30" s="1"/>
  <c r="R30" s="1"/>
  <c r="T30" s="1"/>
  <c r="F28" i="81" s="1"/>
  <c r="O13" i="76"/>
  <c r="P13" s="1"/>
  <c r="R13" s="1"/>
  <c r="T13" s="1"/>
  <c r="F11" i="81" s="1"/>
  <c r="O32" i="76"/>
  <c r="P32" s="1"/>
  <c r="R32" s="1"/>
  <c r="T32" s="1"/>
  <c r="F30" i="81" s="1"/>
  <c r="O25" i="76"/>
  <c r="P25" s="1"/>
  <c r="R25" s="1"/>
  <c r="T25" s="1"/>
  <c r="F23" i="81" s="1"/>
  <c r="O17" i="76"/>
  <c r="P17" s="1"/>
  <c r="R17" s="1"/>
  <c r="T17" s="1"/>
  <c r="F15" i="81" s="1"/>
  <c r="O18" i="76"/>
  <c r="P18" s="1"/>
  <c r="R18" s="1"/>
  <c r="T18" s="1"/>
  <c r="F16" i="81" s="1"/>
  <c r="O12" i="76"/>
  <c r="P12" s="1"/>
  <c r="R12" s="1"/>
  <c r="T12" s="1"/>
  <c r="F10" i="81" s="1"/>
  <c r="O28" i="76"/>
  <c r="P28" s="1"/>
  <c r="R28" s="1"/>
  <c r="T28" s="1"/>
  <c r="F26" i="81" s="1"/>
  <c r="O21" i="76"/>
  <c r="P21" s="1"/>
  <c r="R21" s="1"/>
  <c r="T21" s="1"/>
  <c r="F19" i="81" s="1"/>
  <c r="O10" i="76"/>
  <c r="P10" s="1"/>
  <c r="R10" s="1"/>
  <c r="T10" s="1"/>
  <c r="F8" i="81" s="1"/>
  <c r="O3" i="76"/>
  <c r="AB36" l="1"/>
  <c r="AB37" s="1"/>
  <c r="AB38"/>
  <c r="AB40" s="1"/>
  <c r="Z41" s="1"/>
  <c r="Z43" s="1"/>
  <c r="Z45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5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6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<sst xmlns="http://schemas.openxmlformats.org/spreadsheetml/2006/main" count="652" uniqueCount="417">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</sst>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578048"/>
        <c:axId val="102579584"/>
      </c:lineChart>
      <c:catAx>
        <c:axId val="1025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79584"/>
        <c:crosses val="autoZero"/>
        <c:auto val="1"/>
        <c:lblAlgn val="ctr"/>
        <c:lblOffset val="100"/>
      </c:catAx>
      <c:valAx>
        <c:axId val="102579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988"/>
          <c:w val="0.11899800868449698"/>
          <c:h val="4.49826989619449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600064"/>
        <c:axId val="102601856"/>
      </c:lineChart>
      <c:catAx>
        <c:axId val="10260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01856"/>
        <c:crosses val="autoZero"/>
        <c:auto val="1"/>
        <c:lblAlgn val="ctr"/>
        <c:lblOffset val="100"/>
      </c:catAx>
      <c:valAx>
        <c:axId val="10260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0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64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621952"/>
        <c:axId val="102623488"/>
      </c:lineChart>
      <c:catAx>
        <c:axId val="10262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23488"/>
        <c:crosses val="autoZero"/>
        <c:auto val="1"/>
        <c:lblAlgn val="ctr"/>
        <c:lblOffset val="100"/>
      </c:catAx>
      <c:valAx>
        <c:axId val="1026234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2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516"/>
          <c:y val="0.62975887529634988"/>
          <c:w val="7.9124755870162669E-2"/>
          <c:h val="4.49826989619449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647104"/>
        <c:axId val="103648640"/>
      </c:lineChart>
      <c:catAx>
        <c:axId val="10364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48640"/>
        <c:crosses val="autoZero"/>
        <c:auto val="1"/>
        <c:lblAlgn val="ctr"/>
        <c:lblOffset val="100"/>
      </c:catAx>
      <c:valAx>
        <c:axId val="103648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4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45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660544"/>
        <c:axId val="103813888"/>
      </c:lineChart>
      <c:catAx>
        <c:axId val="10366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3888"/>
        <c:crosses val="autoZero"/>
        <c:auto val="1"/>
        <c:lblAlgn val="ctr"/>
        <c:lblOffset val="100"/>
      </c:catAx>
      <c:valAx>
        <c:axId val="103813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6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62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920384"/>
        <c:axId val="103921920"/>
      </c:lineChart>
      <c:catAx>
        <c:axId val="10392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21920"/>
        <c:crosses val="autoZero"/>
        <c:auto val="1"/>
        <c:lblAlgn val="ctr"/>
        <c:lblOffset val="100"/>
      </c:catAx>
      <c:valAx>
        <c:axId val="10392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2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24640"/>
        <c:axId val="104226176"/>
      </c:lineChart>
      <c:catAx>
        <c:axId val="10422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26176"/>
        <c:crosses val="autoZero"/>
        <c:auto val="1"/>
        <c:lblAlgn val="ctr"/>
        <c:lblOffset val="100"/>
      </c:catAx>
      <c:valAx>
        <c:axId val="10422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2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45888"/>
        <c:axId val="104247680"/>
      </c:lineChart>
      <c:catAx>
        <c:axId val="10424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47680"/>
        <c:crosses val="autoZero"/>
        <c:auto val="1"/>
        <c:lblAlgn val="ctr"/>
        <c:lblOffset val="100"/>
      </c:catAx>
      <c:valAx>
        <c:axId val="10424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4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349696"/>
        <c:axId val="104351232"/>
      </c:lineChart>
      <c:catAx>
        <c:axId val="10434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51232"/>
        <c:crosses val="autoZero"/>
        <c:auto val="1"/>
        <c:lblAlgn val="ctr"/>
        <c:lblOffset val="100"/>
      </c:catAx>
      <c:valAx>
        <c:axId val="104351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4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365"/>
          <c:w val="0.1272403315177214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383616"/>
        <c:axId val="104385152"/>
      </c:lineChart>
      <c:catAx>
        <c:axId val="10438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85152"/>
        <c:crosses val="autoZero"/>
        <c:auto val="1"/>
        <c:lblAlgn val="ctr"/>
        <c:lblOffset val="100"/>
      </c:catAx>
      <c:valAx>
        <c:axId val="10438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8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298752"/>
        <c:axId val="104300544"/>
      </c:lineChart>
      <c:catAx>
        <c:axId val="10429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00544"/>
        <c:crosses val="autoZero"/>
        <c:auto val="1"/>
        <c:lblAlgn val="ctr"/>
        <c:lblOffset val="100"/>
      </c:catAx>
      <c:valAx>
        <c:axId val="10430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365"/>
          <c:w val="0.135416885389345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312192"/>
        <c:axId val="104408192"/>
      </c:lineChart>
      <c:catAx>
        <c:axId val="10431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08192"/>
        <c:crosses val="autoZero"/>
        <c:auto val="1"/>
        <c:lblAlgn val="ctr"/>
        <c:lblOffset val="100"/>
      </c:catAx>
      <c:valAx>
        <c:axId val="104408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1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3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436864"/>
        <c:axId val="104438400"/>
      </c:lineChart>
      <c:catAx>
        <c:axId val="1044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38400"/>
        <c:crosses val="autoZero"/>
        <c:auto val="1"/>
        <c:lblAlgn val="ctr"/>
        <c:lblOffset val="100"/>
      </c:catAx>
      <c:valAx>
        <c:axId val="104438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988"/>
          <c:w val="0.12291688538932598"/>
          <c:h val="4.49826989619449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462592"/>
        <c:axId val="104468480"/>
      </c:lineChart>
      <c:catAx>
        <c:axId val="1044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68480"/>
        <c:crosses val="autoZero"/>
        <c:auto val="1"/>
        <c:lblAlgn val="ctr"/>
        <c:lblOffset val="100"/>
      </c:catAx>
      <c:valAx>
        <c:axId val="10446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365"/>
          <c:w val="0.135416885389345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480128"/>
        <c:axId val="104506496"/>
      </c:lineChart>
      <c:catAx>
        <c:axId val="10448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06496"/>
        <c:crosses val="autoZero"/>
        <c:auto val="1"/>
        <c:lblAlgn val="ctr"/>
        <c:lblOffset val="100"/>
      </c:catAx>
      <c:valAx>
        <c:axId val="104506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8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074"/>
          <c:y val="0.54325368498487869"/>
          <c:w val="0.11458355205599259"/>
          <c:h val="4.49826989619445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-6229.2325806451609</c:v>
                </c:pt>
                <c:pt idx="1">
                  <c:v>-2901.0999999999985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596224"/>
        <c:axId val="104597760"/>
      </c:lineChart>
      <c:catAx>
        <c:axId val="10459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97760"/>
        <c:crosses val="autoZero"/>
        <c:auto val="1"/>
        <c:lblAlgn val="ctr"/>
        <c:lblOffset val="100"/>
      </c:catAx>
      <c:valAx>
        <c:axId val="104597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9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91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630528"/>
        <c:axId val="104648704"/>
      </c:lineChart>
      <c:catAx>
        <c:axId val="10463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48704"/>
        <c:crosses val="autoZero"/>
        <c:auto val="1"/>
        <c:lblAlgn val="ctr"/>
        <c:lblOffset val="100"/>
      </c:catAx>
      <c:valAx>
        <c:axId val="10464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3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437"/>
          <c:y val="0.62975887529634988"/>
          <c:w val="0.13541688538934624"/>
          <c:h val="4.49826989619449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660352"/>
        <c:axId val="104731776"/>
      </c:lineChart>
      <c:catAx>
        <c:axId val="10466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31776"/>
        <c:crosses val="autoZero"/>
        <c:auto val="1"/>
        <c:lblAlgn val="ctr"/>
        <c:lblOffset val="100"/>
      </c:catAx>
      <c:valAx>
        <c:axId val="1047317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6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988"/>
          <c:w val="9.730870597697025E-2"/>
          <c:h val="4.49826989619449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43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776448"/>
        <c:axId val="104777984"/>
      </c:lineChart>
      <c:catAx>
        <c:axId val="10477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77984"/>
        <c:crosses val="autoZero"/>
        <c:auto val="1"/>
        <c:lblAlgn val="ctr"/>
        <c:lblOffset val="100"/>
      </c:catAx>
      <c:valAx>
        <c:axId val="1047779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7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9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687488"/>
        <c:axId val="104689024"/>
      </c:lineChart>
      <c:catAx>
        <c:axId val="10468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89024"/>
        <c:crosses val="autoZero"/>
        <c:auto val="1"/>
        <c:lblAlgn val="ctr"/>
        <c:lblOffset val="100"/>
      </c:catAx>
      <c:valAx>
        <c:axId val="104689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8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801"/>
          <c:y val="0.62975887529634988"/>
          <c:w val="0.13250539334757044"/>
          <c:h val="4.49826989619449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709120"/>
        <c:axId val="104715008"/>
      </c:lineChart>
      <c:catAx>
        <c:axId val="10470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15008"/>
        <c:crosses val="autoZero"/>
        <c:auto val="1"/>
        <c:lblAlgn val="ctr"/>
        <c:lblOffset val="100"/>
      </c:catAx>
      <c:valAx>
        <c:axId val="10471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3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817024"/>
        <c:axId val="104818560"/>
      </c:lineChart>
      <c:catAx>
        <c:axId val="10481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18560"/>
        <c:crosses val="autoZero"/>
        <c:auto val="1"/>
        <c:lblAlgn val="ctr"/>
        <c:lblOffset val="100"/>
      </c:catAx>
      <c:valAx>
        <c:axId val="10481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1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458"/>
          <c:w val="0.1234311819809247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-530.70000000000016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19.899999999999999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4855808"/>
        <c:axId val="104857600"/>
      </c:lineChart>
      <c:catAx>
        <c:axId val="1048558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57600"/>
        <c:crosses val="autoZero"/>
        <c:auto val="1"/>
        <c:lblAlgn val="ctr"/>
        <c:lblOffset val="100"/>
      </c:catAx>
      <c:valAx>
        <c:axId val="1048576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5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013"/>
          <c:w val="0.156903985328211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868864"/>
        <c:axId val="104899328"/>
      </c:lineChart>
      <c:catAx>
        <c:axId val="10486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99328"/>
        <c:crosses val="autoZero"/>
        <c:auto val="1"/>
        <c:lblAlgn val="ctr"/>
        <c:lblOffset val="100"/>
      </c:catAx>
      <c:valAx>
        <c:axId val="1048993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6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988"/>
          <c:w val="0.14853578449139435"/>
          <c:h val="4.49826989619451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027456"/>
        <c:axId val="103028992"/>
      </c:lineChart>
      <c:catAx>
        <c:axId val="10302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28992"/>
        <c:crosses val="autoZero"/>
        <c:auto val="1"/>
        <c:lblAlgn val="ctr"/>
        <c:lblOffset val="100"/>
      </c:catAx>
      <c:valAx>
        <c:axId val="10302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2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2432"/>
          <c:y val="0.62975887529634988"/>
          <c:w val="0.12164948453608219"/>
          <c:h val="4.49826989619451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5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339520"/>
        <c:axId val="105345408"/>
      </c:lineChart>
      <c:catAx>
        <c:axId val="10533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45408"/>
        <c:crosses val="autoZero"/>
        <c:auto val="1"/>
        <c:lblAlgn val="ctr"/>
        <c:lblOffset val="100"/>
      </c:catAx>
      <c:valAx>
        <c:axId val="1053454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635840"/>
        <c:axId val="105637376"/>
      </c:lineChart>
      <c:catAx>
        <c:axId val="1056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7376"/>
        <c:crosses val="autoZero"/>
        <c:auto val="1"/>
        <c:lblAlgn val="ctr"/>
        <c:lblOffset val="100"/>
      </c:catAx>
      <c:valAx>
        <c:axId val="10563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01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-530.70000000000016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19.899999999999999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5974016"/>
        <c:axId val="105992192"/>
      </c:lineChart>
      <c:catAx>
        <c:axId val="1059740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92192"/>
        <c:crosses val="autoZero"/>
        <c:auto val="1"/>
        <c:lblAlgn val="ctr"/>
        <c:lblOffset val="100"/>
      </c:catAx>
      <c:valAx>
        <c:axId val="105992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7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01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1.3342666072655315E-2</v>
      </c>
      <c r="G2" s="206">
        <f>-tanks!AW6</f>
        <v>380</v>
      </c>
      <c r="H2" s="338">
        <f>SUM(tanks!AV6)</f>
        <v>0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3.0986577862450286E-2</v>
      </c>
      <c r="G3" s="206">
        <f>-tanks!AW7</f>
        <v>229</v>
      </c>
      <c r="H3" s="338">
        <f>SUM(tanks!AV7)</f>
        <v>0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0</v>
      </c>
      <c r="F4" s="338">
        <f>SUM('EDl log'!T6)</f>
        <v>0</v>
      </c>
      <c r="G4" s="206">
        <f>-tanks!AW8</f>
        <v>0</v>
      </c>
      <c r="H4" s="338">
        <f>SUM(tanks!AV8)</f>
        <v>0</v>
      </c>
      <c r="I4" s="10">
        <f>('B5'!AU7)*0.51</f>
        <v>0</v>
      </c>
      <c r="J4" s="317">
        <f>'B5'!AX7/0.51</f>
        <v>1.5686274509803921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0</v>
      </c>
      <c r="F5" s="338">
        <f>SUM('EDl log'!T7)</f>
        <v>0</v>
      </c>
      <c r="G5" s="206">
        <f>-tanks!AW9</f>
        <v>0</v>
      </c>
      <c r="H5" s="338">
        <f>SUM(tanks!AV9)</f>
        <v>0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0</v>
      </c>
      <c r="F6" s="338">
        <f>SUM('EDl log'!T8)</f>
        <v>0</v>
      </c>
      <c r="G6" s="206">
        <f>-tanks!AW10</f>
        <v>0</v>
      </c>
      <c r="H6" s="338">
        <f>SUM(tanks!AV10)</f>
        <v>0</v>
      </c>
      <c r="I6" s="10">
        <f>('B5'!AU9)*0.51</f>
        <v>0</v>
      </c>
      <c r="J6" s="317">
        <f>'B5'!AX9/0.51</f>
        <v>1.5686274509803921</v>
      </c>
      <c r="K6" s="206">
        <f>WATER!I10</f>
        <v>0</v>
      </c>
      <c r="L6" s="339">
        <f>SUM(WATER!J10)</f>
        <v>0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0</v>
      </c>
      <c r="F7" s="338">
        <f>SUM('EDl log'!T9)</f>
        <v>0</v>
      </c>
      <c r="G7" s="206">
        <f>-tanks!AW11</f>
        <v>0</v>
      </c>
      <c r="H7" s="338">
        <f>SUM(tanks!AV11)</f>
        <v>0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0</v>
      </c>
      <c r="F8" s="338">
        <f>SUM('EDl log'!T10)</f>
        <v>0</v>
      </c>
      <c r="G8" s="206">
        <f>-tanks!AW12</f>
        <v>0</v>
      </c>
      <c r="H8" s="338">
        <f>SUM(tanks!AV12)</f>
        <v>0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0</v>
      </c>
      <c r="F9" s="338">
        <f>SUM('EDl log'!T11)</f>
        <v>0</v>
      </c>
      <c r="G9" s="206">
        <f>-tanks!AW13</f>
        <v>0</v>
      </c>
      <c r="H9" s="338">
        <f>SUM(tanks!AV13)</f>
        <v>0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0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</v>
      </c>
      <c r="I22" s="10">
        <f>('B5'!AU25)*0.51</f>
        <v>0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</v>
      </c>
      <c r="I24" s="10">
        <f>('B5'!AU27)*0.51</f>
        <v>0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L31" sqref="L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0</v>
      </c>
      <c r="F4" s="206">
        <f>ELEC!K5</f>
        <v>0</v>
      </c>
      <c r="G4" s="206">
        <f>ELEC!I5</f>
        <v>0</v>
      </c>
      <c r="H4" s="206">
        <f>ELEC!E5</f>
        <v>0</v>
      </c>
      <c r="I4" s="206">
        <f>ELEC!G5</f>
        <v>0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0</v>
      </c>
      <c r="F5" s="206">
        <f>ELEC!K6</f>
        <v>0</v>
      </c>
      <c r="G5" s="206">
        <f>ELEC!I6</f>
        <v>0</v>
      </c>
      <c r="H5" s="206">
        <f>ELEC!E6</f>
        <v>0</v>
      </c>
      <c r="I5" s="206">
        <f>ELEC!G6</f>
        <v>0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0</v>
      </c>
      <c r="F6" s="206">
        <f>ELEC!K7</f>
        <v>0</v>
      </c>
      <c r="G6" s="206">
        <f>ELEC!I7</f>
        <v>0</v>
      </c>
      <c r="H6" s="206">
        <f>ELEC!E7</f>
        <v>0</v>
      </c>
      <c r="I6" s="206">
        <f>ELEC!G7</f>
        <v>0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0</v>
      </c>
      <c r="F7" s="206">
        <f>ELEC!K8</f>
        <v>0</v>
      </c>
      <c r="G7" s="206">
        <f>ELEC!I8</f>
        <v>0</v>
      </c>
      <c r="H7" s="206">
        <f>ELEC!E8</f>
        <v>0</v>
      </c>
      <c r="I7" s="206">
        <f>ELEC!G8</f>
        <v>0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0</v>
      </c>
      <c r="F8" s="206">
        <f>ELEC!K9</f>
        <v>0</v>
      </c>
      <c r="G8" s="206">
        <f>ELEC!I9</f>
        <v>0</v>
      </c>
      <c r="H8" s="206">
        <f>ELEC!E9</f>
        <v>0</v>
      </c>
      <c r="I8" s="206">
        <f>ELEC!G9</f>
        <v>0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0</v>
      </c>
      <c r="F9" s="206">
        <f>ELEC!K10</f>
        <v>0</v>
      </c>
      <c r="G9" s="206">
        <f>ELEC!I10</f>
        <v>0</v>
      </c>
      <c r="H9" s="206">
        <f>ELEC!E10</f>
        <v>0</v>
      </c>
      <c r="I9" s="206">
        <f>ELEC!G10</f>
        <v>0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Q1" zoomScale="85" zoomScaleNormal="85" zoomScaleSheetLayoutView="100" workbookViewId="0">
      <pane ySplit="1" topLeftCell="A2" activePane="bottomLeft" state="frozen"/>
      <selection activeCell="C1" sqref="C1"/>
      <selection pane="bottomLeft" activeCell="AF4" sqref="AF4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607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</v>
      </c>
      <c r="B5" s="464">
        <f>SUM(230*A5)</f>
        <v>0</v>
      </c>
      <c r="C5" s="471">
        <v>44046</v>
      </c>
      <c r="D5" s="458">
        <f t="shared" ref="D5:D33" si="9">D4</f>
        <v>32052926</v>
      </c>
      <c r="E5" s="319">
        <f t="shared" ref="E5:E32" si="10">D5-D4</f>
        <v>0</v>
      </c>
      <c r="F5" s="458">
        <f t="shared" ref="F5:L33" si="11">F4</f>
        <v>3813877</v>
      </c>
      <c r="G5" s="320">
        <f t="shared" si="0"/>
        <v>0</v>
      </c>
      <c r="H5" s="458">
        <f t="shared" si="11"/>
        <v>17602228</v>
      </c>
      <c r="I5" s="320">
        <f t="shared" ref="I5:I31" si="12">H5-H4</f>
        <v>0</v>
      </c>
      <c r="J5" s="458">
        <f t="shared" si="11"/>
        <v>28659468</v>
      </c>
      <c r="K5" s="320">
        <f t="shared" ref="K5:K31" si="13">J5-J4</f>
        <v>0</v>
      </c>
      <c r="L5" s="458">
        <f t="shared" si="11"/>
        <v>23468166</v>
      </c>
      <c r="M5" s="320">
        <f t="shared" ref="M5:M31" si="14">L5-L4</f>
        <v>0</v>
      </c>
      <c r="N5" s="318">
        <f t="shared" ref="N5:N31" si="15">M5+K5+I5+G5+E5</f>
        <v>0</v>
      </c>
      <c r="O5" s="480">
        <f t="shared" si="1"/>
        <v>0</v>
      </c>
      <c r="P5" s="458">
        <f t="shared" ref="P5:P33" si="16">P4</f>
        <v>16184</v>
      </c>
      <c r="Q5" s="481">
        <f>(P5-P4)*1000</f>
        <v>0</v>
      </c>
      <c r="R5" s="462">
        <f>N5-Q5</f>
        <v>0</v>
      </c>
      <c r="S5" s="458">
        <f t="shared" ref="S5:AC33" si="17">S4</f>
        <v>9298</v>
      </c>
      <c r="T5" s="482">
        <f t="shared" si="3"/>
        <v>0</v>
      </c>
      <c r="U5" s="458">
        <f t="shared" si="17"/>
        <v>239777</v>
      </c>
      <c r="V5" s="462">
        <f t="shared" ref="V5:V32" si="18">U5-U4</f>
        <v>0</v>
      </c>
      <c r="W5" s="458">
        <f t="shared" si="17"/>
        <v>32036</v>
      </c>
      <c r="X5" s="462">
        <f t="shared" si="4"/>
        <v>0</v>
      </c>
      <c r="Y5" s="458">
        <f t="shared" si="17"/>
        <v>669993</v>
      </c>
      <c r="Z5" s="462">
        <f>Y5-Y4</f>
        <v>0</v>
      </c>
      <c r="AA5" s="458">
        <f t="shared" si="17"/>
        <v>35377</v>
      </c>
      <c r="AB5" s="462">
        <f t="shared" ref="AB5:AB32" si="19">AA5-AA4</f>
        <v>0</v>
      </c>
      <c r="AC5" s="458">
        <f t="shared" si="17"/>
        <v>849402</v>
      </c>
      <c r="AD5" s="462">
        <f t="shared" ref="AD5:AD16" si="20">AC5-AC4</f>
        <v>0</v>
      </c>
      <c r="AE5" s="485">
        <f t="shared" si="7"/>
        <v>0</v>
      </c>
      <c r="AF5" s="486">
        <f t="shared" si="8"/>
        <v>0</v>
      </c>
      <c r="AG5" s="478">
        <f t="shared" si="5"/>
        <v>0</v>
      </c>
      <c r="AI5" s="479">
        <f>R5-'EDl log'!B3</f>
        <v>-206010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f t="shared" si="9"/>
        <v>32052926</v>
      </c>
      <c r="E6" s="319">
        <f t="shared" si="10"/>
        <v>0</v>
      </c>
      <c r="F6" s="458">
        <f t="shared" si="11"/>
        <v>3813877</v>
      </c>
      <c r="G6" s="320">
        <f t="shared" si="0"/>
        <v>0</v>
      </c>
      <c r="H6" s="458">
        <f t="shared" si="11"/>
        <v>17602228</v>
      </c>
      <c r="I6" s="320">
        <f t="shared" si="12"/>
        <v>0</v>
      </c>
      <c r="J6" s="458">
        <f t="shared" si="11"/>
        <v>28659468</v>
      </c>
      <c r="K6" s="320">
        <f t="shared" si="13"/>
        <v>0</v>
      </c>
      <c r="L6" s="458">
        <f t="shared" si="11"/>
        <v>23468166</v>
      </c>
      <c r="M6" s="320">
        <f t="shared" si="14"/>
        <v>0</v>
      </c>
      <c r="N6" s="318">
        <f t="shared" si="15"/>
        <v>0</v>
      </c>
      <c r="O6" s="480">
        <f t="shared" si="1"/>
        <v>0</v>
      </c>
      <c r="P6" s="458">
        <f t="shared" si="16"/>
        <v>16184</v>
      </c>
      <c r="Q6" s="462">
        <f t="shared" si="2"/>
        <v>0</v>
      </c>
      <c r="R6" s="462">
        <f t="shared" ref="R6:R31" si="21">N6-Q6</f>
        <v>0</v>
      </c>
      <c r="S6" s="458">
        <f t="shared" si="17"/>
        <v>9298</v>
      </c>
      <c r="T6" s="482">
        <f t="shared" si="3"/>
        <v>0</v>
      </c>
      <c r="U6" s="458">
        <f t="shared" si="17"/>
        <v>239777</v>
      </c>
      <c r="V6" s="462">
        <f t="shared" si="18"/>
        <v>0</v>
      </c>
      <c r="W6" s="458">
        <f t="shared" si="17"/>
        <v>32036</v>
      </c>
      <c r="X6" s="462">
        <f t="shared" si="4"/>
        <v>0</v>
      </c>
      <c r="Y6" s="458">
        <f t="shared" si="17"/>
        <v>669993</v>
      </c>
      <c r="Z6" s="462">
        <f t="shared" ref="Z6:Z30" si="22">Y6-Y5</f>
        <v>0</v>
      </c>
      <c r="AA6" s="458">
        <f t="shared" si="17"/>
        <v>35377</v>
      </c>
      <c r="AB6" s="462">
        <f t="shared" si="19"/>
        <v>0</v>
      </c>
      <c r="AC6" s="458">
        <f t="shared" si="17"/>
        <v>849402</v>
      </c>
      <c r="AD6" s="462">
        <f t="shared" si="20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-210695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f t="shared" si="9"/>
        <v>32052926</v>
      </c>
      <c r="E7" s="319">
        <f t="shared" si="10"/>
        <v>0</v>
      </c>
      <c r="F7" s="458">
        <f t="shared" si="11"/>
        <v>3813877</v>
      </c>
      <c r="G7" s="320">
        <f t="shared" si="0"/>
        <v>0</v>
      </c>
      <c r="H7" s="458">
        <f t="shared" si="11"/>
        <v>17602228</v>
      </c>
      <c r="I7" s="320">
        <f t="shared" si="12"/>
        <v>0</v>
      </c>
      <c r="J7" s="458">
        <f t="shared" si="11"/>
        <v>28659468</v>
      </c>
      <c r="K7" s="320">
        <f t="shared" si="13"/>
        <v>0</v>
      </c>
      <c r="L7" s="458">
        <f t="shared" si="11"/>
        <v>23468166</v>
      </c>
      <c r="M7" s="320">
        <f t="shared" si="14"/>
        <v>0</v>
      </c>
      <c r="N7" s="318">
        <f t="shared" si="15"/>
        <v>0</v>
      </c>
      <c r="O7" s="480">
        <f t="shared" si="1"/>
        <v>0</v>
      </c>
      <c r="P7" s="458">
        <f t="shared" si="16"/>
        <v>16184</v>
      </c>
      <c r="Q7" s="462">
        <f t="shared" si="2"/>
        <v>0</v>
      </c>
      <c r="R7" s="462">
        <f t="shared" si="21"/>
        <v>0</v>
      </c>
      <c r="S7" s="458">
        <f t="shared" si="17"/>
        <v>9298</v>
      </c>
      <c r="T7" s="482">
        <f t="shared" si="3"/>
        <v>0</v>
      </c>
      <c r="U7" s="458">
        <f t="shared" si="17"/>
        <v>239777</v>
      </c>
      <c r="V7" s="462">
        <f t="shared" si="18"/>
        <v>0</v>
      </c>
      <c r="W7" s="458">
        <f t="shared" si="17"/>
        <v>32036</v>
      </c>
      <c r="X7" s="462">
        <f t="shared" si="4"/>
        <v>0</v>
      </c>
      <c r="Y7" s="458">
        <f t="shared" si="17"/>
        <v>669993</v>
      </c>
      <c r="Z7" s="462">
        <f t="shared" si="22"/>
        <v>0</v>
      </c>
      <c r="AA7" s="458">
        <f t="shared" si="17"/>
        <v>35377</v>
      </c>
      <c r="AB7" s="462">
        <f t="shared" si="19"/>
        <v>0</v>
      </c>
      <c r="AC7" s="458">
        <f t="shared" si="17"/>
        <v>849402</v>
      </c>
      <c r="AD7" s="462">
        <f t="shared" si="20"/>
        <v>0</v>
      </c>
      <c r="AE7" s="485">
        <f t="shared" si="7"/>
        <v>0</v>
      </c>
      <c r="AF7" s="486">
        <f t="shared" si="8"/>
        <v>0</v>
      </c>
      <c r="AG7" s="478">
        <f t="shared" si="5"/>
        <v>0</v>
      </c>
      <c r="AI7" s="479">
        <f>R7-'EDl log'!B5</f>
        <v>-218655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f t="shared" si="9"/>
        <v>32052926</v>
      </c>
      <c r="E8" s="319">
        <f t="shared" si="10"/>
        <v>0</v>
      </c>
      <c r="F8" s="458">
        <f t="shared" si="11"/>
        <v>3813877</v>
      </c>
      <c r="G8" s="320">
        <f t="shared" si="0"/>
        <v>0</v>
      </c>
      <c r="H8" s="458">
        <f t="shared" si="11"/>
        <v>17602228</v>
      </c>
      <c r="I8" s="320">
        <f t="shared" si="12"/>
        <v>0</v>
      </c>
      <c r="J8" s="458">
        <f t="shared" si="11"/>
        <v>28659468</v>
      </c>
      <c r="K8" s="320">
        <f t="shared" si="13"/>
        <v>0</v>
      </c>
      <c r="L8" s="458">
        <f t="shared" si="11"/>
        <v>23468166</v>
      </c>
      <c r="M8" s="320">
        <f t="shared" si="14"/>
        <v>0</v>
      </c>
      <c r="N8" s="318">
        <f t="shared" si="15"/>
        <v>0</v>
      </c>
      <c r="O8" s="480">
        <f t="shared" si="1"/>
        <v>0</v>
      </c>
      <c r="P8" s="458">
        <f t="shared" si="16"/>
        <v>16184</v>
      </c>
      <c r="Q8" s="462">
        <f t="shared" si="2"/>
        <v>0</v>
      </c>
      <c r="R8" s="462">
        <f t="shared" si="21"/>
        <v>0</v>
      </c>
      <c r="S8" s="458">
        <f t="shared" si="17"/>
        <v>9298</v>
      </c>
      <c r="T8" s="482">
        <f t="shared" si="3"/>
        <v>0</v>
      </c>
      <c r="U8" s="458">
        <f t="shared" si="17"/>
        <v>239777</v>
      </c>
      <c r="V8" s="462">
        <f t="shared" si="18"/>
        <v>0</v>
      </c>
      <c r="W8" s="458">
        <f t="shared" si="17"/>
        <v>32036</v>
      </c>
      <c r="X8" s="462">
        <f t="shared" si="4"/>
        <v>0</v>
      </c>
      <c r="Y8" s="458">
        <f t="shared" si="17"/>
        <v>669993</v>
      </c>
      <c r="Z8" s="462">
        <f t="shared" si="22"/>
        <v>0</v>
      </c>
      <c r="AA8" s="458">
        <f t="shared" si="17"/>
        <v>35377</v>
      </c>
      <c r="AB8" s="462">
        <f t="shared" si="19"/>
        <v>0</v>
      </c>
      <c r="AC8" s="458">
        <f t="shared" si="17"/>
        <v>849402</v>
      </c>
      <c r="AD8" s="462">
        <f t="shared" si="20"/>
        <v>0</v>
      </c>
      <c r="AE8" s="485">
        <f t="shared" si="7"/>
        <v>0</v>
      </c>
      <c r="AF8" s="486">
        <f t="shared" si="8"/>
        <v>0</v>
      </c>
      <c r="AG8" s="478">
        <f t="shared" si="5"/>
        <v>0</v>
      </c>
      <c r="AI8" s="479">
        <f>R8-'EDl log'!B6</f>
        <v>-218655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f t="shared" si="9"/>
        <v>32052926</v>
      </c>
      <c r="E9" s="319">
        <f t="shared" si="10"/>
        <v>0</v>
      </c>
      <c r="F9" s="458">
        <f t="shared" si="11"/>
        <v>3813877</v>
      </c>
      <c r="G9" s="320">
        <f t="shared" si="0"/>
        <v>0</v>
      </c>
      <c r="H9" s="458">
        <f t="shared" si="11"/>
        <v>17602228</v>
      </c>
      <c r="I9" s="320">
        <f t="shared" si="12"/>
        <v>0</v>
      </c>
      <c r="J9" s="458">
        <f t="shared" si="11"/>
        <v>28659468</v>
      </c>
      <c r="K9" s="320">
        <f t="shared" si="13"/>
        <v>0</v>
      </c>
      <c r="L9" s="458">
        <f t="shared" si="11"/>
        <v>23468166</v>
      </c>
      <c r="M9" s="320">
        <f t="shared" si="14"/>
        <v>0</v>
      </c>
      <c r="N9" s="318">
        <f t="shared" si="15"/>
        <v>0</v>
      </c>
      <c r="O9" s="480">
        <f t="shared" si="1"/>
        <v>0</v>
      </c>
      <c r="P9" s="458">
        <f t="shared" si="16"/>
        <v>16184</v>
      </c>
      <c r="Q9" s="462">
        <f t="shared" si="2"/>
        <v>0</v>
      </c>
      <c r="R9" s="462">
        <f t="shared" si="21"/>
        <v>0</v>
      </c>
      <c r="S9" s="458">
        <f t="shared" si="17"/>
        <v>9298</v>
      </c>
      <c r="T9" s="482">
        <f t="shared" si="3"/>
        <v>0</v>
      </c>
      <c r="U9" s="458">
        <f t="shared" si="17"/>
        <v>239777</v>
      </c>
      <c r="V9" s="462">
        <f t="shared" si="18"/>
        <v>0</v>
      </c>
      <c r="W9" s="458">
        <f t="shared" si="17"/>
        <v>32036</v>
      </c>
      <c r="X9" s="462">
        <f t="shared" ref="X9:X32" si="23">W9-W8</f>
        <v>0</v>
      </c>
      <c r="Y9" s="458">
        <f t="shared" si="17"/>
        <v>669993</v>
      </c>
      <c r="Z9" s="462">
        <f t="shared" si="22"/>
        <v>0</v>
      </c>
      <c r="AA9" s="458">
        <f t="shared" si="17"/>
        <v>35377</v>
      </c>
      <c r="AB9" s="462">
        <f t="shared" si="19"/>
        <v>0</v>
      </c>
      <c r="AC9" s="458">
        <f t="shared" si="17"/>
        <v>849402</v>
      </c>
      <c r="AD9" s="462">
        <f t="shared" si="20"/>
        <v>0</v>
      </c>
      <c r="AE9" s="485">
        <f t="shared" si="7"/>
        <v>0</v>
      </c>
      <c r="AF9" s="486">
        <f t="shared" si="8"/>
        <v>0</v>
      </c>
      <c r="AG9" s="478">
        <f t="shared" si="5"/>
        <v>0</v>
      </c>
      <c r="AI9" s="479">
        <f>R9-'EDl log'!B7</f>
        <v>-218655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f t="shared" si="9"/>
        <v>32052926</v>
      </c>
      <c r="E10" s="319">
        <f t="shared" si="10"/>
        <v>0</v>
      </c>
      <c r="F10" s="458">
        <f t="shared" si="11"/>
        <v>3813877</v>
      </c>
      <c r="G10" s="320">
        <f t="shared" si="0"/>
        <v>0</v>
      </c>
      <c r="H10" s="458">
        <f t="shared" si="11"/>
        <v>17602228</v>
      </c>
      <c r="I10" s="320">
        <f t="shared" si="12"/>
        <v>0</v>
      </c>
      <c r="J10" s="458">
        <f t="shared" si="11"/>
        <v>28659468</v>
      </c>
      <c r="K10" s="320">
        <f t="shared" si="13"/>
        <v>0</v>
      </c>
      <c r="L10" s="458">
        <f t="shared" si="11"/>
        <v>23468166</v>
      </c>
      <c r="M10" s="320">
        <f t="shared" si="14"/>
        <v>0</v>
      </c>
      <c r="N10" s="318">
        <f t="shared" si="15"/>
        <v>0</v>
      </c>
      <c r="O10" s="480">
        <f t="shared" ref="O10:O32" si="24">IF(B10&gt;0,N10/B10,0)</f>
        <v>0</v>
      </c>
      <c r="P10" s="458">
        <f t="shared" si="16"/>
        <v>16184</v>
      </c>
      <c r="Q10" s="462">
        <f t="shared" si="2"/>
        <v>0</v>
      </c>
      <c r="R10" s="462">
        <f t="shared" si="21"/>
        <v>0</v>
      </c>
      <c r="S10" s="458">
        <f t="shared" si="17"/>
        <v>9298</v>
      </c>
      <c r="T10" s="482">
        <f t="shared" si="3"/>
        <v>0</v>
      </c>
      <c r="U10" s="458">
        <f t="shared" si="17"/>
        <v>239777</v>
      </c>
      <c r="V10" s="462">
        <f t="shared" si="18"/>
        <v>0</v>
      </c>
      <c r="W10" s="458">
        <f t="shared" si="17"/>
        <v>32036</v>
      </c>
      <c r="X10" s="462">
        <f t="shared" si="23"/>
        <v>0</v>
      </c>
      <c r="Y10" s="458">
        <f t="shared" si="17"/>
        <v>669993</v>
      </c>
      <c r="Z10" s="462">
        <f t="shared" si="22"/>
        <v>0</v>
      </c>
      <c r="AA10" s="458">
        <f t="shared" si="17"/>
        <v>35377</v>
      </c>
      <c r="AB10" s="462">
        <f t="shared" si="19"/>
        <v>0</v>
      </c>
      <c r="AC10" s="458">
        <f t="shared" si="17"/>
        <v>849402</v>
      </c>
      <c r="AD10" s="462">
        <f t="shared" si="20"/>
        <v>0</v>
      </c>
      <c r="AE10" s="485">
        <f t="shared" si="7"/>
        <v>0</v>
      </c>
      <c r="AF10" s="486">
        <f t="shared" si="8"/>
        <v>0</v>
      </c>
      <c r="AG10" s="478">
        <f t="shared" ref="AG10:AG32" si="25">IF(AE10&gt;0,AF10/AE10,0)</f>
        <v>0</v>
      </c>
      <c r="AI10" s="479">
        <f>R10-'EDl log'!B8</f>
        <v>-218655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f t="shared" si="9"/>
        <v>32052926</v>
      </c>
      <c r="E11" s="319">
        <f t="shared" si="10"/>
        <v>0</v>
      </c>
      <c r="F11" s="458">
        <f t="shared" si="11"/>
        <v>3813877</v>
      </c>
      <c r="G11" s="320">
        <f t="shared" si="0"/>
        <v>0</v>
      </c>
      <c r="H11" s="458">
        <f t="shared" si="11"/>
        <v>17602228</v>
      </c>
      <c r="I11" s="320">
        <f t="shared" si="12"/>
        <v>0</v>
      </c>
      <c r="J11" s="458">
        <f t="shared" si="11"/>
        <v>28659468</v>
      </c>
      <c r="K11" s="320">
        <f t="shared" si="13"/>
        <v>0</v>
      </c>
      <c r="L11" s="458">
        <f t="shared" si="11"/>
        <v>23468166</v>
      </c>
      <c r="M11" s="320">
        <f t="shared" si="14"/>
        <v>0</v>
      </c>
      <c r="N11" s="318">
        <f>M11+K11+I11+G11+E11</f>
        <v>0</v>
      </c>
      <c r="O11" s="480">
        <f t="shared" si="24"/>
        <v>0</v>
      </c>
      <c r="P11" s="458">
        <f t="shared" si="16"/>
        <v>16184</v>
      </c>
      <c r="Q11" s="462">
        <f t="shared" si="2"/>
        <v>0</v>
      </c>
      <c r="R11" s="462">
        <f t="shared" si="21"/>
        <v>0</v>
      </c>
      <c r="S11" s="458">
        <f t="shared" si="17"/>
        <v>9298</v>
      </c>
      <c r="T11" s="482">
        <f t="shared" si="3"/>
        <v>0</v>
      </c>
      <c r="U11" s="458">
        <f t="shared" si="17"/>
        <v>239777</v>
      </c>
      <c r="V11" s="462">
        <f t="shared" si="18"/>
        <v>0</v>
      </c>
      <c r="W11" s="458">
        <f t="shared" si="17"/>
        <v>32036</v>
      </c>
      <c r="X11" s="462">
        <f t="shared" si="23"/>
        <v>0</v>
      </c>
      <c r="Y11" s="458">
        <f t="shared" si="17"/>
        <v>669993</v>
      </c>
      <c r="Z11" s="462">
        <f t="shared" si="22"/>
        <v>0</v>
      </c>
      <c r="AA11" s="458">
        <f t="shared" si="17"/>
        <v>35377</v>
      </c>
      <c r="AB11" s="462">
        <f t="shared" si="19"/>
        <v>0</v>
      </c>
      <c r="AC11" s="458">
        <f t="shared" si="17"/>
        <v>849402</v>
      </c>
      <c r="AD11" s="462">
        <f t="shared" si="20"/>
        <v>0</v>
      </c>
      <c r="AE11" s="485">
        <f t="shared" si="7"/>
        <v>0</v>
      </c>
      <c r="AF11" s="486">
        <f t="shared" si="8"/>
        <v>0</v>
      </c>
      <c r="AG11" s="478">
        <f t="shared" si="25"/>
        <v>0</v>
      </c>
      <c r="AI11" s="479">
        <f>R11-'EDl log'!B9</f>
        <v>-218655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f t="shared" si="9"/>
        <v>32052926</v>
      </c>
      <c r="E12" s="319">
        <f t="shared" si="10"/>
        <v>0</v>
      </c>
      <c r="F12" s="458">
        <f t="shared" si="11"/>
        <v>3813877</v>
      </c>
      <c r="G12" s="320">
        <f t="shared" si="0"/>
        <v>0</v>
      </c>
      <c r="H12" s="458">
        <f t="shared" si="11"/>
        <v>17602228</v>
      </c>
      <c r="I12" s="320">
        <f t="shared" si="12"/>
        <v>0</v>
      </c>
      <c r="J12" s="458">
        <f t="shared" si="11"/>
        <v>28659468</v>
      </c>
      <c r="K12" s="320">
        <f t="shared" si="13"/>
        <v>0</v>
      </c>
      <c r="L12" s="458">
        <f t="shared" si="11"/>
        <v>23468166</v>
      </c>
      <c r="M12" s="320">
        <f t="shared" si="14"/>
        <v>0</v>
      </c>
      <c r="N12" s="318">
        <f>M12+K12+I12+G12+E12</f>
        <v>0</v>
      </c>
      <c r="O12" s="480">
        <f t="shared" si="24"/>
        <v>0</v>
      </c>
      <c r="P12" s="458">
        <f t="shared" si="16"/>
        <v>16184</v>
      </c>
      <c r="Q12" s="462">
        <f t="shared" si="2"/>
        <v>0</v>
      </c>
      <c r="R12" s="462">
        <f t="shared" si="21"/>
        <v>0</v>
      </c>
      <c r="S12" s="458">
        <f t="shared" si="17"/>
        <v>9298</v>
      </c>
      <c r="T12" s="482">
        <f t="shared" si="3"/>
        <v>0</v>
      </c>
      <c r="U12" s="458">
        <f t="shared" si="17"/>
        <v>239777</v>
      </c>
      <c r="V12" s="462">
        <f t="shared" si="18"/>
        <v>0</v>
      </c>
      <c r="W12" s="458">
        <f t="shared" si="17"/>
        <v>32036</v>
      </c>
      <c r="X12" s="462">
        <f t="shared" si="23"/>
        <v>0</v>
      </c>
      <c r="Y12" s="458">
        <f t="shared" si="17"/>
        <v>669993</v>
      </c>
      <c r="Z12" s="462">
        <f t="shared" si="22"/>
        <v>0</v>
      </c>
      <c r="AA12" s="458">
        <f t="shared" si="17"/>
        <v>35377</v>
      </c>
      <c r="AB12" s="462">
        <f t="shared" si="19"/>
        <v>0</v>
      </c>
      <c r="AC12" s="458">
        <f t="shared" si="17"/>
        <v>849402</v>
      </c>
      <c r="AD12" s="462">
        <f t="shared" si="20"/>
        <v>0</v>
      </c>
      <c r="AE12" s="485">
        <f t="shared" si="7"/>
        <v>0</v>
      </c>
      <c r="AF12" s="486">
        <f t="shared" si="8"/>
        <v>0</v>
      </c>
      <c r="AG12" s="478">
        <f t="shared" si="25"/>
        <v>0</v>
      </c>
      <c r="AI12" s="479">
        <f>R12-'EDl log'!B10</f>
        <v>-218655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f t="shared" si="9"/>
        <v>32052926</v>
      </c>
      <c r="E13" s="319">
        <f t="shared" si="10"/>
        <v>0</v>
      </c>
      <c r="F13" s="458">
        <f t="shared" si="11"/>
        <v>3813877</v>
      </c>
      <c r="G13" s="320">
        <f t="shared" si="0"/>
        <v>0</v>
      </c>
      <c r="H13" s="458">
        <f t="shared" si="11"/>
        <v>17602228</v>
      </c>
      <c r="I13" s="320">
        <f t="shared" si="12"/>
        <v>0</v>
      </c>
      <c r="J13" s="458">
        <f t="shared" si="11"/>
        <v>28659468</v>
      </c>
      <c r="K13" s="320">
        <f t="shared" si="13"/>
        <v>0</v>
      </c>
      <c r="L13" s="458">
        <f t="shared" si="11"/>
        <v>23468166</v>
      </c>
      <c r="M13" s="320">
        <f t="shared" si="14"/>
        <v>0</v>
      </c>
      <c r="N13" s="318">
        <f t="shared" si="15"/>
        <v>0</v>
      </c>
      <c r="O13" s="480">
        <f t="shared" si="24"/>
        <v>0</v>
      </c>
      <c r="P13" s="458">
        <f t="shared" si="16"/>
        <v>16184</v>
      </c>
      <c r="Q13" s="462">
        <f t="shared" ref="Q13:Q31" si="26">(P13-P12)*1000</f>
        <v>0</v>
      </c>
      <c r="R13" s="462">
        <f t="shared" si="21"/>
        <v>0</v>
      </c>
      <c r="S13" s="458">
        <f t="shared" si="17"/>
        <v>9298</v>
      </c>
      <c r="T13" s="482">
        <f t="shared" si="3"/>
        <v>0</v>
      </c>
      <c r="U13" s="458">
        <f t="shared" si="17"/>
        <v>239777</v>
      </c>
      <c r="V13" s="462">
        <f t="shared" si="18"/>
        <v>0</v>
      </c>
      <c r="W13" s="458">
        <f t="shared" si="17"/>
        <v>32036</v>
      </c>
      <c r="X13" s="462">
        <f t="shared" si="23"/>
        <v>0</v>
      </c>
      <c r="Y13" s="458">
        <f t="shared" si="17"/>
        <v>669993</v>
      </c>
      <c r="Z13" s="462">
        <f t="shared" si="22"/>
        <v>0</v>
      </c>
      <c r="AA13" s="458">
        <f t="shared" si="17"/>
        <v>35377</v>
      </c>
      <c r="AB13" s="462">
        <f t="shared" si="19"/>
        <v>0</v>
      </c>
      <c r="AC13" s="458">
        <f t="shared" si="17"/>
        <v>849402</v>
      </c>
      <c r="AD13" s="462">
        <f t="shared" si="20"/>
        <v>0</v>
      </c>
      <c r="AE13" s="485">
        <f t="shared" si="7"/>
        <v>0</v>
      </c>
      <c r="AF13" s="486">
        <f t="shared" si="8"/>
        <v>0</v>
      </c>
      <c r="AG13" s="478">
        <f t="shared" si="25"/>
        <v>0</v>
      </c>
      <c r="AI13" s="479">
        <f>R13-'EDl log'!B11</f>
        <v>-218655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f t="shared" si="9"/>
        <v>32052926</v>
      </c>
      <c r="E14" s="319">
        <f t="shared" si="10"/>
        <v>0</v>
      </c>
      <c r="F14" s="458">
        <f t="shared" si="11"/>
        <v>3813877</v>
      </c>
      <c r="G14" s="320">
        <f t="shared" si="0"/>
        <v>0</v>
      </c>
      <c r="H14" s="458">
        <f t="shared" si="11"/>
        <v>17602228</v>
      </c>
      <c r="I14" s="320">
        <f t="shared" si="12"/>
        <v>0</v>
      </c>
      <c r="J14" s="458">
        <f t="shared" si="11"/>
        <v>28659468</v>
      </c>
      <c r="K14" s="320">
        <f t="shared" si="13"/>
        <v>0</v>
      </c>
      <c r="L14" s="458">
        <f t="shared" si="11"/>
        <v>23468166</v>
      </c>
      <c r="M14" s="320">
        <f t="shared" si="14"/>
        <v>0</v>
      </c>
      <c r="N14" s="318">
        <f t="shared" si="15"/>
        <v>0</v>
      </c>
      <c r="O14" s="480">
        <f t="shared" si="24"/>
        <v>0</v>
      </c>
      <c r="P14" s="458">
        <f t="shared" si="16"/>
        <v>16184</v>
      </c>
      <c r="Q14" s="462">
        <f t="shared" si="26"/>
        <v>0</v>
      </c>
      <c r="R14" s="462">
        <f t="shared" si="21"/>
        <v>0</v>
      </c>
      <c r="S14" s="458">
        <f t="shared" si="17"/>
        <v>9298</v>
      </c>
      <c r="T14" s="482">
        <f t="shared" si="3"/>
        <v>0</v>
      </c>
      <c r="U14" s="458">
        <f t="shared" si="17"/>
        <v>239777</v>
      </c>
      <c r="V14" s="462">
        <f t="shared" si="18"/>
        <v>0</v>
      </c>
      <c r="W14" s="458">
        <f t="shared" si="17"/>
        <v>32036</v>
      </c>
      <c r="X14" s="462">
        <f t="shared" si="23"/>
        <v>0</v>
      </c>
      <c r="Y14" s="458">
        <f t="shared" si="17"/>
        <v>669993</v>
      </c>
      <c r="Z14" s="462">
        <f t="shared" si="22"/>
        <v>0</v>
      </c>
      <c r="AA14" s="458">
        <f t="shared" si="17"/>
        <v>35377</v>
      </c>
      <c r="AB14" s="462">
        <f t="shared" si="19"/>
        <v>0</v>
      </c>
      <c r="AC14" s="458">
        <f t="shared" si="17"/>
        <v>849402</v>
      </c>
      <c r="AD14" s="462">
        <f t="shared" si="20"/>
        <v>0</v>
      </c>
      <c r="AE14" s="485">
        <f t="shared" si="7"/>
        <v>0</v>
      </c>
      <c r="AF14" s="486">
        <f t="shared" si="8"/>
        <v>0</v>
      </c>
      <c r="AG14" s="478">
        <f t="shared" si="25"/>
        <v>0</v>
      </c>
      <c r="AI14" s="479">
        <f>R14-'EDl log'!B12</f>
        <v>-218655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f t="shared" si="9"/>
        <v>32052926</v>
      </c>
      <c r="E15" s="319">
        <f t="shared" si="10"/>
        <v>0</v>
      </c>
      <c r="F15" s="458">
        <f t="shared" si="11"/>
        <v>3813877</v>
      </c>
      <c r="G15" s="320">
        <f t="shared" si="0"/>
        <v>0</v>
      </c>
      <c r="H15" s="458">
        <f t="shared" si="11"/>
        <v>17602228</v>
      </c>
      <c r="I15" s="320">
        <f t="shared" si="12"/>
        <v>0</v>
      </c>
      <c r="J15" s="458">
        <f t="shared" si="11"/>
        <v>28659468</v>
      </c>
      <c r="K15" s="320">
        <f t="shared" si="13"/>
        <v>0</v>
      </c>
      <c r="L15" s="458">
        <f t="shared" si="11"/>
        <v>23468166</v>
      </c>
      <c r="M15" s="320">
        <f t="shared" si="14"/>
        <v>0</v>
      </c>
      <c r="N15" s="318">
        <f t="shared" si="15"/>
        <v>0</v>
      </c>
      <c r="O15" s="480">
        <f t="shared" si="24"/>
        <v>0</v>
      </c>
      <c r="P15" s="458">
        <f t="shared" si="16"/>
        <v>16184</v>
      </c>
      <c r="Q15" s="462">
        <f>(P15-P14)*1000</f>
        <v>0</v>
      </c>
      <c r="R15" s="462">
        <f t="shared" si="21"/>
        <v>0</v>
      </c>
      <c r="S15" s="458">
        <f t="shared" si="17"/>
        <v>9298</v>
      </c>
      <c r="T15" s="482">
        <f t="shared" si="3"/>
        <v>0</v>
      </c>
      <c r="U15" s="458">
        <f t="shared" si="17"/>
        <v>239777</v>
      </c>
      <c r="V15" s="462">
        <f t="shared" si="18"/>
        <v>0</v>
      </c>
      <c r="W15" s="458">
        <f t="shared" si="17"/>
        <v>32036</v>
      </c>
      <c r="X15" s="462">
        <f t="shared" si="23"/>
        <v>0</v>
      </c>
      <c r="Y15" s="458">
        <f t="shared" si="17"/>
        <v>669993</v>
      </c>
      <c r="Z15" s="462">
        <f t="shared" si="22"/>
        <v>0</v>
      </c>
      <c r="AA15" s="458">
        <f t="shared" si="17"/>
        <v>35377</v>
      </c>
      <c r="AB15" s="462">
        <f t="shared" si="19"/>
        <v>0</v>
      </c>
      <c r="AC15" s="458">
        <f t="shared" si="17"/>
        <v>849402</v>
      </c>
      <c r="AD15" s="462">
        <f t="shared" si="20"/>
        <v>0</v>
      </c>
      <c r="AE15" s="485">
        <f t="shared" si="7"/>
        <v>0</v>
      </c>
      <c r="AF15" s="486">
        <f t="shared" si="8"/>
        <v>0</v>
      </c>
      <c r="AG15" s="478">
        <f t="shared" si="25"/>
        <v>0</v>
      </c>
      <c r="AI15" s="479">
        <f>R15-'EDl log'!B13</f>
        <v>-218655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f t="shared" si="9"/>
        <v>32052926</v>
      </c>
      <c r="E16" s="319">
        <f t="shared" si="10"/>
        <v>0</v>
      </c>
      <c r="F16" s="458">
        <f t="shared" si="11"/>
        <v>3813877</v>
      </c>
      <c r="G16" s="320">
        <f t="shared" si="0"/>
        <v>0</v>
      </c>
      <c r="H16" s="458">
        <f t="shared" si="11"/>
        <v>17602228</v>
      </c>
      <c r="I16" s="320">
        <f t="shared" si="12"/>
        <v>0</v>
      </c>
      <c r="J16" s="458">
        <f t="shared" si="11"/>
        <v>28659468</v>
      </c>
      <c r="K16" s="320">
        <f t="shared" si="13"/>
        <v>0</v>
      </c>
      <c r="L16" s="458">
        <f t="shared" si="11"/>
        <v>23468166</v>
      </c>
      <c r="M16" s="320">
        <f t="shared" si="14"/>
        <v>0</v>
      </c>
      <c r="N16" s="318">
        <f t="shared" si="15"/>
        <v>0</v>
      </c>
      <c r="O16" s="480">
        <f t="shared" si="24"/>
        <v>0</v>
      </c>
      <c r="P16" s="458">
        <f t="shared" si="16"/>
        <v>16184</v>
      </c>
      <c r="Q16" s="462">
        <f>(P16-P15)*1000</f>
        <v>0</v>
      </c>
      <c r="R16" s="462">
        <f t="shared" si="21"/>
        <v>0</v>
      </c>
      <c r="S16" s="458">
        <f t="shared" si="17"/>
        <v>9298</v>
      </c>
      <c r="T16" s="482">
        <f t="shared" si="3"/>
        <v>0</v>
      </c>
      <c r="U16" s="458">
        <f t="shared" si="17"/>
        <v>239777</v>
      </c>
      <c r="V16" s="462">
        <f t="shared" si="18"/>
        <v>0</v>
      </c>
      <c r="W16" s="458">
        <f t="shared" si="17"/>
        <v>32036</v>
      </c>
      <c r="X16" s="462">
        <f>W16-W15</f>
        <v>0</v>
      </c>
      <c r="Y16" s="458">
        <f t="shared" si="17"/>
        <v>669993</v>
      </c>
      <c r="Z16" s="462">
        <f>Y16-Y15</f>
        <v>0</v>
      </c>
      <c r="AA16" s="458">
        <f t="shared" si="17"/>
        <v>35377</v>
      </c>
      <c r="AB16" s="462">
        <f>AA16-AA15</f>
        <v>0</v>
      </c>
      <c r="AC16" s="458">
        <f t="shared" si="17"/>
        <v>849402</v>
      </c>
      <c r="AD16" s="462">
        <f t="shared" si="20"/>
        <v>0</v>
      </c>
      <c r="AE16" s="485">
        <f t="shared" si="7"/>
        <v>0</v>
      </c>
      <c r="AF16" s="486">
        <f t="shared" si="8"/>
        <v>0</v>
      </c>
      <c r="AG16" s="478">
        <f t="shared" si="25"/>
        <v>0</v>
      </c>
      <c r="AI16" s="479">
        <f>R16-'EDl log'!B14</f>
        <v>-218655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f t="shared" si="9"/>
        <v>32052926</v>
      </c>
      <c r="E17" s="319">
        <f t="shared" si="10"/>
        <v>0</v>
      </c>
      <c r="F17" s="458">
        <f t="shared" si="11"/>
        <v>3813877</v>
      </c>
      <c r="G17" s="320">
        <f t="shared" si="0"/>
        <v>0</v>
      </c>
      <c r="H17" s="458">
        <f t="shared" si="11"/>
        <v>17602228</v>
      </c>
      <c r="I17" s="320">
        <f t="shared" si="12"/>
        <v>0</v>
      </c>
      <c r="J17" s="458">
        <f t="shared" si="11"/>
        <v>28659468</v>
      </c>
      <c r="K17" s="320">
        <f t="shared" si="13"/>
        <v>0</v>
      </c>
      <c r="L17" s="458">
        <f t="shared" si="11"/>
        <v>23468166</v>
      </c>
      <c r="M17" s="320">
        <f t="shared" si="14"/>
        <v>0</v>
      </c>
      <c r="N17" s="318">
        <f t="shared" si="15"/>
        <v>0</v>
      </c>
      <c r="O17" s="480">
        <f t="shared" si="24"/>
        <v>0</v>
      </c>
      <c r="P17" s="458">
        <f t="shared" si="16"/>
        <v>16184</v>
      </c>
      <c r="Q17" s="462">
        <f t="shared" si="26"/>
        <v>0</v>
      </c>
      <c r="R17" s="462">
        <f t="shared" si="21"/>
        <v>0</v>
      </c>
      <c r="S17" s="458">
        <f t="shared" si="17"/>
        <v>9298</v>
      </c>
      <c r="T17" s="482">
        <f t="shared" si="3"/>
        <v>0</v>
      </c>
      <c r="U17" s="458">
        <f t="shared" si="17"/>
        <v>239777</v>
      </c>
      <c r="V17" s="462">
        <f t="shared" si="18"/>
        <v>0</v>
      </c>
      <c r="W17" s="458">
        <f t="shared" si="17"/>
        <v>32036</v>
      </c>
      <c r="X17" s="462">
        <f t="shared" si="23"/>
        <v>0</v>
      </c>
      <c r="Y17" s="458">
        <f t="shared" si="17"/>
        <v>669993</v>
      </c>
      <c r="Z17" s="462">
        <f t="shared" si="22"/>
        <v>0</v>
      </c>
      <c r="AA17" s="458">
        <f t="shared" si="17"/>
        <v>35377</v>
      </c>
      <c r="AB17" s="462">
        <f t="shared" si="19"/>
        <v>0</v>
      </c>
      <c r="AC17" s="458">
        <f t="shared" si="17"/>
        <v>849402</v>
      </c>
      <c r="AD17" s="462">
        <f t="shared" ref="AD17:AD32" si="27">AC17-AC16</f>
        <v>0</v>
      </c>
      <c r="AE17" s="485">
        <f t="shared" si="7"/>
        <v>0</v>
      </c>
      <c r="AF17" s="486">
        <f t="shared" si="8"/>
        <v>0</v>
      </c>
      <c r="AG17" s="478">
        <f t="shared" si="25"/>
        <v>0</v>
      </c>
      <c r="AI17" s="479">
        <f>R17-'EDl log'!B15</f>
        <v>-218655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f t="shared" si="9"/>
        <v>32052926</v>
      </c>
      <c r="E18" s="319">
        <f t="shared" si="10"/>
        <v>0</v>
      </c>
      <c r="F18" s="458">
        <f t="shared" si="11"/>
        <v>3813877</v>
      </c>
      <c r="G18" s="320">
        <f t="shared" si="0"/>
        <v>0</v>
      </c>
      <c r="H18" s="458">
        <f t="shared" si="11"/>
        <v>17602228</v>
      </c>
      <c r="I18" s="320">
        <f t="shared" si="12"/>
        <v>0</v>
      </c>
      <c r="J18" s="458">
        <f t="shared" si="11"/>
        <v>28659468</v>
      </c>
      <c r="K18" s="320">
        <f t="shared" si="13"/>
        <v>0</v>
      </c>
      <c r="L18" s="458">
        <f t="shared" si="11"/>
        <v>23468166</v>
      </c>
      <c r="M18" s="320">
        <f t="shared" si="14"/>
        <v>0</v>
      </c>
      <c r="N18" s="318">
        <f t="shared" si="15"/>
        <v>0</v>
      </c>
      <c r="O18" s="480">
        <f t="shared" si="24"/>
        <v>0</v>
      </c>
      <c r="P18" s="458">
        <f t="shared" si="16"/>
        <v>16184</v>
      </c>
      <c r="Q18" s="462">
        <f t="shared" si="26"/>
        <v>0</v>
      </c>
      <c r="R18" s="462">
        <f t="shared" si="21"/>
        <v>0</v>
      </c>
      <c r="S18" s="458">
        <f t="shared" si="17"/>
        <v>9298</v>
      </c>
      <c r="T18" s="482">
        <f t="shared" si="3"/>
        <v>0</v>
      </c>
      <c r="U18" s="458">
        <f t="shared" si="17"/>
        <v>239777</v>
      </c>
      <c r="V18" s="462">
        <f t="shared" si="18"/>
        <v>0</v>
      </c>
      <c r="W18" s="458">
        <f t="shared" si="17"/>
        <v>32036</v>
      </c>
      <c r="X18" s="462">
        <f t="shared" si="23"/>
        <v>0</v>
      </c>
      <c r="Y18" s="458">
        <f t="shared" si="17"/>
        <v>669993</v>
      </c>
      <c r="Z18" s="462">
        <f t="shared" si="22"/>
        <v>0</v>
      </c>
      <c r="AA18" s="458">
        <f t="shared" si="17"/>
        <v>35377</v>
      </c>
      <c r="AB18" s="462">
        <f t="shared" si="19"/>
        <v>0</v>
      </c>
      <c r="AC18" s="458">
        <f t="shared" si="17"/>
        <v>849402</v>
      </c>
      <c r="AD18" s="462">
        <f t="shared" si="27"/>
        <v>0</v>
      </c>
      <c r="AE18" s="485">
        <f t="shared" si="7"/>
        <v>0</v>
      </c>
      <c r="AF18" s="486">
        <f t="shared" si="8"/>
        <v>0</v>
      </c>
      <c r="AG18" s="478">
        <f t="shared" si="25"/>
        <v>0</v>
      </c>
      <c r="AI18" s="479">
        <f>R18-'EDl log'!B16</f>
        <v>-218655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f t="shared" si="9"/>
        <v>32052926</v>
      </c>
      <c r="E19" s="319">
        <f t="shared" si="10"/>
        <v>0</v>
      </c>
      <c r="F19" s="458">
        <f t="shared" si="11"/>
        <v>3813877</v>
      </c>
      <c r="G19" s="320">
        <f t="shared" si="0"/>
        <v>0</v>
      </c>
      <c r="H19" s="458">
        <f t="shared" si="11"/>
        <v>17602228</v>
      </c>
      <c r="I19" s="320">
        <f t="shared" si="12"/>
        <v>0</v>
      </c>
      <c r="J19" s="458">
        <f t="shared" si="11"/>
        <v>28659468</v>
      </c>
      <c r="K19" s="320">
        <f t="shared" si="13"/>
        <v>0</v>
      </c>
      <c r="L19" s="458">
        <f t="shared" si="11"/>
        <v>23468166</v>
      </c>
      <c r="M19" s="320">
        <f t="shared" si="14"/>
        <v>0</v>
      </c>
      <c r="N19" s="318">
        <f t="shared" si="15"/>
        <v>0</v>
      </c>
      <c r="O19" s="480">
        <f t="shared" si="24"/>
        <v>0</v>
      </c>
      <c r="P19" s="458">
        <f t="shared" si="16"/>
        <v>16184</v>
      </c>
      <c r="Q19" s="462">
        <f>(P19-P18)*1000</f>
        <v>0</v>
      </c>
      <c r="R19" s="462">
        <f t="shared" si="21"/>
        <v>0</v>
      </c>
      <c r="S19" s="458">
        <f t="shared" si="17"/>
        <v>9298</v>
      </c>
      <c r="T19" s="482">
        <f t="shared" si="3"/>
        <v>0</v>
      </c>
      <c r="U19" s="458">
        <f t="shared" si="17"/>
        <v>239777</v>
      </c>
      <c r="V19" s="462">
        <f t="shared" si="18"/>
        <v>0</v>
      </c>
      <c r="W19" s="458">
        <f t="shared" si="17"/>
        <v>32036</v>
      </c>
      <c r="X19" s="462">
        <f t="shared" si="23"/>
        <v>0</v>
      </c>
      <c r="Y19" s="458">
        <f t="shared" si="17"/>
        <v>669993</v>
      </c>
      <c r="Z19" s="462">
        <f t="shared" si="22"/>
        <v>0</v>
      </c>
      <c r="AA19" s="458">
        <f t="shared" si="17"/>
        <v>35377</v>
      </c>
      <c r="AB19" s="462">
        <f t="shared" si="19"/>
        <v>0</v>
      </c>
      <c r="AC19" s="458">
        <f t="shared" si="17"/>
        <v>849402</v>
      </c>
      <c r="AD19" s="462">
        <f t="shared" si="27"/>
        <v>0</v>
      </c>
      <c r="AE19" s="485">
        <f t="shared" si="7"/>
        <v>0</v>
      </c>
      <c r="AF19" s="486">
        <f t="shared" si="8"/>
        <v>0</v>
      </c>
      <c r="AG19" s="478">
        <f t="shared" si="25"/>
        <v>0</v>
      </c>
      <c r="AI19" s="479">
        <f>R19-'EDl log'!B17</f>
        <v>-218655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f t="shared" si="9"/>
        <v>32052926</v>
      </c>
      <c r="E20" s="319">
        <f t="shared" si="10"/>
        <v>0</v>
      </c>
      <c r="F20" s="458">
        <f t="shared" si="11"/>
        <v>3813877</v>
      </c>
      <c r="G20" s="320">
        <f t="shared" si="0"/>
        <v>0</v>
      </c>
      <c r="H20" s="458">
        <f t="shared" si="11"/>
        <v>17602228</v>
      </c>
      <c r="I20" s="320">
        <f t="shared" si="12"/>
        <v>0</v>
      </c>
      <c r="J20" s="458">
        <f t="shared" si="11"/>
        <v>28659468</v>
      </c>
      <c r="K20" s="320">
        <f t="shared" si="13"/>
        <v>0</v>
      </c>
      <c r="L20" s="458">
        <f t="shared" si="11"/>
        <v>23468166</v>
      </c>
      <c r="M20" s="320">
        <f t="shared" si="14"/>
        <v>0</v>
      </c>
      <c r="N20" s="318">
        <f t="shared" si="15"/>
        <v>0</v>
      </c>
      <c r="O20" s="480">
        <f t="shared" si="24"/>
        <v>0</v>
      </c>
      <c r="P20" s="458">
        <f t="shared" si="16"/>
        <v>16184</v>
      </c>
      <c r="Q20" s="462">
        <f t="shared" si="26"/>
        <v>0</v>
      </c>
      <c r="R20" s="462">
        <f t="shared" si="21"/>
        <v>0</v>
      </c>
      <c r="S20" s="458">
        <f t="shared" si="17"/>
        <v>9298</v>
      </c>
      <c r="T20" s="482">
        <f t="shared" si="3"/>
        <v>0</v>
      </c>
      <c r="U20" s="458">
        <f t="shared" si="17"/>
        <v>239777</v>
      </c>
      <c r="V20" s="462">
        <f t="shared" si="18"/>
        <v>0</v>
      </c>
      <c r="W20" s="458">
        <f t="shared" si="17"/>
        <v>32036</v>
      </c>
      <c r="X20" s="462">
        <f t="shared" si="23"/>
        <v>0</v>
      </c>
      <c r="Y20" s="458">
        <f t="shared" si="17"/>
        <v>669993</v>
      </c>
      <c r="Z20" s="462">
        <f t="shared" si="22"/>
        <v>0</v>
      </c>
      <c r="AA20" s="458">
        <f t="shared" si="17"/>
        <v>35377</v>
      </c>
      <c r="AB20" s="462">
        <f t="shared" si="19"/>
        <v>0</v>
      </c>
      <c r="AC20" s="458">
        <f t="shared" si="17"/>
        <v>849402</v>
      </c>
      <c r="AD20" s="462">
        <f t="shared" si="27"/>
        <v>0</v>
      </c>
      <c r="AE20" s="485">
        <f t="shared" si="7"/>
        <v>0</v>
      </c>
      <c r="AF20" s="486">
        <f t="shared" si="8"/>
        <v>0</v>
      </c>
      <c r="AG20" s="478">
        <f t="shared" si="25"/>
        <v>0</v>
      </c>
      <c r="AI20" s="479">
        <f>R20-'EDl log'!B18</f>
        <v>-218655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f t="shared" si="9"/>
        <v>32052926</v>
      </c>
      <c r="E21" s="319">
        <f t="shared" si="10"/>
        <v>0</v>
      </c>
      <c r="F21" s="458">
        <f t="shared" si="11"/>
        <v>3813877</v>
      </c>
      <c r="G21" s="320">
        <f t="shared" si="0"/>
        <v>0</v>
      </c>
      <c r="H21" s="458">
        <f t="shared" si="11"/>
        <v>17602228</v>
      </c>
      <c r="I21" s="320">
        <f t="shared" si="12"/>
        <v>0</v>
      </c>
      <c r="J21" s="458">
        <f t="shared" si="11"/>
        <v>28659468</v>
      </c>
      <c r="K21" s="320">
        <f t="shared" si="13"/>
        <v>0</v>
      </c>
      <c r="L21" s="458">
        <f t="shared" si="11"/>
        <v>23468166</v>
      </c>
      <c r="M21" s="320">
        <f t="shared" si="14"/>
        <v>0</v>
      </c>
      <c r="N21" s="318">
        <f t="shared" si="15"/>
        <v>0</v>
      </c>
      <c r="O21" s="480">
        <f t="shared" si="24"/>
        <v>0</v>
      </c>
      <c r="P21" s="458">
        <f t="shared" si="16"/>
        <v>16184</v>
      </c>
      <c r="Q21" s="462">
        <f>(P21-P20)*1000</f>
        <v>0</v>
      </c>
      <c r="R21" s="462">
        <f t="shared" si="21"/>
        <v>0</v>
      </c>
      <c r="S21" s="458">
        <f t="shared" si="17"/>
        <v>9298</v>
      </c>
      <c r="T21" s="482">
        <f t="shared" si="3"/>
        <v>0</v>
      </c>
      <c r="U21" s="458">
        <f t="shared" si="17"/>
        <v>239777</v>
      </c>
      <c r="V21" s="462">
        <f t="shared" si="18"/>
        <v>0</v>
      </c>
      <c r="W21" s="458">
        <f t="shared" si="17"/>
        <v>32036</v>
      </c>
      <c r="X21" s="462">
        <f t="shared" si="23"/>
        <v>0</v>
      </c>
      <c r="Y21" s="458">
        <f t="shared" si="17"/>
        <v>669993</v>
      </c>
      <c r="Z21" s="462">
        <f t="shared" si="22"/>
        <v>0</v>
      </c>
      <c r="AA21" s="458">
        <f t="shared" si="17"/>
        <v>35377</v>
      </c>
      <c r="AB21" s="462">
        <f t="shared" si="19"/>
        <v>0</v>
      </c>
      <c r="AC21" s="458">
        <f t="shared" si="17"/>
        <v>849402</v>
      </c>
      <c r="AD21" s="462">
        <f t="shared" si="27"/>
        <v>0</v>
      </c>
      <c r="AE21" s="485">
        <f t="shared" si="7"/>
        <v>0</v>
      </c>
      <c r="AF21" s="486">
        <f t="shared" si="8"/>
        <v>0</v>
      </c>
      <c r="AG21" s="478">
        <f t="shared" si="25"/>
        <v>0</v>
      </c>
      <c r="AI21" s="479">
        <f>R21-'EDl log'!B19</f>
        <v>-218655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f t="shared" si="9"/>
        <v>32052926</v>
      </c>
      <c r="E22" s="319">
        <f t="shared" si="10"/>
        <v>0</v>
      </c>
      <c r="F22" s="458">
        <f t="shared" si="11"/>
        <v>3813877</v>
      </c>
      <c r="G22" s="320">
        <f t="shared" si="0"/>
        <v>0</v>
      </c>
      <c r="H22" s="458">
        <f t="shared" si="11"/>
        <v>17602228</v>
      </c>
      <c r="I22" s="320">
        <f t="shared" si="12"/>
        <v>0</v>
      </c>
      <c r="J22" s="458">
        <f t="shared" si="11"/>
        <v>28659468</v>
      </c>
      <c r="K22" s="320">
        <f t="shared" si="13"/>
        <v>0</v>
      </c>
      <c r="L22" s="458">
        <f t="shared" si="11"/>
        <v>23468166</v>
      </c>
      <c r="M22" s="320">
        <f t="shared" si="14"/>
        <v>0</v>
      </c>
      <c r="N22" s="318">
        <f t="shared" si="15"/>
        <v>0</v>
      </c>
      <c r="O22" s="480">
        <f t="shared" si="24"/>
        <v>0</v>
      </c>
      <c r="P22" s="458">
        <f t="shared" si="16"/>
        <v>16184</v>
      </c>
      <c r="Q22" s="462">
        <f t="shared" si="26"/>
        <v>0</v>
      </c>
      <c r="R22" s="462">
        <f t="shared" si="21"/>
        <v>0</v>
      </c>
      <c r="S22" s="458">
        <f t="shared" si="17"/>
        <v>9298</v>
      </c>
      <c r="T22" s="482">
        <f t="shared" si="3"/>
        <v>0</v>
      </c>
      <c r="U22" s="458">
        <f t="shared" si="17"/>
        <v>239777</v>
      </c>
      <c r="V22" s="462">
        <f t="shared" si="18"/>
        <v>0</v>
      </c>
      <c r="W22" s="458">
        <f t="shared" si="17"/>
        <v>32036</v>
      </c>
      <c r="X22" s="462">
        <f t="shared" si="23"/>
        <v>0</v>
      </c>
      <c r="Y22" s="458">
        <f t="shared" si="17"/>
        <v>669993</v>
      </c>
      <c r="Z22" s="462">
        <f t="shared" si="22"/>
        <v>0</v>
      </c>
      <c r="AA22" s="458">
        <f t="shared" si="17"/>
        <v>35377</v>
      </c>
      <c r="AB22" s="462">
        <f t="shared" si="19"/>
        <v>0</v>
      </c>
      <c r="AC22" s="458">
        <f t="shared" si="17"/>
        <v>849402</v>
      </c>
      <c r="AD22" s="462">
        <f t="shared" si="27"/>
        <v>0</v>
      </c>
      <c r="AE22" s="485">
        <f t="shared" si="7"/>
        <v>0</v>
      </c>
      <c r="AF22" s="486">
        <f t="shared" si="8"/>
        <v>0</v>
      </c>
      <c r="AG22" s="478">
        <f t="shared" si="25"/>
        <v>0</v>
      </c>
      <c r="AI22" s="479">
        <f>R22-'EDl log'!B20</f>
        <v>-218655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f t="shared" si="9"/>
        <v>32052926</v>
      </c>
      <c r="E23" s="319">
        <f t="shared" si="10"/>
        <v>0</v>
      </c>
      <c r="F23" s="458">
        <f t="shared" si="11"/>
        <v>3813877</v>
      </c>
      <c r="G23" s="320">
        <f t="shared" si="0"/>
        <v>0</v>
      </c>
      <c r="H23" s="458">
        <f t="shared" si="11"/>
        <v>17602228</v>
      </c>
      <c r="I23" s="451">
        <f t="shared" si="12"/>
        <v>0</v>
      </c>
      <c r="J23" s="458">
        <f t="shared" si="11"/>
        <v>28659468</v>
      </c>
      <c r="K23" s="320">
        <f t="shared" si="13"/>
        <v>0</v>
      </c>
      <c r="L23" s="458">
        <f t="shared" si="11"/>
        <v>23468166</v>
      </c>
      <c r="M23" s="320">
        <f t="shared" si="14"/>
        <v>0</v>
      </c>
      <c r="N23" s="318">
        <f t="shared" si="15"/>
        <v>0</v>
      </c>
      <c r="O23" s="480">
        <f t="shared" si="24"/>
        <v>0</v>
      </c>
      <c r="P23" s="458">
        <f t="shared" si="16"/>
        <v>16184</v>
      </c>
      <c r="Q23" s="462">
        <f t="shared" si="26"/>
        <v>0</v>
      </c>
      <c r="R23" s="462">
        <f t="shared" si="21"/>
        <v>0</v>
      </c>
      <c r="S23" s="458">
        <f t="shared" si="17"/>
        <v>9298</v>
      </c>
      <c r="T23" s="482">
        <f t="shared" si="3"/>
        <v>0</v>
      </c>
      <c r="U23" s="458">
        <f t="shared" si="17"/>
        <v>239777</v>
      </c>
      <c r="V23" s="462">
        <f t="shared" si="18"/>
        <v>0</v>
      </c>
      <c r="W23" s="458">
        <f t="shared" si="17"/>
        <v>32036</v>
      </c>
      <c r="X23" s="462">
        <f t="shared" si="23"/>
        <v>0</v>
      </c>
      <c r="Y23" s="458">
        <f t="shared" si="17"/>
        <v>669993</v>
      </c>
      <c r="Z23" s="462">
        <f t="shared" si="22"/>
        <v>0</v>
      </c>
      <c r="AA23" s="458">
        <f t="shared" si="17"/>
        <v>35377</v>
      </c>
      <c r="AB23" s="462">
        <f t="shared" si="19"/>
        <v>0</v>
      </c>
      <c r="AC23" s="458">
        <f t="shared" si="17"/>
        <v>849402</v>
      </c>
      <c r="AD23" s="462">
        <f t="shared" si="27"/>
        <v>0</v>
      </c>
      <c r="AE23" s="485">
        <f t="shared" si="7"/>
        <v>0</v>
      </c>
      <c r="AF23" s="486">
        <f t="shared" si="8"/>
        <v>0</v>
      </c>
      <c r="AG23" s="478">
        <f t="shared" si="25"/>
        <v>0</v>
      </c>
      <c r="AI23" s="479">
        <f>R23-'EDl log'!B21</f>
        <v>-218655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f t="shared" si="9"/>
        <v>32052926</v>
      </c>
      <c r="E24" s="319">
        <f t="shared" si="10"/>
        <v>0</v>
      </c>
      <c r="F24" s="458">
        <f t="shared" si="11"/>
        <v>3813877</v>
      </c>
      <c r="G24" s="320">
        <f t="shared" si="0"/>
        <v>0</v>
      </c>
      <c r="H24" s="458">
        <f t="shared" si="11"/>
        <v>17602228</v>
      </c>
      <c r="I24" s="320">
        <f t="shared" si="12"/>
        <v>0</v>
      </c>
      <c r="J24" s="458">
        <f t="shared" si="11"/>
        <v>28659468</v>
      </c>
      <c r="K24" s="320">
        <f t="shared" si="13"/>
        <v>0</v>
      </c>
      <c r="L24" s="458">
        <f t="shared" si="11"/>
        <v>23468166</v>
      </c>
      <c r="M24" s="320">
        <f t="shared" si="14"/>
        <v>0</v>
      </c>
      <c r="N24" s="318">
        <f t="shared" si="15"/>
        <v>0</v>
      </c>
      <c r="O24" s="480">
        <f t="shared" si="24"/>
        <v>0</v>
      </c>
      <c r="P24" s="458">
        <f t="shared" si="16"/>
        <v>16184</v>
      </c>
      <c r="Q24" s="462">
        <f t="shared" si="26"/>
        <v>0</v>
      </c>
      <c r="R24" s="462">
        <f t="shared" si="21"/>
        <v>0</v>
      </c>
      <c r="S24" s="458">
        <f t="shared" si="17"/>
        <v>9298</v>
      </c>
      <c r="T24" s="482">
        <f t="shared" si="3"/>
        <v>0</v>
      </c>
      <c r="U24" s="458">
        <f t="shared" si="17"/>
        <v>239777</v>
      </c>
      <c r="V24" s="462">
        <f t="shared" si="18"/>
        <v>0</v>
      </c>
      <c r="W24" s="458">
        <f t="shared" si="17"/>
        <v>32036</v>
      </c>
      <c r="X24" s="462">
        <f t="shared" si="23"/>
        <v>0</v>
      </c>
      <c r="Y24" s="458">
        <f t="shared" si="17"/>
        <v>669993</v>
      </c>
      <c r="Z24" s="462">
        <f t="shared" si="22"/>
        <v>0</v>
      </c>
      <c r="AA24" s="458">
        <f t="shared" si="17"/>
        <v>35377</v>
      </c>
      <c r="AB24" s="462">
        <f t="shared" si="19"/>
        <v>0</v>
      </c>
      <c r="AC24" s="458">
        <f t="shared" si="17"/>
        <v>849402</v>
      </c>
      <c r="AD24" s="462">
        <f t="shared" si="27"/>
        <v>0</v>
      </c>
      <c r="AE24" s="485">
        <f t="shared" si="7"/>
        <v>0</v>
      </c>
      <c r="AF24" s="486">
        <f t="shared" si="8"/>
        <v>0</v>
      </c>
      <c r="AG24" s="478">
        <f t="shared" si="25"/>
        <v>0</v>
      </c>
      <c r="AI24" s="479">
        <f>R24-'EDl log'!B22</f>
        <v>-218655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f t="shared" si="9"/>
        <v>32052926</v>
      </c>
      <c r="E25" s="319">
        <f t="shared" si="10"/>
        <v>0</v>
      </c>
      <c r="F25" s="458">
        <f t="shared" si="11"/>
        <v>3813877</v>
      </c>
      <c r="G25" s="320">
        <f t="shared" si="0"/>
        <v>0</v>
      </c>
      <c r="H25" s="458">
        <f t="shared" si="11"/>
        <v>17602228</v>
      </c>
      <c r="I25" s="320">
        <f t="shared" si="12"/>
        <v>0</v>
      </c>
      <c r="J25" s="458">
        <f t="shared" si="11"/>
        <v>28659468</v>
      </c>
      <c r="K25" s="320">
        <f t="shared" si="13"/>
        <v>0</v>
      </c>
      <c r="L25" s="458">
        <f t="shared" si="11"/>
        <v>23468166</v>
      </c>
      <c r="M25" s="320">
        <f t="shared" si="14"/>
        <v>0</v>
      </c>
      <c r="N25" s="318">
        <f t="shared" si="15"/>
        <v>0</v>
      </c>
      <c r="O25" s="480">
        <f t="shared" si="24"/>
        <v>0</v>
      </c>
      <c r="P25" s="458">
        <f t="shared" si="16"/>
        <v>16184</v>
      </c>
      <c r="Q25" s="462">
        <f t="shared" si="26"/>
        <v>0</v>
      </c>
      <c r="R25" s="462">
        <f t="shared" si="21"/>
        <v>0</v>
      </c>
      <c r="S25" s="458">
        <f t="shared" si="17"/>
        <v>9298</v>
      </c>
      <c r="T25" s="482">
        <f t="shared" si="3"/>
        <v>0</v>
      </c>
      <c r="U25" s="458">
        <f t="shared" si="17"/>
        <v>239777</v>
      </c>
      <c r="V25" s="462">
        <f t="shared" si="18"/>
        <v>0</v>
      </c>
      <c r="W25" s="458">
        <f t="shared" si="17"/>
        <v>32036</v>
      </c>
      <c r="X25" s="462">
        <f t="shared" si="23"/>
        <v>0</v>
      </c>
      <c r="Y25" s="458">
        <f t="shared" si="17"/>
        <v>669993</v>
      </c>
      <c r="Z25" s="462">
        <f t="shared" si="22"/>
        <v>0</v>
      </c>
      <c r="AA25" s="458">
        <f t="shared" si="17"/>
        <v>35377</v>
      </c>
      <c r="AB25" s="462">
        <f t="shared" si="19"/>
        <v>0</v>
      </c>
      <c r="AC25" s="458">
        <f t="shared" si="17"/>
        <v>849402</v>
      </c>
      <c r="AD25" s="462">
        <f t="shared" si="27"/>
        <v>0</v>
      </c>
      <c r="AE25" s="485">
        <f t="shared" si="7"/>
        <v>0</v>
      </c>
      <c r="AF25" s="486">
        <f t="shared" si="8"/>
        <v>0</v>
      </c>
      <c r="AG25" s="478">
        <f t="shared" si="25"/>
        <v>0</v>
      </c>
      <c r="AI25" s="479">
        <f>R25-'EDl log'!B23</f>
        <v>-218655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f t="shared" si="9"/>
        <v>32052926</v>
      </c>
      <c r="E26" s="319">
        <f t="shared" si="10"/>
        <v>0</v>
      </c>
      <c r="F26" s="458">
        <f t="shared" si="11"/>
        <v>3813877</v>
      </c>
      <c r="G26" s="320">
        <f t="shared" si="0"/>
        <v>0</v>
      </c>
      <c r="H26" s="458">
        <f t="shared" si="11"/>
        <v>17602228</v>
      </c>
      <c r="I26" s="320">
        <f t="shared" si="12"/>
        <v>0</v>
      </c>
      <c r="J26" s="458">
        <f t="shared" si="11"/>
        <v>28659468</v>
      </c>
      <c r="K26" s="320">
        <f t="shared" si="13"/>
        <v>0</v>
      </c>
      <c r="L26" s="458">
        <f t="shared" si="11"/>
        <v>23468166</v>
      </c>
      <c r="M26" s="320">
        <f t="shared" si="14"/>
        <v>0</v>
      </c>
      <c r="N26" s="318">
        <f t="shared" si="15"/>
        <v>0</v>
      </c>
      <c r="O26" s="480">
        <f t="shared" si="24"/>
        <v>0</v>
      </c>
      <c r="P26" s="458">
        <f t="shared" si="16"/>
        <v>16184</v>
      </c>
      <c r="Q26" s="462">
        <f t="shared" si="26"/>
        <v>0</v>
      </c>
      <c r="R26" s="487">
        <f>N26-Q26</f>
        <v>0</v>
      </c>
      <c r="S26" s="458">
        <f t="shared" si="17"/>
        <v>9298</v>
      </c>
      <c r="T26" s="482">
        <f t="shared" si="3"/>
        <v>0</v>
      </c>
      <c r="U26" s="458">
        <f t="shared" si="17"/>
        <v>239777</v>
      </c>
      <c r="V26" s="462">
        <f t="shared" si="18"/>
        <v>0</v>
      </c>
      <c r="W26" s="458">
        <f t="shared" si="17"/>
        <v>32036</v>
      </c>
      <c r="X26" s="462">
        <f t="shared" si="23"/>
        <v>0</v>
      </c>
      <c r="Y26" s="458">
        <f t="shared" si="17"/>
        <v>669993</v>
      </c>
      <c r="Z26" s="462">
        <f t="shared" si="22"/>
        <v>0</v>
      </c>
      <c r="AA26" s="458">
        <f t="shared" si="17"/>
        <v>35377</v>
      </c>
      <c r="AB26" s="462">
        <f t="shared" si="19"/>
        <v>0</v>
      </c>
      <c r="AC26" s="458">
        <f t="shared" si="17"/>
        <v>849402</v>
      </c>
      <c r="AD26" s="462">
        <f t="shared" si="27"/>
        <v>0</v>
      </c>
      <c r="AE26" s="485">
        <f t="shared" si="7"/>
        <v>0</v>
      </c>
      <c r="AF26" s="486">
        <f t="shared" si="8"/>
        <v>0</v>
      </c>
      <c r="AG26" s="478">
        <f t="shared" si="25"/>
        <v>0</v>
      </c>
      <c r="AI26" s="479">
        <f>R26-'EDl log'!B24</f>
        <v>-218655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si="9"/>
        <v>32052926</v>
      </c>
      <c r="E27" s="319">
        <f t="shared" si="10"/>
        <v>0</v>
      </c>
      <c r="F27" s="458">
        <f t="shared" si="11"/>
        <v>3813877</v>
      </c>
      <c r="G27" s="320">
        <f>F27-F26</f>
        <v>0</v>
      </c>
      <c r="H27" s="458">
        <f t="shared" si="11"/>
        <v>17602228</v>
      </c>
      <c r="I27" s="320">
        <f t="shared" si="12"/>
        <v>0</v>
      </c>
      <c r="J27" s="458">
        <f t="shared" si="11"/>
        <v>28659468</v>
      </c>
      <c r="K27" s="320">
        <f t="shared" si="13"/>
        <v>0</v>
      </c>
      <c r="L27" s="458">
        <f t="shared" si="11"/>
        <v>23468166</v>
      </c>
      <c r="M27" s="320">
        <f t="shared" si="14"/>
        <v>0</v>
      </c>
      <c r="N27" s="318">
        <f t="shared" si="15"/>
        <v>0</v>
      </c>
      <c r="O27" s="480">
        <f t="shared" si="24"/>
        <v>0</v>
      </c>
      <c r="P27" s="458">
        <f t="shared" si="16"/>
        <v>16184</v>
      </c>
      <c r="Q27" s="462">
        <f t="shared" si="26"/>
        <v>0</v>
      </c>
      <c r="R27" s="462">
        <f t="shared" si="21"/>
        <v>0</v>
      </c>
      <c r="S27" s="458">
        <f t="shared" si="17"/>
        <v>9298</v>
      </c>
      <c r="T27" s="482">
        <f t="shared" si="3"/>
        <v>0</v>
      </c>
      <c r="U27" s="458">
        <f t="shared" si="17"/>
        <v>239777</v>
      </c>
      <c r="V27" s="462">
        <f t="shared" si="18"/>
        <v>0</v>
      </c>
      <c r="W27" s="458">
        <f t="shared" si="17"/>
        <v>32036</v>
      </c>
      <c r="X27" s="462">
        <f t="shared" si="23"/>
        <v>0</v>
      </c>
      <c r="Y27" s="458">
        <f t="shared" si="17"/>
        <v>669993</v>
      </c>
      <c r="Z27" s="462">
        <f t="shared" si="22"/>
        <v>0</v>
      </c>
      <c r="AA27" s="458">
        <f t="shared" si="17"/>
        <v>35377</v>
      </c>
      <c r="AB27" s="462">
        <f t="shared" si="19"/>
        <v>0</v>
      </c>
      <c r="AC27" s="458">
        <f t="shared" si="17"/>
        <v>849402</v>
      </c>
      <c r="AD27" s="462">
        <f t="shared" si="27"/>
        <v>0</v>
      </c>
      <c r="AE27" s="485">
        <f t="shared" si="7"/>
        <v>0</v>
      </c>
      <c r="AF27" s="486">
        <f t="shared" si="8"/>
        <v>0</v>
      </c>
      <c r="AG27" s="478">
        <f t="shared" si="25"/>
        <v>0</v>
      </c>
      <c r="AI27" s="479">
        <f>R27-'EDl log'!B25</f>
        <v>-218655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9"/>
        <v>32052926</v>
      </c>
      <c r="E28" s="319">
        <f t="shared" si="10"/>
        <v>0</v>
      </c>
      <c r="F28" s="458">
        <f t="shared" si="11"/>
        <v>3813877</v>
      </c>
      <c r="G28" s="320">
        <f t="shared" si="0"/>
        <v>0</v>
      </c>
      <c r="H28" s="458">
        <f t="shared" si="11"/>
        <v>17602228</v>
      </c>
      <c r="I28" s="320">
        <f t="shared" si="12"/>
        <v>0</v>
      </c>
      <c r="J28" s="458">
        <f t="shared" si="11"/>
        <v>28659468</v>
      </c>
      <c r="K28" s="320">
        <f t="shared" si="13"/>
        <v>0</v>
      </c>
      <c r="L28" s="458">
        <f t="shared" si="11"/>
        <v>23468166</v>
      </c>
      <c r="M28" s="320">
        <f t="shared" si="14"/>
        <v>0</v>
      </c>
      <c r="N28" s="318">
        <f t="shared" si="15"/>
        <v>0</v>
      </c>
      <c r="O28" s="480">
        <f t="shared" si="24"/>
        <v>0</v>
      </c>
      <c r="P28" s="458">
        <f t="shared" si="16"/>
        <v>16184</v>
      </c>
      <c r="Q28" s="462">
        <f t="shared" si="26"/>
        <v>0</v>
      </c>
      <c r="R28" s="462">
        <f>N28-Q28</f>
        <v>0</v>
      </c>
      <c r="S28" s="458">
        <f t="shared" si="17"/>
        <v>9298</v>
      </c>
      <c r="T28" s="482">
        <f t="shared" si="3"/>
        <v>0</v>
      </c>
      <c r="U28" s="458">
        <f t="shared" si="17"/>
        <v>239777</v>
      </c>
      <c r="V28" s="462">
        <f t="shared" si="18"/>
        <v>0</v>
      </c>
      <c r="W28" s="458">
        <f t="shared" si="17"/>
        <v>32036</v>
      </c>
      <c r="X28" s="462">
        <f t="shared" si="23"/>
        <v>0</v>
      </c>
      <c r="Y28" s="458">
        <f t="shared" si="17"/>
        <v>669993</v>
      </c>
      <c r="Z28" s="462">
        <f t="shared" si="22"/>
        <v>0</v>
      </c>
      <c r="AA28" s="458">
        <f t="shared" si="17"/>
        <v>35377</v>
      </c>
      <c r="AB28" s="462">
        <f t="shared" si="19"/>
        <v>0</v>
      </c>
      <c r="AC28" s="458">
        <f t="shared" si="17"/>
        <v>849402</v>
      </c>
      <c r="AD28" s="462">
        <f t="shared" si="27"/>
        <v>0</v>
      </c>
      <c r="AE28" s="485">
        <f t="shared" si="7"/>
        <v>0</v>
      </c>
      <c r="AF28" s="486">
        <f t="shared" si="8"/>
        <v>0</v>
      </c>
      <c r="AG28" s="478">
        <f t="shared" si="25"/>
        <v>0</v>
      </c>
      <c r="AI28" s="479">
        <f>R28-'EDl log'!B26</f>
        <v>-218655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9"/>
        <v>32052926</v>
      </c>
      <c r="E29" s="319">
        <f t="shared" si="10"/>
        <v>0</v>
      </c>
      <c r="F29" s="458">
        <f t="shared" si="11"/>
        <v>3813877</v>
      </c>
      <c r="G29" s="320">
        <f t="shared" si="0"/>
        <v>0</v>
      </c>
      <c r="H29" s="458">
        <f t="shared" si="11"/>
        <v>17602228</v>
      </c>
      <c r="I29" s="320">
        <f t="shared" si="12"/>
        <v>0</v>
      </c>
      <c r="J29" s="458">
        <f t="shared" si="11"/>
        <v>28659468</v>
      </c>
      <c r="K29" s="320">
        <f t="shared" si="13"/>
        <v>0</v>
      </c>
      <c r="L29" s="458">
        <f t="shared" si="11"/>
        <v>23468166</v>
      </c>
      <c r="M29" s="320">
        <f t="shared" si="14"/>
        <v>0</v>
      </c>
      <c r="N29" s="318">
        <f t="shared" si="15"/>
        <v>0</v>
      </c>
      <c r="O29" s="480">
        <f t="shared" si="24"/>
        <v>0</v>
      </c>
      <c r="P29" s="458">
        <f t="shared" si="16"/>
        <v>16184</v>
      </c>
      <c r="Q29" s="462">
        <f t="shared" si="26"/>
        <v>0</v>
      </c>
      <c r="R29" s="462">
        <f t="shared" si="21"/>
        <v>0</v>
      </c>
      <c r="S29" s="458">
        <f t="shared" si="17"/>
        <v>9298</v>
      </c>
      <c r="T29" s="482">
        <f t="shared" si="3"/>
        <v>0</v>
      </c>
      <c r="U29" s="458">
        <f t="shared" si="17"/>
        <v>239777</v>
      </c>
      <c r="V29" s="462">
        <f t="shared" si="18"/>
        <v>0</v>
      </c>
      <c r="W29" s="458">
        <f t="shared" si="17"/>
        <v>32036</v>
      </c>
      <c r="X29" s="462">
        <f t="shared" si="23"/>
        <v>0</v>
      </c>
      <c r="Y29" s="458">
        <f t="shared" si="17"/>
        <v>669993</v>
      </c>
      <c r="Z29" s="462">
        <f t="shared" si="22"/>
        <v>0</v>
      </c>
      <c r="AA29" s="458">
        <f t="shared" si="17"/>
        <v>35377</v>
      </c>
      <c r="AB29" s="462">
        <f t="shared" si="19"/>
        <v>0</v>
      </c>
      <c r="AC29" s="458">
        <f t="shared" si="17"/>
        <v>849402</v>
      </c>
      <c r="AD29" s="462">
        <f t="shared" si="27"/>
        <v>0</v>
      </c>
      <c r="AE29" s="485">
        <f t="shared" si="7"/>
        <v>0</v>
      </c>
      <c r="AF29" s="486">
        <f t="shared" si="8"/>
        <v>0</v>
      </c>
      <c r="AG29" s="478">
        <f t="shared" si="25"/>
        <v>0</v>
      </c>
      <c r="AI29" s="479">
        <f>R29-'EDl log'!B27</f>
        <v>-218655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9"/>
        <v>32052926</v>
      </c>
      <c r="E30" s="319">
        <f t="shared" si="10"/>
        <v>0</v>
      </c>
      <c r="F30" s="458">
        <f t="shared" si="11"/>
        <v>3813877</v>
      </c>
      <c r="G30" s="320">
        <f t="shared" si="0"/>
        <v>0</v>
      </c>
      <c r="H30" s="458">
        <f t="shared" si="11"/>
        <v>17602228</v>
      </c>
      <c r="I30" s="320">
        <f t="shared" si="12"/>
        <v>0</v>
      </c>
      <c r="J30" s="458">
        <f t="shared" si="11"/>
        <v>28659468</v>
      </c>
      <c r="K30" s="320">
        <f t="shared" si="13"/>
        <v>0</v>
      </c>
      <c r="L30" s="458">
        <f t="shared" si="11"/>
        <v>23468166</v>
      </c>
      <c r="M30" s="320">
        <f t="shared" si="14"/>
        <v>0</v>
      </c>
      <c r="N30" s="318">
        <f t="shared" si="15"/>
        <v>0</v>
      </c>
      <c r="O30" s="480">
        <f t="shared" si="24"/>
        <v>0</v>
      </c>
      <c r="P30" s="458">
        <f t="shared" si="16"/>
        <v>16184</v>
      </c>
      <c r="Q30" s="462">
        <f t="shared" si="26"/>
        <v>0</v>
      </c>
      <c r="R30" s="462">
        <f t="shared" si="21"/>
        <v>0</v>
      </c>
      <c r="S30" s="458">
        <f t="shared" si="17"/>
        <v>9298</v>
      </c>
      <c r="T30" s="482">
        <f t="shared" si="3"/>
        <v>0</v>
      </c>
      <c r="U30" s="458">
        <f t="shared" si="17"/>
        <v>239777</v>
      </c>
      <c r="V30" s="462">
        <f t="shared" si="18"/>
        <v>0</v>
      </c>
      <c r="W30" s="458">
        <f t="shared" si="17"/>
        <v>32036</v>
      </c>
      <c r="X30" s="483">
        <f t="shared" si="23"/>
        <v>0</v>
      </c>
      <c r="Y30" s="458">
        <f t="shared" si="17"/>
        <v>669993</v>
      </c>
      <c r="Z30" s="462">
        <f t="shared" si="22"/>
        <v>0</v>
      </c>
      <c r="AA30" s="458">
        <f t="shared" si="17"/>
        <v>35377</v>
      </c>
      <c r="AB30" s="462">
        <f t="shared" si="19"/>
        <v>0</v>
      </c>
      <c r="AC30" s="458">
        <f t="shared" si="17"/>
        <v>849402</v>
      </c>
      <c r="AD30" s="462">
        <f t="shared" si="27"/>
        <v>0</v>
      </c>
      <c r="AE30" s="485">
        <f t="shared" si="7"/>
        <v>0</v>
      </c>
      <c r="AF30" s="486">
        <f t="shared" si="8"/>
        <v>0</v>
      </c>
      <c r="AG30" s="478">
        <f t="shared" si="25"/>
        <v>0</v>
      </c>
      <c r="AI30" s="479">
        <f>R30-'EDl log'!B28</f>
        <v>-218655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9"/>
        <v>32052926</v>
      </c>
      <c r="E31" s="319">
        <f t="shared" si="10"/>
        <v>0</v>
      </c>
      <c r="F31" s="458">
        <f t="shared" si="11"/>
        <v>3813877</v>
      </c>
      <c r="G31" s="320">
        <f t="shared" si="0"/>
        <v>0</v>
      </c>
      <c r="H31" s="458">
        <f t="shared" si="11"/>
        <v>17602228</v>
      </c>
      <c r="I31" s="320">
        <f t="shared" si="12"/>
        <v>0</v>
      </c>
      <c r="J31" s="458">
        <f t="shared" si="11"/>
        <v>28659468</v>
      </c>
      <c r="K31" s="320">
        <f t="shared" si="13"/>
        <v>0</v>
      </c>
      <c r="L31" s="458">
        <f t="shared" si="11"/>
        <v>23468166</v>
      </c>
      <c r="M31" s="320">
        <f t="shared" si="14"/>
        <v>0</v>
      </c>
      <c r="N31" s="318">
        <f t="shared" si="15"/>
        <v>0</v>
      </c>
      <c r="O31" s="480">
        <f t="shared" si="24"/>
        <v>0</v>
      </c>
      <c r="P31" s="458">
        <f t="shared" si="16"/>
        <v>16184</v>
      </c>
      <c r="Q31" s="462">
        <f t="shared" si="26"/>
        <v>0</v>
      </c>
      <c r="R31" s="462">
        <f t="shared" si="21"/>
        <v>0</v>
      </c>
      <c r="S31" s="458">
        <f t="shared" si="17"/>
        <v>9298</v>
      </c>
      <c r="T31" s="482">
        <f t="shared" si="3"/>
        <v>0</v>
      </c>
      <c r="U31" s="458">
        <f t="shared" si="17"/>
        <v>239777</v>
      </c>
      <c r="V31" s="462">
        <f t="shared" si="18"/>
        <v>0</v>
      </c>
      <c r="W31" s="458">
        <f t="shared" si="17"/>
        <v>32036</v>
      </c>
      <c r="X31" s="483">
        <f t="shared" si="23"/>
        <v>0</v>
      </c>
      <c r="Y31" s="458">
        <f t="shared" si="17"/>
        <v>669993</v>
      </c>
      <c r="Z31" s="484">
        <f>Y31-Y30</f>
        <v>0</v>
      </c>
      <c r="AA31" s="458">
        <f t="shared" si="17"/>
        <v>35377</v>
      </c>
      <c r="AB31" s="462">
        <f t="shared" si="19"/>
        <v>0</v>
      </c>
      <c r="AC31" s="458">
        <f t="shared" si="17"/>
        <v>849402</v>
      </c>
      <c r="AD31" s="462">
        <f t="shared" si="27"/>
        <v>0</v>
      </c>
      <c r="AE31" s="485">
        <f t="shared" si="7"/>
        <v>0</v>
      </c>
      <c r="AF31" s="486">
        <f t="shared" si="8"/>
        <v>0</v>
      </c>
      <c r="AG31" s="478">
        <f t="shared" si="25"/>
        <v>0</v>
      </c>
      <c r="AI31" s="479">
        <f>R31-'EDl log'!B29</f>
        <v>-218655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9"/>
        <v>32052926</v>
      </c>
      <c r="E32" s="319">
        <f t="shared" si="10"/>
        <v>0</v>
      </c>
      <c r="F32" s="458">
        <f t="shared" si="11"/>
        <v>3813877</v>
      </c>
      <c r="G32" s="320">
        <f>F32-F31</f>
        <v>0</v>
      </c>
      <c r="H32" s="458">
        <f t="shared" si="11"/>
        <v>17602228</v>
      </c>
      <c r="I32" s="320">
        <f>H32-H31</f>
        <v>0</v>
      </c>
      <c r="J32" s="458">
        <f t="shared" si="11"/>
        <v>28659468</v>
      </c>
      <c r="K32" s="320">
        <f>J32-J31</f>
        <v>0</v>
      </c>
      <c r="L32" s="458">
        <f t="shared" si="11"/>
        <v>23468166</v>
      </c>
      <c r="M32" s="320">
        <f>L32-L31</f>
        <v>0</v>
      </c>
      <c r="N32" s="318">
        <f>M32+K32+I32+G32+E32</f>
        <v>0</v>
      </c>
      <c r="O32" s="480">
        <f t="shared" si="24"/>
        <v>0</v>
      </c>
      <c r="P32" s="458">
        <f t="shared" si="16"/>
        <v>16184</v>
      </c>
      <c r="Q32" s="462">
        <f>(P32-P31)*1000</f>
        <v>0</v>
      </c>
      <c r="R32" s="462">
        <f>N32-Q32</f>
        <v>0</v>
      </c>
      <c r="S32" s="458">
        <f t="shared" si="17"/>
        <v>9298</v>
      </c>
      <c r="T32" s="482">
        <f t="shared" si="3"/>
        <v>0</v>
      </c>
      <c r="U32" s="458">
        <f t="shared" si="17"/>
        <v>239777</v>
      </c>
      <c r="V32" s="462">
        <f t="shared" si="18"/>
        <v>0</v>
      </c>
      <c r="W32" s="458">
        <f t="shared" si="17"/>
        <v>32036</v>
      </c>
      <c r="X32" s="462">
        <f t="shared" si="23"/>
        <v>0</v>
      </c>
      <c r="Y32" s="458">
        <f t="shared" si="17"/>
        <v>669993</v>
      </c>
      <c r="Z32" s="484">
        <f>Y32-Y31</f>
        <v>0</v>
      </c>
      <c r="AA32" s="458">
        <f t="shared" si="17"/>
        <v>35377</v>
      </c>
      <c r="AB32" s="462">
        <f t="shared" si="19"/>
        <v>0</v>
      </c>
      <c r="AC32" s="458">
        <f t="shared" si="17"/>
        <v>849402</v>
      </c>
      <c r="AD32" s="462">
        <f t="shared" si="27"/>
        <v>0</v>
      </c>
      <c r="AE32" s="485">
        <f t="shared" si="7"/>
        <v>0</v>
      </c>
      <c r="AF32" s="486">
        <f>V32+Z32+AD32</f>
        <v>0</v>
      </c>
      <c r="AG32" s="478">
        <f t="shared" si="25"/>
        <v>0</v>
      </c>
      <c r="AI32" s="479">
        <f>R32-'EDl log'!B30</f>
        <v>-218655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9"/>
        <v>32052926</v>
      </c>
      <c r="E33" s="319">
        <f t="shared" ref="E33" si="28">D33-D32</f>
        <v>0</v>
      </c>
      <c r="F33" s="458">
        <f t="shared" si="11"/>
        <v>3813877</v>
      </c>
      <c r="G33" s="320">
        <f>F33-F32</f>
        <v>0</v>
      </c>
      <c r="H33" s="458">
        <f t="shared" si="11"/>
        <v>17602228</v>
      </c>
      <c r="I33" s="320">
        <f>H33-H32</f>
        <v>0</v>
      </c>
      <c r="J33" s="458">
        <f t="shared" si="11"/>
        <v>28659468</v>
      </c>
      <c r="K33" s="320">
        <f>J33-J32</f>
        <v>0</v>
      </c>
      <c r="L33" s="458">
        <f t="shared" si="11"/>
        <v>23468166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6"/>
        <v>16184</v>
      </c>
      <c r="Q33" s="462">
        <f>(P33-P32)*1000</f>
        <v>0</v>
      </c>
      <c r="R33" s="462">
        <f>N33-Q33</f>
        <v>0</v>
      </c>
      <c r="S33" s="458">
        <f t="shared" si="17"/>
        <v>9298</v>
      </c>
      <c r="T33" s="482">
        <f t="shared" ref="T33" si="30">S33-S32</f>
        <v>0</v>
      </c>
      <c r="U33" s="458">
        <f t="shared" si="17"/>
        <v>239777</v>
      </c>
      <c r="V33" s="462">
        <f t="shared" ref="V33" si="31">U33-U32</f>
        <v>0</v>
      </c>
      <c r="W33" s="458">
        <f t="shared" si="17"/>
        <v>32036</v>
      </c>
      <c r="X33" s="462">
        <f t="shared" ref="X33" si="32">W33-W32</f>
        <v>0</v>
      </c>
      <c r="Y33" s="458">
        <f t="shared" si="17"/>
        <v>669993</v>
      </c>
      <c r="Z33" s="484">
        <f>Y33-Y32</f>
        <v>0</v>
      </c>
      <c r="AA33" s="458">
        <f t="shared" si="17"/>
        <v>35377</v>
      </c>
      <c r="AB33" s="462">
        <f t="shared" ref="AB33" si="33">AA33-AA32</f>
        <v>0</v>
      </c>
      <c r="AC33" s="458">
        <f t="shared" si="17"/>
        <v>849402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-218655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A1" zoomScale="90" zoomScaleNormal="90" workbookViewId="0">
      <pane ySplit="1" topLeftCell="A2" activePane="bottomLeft" state="frozen"/>
      <selection activeCell="K1" sqref="K1"/>
      <selection pane="bottomLeft" activeCell="AV6" sqref="AV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6" t="s">
        <v>2</v>
      </c>
      <c r="G1" s="617"/>
      <c r="H1" s="617"/>
      <c r="I1" s="618"/>
      <c r="J1" s="290">
        <f>J36</f>
        <v>1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407"/>
      <c r="V1" s="27" t="s">
        <v>104</v>
      </c>
      <c r="W1" s="408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f t="shared" ref="B7:B35" si="23">B6</f>
        <v>188</v>
      </c>
      <c r="C7" s="64">
        <f t="shared" ref="C7:C35" si="24">C6</f>
        <v>194</v>
      </c>
      <c r="D7" s="45">
        <f t="shared" ref="D7:D34" si="25">C6-C7</f>
        <v>0</v>
      </c>
      <c r="E7" s="45">
        <f t="shared" si="9"/>
        <v>0</v>
      </c>
      <c r="F7" s="64">
        <f t="shared" ref="F7:H35" si="26">F6</f>
        <v>1648</v>
      </c>
      <c r="G7" s="52">
        <f t="shared" si="0"/>
        <v>0</v>
      </c>
      <c r="H7" s="64">
        <f t="shared" si="26"/>
        <v>357868</v>
      </c>
      <c r="I7" s="406">
        <f t="shared" si="1"/>
        <v>0</v>
      </c>
      <c r="J7" s="66">
        <f t="shared" si="10"/>
        <v>0</v>
      </c>
      <c r="K7" s="64">
        <f t="shared" ref="K7:M35" si="27">K6</f>
        <v>2101</v>
      </c>
      <c r="L7" s="52">
        <f t="shared" si="2"/>
        <v>0</v>
      </c>
      <c r="M7" s="64">
        <f t="shared" si="27"/>
        <v>154206</v>
      </c>
      <c r="N7" s="406">
        <f t="shared" si="3"/>
        <v>0</v>
      </c>
      <c r="O7" s="64">
        <f t="shared" si="11"/>
        <v>211.87499999999994</v>
      </c>
      <c r="P7" s="64">
        <f t="shared" si="11"/>
        <v>1835</v>
      </c>
      <c r="Q7" s="64">
        <f t="shared" ref="Q7" si="28">Q6</f>
        <v>155805</v>
      </c>
      <c r="R7" s="405">
        <f t="shared" si="4"/>
        <v>0</v>
      </c>
      <c r="S7" s="52">
        <f t="shared" si="5"/>
        <v>0</v>
      </c>
      <c r="T7" s="67">
        <f t="shared" ref="T7:T34" si="29">SUM(S7*$T$2)</f>
        <v>0</v>
      </c>
      <c r="U7" s="412">
        <f t="shared" si="12"/>
        <v>0</v>
      </c>
      <c r="V7" s="62">
        <f t="shared" si="13"/>
        <v>0</v>
      </c>
      <c r="W7" s="410" t="e">
        <f t="shared" si="14"/>
        <v>#DIV/0!</v>
      </c>
      <c r="X7" s="64">
        <f t="shared" ref="X7:Z35" si="30">X6</f>
        <v>2418</v>
      </c>
      <c r="Y7" s="52">
        <f t="shared" si="15"/>
        <v>0</v>
      </c>
      <c r="Z7" s="64">
        <f t="shared" si="30"/>
        <v>135983</v>
      </c>
      <c r="AA7" s="65">
        <f t="shared" si="6"/>
        <v>0</v>
      </c>
      <c r="AB7" s="292">
        <f t="shared" ref="AB7:AB17" si="31">SUM(Y7*$AB$2)</f>
        <v>0</v>
      </c>
      <c r="AC7" s="64">
        <f t="shared" ref="AC7:AE7" si="32">AC6</f>
        <v>1923</v>
      </c>
      <c r="AD7" s="45">
        <f t="shared" si="7"/>
        <v>0</v>
      </c>
      <c r="AE7" s="64">
        <f t="shared" si="32"/>
        <v>364710</v>
      </c>
      <c r="AF7" s="314">
        <f t="shared" si="16"/>
        <v>0</v>
      </c>
      <c r="AG7" s="212">
        <f t="shared" ref="AG7:AG34" si="33">IF(AD7&gt;0,AF7/AD7,0)</f>
        <v>0</v>
      </c>
      <c r="AH7" s="62">
        <f t="shared" ref="AH7:AH34" si="34">AF7+AA7</f>
        <v>0</v>
      </c>
      <c r="AI7" s="326">
        <f t="shared" si="17"/>
        <v>0</v>
      </c>
      <c r="AJ7" s="326">
        <f>-tanks!AW8</f>
        <v>0</v>
      </c>
      <c r="AK7" s="326">
        <f t="shared" si="18"/>
        <v>0</v>
      </c>
      <c r="AL7" s="326">
        <f t="shared" si="8"/>
        <v>0</v>
      </c>
      <c r="AM7" s="326">
        <f t="shared" si="19"/>
        <v>0</v>
      </c>
      <c r="AN7" s="64">
        <f t="shared" ref="AN7:AP7" si="35">AN6</f>
        <v>70</v>
      </c>
      <c r="AO7" s="328">
        <f t="shared" si="20"/>
        <v>2100</v>
      </c>
      <c r="AP7" s="64">
        <f t="shared" si="35"/>
        <v>74</v>
      </c>
      <c r="AQ7" s="328">
        <f t="shared" si="21"/>
        <v>2220</v>
      </c>
      <c r="AR7" s="64">
        <f t="shared" ref="AR7" si="36">AR6</f>
        <v>75</v>
      </c>
      <c r="AS7" s="328">
        <f t="shared" ref="AS7:AS34" si="37">(AR7/100)*3000</f>
        <v>2250</v>
      </c>
      <c r="AT7" s="328">
        <f t="shared" ref="AT7:AT23" si="38">SUM(AO7+AQ7+AS7)</f>
        <v>6570</v>
      </c>
      <c r="AU7" s="328">
        <f t="shared" ref="AU7:AU34" si="39">AT6-AT7+AV7</f>
        <v>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f t="shared" si="23"/>
        <v>188</v>
      </c>
      <c r="C8" s="64">
        <f t="shared" si="24"/>
        <v>194</v>
      </c>
      <c r="D8" s="45">
        <f t="shared" si="25"/>
        <v>0</v>
      </c>
      <c r="E8" s="45">
        <f t="shared" si="9"/>
        <v>0</v>
      </c>
      <c r="F8" s="64">
        <f t="shared" si="26"/>
        <v>1648</v>
      </c>
      <c r="G8" s="52">
        <f t="shared" si="0"/>
        <v>0</v>
      </c>
      <c r="H8" s="64">
        <f t="shared" si="26"/>
        <v>357868</v>
      </c>
      <c r="I8" s="406">
        <f t="shared" si="1"/>
        <v>0</v>
      </c>
      <c r="J8" s="66">
        <f t="shared" si="10"/>
        <v>0</v>
      </c>
      <c r="K8" s="64">
        <f t="shared" si="27"/>
        <v>2101</v>
      </c>
      <c r="L8" s="52">
        <f t="shared" si="2"/>
        <v>0</v>
      </c>
      <c r="M8" s="64">
        <f t="shared" si="27"/>
        <v>154206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40">Q7</f>
        <v>155805</v>
      </c>
      <c r="R8" s="405">
        <f t="shared" si="4"/>
        <v>0</v>
      </c>
      <c r="S8" s="52">
        <f t="shared" si="5"/>
        <v>0</v>
      </c>
      <c r="T8" s="67">
        <f t="shared" si="29"/>
        <v>0</v>
      </c>
      <c r="U8" s="412">
        <f t="shared" si="12"/>
        <v>0</v>
      </c>
      <c r="V8" s="62">
        <f t="shared" si="13"/>
        <v>0</v>
      </c>
      <c r="W8" s="410" t="e">
        <f t="shared" si="14"/>
        <v>#DIV/0!</v>
      </c>
      <c r="X8" s="64">
        <f t="shared" si="30"/>
        <v>2418</v>
      </c>
      <c r="Y8" s="52">
        <f t="shared" si="15"/>
        <v>0</v>
      </c>
      <c r="Z8" s="64">
        <f t="shared" si="30"/>
        <v>135983</v>
      </c>
      <c r="AA8" s="65">
        <f t="shared" si="6"/>
        <v>0</v>
      </c>
      <c r="AB8" s="292">
        <f t="shared" si="31"/>
        <v>0</v>
      </c>
      <c r="AC8" s="64">
        <f t="shared" ref="AC8:AE8" si="41">AC7</f>
        <v>1923</v>
      </c>
      <c r="AD8" s="45">
        <f t="shared" si="7"/>
        <v>0</v>
      </c>
      <c r="AE8" s="64">
        <f t="shared" si="41"/>
        <v>364710</v>
      </c>
      <c r="AF8" s="314">
        <f t="shared" si="16"/>
        <v>0</v>
      </c>
      <c r="AG8" s="212">
        <f t="shared" si="33"/>
        <v>0</v>
      </c>
      <c r="AH8" s="62">
        <f t="shared" si="34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0</v>
      </c>
      <c r="AM8" s="326">
        <f t="shared" si="19"/>
        <v>0</v>
      </c>
      <c r="AN8" s="64">
        <f t="shared" ref="AN8:AP8" si="42">AN7</f>
        <v>70</v>
      </c>
      <c r="AO8" s="328">
        <f t="shared" si="20"/>
        <v>2100</v>
      </c>
      <c r="AP8" s="64">
        <f t="shared" si="42"/>
        <v>74</v>
      </c>
      <c r="AQ8" s="328">
        <f t="shared" si="21"/>
        <v>2220</v>
      </c>
      <c r="AR8" s="64">
        <f t="shared" ref="AR8" si="43">AR7</f>
        <v>75</v>
      </c>
      <c r="AS8" s="328">
        <f t="shared" si="37"/>
        <v>2250</v>
      </c>
      <c r="AT8" s="328">
        <f t="shared" si="38"/>
        <v>6570</v>
      </c>
      <c r="AU8" s="328">
        <f t="shared" si="39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f t="shared" si="23"/>
        <v>188</v>
      </c>
      <c r="C9" s="64">
        <f t="shared" si="24"/>
        <v>194</v>
      </c>
      <c r="D9" s="45">
        <f t="shared" si="25"/>
        <v>0</v>
      </c>
      <c r="E9" s="45">
        <f t="shared" si="9"/>
        <v>0</v>
      </c>
      <c r="F9" s="64">
        <f t="shared" si="26"/>
        <v>1648</v>
      </c>
      <c r="G9" s="52">
        <f t="shared" si="0"/>
        <v>0</v>
      </c>
      <c r="H9" s="64">
        <f t="shared" si="26"/>
        <v>357868</v>
      </c>
      <c r="I9" s="406">
        <f t="shared" si="1"/>
        <v>0</v>
      </c>
      <c r="J9" s="66">
        <f t="shared" si="10"/>
        <v>0</v>
      </c>
      <c r="K9" s="64">
        <f t="shared" si="27"/>
        <v>2101</v>
      </c>
      <c r="L9" s="52">
        <f t="shared" si="2"/>
        <v>0</v>
      </c>
      <c r="M9" s="64">
        <f t="shared" si="27"/>
        <v>154206</v>
      </c>
      <c r="N9" s="406">
        <f t="shared" si="3"/>
        <v>0</v>
      </c>
      <c r="O9" s="64">
        <f t="shared" si="11"/>
        <v>211.87499999999994</v>
      </c>
      <c r="P9" s="64">
        <f t="shared" si="11"/>
        <v>1835</v>
      </c>
      <c r="Q9" s="64">
        <f t="shared" ref="Q9" si="44">Q8</f>
        <v>155805</v>
      </c>
      <c r="R9" s="405">
        <f t="shared" si="4"/>
        <v>0</v>
      </c>
      <c r="S9" s="52">
        <f t="shared" si="5"/>
        <v>0</v>
      </c>
      <c r="T9" s="67">
        <f t="shared" si="29"/>
        <v>0</v>
      </c>
      <c r="U9" s="412">
        <f t="shared" si="12"/>
        <v>0</v>
      </c>
      <c r="V9" s="62">
        <f t="shared" si="13"/>
        <v>0</v>
      </c>
      <c r="W9" s="410" t="e">
        <f t="shared" si="14"/>
        <v>#DIV/0!</v>
      </c>
      <c r="X9" s="64">
        <f t="shared" si="30"/>
        <v>2418</v>
      </c>
      <c r="Y9" s="52">
        <f t="shared" si="15"/>
        <v>0</v>
      </c>
      <c r="Z9" s="64">
        <f t="shared" si="30"/>
        <v>135983</v>
      </c>
      <c r="AA9" s="65">
        <f t="shared" si="6"/>
        <v>0</v>
      </c>
      <c r="AB9" s="292">
        <f t="shared" si="31"/>
        <v>0</v>
      </c>
      <c r="AC9" s="64">
        <f t="shared" ref="AC9:AE9" si="45">AC8</f>
        <v>1923</v>
      </c>
      <c r="AD9" s="45">
        <f t="shared" si="7"/>
        <v>0</v>
      </c>
      <c r="AE9" s="64">
        <f t="shared" si="45"/>
        <v>364710</v>
      </c>
      <c r="AF9" s="314">
        <f t="shared" si="16"/>
        <v>0</v>
      </c>
      <c r="AG9" s="212">
        <f t="shared" si="33"/>
        <v>0</v>
      </c>
      <c r="AH9" s="62">
        <f t="shared" si="34"/>
        <v>0</v>
      </c>
      <c r="AI9" s="326">
        <f t="shared" si="17"/>
        <v>0</v>
      </c>
      <c r="AJ9" s="326">
        <f>-tanks!AW10</f>
        <v>0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46">AN8</f>
        <v>70</v>
      </c>
      <c r="AO9" s="328">
        <f t="shared" si="20"/>
        <v>2100</v>
      </c>
      <c r="AP9" s="64">
        <f t="shared" si="46"/>
        <v>74</v>
      </c>
      <c r="AQ9" s="328">
        <f t="shared" si="21"/>
        <v>2220</v>
      </c>
      <c r="AR9" s="64">
        <f t="shared" ref="AR9" si="47">AR8</f>
        <v>75</v>
      </c>
      <c r="AS9" s="328">
        <f>(AR9/100)*3000</f>
        <v>2250</v>
      </c>
      <c r="AT9" s="328">
        <f t="shared" si="38"/>
        <v>6570</v>
      </c>
      <c r="AU9" s="328">
        <f t="shared" si="39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f t="shared" si="23"/>
        <v>188</v>
      </c>
      <c r="C10" s="64">
        <f t="shared" si="24"/>
        <v>194</v>
      </c>
      <c r="D10" s="45">
        <f t="shared" si="25"/>
        <v>0</v>
      </c>
      <c r="E10" s="45">
        <f t="shared" si="9"/>
        <v>0</v>
      </c>
      <c r="F10" s="64">
        <f t="shared" si="26"/>
        <v>1648</v>
      </c>
      <c r="G10" s="52">
        <f t="shared" si="0"/>
        <v>0</v>
      </c>
      <c r="H10" s="64">
        <f t="shared" si="26"/>
        <v>357868</v>
      </c>
      <c r="I10" s="406">
        <f t="shared" si="1"/>
        <v>0</v>
      </c>
      <c r="J10" s="66">
        <f t="shared" si="10"/>
        <v>0</v>
      </c>
      <c r="K10" s="64">
        <f t="shared" si="27"/>
        <v>2101</v>
      </c>
      <c r="L10" s="52">
        <f t="shared" si="2"/>
        <v>0</v>
      </c>
      <c r="M10" s="64">
        <f t="shared" si="27"/>
        <v>154206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8">Q9</f>
        <v>155805</v>
      </c>
      <c r="R10" s="405">
        <f t="shared" si="4"/>
        <v>0</v>
      </c>
      <c r="S10" s="52">
        <f t="shared" si="5"/>
        <v>0</v>
      </c>
      <c r="T10" s="67">
        <f t="shared" si="29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0"/>
        <v>2418</v>
      </c>
      <c r="Y10" s="52">
        <f t="shared" si="15"/>
        <v>0</v>
      </c>
      <c r="Z10" s="64">
        <f t="shared" si="30"/>
        <v>135983</v>
      </c>
      <c r="AA10" s="65">
        <f t="shared" si="6"/>
        <v>0</v>
      </c>
      <c r="AB10" s="292">
        <f t="shared" si="31"/>
        <v>0</v>
      </c>
      <c r="AC10" s="64">
        <f t="shared" ref="AC10:AE10" si="49">AC9</f>
        <v>1923</v>
      </c>
      <c r="AD10" s="45">
        <f t="shared" si="7"/>
        <v>0</v>
      </c>
      <c r="AE10" s="64">
        <f t="shared" si="49"/>
        <v>364710</v>
      </c>
      <c r="AF10" s="314">
        <f t="shared" si="16"/>
        <v>0</v>
      </c>
      <c r="AG10" s="212">
        <f t="shared" si="33"/>
        <v>0</v>
      </c>
      <c r="AH10" s="62">
        <f t="shared" si="34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50">AN9</f>
        <v>70</v>
      </c>
      <c r="AO10" s="328">
        <f t="shared" si="20"/>
        <v>2100</v>
      </c>
      <c r="AP10" s="64">
        <f t="shared" si="50"/>
        <v>74</v>
      </c>
      <c r="AQ10" s="328">
        <f t="shared" si="21"/>
        <v>2220</v>
      </c>
      <c r="AR10" s="64">
        <f t="shared" ref="AR10" si="51">AR9</f>
        <v>75</v>
      </c>
      <c r="AS10" s="328">
        <f t="shared" si="37"/>
        <v>2250</v>
      </c>
      <c r="AT10" s="328">
        <f t="shared" si="38"/>
        <v>6570</v>
      </c>
      <c r="AU10" s="328">
        <f t="shared" si="39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f t="shared" si="23"/>
        <v>188</v>
      </c>
      <c r="C11" s="64">
        <f t="shared" si="24"/>
        <v>194</v>
      </c>
      <c r="D11" s="45">
        <f t="shared" si="25"/>
        <v>0</v>
      </c>
      <c r="E11" s="45">
        <f t="shared" si="9"/>
        <v>0</v>
      </c>
      <c r="F11" s="64">
        <f t="shared" si="26"/>
        <v>1648</v>
      </c>
      <c r="G11" s="52">
        <f t="shared" si="0"/>
        <v>0</v>
      </c>
      <c r="H11" s="64">
        <f t="shared" si="26"/>
        <v>357868</v>
      </c>
      <c r="I11" s="406">
        <f t="shared" si="1"/>
        <v>0</v>
      </c>
      <c r="J11" s="66">
        <f t="shared" si="10"/>
        <v>0</v>
      </c>
      <c r="K11" s="64">
        <f t="shared" si="27"/>
        <v>2101</v>
      </c>
      <c r="L11" s="52">
        <f t="shared" si="2"/>
        <v>0</v>
      </c>
      <c r="M11" s="64">
        <f t="shared" si="27"/>
        <v>154206</v>
      </c>
      <c r="N11" s="406">
        <f t="shared" si="3"/>
        <v>0</v>
      </c>
      <c r="O11" s="64">
        <f t="shared" si="11"/>
        <v>211.87499999999994</v>
      </c>
      <c r="P11" s="64">
        <f t="shared" si="11"/>
        <v>1835</v>
      </c>
      <c r="Q11" s="64">
        <f t="shared" ref="Q11" si="52">Q10</f>
        <v>155805</v>
      </c>
      <c r="R11" s="405">
        <f t="shared" ref="R11:R34" si="53">Q11-Q10</f>
        <v>0</v>
      </c>
      <c r="S11" s="52">
        <f t="shared" si="5"/>
        <v>0</v>
      </c>
      <c r="T11" s="67">
        <f t="shared" si="29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0"/>
        <v>2418</v>
      </c>
      <c r="Y11" s="52">
        <f t="shared" si="15"/>
        <v>0</v>
      </c>
      <c r="Z11" s="64">
        <f t="shared" si="30"/>
        <v>135983</v>
      </c>
      <c r="AA11" s="65">
        <f t="shared" si="6"/>
        <v>0</v>
      </c>
      <c r="AB11" s="292">
        <f t="shared" si="31"/>
        <v>0</v>
      </c>
      <c r="AC11" s="64">
        <f t="shared" ref="AC11:AE11" si="54">AC10</f>
        <v>1923</v>
      </c>
      <c r="AD11" s="45">
        <f t="shared" si="7"/>
        <v>0</v>
      </c>
      <c r="AE11" s="64">
        <f t="shared" si="54"/>
        <v>364710</v>
      </c>
      <c r="AF11" s="314">
        <f t="shared" si="16"/>
        <v>0</v>
      </c>
      <c r="AG11" s="212">
        <f t="shared" si="33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55">AN10</f>
        <v>70</v>
      </c>
      <c r="AO11" s="328">
        <f t="shared" si="20"/>
        <v>2100</v>
      </c>
      <c r="AP11" s="64">
        <f t="shared" si="55"/>
        <v>74</v>
      </c>
      <c r="AQ11" s="328">
        <f t="shared" si="21"/>
        <v>2220</v>
      </c>
      <c r="AR11" s="64">
        <f t="shared" ref="AR11" si="56">AR10</f>
        <v>75</v>
      </c>
      <c r="AS11" s="328">
        <f t="shared" si="37"/>
        <v>2250</v>
      </c>
      <c r="AT11" s="328">
        <f t="shared" si="38"/>
        <v>6570</v>
      </c>
      <c r="AU11" s="328">
        <f t="shared" si="39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f t="shared" si="23"/>
        <v>188</v>
      </c>
      <c r="C12" s="64">
        <f t="shared" si="24"/>
        <v>194</v>
      </c>
      <c r="D12" s="45">
        <f t="shared" si="25"/>
        <v>0</v>
      </c>
      <c r="E12" s="45">
        <f t="shared" si="9"/>
        <v>0</v>
      </c>
      <c r="F12" s="64">
        <f t="shared" si="26"/>
        <v>1648</v>
      </c>
      <c r="G12" s="52">
        <f t="shared" si="0"/>
        <v>0</v>
      </c>
      <c r="H12" s="64">
        <f t="shared" si="26"/>
        <v>357868</v>
      </c>
      <c r="I12" s="406">
        <f t="shared" si="1"/>
        <v>0</v>
      </c>
      <c r="J12" s="66">
        <f t="shared" si="10"/>
        <v>0</v>
      </c>
      <c r="K12" s="64">
        <f t="shared" si="27"/>
        <v>2101</v>
      </c>
      <c r="L12" s="52">
        <f t="shared" si="2"/>
        <v>0</v>
      </c>
      <c r="M12" s="64">
        <f t="shared" si="27"/>
        <v>154206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57">Q11</f>
        <v>155805</v>
      </c>
      <c r="R12" s="405">
        <f t="shared" si="53"/>
        <v>0</v>
      </c>
      <c r="S12" s="52">
        <f t="shared" si="5"/>
        <v>0</v>
      </c>
      <c r="T12" s="67">
        <f t="shared" si="29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0"/>
        <v>2418</v>
      </c>
      <c r="Y12" s="52">
        <f t="shared" si="15"/>
        <v>0</v>
      </c>
      <c r="Z12" s="64">
        <f t="shared" si="30"/>
        <v>135983</v>
      </c>
      <c r="AA12" s="65">
        <f t="shared" si="6"/>
        <v>0</v>
      </c>
      <c r="AB12" s="292">
        <f t="shared" si="31"/>
        <v>0</v>
      </c>
      <c r="AC12" s="64">
        <f t="shared" ref="AC12:AE12" si="58">AC11</f>
        <v>1923</v>
      </c>
      <c r="AD12" s="45">
        <f t="shared" si="7"/>
        <v>0</v>
      </c>
      <c r="AE12" s="64">
        <f t="shared" si="58"/>
        <v>364710</v>
      </c>
      <c r="AF12" s="314">
        <f t="shared" si="16"/>
        <v>0</v>
      </c>
      <c r="AG12" s="212">
        <f t="shared" si="33"/>
        <v>0</v>
      </c>
      <c r="AH12" s="62">
        <f t="shared" si="34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59">AN11</f>
        <v>70</v>
      </c>
      <c r="AO12" s="328">
        <f t="shared" si="20"/>
        <v>2100</v>
      </c>
      <c r="AP12" s="64">
        <f t="shared" si="59"/>
        <v>74</v>
      </c>
      <c r="AQ12" s="328">
        <f t="shared" si="21"/>
        <v>2220</v>
      </c>
      <c r="AR12" s="64">
        <f t="shared" ref="AR12" si="60">AR11</f>
        <v>75</v>
      </c>
      <c r="AS12" s="328">
        <f t="shared" si="37"/>
        <v>2250</v>
      </c>
      <c r="AT12" s="328">
        <f t="shared" si="38"/>
        <v>6570</v>
      </c>
      <c r="AU12" s="328">
        <f t="shared" si="39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f t="shared" si="23"/>
        <v>188</v>
      </c>
      <c r="C13" s="64">
        <f t="shared" si="24"/>
        <v>194</v>
      </c>
      <c r="D13" s="45">
        <f t="shared" si="25"/>
        <v>0</v>
      </c>
      <c r="E13" s="45">
        <f t="shared" si="9"/>
        <v>0</v>
      </c>
      <c r="F13" s="64">
        <f t="shared" si="26"/>
        <v>1648</v>
      </c>
      <c r="G13" s="52">
        <f t="shared" si="0"/>
        <v>0</v>
      </c>
      <c r="H13" s="64">
        <f t="shared" si="26"/>
        <v>357868</v>
      </c>
      <c r="I13" s="406">
        <f t="shared" si="1"/>
        <v>0</v>
      </c>
      <c r="J13" s="66">
        <f t="shared" si="10"/>
        <v>0</v>
      </c>
      <c r="K13" s="64">
        <f t="shared" si="27"/>
        <v>2101</v>
      </c>
      <c r="L13" s="52">
        <f t="shared" si="2"/>
        <v>0</v>
      </c>
      <c r="M13" s="64">
        <f t="shared" si="27"/>
        <v>154206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61">Q12</f>
        <v>155805</v>
      </c>
      <c r="R13" s="405">
        <f t="shared" si="53"/>
        <v>0</v>
      </c>
      <c r="S13" s="52">
        <f t="shared" si="5"/>
        <v>0</v>
      </c>
      <c r="T13" s="67">
        <f t="shared" si="29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0"/>
        <v>2418</v>
      </c>
      <c r="Y13" s="52">
        <f t="shared" si="15"/>
        <v>0</v>
      </c>
      <c r="Z13" s="64">
        <f t="shared" si="30"/>
        <v>135983</v>
      </c>
      <c r="AA13" s="292">
        <f t="shared" si="6"/>
        <v>0</v>
      </c>
      <c r="AB13" s="292">
        <f t="shared" si="31"/>
        <v>0</v>
      </c>
      <c r="AC13" s="64">
        <f t="shared" ref="AC13:AE13" si="62">AC12</f>
        <v>1923</v>
      </c>
      <c r="AD13" s="45">
        <f t="shared" si="7"/>
        <v>0</v>
      </c>
      <c r="AE13" s="64">
        <f t="shared" si="62"/>
        <v>364710</v>
      </c>
      <c r="AF13" s="314">
        <f t="shared" si="16"/>
        <v>0</v>
      </c>
      <c r="AG13" s="212">
        <f t="shared" si="33"/>
        <v>0</v>
      </c>
      <c r="AH13" s="62">
        <f t="shared" si="34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63">AN12</f>
        <v>70</v>
      </c>
      <c r="AO13" s="328">
        <f t="shared" si="20"/>
        <v>2100</v>
      </c>
      <c r="AP13" s="64">
        <f t="shared" si="63"/>
        <v>74</v>
      </c>
      <c r="AQ13" s="328">
        <f t="shared" si="21"/>
        <v>2220</v>
      </c>
      <c r="AR13" s="64">
        <f t="shared" ref="AR13" si="64">AR12</f>
        <v>75</v>
      </c>
      <c r="AS13" s="328">
        <f t="shared" si="37"/>
        <v>2250</v>
      </c>
      <c r="AT13" s="328">
        <f t="shared" si="38"/>
        <v>6570</v>
      </c>
      <c r="AU13" s="328">
        <f t="shared" si="39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f t="shared" si="23"/>
        <v>188</v>
      </c>
      <c r="C14" s="64">
        <f t="shared" si="24"/>
        <v>194</v>
      </c>
      <c r="D14" s="45">
        <f t="shared" si="25"/>
        <v>0</v>
      </c>
      <c r="E14" s="45">
        <f t="shared" si="9"/>
        <v>0</v>
      </c>
      <c r="F14" s="64">
        <f t="shared" si="26"/>
        <v>1648</v>
      </c>
      <c r="G14" s="52">
        <f t="shared" si="0"/>
        <v>0</v>
      </c>
      <c r="H14" s="64">
        <f t="shared" si="26"/>
        <v>357868</v>
      </c>
      <c r="I14" s="406">
        <f t="shared" si="1"/>
        <v>0</v>
      </c>
      <c r="J14" s="66">
        <f t="shared" si="10"/>
        <v>0</v>
      </c>
      <c r="K14" s="64">
        <f t="shared" si="27"/>
        <v>2101</v>
      </c>
      <c r="L14" s="52">
        <f t="shared" si="2"/>
        <v>0</v>
      </c>
      <c r="M14" s="64">
        <f t="shared" si="27"/>
        <v>154206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65">Q13</f>
        <v>155805</v>
      </c>
      <c r="R14" s="405">
        <f t="shared" si="53"/>
        <v>0</v>
      </c>
      <c r="S14" s="52">
        <f t="shared" si="5"/>
        <v>0</v>
      </c>
      <c r="T14" s="67">
        <f t="shared" si="29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0"/>
        <v>2418</v>
      </c>
      <c r="Y14" s="52">
        <f t="shared" si="15"/>
        <v>0</v>
      </c>
      <c r="Z14" s="64">
        <f t="shared" si="30"/>
        <v>135983</v>
      </c>
      <c r="AA14" s="65">
        <f t="shared" si="6"/>
        <v>0</v>
      </c>
      <c r="AB14" s="292">
        <f t="shared" si="31"/>
        <v>0</v>
      </c>
      <c r="AC14" s="64">
        <f t="shared" ref="AC14:AE14" si="66">AC13</f>
        <v>1923</v>
      </c>
      <c r="AD14" s="45">
        <f t="shared" si="7"/>
        <v>0</v>
      </c>
      <c r="AE14" s="64">
        <f t="shared" si="66"/>
        <v>364710</v>
      </c>
      <c r="AF14" s="314">
        <f>AE14-AE13</f>
        <v>0</v>
      </c>
      <c r="AG14" s="212">
        <f t="shared" si="33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67">AN13</f>
        <v>70</v>
      </c>
      <c r="AO14" s="328">
        <f t="shared" si="20"/>
        <v>2100</v>
      </c>
      <c r="AP14" s="64">
        <f t="shared" si="67"/>
        <v>74</v>
      </c>
      <c r="AQ14" s="328">
        <f t="shared" si="21"/>
        <v>2220</v>
      </c>
      <c r="AR14" s="64">
        <f t="shared" ref="AR14" si="68">AR13</f>
        <v>75</v>
      </c>
      <c r="AS14" s="328">
        <f t="shared" si="37"/>
        <v>2250</v>
      </c>
      <c r="AT14" s="328">
        <f t="shared" si="38"/>
        <v>6570</v>
      </c>
      <c r="AU14" s="328">
        <f t="shared" si="39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f t="shared" si="23"/>
        <v>188</v>
      </c>
      <c r="C15" s="64">
        <f t="shared" si="24"/>
        <v>194</v>
      </c>
      <c r="D15" s="45">
        <f t="shared" si="25"/>
        <v>0</v>
      </c>
      <c r="E15" s="45">
        <f t="shared" si="9"/>
        <v>0</v>
      </c>
      <c r="F15" s="64">
        <f t="shared" si="26"/>
        <v>1648</v>
      </c>
      <c r="G15" s="52">
        <f t="shared" si="0"/>
        <v>0</v>
      </c>
      <c r="H15" s="64">
        <f t="shared" si="26"/>
        <v>357868</v>
      </c>
      <c r="I15" s="406">
        <f t="shared" si="1"/>
        <v>0</v>
      </c>
      <c r="J15" s="66">
        <f t="shared" si="10"/>
        <v>0</v>
      </c>
      <c r="K15" s="64">
        <f t="shared" si="27"/>
        <v>2101</v>
      </c>
      <c r="L15" s="52">
        <f t="shared" si="2"/>
        <v>0</v>
      </c>
      <c r="M15" s="64">
        <f t="shared" si="27"/>
        <v>154206</v>
      </c>
      <c r="N15" s="406">
        <f t="shared" si="3"/>
        <v>0</v>
      </c>
      <c r="O15" s="64">
        <f t="shared" si="11"/>
        <v>211.87499999999994</v>
      </c>
      <c r="P15" s="64">
        <f t="shared" si="11"/>
        <v>1835</v>
      </c>
      <c r="Q15" s="64">
        <f t="shared" ref="Q15" si="69">Q14</f>
        <v>155805</v>
      </c>
      <c r="R15" s="405">
        <f t="shared" si="53"/>
        <v>0</v>
      </c>
      <c r="S15" s="52">
        <f t="shared" si="5"/>
        <v>0</v>
      </c>
      <c r="T15" s="67">
        <f t="shared" si="29"/>
        <v>0</v>
      </c>
      <c r="U15" s="412">
        <f t="shared" si="12"/>
        <v>0</v>
      </c>
      <c r="V15" s="62">
        <f t="shared" si="13"/>
        <v>0</v>
      </c>
      <c r="W15" s="410" t="e">
        <f t="shared" si="14"/>
        <v>#DIV/0!</v>
      </c>
      <c r="X15" s="64">
        <f t="shared" si="30"/>
        <v>2418</v>
      </c>
      <c r="Y15" s="52">
        <f t="shared" si="15"/>
        <v>0</v>
      </c>
      <c r="Z15" s="64">
        <f t="shared" si="30"/>
        <v>135983</v>
      </c>
      <c r="AA15" s="65">
        <f t="shared" si="6"/>
        <v>0</v>
      </c>
      <c r="AB15" s="292">
        <f t="shared" si="31"/>
        <v>0</v>
      </c>
      <c r="AC15" s="64">
        <f t="shared" ref="AC15:AE15" si="70">AC14</f>
        <v>1923</v>
      </c>
      <c r="AD15" s="45">
        <f t="shared" si="7"/>
        <v>0</v>
      </c>
      <c r="AE15" s="64">
        <f t="shared" si="70"/>
        <v>364710</v>
      </c>
      <c r="AF15" s="314">
        <f t="shared" si="16"/>
        <v>0</v>
      </c>
      <c r="AG15" s="212">
        <f t="shared" si="33"/>
        <v>0</v>
      </c>
      <c r="AH15" s="62">
        <f t="shared" si="34"/>
        <v>0</v>
      </c>
      <c r="AI15" s="326">
        <f t="shared" si="17"/>
        <v>0</v>
      </c>
      <c r="AJ15" s="326">
        <f>-tanks!AW16</f>
        <v>0</v>
      </c>
      <c r="AK15" s="326">
        <f t="shared" si="18"/>
        <v>0</v>
      </c>
      <c r="AL15" s="326">
        <f t="shared" si="8"/>
        <v>0</v>
      </c>
      <c r="AM15" s="326">
        <f t="shared" si="19"/>
        <v>0</v>
      </c>
      <c r="AN15" s="64">
        <f t="shared" ref="AN15:AP15" si="71">AN14</f>
        <v>70</v>
      </c>
      <c r="AO15" s="328">
        <f t="shared" si="20"/>
        <v>2100</v>
      </c>
      <c r="AP15" s="64">
        <f t="shared" si="71"/>
        <v>74</v>
      </c>
      <c r="AQ15" s="328">
        <f t="shared" si="21"/>
        <v>2220</v>
      </c>
      <c r="AR15" s="64">
        <f t="shared" ref="AR15" si="72">AR14</f>
        <v>75</v>
      </c>
      <c r="AS15" s="328">
        <f t="shared" si="37"/>
        <v>2250</v>
      </c>
      <c r="AT15" s="328">
        <f t="shared" si="38"/>
        <v>6570</v>
      </c>
      <c r="AU15" s="328">
        <f t="shared" si="39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f t="shared" si="23"/>
        <v>188</v>
      </c>
      <c r="C16" s="64">
        <f t="shared" si="24"/>
        <v>194</v>
      </c>
      <c r="D16" s="45">
        <f t="shared" si="25"/>
        <v>0</v>
      </c>
      <c r="E16" s="45">
        <f t="shared" si="9"/>
        <v>0</v>
      </c>
      <c r="F16" s="64">
        <f t="shared" si="26"/>
        <v>1648</v>
      </c>
      <c r="G16" s="52">
        <f t="shared" si="0"/>
        <v>0</v>
      </c>
      <c r="H16" s="64">
        <f t="shared" si="26"/>
        <v>357868</v>
      </c>
      <c r="I16" s="406">
        <f t="shared" si="1"/>
        <v>0</v>
      </c>
      <c r="J16" s="66">
        <f t="shared" si="10"/>
        <v>0</v>
      </c>
      <c r="K16" s="64">
        <f t="shared" si="27"/>
        <v>2101</v>
      </c>
      <c r="L16" s="52">
        <f t="shared" si="2"/>
        <v>0</v>
      </c>
      <c r="M16" s="64">
        <f t="shared" si="27"/>
        <v>154206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73">Q15</f>
        <v>155805</v>
      </c>
      <c r="R16" s="405">
        <f t="shared" si="53"/>
        <v>0</v>
      </c>
      <c r="S16" s="52">
        <f t="shared" si="5"/>
        <v>0</v>
      </c>
      <c r="T16" s="67">
        <f t="shared" si="29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0"/>
        <v>2418</v>
      </c>
      <c r="Y16" s="52">
        <f t="shared" si="15"/>
        <v>0</v>
      </c>
      <c r="Z16" s="64">
        <f t="shared" si="30"/>
        <v>135983</v>
      </c>
      <c r="AA16" s="65">
        <f t="shared" si="6"/>
        <v>0</v>
      </c>
      <c r="AB16" s="292">
        <f t="shared" si="31"/>
        <v>0</v>
      </c>
      <c r="AC16" s="64">
        <f t="shared" ref="AC16:AE16" si="74">AC15</f>
        <v>1923</v>
      </c>
      <c r="AD16" s="45">
        <f t="shared" si="7"/>
        <v>0</v>
      </c>
      <c r="AE16" s="64">
        <f t="shared" si="74"/>
        <v>364710</v>
      </c>
      <c r="AF16" s="314">
        <f t="shared" si="16"/>
        <v>0</v>
      </c>
      <c r="AG16" s="212">
        <f t="shared" si="33"/>
        <v>0</v>
      </c>
      <c r="AH16" s="62">
        <f t="shared" si="34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75">AN15</f>
        <v>70</v>
      </c>
      <c r="AO16" s="328">
        <f t="shared" si="20"/>
        <v>2100</v>
      </c>
      <c r="AP16" s="64">
        <f t="shared" si="75"/>
        <v>74</v>
      </c>
      <c r="AQ16" s="328">
        <f t="shared" si="21"/>
        <v>2220</v>
      </c>
      <c r="AR16" s="64">
        <f t="shared" ref="AR16" si="76">AR15</f>
        <v>75</v>
      </c>
      <c r="AS16" s="328">
        <f t="shared" si="37"/>
        <v>2250</v>
      </c>
      <c r="AT16" s="328">
        <f t="shared" si="38"/>
        <v>6570</v>
      </c>
      <c r="AU16" s="328">
        <f t="shared" si="39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si="23"/>
        <v>188</v>
      </c>
      <c r="C17" s="64">
        <f t="shared" si="24"/>
        <v>194</v>
      </c>
      <c r="D17" s="45">
        <f t="shared" si="25"/>
        <v>0</v>
      </c>
      <c r="E17" s="45">
        <f t="shared" si="9"/>
        <v>0</v>
      </c>
      <c r="F17" s="64">
        <f t="shared" si="26"/>
        <v>1648</v>
      </c>
      <c r="G17" s="52">
        <f t="shared" si="0"/>
        <v>0</v>
      </c>
      <c r="H17" s="64">
        <f t="shared" si="26"/>
        <v>357868</v>
      </c>
      <c r="I17" s="406">
        <f t="shared" si="1"/>
        <v>0</v>
      </c>
      <c r="J17" s="66">
        <f t="shared" si="10"/>
        <v>0</v>
      </c>
      <c r="K17" s="64">
        <f t="shared" si="27"/>
        <v>2101</v>
      </c>
      <c r="L17" s="52">
        <f t="shared" si="2"/>
        <v>0</v>
      </c>
      <c r="M17" s="64">
        <f t="shared" si="27"/>
        <v>154206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77">Q16</f>
        <v>155805</v>
      </c>
      <c r="R17" s="405">
        <f t="shared" si="53"/>
        <v>0</v>
      </c>
      <c r="S17" s="52">
        <f t="shared" si="5"/>
        <v>0</v>
      </c>
      <c r="T17" s="67">
        <f t="shared" si="29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0"/>
        <v>2418</v>
      </c>
      <c r="Y17" s="52">
        <f t="shared" si="15"/>
        <v>0</v>
      </c>
      <c r="Z17" s="64">
        <f t="shared" si="30"/>
        <v>135983</v>
      </c>
      <c r="AA17" s="65">
        <f t="shared" si="6"/>
        <v>0</v>
      </c>
      <c r="AB17" s="292">
        <f t="shared" si="31"/>
        <v>0</v>
      </c>
      <c r="AC17" s="64">
        <f t="shared" ref="AC17:AE17" si="78">AC16</f>
        <v>1923</v>
      </c>
      <c r="AD17" s="45">
        <f t="shared" si="7"/>
        <v>0</v>
      </c>
      <c r="AE17" s="64">
        <f t="shared" si="78"/>
        <v>364710</v>
      </c>
      <c r="AF17" s="314">
        <f t="shared" si="16"/>
        <v>0</v>
      </c>
      <c r="AG17" s="212">
        <f t="shared" si="33"/>
        <v>0</v>
      </c>
      <c r="AH17" s="62">
        <f t="shared" si="34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9">AN16</f>
        <v>70</v>
      </c>
      <c r="AO17" s="328">
        <f t="shared" si="20"/>
        <v>2100</v>
      </c>
      <c r="AP17" s="64">
        <f t="shared" si="79"/>
        <v>74</v>
      </c>
      <c r="AQ17" s="328">
        <f t="shared" si="21"/>
        <v>2220</v>
      </c>
      <c r="AR17" s="64">
        <f t="shared" ref="AR17" si="80">AR16</f>
        <v>75</v>
      </c>
      <c r="AS17" s="328">
        <f t="shared" si="37"/>
        <v>2250</v>
      </c>
      <c r="AT17" s="328">
        <f t="shared" si="38"/>
        <v>6570</v>
      </c>
      <c r="AU17" s="328">
        <f t="shared" si="39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f t="shared" si="23"/>
        <v>188</v>
      </c>
      <c r="C18" s="64">
        <f t="shared" si="24"/>
        <v>194</v>
      </c>
      <c r="D18" s="45">
        <f t="shared" si="25"/>
        <v>0</v>
      </c>
      <c r="E18" s="45">
        <f t="shared" si="9"/>
        <v>0</v>
      </c>
      <c r="F18" s="64">
        <f t="shared" si="26"/>
        <v>1648</v>
      </c>
      <c r="G18" s="52">
        <f t="shared" si="0"/>
        <v>0</v>
      </c>
      <c r="H18" s="64">
        <f t="shared" si="26"/>
        <v>357868</v>
      </c>
      <c r="I18" s="406">
        <f t="shared" si="1"/>
        <v>0</v>
      </c>
      <c r="J18" s="66">
        <f t="shared" si="10"/>
        <v>0</v>
      </c>
      <c r="K18" s="64">
        <f t="shared" si="27"/>
        <v>2101</v>
      </c>
      <c r="L18" s="52">
        <f t="shared" si="2"/>
        <v>0</v>
      </c>
      <c r="M18" s="64">
        <f t="shared" si="27"/>
        <v>154206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81">Q17</f>
        <v>155805</v>
      </c>
      <c r="R18" s="405">
        <f t="shared" si="53"/>
        <v>0</v>
      </c>
      <c r="S18" s="52">
        <f t="shared" si="5"/>
        <v>0</v>
      </c>
      <c r="T18" s="67">
        <f t="shared" si="29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0"/>
        <v>2418</v>
      </c>
      <c r="Y18" s="52">
        <f t="shared" si="15"/>
        <v>0</v>
      </c>
      <c r="Z18" s="64">
        <f t="shared" si="30"/>
        <v>135983</v>
      </c>
      <c r="AA18" s="65">
        <f t="shared" si="6"/>
        <v>0</v>
      </c>
      <c r="AB18" s="292">
        <f t="shared" ref="AB18:AB23" si="82">SUM(Y18*$AB$2)</f>
        <v>0</v>
      </c>
      <c r="AC18" s="64">
        <f t="shared" ref="AC18:AE18" si="83">AC17</f>
        <v>1923</v>
      </c>
      <c r="AD18" s="45">
        <f t="shared" si="7"/>
        <v>0</v>
      </c>
      <c r="AE18" s="64">
        <f t="shared" si="83"/>
        <v>364710</v>
      </c>
      <c r="AF18" s="314">
        <f t="shared" si="16"/>
        <v>0</v>
      </c>
      <c r="AG18" s="212">
        <f t="shared" si="33"/>
        <v>0</v>
      </c>
      <c r="AH18" s="62">
        <f t="shared" si="34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84">AN17</f>
        <v>70</v>
      </c>
      <c r="AO18" s="328">
        <f t="shared" si="20"/>
        <v>2100</v>
      </c>
      <c r="AP18" s="64">
        <f t="shared" si="84"/>
        <v>74</v>
      </c>
      <c r="AQ18" s="328">
        <f t="shared" si="21"/>
        <v>2220</v>
      </c>
      <c r="AR18" s="64">
        <f t="shared" ref="AR18" si="85">AR17</f>
        <v>75</v>
      </c>
      <c r="AS18" s="328">
        <f t="shared" si="37"/>
        <v>2250</v>
      </c>
      <c r="AT18" s="328">
        <f t="shared" si="38"/>
        <v>6570</v>
      </c>
      <c r="AU18" s="328">
        <f t="shared" si="39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f t="shared" si="23"/>
        <v>188</v>
      </c>
      <c r="C19" s="64">
        <f t="shared" si="24"/>
        <v>194</v>
      </c>
      <c r="D19" s="45">
        <f t="shared" si="25"/>
        <v>0</v>
      </c>
      <c r="E19" s="45">
        <f t="shared" si="9"/>
        <v>0</v>
      </c>
      <c r="F19" s="64">
        <f t="shared" si="26"/>
        <v>1648</v>
      </c>
      <c r="G19" s="52">
        <f t="shared" si="0"/>
        <v>0</v>
      </c>
      <c r="H19" s="64">
        <f t="shared" si="26"/>
        <v>357868</v>
      </c>
      <c r="I19" s="406">
        <f t="shared" si="1"/>
        <v>0</v>
      </c>
      <c r="J19" s="66">
        <f t="shared" si="10"/>
        <v>0</v>
      </c>
      <c r="K19" s="64">
        <f t="shared" si="27"/>
        <v>2101</v>
      </c>
      <c r="L19" s="52">
        <f t="shared" si="2"/>
        <v>0</v>
      </c>
      <c r="M19" s="64">
        <f t="shared" si="27"/>
        <v>154206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86">Q18</f>
        <v>155805</v>
      </c>
      <c r="R19" s="405">
        <f t="shared" si="53"/>
        <v>0</v>
      </c>
      <c r="S19" s="52">
        <f t="shared" si="5"/>
        <v>0</v>
      </c>
      <c r="T19" s="67">
        <f t="shared" si="29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0"/>
        <v>2418</v>
      </c>
      <c r="Y19" s="52">
        <f t="shared" si="15"/>
        <v>0</v>
      </c>
      <c r="Z19" s="64">
        <f t="shared" si="30"/>
        <v>135983</v>
      </c>
      <c r="AA19" s="65">
        <f t="shared" si="6"/>
        <v>0</v>
      </c>
      <c r="AB19" s="292">
        <f t="shared" si="82"/>
        <v>0</v>
      </c>
      <c r="AC19" s="64">
        <f t="shared" ref="AC19:AE19" si="87">AC18</f>
        <v>1923</v>
      </c>
      <c r="AD19" s="45">
        <f t="shared" si="7"/>
        <v>0</v>
      </c>
      <c r="AE19" s="64">
        <f t="shared" si="87"/>
        <v>364710</v>
      </c>
      <c r="AF19" s="314">
        <f t="shared" si="16"/>
        <v>0</v>
      </c>
      <c r="AG19" s="212">
        <f t="shared" si="33"/>
        <v>0</v>
      </c>
      <c r="AH19" s="62">
        <f t="shared" si="34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88">AN18</f>
        <v>70</v>
      </c>
      <c r="AO19" s="328">
        <f t="shared" si="20"/>
        <v>2100</v>
      </c>
      <c r="AP19" s="64">
        <f t="shared" si="88"/>
        <v>74</v>
      </c>
      <c r="AQ19" s="328">
        <f t="shared" si="21"/>
        <v>2220</v>
      </c>
      <c r="AR19" s="64">
        <f t="shared" ref="AR19" si="89">AR18</f>
        <v>75</v>
      </c>
      <c r="AS19" s="328">
        <f t="shared" si="37"/>
        <v>2250</v>
      </c>
      <c r="AT19" s="328">
        <f t="shared" si="38"/>
        <v>6570</v>
      </c>
      <c r="AU19" s="328">
        <f t="shared" si="39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f t="shared" si="23"/>
        <v>188</v>
      </c>
      <c r="C20" s="64">
        <f t="shared" si="24"/>
        <v>194</v>
      </c>
      <c r="D20" s="45">
        <f>C19-C20</f>
        <v>0</v>
      </c>
      <c r="E20" s="45">
        <f t="shared" si="9"/>
        <v>0</v>
      </c>
      <c r="F20" s="64">
        <f t="shared" si="26"/>
        <v>1648</v>
      </c>
      <c r="G20" s="52">
        <f t="shared" si="0"/>
        <v>0</v>
      </c>
      <c r="H20" s="64">
        <f t="shared" si="26"/>
        <v>357868</v>
      </c>
      <c r="I20" s="406">
        <f t="shared" si="1"/>
        <v>0</v>
      </c>
      <c r="J20" s="66">
        <f t="shared" si="10"/>
        <v>0</v>
      </c>
      <c r="K20" s="64">
        <f t="shared" si="27"/>
        <v>2101</v>
      </c>
      <c r="L20" s="52">
        <f t="shared" si="2"/>
        <v>0</v>
      </c>
      <c r="M20" s="64">
        <f t="shared" si="27"/>
        <v>154206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90">Q19</f>
        <v>155805</v>
      </c>
      <c r="R20" s="405">
        <f t="shared" si="53"/>
        <v>0</v>
      </c>
      <c r="S20" s="52">
        <f t="shared" si="5"/>
        <v>0</v>
      </c>
      <c r="T20" s="67">
        <f t="shared" si="29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0"/>
        <v>2418</v>
      </c>
      <c r="Y20" s="52">
        <f t="shared" si="15"/>
        <v>0</v>
      </c>
      <c r="Z20" s="64">
        <f t="shared" si="30"/>
        <v>135983</v>
      </c>
      <c r="AA20" s="65">
        <f t="shared" si="6"/>
        <v>0</v>
      </c>
      <c r="AB20" s="292">
        <f t="shared" si="82"/>
        <v>0</v>
      </c>
      <c r="AC20" s="64">
        <f t="shared" ref="AC20:AE20" si="91">AC19</f>
        <v>1923</v>
      </c>
      <c r="AD20" s="45">
        <f t="shared" si="7"/>
        <v>0</v>
      </c>
      <c r="AE20" s="64">
        <f t="shared" si="91"/>
        <v>364710</v>
      </c>
      <c r="AF20" s="314">
        <f t="shared" si="16"/>
        <v>0</v>
      </c>
      <c r="AG20" s="212">
        <f t="shared" si="33"/>
        <v>0</v>
      </c>
      <c r="AH20" s="62">
        <f t="shared" si="34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92">AN19</f>
        <v>70</v>
      </c>
      <c r="AO20" s="328">
        <f t="shared" si="20"/>
        <v>2100</v>
      </c>
      <c r="AP20" s="64">
        <f t="shared" si="92"/>
        <v>74</v>
      </c>
      <c r="AQ20" s="328">
        <f t="shared" si="21"/>
        <v>2220</v>
      </c>
      <c r="AR20" s="64">
        <f t="shared" ref="AR20" si="93">AR19</f>
        <v>75</v>
      </c>
      <c r="AS20" s="328">
        <f t="shared" si="37"/>
        <v>2250</v>
      </c>
      <c r="AT20" s="328">
        <f t="shared" si="38"/>
        <v>6570</v>
      </c>
      <c r="AU20" s="328">
        <f t="shared" si="39"/>
        <v>0</v>
      </c>
      <c r="AV20" s="275"/>
      <c r="AW20" s="275"/>
      <c r="AX20" s="321">
        <f t="shared" si="22"/>
        <v>0.8</v>
      </c>
    </row>
    <row r="21" spans="1:50">
      <c r="A21" s="63">
        <f>ELEC!C19</f>
        <v>44060</v>
      </c>
      <c r="B21" s="64">
        <f t="shared" si="23"/>
        <v>188</v>
      </c>
      <c r="C21" s="64">
        <f t="shared" si="24"/>
        <v>194</v>
      </c>
      <c r="D21" s="45">
        <f t="shared" ref="D21:D31" si="94">C20-C21</f>
        <v>0</v>
      </c>
      <c r="E21" s="45">
        <f t="shared" si="9"/>
        <v>0</v>
      </c>
      <c r="F21" s="64">
        <f t="shared" si="26"/>
        <v>1648</v>
      </c>
      <c r="G21" s="52">
        <f t="shared" si="0"/>
        <v>0</v>
      </c>
      <c r="H21" s="64">
        <f t="shared" si="26"/>
        <v>357868</v>
      </c>
      <c r="I21" s="406">
        <f t="shared" si="1"/>
        <v>0</v>
      </c>
      <c r="J21" s="66">
        <f t="shared" si="10"/>
        <v>0</v>
      </c>
      <c r="K21" s="64">
        <f t="shared" si="27"/>
        <v>2101</v>
      </c>
      <c r="L21" s="52">
        <f t="shared" si="2"/>
        <v>0</v>
      </c>
      <c r="M21" s="64">
        <f t="shared" si="27"/>
        <v>154206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95">Q20</f>
        <v>155805</v>
      </c>
      <c r="R21" s="405">
        <f t="shared" si="53"/>
        <v>0</v>
      </c>
      <c r="S21" s="52">
        <f t="shared" si="5"/>
        <v>0</v>
      </c>
      <c r="T21" s="67">
        <f t="shared" si="29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0"/>
        <v>2418</v>
      </c>
      <c r="Y21" s="52">
        <f t="shared" si="15"/>
        <v>0</v>
      </c>
      <c r="Z21" s="64">
        <f t="shared" si="30"/>
        <v>135983</v>
      </c>
      <c r="AA21" s="65">
        <f t="shared" si="6"/>
        <v>0</v>
      </c>
      <c r="AB21" s="292">
        <f t="shared" si="82"/>
        <v>0</v>
      </c>
      <c r="AC21" s="64">
        <f t="shared" ref="AC21:AE21" si="96">AC20</f>
        <v>1923</v>
      </c>
      <c r="AD21" s="45">
        <f t="shared" si="7"/>
        <v>0</v>
      </c>
      <c r="AE21" s="64">
        <f t="shared" si="96"/>
        <v>364710</v>
      </c>
      <c r="AF21" s="314">
        <f t="shared" si="16"/>
        <v>0</v>
      </c>
      <c r="AG21" s="212">
        <f t="shared" si="33"/>
        <v>0</v>
      </c>
      <c r="AH21" s="62">
        <f t="shared" si="34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97">S21+L21+G21</f>
        <v>0</v>
      </c>
      <c r="AM21" s="326">
        <f t="shared" si="19"/>
        <v>0</v>
      </c>
      <c r="AN21" s="64">
        <f t="shared" ref="AN21:AP21" si="98">AN20</f>
        <v>70</v>
      </c>
      <c r="AO21" s="328">
        <f t="shared" si="20"/>
        <v>2100</v>
      </c>
      <c r="AP21" s="64">
        <f t="shared" si="98"/>
        <v>74</v>
      </c>
      <c r="AQ21" s="328">
        <f t="shared" si="21"/>
        <v>2220</v>
      </c>
      <c r="AR21" s="64">
        <f t="shared" ref="AR21" si="99">AR20</f>
        <v>75</v>
      </c>
      <c r="AS21" s="328">
        <f t="shared" si="37"/>
        <v>2250</v>
      </c>
      <c r="AT21" s="328">
        <f t="shared" si="38"/>
        <v>6570</v>
      </c>
      <c r="AU21" s="328">
        <f t="shared" si="39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f t="shared" si="23"/>
        <v>188</v>
      </c>
      <c r="C22" s="64">
        <f t="shared" si="24"/>
        <v>194</v>
      </c>
      <c r="D22" s="45">
        <f t="shared" si="94"/>
        <v>0</v>
      </c>
      <c r="E22" s="45">
        <f t="shared" si="9"/>
        <v>0</v>
      </c>
      <c r="F22" s="64">
        <f t="shared" si="26"/>
        <v>1648</v>
      </c>
      <c r="G22" s="52">
        <f t="shared" si="0"/>
        <v>0</v>
      </c>
      <c r="H22" s="64">
        <f t="shared" si="26"/>
        <v>357868</v>
      </c>
      <c r="I22" s="406">
        <f t="shared" si="1"/>
        <v>0</v>
      </c>
      <c r="J22" s="66">
        <f t="shared" si="10"/>
        <v>0</v>
      </c>
      <c r="K22" s="64">
        <f t="shared" si="27"/>
        <v>2101</v>
      </c>
      <c r="L22" s="52">
        <f t="shared" si="2"/>
        <v>0</v>
      </c>
      <c r="M22" s="64">
        <f t="shared" si="27"/>
        <v>154206</v>
      </c>
      <c r="N22" s="406">
        <f t="shared" si="3"/>
        <v>0</v>
      </c>
      <c r="O22" s="64">
        <f t="shared" si="11"/>
        <v>211.87499999999994</v>
      </c>
      <c r="P22" s="64">
        <f t="shared" si="11"/>
        <v>1835</v>
      </c>
      <c r="Q22" s="64">
        <f t="shared" ref="Q22" si="100">Q21</f>
        <v>155805</v>
      </c>
      <c r="R22" s="405">
        <f t="shared" si="53"/>
        <v>0</v>
      </c>
      <c r="S22" s="52">
        <f t="shared" si="5"/>
        <v>0</v>
      </c>
      <c r="T22" s="67">
        <f t="shared" si="29"/>
        <v>0</v>
      </c>
      <c r="U22" s="412">
        <f t="shared" si="12"/>
        <v>0</v>
      </c>
      <c r="V22" s="62">
        <f t="shared" si="13"/>
        <v>0</v>
      </c>
      <c r="W22" s="410"/>
      <c r="X22" s="64">
        <f t="shared" si="30"/>
        <v>2418</v>
      </c>
      <c r="Y22" s="52">
        <f t="shared" si="15"/>
        <v>0</v>
      </c>
      <c r="Z22" s="64">
        <f t="shared" si="30"/>
        <v>135983</v>
      </c>
      <c r="AA22" s="65">
        <f t="shared" si="6"/>
        <v>0</v>
      </c>
      <c r="AB22" s="292">
        <f t="shared" si="82"/>
        <v>0</v>
      </c>
      <c r="AC22" s="64">
        <f t="shared" ref="AC22:AE22" si="101">AC21</f>
        <v>1923</v>
      </c>
      <c r="AD22" s="45">
        <f t="shared" si="7"/>
        <v>0</v>
      </c>
      <c r="AE22" s="64">
        <f t="shared" si="101"/>
        <v>364710</v>
      </c>
      <c r="AF22" s="314">
        <f t="shared" si="16"/>
        <v>0</v>
      </c>
      <c r="AG22" s="212">
        <f t="shared" si="33"/>
        <v>0</v>
      </c>
      <c r="AH22" s="62">
        <f t="shared" si="34"/>
        <v>0</v>
      </c>
      <c r="AI22" s="326">
        <f t="shared" si="17"/>
        <v>0</v>
      </c>
      <c r="AJ22" s="326">
        <f>-tanks!AW23</f>
        <v>0</v>
      </c>
      <c r="AK22" s="326">
        <f t="shared" si="18"/>
        <v>0</v>
      </c>
      <c r="AL22" s="326">
        <f t="shared" si="97"/>
        <v>0</v>
      </c>
      <c r="AM22" s="326">
        <f t="shared" si="19"/>
        <v>0</v>
      </c>
      <c r="AN22" s="64">
        <f t="shared" ref="AN22:AP22" si="102">AN21</f>
        <v>70</v>
      </c>
      <c r="AO22" s="328">
        <f t="shared" si="20"/>
        <v>2100</v>
      </c>
      <c r="AP22" s="64">
        <f t="shared" si="102"/>
        <v>74</v>
      </c>
      <c r="AQ22" s="328">
        <f t="shared" si="21"/>
        <v>2220</v>
      </c>
      <c r="AR22" s="64">
        <f t="shared" ref="AR22" si="103">AR21</f>
        <v>75</v>
      </c>
      <c r="AS22" s="328">
        <f t="shared" si="37"/>
        <v>2250</v>
      </c>
      <c r="AT22" s="328">
        <f t="shared" si="38"/>
        <v>6570</v>
      </c>
      <c r="AU22" s="328">
        <f t="shared" si="39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f t="shared" si="23"/>
        <v>188</v>
      </c>
      <c r="C23" s="64">
        <f t="shared" si="24"/>
        <v>194</v>
      </c>
      <c r="D23" s="45">
        <f t="shared" si="94"/>
        <v>0</v>
      </c>
      <c r="E23" s="45">
        <f t="shared" si="9"/>
        <v>0</v>
      </c>
      <c r="F23" s="64">
        <f t="shared" si="26"/>
        <v>1648</v>
      </c>
      <c r="G23" s="52">
        <f t="shared" si="0"/>
        <v>0</v>
      </c>
      <c r="H23" s="64">
        <f t="shared" si="26"/>
        <v>357868</v>
      </c>
      <c r="I23" s="406">
        <f t="shared" si="1"/>
        <v>0</v>
      </c>
      <c r="J23" s="66">
        <f t="shared" si="10"/>
        <v>0</v>
      </c>
      <c r="K23" s="64">
        <f t="shared" si="27"/>
        <v>2101</v>
      </c>
      <c r="L23" s="52">
        <f t="shared" si="2"/>
        <v>0</v>
      </c>
      <c r="M23" s="64">
        <f t="shared" si="27"/>
        <v>154206</v>
      </c>
      <c r="N23" s="406">
        <f t="shared" si="3"/>
        <v>0</v>
      </c>
      <c r="O23" s="64">
        <f t="shared" si="11"/>
        <v>211.87499999999994</v>
      </c>
      <c r="P23" s="64">
        <f t="shared" si="11"/>
        <v>1835</v>
      </c>
      <c r="Q23" s="64">
        <f t="shared" ref="Q23" si="104">Q22</f>
        <v>155805</v>
      </c>
      <c r="R23" s="405">
        <f t="shared" si="53"/>
        <v>0</v>
      </c>
      <c r="S23" s="52">
        <f t="shared" si="5"/>
        <v>0</v>
      </c>
      <c r="T23" s="67">
        <f t="shared" si="29"/>
        <v>0</v>
      </c>
      <c r="U23" s="412">
        <f t="shared" si="12"/>
        <v>0</v>
      </c>
      <c r="V23" s="62">
        <f t="shared" si="13"/>
        <v>0</v>
      </c>
      <c r="W23" s="410"/>
      <c r="X23" s="64">
        <f t="shared" si="30"/>
        <v>2418</v>
      </c>
      <c r="Y23" s="52">
        <f t="shared" si="15"/>
        <v>0</v>
      </c>
      <c r="Z23" s="64">
        <f t="shared" si="30"/>
        <v>135983</v>
      </c>
      <c r="AA23" s="65">
        <f t="shared" si="6"/>
        <v>0</v>
      </c>
      <c r="AB23" s="292">
        <f t="shared" si="82"/>
        <v>0</v>
      </c>
      <c r="AC23" s="64">
        <f t="shared" ref="AC23:AE23" si="105">AC22</f>
        <v>1923</v>
      </c>
      <c r="AD23" s="45">
        <f t="shared" si="7"/>
        <v>0</v>
      </c>
      <c r="AE23" s="64">
        <f t="shared" si="105"/>
        <v>364710</v>
      </c>
      <c r="AF23" s="314">
        <f t="shared" si="16"/>
        <v>0</v>
      </c>
      <c r="AG23" s="212">
        <f t="shared" si="33"/>
        <v>0</v>
      </c>
      <c r="AH23" s="62">
        <f t="shared" si="34"/>
        <v>0</v>
      </c>
      <c r="AI23" s="326">
        <f t="shared" si="17"/>
        <v>0</v>
      </c>
      <c r="AJ23" s="326">
        <f>-tanks!AW24</f>
        <v>0</v>
      </c>
      <c r="AK23" s="326">
        <f t="shared" si="18"/>
        <v>0</v>
      </c>
      <c r="AL23" s="326">
        <f t="shared" si="97"/>
        <v>0</v>
      </c>
      <c r="AM23" s="326">
        <f t="shared" si="19"/>
        <v>0</v>
      </c>
      <c r="AN23" s="64">
        <f t="shared" ref="AN23:AP23" si="106">AN22</f>
        <v>70</v>
      </c>
      <c r="AO23" s="328">
        <f t="shared" si="20"/>
        <v>2100</v>
      </c>
      <c r="AP23" s="64">
        <f t="shared" si="106"/>
        <v>74</v>
      </c>
      <c r="AQ23" s="328">
        <f t="shared" si="21"/>
        <v>2220</v>
      </c>
      <c r="AR23" s="64">
        <f t="shared" ref="AR23" si="107">AR22</f>
        <v>75</v>
      </c>
      <c r="AS23" s="328">
        <f t="shared" si="37"/>
        <v>2250</v>
      </c>
      <c r="AT23" s="328">
        <f t="shared" si="38"/>
        <v>6570</v>
      </c>
      <c r="AU23" s="328">
        <f t="shared" si="39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f t="shared" si="23"/>
        <v>188</v>
      </c>
      <c r="C24" s="64">
        <f t="shared" si="24"/>
        <v>194</v>
      </c>
      <c r="D24" s="45">
        <f t="shared" si="94"/>
        <v>0</v>
      </c>
      <c r="E24" s="45">
        <f t="shared" si="9"/>
        <v>0</v>
      </c>
      <c r="F24" s="64">
        <f t="shared" si="26"/>
        <v>1648</v>
      </c>
      <c r="G24" s="52">
        <f t="shared" si="0"/>
        <v>0</v>
      </c>
      <c r="H24" s="64">
        <f t="shared" si="26"/>
        <v>357868</v>
      </c>
      <c r="I24" s="406">
        <f t="shared" si="1"/>
        <v>0</v>
      </c>
      <c r="J24" s="66">
        <f t="shared" si="10"/>
        <v>0</v>
      </c>
      <c r="K24" s="64">
        <f t="shared" si="27"/>
        <v>2101</v>
      </c>
      <c r="L24" s="52">
        <f t="shared" si="2"/>
        <v>0</v>
      </c>
      <c r="M24" s="64">
        <f t="shared" si="27"/>
        <v>154206</v>
      </c>
      <c r="N24" s="406">
        <f t="shared" si="3"/>
        <v>0</v>
      </c>
      <c r="O24" s="64">
        <f t="shared" si="11"/>
        <v>211.87499999999994</v>
      </c>
      <c r="P24" s="64">
        <f t="shared" si="11"/>
        <v>1835</v>
      </c>
      <c r="Q24" s="64">
        <f t="shared" ref="Q24" si="108">Q23</f>
        <v>155805</v>
      </c>
      <c r="R24" s="405">
        <f t="shared" si="53"/>
        <v>0</v>
      </c>
      <c r="S24" s="52">
        <f t="shared" si="5"/>
        <v>0</v>
      </c>
      <c r="T24" s="67">
        <f t="shared" si="29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0"/>
        <v>2418</v>
      </c>
      <c r="Y24" s="52">
        <f t="shared" si="15"/>
        <v>0</v>
      </c>
      <c r="Z24" s="64">
        <f t="shared" si="30"/>
        <v>135983</v>
      </c>
      <c r="AA24" s="65">
        <f t="shared" si="6"/>
        <v>0</v>
      </c>
      <c r="AB24" s="292">
        <f t="shared" ref="AB24:AB34" si="109">SUM(Y24*$AB$2)</f>
        <v>0</v>
      </c>
      <c r="AC24" s="64">
        <f t="shared" ref="AC24:AE24" si="110">AC23</f>
        <v>1923</v>
      </c>
      <c r="AD24" s="45">
        <f t="shared" si="7"/>
        <v>0</v>
      </c>
      <c r="AE24" s="64">
        <f t="shared" si="110"/>
        <v>364710</v>
      </c>
      <c r="AF24" s="314">
        <f t="shared" si="16"/>
        <v>0</v>
      </c>
      <c r="AG24" s="212">
        <f t="shared" si="33"/>
        <v>0</v>
      </c>
      <c r="AH24" s="62">
        <f t="shared" si="34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97"/>
        <v>0</v>
      </c>
      <c r="AM24" s="326">
        <f t="shared" si="19"/>
        <v>0</v>
      </c>
      <c r="AN24" s="64">
        <f t="shared" ref="AN24:AP24" si="111">AN23</f>
        <v>70</v>
      </c>
      <c r="AO24" s="328">
        <f t="shared" si="20"/>
        <v>2100</v>
      </c>
      <c r="AP24" s="64">
        <f t="shared" si="111"/>
        <v>74</v>
      </c>
      <c r="AQ24" s="328">
        <f t="shared" si="21"/>
        <v>2220</v>
      </c>
      <c r="AR24" s="64">
        <f t="shared" ref="AR24" si="112">AR23</f>
        <v>75</v>
      </c>
      <c r="AS24" s="328">
        <f t="shared" si="37"/>
        <v>2250</v>
      </c>
      <c r="AT24" s="328">
        <f t="shared" ref="AT24:AT34" si="113">SUM(AO24+AQ24+AS24)</f>
        <v>6570</v>
      </c>
      <c r="AU24" s="328">
        <f t="shared" si="39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f t="shared" si="23"/>
        <v>188</v>
      </c>
      <c r="C25" s="64">
        <f t="shared" si="24"/>
        <v>194</v>
      </c>
      <c r="D25" s="45">
        <f t="shared" si="94"/>
        <v>0</v>
      </c>
      <c r="E25" s="45">
        <f t="shared" si="9"/>
        <v>0</v>
      </c>
      <c r="F25" s="64">
        <f t="shared" si="26"/>
        <v>1648</v>
      </c>
      <c r="G25" s="52">
        <f t="shared" si="0"/>
        <v>0</v>
      </c>
      <c r="H25" s="64">
        <f t="shared" si="26"/>
        <v>357868</v>
      </c>
      <c r="I25" s="406">
        <f t="shared" si="1"/>
        <v>0</v>
      </c>
      <c r="J25" s="66">
        <f t="shared" si="10"/>
        <v>0</v>
      </c>
      <c r="K25" s="64">
        <f t="shared" si="27"/>
        <v>2101</v>
      </c>
      <c r="L25" s="52">
        <f t="shared" si="2"/>
        <v>0</v>
      </c>
      <c r="M25" s="64">
        <f t="shared" si="27"/>
        <v>154206</v>
      </c>
      <c r="N25" s="406">
        <f t="shared" si="3"/>
        <v>0</v>
      </c>
      <c r="O25" s="64">
        <f t="shared" si="11"/>
        <v>211.87499999999994</v>
      </c>
      <c r="P25" s="64">
        <f t="shared" si="11"/>
        <v>1835</v>
      </c>
      <c r="Q25" s="64">
        <f t="shared" ref="Q25" si="114">Q24</f>
        <v>155805</v>
      </c>
      <c r="R25" s="405">
        <f t="shared" si="53"/>
        <v>0</v>
      </c>
      <c r="S25" s="52">
        <f t="shared" si="5"/>
        <v>0</v>
      </c>
      <c r="T25" s="67">
        <f t="shared" si="29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0"/>
        <v>2418</v>
      </c>
      <c r="Y25" s="52">
        <f t="shared" si="15"/>
        <v>0</v>
      </c>
      <c r="Z25" s="64">
        <f t="shared" si="30"/>
        <v>135983</v>
      </c>
      <c r="AA25" s="65">
        <f t="shared" si="6"/>
        <v>0</v>
      </c>
      <c r="AB25" s="292">
        <f t="shared" si="109"/>
        <v>0</v>
      </c>
      <c r="AC25" s="64">
        <f t="shared" ref="AC25:AE25" si="115">AC24</f>
        <v>1923</v>
      </c>
      <c r="AD25" s="45">
        <f t="shared" si="7"/>
        <v>0</v>
      </c>
      <c r="AE25" s="64">
        <f t="shared" si="115"/>
        <v>364710</v>
      </c>
      <c r="AF25" s="314">
        <f t="shared" si="16"/>
        <v>0</v>
      </c>
      <c r="AG25" s="212">
        <f t="shared" si="33"/>
        <v>0</v>
      </c>
      <c r="AH25" s="62">
        <f t="shared" si="34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97"/>
        <v>0</v>
      </c>
      <c r="AM25" s="326">
        <f t="shared" si="19"/>
        <v>0</v>
      </c>
      <c r="AN25" s="64">
        <f t="shared" ref="AN25:AP25" si="116">AN24</f>
        <v>70</v>
      </c>
      <c r="AO25" s="328">
        <f t="shared" si="20"/>
        <v>2100</v>
      </c>
      <c r="AP25" s="64">
        <f t="shared" si="116"/>
        <v>74</v>
      </c>
      <c r="AQ25" s="328">
        <f t="shared" ref="AQ25:AQ34" si="117">(AP25/100)*3000</f>
        <v>2220</v>
      </c>
      <c r="AR25" s="64">
        <f t="shared" ref="AR25" si="118">AR24</f>
        <v>75</v>
      </c>
      <c r="AS25" s="328">
        <f t="shared" si="37"/>
        <v>2250</v>
      </c>
      <c r="AT25" s="328">
        <f t="shared" si="113"/>
        <v>6570</v>
      </c>
      <c r="AU25" s="328">
        <f t="shared" si="39"/>
        <v>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f t="shared" si="23"/>
        <v>188</v>
      </c>
      <c r="C26" s="64">
        <f t="shared" si="24"/>
        <v>194</v>
      </c>
      <c r="D26" s="45">
        <f t="shared" si="94"/>
        <v>0</v>
      </c>
      <c r="E26" s="45">
        <f t="shared" si="9"/>
        <v>0</v>
      </c>
      <c r="F26" s="64">
        <f t="shared" si="26"/>
        <v>1648</v>
      </c>
      <c r="G26" s="52">
        <f t="shared" si="0"/>
        <v>0</v>
      </c>
      <c r="H26" s="64">
        <f t="shared" si="26"/>
        <v>357868</v>
      </c>
      <c r="I26" s="406">
        <f t="shared" si="1"/>
        <v>0</v>
      </c>
      <c r="J26" s="66">
        <f t="shared" si="10"/>
        <v>0</v>
      </c>
      <c r="K26" s="64">
        <f t="shared" si="27"/>
        <v>2101</v>
      </c>
      <c r="L26" s="52">
        <f t="shared" si="2"/>
        <v>0</v>
      </c>
      <c r="M26" s="64">
        <f t="shared" si="27"/>
        <v>154206</v>
      </c>
      <c r="N26" s="406">
        <f t="shared" si="3"/>
        <v>0</v>
      </c>
      <c r="O26" s="64">
        <f t="shared" si="11"/>
        <v>211.87499999999994</v>
      </c>
      <c r="P26" s="64">
        <f t="shared" si="11"/>
        <v>1835</v>
      </c>
      <c r="Q26" s="64">
        <f t="shared" ref="Q26" si="119">Q25</f>
        <v>155805</v>
      </c>
      <c r="R26" s="405">
        <f t="shared" si="53"/>
        <v>0</v>
      </c>
      <c r="S26" s="52">
        <f t="shared" si="5"/>
        <v>0</v>
      </c>
      <c r="T26" s="67">
        <f t="shared" si="29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0"/>
        <v>2418</v>
      </c>
      <c r="Y26" s="52">
        <f t="shared" si="15"/>
        <v>0</v>
      </c>
      <c r="Z26" s="64">
        <f t="shared" si="30"/>
        <v>135983</v>
      </c>
      <c r="AA26" s="65">
        <f t="shared" si="6"/>
        <v>0</v>
      </c>
      <c r="AB26" s="292">
        <f t="shared" si="109"/>
        <v>0</v>
      </c>
      <c r="AC26" s="64">
        <f t="shared" ref="AC26:AE26" si="120">AC25</f>
        <v>1923</v>
      </c>
      <c r="AD26" s="45">
        <f t="shared" si="7"/>
        <v>0</v>
      </c>
      <c r="AE26" s="64">
        <f t="shared" si="120"/>
        <v>364710</v>
      </c>
      <c r="AF26" s="314">
        <f t="shared" si="16"/>
        <v>0</v>
      </c>
      <c r="AG26" s="212">
        <f t="shared" si="33"/>
        <v>0</v>
      </c>
      <c r="AH26" s="62">
        <f t="shared" si="34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97"/>
        <v>0</v>
      </c>
      <c r="AM26" s="326">
        <f t="shared" si="19"/>
        <v>0</v>
      </c>
      <c r="AN26" s="64">
        <f t="shared" ref="AN26:AP26" si="121">AN25</f>
        <v>70</v>
      </c>
      <c r="AO26" s="328">
        <f t="shared" si="20"/>
        <v>2100</v>
      </c>
      <c r="AP26" s="64">
        <f t="shared" si="121"/>
        <v>74</v>
      </c>
      <c r="AQ26" s="328">
        <f t="shared" si="117"/>
        <v>2220</v>
      </c>
      <c r="AR26" s="64">
        <f t="shared" ref="AR26" si="122">AR25</f>
        <v>75</v>
      </c>
      <c r="AS26" s="328">
        <f t="shared" si="37"/>
        <v>2250</v>
      </c>
      <c r="AT26" s="328">
        <f t="shared" si="113"/>
        <v>6570</v>
      </c>
      <c r="AU26" s="328">
        <f t="shared" si="39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4">
        <f t="shared" si="23"/>
        <v>188</v>
      </c>
      <c r="C27" s="64">
        <f t="shared" si="24"/>
        <v>194</v>
      </c>
      <c r="D27" s="45">
        <f t="shared" si="94"/>
        <v>0</v>
      </c>
      <c r="E27" s="45">
        <f t="shared" si="9"/>
        <v>0</v>
      </c>
      <c r="F27" s="64">
        <f t="shared" si="26"/>
        <v>1648</v>
      </c>
      <c r="G27" s="52">
        <f t="shared" si="0"/>
        <v>0</v>
      </c>
      <c r="H27" s="64">
        <f t="shared" si="26"/>
        <v>357868</v>
      </c>
      <c r="I27" s="406">
        <f t="shared" si="1"/>
        <v>0</v>
      </c>
      <c r="J27" s="66">
        <f t="shared" si="10"/>
        <v>0</v>
      </c>
      <c r="K27" s="64">
        <f t="shared" si="27"/>
        <v>2101</v>
      </c>
      <c r="L27" s="52">
        <f t="shared" si="2"/>
        <v>0</v>
      </c>
      <c r="M27" s="64">
        <f t="shared" si="27"/>
        <v>154206</v>
      </c>
      <c r="N27" s="406">
        <f t="shared" si="3"/>
        <v>0</v>
      </c>
      <c r="O27" s="64">
        <f t="shared" si="11"/>
        <v>211.87499999999994</v>
      </c>
      <c r="P27" s="64">
        <f t="shared" si="11"/>
        <v>1835</v>
      </c>
      <c r="Q27" s="64">
        <f t="shared" ref="Q27" si="123">Q26</f>
        <v>155805</v>
      </c>
      <c r="R27" s="405">
        <f t="shared" si="53"/>
        <v>0</v>
      </c>
      <c r="S27" s="52">
        <f t="shared" si="5"/>
        <v>0</v>
      </c>
      <c r="T27" s="67">
        <f t="shared" si="29"/>
        <v>0</v>
      </c>
      <c r="U27" s="412">
        <f t="shared" si="12"/>
        <v>0</v>
      </c>
      <c r="V27" s="62">
        <f t="shared" si="13"/>
        <v>0</v>
      </c>
      <c r="W27" s="410"/>
      <c r="X27" s="64">
        <f t="shared" si="30"/>
        <v>2418</v>
      </c>
      <c r="Y27" s="52">
        <f t="shared" si="15"/>
        <v>0</v>
      </c>
      <c r="Z27" s="64">
        <f t="shared" si="30"/>
        <v>135983</v>
      </c>
      <c r="AA27" s="65">
        <f t="shared" si="6"/>
        <v>0</v>
      </c>
      <c r="AB27" s="292">
        <f t="shared" si="109"/>
        <v>0</v>
      </c>
      <c r="AC27" s="64">
        <f t="shared" ref="AC27:AE27" si="124">AC26</f>
        <v>1923</v>
      </c>
      <c r="AD27" s="45">
        <f t="shared" si="7"/>
        <v>0</v>
      </c>
      <c r="AE27" s="64">
        <f t="shared" si="124"/>
        <v>364710</v>
      </c>
      <c r="AF27" s="314">
        <f t="shared" si="16"/>
        <v>0</v>
      </c>
      <c r="AG27" s="212">
        <f t="shared" si="33"/>
        <v>0</v>
      </c>
      <c r="AH27" s="62">
        <f t="shared" si="34"/>
        <v>0</v>
      </c>
      <c r="AI27" s="326">
        <f t="shared" si="17"/>
        <v>0</v>
      </c>
      <c r="AJ27" s="326">
        <f>-tanks!AW28</f>
        <v>0</v>
      </c>
      <c r="AK27" s="326">
        <f t="shared" si="18"/>
        <v>0</v>
      </c>
      <c r="AL27" s="326">
        <f t="shared" si="97"/>
        <v>0</v>
      </c>
      <c r="AM27" s="326">
        <f t="shared" si="19"/>
        <v>0</v>
      </c>
      <c r="AN27" s="64">
        <f t="shared" ref="AN27:AP27" si="125">AN26</f>
        <v>70</v>
      </c>
      <c r="AO27" s="328">
        <f>(AN27/100)*3000</f>
        <v>2100</v>
      </c>
      <c r="AP27" s="64">
        <f t="shared" si="125"/>
        <v>74</v>
      </c>
      <c r="AQ27" s="328">
        <f t="shared" si="117"/>
        <v>2220</v>
      </c>
      <c r="AR27" s="64">
        <f t="shared" ref="AR27" si="126">AR26</f>
        <v>75</v>
      </c>
      <c r="AS27" s="328">
        <f t="shared" si="37"/>
        <v>2250</v>
      </c>
      <c r="AT27" s="328">
        <f t="shared" si="113"/>
        <v>6570</v>
      </c>
      <c r="AU27" s="328">
        <f t="shared" si="39"/>
        <v>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4">
        <f t="shared" si="23"/>
        <v>188</v>
      </c>
      <c r="C28" s="64">
        <f t="shared" si="24"/>
        <v>194</v>
      </c>
      <c r="D28" s="45">
        <f t="shared" si="94"/>
        <v>0</v>
      </c>
      <c r="E28" s="45">
        <f t="shared" si="9"/>
        <v>0</v>
      </c>
      <c r="F28" s="64">
        <f t="shared" si="26"/>
        <v>1648</v>
      </c>
      <c r="G28" s="52">
        <f t="shared" si="0"/>
        <v>0</v>
      </c>
      <c r="H28" s="64">
        <f t="shared" si="26"/>
        <v>357868</v>
      </c>
      <c r="I28" s="406">
        <f t="shared" si="1"/>
        <v>0</v>
      </c>
      <c r="J28" s="66">
        <f t="shared" si="10"/>
        <v>0</v>
      </c>
      <c r="K28" s="64">
        <f t="shared" si="27"/>
        <v>2101</v>
      </c>
      <c r="L28" s="52">
        <f t="shared" si="2"/>
        <v>0</v>
      </c>
      <c r="M28" s="64">
        <f t="shared" si="27"/>
        <v>154206</v>
      </c>
      <c r="N28" s="406">
        <f t="shared" si="3"/>
        <v>0</v>
      </c>
      <c r="O28" s="64">
        <f t="shared" si="11"/>
        <v>211.87499999999994</v>
      </c>
      <c r="P28" s="64">
        <f t="shared" si="11"/>
        <v>1835</v>
      </c>
      <c r="Q28" s="64">
        <f t="shared" ref="Q28" si="127">Q27</f>
        <v>155805</v>
      </c>
      <c r="R28" s="405">
        <f t="shared" si="53"/>
        <v>0</v>
      </c>
      <c r="S28" s="52">
        <f t="shared" si="5"/>
        <v>0</v>
      </c>
      <c r="T28" s="67">
        <f t="shared" si="29"/>
        <v>0</v>
      </c>
      <c r="U28" s="412">
        <f t="shared" si="12"/>
        <v>0</v>
      </c>
      <c r="V28" s="62">
        <f t="shared" si="13"/>
        <v>0</v>
      </c>
      <c r="W28" s="410"/>
      <c r="X28" s="64">
        <f t="shared" si="30"/>
        <v>2418</v>
      </c>
      <c r="Y28" s="52">
        <f t="shared" si="15"/>
        <v>0</v>
      </c>
      <c r="Z28" s="64">
        <f t="shared" si="30"/>
        <v>135983</v>
      </c>
      <c r="AA28" s="65">
        <f t="shared" si="6"/>
        <v>0</v>
      </c>
      <c r="AB28" s="292">
        <f t="shared" si="109"/>
        <v>0</v>
      </c>
      <c r="AC28" s="64">
        <f t="shared" ref="AC28:AE28" si="128">AC27</f>
        <v>1923</v>
      </c>
      <c r="AD28" s="45">
        <f t="shared" si="7"/>
        <v>0</v>
      </c>
      <c r="AE28" s="64">
        <f t="shared" si="128"/>
        <v>364710</v>
      </c>
      <c r="AF28" s="314">
        <f t="shared" si="16"/>
        <v>0</v>
      </c>
      <c r="AG28" s="212">
        <f t="shared" si="33"/>
        <v>0</v>
      </c>
      <c r="AH28" s="62">
        <f t="shared" si="34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97"/>
        <v>0</v>
      </c>
      <c r="AM28" s="326">
        <f t="shared" si="19"/>
        <v>0</v>
      </c>
      <c r="AN28" s="64">
        <f t="shared" ref="AN28:AP28" si="129">AN27</f>
        <v>70</v>
      </c>
      <c r="AO28" s="328">
        <f t="shared" ref="AO28:AO34" si="130">(AN28/100)*3000</f>
        <v>2100</v>
      </c>
      <c r="AP28" s="64">
        <f t="shared" si="129"/>
        <v>74</v>
      </c>
      <c r="AQ28" s="328">
        <f t="shared" si="117"/>
        <v>2220</v>
      </c>
      <c r="AR28" s="64">
        <f t="shared" ref="AR28" si="131">AR27</f>
        <v>75</v>
      </c>
      <c r="AS28" s="328">
        <f t="shared" si="37"/>
        <v>2250</v>
      </c>
      <c r="AT28" s="328">
        <f t="shared" si="113"/>
        <v>6570</v>
      </c>
      <c r="AU28" s="328">
        <f t="shared" si="39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23"/>
        <v>188</v>
      </c>
      <c r="C29" s="64">
        <f t="shared" si="24"/>
        <v>194</v>
      </c>
      <c r="D29" s="45">
        <f t="shared" si="94"/>
        <v>0</v>
      </c>
      <c r="E29" s="45">
        <f t="shared" si="9"/>
        <v>0</v>
      </c>
      <c r="F29" s="64">
        <f t="shared" si="26"/>
        <v>1648</v>
      </c>
      <c r="G29" s="52">
        <f t="shared" si="0"/>
        <v>0</v>
      </c>
      <c r="H29" s="64">
        <f t="shared" si="26"/>
        <v>357868</v>
      </c>
      <c r="I29" s="406">
        <f t="shared" si="1"/>
        <v>0</v>
      </c>
      <c r="J29" s="66">
        <f t="shared" si="10"/>
        <v>0</v>
      </c>
      <c r="K29" s="64">
        <f t="shared" si="27"/>
        <v>2101</v>
      </c>
      <c r="L29" s="52">
        <f t="shared" si="2"/>
        <v>0</v>
      </c>
      <c r="M29" s="64">
        <f t="shared" si="27"/>
        <v>154206</v>
      </c>
      <c r="N29" s="406">
        <f t="shared" si="3"/>
        <v>0</v>
      </c>
      <c r="O29" s="64">
        <f t="shared" si="11"/>
        <v>211.87499999999994</v>
      </c>
      <c r="P29" s="64">
        <f t="shared" si="11"/>
        <v>1835</v>
      </c>
      <c r="Q29" s="64">
        <f t="shared" ref="Q29" si="132">Q28</f>
        <v>155805</v>
      </c>
      <c r="R29" s="405">
        <f t="shared" si="53"/>
        <v>0</v>
      </c>
      <c r="S29" s="52">
        <f t="shared" si="5"/>
        <v>0</v>
      </c>
      <c r="T29" s="67">
        <f t="shared" si="29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0"/>
        <v>2418</v>
      </c>
      <c r="Y29" s="52">
        <f t="shared" si="15"/>
        <v>0</v>
      </c>
      <c r="Z29" s="64">
        <f t="shared" si="30"/>
        <v>135983</v>
      </c>
      <c r="AA29" s="65">
        <f t="shared" si="6"/>
        <v>0</v>
      </c>
      <c r="AB29" s="292">
        <f t="shared" si="109"/>
        <v>0</v>
      </c>
      <c r="AC29" s="64">
        <f t="shared" ref="AC29:AE29" si="133">AC28</f>
        <v>1923</v>
      </c>
      <c r="AD29" s="45">
        <f t="shared" si="7"/>
        <v>0</v>
      </c>
      <c r="AE29" s="64">
        <f t="shared" si="133"/>
        <v>364710</v>
      </c>
      <c r="AF29" s="314">
        <f t="shared" si="16"/>
        <v>0</v>
      </c>
      <c r="AG29" s="212">
        <f t="shared" si="33"/>
        <v>0</v>
      </c>
      <c r="AH29" s="62">
        <f t="shared" si="34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97"/>
        <v>0</v>
      </c>
      <c r="AM29" s="326">
        <f t="shared" si="19"/>
        <v>0</v>
      </c>
      <c r="AN29" s="64">
        <f t="shared" ref="AN29:AP29" si="134">AN28</f>
        <v>70</v>
      </c>
      <c r="AO29" s="328">
        <f t="shared" si="130"/>
        <v>2100</v>
      </c>
      <c r="AP29" s="64">
        <f t="shared" si="134"/>
        <v>74</v>
      </c>
      <c r="AQ29" s="328">
        <f t="shared" si="117"/>
        <v>2220</v>
      </c>
      <c r="AR29" s="64">
        <f t="shared" ref="AR29" si="135">AR28</f>
        <v>75</v>
      </c>
      <c r="AS29" s="328">
        <f t="shared" si="37"/>
        <v>2250</v>
      </c>
      <c r="AT29" s="328">
        <f>SUM(AO29+AQ29+AS29)</f>
        <v>6570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23"/>
        <v>188</v>
      </c>
      <c r="C30" s="64">
        <f t="shared" si="24"/>
        <v>194</v>
      </c>
      <c r="D30" s="45">
        <f t="shared" si="94"/>
        <v>0</v>
      </c>
      <c r="E30" s="45">
        <f t="shared" si="9"/>
        <v>0</v>
      </c>
      <c r="F30" s="64">
        <f t="shared" si="26"/>
        <v>1648</v>
      </c>
      <c r="G30" s="52">
        <f t="shared" si="0"/>
        <v>0</v>
      </c>
      <c r="H30" s="64">
        <f t="shared" si="26"/>
        <v>357868</v>
      </c>
      <c r="I30" s="406">
        <f t="shared" si="1"/>
        <v>0</v>
      </c>
      <c r="J30" s="66">
        <f t="shared" si="10"/>
        <v>0</v>
      </c>
      <c r="K30" s="64">
        <f t="shared" si="27"/>
        <v>2101</v>
      </c>
      <c r="L30" s="52">
        <f t="shared" si="2"/>
        <v>0</v>
      </c>
      <c r="M30" s="64">
        <f t="shared" si="27"/>
        <v>154206</v>
      </c>
      <c r="N30" s="406">
        <f t="shared" si="3"/>
        <v>0</v>
      </c>
      <c r="O30" s="64">
        <f t="shared" si="11"/>
        <v>211.87499999999994</v>
      </c>
      <c r="P30" s="64">
        <f t="shared" si="11"/>
        <v>1835</v>
      </c>
      <c r="Q30" s="64">
        <f t="shared" ref="Q30" si="136">Q29</f>
        <v>155805</v>
      </c>
      <c r="R30" s="405">
        <f t="shared" si="53"/>
        <v>0</v>
      </c>
      <c r="S30" s="52">
        <f t="shared" si="5"/>
        <v>0</v>
      </c>
      <c r="T30" s="67">
        <f t="shared" si="29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0"/>
        <v>2418</v>
      </c>
      <c r="Y30" s="52">
        <f t="shared" si="15"/>
        <v>0</v>
      </c>
      <c r="Z30" s="64">
        <f t="shared" si="30"/>
        <v>135983</v>
      </c>
      <c r="AA30" s="65">
        <f t="shared" si="6"/>
        <v>0</v>
      </c>
      <c r="AB30" s="292">
        <f t="shared" si="109"/>
        <v>0</v>
      </c>
      <c r="AC30" s="64">
        <f t="shared" ref="AC30:AE30" si="137">AC29</f>
        <v>1923</v>
      </c>
      <c r="AD30" s="45">
        <f t="shared" si="7"/>
        <v>0</v>
      </c>
      <c r="AE30" s="64">
        <f t="shared" si="137"/>
        <v>364710</v>
      </c>
      <c r="AF30" s="314">
        <f t="shared" si="16"/>
        <v>0</v>
      </c>
      <c r="AG30" s="212">
        <f t="shared" si="33"/>
        <v>0</v>
      </c>
      <c r="AH30" s="62">
        <f t="shared" si="34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97"/>
        <v>0</v>
      </c>
      <c r="AM30" s="326">
        <f t="shared" si="19"/>
        <v>0</v>
      </c>
      <c r="AN30" s="64">
        <f t="shared" ref="AN30:AP30" si="138">AN29</f>
        <v>70</v>
      </c>
      <c r="AO30" s="328">
        <f t="shared" si="130"/>
        <v>2100</v>
      </c>
      <c r="AP30" s="64">
        <f t="shared" si="138"/>
        <v>74</v>
      </c>
      <c r="AQ30" s="328">
        <f t="shared" si="117"/>
        <v>2220</v>
      </c>
      <c r="AR30" s="64">
        <f t="shared" ref="AR30" si="139">AR29</f>
        <v>75</v>
      </c>
      <c r="AS30" s="328">
        <f t="shared" si="37"/>
        <v>2250</v>
      </c>
      <c r="AT30" s="328">
        <f t="shared" si="113"/>
        <v>6570</v>
      </c>
      <c r="AU30" s="328">
        <f t="shared" si="39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23"/>
        <v>188</v>
      </c>
      <c r="C31" s="64">
        <f t="shared" si="24"/>
        <v>194</v>
      </c>
      <c r="D31" s="45">
        <f t="shared" si="94"/>
        <v>0</v>
      </c>
      <c r="E31" s="45">
        <f t="shared" si="9"/>
        <v>0</v>
      </c>
      <c r="F31" s="64">
        <f t="shared" si="26"/>
        <v>1648</v>
      </c>
      <c r="G31" s="52">
        <f t="shared" si="0"/>
        <v>0</v>
      </c>
      <c r="H31" s="64">
        <f t="shared" si="26"/>
        <v>357868</v>
      </c>
      <c r="I31" s="406">
        <f t="shared" si="1"/>
        <v>0</v>
      </c>
      <c r="J31" s="66">
        <f t="shared" si="10"/>
        <v>0</v>
      </c>
      <c r="K31" s="64">
        <f t="shared" si="27"/>
        <v>2101</v>
      </c>
      <c r="L31" s="52">
        <f t="shared" si="2"/>
        <v>0</v>
      </c>
      <c r="M31" s="64">
        <f t="shared" si="27"/>
        <v>154206</v>
      </c>
      <c r="N31" s="406">
        <f t="shared" si="3"/>
        <v>0</v>
      </c>
      <c r="O31" s="64">
        <f t="shared" si="11"/>
        <v>211.87499999999994</v>
      </c>
      <c r="P31" s="64">
        <f t="shared" si="11"/>
        <v>1835</v>
      </c>
      <c r="Q31" s="64">
        <f t="shared" ref="Q31" si="140">Q30</f>
        <v>155805</v>
      </c>
      <c r="R31" s="405">
        <f t="shared" si="53"/>
        <v>0</v>
      </c>
      <c r="S31" s="52">
        <f t="shared" si="5"/>
        <v>0</v>
      </c>
      <c r="T31" s="67">
        <f t="shared" si="29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0"/>
        <v>2418</v>
      </c>
      <c r="Y31" s="52">
        <f t="shared" si="15"/>
        <v>0</v>
      </c>
      <c r="Z31" s="64">
        <f t="shared" si="30"/>
        <v>135983</v>
      </c>
      <c r="AA31" s="65">
        <f t="shared" si="6"/>
        <v>0</v>
      </c>
      <c r="AB31" s="292">
        <f t="shared" si="109"/>
        <v>0</v>
      </c>
      <c r="AC31" s="64">
        <f t="shared" ref="AC31:AE31" si="141">AC30</f>
        <v>1923</v>
      </c>
      <c r="AD31" s="275">
        <f t="shared" si="7"/>
        <v>0</v>
      </c>
      <c r="AE31" s="64">
        <f t="shared" si="141"/>
        <v>364710</v>
      </c>
      <c r="AF31" s="314">
        <f t="shared" si="16"/>
        <v>0</v>
      </c>
      <c r="AG31" s="212">
        <f t="shared" si="33"/>
        <v>0</v>
      </c>
      <c r="AH31" s="62">
        <f t="shared" si="34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97"/>
        <v>0</v>
      </c>
      <c r="AM31" s="326">
        <f t="shared" si="19"/>
        <v>0</v>
      </c>
      <c r="AN31" s="64">
        <f t="shared" ref="AN31:AP31" si="142">AN30</f>
        <v>70</v>
      </c>
      <c r="AO31" s="328">
        <f t="shared" si="130"/>
        <v>2100</v>
      </c>
      <c r="AP31" s="64">
        <f t="shared" si="142"/>
        <v>74</v>
      </c>
      <c r="AQ31" s="328">
        <f t="shared" si="117"/>
        <v>2220</v>
      </c>
      <c r="AR31" s="64">
        <f t="shared" ref="AR31" si="143">AR30</f>
        <v>75</v>
      </c>
      <c r="AS31" s="328">
        <f t="shared" si="37"/>
        <v>2250</v>
      </c>
      <c r="AT31" s="328">
        <f t="shared" si="113"/>
        <v>6570</v>
      </c>
      <c r="AU31" s="328">
        <f t="shared" si="39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23"/>
        <v>188</v>
      </c>
      <c r="C32" s="64">
        <f t="shared" si="24"/>
        <v>194</v>
      </c>
      <c r="D32" s="45">
        <f t="shared" si="25"/>
        <v>0</v>
      </c>
      <c r="E32" s="45">
        <f t="shared" ref="E32:E34" si="144">D32*8.38</f>
        <v>0</v>
      </c>
      <c r="F32" s="64">
        <f t="shared" si="26"/>
        <v>1648</v>
      </c>
      <c r="G32" s="52">
        <f t="shared" si="0"/>
        <v>0</v>
      </c>
      <c r="H32" s="64">
        <f t="shared" si="26"/>
        <v>357868</v>
      </c>
      <c r="I32" s="406">
        <f t="shared" si="1"/>
        <v>0</v>
      </c>
      <c r="J32" s="66">
        <f t="shared" si="10"/>
        <v>0</v>
      </c>
      <c r="K32" s="64">
        <f t="shared" si="27"/>
        <v>2101</v>
      </c>
      <c r="L32" s="52">
        <f t="shared" si="2"/>
        <v>0</v>
      </c>
      <c r="M32" s="64">
        <f t="shared" si="27"/>
        <v>154206</v>
      </c>
      <c r="N32" s="406">
        <f t="shared" si="3"/>
        <v>0</v>
      </c>
      <c r="O32" s="64">
        <f t="shared" si="11"/>
        <v>211.87499999999994</v>
      </c>
      <c r="P32" s="64">
        <f t="shared" si="11"/>
        <v>1835</v>
      </c>
      <c r="Q32" s="64">
        <f t="shared" ref="Q32" si="145">Q31</f>
        <v>155805</v>
      </c>
      <c r="R32" s="405">
        <f t="shared" si="53"/>
        <v>0</v>
      </c>
      <c r="S32" s="52">
        <f t="shared" si="5"/>
        <v>0</v>
      </c>
      <c r="T32" s="67">
        <f t="shared" si="29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0"/>
        <v>2418</v>
      </c>
      <c r="Y32" s="52">
        <f t="shared" si="15"/>
        <v>0</v>
      </c>
      <c r="Z32" s="64">
        <f t="shared" si="30"/>
        <v>135983</v>
      </c>
      <c r="AA32" s="65">
        <f t="shared" si="6"/>
        <v>0</v>
      </c>
      <c r="AB32" s="292">
        <f t="shared" si="109"/>
        <v>0</v>
      </c>
      <c r="AC32" s="64">
        <f t="shared" ref="AC32:AE32" si="146">AC31</f>
        <v>1923</v>
      </c>
      <c r="AD32" s="275">
        <f t="shared" si="7"/>
        <v>0</v>
      </c>
      <c r="AE32" s="64">
        <f t="shared" si="146"/>
        <v>364710</v>
      </c>
      <c r="AF32" s="314">
        <f t="shared" si="16"/>
        <v>0</v>
      </c>
      <c r="AG32" s="212">
        <f t="shared" si="33"/>
        <v>0</v>
      </c>
      <c r="AH32" s="62">
        <f t="shared" si="34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97"/>
        <v>0</v>
      </c>
      <c r="AM32" s="326">
        <f t="shared" si="19"/>
        <v>0</v>
      </c>
      <c r="AN32" s="64">
        <f t="shared" ref="AN32:AP32" si="147">AN31</f>
        <v>70</v>
      </c>
      <c r="AO32" s="328">
        <f t="shared" si="130"/>
        <v>2100</v>
      </c>
      <c r="AP32" s="64">
        <f t="shared" si="147"/>
        <v>74</v>
      </c>
      <c r="AQ32" s="328">
        <f t="shared" si="117"/>
        <v>2220</v>
      </c>
      <c r="AR32" s="64">
        <f t="shared" ref="AR32" si="148">AR31</f>
        <v>75</v>
      </c>
      <c r="AS32" s="328">
        <f t="shared" si="37"/>
        <v>2250</v>
      </c>
      <c r="AT32" s="328">
        <f t="shared" si="113"/>
        <v>6570</v>
      </c>
      <c r="AU32" s="328">
        <f t="shared" si="39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23"/>
        <v>188</v>
      </c>
      <c r="C33" s="64">
        <f t="shared" si="24"/>
        <v>194</v>
      </c>
      <c r="D33" s="45">
        <f t="shared" si="25"/>
        <v>0</v>
      </c>
      <c r="E33" s="45">
        <f t="shared" si="144"/>
        <v>0</v>
      </c>
      <c r="F33" s="64">
        <f t="shared" si="26"/>
        <v>1648</v>
      </c>
      <c r="G33" s="52">
        <f t="shared" si="0"/>
        <v>0</v>
      </c>
      <c r="H33" s="64">
        <f t="shared" si="26"/>
        <v>357868</v>
      </c>
      <c r="I33" s="406">
        <f t="shared" si="1"/>
        <v>0</v>
      </c>
      <c r="J33" s="66">
        <f t="shared" si="10"/>
        <v>0</v>
      </c>
      <c r="K33" s="64">
        <f t="shared" si="27"/>
        <v>2101</v>
      </c>
      <c r="L33" s="52">
        <f t="shared" si="2"/>
        <v>0</v>
      </c>
      <c r="M33" s="64">
        <f t="shared" si="27"/>
        <v>154206</v>
      </c>
      <c r="N33" s="406">
        <f t="shared" si="3"/>
        <v>0</v>
      </c>
      <c r="O33" s="64">
        <f t="shared" si="11"/>
        <v>211.87499999999994</v>
      </c>
      <c r="P33" s="64">
        <f t="shared" si="11"/>
        <v>1835</v>
      </c>
      <c r="Q33" s="64">
        <f t="shared" ref="Q33" si="149">Q32</f>
        <v>155805</v>
      </c>
      <c r="R33" s="405">
        <f t="shared" si="53"/>
        <v>0</v>
      </c>
      <c r="S33" s="52">
        <f t="shared" si="5"/>
        <v>0</v>
      </c>
      <c r="T33" s="67">
        <f t="shared" si="29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0"/>
        <v>2418</v>
      </c>
      <c r="Y33" s="52">
        <f t="shared" si="15"/>
        <v>0</v>
      </c>
      <c r="Z33" s="64">
        <f t="shared" si="30"/>
        <v>135983</v>
      </c>
      <c r="AA33" s="65">
        <f t="shared" si="6"/>
        <v>0</v>
      </c>
      <c r="AB33" s="292">
        <f t="shared" si="109"/>
        <v>0</v>
      </c>
      <c r="AC33" s="64">
        <f t="shared" ref="AC33:AE33" si="150">AC32</f>
        <v>1923</v>
      </c>
      <c r="AD33" s="45">
        <f t="shared" si="7"/>
        <v>0</v>
      </c>
      <c r="AE33" s="64">
        <f t="shared" si="150"/>
        <v>364710</v>
      </c>
      <c r="AF33" s="314">
        <f t="shared" si="16"/>
        <v>0</v>
      </c>
      <c r="AG33" s="212">
        <f t="shared" si="33"/>
        <v>0</v>
      </c>
      <c r="AH33" s="62">
        <f t="shared" si="34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97"/>
        <v>0</v>
      </c>
      <c r="AM33" s="326">
        <f t="shared" si="19"/>
        <v>0</v>
      </c>
      <c r="AN33" s="64">
        <f t="shared" ref="AN33:AP33" si="151">AN32</f>
        <v>70</v>
      </c>
      <c r="AO33" s="328">
        <f t="shared" si="130"/>
        <v>2100</v>
      </c>
      <c r="AP33" s="64">
        <f t="shared" si="151"/>
        <v>74</v>
      </c>
      <c r="AQ33" s="328">
        <f t="shared" si="117"/>
        <v>2220</v>
      </c>
      <c r="AR33" s="64">
        <f t="shared" ref="AR33" si="152">AR32</f>
        <v>75</v>
      </c>
      <c r="AS33" s="328">
        <f t="shared" si="37"/>
        <v>2250</v>
      </c>
      <c r="AT33" s="328">
        <f t="shared" si="113"/>
        <v>6570</v>
      </c>
      <c r="AU33" s="328">
        <f t="shared" si="39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23"/>
        <v>188</v>
      </c>
      <c r="C34" s="64">
        <f t="shared" si="24"/>
        <v>194</v>
      </c>
      <c r="D34" s="45">
        <f t="shared" si="25"/>
        <v>0</v>
      </c>
      <c r="E34" s="45">
        <f t="shared" si="144"/>
        <v>0</v>
      </c>
      <c r="F34" s="64">
        <f t="shared" si="26"/>
        <v>1648</v>
      </c>
      <c r="G34" s="52">
        <f t="shared" si="0"/>
        <v>0</v>
      </c>
      <c r="H34" s="64">
        <f t="shared" si="26"/>
        <v>357868</v>
      </c>
      <c r="I34" s="406">
        <f t="shared" si="1"/>
        <v>0</v>
      </c>
      <c r="J34" s="66">
        <f t="shared" si="10"/>
        <v>0</v>
      </c>
      <c r="K34" s="64">
        <f t="shared" si="27"/>
        <v>2101</v>
      </c>
      <c r="L34" s="52">
        <f t="shared" si="2"/>
        <v>0</v>
      </c>
      <c r="M34" s="64">
        <f t="shared" si="27"/>
        <v>154206</v>
      </c>
      <c r="N34" s="406">
        <f t="shared" si="3"/>
        <v>0</v>
      </c>
      <c r="O34" s="64">
        <f t="shared" si="11"/>
        <v>211.87499999999994</v>
      </c>
      <c r="P34" s="64">
        <f t="shared" si="11"/>
        <v>1835</v>
      </c>
      <c r="Q34" s="64">
        <f t="shared" ref="Q34" si="153">Q33</f>
        <v>155805</v>
      </c>
      <c r="R34" s="405">
        <f t="shared" si="53"/>
        <v>0</v>
      </c>
      <c r="S34" s="52">
        <f t="shared" si="5"/>
        <v>0</v>
      </c>
      <c r="T34" s="67">
        <f t="shared" si="29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0"/>
        <v>2418</v>
      </c>
      <c r="Y34" s="52">
        <f t="shared" si="15"/>
        <v>0</v>
      </c>
      <c r="Z34" s="64">
        <f t="shared" si="30"/>
        <v>135983</v>
      </c>
      <c r="AA34" s="65">
        <f t="shared" si="6"/>
        <v>0</v>
      </c>
      <c r="AB34" s="292">
        <f t="shared" si="109"/>
        <v>0</v>
      </c>
      <c r="AC34" s="64">
        <f t="shared" ref="AC34:AE34" si="154">AC33</f>
        <v>1923</v>
      </c>
      <c r="AD34" s="45">
        <f t="shared" si="7"/>
        <v>0</v>
      </c>
      <c r="AE34" s="64">
        <f t="shared" si="154"/>
        <v>364710</v>
      </c>
      <c r="AF34" s="314">
        <f t="shared" si="16"/>
        <v>0</v>
      </c>
      <c r="AG34" s="212">
        <f t="shared" si="33"/>
        <v>0</v>
      </c>
      <c r="AH34" s="62">
        <f t="shared" si="34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97"/>
        <v>0</v>
      </c>
      <c r="AM34" s="326">
        <f>Y34+AD34</f>
        <v>0</v>
      </c>
      <c r="AN34" s="64">
        <f t="shared" ref="AN34:AP34" si="155">AN33</f>
        <v>70</v>
      </c>
      <c r="AO34" s="328">
        <f t="shared" si="130"/>
        <v>2100</v>
      </c>
      <c r="AP34" s="64">
        <f t="shared" si="155"/>
        <v>74</v>
      </c>
      <c r="AQ34" s="328">
        <f t="shared" si="117"/>
        <v>2220</v>
      </c>
      <c r="AR34" s="64">
        <f t="shared" ref="AR34" si="156">AR33</f>
        <v>75</v>
      </c>
      <c r="AS34" s="328">
        <f t="shared" si="37"/>
        <v>2250</v>
      </c>
      <c r="AT34" s="328">
        <f t="shared" si="113"/>
        <v>6570</v>
      </c>
      <c r="AU34" s="328">
        <f t="shared" si="39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23"/>
        <v>188</v>
      </c>
      <c r="C35" s="64">
        <f t="shared" si="24"/>
        <v>194</v>
      </c>
      <c r="D35" s="45">
        <f t="shared" ref="D35" si="157">C34-C35</f>
        <v>0</v>
      </c>
      <c r="E35" s="45">
        <f t="shared" ref="E35" si="158">D35*8.38</f>
        <v>0</v>
      </c>
      <c r="F35" s="64">
        <f t="shared" si="26"/>
        <v>1648</v>
      </c>
      <c r="G35" s="52">
        <f t="shared" ref="G35" si="159">F35-F34</f>
        <v>0</v>
      </c>
      <c r="H35" s="64">
        <f t="shared" si="26"/>
        <v>357868</v>
      </c>
      <c r="I35" s="406">
        <f t="shared" ref="I35" si="160">SUM(H35-H34)</f>
        <v>0</v>
      </c>
      <c r="J35" s="66">
        <f t="shared" ref="J35" si="161">IF(G35&gt;0,I35/G35,0)</f>
        <v>0</v>
      </c>
      <c r="K35" s="64">
        <f t="shared" si="27"/>
        <v>2101</v>
      </c>
      <c r="L35" s="52">
        <f t="shared" ref="L35" si="162">K35-K34</f>
        <v>0</v>
      </c>
      <c r="M35" s="64">
        <f t="shared" si="27"/>
        <v>154206</v>
      </c>
      <c r="N35" s="406">
        <f t="shared" ref="N35" si="163">M35-M34</f>
        <v>0</v>
      </c>
      <c r="O35" s="64">
        <f t="shared" si="11"/>
        <v>211.87499999999994</v>
      </c>
      <c r="P35" s="64">
        <f t="shared" si="11"/>
        <v>1835</v>
      </c>
      <c r="Q35" s="64">
        <f t="shared" ref="Q35" si="164">Q34</f>
        <v>155805</v>
      </c>
      <c r="R35" s="405">
        <f t="shared" ref="R35" si="165">Q35-Q34</f>
        <v>0</v>
      </c>
      <c r="S35" s="52">
        <f t="shared" ref="S35" si="166">SUM(P35-P34)</f>
        <v>0</v>
      </c>
      <c r="T35" s="67">
        <f t="shared" ref="T35" si="167">SUM(S35*$T$2)</f>
        <v>0</v>
      </c>
      <c r="U35" s="412">
        <f t="shared" ref="U35" si="168">SUM(G35+L35+S35)</f>
        <v>0</v>
      </c>
      <c r="V35" s="62">
        <f t="shared" ref="V35" si="169">R35+N35+I35:I35</f>
        <v>0</v>
      </c>
      <c r="W35" s="410"/>
      <c r="X35" s="64">
        <f t="shared" si="30"/>
        <v>2418</v>
      </c>
      <c r="Y35" s="52">
        <f t="shared" ref="Y35" si="170">X35-X34</f>
        <v>0</v>
      </c>
      <c r="Z35" s="64">
        <f t="shared" si="30"/>
        <v>135983</v>
      </c>
      <c r="AA35" s="65">
        <f t="shared" ref="AA35" si="171">Z35-Z34</f>
        <v>0</v>
      </c>
      <c r="AB35" s="292">
        <f t="shared" ref="AB35" si="172">SUM(Y35*$AB$2)</f>
        <v>0</v>
      </c>
      <c r="AC35" s="64">
        <f t="shared" ref="AC35:AE35" si="173">AC34</f>
        <v>1923</v>
      </c>
      <c r="AD35" s="45">
        <f t="shared" ref="AD35" si="174">AC35-AC34</f>
        <v>0</v>
      </c>
      <c r="AE35" s="64">
        <f t="shared" si="173"/>
        <v>364710</v>
      </c>
      <c r="AF35" s="314">
        <f t="shared" ref="AF35" si="175">AE35-AE34</f>
        <v>0</v>
      </c>
      <c r="AG35" s="212">
        <f t="shared" ref="AG35" si="176">IF(AD35&gt;0,AF35/AD35,0)</f>
        <v>0</v>
      </c>
      <c r="AH35" s="62">
        <f t="shared" ref="AH35" si="177">AF35+AA35</f>
        <v>0</v>
      </c>
      <c r="AI35" s="326">
        <f t="shared" ref="AI35" si="178">SUM(AH35+V35)</f>
        <v>0</v>
      </c>
      <c r="AJ35" s="326">
        <f>-tanks!AW37</f>
        <v>0</v>
      </c>
      <c r="AK35" s="326">
        <f t="shared" ref="AK35" si="179">SUM(AJ35-AI35)</f>
        <v>0</v>
      </c>
      <c r="AL35" s="326">
        <f t="shared" ref="AL35" si="180">S35+L35+G35</f>
        <v>0</v>
      </c>
      <c r="AM35" s="326">
        <f>Y35+AD35</f>
        <v>0</v>
      </c>
      <c r="AN35" s="64">
        <f t="shared" ref="AN35:AP35" si="181">AN34</f>
        <v>70</v>
      </c>
      <c r="AO35" s="328">
        <f t="shared" ref="AO35" si="182">(AN35/100)*3000</f>
        <v>2100</v>
      </c>
      <c r="AP35" s="64">
        <f t="shared" si="181"/>
        <v>74</v>
      </c>
      <c r="AQ35" s="328">
        <f t="shared" ref="AQ35" si="183">(AP35/100)*3000</f>
        <v>2220</v>
      </c>
      <c r="AR35" s="64">
        <f t="shared" ref="AR35" si="184">AR34</f>
        <v>75</v>
      </c>
      <c r="AS35" s="328">
        <f t="shared" ref="AS35" si="185">(AR35/100)*3000</f>
        <v>2250</v>
      </c>
      <c r="AT35" s="328">
        <f t="shared" ref="AT35" si="186">SUM(AO35+AQ35+AS35)</f>
        <v>6570</v>
      </c>
      <c r="AU35" s="328">
        <f t="shared" ref="AU35" si="187">AT34-AT35+AV35</f>
        <v>0</v>
      </c>
      <c r="AV35" s="275"/>
      <c r="AW35" s="275"/>
      <c r="AX35" s="321">
        <f t="shared" ref="AX35" si="188">IF(AV35&gt;0,AW35,AX34)</f>
        <v>0.8</v>
      </c>
    </row>
    <row r="36" spans="1:50">
      <c r="J36" s="291">
        <f>SUM(J5:J34)/(COUNT(J5:J34)-COUNTIF(J5:J34,0))</f>
        <v>1</v>
      </c>
      <c r="V36" s="62">
        <f>SUM(V5:V35)</f>
        <v>479</v>
      </c>
      <c r="AE36" s="71" t="s">
        <v>385</v>
      </c>
      <c r="AG36" s="354"/>
      <c r="AH36" s="62">
        <f>SUM(AH5:AH35)</f>
        <v>130</v>
      </c>
      <c r="AL36" s="62">
        <f>SUM(AL5:AL35)</f>
        <v>6</v>
      </c>
      <c r="AM36" s="62">
        <f>SUM(AM5:AM35)</f>
        <v>2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510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609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260.10000000000002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Normal="100" workbookViewId="0">
      <pane ySplit="3" topLeftCell="A4" activePane="bottomLeft" state="frozen"/>
      <selection pane="bottomLeft" activeCell="BG7" sqref="BG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9078945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2" t="s">
        <v>126</v>
      </c>
      <c r="AO3" s="623"/>
      <c r="AP3" s="624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f t="shared" ref="B8:B36" si="30">B7</f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f t="shared" ref="G8:G36" si="31">G7</f>
        <v>605263</v>
      </c>
      <c r="H8" s="5">
        <f t="shared" si="12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6550</v>
      </c>
      <c r="L8" s="83">
        <f>K8-K7</f>
        <v>0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f t="shared" si="15"/>
        <v>146523</v>
      </c>
      <c r="Y8" s="332">
        <f t="shared" si="17"/>
        <v>0</v>
      </c>
      <c r="Z8" s="5">
        <f t="shared" si="15"/>
        <v>96347</v>
      </c>
      <c r="AA8" s="83">
        <f t="shared" si="18"/>
        <v>0</v>
      </c>
      <c r="AB8" s="5">
        <f t="shared" si="15"/>
        <v>258</v>
      </c>
      <c r="AC8" s="5">
        <f t="shared" si="15"/>
        <v>670</v>
      </c>
      <c r="AD8" s="83">
        <f t="shared" ref="AD8:AD35" si="32">AC8-AC7</f>
        <v>0</v>
      </c>
      <c r="AE8" s="5">
        <f t="shared" si="15"/>
        <v>187.62</v>
      </c>
      <c r="AF8" s="83">
        <f t="shared" si="19"/>
        <v>0</v>
      </c>
      <c r="AG8" s="5">
        <f t="shared" si="15"/>
        <v>2000.5</v>
      </c>
      <c r="AH8" s="83">
        <f t="shared" si="20"/>
        <v>0</v>
      </c>
      <c r="AI8" s="83">
        <f t="shared" si="21"/>
        <v>0</v>
      </c>
      <c r="AJ8" s="334">
        <f t="shared" si="22"/>
        <v>0</v>
      </c>
      <c r="AK8" s="335">
        <f t="shared" si="5"/>
        <v>0</v>
      </c>
      <c r="AL8" s="335">
        <f t="shared" si="23"/>
        <v>0</v>
      </c>
      <c r="AM8" s="335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f t="shared" si="6"/>
        <v>33</v>
      </c>
      <c r="AU8" s="436">
        <v>1.1000000000000001</v>
      </c>
      <c r="AV8" s="204">
        <f t="shared" ref="AV8:AX8" si="33">AV7</f>
        <v>61</v>
      </c>
      <c r="AW8" s="5">
        <v>2.9</v>
      </c>
      <c r="AX8" s="204">
        <f t="shared" si="33"/>
        <v>61</v>
      </c>
      <c r="AY8" s="439">
        <f t="shared" si="7"/>
        <v>29.7</v>
      </c>
      <c r="AZ8" s="439">
        <f t="shared" si="25"/>
        <v>67.100000000000009</v>
      </c>
      <c r="BA8" s="439">
        <f t="shared" si="26"/>
        <v>176.9</v>
      </c>
      <c r="BB8" s="21">
        <f t="shared" si="27"/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si="30"/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si="31"/>
        <v>605263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6550</v>
      </c>
      <c r="L9" s="83">
        <f t="shared" ref="L9:L35" si="34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146523</v>
      </c>
      <c r="Y9" s="332">
        <f t="shared" si="17"/>
        <v>0</v>
      </c>
      <c r="Z9" s="5">
        <f t="shared" si="15"/>
        <v>96347</v>
      </c>
      <c r="AA9" s="83">
        <f t="shared" si="18"/>
        <v>0</v>
      </c>
      <c r="AB9" s="5">
        <f t="shared" si="15"/>
        <v>258</v>
      </c>
      <c r="AC9" s="5">
        <f t="shared" si="15"/>
        <v>670</v>
      </c>
      <c r="AD9" s="83">
        <f t="shared" si="32"/>
        <v>0</v>
      </c>
      <c r="AE9" s="5">
        <f t="shared" si="15"/>
        <v>187.62</v>
      </c>
      <c r="AF9" s="83">
        <f t="shared" si="19"/>
        <v>0</v>
      </c>
      <c r="AG9" s="5">
        <f t="shared" si="15"/>
        <v>2000.5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f t="shared" si="6"/>
        <v>33</v>
      </c>
      <c r="AU9" s="436">
        <f t="shared" ref="AU9:AV36" si="35">AU8</f>
        <v>1.1000000000000001</v>
      </c>
      <c r="AV9" s="204">
        <f t="shared" si="35"/>
        <v>61</v>
      </c>
      <c r="AW9" s="5">
        <v>2.9</v>
      </c>
      <c r="AX9" s="204">
        <f t="shared" ref="AX9" si="36">AX8</f>
        <v>61</v>
      </c>
      <c r="AY9" s="439">
        <f t="shared" si="7"/>
        <v>29.7</v>
      </c>
      <c r="AZ9" s="439">
        <f t="shared" si="25"/>
        <v>67.100000000000009</v>
      </c>
      <c r="BA9" s="439">
        <f t="shared" si="26"/>
        <v>176.9</v>
      </c>
      <c r="BB9" s="21">
        <f t="shared" si="27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55">
        <f t="shared" si="8"/>
        <v>0</v>
      </c>
      <c r="BG9" s="82">
        <f t="shared" si="9"/>
        <v>0</v>
      </c>
    </row>
    <row r="10" spans="1:65" ht="15.75" thickBot="1">
      <c r="A10" s="6">
        <f>ELEC!C7</f>
        <v>44048</v>
      </c>
      <c r="B10" s="5">
        <f t="shared" si="30"/>
        <v>109034</v>
      </c>
      <c r="C10" s="5">
        <f t="shared" si="10"/>
        <v>0</v>
      </c>
      <c r="D10" s="430">
        <f t="shared" si="11"/>
        <v>0</v>
      </c>
      <c r="E10" s="341">
        <f>SUM((C10*$E$4)+(7500/'EDl log'!$A$39))</f>
        <v>241.93548387096774</v>
      </c>
      <c r="F10" s="429"/>
      <c r="G10" s="5">
        <f t="shared" si="31"/>
        <v>605263</v>
      </c>
      <c r="H10" s="5">
        <f t="shared" si="12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6550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f t="shared" si="15"/>
        <v>5024</v>
      </c>
      <c r="U10" s="5">
        <f t="shared" si="4"/>
        <v>0</v>
      </c>
      <c r="V10" s="5">
        <f t="shared" si="15"/>
        <v>422</v>
      </c>
      <c r="W10" s="332">
        <f t="shared" si="16"/>
        <v>0</v>
      </c>
      <c r="X10" s="5">
        <f t="shared" si="15"/>
        <v>146523</v>
      </c>
      <c r="Y10" s="332">
        <f t="shared" si="17"/>
        <v>0</v>
      </c>
      <c r="Z10" s="5">
        <f t="shared" si="15"/>
        <v>96347</v>
      </c>
      <c r="AA10" s="83">
        <f t="shared" si="18"/>
        <v>0</v>
      </c>
      <c r="AB10" s="5">
        <f t="shared" si="15"/>
        <v>258</v>
      </c>
      <c r="AC10" s="5">
        <f t="shared" si="15"/>
        <v>670</v>
      </c>
      <c r="AD10" s="83">
        <f t="shared" si="32"/>
        <v>0</v>
      </c>
      <c r="AE10" s="5">
        <f t="shared" si="15"/>
        <v>187.62</v>
      </c>
      <c r="AF10" s="83">
        <f t="shared" si="19"/>
        <v>0</v>
      </c>
      <c r="AG10" s="5">
        <f t="shared" si="15"/>
        <v>2000.5</v>
      </c>
      <c r="AH10" s="83">
        <f t="shared" si="20"/>
        <v>0</v>
      </c>
      <c r="AI10" s="83">
        <f t="shared" si="21"/>
        <v>0</v>
      </c>
      <c r="AJ10" s="334">
        <f t="shared" si="22"/>
        <v>0</v>
      </c>
      <c r="AK10" s="335">
        <f t="shared" si="5"/>
        <v>0</v>
      </c>
      <c r="AL10" s="335">
        <f t="shared" si="23"/>
        <v>0</v>
      </c>
      <c r="AM10" s="335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f t="shared" si="6"/>
        <v>33</v>
      </c>
      <c r="AU10" s="436">
        <f t="shared" si="35"/>
        <v>1.1000000000000001</v>
      </c>
      <c r="AV10" s="204">
        <f t="shared" si="35"/>
        <v>61</v>
      </c>
      <c r="AW10" s="5">
        <v>2.9</v>
      </c>
      <c r="AX10" s="204">
        <f t="shared" ref="AX10" si="37">AX9</f>
        <v>61</v>
      </c>
      <c r="AY10" s="439">
        <f t="shared" si="7"/>
        <v>29.7</v>
      </c>
      <c r="AZ10" s="439">
        <f t="shared" si="25"/>
        <v>67.100000000000009</v>
      </c>
      <c r="BA10" s="439">
        <f t="shared" si="26"/>
        <v>176.9</v>
      </c>
      <c r="BB10" s="21">
        <f t="shared" si="27"/>
        <v>0</v>
      </c>
      <c r="BC10" s="21">
        <f t="shared" si="28"/>
        <v>0</v>
      </c>
      <c r="BD10" s="21">
        <f t="shared" si="28"/>
        <v>0</v>
      </c>
      <c r="BE10" s="24">
        <f t="shared" si="29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44049</v>
      </c>
      <c r="B11" s="5">
        <f t="shared" si="30"/>
        <v>109034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1"/>
        <v>605263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6550</v>
      </c>
      <c r="L11" s="83">
        <f t="shared" si="34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5024</v>
      </c>
      <c r="U11" s="5">
        <f t="shared" si="4"/>
        <v>0</v>
      </c>
      <c r="V11" s="5">
        <f t="shared" si="15"/>
        <v>422</v>
      </c>
      <c r="W11" s="332">
        <f t="shared" si="16"/>
        <v>0</v>
      </c>
      <c r="X11" s="5">
        <f t="shared" si="15"/>
        <v>146523</v>
      </c>
      <c r="Y11" s="332">
        <f t="shared" si="17"/>
        <v>0</v>
      </c>
      <c r="Z11" s="5">
        <f t="shared" si="15"/>
        <v>96347</v>
      </c>
      <c r="AA11" s="83">
        <f t="shared" si="18"/>
        <v>0</v>
      </c>
      <c r="AB11" s="5">
        <f t="shared" si="15"/>
        <v>258</v>
      </c>
      <c r="AC11" s="5">
        <f t="shared" si="15"/>
        <v>670</v>
      </c>
      <c r="AD11" s="83">
        <f t="shared" si="32"/>
        <v>0</v>
      </c>
      <c r="AE11" s="5">
        <f t="shared" si="15"/>
        <v>187.62</v>
      </c>
      <c r="AF11" s="83">
        <f t="shared" si="19"/>
        <v>0</v>
      </c>
      <c r="AG11" s="5">
        <f t="shared" si="15"/>
        <v>2000.5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f t="shared" si="6"/>
        <v>33</v>
      </c>
      <c r="AU11" s="436">
        <f t="shared" si="35"/>
        <v>1.1000000000000001</v>
      </c>
      <c r="AV11" s="204">
        <f t="shared" si="35"/>
        <v>61</v>
      </c>
      <c r="AW11" s="5">
        <v>2.9</v>
      </c>
      <c r="AX11" s="204">
        <f t="shared" ref="AX11" si="38">AX10</f>
        <v>61</v>
      </c>
      <c r="AY11" s="439">
        <f t="shared" si="7"/>
        <v>29.7</v>
      </c>
      <c r="AZ11" s="439">
        <f t="shared" si="25"/>
        <v>67.100000000000009</v>
      </c>
      <c r="BA11" s="439">
        <f t="shared" si="26"/>
        <v>176.9</v>
      </c>
      <c r="BB11" s="21">
        <f t="shared" si="27"/>
        <v>0</v>
      </c>
      <c r="BC11" s="21">
        <f t="shared" si="28"/>
        <v>0</v>
      </c>
      <c r="BD11" s="21">
        <f t="shared" si="28"/>
        <v>0</v>
      </c>
      <c r="BE11" s="24">
        <f t="shared" si="29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44050</v>
      </c>
      <c r="B12" s="5">
        <f t="shared" si="30"/>
        <v>109034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f t="shared" si="31"/>
        <v>605263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6550</v>
      </c>
      <c r="L12" s="83">
        <f t="shared" si="34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5024</v>
      </c>
      <c r="U12" s="5">
        <f t="shared" si="4"/>
        <v>0</v>
      </c>
      <c r="V12" s="5">
        <f t="shared" si="15"/>
        <v>422</v>
      </c>
      <c r="W12" s="332">
        <f t="shared" si="16"/>
        <v>0</v>
      </c>
      <c r="X12" s="5">
        <f t="shared" si="15"/>
        <v>146523</v>
      </c>
      <c r="Y12" s="332">
        <f t="shared" si="17"/>
        <v>0</v>
      </c>
      <c r="Z12" s="5">
        <f t="shared" si="15"/>
        <v>96347</v>
      </c>
      <c r="AA12" s="83">
        <f t="shared" si="18"/>
        <v>0</v>
      </c>
      <c r="AB12" s="5">
        <f t="shared" si="15"/>
        <v>258</v>
      </c>
      <c r="AC12" s="5">
        <f t="shared" si="15"/>
        <v>670</v>
      </c>
      <c r="AD12" s="83">
        <f t="shared" si="32"/>
        <v>0</v>
      </c>
      <c r="AE12" s="5">
        <f t="shared" si="15"/>
        <v>187.62</v>
      </c>
      <c r="AF12" s="83">
        <f t="shared" si="19"/>
        <v>0</v>
      </c>
      <c r="AG12" s="5">
        <f t="shared" si="15"/>
        <v>2000.5</v>
      </c>
      <c r="AH12" s="83">
        <f t="shared" si="20"/>
        <v>0</v>
      </c>
      <c r="AI12" s="83">
        <f t="shared" si="21"/>
        <v>0</v>
      </c>
      <c r="AJ12" s="334">
        <f t="shared" si="22"/>
        <v>0</v>
      </c>
      <c r="AK12" s="335">
        <f t="shared" si="5"/>
        <v>0</v>
      </c>
      <c r="AL12" s="335">
        <f t="shared" si="23"/>
        <v>0</v>
      </c>
      <c r="AM12" s="33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f t="shared" si="6"/>
        <v>33</v>
      </c>
      <c r="AU12" s="436">
        <f t="shared" si="35"/>
        <v>1.1000000000000001</v>
      </c>
      <c r="AV12" s="204">
        <f t="shared" si="35"/>
        <v>61</v>
      </c>
      <c r="AW12" s="5">
        <v>2.9</v>
      </c>
      <c r="AX12" s="204">
        <f t="shared" ref="AX12" si="39">AX11</f>
        <v>61</v>
      </c>
      <c r="AY12" s="439">
        <f t="shared" si="7"/>
        <v>29.7</v>
      </c>
      <c r="AZ12" s="439">
        <f t="shared" si="25"/>
        <v>67.100000000000009</v>
      </c>
      <c r="BA12" s="439">
        <f t="shared" si="26"/>
        <v>176.9</v>
      </c>
      <c r="BB12" s="21">
        <f t="shared" si="27"/>
        <v>0</v>
      </c>
      <c r="BC12" s="21">
        <f t="shared" si="28"/>
        <v>0</v>
      </c>
      <c r="BD12" s="21">
        <f t="shared" si="28"/>
        <v>0</v>
      </c>
      <c r="BE12" s="24">
        <f t="shared" si="29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44051</v>
      </c>
      <c r="B13" s="5">
        <f t="shared" si="30"/>
        <v>109034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1"/>
        <v>605263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6550</v>
      </c>
      <c r="L13" s="83">
        <f t="shared" si="34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5024</v>
      </c>
      <c r="U13" s="5">
        <f t="shared" si="4"/>
        <v>0</v>
      </c>
      <c r="V13" s="5">
        <f t="shared" si="15"/>
        <v>422</v>
      </c>
      <c r="W13" s="332">
        <f t="shared" si="16"/>
        <v>0</v>
      </c>
      <c r="X13" s="5">
        <f t="shared" si="15"/>
        <v>146523</v>
      </c>
      <c r="Y13" s="332">
        <f t="shared" si="17"/>
        <v>0</v>
      </c>
      <c r="Z13" s="5">
        <f t="shared" si="15"/>
        <v>96347</v>
      </c>
      <c r="AA13" s="83">
        <f t="shared" si="18"/>
        <v>0</v>
      </c>
      <c r="AB13" s="5">
        <f t="shared" si="15"/>
        <v>258</v>
      </c>
      <c r="AC13" s="5">
        <f t="shared" si="15"/>
        <v>670</v>
      </c>
      <c r="AD13" s="83">
        <f t="shared" si="32"/>
        <v>0</v>
      </c>
      <c r="AE13" s="5">
        <f t="shared" si="15"/>
        <v>187.62</v>
      </c>
      <c r="AF13" s="83">
        <f t="shared" si="19"/>
        <v>0</v>
      </c>
      <c r="AG13" s="5">
        <f t="shared" si="15"/>
        <v>2000.5</v>
      </c>
      <c r="AH13" s="83">
        <f t="shared" si="20"/>
        <v>0</v>
      </c>
      <c r="AI13" s="83">
        <f t="shared" si="21"/>
        <v>0</v>
      </c>
      <c r="AJ13" s="334">
        <f t="shared" si="22"/>
        <v>0</v>
      </c>
      <c r="AK13" s="335">
        <f t="shared" si="5"/>
        <v>0</v>
      </c>
      <c r="AL13" s="335">
        <f t="shared" si="23"/>
        <v>0</v>
      </c>
      <c r="AM13" s="33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f t="shared" si="6"/>
        <v>33</v>
      </c>
      <c r="AU13" s="436">
        <f t="shared" si="35"/>
        <v>1.1000000000000001</v>
      </c>
      <c r="AV13" s="204">
        <f t="shared" si="35"/>
        <v>61</v>
      </c>
      <c r="AW13" s="5">
        <v>2.9</v>
      </c>
      <c r="AX13" s="204">
        <f t="shared" ref="AX13" si="40">AX12</f>
        <v>61</v>
      </c>
      <c r="AY13" s="439">
        <f t="shared" si="7"/>
        <v>29.7</v>
      </c>
      <c r="AZ13" s="439">
        <f t="shared" si="25"/>
        <v>67.100000000000009</v>
      </c>
      <c r="BA13" s="439">
        <f t="shared" si="26"/>
        <v>176.9</v>
      </c>
      <c r="BB13" s="21">
        <f t="shared" si="27"/>
        <v>0</v>
      </c>
      <c r="BC13" s="21">
        <f t="shared" si="28"/>
        <v>0</v>
      </c>
      <c r="BD13" s="21">
        <f t="shared" si="28"/>
        <v>0</v>
      </c>
      <c r="BE13" s="24">
        <f t="shared" si="29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44052</v>
      </c>
      <c r="B14" s="5">
        <f t="shared" si="30"/>
        <v>109034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1"/>
        <v>605263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6550</v>
      </c>
      <c r="L14" s="83">
        <f t="shared" si="34"/>
        <v>0</v>
      </c>
      <c r="M14" s="421">
        <f t="shared" si="13"/>
        <v>457.44</v>
      </c>
      <c r="N14" s="529">
        <f t="shared" ref="N14:N35" si="41">SUM(M14-M13)</f>
        <v>0</v>
      </c>
      <c r="O14" s="421">
        <f t="shared" si="14"/>
        <v>529.52</v>
      </c>
      <c r="P14" s="529">
        <f t="shared" ref="P14:P35" si="42">SUM(O14-O13)</f>
        <v>0</v>
      </c>
      <c r="Q14" s="529">
        <f t="shared" ref="Q14:Q35" si="43">SUM(P14+N14)</f>
        <v>0</v>
      </c>
      <c r="R14" s="529"/>
      <c r="S14" s="529"/>
      <c r="T14" s="5">
        <f t="shared" si="15"/>
        <v>5024</v>
      </c>
      <c r="U14" s="5">
        <f t="shared" si="4"/>
        <v>0</v>
      </c>
      <c r="V14" s="5">
        <f t="shared" si="15"/>
        <v>422</v>
      </c>
      <c r="W14" s="332">
        <f t="shared" si="16"/>
        <v>0</v>
      </c>
      <c r="X14" s="5">
        <f t="shared" si="15"/>
        <v>146523</v>
      </c>
      <c r="Y14" s="332">
        <f t="shared" si="17"/>
        <v>0</v>
      </c>
      <c r="Z14" s="5">
        <f t="shared" si="15"/>
        <v>96347</v>
      </c>
      <c r="AA14" s="83">
        <f t="shared" si="18"/>
        <v>0</v>
      </c>
      <c r="AB14" s="5">
        <f t="shared" si="15"/>
        <v>258</v>
      </c>
      <c r="AC14" s="5">
        <f t="shared" si="15"/>
        <v>670</v>
      </c>
      <c r="AD14" s="83">
        <f t="shared" si="32"/>
        <v>0</v>
      </c>
      <c r="AE14" s="5">
        <f t="shared" si="15"/>
        <v>187.62</v>
      </c>
      <c r="AF14" s="83">
        <f t="shared" si="19"/>
        <v>0</v>
      </c>
      <c r="AG14" s="5">
        <f t="shared" si="15"/>
        <v>2000.5</v>
      </c>
      <c r="AH14" s="83">
        <f t="shared" si="20"/>
        <v>0</v>
      </c>
      <c r="AI14" s="83">
        <f t="shared" si="21"/>
        <v>0</v>
      </c>
      <c r="AJ14" s="334">
        <f t="shared" si="22"/>
        <v>0</v>
      </c>
      <c r="AK14" s="335">
        <f t="shared" si="5"/>
        <v>0</v>
      </c>
      <c r="AL14" s="335">
        <f t="shared" si="23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f t="shared" si="6"/>
        <v>33</v>
      </c>
      <c r="AU14" s="436">
        <f t="shared" si="35"/>
        <v>1.1000000000000001</v>
      </c>
      <c r="AV14" s="204">
        <f t="shared" si="35"/>
        <v>61</v>
      </c>
      <c r="AW14" s="5">
        <v>2.9</v>
      </c>
      <c r="AX14" s="204">
        <f t="shared" ref="AX14" si="44">AX13</f>
        <v>61</v>
      </c>
      <c r="AY14" s="439">
        <f t="shared" si="7"/>
        <v>29.7</v>
      </c>
      <c r="AZ14" s="439">
        <f t="shared" si="25"/>
        <v>67.100000000000009</v>
      </c>
      <c r="BA14" s="439">
        <f t="shared" si="26"/>
        <v>176.9</v>
      </c>
      <c r="BB14" s="21">
        <f t="shared" si="27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44053</v>
      </c>
      <c r="B15" s="5">
        <f t="shared" si="30"/>
        <v>109034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1"/>
        <v>605263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6550</v>
      </c>
      <c r="L15" s="83">
        <f t="shared" si="34"/>
        <v>0</v>
      </c>
      <c r="M15" s="421">
        <f t="shared" si="13"/>
        <v>457.44</v>
      </c>
      <c r="N15" s="529">
        <f t="shared" si="41"/>
        <v>0</v>
      </c>
      <c r="O15" s="421">
        <f t="shared" si="14"/>
        <v>529.52</v>
      </c>
      <c r="P15" s="529">
        <f t="shared" si="42"/>
        <v>0</v>
      </c>
      <c r="Q15" s="529">
        <f t="shared" si="43"/>
        <v>0</v>
      </c>
      <c r="R15" s="529"/>
      <c r="S15" s="529"/>
      <c r="T15" s="5">
        <f t="shared" si="15"/>
        <v>5024</v>
      </c>
      <c r="U15" s="5">
        <f t="shared" si="4"/>
        <v>0</v>
      </c>
      <c r="V15" s="5">
        <f t="shared" si="15"/>
        <v>422</v>
      </c>
      <c r="W15" s="332">
        <f t="shared" si="16"/>
        <v>0</v>
      </c>
      <c r="X15" s="5">
        <f t="shared" si="15"/>
        <v>146523</v>
      </c>
      <c r="Y15" s="332">
        <f t="shared" si="17"/>
        <v>0</v>
      </c>
      <c r="Z15" s="5">
        <f t="shared" si="15"/>
        <v>96347</v>
      </c>
      <c r="AA15" s="83">
        <f t="shared" si="18"/>
        <v>0</v>
      </c>
      <c r="AB15" s="5">
        <f t="shared" si="15"/>
        <v>258</v>
      </c>
      <c r="AC15" s="5">
        <f t="shared" si="15"/>
        <v>670</v>
      </c>
      <c r="AD15" s="83">
        <f t="shared" si="32"/>
        <v>0</v>
      </c>
      <c r="AE15" s="5">
        <f t="shared" si="15"/>
        <v>187.62</v>
      </c>
      <c r="AF15" s="83">
        <f t="shared" si="19"/>
        <v>0</v>
      </c>
      <c r="AG15" s="5">
        <f t="shared" si="15"/>
        <v>2000.5</v>
      </c>
      <c r="AH15" s="83">
        <f t="shared" si="20"/>
        <v>0</v>
      </c>
      <c r="AI15" s="83">
        <f t="shared" si="21"/>
        <v>0</v>
      </c>
      <c r="AJ15" s="334">
        <f t="shared" si="22"/>
        <v>0</v>
      </c>
      <c r="AK15" s="335">
        <f t="shared" si="5"/>
        <v>0</v>
      </c>
      <c r="AL15" s="335">
        <f t="shared" si="23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f t="shared" si="6"/>
        <v>33</v>
      </c>
      <c r="AU15" s="436">
        <f t="shared" si="35"/>
        <v>1.1000000000000001</v>
      </c>
      <c r="AV15" s="204">
        <f t="shared" si="35"/>
        <v>61</v>
      </c>
      <c r="AW15" s="5">
        <v>2.9</v>
      </c>
      <c r="AX15" s="204">
        <f t="shared" ref="AX15" si="45">AX14</f>
        <v>61</v>
      </c>
      <c r="AY15" s="439">
        <f t="shared" si="7"/>
        <v>29.7</v>
      </c>
      <c r="AZ15" s="439">
        <f t="shared" si="25"/>
        <v>67.100000000000009</v>
      </c>
      <c r="BA15" s="439">
        <f t="shared" si="26"/>
        <v>176.9</v>
      </c>
      <c r="BB15" s="21">
        <f t="shared" si="27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44054</v>
      </c>
      <c r="B16" s="5">
        <f t="shared" si="30"/>
        <v>109034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1"/>
        <v>605263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6550</v>
      </c>
      <c r="L16" s="280">
        <f t="shared" si="34"/>
        <v>0</v>
      </c>
      <c r="M16" s="421">
        <f t="shared" si="13"/>
        <v>457.44</v>
      </c>
      <c r="N16" s="529">
        <f t="shared" si="41"/>
        <v>0</v>
      </c>
      <c r="O16" s="421">
        <f t="shared" si="14"/>
        <v>529.52</v>
      </c>
      <c r="P16" s="529">
        <f t="shared" si="42"/>
        <v>0</v>
      </c>
      <c r="Q16" s="529">
        <f t="shared" si="43"/>
        <v>0</v>
      </c>
      <c r="R16" s="531"/>
      <c r="S16" s="531"/>
      <c r="T16" s="5">
        <f t="shared" si="15"/>
        <v>5024</v>
      </c>
      <c r="U16" s="5">
        <f t="shared" si="4"/>
        <v>0</v>
      </c>
      <c r="V16" s="5">
        <f t="shared" si="15"/>
        <v>422</v>
      </c>
      <c r="W16" s="332">
        <f t="shared" si="16"/>
        <v>0</v>
      </c>
      <c r="X16" s="5">
        <f t="shared" si="15"/>
        <v>146523</v>
      </c>
      <c r="Y16" s="332">
        <f t="shared" si="17"/>
        <v>0</v>
      </c>
      <c r="Z16" s="5">
        <f t="shared" si="15"/>
        <v>96347</v>
      </c>
      <c r="AA16" s="83">
        <f t="shared" si="18"/>
        <v>0</v>
      </c>
      <c r="AB16" s="5">
        <f t="shared" si="15"/>
        <v>258</v>
      </c>
      <c r="AC16" s="5">
        <f t="shared" si="15"/>
        <v>670</v>
      </c>
      <c r="AD16" s="83">
        <f t="shared" si="32"/>
        <v>0</v>
      </c>
      <c r="AE16" s="5">
        <f t="shared" si="15"/>
        <v>187.62</v>
      </c>
      <c r="AF16" s="83">
        <f t="shared" si="19"/>
        <v>0</v>
      </c>
      <c r="AG16" s="5">
        <f t="shared" si="15"/>
        <v>2000.5</v>
      </c>
      <c r="AH16" s="83">
        <f t="shared" si="20"/>
        <v>0</v>
      </c>
      <c r="AI16" s="83">
        <f t="shared" si="21"/>
        <v>0</v>
      </c>
      <c r="AJ16" s="334">
        <f t="shared" si="22"/>
        <v>0</v>
      </c>
      <c r="AK16" s="335">
        <f t="shared" si="5"/>
        <v>0</v>
      </c>
      <c r="AL16" s="335">
        <f t="shared" si="23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f t="shared" si="6"/>
        <v>33</v>
      </c>
      <c r="AU16" s="436">
        <f t="shared" si="35"/>
        <v>1.1000000000000001</v>
      </c>
      <c r="AV16" s="204">
        <f t="shared" si="35"/>
        <v>61</v>
      </c>
      <c r="AW16" s="5">
        <v>2.9</v>
      </c>
      <c r="AX16" s="204">
        <f t="shared" ref="AX16" si="46">AX15</f>
        <v>61</v>
      </c>
      <c r="AY16" s="439">
        <f t="shared" si="7"/>
        <v>29.7</v>
      </c>
      <c r="AZ16" s="439">
        <f t="shared" si="25"/>
        <v>67.100000000000009</v>
      </c>
      <c r="BA16" s="439">
        <f t="shared" si="26"/>
        <v>176.9</v>
      </c>
      <c r="BB16" s="21">
        <f t="shared" si="27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44055</v>
      </c>
      <c r="B17" s="5">
        <f t="shared" si="30"/>
        <v>109034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1"/>
        <v>605263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6550</v>
      </c>
      <c r="L17" s="83">
        <f t="shared" si="34"/>
        <v>0</v>
      </c>
      <c r="M17" s="421">
        <f t="shared" si="13"/>
        <v>457.44</v>
      </c>
      <c r="N17" s="529">
        <f t="shared" si="41"/>
        <v>0</v>
      </c>
      <c r="O17" s="421">
        <f t="shared" si="14"/>
        <v>529.52</v>
      </c>
      <c r="P17" s="529">
        <f t="shared" si="42"/>
        <v>0</v>
      </c>
      <c r="Q17" s="529">
        <f t="shared" si="43"/>
        <v>0</v>
      </c>
      <c r="R17" s="529"/>
      <c r="S17" s="529"/>
      <c r="T17" s="5">
        <f t="shared" si="15"/>
        <v>5024</v>
      </c>
      <c r="U17" s="5">
        <f t="shared" si="4"/>
        <v>0</v>
      </c>
      <c r="V17" s="5">
        <f t="shared" si="15"/>
        <v>422</v>
      </c>
      <c r="W17" s="332">
        <f t="shared" si="16"/>
        <v>0</v>
      </c>
      <c r="X17" s="5">
        <f t="shared" si="15"/>
        <v>146523</v>
      </c>
      <c r="Y17" s="332">
        <f t="shared" si="17"/>
        <v>0</v>
      </c>
      <c r="Z17" s="5">
        <f t="shared" si="15"/>
        <v>96347</v>
      </c>
      <c r="AA17" s="83">
        <f t="shared" si="18"/>
        <v>0</v>
      </c>
      <c r="AB17" s="5">
        <f t="shared" si="15"/>
        <v>258</v>
      </c>
      <c r="AC17" s="5">
        <f t="shared" si="15"/>
        <v>670</v>
      </c>
      <c r="AD17" s="83">
        <f t="shared" si="32"/>
        <v>0</v>
      </c>
      <c r="AE17" s="5">
        <f t="shared" si="15"/>
        <v>187.62</v>
      </c>
      <c r="AF17" s="83">
        <f t="shared" si="19"/>
        <v>0</v>
      </c>
      <c r="AG17" s="5">
        <f t="shared" si="15"/>
        <v>2000.5</v>
      </c>
      <c r="AH17" s="83">
        <f t="shared" si="20"/>
        <v>0</v>
      </c>
      <c r="AI17" s="83">
        <f t="shared" si="21"/>
        <v>0</v>
      </c>
      <c r="AJ17" s="334">
        <f t="shared" si="22"/>
        <v>0</v>
      </c>
      <c r="AK17" s="335">
        <f t="shared" si="5"/>
        <v>0</v>
      </c>
      <c r="AL17" s="335">
        <f t="shared" si="23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f t="shared" si="6"/>
        <v>33</v>
      </c>
      <c r="AU17" s="436">
        <f t="shared" si="35"/>
        <v>1.1000000000000001</v>
      </c>
      <c r="AV17" s="204">
        <f t="shared" si="35"/>
        <v>61</v>
      </c>
      <c r="AW17" s="5">
        <v>2.9</v>
      </c>
      <c r="AX17" s="204">
        <f t="shared" ref="AX17" si="47">AX16</f>
        <v>61</v>
      </c>
      <c r="AY17" s="439">
        <f t="shared" si="7"/>
        <v>29.7</v>
      </c>
      <c r="AZ17" s="439">
        <f t="shared" si="25"/>
        <v>67.100000000000009</v>
      </c>
      <c r="BA17" s="439">
        <f t="shared" si="26"/>
        <v>176.9</v>
      </c>
      <c r="BB17" s="21">
        <f t="shared" si="27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44056</v>
      </c>
      <c r="B18" s="5">
        <f t="shared" si="30"/>
        <v>109034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1"/>
        <v>605263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6550</v>
      </c>
      <c r="L18" s="83">
        <f t="shared" si="34"/>
        <v>0</v>
      </c>
      <c r="M18" s="421">
        <f t="shared" si="13"/>
        <v>457.44</v>
      </c>
      <c r="N18" s="529">
        <f t="shared" si="41"/>
        <v>0</v>
      </c>
      <c r="O18" s="421">
        <f t="shared" si="14"/>
        <v>529.52</v>
      </c>
      <c r="P18" s="529">
        <f t="shared" si="42"/>
        <v>0</v>
      </c>
      <c r="Q18" s="529">
        <f t="shared" si="43"/>
        <v>0</v>
      </c>
      <c r="R18" s="529"/>
      <c r="S18" s="529"/>
      <c r="T18" s="5">
        <f t="shared" si="15"/>
        <v>5024</v>
      </c>
      <c r="U18" s="5">
        <f t="shared" si="4"/>
        <v>0</v>
      </c>
      <c r="V18" s="5">
        <f t="shared" si="15"/>
        <v>422</v>
      </c>
      <c r="W18" s="332">
        <f t="shared" si="16"/>
        <v>0</v>
      </c>
      <c r="X18" s="5">
        <f t="shared" si="15"/>
        <v>146523</v>
      </c>
      <c r="Y18" s="332">
        <f t="shared" si="17"/>
        <v>0</v>
      </c>
      <c r="Z18" s="5">
        <f t="shared" si="15"/>
        <v>96347</v>
      </c>
      <c r="AA18" s="83">
        <f t="shared" si="18"/>
        <v>0</v>
      </c>
      <c r="AB18" s="5">
        <f t="shared" si="15"/>
        <v>258</v>
      </c>
      <c r="AC18" s="5">
        <f t="shared" si="15"/>
        <v>670</v>
      </c>
      <c r="AD18" s="83">
        <f t="shared" si="32"/>
        <v>0</v>
      </c>
      <c r="AE18" s="5">
        <f t="shared" si="15"/>
        <v>187.62</v>
      </c>
      <c r="AF18" s="83">
        <f t="shared" si="19"/>
        <v>0</v>
      </c>
      <c r="AG18" s="5">
        <f t="shared" si="15"/>
        <v>2000.5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f t="shared" si="6"/>
        <v>33</v>
      </c>
      <c r="AU18" s="436">
        <f t="shared" si="35"/>
        <v>1.1000000000000001</v>
      </c>
      <c r="AV18" s="204">
        <f t="shared" si="35"/>
        <v>61</v>
      </c>
      <c r="AW18" s="5">
        <v>2.9</v>
      </c>
      <c r="AX18" s="204">
        <f t="shared" ref="AX18" si="48">AX17</f>
        <v>61</v>
      </c>
      <c r="AY18" s="439">
        <f t="shared" si="7"/>
        <v>29.7</v>
      </c>
      <c r="AZ18" s="439">
        <f t="shared" si="25"/>
        <v>67.100000000000009</v>
      </c>
      <c r="BA18" s="439">
        <f t="shared" si="26"/>
        <v>176.9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44057</v>
      </c>
      <c r="B19" s="5">
        <f t="shared" si="30"/>
        <v>109034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1"/>
        <v>605263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6550</v>
      </c>
      <c r="L19" s="83">
        <f t="shared" si="34"/>
        <v>0</v>
      </c>
      <c r="M19" s="421">
        <f t="shared" si="13"/>
        <v>457.44</v>
      </c>
      <c r="N19" s="529">
        <f t="shared" si="41"/>
        <v>0</v>
      </c>
      <c r="O19" s="421">
        <f t="shared" si="14"/>
        <v>529.52</v>
      </c>
      <c r="P19" s="529">
        <f t="shared" si="42"/>
        <v>0</v>
      </c>
      <c r="Q19" s="529">
        <f t="shared" si="43"/>
        <v>0</v>
      </c>
      <c r="R19" s="529"/>
      <c r="S19" s="529"/>
      <c r="T19" s="5">
        <f t="shared" si="15"/>
        <v>5024</v>
      </c>
      <c r="U19" s="5">
        <f t="shared" si="4"/>
        <v>0</v>
      </c>
      <c r="V19" s="5">
        <f t="shared" si="15"/>
        <v>422</v>
      </c>
      <c r="W19" s="332">
        <f t="shared" si="16"/>
        <v>0</v>
      </c>
      <c r="X19" s="5">
        <f t="shared" si="15"/>
        <v>146523</v>
      </c>
      <c r="Y19" s="332">
        <f t="shared" si="17"/>
        <v>0</v>
      </c>
      <c r="Z19" s="5">
        <f t="shared" si="15"/>
        <v>96347</v>
      </c>
      <c r="AA19" s="83">
        <f t="shared" si="18"/>
        <v>0</v>
      </c>
      <c r="AB19" s="5">
        <f t="shared" si="15"/>
        <v>258</v>
      </c>
      <c r="AC19" s="5">
        <f t="shared" si="15"/>
        <v>670</v>
      </c>
      <c r="AD19" s="83">
        <f t="shared" si="32"/>
        <v>0</v>
      </c>
      <c r="AE19" s="5">
        <f t="shared" si="15"/>
        <v>187.62</v>
      </c>
      <c r="AF19" s="83">
        <f t="shared" si="19"/>
        <v>0</v>
      </c>
      <c r="AG19" s="5">
        <f t="shared" si="15"/>
        <v>2000.5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33</v>
      </c>
      <c r="AU19" s="436">
        <f t="shared" si="35"/>
        <v>1.1000000000000001</v>
      </c>
      <c r="AV19" s="204">
        <f t="shared" si="35"/>
        <v>61</v>
      </c>
      <c r="AW19" s="5">
        <v>2.9</v>
      </c>
      <c r="AX19" s="204">
        <f t="shared" ref="AX19" si="49">AX18</f>
        <v>61</v>
      </c>
      <c r="AY19" s="439">
        <f t="shared" si="7"/>
        <v>29.7</v>
      </c>
      <c r="AZ19" s="439">
        <f t="shared" si="25"/>
        <v>67.100000000000009</v>
      </c>
      <c r="BA19" s="439">
        <f t="shared" si="26"/>
        <v>176.9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0"/>
        <v>109034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1"/>
        <v>605263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6550</v>
      </c>
      <c r="L20" s="83">
        <f t="shared" si="34"/>
        <v>0</v>
      </c>
      <c r="M20" s="421">
        <f t="shared" si="13"/>
        <v>457.44</v>
      </c>
      <c r="N20" s="529">
        <f t="shared" si="41"/>
        <v>0</v>
      </c>
      <c r="O20" s="421">
        <f t="shared" si="14"/>
        <v>529.52</v>
      </c>
      <c r="P20" s="529">
        <f t="shared" si="42"/>
        <v>0</v>
      </c>
      <c r="Q20" s="529">
        <f t="shared" si="43"/>
        <v>0</v>
      </c>
      <c r="R20" s="529"/>
      <c r="S20" s="529"/>
      <c r="T20" s="5">
        <f t="shared" si="15"/>
        <v>5024</v>
      </c>
      <c r="U20" s="5">
        <f t="shared" si="4"/>
        <v>0</v>
      </c>
      <c r="V20" s="5">
        <f t="shared" si="15"/>
        <v>422</v>
      </c>
      <c r="W20" s="332">
        <f t="shared" si="16"/>
        <v>0</v>
      </c>
      <c r="X20" s="5">
        <f t="shared" si="15"/>
        <v>146523</v>
      </c>
      <c r="Y20" s="332">
        <f t="shared" si="17"/>
        <v>0</v>
      </c>
      <c r="Z20" s="5">
        <f t="shared" si="15"/>
        <v>96347</v>
      </c>
      <c r="AA20" s="83">
        <f t="shared" si="18"/>
        <v>0</v>
      </c>
      <c r="AB20" s="5">
        <f t="shared" si="15"/>
        <v>258</v>
      </c>
      <c r="AC20" s="5">
        <f t="shared" si="15"/>
        <v>670</v>
      </c>
      <c r="AD20" s="83">
        <f t="shared" si="32"/>
        <v>0</v>
      </c>
      <c r="AE20" s="5">
        <f t="shared" si="15"/>
        <v>187.62</v>
      </c>
      <c r="AF20" s="83">
        <f t="shared" si="19"/>
        <v>0</v>
      </c>
      <c r="AG20" s="5">
        <f t="shared" si="15"/>
        <v>2000.5</v>
      </c>
      <c r="AH20" s="83">
        <f t="shared" si="20"/>
        <v>0</v>
      </c>
      <c r="AI20" s="83">
        <f t="shared" si="21"/>
        <v>0</v>
      </c>
      <c r="AJ20" s="334">
        <f t="shared" si="22"/>
        <v>0</v>
      </c>
      <c r="AK20" s="335">
        <f t="shared" si="5"/>
        <v>0</v>
      </c>
      <c r="AL20" s="335">
        <f t="shared" si="23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f t="shared" si="6"/>
        <v>33</v>
      </c>
      <c r="AU20" s="436">
        <f t="shared" si="35"/>
        <v>1.1000000000000001</v>
      </c>
      <c r="AV20" s="204">
        <f t="shared" si="35"/>
        <v>61</v>
      </c>
      <c r="AW20" s="5">
        <v>2.9</v>
      </c>
      <c r="AX20" s="204">
        <f t="shared" ref="AX20" si="50">AX19</f>
        <v>61</v>
      </c>
      <c r="AY20" s="439">
        <f t="shared" si="7"/>
        <v>29.7</v>
      </c>
      <c r="AZ20" s="439">
        <f t="shared" si="25"/>
        <v>67.100000000000009</v>
      </c>
      <c r="BA20" s="439">
        <f t="shared" si="26"/>
        <v>176.9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44059</v>
      </c>
      <c r="B21" s="5">
        <f t="shared" si="30"/>
        <v>109034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1"/>
        <v>605263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6550</v>
      </c>
      <c r="L21" s="83">
        <f t="shared" si="34"/>
        <v>0</v>
      </c>
      <c r="M21" s="421">
        <f t="shared" si="13"/>
        <v>457.44</v>
      </c>
      <c r="N21" s="529">
        <f t="shared" si="41"/>
        <v>0</v>
      </c>
      <c r="O21" s="421">
        <f t="shared" si="14"/>
        <v>529.52</v>
      </c>
      <c r="P21" s="529">
        <f t="shared" si="42"/>
        <v>0</v>
      </c>
      <c r="Q21" s="529">
        <f t="shared" si="43"/>
        <v>0</v>
      </c>
      <c r="R21" s="529"/>
      <c r="S21" s="529"/>
      <c r="T21" s="5">
        <f t="shared" si="15"/>
        <v>5024</v>
      </c>
      <c r="U21" s="5">
        <f t="shared" si="4"/>
        <v>0</v>
      </c>
      <c r="V21" s="5">
        <f t="shared" si="15"/>
        <v>422</v>
      </c>
      <c r="W21" s="332">
        <f t="shared" si="16"/>
        <v>0</v>
      </c>
      <c r="X21" s="5">
        <f t="shared" si="15"/>
        <v>146523</v>
      </c>
      <c r="Y21" s="332">
        <f>SUM(X21-X20)</f>
        <v>0</v>
      </c>
      <c r="Z21" s="5">
        <f t="shared" si="15"/>
        <v>96347</v>
      </c>
      <c r="AA21" s="83">
        <f t="shared" si="18"/>
        <v>0</v>
      </c>
      <c r="AB21" s="5">
        <f t="shared" si="15"/>
        <v>258</v>
      </c>
      <c r="AC21" s="5">
        <f t="shared" si="15"/>
        <v>670</v>
      </c>
      <c r="AD21" s="83">
        <f t="shared" si="32"/>
        <v>0</v>
      </c>
      <c r="AE21" s="5">
        <f t="shared" si="15"/>
        <v>187.62</v>
      </c>
      <c r="AF21" s="83">
        <f t="shared" si="19"/>
        <v>0</v>
      </c>
      <c r="AG21" s="5">
        <f t="shared" si="15"/>
        <v>2000.5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33</v>
      </c>
      <c r="AU21" s="436">
        <f t="shared" si="35"/>
        <v>1.1000000000000001</v>
      </c>
      <c r="AV21" s="204">
        <f t="shared" si="35"/>
        <v>61</v>
      </c>
      <c r="AW21" s="5">
        <v>2.9</v>
      </c>
      <c r="AX21" s="204">
        <f t="shared" ref="AX21" si="51">AX20</f>
        <v>61</v>
      </c>
      <c r="AY21" s="439">
        <f t="shared" si="7"/>
        <v>29.7</v>
      </c>
      <c r="AZ21" s="439">
        <f t="shared" si="25"/>
        <v>67.100000000000009</v>
      </c>
      <c r="BA21" s="439">
        <f t="shared" si="26"/>
        <v>176.9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44060</v>
      </c>
      <c r="B22" s="5">
        <f t="shared" si="30"/>
        <v>109034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1"/>
        <v>605263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6550</v>
      </c>
      <c r="L22" s="83">
        <f t="shared" si="34"/>
        <v>0</v>
      </c>
      <c r="M22" s="421">
        <f t="shared" si="13"/>
        <v>457.44</v>
      </c>
      <c r="N22" s="529">
        <f t="shared" si="41"/>
        <v>0</v>
      </c>
      <c r="O22" s="421">
        <f t="shared" si="14"/>
        <v>529.52</v>
      </c>
      <c r="P22" s="529">
        <f t="shared" si="42"/>
        <v>0</v>
      </c>
      <c r="Q22" s="529">
        <f t="shared" si="43"/>
        <v>0</v>
      </c>
      <c r="R22" s="529"/>
      <c r="S22" s="529"/>
      <c r="T22" s="5">
        <f t="shared" si="15"/>
        <v>5024</v>
      </c>
      <c r="U22" s="5">
        <f t="shared" si="4"/>
        <v>0</v>
      </c>
      <c r="V22" s="5">
        <f t="shared" si="15"/>
        <v>422</v>
      </c>
      <c r="W22" s="332">
        <f t="shared" si="16"/>
        <v>0</v>
      </c>
      <c r="X22" s="5">
        <f t="shared" si="15"/>
        <v>146523</v>
      </c>
      <c r="Y22" s="332">
        <f t="shared" si="17"/>
        <v>0</v>
      </c>
      <c r="Z22" s="5">
        <f t="shared" si="15"/>
        <v>96347</v>
      </c>
      <c r="AA22" s="83">
        <f t="shared" si="18"/>
        <v>0</v>
      </c>
      <c r="AB22" s="5">
        <f t="shared" si="15"/>
        <v>258</v>
      </c>
      <c r="AC22" s="5">
        <f t="shared" si="15"/>
        <v>670</v>
      </c>
      <c r="AD22" s="83">
        <f t="shared" si="32"/>
        <v>0</v>
      </c>
      <c r="AE22" s="5">
        <f t="shared" si="15"/>
        <v>187.62</v>
      </c>
      <c r="AF22" s="83">
        <f t="shared" si="19"/>
        <v>0</v>
      </c>
      <c r="AG22" s="5">
        <f t="shared" si="15"/>
        <v>2000.5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52">AS21</f>
        <v>0.9</v>
      </c>
      <c r="AT22" s="204">
        <f t="shared" si="52"/>
        <v>33</v>
      </c>
      <c r="AU22" s="436">
        <f t="shared" si="35"/>
        <v>1.1000000000000001</v>
      </c>
      <c r="AV22" s="204">
        <f t="shared" si="35"/>
        <v>61</v>
      </c>
      <c r="AW22" s="5">
        <v>2.9</v>
      </c>
      <c r="AX22" s="204">
        <f t="shared" ref="AX22" si="53">AX21</f>
        <v>61</v>
      </c>
      <c r="AY22" s="439">
        <f t="shared" si="7"/>
        <v>29.7</v>
      </c>
      <c r="AZ22" s="439">
        <f t="shared" si="25"/>
        <v>67.100000000000009</v>
      </c>
      <c r="BA22" s="439">
        <f t="shared" si="26"/>
        <v>176.9</v>
      </c>
      <c r="BB22" s="21">
        <f>AY22-AY21</f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44061</v>
      </c>
      <c r="B23" s="5">
        <f t="shared" si="30"/>
        <v>109034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1"/>
        <v>605263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6550</v>
      </c>
      <c r="L23" s="280">
        <f t="shared" si="34"/>
        <v>0</v>
      </c>
      <c r="M23" s="421">
        <f t="shared" si="13"/>
        <v>457.44</v>
      </c>
      <c r="N23" s="529">
        <f t="shared" si="41"/>
        <v>0</v>
      </c>
      <c r="O23" s="421">
        <f t="shared" si="14"/>
        <v>529.52</v>
      </c>
      <c r="P23" s="529">
        <f t="shared" si="42"/>
        <v>0</v>
      </c>
      <c r="Q23" s="529">
        <f t="shared" si="43"/>
        <v>0</v>
      </c>
      <c r="R23" s="531"/>
      <c r="S23" s="531"/>
      <c r="T23" s="5">
        <f t="shared" si="15"/>
        <v>5024</v>
      </c>
      <c r="U23" s="5">
        <f t="shared" si="4"/>
        <v>0</v>
      </c>
      <c r="V23" s="5">
        <f t="shared" si="15"/>
        <v>422</v>
      </c>
      <c r="W23" s="332">
        <f t="shared" si="16"/>
        <v>0</v>
      </c>
      <c r="X23" s="5">
        <f t="shared" si="15"/>
        <v>146523</v>
      </c>
      <c r="Y23" s="332">
        <f t="shared" si="17"/>
        <v>0</v>
      </c>
      <c r="Z23" s="5">
        <f t="shared" si="15"/>
        <v>96347</v>
      </c>
      <c r="AA23" s="83">
        <f t="shared" si="18"/>
        <v>0</v>
      </c>
      <c r="AB23" s="5">
        <f t="shared" si="15"/>
        <v>258</v>
      </c>
      <c r="AC23" s="5">
        <f t="shared" si="15"/>
        <v>670</v>
      </c>
      <c r="AD23" s="83">
        <f t="shared" si="32"/>
        <v>0</v>
      </c>
      <c r="AE23" s="5">
        <f t="shared" si="15"/>
        <v>187.62</v>
      </c>
      <c r="AF23" s="83">
        <f t="shared" si="19"/>
        <v>0</v>
      </c>
      <c r="AG23" s="5">
        <f t="shared" si="15"/>
        <v>2000.5</v>
      </c>
      <c r="AH23" s="83">
        <f t="shared" si="20"/>
        <v>0</v>
      </c>
      <c r="AI23" s="83">
        <f t="shared" si="21"/>
        <v>0</v>
      </c>
      <c r="AJ23" s="334">
        <f t="shared" si="22"/>
        <v>0</v>
      </c>
      <c r="AK23" s="335">
        <f t="shared" si="5"/>
        <v>0</v>
      </c>
      <c r="AL23" s="335">
        <f t="shared" si="23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52"/>
        <v>0.9</v>
      </c>
      <c r="AT23" s="204">
        <f t="shared" si="52"/>
        <v>33</v>
      </c>
      <c r="AU23" s="436">
        <f t="shared" si="35"/>
        <v>1.1000000000000001</v>
      </c>
      <c r="AV23" s="204">
        <f t="shared" si="35"/>
        <v>61</v>
      </c>
      <c r="AW23" s="5">
        <v>2.9</v>
      </c>
      <c r="AX23" s="204">
        <f t="shared" ref="AX23" si="54">AX22</f>
        <v>61</v>
      </c>
      <c r="AY23" s="439">
        <f t="shared" si="7"/>
        <v>29.7</v>
      </c>
      <c r="AZ23" s="439">
        <f t="shared" si="25"/>
        <v>67.100000000000009</v>
      </c>
      <c r="BA23" s="439">
        <f t="shared" si="26"/>
        <v>176.9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44062</v>
      </c>
      <c r="B24" s="5">
        <f t="shared" si="30"/>
        <v>109034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1"/>
        <v>605263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6550</v>
      </c>
      <c r="L24" s="280">
        <f t="shared" si="34"/>
        <v>0</v>
      </c>
      <c r="M24" s="421">
        <f t="shared" si="13"/>
        <v>457.44</v>
      </c>
      <c r="N24" s="529">
        <f t="shared" si="41"/>
        <v>0</v>
      </c>
      <c r="O24" s="421">
        <f t="shared" si="14"/>
        <v>529.52</v>
      </c>
      <c r="P24" s="529">
        <f t="shared" si="42"/>
        <v>0</v>
      </c>
      <c r="Q24" s="529">
        <f t="shared" si="43"/>
        <v>0</v>
      </c>
      <c r="R24" s="531"/>
      <c r="S24" s="531"/>
      <c r="T24" s="5">
        <f t="shared" si="15"/>
        <v>5024</v>
      </c>
      <c r="U24" s="5">
        <f t="shared" si="4"/>
        <v>0</v>
      </c>
      <c r="V24" s="5">
        <f t="shared" si="15"/>
        <v>422</v>
      </c>
      <c r="W24" s="332">
        <f t="shared" si="16"/>
        <v>0</v>
      </c>
      <c r="X24" s="5">
        <f t="shared" si="15"/>
        <v>146523</v>
      </c>
      <c r="Y24" s="332">
        <f t="shared" si="17"/>
        <v>0</v>
      </c>
      <c r="Z24" s="5">
        <f t="shared" si="15"/>
        <v>96347</v>
      </c>
      <c r="AA24" s="83">
        <f t="shared" si="18"/>
        <v>0</v>
      </c>
      <c r="AB24" s="5">
        <f t="shared" si="15"/>
        <v>258</v>
      </c>
      <c r="AC24" s="5">
        <f t="shared" si="15"/>
        <v>670</v>
      </c>
      <c r="AD24" s="83">
        <f t="shared" si="32"/>
        <v>0</v>
      </c>
      <c r="AE24" s="5">
        <f t="shared" si="15"/>
        <v>187.62</v>
      </c>
      <c r="AF24" s="83">
        <f t="shared" si="19"/>
        <v>0</v>
      </c>
      <c r="AG24" s="5">
        <f t="shared" si="15"/>
        <v>2000.5</v>
      </c>
      <c r="AH24" s="83">
        <f t="shared" si="20"/>
        <v>0</v>
      </c>
      <c r="AI24" s="83">
        <f t="shared" si="21"/>
        <v>0</v>
      </c>
      <c r="AJ24" s="334">
        <f t="shared" si="22"/>
        <v>0</v>
      </c>
      <c r="AK24" s="335">
        <f t="shared" si="5"/>
        <v>0</v>
      </c>
      <c r="AL24" s="335">
        <f t="shared" si="23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52"/>
        <v>0.9</v>
      </c>
      <c r="AT24" s="204">
        <f t="shared" si="52"/>
        <v>33</v>
      </c>
      <c r="AU24" s="436">
        <f t="shared" si="35"/>
        <v>1.1000000000000001</v>
      </c>
      <c r="AV24" s="204">
        <f t="shared" si="35"/>
        <v>61</v>
      </c>
      <c r="AW24" s="5">
        <v>2.9</v>
      </c>
      <c r="AX24" s="204">
        <f t="shared" ref="AX24" si="55">AX23</f>
        <v>61</v>
      </c>
      <c r="AY24" s="439">
        <f t="shared" si="7"/>
        <v>29.7</v>
      </c>
      <c r="AZ24" s="439">
        <f t="shared" si="25"/>
        <v>67.100000000000009</v>
      </c>
      <c r="BA24" s="439">
        <f t="shared" si="26"/>
        <v>176.9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44063</v>
      </c>
      <c r="B25" s="5">
        <f t="shared" si="30"/>
        <v>109034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1"/>
        <v>605263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6550</v>
      </c>
      <c r="L25" s="280">
        <f t="shared" si="34"/>
        <v>0</v>
      </c>
      <c r="M25" s="421">
        <f t="shared" si="13"/>
        <v>457.44</v>
      </c>
      <c r="N25" s="529">
        <f t="shared" si="41"/>
        <v>0</v>
      </c>
      <c r="O25" s="421">
        <f t="shared" si="14"/>
        <v>529.52</v>
      </c>
      <c r="P25" s="529">
        <f t="shared" si="42"/>
        <v>0</v>
      </c>
      <c r="Q25" s="529">
        <f t="shared" si="43"/>
        <v>0</v>
      </c>
      <c r="R25" s="531"/>
      <c r="S25" s="531"/>
      <c r="T25" s="5">
        <f t="shared" si="15"/>
        <v>5024</v>
      </c>
      <c r="U25" s="5">
        <f t="shared" si="4"/>
        <v>0</v>
      </c>
      <c r="V25" s="5">
        <f t="shared" si="15"/>
        <v>422</v>
      </c>
      <c r="W25" s="332">
        <f t="shared" si="16"/>
        <v>0</v>
      </c>
      <c r="X25" s="5">
        <f t="shared" si="15"/>
        <v>146523</v>
      </c>
      <c r="Y25" s="332">
        <f t="shared" si="17"/>
        <v>0</v>
      </c>
      <c r="Z25" s="5">
        <f t="shared" si="15"/>
        <v>96347</v>
      </c>
      <c r="AA25" s="83">
        <f t="shared" si="18"/>
        <v>0</v>
      </c>
      <c r="AB25" s="5">
        <f t="shared" si="15"/>
        <v>258</v>
      </c>
      <c r="AC25" s="5">
        <f t="shared" si="15"/>
        <v>670</v>
      </c>
      <c r="AD25" s="83">
        <f t="shared" si="32"/>
        <v>0</v>
      </c>
      <c r="AE25" s="5">
        <f t="shared" si="15"/>
        <v>187.62</v>
      </c>
      <c r="AF25" s="83">
        <f t="shared" si="19"/>
        <v>0</v>
      </c>
      <c r="AG25" s="5">
        <f t="shared" si="15"/>
        <v>2000.5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52"/>
        <v>0.9</v>
      </c>
      <c r="AT25" s="204">
        <f t="shared" si="52"/>
        <v>33</v>
      </c>
      <c r="AU25" s="436">
        <f t="shared" si="35"/>
        <v>1.1000000000000001</v>
      </c>
      <c r="AV25" s="204">
        <f t="shared" si="35"/>
        <v>61</v>
      </c>
      <c r="AW25" s="5">
        <v>2.9</v>
      </c>
      <c r="AX25" s="204">
        <f t="shared" ref="AX25" si="56">AX24</f>
        <v>61</v>
      </c>
      <c r="AY25" s="439">
        <f t="shared" si="7"/>
        <v>29.7</v>
      </c>
      <c r="AZ25" s="439">
        <f t="shared" si="25"/>
        <v>67.100000000000009</v>
      </c>
      <c r="BA25" s="439">
        <f t="shared" si="26"/>
        <v>176.9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44064</v>
      </c>
      <c r="B26" s="5">
        <f t="shared" si="30"/>
        <v>109034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1"/>
        <v>605263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6550</v>
      </c>
      <c r="L26" s="280">
        <f t="shared" si="34"/>
        <v>0</v>
      </c>
      <c r="M26" s="421">
        <f t="shared" si="13"/>
        <v>457.44</v>
      </c>
      <c r="N26" s="529">
        <f t="shared" si="41"/>
        <v>0</v>
      </c>
      <c r="O26" s="421">
        <f t="shared" si="14"/>
        <v>529.52</v>
      </c>
      <c r="P26" s="529">
        <f t="shared" si="42"/>
        <v>0</v>
      </c>
      <c r="Q26" s="529">
        <f t="shared" si="43"/>
        <v>0</v>
      </c>
      <c r="R26" s="531"/>
      <c r="S26" s="531"/>
      <c r="T26" s="5">
        <f t="shared" si="15"/>
        <v>5024</v>
      </c>
      <c r="U26" s="5">
        <f t="shared" si="4"/>
        <v>0</v>
      </c>
      <c r="V26" s="5">
        <f t="shared" si="15"/>
        <v>422</v>
      </c>
      <c r="W26" s="332">
        <f t="shared" si="16"/>
        <v>0</v>
      </c>
      <c r="X26" s="5">
        <f t="shared" si="15"/>
        <v>146523</v>
      </c>
      <c r="Y26" s="332">
        <f t="shared" si="17"/>
        <v>0</v>
      </c>
      <c r="Z26" s="5">
        <f t="shared" si="15"/>
        <v>96347</v>
      </c>
      <c r="AA26" s="83">
        <f t="shared" si="18"/>
        <v>0</v>
      </c>
      <c r="AB26" s="5">
        <f t="shared" si="15"/>
        <v>258</v>
      </c>
      <c r="AC26" s="5">
        <f t="shared" si="15"/>
        <v>670</v>
      </c>
      <c r="AD26" s="83">
        <f t="shared" si="32"/>
        <v>0</v>
      </c>
      <c r="AE26" s="5">
        <f t="shared" si="15"/>
        <v>187.62</v>
      </c>
      <c r="AF26" s="83">
        <f t="shared" si="19"/>
        <v>0</v>
      </c>
      <c r="AG26" s="5">
        <f t="shared" si="15"/>
        <v>2000.5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52"/>
        <v>0.9</v>
      </c>
      <c r="AT26" s="204">
        <f t="shared" si="52"/>
        <v>33</v>
      </c>
      <c r="AU26" s="436">
        <f t="shared" si="35"/>
        <v>1.1000000000000001</v>
      </c>
      <c r="AV26" s="204">
        <f t="shared" si="35"/>
        <v>61</v>
      </c>
      <c r="AW26" s="5">
        <v>2.9</v>
      </c>
      <c r="AX26" s="204">
        <f t="shared" ref="AX26" si="57">AX25</f>
        <v>61</v>
      </c>
      <c r="AY26" s="439">
        <f t="shared" si="7"/>
        <v>29.7</v>
      </c>
      <c r="AZ26" s="439">
        <f t="shared" si="25"/>
        <v>67.100000000000009</v>
      </c>
      <c r="BA26" s="439">
        <f t="shared" si="26"/>
        <v>176.9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44065</v>
      </c>
      <c r="B27" s="5">
        <f t="shared" si="30"/>
        <v>109034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1"/>
        <v>605263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6550</v>
      </c>
      <c r="L27" s="280">
        <f t="shared" si="34"/>
        <v>0</v>
      </c>
      <c r="M27" s="421">
        <f t="shared" si="13"/>
        <v>457.44</v>
      </c>
      <c r="N27" s="529">
        <f t="shared" si="41"/>
        <v>0</v>
      </c>
      <c r="O27" s="421">
        <f t="shared" si="14"/>
        <v>529.52</v>
      </c>
      <c r="P27" s="529">
        <f t="shared" si="42"/>
        <v>0</v>
      </c>
      <c r="Q27" s="529">
        <f t="shared" si="43"/>
        <v>0</v>
      </c>
      <c r="R27" s="531"/>
      <c r="S27" s="531"/>
      <c r="T27" s="5">
        <f t="shared" si="15"/>
        <v>5024</v>
      </c>
      <c r="U27" s="5">
        <f t="shared" si="4"/>
        <v>0</v>
      </c>
      <c r="V27" s="5">
        <f t="shared" si="15"/>
        <v>422</v>
      </c>
      <c r="W27" s="332">
        <f t="shared" si="16"/>
        <v>0</v>
      </c>
      <c r="X27" s="5">
        <f t="shared" si="15"/>
        <v>146523</v>
      </c>
      <c r="Y27" s="332">
        <f>SUM(X27-X26)</f>
        <v>0</v>
      </c>
      <c r="Z27" s="5">
        <f t="shared" si="15"/>
        <v>96347</v>
      </c>
      <c r="AA27" s="83">
        <f t="shared" si="18"/>
        <v>0</v>
      </c>
      <c r="AB27" s="5">
        <f t="shared" si="15"/>
        <v>258</v>
      </c>
      <c r="AC27" s="5">
        <f t="shared" si="15"/>
        <v>670</v>
      </c>
      <c r="AD27" s="83">
        <f t="shared" si="32"/>
        <v>0</v>
      </c>
      <c r="AE27" s="5">
        <f t="shared" si="15"/>
        <v>187.62</v>
      </c>
      <c r="AF27" s="83">
        <f t="shared" si="19"/>
        <v>0</v>
      </c>
      <c r="AG27" s="5">
        <f t="shared" si="15"/>
        <v>2000.5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52"/>
        <v>0.9</v>
      </c>
      <c r="AT27" s="204">
        <f t="shared" si="52"/>
        <v>33</v>
      </c>
      <c r="AU27" s="436">
        <f t="shared" si="35"/>
        <v>1.1000000000000001</v>
      </c>
      <c r="AV27" s="204">
        <f t="shared" si="35"/>
        <v>61</v>
      </c>
      <c r="AW27" s="5">
        <v>2.9</v>
      </c>
      <c r="AX27" s="204">
        <f t="shared" ref="AX27" si="58">AX26</f>
        <v>61</v>
      </c>
      <c r="AY27" s="439">
        <f t="shared" si="7"/>
        <v>29.7</v>
      </c>
      <c r="AZ27" s="439">
        <f t="shared" si="25"/>
        <v>67.100000000000009</v>
      </c>
      <c r="BA27" s="439">
        <f t="shared" si="26"/>
        <v>176.9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44066</v>
      </c>
      <c r="B28" s="5">
        <f t="shared" si="30"/>
        <v>109034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1"/>
        <v>605263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6550</v>
      </c>
      <c r="L28" s="280">
        <f t="shared" si="34"/>
        <v>0</v>
      </c>
      <c r="M28" s="421">
        <f t="shared" si="13"/>
        <v>457.44</v>
      </c>
      <c r="N28" s="529">
        <f t="shared" si="41"/>
        <v>0</v>
      </c>
      <c r="O28" s="421">
        <f t="shared" si="14"/>
        <v>529.52</v>
      </c>
      <c r="P28" s="529">
        <f t="shared" si="42"/>
        <v>0</v>
      </c>
      <c r="Q28" s="529">
        <f t="shared" si="43"/>
        <v>0</v>
      </c>
      <c r="R28" s="531"/>
      <c r="S28" s="531"/>
      <c r="T28" s="5">
        <f t="shared" si="15"/>
        <v>5024</v>
      </c>
      <c r="U28" s="5">
        <f t="shared" si="4"/>
        <v>0</v>
      </c>
      <c r="V28" s="5">
        <f t="shared" si="15"/>
        <v>422</v>
      </c>
      <c r="W28" s="332">
        <f t="shared" si="16"/>
        <v>0</v>
      </c>
      <c r="X28" s="5">
        <f t="shared" si="15"/>
        <v>146523</v>
      </c>
      <c r="Y28" s="332">
        <f t="shared" si="17"/>
        <v>0</v>
      </c>
      <c r="Z28" s="5">
        <f t="shared" si="15"/>
        <v>96347</v>
      </c>
      <c r="AA28" s="83">
        <f t="shared" si="18"/>
        <v>0</v>
      </c>
      <c r="AB28" s="5">
        <f t="shared" si="15"/>
        <v>258</v>
      </c>
      <c r="AC28" s="5">
        <f t="shared" si="15"/>
        <v>670</v>
      </c>
      <c r="AD28" s="83">
        <f t="shared" si="32"/>
        <v>0</v>
      </c>
      <c r="AE28" s="5">
        <f t="shared" si="15"/>
        <v>187.62</v>
      </c>
      <c r="AF28" s="83">
        <f t="shared" si="19"/>
        <v>0</v>
      </c>
      <c r="AG28" s="5">
        <f t="shared" si="15"/>
        <v>2000.5</v>
      </c>
      <c r="AH28" s="83">
        <f t="shared" si="20"/>
        <v>0</v>
      </c>
      <c r="AI28" s="83">
        <f t="shared" si="21"/>
        <v>0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52"/>
        <v>0.9</v>
      </c>
      <c r="AT28" s="204">
        <f t="shared" si="52"/>
        <v>33</v>
      </c>
      <c r="AU28" s="436">
        <f t="shared" si="35"/>
        <v>1.1000000000000001</v>
      </c>
      <c r="AV28" s="204">
        <f t="shared" si="35"/>
        <v>61</v>
      </c>
      <c r="AW28" s="5">
        <v>2.9</v>
      </c>
      <c r="AX28" s="204">
        <f t="shared" ref="AX28" si="59">AX27</f>
        <v>61</v>
      </c>
      <c r="AY28" s="439">
        <f t="shared" si="7"/>
        <v>29.7</v>
      </c>
      <c r="AZ28" s="439">
        <f t="shared" si="25"/>
        <v>67.100000000000009</v>
      </c>
      <c r="BA28" s="439">
        <f t="shared" si="26"/>
        <v>176.9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44067</v>
      </c>
      <c r="B29" s="5">
        <f t="shared" si="30"/>
        <v>109034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1"/>
        <v>605263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6550</v>
      </c>
      <c r="L29" s="280">
        <f t="shared" si="34"/>
        <v>0</v>
      </c>
      <c r="M29" s="421">
        <f t="shared" si="13"/>
        <v>457.44</v>
      </c>
      <c r="N29" s="529">
        <f t="shared" si="41"/>
        <v>0</v>
      </c>
      <c r="O29" s="421">
        <f t="shared" si="14"/>
        <v>529.52</v>
      </c>
      <c r="P29" s="529">
        <f t="shared" si="42"/>
        <v>0</v>
      </c>
      <c r="Q29" s="529">
        <f t="shared" si="43"/>
        <v>0</v>
      </c>
      <c r="R29" s="531"/>
      <c r="S29" s="531"/>
      <c r="T29" s="5">
        <f t="shared" si="15"/>
        <v>5024</v>
      </c>
      <c r="U29" s="5">
        <f t="shared" si="4"/>
        <v>0</v>
      </c>
      <c r="V29" s="5">
        <f t="shared" si="15"/>
        <v>422</v>
      </c>
      <c r="W29" s="332">
        <f t="shared" si="16"/>
        <v>0</v>
      </c>
      <c r="X29" s="5">
        <f t="shared" si="15"/>
        <v>146523</v>
      </c>
      <c r="Y29" s="332">
        <f t="shared" si="17"/>
        <v>0</v>
      </c>
      <c r="Z29" s="5">
        <f t="shared" si="15"/>
        <v>96347</v>
      </c>
      <c r="AA29" s="83">
        <f t="shared" si="18"/>
        <v>0</v>
      </c>
      <c r="AB29" s="5">
        <f t="shared" si="15"/>
        <v>258</v>
      </c>
      <c r="AC29" s="5">
        <f t="shared" si="15"/>
        <v>670</v>
      </c>
      <c r="AD29" s="83">
        <f t="shared" si="32"/>
        <v>0</v>
      </c>
      <c r="AE29" s="5">
        <f t="shared" si="15"/>
        <v>187.62</v>
      </c>
      <c r="AF29" s="83">
        <f t="shared" si="19"/>
        <v>0</v>
      </c>
      <c r="AG29" s="5">
        <f t="shared" si="15"/>
        <v>2000.5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52"/>
        <v>0.9</v>
      </c>
      <c r="AT29" s="204">
        <f t="shared" si="52"/>
        <v>33</v>
      </c>
      <c r="AU29" s="436">
        <f t="shared" si="35"/>
        <v>1.1000000000000001</v>
      </c>
      <c r="AV29" s="204">
        <f t="shared" si="35"/>
        <v>61</v>
      </c>
      <c r="AW29" s="5">
        <v>2.9</v>
      </c>
      <c r="AX29" s="204">
        <f t="shared" ref="AX29" si="60">AX28</f>
        <v>61</v>
      </c>
      <c r="AY29" s="439">
        <f t="shared" si="7"/>
        <v>29.7</v>
      </c>
      <c r="AZ29" s="439">
        <f t="shared" si="25"/>
        <v>67.100000000000009</v>
      </c>
      <c r="BA29" s="439">
        <f t="shared" si="26"/>
        <v>176.9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44068</v>
      </c>
      <c r="B30" s="5">
        <f t="shared" si="30"/>
        <v>109034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1"/>
        <v>605263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6550</v>
      </c>
      <c r="L30" s="280">
        <f t="shared" si="34"/>
        <v>0</v>
      </c>
      <c r="M30" s="421">
        <f t="shared" si="13"/>
        <v>457.44</v>
      </c>
      <c r="N30" s="529">
        <f t="shared" si="41"/>
        <v>0</v>
      </c>
      <c r="O30" s="421">
        <f t="shared" si="14"/>
        <v>529.52</v>
      </c>
      <c r="P30" s="529">
        <f t="shared" si="42"/>
        <v>0</v>
      </c>
      <c r="Q30" s="529">
        <f t="shared" si="43"/>
        <v>0</v>
      </c>
      <c r="R30" s="531"/>
      <c r="S30" s="531"/>
      <c r="T30" s="5">
        <f t="shared" si="15"/>
        <v>5024</v>
      </c>
      <c r="U30" s="5">
        <f t="shared" si="4"/>
        <v>0</v>
      </c>
      <c r="V30" s="5">
        <f t="shared" si="15"/>
        <v>422</v>
      </c>
      <c r="W30" s="332">
        <f t="shared" si="16"/>
        <v>0</v>
      </c>
      <c r="X30" s="5">
        <f t="shared" si="15"/>
        <v>146523</v>
      </c>
      <c r="Y30" s="332">
        <f t="shared" si="17"/>
        <v>0</v>
      </c>
      <c r="Z30" s="5">
        <f t="shared" si="15"/>
        <v>96347</v>
      </c>
      <c r="AA30" s="83">
        <f t="shared" si="18"/>
        <v>0</v>
      </c>
      <c r="AB30" s="5">
        <f t="shared" si="15"/>
        <v>258</v>
      </c>
      <c r="AC30" s="5">
        <f t="shared" si="15"/>
        <v>670</v>
      </c>
      <c r="AD30" s="83">
        <f t="shared" si="32"/>
        <v>0</v>
      </c>
      <c r="AE30" s="5">
        <f t="shared" si="15"/>
        <v>187.62</v>
      </c>
      <c r="AF30" s="83">
        <f t="shared" si="19"/>
        <v>0</v>
      </c>
      <c r="AG30" s="5">
        <f t="shared" si="15"/>
        <v>2000.5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52"/>
        <v>0.9</v>
      </c>
      <c r="AT30" s="204">
        <f t="shared" si="52"/>
        <v>33</v>
      </c>
      <c r="AU30" s="436">
        <f t="shared" si="35"/>
        <v>1.1000000000000001</v>
      </c>
      <c r="AV30" s="204">
        <f t="shared" si="35"/>
        <v>61</v>
      </c>
      <c r="AW30" s="5">
        <v>2.9</v>
      </c>
      <c r="AX30" s="204">
        <f t="shared" ref="AX30" si="61">AX29</f>
        <v>61</v>
      </c>
      <c r="AY30" s="439">
        <f t="shared" si="7"/>
        <v>29.7</v>
      </c>
      <c r="AZ30" s="439">
        <f t="shared" si="25"/>
        <v>67.100000000000009</v>
      </c>
      <c r="BA30" s="439">
        <f t="shared" si="26"/>
        <v>176.9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0"/>
        <v>109034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1"/>
        <v>605263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6550</v>
      </c>
      <c r="L31" s="280">
        <f t="shared" si="34"/>
        <v>0</v>
      </c>
      <c r="M31" s="421">
        <f t="shared" si="13"/>
        <v>457.44</v>
      </c>
      <c r="N31" s="529">
        <f t="shared" si="41"/>
        <v>0</v>
      </c>
      <c r="O31" s="421">
        <f t="shared" si="14"/>
        <v>529.52</v>
      </c>
      <c r="P31" s="529">
        <f t="shared" si="42"/>
        <v>0</v>
      </c>
      <c r="Q31" s="529">
        <f t="shared" si="43"/>
        <v>0</v>
      </c>
      <c r="R31" s="531"/>
      <c r="S31" s="531"/>
      <c r="T31" s="5">
        <f t="shared" si="15"/>
        <v>5024</v>
      </c>
      <c r="U31" s="5">
        <f t="shared" si="4"/>
        <v>0</v>
      </c>
      <c r="V31" s="5">
        <f t="shared" si="15"/>
        <v>422</v>
      </c>
      <c r="W31" s="332">
        <f t="shared" si="16"/>
        <v>0</v>
      </c>
      <c r="X31" s="5">
        <f t="shared" si="15"/>
        <v>146523</v>
      </c>
      <c r="Y31" s="332">
        <f t="shared" si="17"/>
        <v>0</v>
      </c>
      <c r="Z31" s="5">
        <f t="shared" si="15"/>
        <v>96347</v>
      </c>
      <c r="AA31" s="83">
        <f t="shared" si="18"/>
        <v>0</v>
      </c>
      <c r="AB31" s="5">
        <f t="shared" si="15"/>
        <v>258</v>
      </c>
      <c r="AC31" s="5">
        <f t="shared" si="15"/>
        <v>670</v>
      </c>
      <c r="AD31" s="83">
        <f t="shared" si="32"/>
        <v>0</v>
      </c>
      <c r="AE31" s="5">
        <f t="shared" si="15"/>
        <v>187.62</v>
      </c>
      <c r="AF31" s="83">
        <f t="shared" si="19"/>
        <v>0</v>
      </c>
      <c r="AG31" s="5">
        <f t="shared" si="15"/>
        <v>2000.5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52"/>
        <v>0.9</v>
      </c>
      <c r="AT31" s="204">
        <f t="shared" si="52"/>
        <v>33</v>
      </c>
      <c r="AU31" s="436">
        <f t="shared" si="35"/>
        <v>1.1000000000000001</v>
      </c>
      <c r="AV31" s="204">
        <f t="shared" si="35"/>
        <v>61</v>
      </c>
      <c r="AW31" s="5">
        <v>2.9</v>
      </c>
      <c r="AX31" s="204">
        <f t="shared" ref="AX31" si="62">AX30</f>
        <v>61</v>
      </c>
      <c r="AY31" s="439">
        <f t="shared" si="7"/>
        <v>29.7</v>
      </c>
      <c r="AZ31" s="439">
        <f t="shared" si="25"/>
        <v>67.100000000000009</v>
      </c>
      <c r="BA31" s="439">
        <f t="shared" si="26"/>
        <v>176.9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0"/>
        <v>109034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1"/>
        <v>605263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6550</v>
      </c>
      <c r="L32" s="280">
        <f t="shared" si="34"/>
        <v>0</v>
      </c>
      <c r="M32" s="421">
        <f t="shared" si="13"/>
        <v>457.44</v>
      </c>
      <c r="N32" s="529">
        <f t="shared" si="41"/>
        <v>0</v>
      </c>
      <c r="O32" s="421">
        <f t="shared" si="14"/>
        <v>529.52</v>
      </c>
      <c r="P32" s="529">
        <f t="shared" si="42"/>
        <v>0</v>
      </c>
      <c r="Q32" s="529">
        <f t="shared" si="43"/>
        <v>0</v>
      </c>
      <c r="R32" s="531"/>
      <c r="S32" s="531"/>
      <c r="T32" s="5">
        <f t="shared" si="15"/>
        <v>5024</v>
      </c>
      <c r="U32" s="5">
        <f t="shared" si="4"/>
        <v>0</v>
      </c>
      <c r="V32" s="5">
        <f t="shared" si="15"/>
        <v>422</v>
      </c>
      <c r="W32" s="332">
        <f t="shared" si="16"/>
        <v>0</v>
      </c>
      <c r="X32" s="5">
        <f t="shared" si="15"/>
        <v>146523</v>
      </c>
      <c r="Y32" s="332">
        <f t="shared" si="17"/>
        <v>0</v>
      </c>
      <c r="Z32" s="5">
        <f t="shared" si="15"/>
        <v>96347</v>
      </c>
      <c r="AA32" s="83">
        <f t="shared" si="18"/>
        <v>0</v>
      </c>
      <c r="AB32" s="5">
        <f t="shared" si="15"/>
        <v>258</v>
      </c>
      <c r="AC32" s="5">
        <f t="shared" si="15"/>
        <v>670</v>
      </c>
      <c r="AD32" s="83">
        <f t="shared" si="32"/>
        <v>0</v>
      </c>
      <c r="AE32" s="5">
        <f t="shared" si="15"/>
        <v>187.62</v>
      </c>
      <c r="AF32" s="83">
        <f t="shared" si="19"/>
        <v>0</v>
      </c>
      <c r="AG32" s="5">
        <f t="shared" si="15"/>
        <v>2000.5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52"/>
        <v>0.9</v>
      </c>
      <c r="AT32" s="204">
        <f t="shared" si="52"/>
        <v>33</v>
      </c>
      <c r="AU32" s="436">
        <f t="shared" si="35"/>
        <v>1.1000000000000001</v>
      </c>
      <c r="AV32" s="204">
        <f t="shared" si="35"/>
        <v>61</v>
      </c>
      <c r="AW32" s="5">
        <v>2.9</v>
      </c>
      <c r="AX32" s="204">
        <f t="shared" ref="AX32" si="63">AX31</f>
        <v>61</v>
      </c>
      <c r="AY32" s="439">
        <f t="shared" si="7"/>
        <v>29.7</v>
      </c>
      <c r="AZ32" s="439">
        <f t="shared" si="25"/>
        <v>67.100000000000009</v>
      </c>
      <c r="BA32" s="439">
        <f t="shared" si="26"/>
        <v>176.9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0"/>
        <v>109034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1"/>
        <v>605263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6550</v>
      </c>
      <c r="L33" s="280">
        <f t="shared" si="34"/>
        <v>0</v>
      </c>
      <c r="M33" s="421">
        <f t="shared" si="13"/>
        <v>457.44</v>
      </c>
      <c r="N33" s="529">
        <f t="shared" si="41"/>
        <v>0</v>
      </c>
      <c r="O33" s="421">
        <f t="shared" si="14"/>
        <v>529.52</v>
      </c>
      <c r="P33" s="529">
        <f t="shared" si="42"/>
        <v>0</v>
      </c>
      <c r="Q33" s="529">
        <f t="shared" si="43"/>
        <v>0</v>
      </c>
      <c r="R33" s="531"/>
      <c r="S33" s="531"/>
      <c r="T33" s="5">
        <f t="shared" si="15"/>
        <v>5024</v>
      </c>
      <c r="U33" s="5">
        <f t="shared" si="4"/>
        <v>0</v>
      </c>
      <c r="V33" s="5">
        <f t="shared" si="15"/>
        <v>422</v>
      </c>
      <c r="W33" s="332">
        <f t="shared" si="16"/>
        <v>0</v>
      </c>
      <c r="X33" s="5">
        <f t="shared" si="15"/>
        <v>146523</v>
      </c>
      <c r="Y33" s="332">
        <f t="shared" si="17"/>
        <v>0</v>
      </c>
      <c r="Z33" s="5">
        <f t="shared" si="15"/>
        <v>96347</v>
      </c>
      <c r="AA33" s="83">
        <f t="shared" si="18"/>
        <v>0</v>
      </c>
      <c r="AB33" s="5">
        <f t="shared" si="15"/>
        <v>258</v>
      </c>
      <c r="AC33" s="5">
        <f t="shared" si="15"/>
        <v>670</v>
      </c>
      <c r="AD33" s="83">
        <f t="shared" si="32"/>
        <v>0</v>
      </c>
      <c r="AE33" s="5">
        <f t="shared" si="15"/>
        <v>187.62</v>
      </c>
      <c r="AF33" s="83">
        <f>AE33-AE32</f>
        <v>0</v>
      </c>
      <c r="AG33" s="5">
        <f t="shared" si="15"/>
        <v>2000.5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52"/>
        <v>0.9</v>
      </c>
      <c r="AT33" s="204">
        <f t="shared" si="52"/>
        <v>33</v>
      </c>
      <c r="AU33" s="436">
        <f t="shared" si="35"/>
        <v>1.1000000000000001</v>
      </c>
      <c r="AV33" s="204">
        <f t="shared" si="35"/>
        <v>61</v>
      </c>
      <c r="AW33" s="5">
        <v>2.9</v>
      </c>
      <c r="AX33" s="204">
        <f t="shared" ref="AX33" si="64">AX32</f>
        <v>61</v>
      </c>
      <c r="AY33" s="439">
        <f t="shared" si="7"/>
        <v>29.7</v>
      </c>
      <c r="AZ33" s="439">
        <f t="shared" si="25"/>
        <v>67.100000000000009</v>
      </c>
      <c r="BA33" s="439">
        <f t="shared" si="26"/>
        <v>176.9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0"/>
        <v>109034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1"/>
        <v>605263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6550</v>
      </c>
      <c r="L34" s="280">
        <f t="shared" si="34"/>
        <v>0</v>
      </c>
      <c r="M34" s="421">
        <f t="shared" si="13"/>
        <v>457.44</v>
      </c>
      <c r="N34" s="529">
        <f t="shared" si="41"/>
        <v>0</v>
      </c>
      <c r="O34" s="421">
        <f t="shared" si="14"/>
        <v>529.52</v>
      </c>
      <c r="P34" s="529">
        <f t="shared" si="42"/>
        <v>0</v>
      </c>
      <c r="Q34" s="529">
        <f t="shared" si="43"/>
        <v>0</v>
      </c>
      <c r="R34" s="531"/>
      <c r="S34" s="531"/>
      <c r="T34" s="5">
        <f t="shared" si="15"/>
        <v>5024</v>
      </c>
      <c r="U34" s="5">
        <f t="shared" si="4"/>
        <v>0</v>
      </c>
      <c r="V34" s="5">
        <f t="shared" si="15"/>
        <v>422</v>
      </c>
      <c r="W34" s="332">
        <f t="shared" si="16"/>
        <v>0</v>
      </c>
      <c r="X34" s="5">
        <f t="shared" si="15"/>
        <v>146523</v>
      </c>
      <c r="Y34" s="332">
        <f t="shared" si="17"/>
        <v>0</v>
      </c>
      <c r="Z34" s="5">
        <f t="shared" si="15"/>
        <v>96347</v>
      </c>
      <c r="AA34" s="83">
        <f t="shared" si="18"/>
        <v>0</v>
      </c>
      <c r="AB34" s="5">
        <f t="shared" si="15"/>
        <v>258</v>
      </c>
      <c r="AC34" s="5">
        <f t="shared" si="15"/>
        <v>670</v>
      </c>
      <c r="AD34" s="83">
        <f t="shared" si="32"/>
        <v>0</v>
      </c>
      <c r="AE34" s="5">
        <f t="shared" si="15"/>
        <v>187.62</v>
      </c>
      <c r="AF34" s="83">
        <f t="shared" si="19"/>
        <v>0</v>
      </c>
      <c r="AG34" s="5">
        <f t="shared" si="15"/>
        <v>2000.5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52"/>
        <v>0.9</v>
      </c>
      <c r="AT34" s="204">
        <f t="shared" si="52"/>
        <v>33</v>
      </c>
      <c r="AU34" s="437">
        <f t="shared" si="35"/>
        <v>1.1000000000000001</v>
      </c>
      <c r="AV34" s="204">
        <f t="shared" si="35"/>
        <v>61</v>
      </c>
      <c r="AW34" s="5">
        <v>2.9</v>
      </c>
      <c r="AX34" s="204">
        <f t="shared" ref="AX34" si="65">AX33</f>
        <v>61</v>
      </c>
      <c r="AY34" s="439">
        <f t="shared" si="7"/>
        <v>29.7</v>
      </c>
      <c r="AZ34" s="439">
        <f t="shared" si="25"/>
        <v>67.100000000000009</v>
      </c>
      <c r="BA34" s="439">
        <f t="shared" si="26"/>
        <v>176.9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0"/>
        <v>109034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1"/>
        <v>605263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6550</v>
      </c>
      <c r="L35" s="83">
        <f t="shared" si="34"/>
        <v>0</v>
      </c>
      <c r="M35" s="421">
        <f t="shared" si="13"/>
        <v>457.44</v>
      </c>
      <c r="N35" s="529">
        <f t="shared" si="41"/>
        <v>0</v>
      </c>
      <c r="O35" s="421">
        <f t="shared" si="14"/>
        <v>529.52</v>
      </c>
      <c r="P35" s="529">
        <f t="shared" si="42"/>
        <v>0</v>
      </c>
      <c r="Q35" s="529">
        <f t="shared" si="43"/>
        <v>0</v>
      </c>
      <c r="R35" s="529"/>
      <c r="S35" s="529"/>
      <c r="T35" s="5">
        <f t="shared" si="15"/>
        <v>5024</v>
      </c>
      <c r="U35" s="5">
        <f t="shared" si="4"/>
        <v>0</v>
      </c>
      <c r="V35" s="5">
        <f t="shared" si="15"/>
        <v>422</v>
      </c>
      <c r="W35" s="332">
        <f t="shared" si="16"/>
        <v>0</v>
      </c>
      <c r="X35" s="5">
        <f t="shared" si="15"/>
        <v>146523</v>
      </c>
      <c r="Y35" s="332">
        <f t="shared" si="17"/>
        <v>0</v>
      </c>
      <c r="Z35" s="5">
        <f t="shared" si="15"/>
        <v>96347</v>
      </c>
      <c r="AA35" s="83">
        <f t="shared" si="18"/>
        <v>0</v>
      </c>
      <c r="AB35" s="5">
        <f t="shared" si="15"/>
        <v>258</v>
      </c>
      <c r="AC35" s="5">
        <f t="shared" si="15"/>
        <v>670</v>
      </c>
      <c r="AD35" s="83">
        <f t="shared" si="32"/>
        <v>0</v>
      </c>
      <c r="AE35" s="5">
        <f t="shared" si="15"/>
        <v>187.62</v>
      </c>
      <c r="AF35" s="83">
        <f t="shared" si="19"/>
        <v>0</v>
      </c>
      <c r="AG35" s="5">
        <f t="shared" si="15"/>
        <v>2000.5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52"/>
        <v>0.9</v>
      </c>
      <c r="AT35" s="204">
        <f t="shared" si="52"/>
        <v>33</v>
      </c>
      <c r="AU35" s="438">
        <f t="shared" si="35"/>
        <v>1.1000000000000001</v>
      </c>
      <c r="AV35" s="204">
        <f t="shared" si="35"/>
        <v>61</v>
      </c>
      <c r="AW35" s="5">
        <v>2.9</v>
      </c>
      <c r="AX35" s="204">
        <f t="shared" ref="AX35" si="66">AX34</f>
        <v>61</v>
      </c>
      <c r="AY35" s="439">
        <f t="shared" si="7"/>
        <v>29.7</v>
      </c>
      <c r="AZ35" s="439">
        <f t="shared" si="25"/>
        <v>67.100000000000009</v>
      </c>
      <c r="BA35" s="439">
        <f t="shared" si="26"/>
        <v>176.9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0"/>
        <v>109034</v>
      </c>
      <c r="C36" s="5">
        <f t="shared" ref="C36" si="67">B36-B35</f>
        <v>0</v>
      </c>
      <c r="D36" s="430">
        <f t="shared" ref="D36" si="68">C36/27</f>
        <v>0</v>
      </c>
      <c r="E36" s="341">
        <f>SUM((C36*$E$4)+(7500/'EDl log'!$A$39))</f>
        <v>241.93548387096774</v>
      </c>
      <c r="F36" s="335"/>
      <c r="G36" s="5">
        <f t="shared" si="31"/>
        <v>605263</v>
      </c>
      <c r="H36" s="5">
        <f t="shared" ref="H36" si="69">G36-G35</f>
        <v>0</v>
      </c>
      <c r="I36" s="5">
        <f t="shared" ref="I36" si="70">C36+H36</f>
        <v>0</v>
      </c>
      <c r="J36" s="342">
        <f t="shared" ref="J36" si="71">IF(I36&gt;0,E36/I36,0)</f>
        <v>0</v>
      </c>
      <c r="K36" s="5">
        <f>'Swimming Pool quality check '!H36</f>
        <v>6550</v>
      </c>
      <c r="L36" s="83">
        <f t="shared" ref="L36" si="72">K36-K35</f>
        <v>0</v>
      </c>
      <c r="M36" s="421">
        <f t="shared" si="13"/>
        <v>457.44</v>
      </c>
      <c r="N36" s="529">
        <f t="shared" ref="N36" si="73">SUM(M36-M35)</f>
        <v>0</v>
      </c>
      <c r="O36" s="421">
        <f t="shared" si="14"/>
        <v>529.52</v>
      </c>
      <c r="P36" s="529">
        <f t="shared" ref="P36" si="74">SUM(O36-O35)</f>
        <v>0</v>
      </c>
      <c r="Q36" s="529">
        <f t="shared" ref="Q36" si="75">SUM(P36+N36)</f>
        <v>0</v>
      </c>
      <c r="R36" s="529"/>
      <c r="S36" s="529"/>
      <c r="T36" s="5">
        <f t="shared" si="15"/>
        <v>5024</v>
      </c>
      <c r="U36" s="5">
        <f t="shared" ref="U36" si="76">SUM(T36-T35)</f>
        <v>0</v>
      </c>
      <c r="V36" s="5">
        <f t="shared" si="15"/>
        <v>422</v>
      </c>
      <c r="W36" s="332">
        <f t="shared" ref="W36" si="77">+V36-V35</f>
        <v>0</v>
      </c>
      <c r="X36" s="5">
        <f t="shared" si="15"/>
        <v>146523</v>
      </c>
      <c r="Y36" s="332">
        <f t="shared" ref="Y36" si="78">SUM(X36-X35)</f>
        <v>0</v>
      </c>
      <c r="Z36" s="5">
        <f t="shared" si="15"/>
        <v>96347</v>
      </c>
      <c r="AA36" s="83">
        <f t="shared" ref="AA36" si="79">Z36-Z35</f>
        <v>0</v>
      </c>
      <c r="AB36" s="5">
        <f t="shared" si="15"/>
        <v>258</v>
      </c>
      <c r="AC36" s="5">
        <f t="shared" si="15"/>
        <v>670</v>
      </c>
      <c r="AD36" s="83">
        <f t="shared" ref="AD36" si="80">AC36-AC35</f>
        <v>0</v>
      </c>
      <c r="AE36" s="5">
        <f t="shared" si="15"/>
        <v>187.62</v>
      </c>
      <c r="AF36" s="83">
        <f t="shared" ref="AF36" si="81">AE36-AE35</f>
        <v>0</v>
      </c>
      <c r="AG36" s="5">
        <f t="shared" si="15"/>
        <v>2000.5</v>
      </c>
      <c r="AH36" s="83">
        <f t="shared" ref="AH36" si="82">AG36-AG35</f>
        <v>0</v>
      </c>
      <c r="AI36" s="83">
        <f t="shared" ref="AI36" si="83">AF36+AH36</f>
        <v>0</v>
      </c>
      <c r="AJ36" s="334">
        <f t="shared" ref="AJ36" si="84">+Z36-Z35</f>
        <v>0</v>
      </c>
      <c r="AK36" s="335">
        <f t="shared" ref="AK36" si="85">SUM(Y36-L36)</f>
        <v>0</v>
      </c>
      <c r="AL36" s="335">
        <f t="shared" ref="AL36" si="86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7">A36</f>
        <v>44074</v>
      </c>
      <c r="AS36" s="435">
        <f t="shared" si="52"/>
        <v>0.9</v>
      </c>
      <c r="AT36" s="204">
        <f t="shared" si="52"/>
        <v>33</v>
      </c>
      <c r="AU36" s="438">
        <f t="shared" si="35"/>
        <v>1.1000000000000001</v>
      </c>
      <c r="AV36" s="204">
        <f t="shared" si="35"/>
        <v>61</v>
      </c>
      <c r="AW36" s="5">
        <v>2.9</v>
      </c>
      <c r="AX36" s="204">
        <f t="shared" ref="AX36" si="88">AX35</f>
        <v>61</v>
      </c>
      <c r="AY36" s="439">
        <f t="shared" ref="AY36" si="89">AS36*AT36</f>
        <v>29.7</v>
      </c>
      <c r="AZ36" s="439">
        <f t="shared" ref="AZ36" si="90">AU36*AV36</f>
        <v>67.100000000000009</v>
      </c>
      <c r="BA36" s="439">
        <f t="shared" ref="BA36" si="91">AW36*AX36</f>
        <v>176.9</v>
      </c>
      <c r="BB36" s="21">
        <f t="shared" ref="BB36" si="92">AY36-AY35</f>
        <v>0</v>
      </c>
      <c r="BC36" s="230">
        <f t="shared" ref="BC36" si="93">AZ36-AZ35</f>
        <v>0</v>
      </c>
      <c r="BD36" s="230">
        <f t="shared" ref="BD36" si="94">BA36-BA35</f>
        <v>0</v>
      </c>
      <c r="BE36" s="24">
        <f t="shared" ref="BE36" si="95">SUM(BB36:BD36)</f>
        <v>0</v>
      </c>
      <c r="BF36" s="96">
        <f t="shared" ref="BF36" si="96">SUM(I36-BE36)</f>
        <v>0</v>
      </c>
      <c r="BG36" s="82">
        <f t="shared" ref="BG36" si="97">SUM(I36-BF36)</f>
        <v>0</v>
      </c>
    </row>
    <row r="37" spans="1:59">
      <c r="C37" s="423">
        <f>SUM(C6:C35)</f>
        <v>62</v>
      </c>
      <c r="D37" s="330">
        <f>SUM(D6:D35)</f>
        <v>2.2962962962962963</v>
      </c>
      <c r="F37" s="425">
        <f>SUM(F6:F35)</f>
        <v>4</v>
      </c>
      <c r="H37" s="423">
        <f>SUM(H6:H35)</f>
        <v>432</v>
      </c>
      <c r="I37" s="423">
        <f>SUM(I6:I35)</f>
        <v>494</v>
      </c>
      <c r="L37" s="274">
        <f>SUM(L7:L35)</f>
        <v>7</v>
      </c>
      <c r="Q37" s="510">
        <f>SUM(Q5:Q35)</f>
        <v>0</v>
      </c>
      <c r="U37" s="420">
        <f>SUM(U6:U35)</f>
        <v>7</v>
      </c>
      <c r="X37" s="331"/>
      <c r="Y37" s="330" t="e">
        <f>SUM(Y35,Y33,Y31,Y29,Y27,Y25,Y23,Y21,Y19,Y17,Y15,Y13,Y11,Y9,Y7+#REF!)</f>
        <v>#REF!</v>
      </c>
      <c r="AJ37" s="330">
        <f>SUM(AJ6:AJ35)</f>
        <v>62</v>
      </c>
      <c r="AK37" s="335" t="e">
        <f t="shared" si="5"/>
        <v>#REF!</v>
      </c>
      <c r="AL37" s="330">
        <f>SUM(AL6:AL35)</f>
        <v>62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102.92</v>
      </c>
      <c r="E38" s="340">
        <f>SUM(E6:E35)</f>
        <v>7360.9845161290332</v>
      </c>
      <c r="F38" s="428">
        <f>SUM(F6:F35)</f>
        <v>4</v>
      </c>
      <c r="H38" s="157">
        <v>7500</v>
      </c>
      <c r="I38" s="424">
        <f>SUM('General information '!G37/WATER!I37)</f>
        <v>0.33806275303643729</v>
      </c>
      <c r="L38" s="157"/>
      <c r="O38" s="507">
        <f>SUM(Q37+I37)</f>
        <v>494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494</v>
      </c>
      <c r="H39" s="1">
        <f>SUM(H38+C38)</f>
        <v>7602.92</v>
      </c>
      <c r="K39" s="1">
        <f>SUM(H39/G39)</f>
        <v>15.390526315789474</v>
      </c>
      <c r="AJ39" s="330">
        <f>SUM(C38-AK38)</f>
        <v>102.92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M7" sqref="M7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8" t="s">
        <v>193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30"/>
    </row>
    <row r="2" spans="1:15" ht="15.75" customHeight="1" thickBot="1">
      <c r="A2" s="631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3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366">
        <f>'[1]General information '!E36</f>
        <v>0.52</v>
      </c>
      <c r="F5" s="366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/>
      <c r="C8" s="37"/>
      <c r="D8" s="26">
        <f t="shared" si="0"/>
        <v>0</v>
      </c>
      <c r="E8" s="348"/>
      <c r="F8" s="348"/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/>
      <c r="C9" s="37"/>
      <c r="D9" s="26">
        <f>(C9+B9)/2</f>
        <v>0</v>
      </c>
      <c r="E9" s="404"/>
      <c r="F9" s="404"/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/>
      <c r="C10" s="37"/>
      <c r="D10" s="26">
        <f t="shared" si="0"/>
        <v>0</v>
      </c>
      <c r="E10" s="364"/>
      <c r="F10" s="348"/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/>
      <c r="C11" s="37"/>
      <c r="D11" s="26">
        <f t="shared" si="0"/>
        <v>0</v>
      </c>
      <c r="E11" s="404"/>
      <c r="F11" s="348"/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/>
      <c r="C12" s="37"/>
      <c r="D12" s="26">
        <f t="shared" si="0"/>
        <v>0</v>
      </c>
      <c r="E12" s="404"/>
      <c r="F12" s="404"/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/>
      <c r="C13" s="37"/>
      <c r="D13" s="26">
        <f>(C13+B13)/2</f>
        <v>0</v>
      </c>
      <c r="E13" s="364"/>
      <c r="F13" s="364"/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/>
      <c r="C14" s="37"/>
      <c r="D14" s="26">
        <f t="shared" ref="D14:D34" si="3">(C14+B14)/2</f>
        <v>0</v>
      </c>
      <c r="E14" s="348"/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0.36304999999999998</v>
      </c>
      <c r="G37" s="206">
        <f>SUM(G6:G35)</f>
        <v>167.00300000000001</v>
      </c>
    </row>
    <row r="38" spans="1:15">
      <c r="D38" s="267">
        <f>SUM(D6:D35)/'EDl log'!A37</f>
        <v>18.833333333333332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A1" activePane="topRight" state="frozen"/>
      <selection pane="topRight" activeCell="AU6" sqref="AU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6" t="s">
        <v>108</v>
      </c>
      <c r="AS3" s="636" t="s">
        <v>233</v>
      </c>
      <c r="AT3" s="634" t="s">
        <v>301</v>
      </c>
      <c r="AU3" s="635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7"/>
      <c r="AS4" s="637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-6229.2325806451609</v>
      </c>
      <c r="AT6" s="365">
        <v>0.01</v>
      </c>
      <c r="AU6" s="449"/>
      <c r="AV6" s="533">
        <f>IF(AT6&gt;0,AU6,AV5)</f>
        <v>0</v>
      </c>
      <c r="AW6" s="298">
        <f>-SUM('B5'!AI5)</f>
        <v>-380</v>
      </c>
      <c r="AX6" s="298">
        <f>-SUM(AW6-AS6)</f>
        <v>-5849.2325806451609</v>
      </c>
      <c r="AY6" s="37">
        <f>SUM(AX6+AW6)</f>
        <v>-6229.2325806451609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188</v>
      </c>
      <c r="C8" s="206">
        <f t="shared" si="18"/>
        <v>4045.0322580645161</v>
      </c>
      <c r="D8">
        <f t="shared" si="19"/>
        <v>188</v>
      </c>
      <c r="E8" s="206">
        <f t="shared" si="18"/>
        <v>4045.0322580645161</v>
      </c>
      <c r="F8">
        <f t="shared" si="20"/>
        <v>188</v>
      </c>
      <c r="G8" s="206">
        <f t="shared" si="1"/>
        <v>4045.0322580645161</v>
      </c>
      <c r="H8" s="206">
        <f t="shared" si="21"/>
        <v>188</v>
      </c>
      <c r="I8" s="206">
        <f t="shared" si="2"/>
        <v>4045.0322580645161</v>
      </c>
      <c r="J8" s="206">
        <f t="shared" si="22"/>
        <v>188</v>
      </c>
      <c r="K8" s="206">
        <f t="shared" si="3"/>
        <v>4045.0322580645161</v>
      </c>
      <c r="L8" s="206">
        <f t="shared" si="23"/>
        <v>188</v>
      </c>
      <c r="M8" s="206">
        <f t="shared" si="4"/>
        <v>4045.0322580645161</v>
      </c>
      <c r="N8" s="206">
        <f t="shared" si="24"/>
        <v>188</v>
      </c>
      <c r="O8" s="206">
        <f t="shared" si="5"/>
        <v>4045.0322580645161</v>
      </c>
      <c r="P8" s="206">
        <f t="shared" si="25"/>
        <v>188</v>
      </c>
      <c r="Q8" s="206">
        <f t="shared" si="6"/>
        <v>4045.0322580645161</v>
      </c>
      <c r="R8" s="206">
        <f t="shared" si="26"/>
        <v>188</v>
      </c>
      <c r="S8" s="206">
        <f t="shared" si="7"/>
        <v>4045.0322580645161</v>
      </c>
      <c r="T8" s="206">
        <f t="shared" si="27"/>
        <v>188</v>
      </c>
      <c r="U8" s="206">
        <f t="shared" si="8"/>
        <v>4045.0322580645161</v>
      </c>
      <c r="V8" s="206">
        <f t="shared" si="28"/>
        <v>188</v>
      </c>
      <c r="W8" s="206">
        <f t="shared" si="9"/>
        <v>4045.0322580645161</v>
      </c>
      <c r="X8" s="35">
        <f t="shared" si="10"/>
        <v>0.6064516129032258</v>
      </c>
      <c r="Y8" s="36">
        <f t="shared" si="29"/>
        <v>44495.354838709674</v>
      </c>
      <c r="Z8" s="206">
        <f>'B5'!C7</f>
        <v>194</v>
      </c>
      <c r="AA8" s="206">
        <f t="shared" si="30"/>
        <v>1940</v>
      </c>
      <c r="AB8" s="206">
        <f t="shared" si="31"/>
        <v>194</v>
      </c>
      <c r="AC8" s="206">
        <f t="shared" si="30"/>
        <v>1940</v>
      </c>
      <c r="AD8" s="206">
        <f t="shared" si="32"/>
        <v>194</v>
      </c>
      <c r="AE8" s="206">
        <f t="shared" si="11"/>
        <v>1940</v>
      </c>
      <c r="AF8" s="206">
        <f t="shared" si="33"/>
        <v>194</v>
      </c>
      <c r="AG8" s="206">
        <f t="shared" si="12"/>
        <v>1940</v>
      </c>
      <c r="AH8" s="206">
        <f t="shared" si="34"/>
        <v>194</v>
      </c>
      <c r="AI8" s="206">
        <f t="shared" si="13"/>
        <v>1940</v>
      </c>
      <c r="AJ8" s="206">
        <f t="shared" si="35"/>
        <v>194</v>
      </c>
      <c r="AK8" s="206">
        <f t="shared" si="14"/>
        <v>1940</v>
      </c>
      <c r="AL8" s="206">
        <f t="shared" si="36"/>
        <v>194</v>
      </c>
      <c r="AM8" s="206">
        <f t="shared" si="15"/>
        <v>1940</v>
      </c>
      <c r="AN8" s="35">
        <f t="shared" si="16"/>
        <v>0.69285714285714284</v>
      </c>
      <c r="AO8" s="36">
        <f t="shared" si="17"/>
        <v>13580</v>
      </c>
      <c r="AQ8" s="226">
        <f t="shared" si="37"/>
        <v>0.62466768676680295</v>
      </c>
      <c r="AR8" s="38">
        <f t="shared" ref="AR8:AR36" si="41">SUM(AO8+Y8)</f>
        <v>58075.354838709674</v>
      </c>
      <c r="AS8" s="200">
        <f t="shared" si="38"/>
        <v>0</v>
      </c>
      <c r="AT8" s="365"/>
      <c r="AU8" s="449"/>
      <c r="AV8" s="533">
        <f t="shared" ref="AV8:AV34" si="42">IF(AT8&gt;0,AU8,AV7)</f>
        <v>0</v>
      </c>
      <c r="AW8" s="298">
        <f>-SUM('B5'!AI7)</f>
        <v>0</v>
      </c>
      <c r="AX8" s="298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404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188</v>
      </c>
      <c r="C9" s="206">
        <f t="shared" si="18"/>
        <v>4045.0322580645161</v>
      </c>
      <c r="D9">
        <f t="shared" si="19"/>
        <v>188</v>
      </c>
      <c r="E9" s="206">
        <f t="shared" si="18"/>
        <v>4045.0322580645161</v>
      </c>
      <c r="F9">
        <f t="shared" si="20"/>
        <v>188</v>
      </c>
      <c r="G9" s="206">
        <f t="shared" si="1"/>
        <v>4045.0322580645161</v>
      </c>
      <c r="H9" s="206">
        <f t="shared" si="21"/>
        <v>188</v>
      </c>
      <c r="I9" s="206">
        <f t="shared" si="2"/>
        <v>4045.0322580645161</v>
      </c>
      <c r="J9" s="206">
        <f t="shared" si="22"/>
        <v>188</v>
      </c>
      <c r="K9" s="206">
        <f t="shared" si="3"/>
        <v>4045.0322580645161</v>
      </c>
      <c r="L9" s="206">
        <f t="shared" si="23"/>
        <v>188</v>
      </c>
      <c r="M9" s="206">
        <f t="shared" si="4"/>
        <v>4045.0322580645161</v>
      </c>
      <c r="N9" s="206">
        <f t="shared" si="24"/>
        <v>188</v>
      </c>
      <c r="O9" s="206">
        <f t="shared" si="5"/>
        <v>4045.0322580645161</v>
      </c>
      <c r="P9" s="206">
        <f t="shared" si="25"/>
        <v>188</v>
      </c>
      <c r="Q9" s="206">
        <f t="shared" si="6"/>
        <v>4045.0322580645161</v>
      </c>
      <c r="R9" s="206">
        <f t="shared" si="26"/>
        <v>188</v>
      </c>
      <c r="S9" s="206">
        <f t="shared" si="7"/>
        <v>4045.0322580645161</v>
      </c>
      <c r="T9" s="206">
        <f t="shared" si="27"/>
        <v>188</v>
      </c>
      <c r="U9" s="206">
        <f t="shared" si="8"/>
        <v>4045.0322580645161</v>
      </c>
      <c r="V9" s="206">
        <f t="shared" si="28"/>
        <v>188</v>
      </c>
      <c r="W9" s="206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0.62466768676680295</v>
      </c>
      <c r="AR9" s="38">
        <f t="shared" si="41"/>
        <v>58075.354838709674</v>
      </c>
      <c r="AS9" s="200">
        <f t="shared" si="38"/>
        <v>0</v>
      </c>
      <c r="AT9" s="365"/>
      <c r="AU9" s="449"/>
      <c r="AV9" s="533">
        <f t="shared" si="42"/>
        <v>0</v>
      </c>
      <c r="AW9" s="298">
        <f>-SUM('B5'!AI8)</f>
        <v>0</v>
      </c>
      <c r="AX9" s="298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404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188</v>
      </c>
      <c r="C10" s="206">
        <f t="shared" si="18"/>
        <v>4045.0322580645161</v>
      </c>
      <c r="D10">
        <f t="shared" si="19"/>
        <v>188</v>
      </c>
      <c r="E10" s="206">
        <f t="shared" si="18"/>
        <v>4045.0322580645161</v>
      </c>
      <c r="F10">
        <f t="shared" si="20"/>
        <v>188</v>
      </c>
      <c r="G10" s="206">
        <f t="shared" si="1"/>
        <v>4045.0322580645161</v>
      </c>
      <c r="H10" s="206">
        <f t="shared" si="21"/>
        <v>188</v>
      </c>
      <c r="I10" s="206">
        <f t="shared" si="2"/>
        <v>4045.0322580645161</v>
      </c>
      <c r="J10" s="206">
        <f t="shared" si="22"/>
        <v>188</v>
      </c>
      <c r="K10" s="206">
        <f t="shared" si="3"/>
        <v>4045.0322580645161</v>
      </c>
      <c r="L10" s="206">
        <f t="shared" si="23"/>
        <v>188</v>
      </c>
      <c r="M10" s="206">
        <f t="shared" si="4"/>
        <v>4045.0322580645161</v>
      </c>
      <c r="N10" s="206">
        <f t="shared" si="24"/>
        <v>188</v>
      </c>
      <c r="O10" s="206">
        <f t="shared" si="5"/>
        <v>4045.0322580645161</v>
      </c>
      <c r="P10" s="206">
        <f t="shared" si="25"/>
        <v>188</v>
      </c>
      <c r="Q10" s="206">
        <f t="shared" si="6"/>
        <v>4045.0322580645161</v>
      </c>
      <c r="R10" s="206">
        <f t="shared" si="26"/>
        <v>188</v>
      </c>
      <c r="S10" s="206">
        <f t="shared" si="7"/>
        <v>4045.0322580645161</v>
      </c>
      <c r="T10" s="206">
        <f t="shared" si="27"/>
        <v>188</v>
      </c>
      <c r="U10" s="206">
        <f t="shared" si="8"/>
        <v>4045.0322580645161</v>
      </c>
      <c r="V10" s="206">
        <f t="shared" si="28"/>
        <v>188</v>
      </c>
      <c r="W10" s="206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0.62466768676680295</v>
      </c>
      <c r="AR10" s="38">
        <f t="shared" si="41"/>
        <v>58075.354838709674</v>
      </c>
      <c r="AS10" s="200">
        <f>SUM(AR10-AR9-AT10)</f>
        <v>0</v>
      </c>
      <c r="AT10" s="365"/>
      <c r="AU10" s="449"/>
      <c r="AV10" s="533">
        <f>IF(AT10&gt;0,AU10,AV9)</f>
        <v>0</v>
      </c>
      <c r="AW10" s="298">
        <f>-SUM('B5'!AI9)</f>
        <v>0</v>
      </c>
      <c r="AX10" s="298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40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188</v>
      </c>
      <c r="C11" s="206">
        <f t="shared" si="18"/>
        <v>4045.0322580645161</v>
      </c>
      <c r="D11">
        <f>SUM(B11)</f>
        <v>188</v>
      </c>
      <c r="E11" s="206">
        <f t="shared" si="18"/>
        <v>4045.0322580645161</v>
      </c>
      <c r="F11">
        <f>SUM(D11)</f>
        <v>188</v>
      </c>
      <c r="G11" s="206">
        <f t="shared" si="1"/>
        <v>4045.0322580645161</v>
      </c>
      <c r="H11" s="206">
        <f>SUM(F11)</f>
        <v>188</v>
      </c>
      <c r="I11" s="206">
        <f t="shared" si="2"/>
        <v>4045.0322580645161</v>
      </c>
      <c r="J11" s="206">
        <f>SUM(H11)</f>
        <v>188</v>
      </c>
      <c r="K11" s="206">
        <f t="shared" si="3"/>
        <v>4045.0322580645161</v>
      </c>
      <c r="L11" s="206">
        <f>SUM(J11)</f>
        <v>188</v>
      </c>
      <c r="M11" s="206">
        <f t="shared" si="4"/>
        <v>4045.0322580645161</v>
      </c>
      <c r="N11" s="206">
        <f>SUM(L11)</f>
        <v>188</v>
      </c>
      <c r="O11" s="206">
        <f t="shared" si="5"/>
        <v>4045.0322580645161</v>
      </c>
      <c r="P11" s="206">
        <f>SUM(N11)</f>
        <v>188</v>
      </c>
      <c r="Q11" s="206">
        <f t="shared" si="6"/>
        <v>4045.0322580645161</v>
      </c>
      <c r="R11" s="206">
        <f>SUM(P11)</f>
        <v>188</v>
      </c>
      <c r="S11" s="206">
        <f t="shared" si="7"/>
        <v>4045.0322580645161</v>
      </c>
      <c r="T11" s="206">
        <f>SUM(R11)</f>
        <v>188</v>
      </c>
      <c r="U11" s="206">
        <f t="shared" si="8"/>
        <v>4045.0322580645161</v>
      </c>
      <c r="V11" s="206">
        <f>SUM(T11)</f>
        <v>188</v>
      </c>
      <c r="W11" s="206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6">
        <f>'B5'!C10</f>
        <v>194</v>
      </c>
      <c r="AA11" s="206">
        <f t="shared" si="30"/>
        <v>1940</v>
      </c>
      <c r="AB11" s="206">
        <f>SUM(Z11)</f>
        <v>194</v>
      </c>
      <c r="AC11" s="206">
        <f t="shared" si="30"/>
        <v>1940</v>
      </c>
      <c r="AD11" s="206">
        <f>SUM(AB11)</f>
        <v>194</v>
      </c>
      <c r="AE11" s="206">
        <f t="shared" si="11"/>
        <v>1940</v>
      </c>
      <c r="AF11" s="206">
        <f>SUM(AD11)</f>
        <v>194</v>
      </c>
      <c r="AG11" s="206">
        <f t="shared" si="12"/>
        <v>1940</v>
      </c>
      <c r="AH11" s="206">
        <f>SUM(AF11)</f>
        <v>194</v>
      </c>
      <c r="AI11" s="206">
        <f t="shared" si="13"/>
        <v>1940</v>
      </c>
      <c r="AJ11" s="206">
        <f>SUM(AH11)</f>
        <v>194</v>
      </c>
      <c r="AK11" s="206">
        <f t="shared" si="14"/>
        <v>1940</v>
      </c>
      <c r="AL11" s="206">
        <f>SUM(AJ11)</f>
        <v>194</v>
      </c>
      <c r="AM11" s="206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604"/>
      <c r="AQ11" s="226">
        <f t="shared" si="37"/>
        <v>0.62466768676680295</v>
      </c>
      <c r="AR11" s="38">
        <f t="shared" si="41"/>
        <v>58075.354838709674</v>
      </c>
      <c r="AS11" s="200">
        <f>SUM(AR11-AR10-AT11)</f>
        <v>0</v>
      </c>
      <c r="AT11" s="365"/>
      <c r="AU11" s="449"/>
      <c r="AV11" s="533">
        <f>IF(AT11&gt;0,AU11,AV10)</f>
        <v>0</v>
      </c>
      <c r="AW11" s="298">
        <f>-SUM('B5'!AI10)</f>
        <v>0</v>
      </c>
      <c r="AX11" s="298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40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188</v>
      </c>
      <c r="C12" s="206">
        <f t="shared" si="18"/>
        <v>4045.0322580645161</v>
      </c>
      <c r="D12">
        <f t="shared" si="19"/>
        <v>188</v>
      </c>
      <c r="E12" s="206">
        <f t="shared" si="18"/>
        <v>4045.0322580645161</v>
      </c>
      <c r="F12">
        <f t="shared" si="20"/>
        <v>188</v>
      </c>
      <c r="G12" s="206">
        <f t="shared" si="1"/>
        <v>4045.0322580645161</v>
      </c>
      <c r="H12" s="206">
        <f t="shared" si="21"/>
        <v>188</v>
      </c>
      <c r="I12" s="206">
        <f t="shared" si="2"/>
        <v>4045.0322580645161</v>
      </c>
      <c r="J12" s="206">
        <f t="shared" si="22"/>
        <v>188</v>
      </c>
      <c r="K12" s="206">
        <f t="shared" si="3"/>
        <v>4045.0322580645161</v>
      </c>
      <c r="L12" s="206">
        <f t="shared" si="23"/>
        <v>188</v>
      </c>
      <c r="M12" s="206">
        <f t="shared" si="4"/>
        <v>4045.0322580645161</v>
      </c>
      <c r="N12" s="206">
        <f t="shared" si="24"/>
        <v>188</v>
      </c>
      <c r="O12" s="206">
        <f t="shared" si="5"/>
        <v>4045.0322580645161</v>
      </c>
      <c r="P12" s="206">
        <f t="shared" si="25"/>
        <v>188</v>
      </c>
      <c r="Q12" s="206">
        <f t="shared" si="6"/>
        <v>4045.0322580645161</v>
      </c>
      <c r="R12" s="206">
        <f t="shared" si="26"/>
        <v>188</v>
      </c>
      <c r="S12" s="206">
        <f t="shared" si="7"/>
        <v>4045.0322580645161</v>
      </c>
      <c r="T12" s="206">
        <f t="shared" si="27"/>
        <v>188</v>
      </c>
      <c r="U12" s="206">
        <f t="shared" si="8"/>
        <v>4045.0322580645161</v>
      </c>
      <c r="V12" s="206">
        <f t="shared" si="28"/>
        <v>188</v>
      </c>
      <c r="W12" s="206">
        <f t="shared" si="9"/>
        <v>4045.0322580645161</v>
      </c>
      <c r="X12" s="35">
        <f t="shared" si="10"/>
        <v>0.6064516129032258</v>
      </c>
      <c r="Y12" s="36">
        <f t="shared" si="29"/>
        <v>44495.354838709674</v>
      </c>
      <c r="Z12" s="206">
        <f>'B5'!C11</f>
        <v>194</v>
      </c>
      <c r="AA12" s="206">
        <f t="shared" si="30"/>
        <v>1940</v>
      </c>
      <c r="AB12" s="206">
        <f t="shared" si="31"/>
        <v>194</v>
      </c>
      <c r="AC12" s="206">
        <f t="shared" si="30"/>
        <v>1940</v>
      </c>
      <c r="AD12" s="206">
        <f t="shared" si="32"/>
        <v>194</v>
      </c>
      <c r="AE12" s="206">
        <f t="shared" si="11"/>
        <v>1940</v>
      </c>
      <c r="AF12" s="206">
        <f t="shared" si="33"/>
        <v>194</v>
      </c>
      <c r="AG12" s="206">
        <f t="shared" si="12"/>
        <v>1940</v>
      </c>
      <c r="AH12" s="206">
        <f t="shared" si="34"/>
        <v>194</v>
      </c>
      <c r="AI12" s="206">
        <f t="shared" si="13"/>
        <v>1940</v>
      </c>
      <c r="AJ12" s="206">
        <f t="shared" si="35"/>
        <v>194</v>
      </c>
      <c r="AK12" s="206">
        <f t="shared" si="14"/>
        <v>1940</v>
      </c>
      <c r="AL12" s="206">
        <f t="shared" si="36"/>
        <v>194</v>
      </c>
      <c r="AM12" s="206">
        <f t="shared" si="15"/>
        <v>1940</v>
      </c>
      <c r="AN12" s="35">
        <f t="shared" si="16"/>
        <v>0.69285714285714284</v>
      </c>
      <c r="AO12" s="36">
        <f t="shared" si="17"/>
        <v>13580</v>
      </c>
      <c r="AP12" s="604"/>
      <c r="AQ12" s="226">
        <f t="shared" si="37"/>
        <v>0.62466768676680295</v>
      </c>
      <c r="AR12" s="38">
        <f t="shared" si="41"/>
        <v>58075.354838709674</v>
      </c>
      <c r="AS12" s="200">
        <f t="shared" si="38"/>
        <v>0</v>
      </c>
      <c r="AT12" s="277"/>
      <c r="AU12" s="492"/>
      <c r="AV12" s="533">
        <f t="shared" si="42"/>
        <v>0</v>
      </c>
      <c r="AW12" s="298">
        <f>-SUM('B5'!AI11)</f>
        <v>0</v>
      </c>
      <c r="AX12" s="298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40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188</v>
      </c>
      <c r="C13" s="206">
        <f t="shared" si="18"/>
        <v>4045.0322580645161</v>
      </c>
      <c r="D13">
        <f t="shared" si="19"/>
        <v>188</v>
      </c>
      <c r="E13" s="206">
        <f t="shared" si="18"/>
        <v>4045.0322580645161</v>
      </c>
      <c r="F13">
        <f t="shared" si="20"/>
        <v>188</v>
      </c>
      <c r="G13" s="206">
        <f t="shared" si="1"/>
        <v>4045.0322580645161</v>
      </c>
      <c r="H13" s="206">
        <f t="shared" si="21"/>
        <v>188</v>
      </c>
      <c r="I13" s="206">
        <f t="shared" si="2"/>
        <v>4045.0322580645161</v>
      </c>
      <c r="J13" s="206">
        <f t="shared" si="22"/>
        <v>188</v>
      </c>
      <c r="K13" s="206">
        <f t="shared" si="3"/>
        <v>4045.0322580645161</v>
      </c>
      <c r="L13" s="206">
        <f t="shared" si="23"/>
        <v>188</v>
      </c>
      <c r="M13" s="206">
        <f t="shared" si="4"/>
        <v>4045.0322580645161</v>
      </c>
      <c r="N13" s="206">
        <f t="shared" si="24"/>
        <v>188</v>
      </c>
      <c r="O13" s="206">
        <f t="shared" si="5"/>
        <v>4045.0322580645161</v>
      </c>
      <c r="P13" s="206">
        <f t="shared" si="25"/>
        <v>188</v>
      </c>
      <c r="Q13" s="206">
        <f t="shared" si="6"/>
        <v>4045.0322580645161</v>
      </c>
      <c r="R13" s="206">
        <f t="shared" si="26"/>
        <v>188</v>
      </c>
      <c r="S13" s="206">
        <f t="shared" si="7"/>
        <v>4045.0322580645161</v>
      </c>
      <c r="T13" s="206">
        <f t="shared" si="27"/>
        <v>188</v>
      </c>
      <c r="U13" s="206">
        <f t="shared" si="8"/>
        <v>4045.0322580645161</v>
      </c>
      <c r="V13" s="206">
        <f t="shared" si="28"/>
        <v>188</v>
      </c>
      <c r="W13" s="206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6">
        <f>'B5'!C12</f>
        <v>194</v>
      </c>
      <c r="AA13" s="206">
        <f t="shared" si="30"/>
        <v>1940</v>
      </c>
      <c r="AB13" s="206">
        <f t="shared" si="31"/>
        <v>194</v>
      </c>
      <c r="AC13" s="206">
        <f t="shared" si="30"/>
        <v>1940</v>
      </c>
      <c r="AD13" s="206">
        <f t="shared" si="32"/>
        <v>194</v>
      </c>
      <c r="AE13" s="206">
        <f t="shared" si="11"/>
        <v>1940</v>
      </c>
      <c r="AF13" s="206">
        <f t="shared" si="33"/>
        <v>194</v>
      </c>
      <c r="AG13" s="206">
        <f t="shared" si="12"/>
        <v>1940</v>
      </c>
      <c r="AH13" s="206">
        <f t="shared" si="34"/>
        <v>194</v>
      </c>
      <c r="AI13" s="206">
        <f t="shared" si="13"/>
        <v>1940</v>
      </c>
      <c r="AJ13" s="206">
        <f t="shared" si="35"/>
        <v>194</v>
      </c>
      <c r="AK13" s="206">
        <f t="shared" si="14"/>
        <v>1940</v>
      </c>
      <c r="AL13" s="206">
        <f t="shared" si="36"/>
        <v>194</v>
      </c>
      <c r="AM13" s="206">
        <f t="shared" si="15"/>
        <v>1940</v>
      </c>
      <c r="AN13" s="35">
        <f t="shared" si="16"/>
        <v>0.69285714285714284</v>
      </c>
      <c r="AO13" s="36">
        <f t="shared" si="17"/>
        <v>13580</v>
      </c>
      <c r="AP13" s="604"/>
      <c r="AQ13" s="226">
        <f t="shared" si="37"/>
        <v>0.62466768676680295</v>
      </c>
      <c r="AR13" s="38">
        <f t="shared" si="41"/>
        <v>58075.354838709674</v>
      </c>
      <c r="AS13" s="200">
        <f t="shared" si="38"/>
        <v>0</v>
      </c>
      <c r="AT13" s="277"/>
      <c r="AU13" s="449"/>
      <c r="AV13" s="533">
        <f t="shared" si="42"/>
        <v>0</v>
      </c>
      <c r="AW13" s="298">
        <f>-SUM('B5'!AI12)</f>
        <v>0</v>
      </c>
      <c r="AX13" s="298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40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188</v>
      </c>
      <c r="C14" s="206">
        <f t="shared" si="18"/>
        <v>4045.0322580645161</v>
      </c>
      <c r="D14">
        <f t="shared" si="19"/>
        <v>188</v>
      </c>
      <c r="E14" s="206">
        <f t="shared" si="18"/>
        <v>4045.0322580645161</v>
      </c>
      <c r="F14">
        <f t="shared" si="20"/>
        <v>188</v>
      </c>
      <c r="G14" s="206">
        <f t="shared" si="1"/>
        <v>4045.0322580645161</v>
      </c>
      <c r="H14" s="206">
        <f t="shared" si="21"/>
        <v>188</v>
      </c>
      <c r="I14" s="206">
        <f t="shared" si="2"/>
        <v>4045.0322580645161</v>
      </c>
      <c r="J14" s="206">
        <f t="shared" si="22"/>
        <v>188</v>
      </c>
      <c r="K14" s="206">
        <f t="shared" si="3"/>
        <v>4045.0322580645161</v>
      </c>
      <c r="L14" s="206">
        <f t="shared" si="23"/>
        <v>188</v>
      </c>
      <c r="M14" s="206">
        <f t="shared" si="4"/>
        <v>4045.0322580645161</v>
      </c>
      <c r="N14" s="206">
        <f t="shared" si="24"/>
        <v>188</v>
      </c>
      <c r="O14" s="206">
        <f t="shared" si="5"/>
        <v>4045.0322580645161</v>
      </c>
      <c r="P14" s="206">
        <f t="shared" si="25"/>
        <v>188</v>
      </c>
      <c r="Q14" s="206">
        <f t="shared" si="6"/>
        <v>4045.0322580645161</v>
      </c>
      <c r="R14" s="206">
        <f t="shared" si="26"/>
        <v>188</v>
      </c>
      <c r="S14" s="206">
        <f t="shared" si="7"/>
        <v>4045.0322580645161</v>
      </c>
      <c r="T14" s="206">
        <f t="shared" si="27"/>
        <v>188</v>
      </c>
      <c r="U14" s="206">
        <f t="shared" si="8"/>
        <v>4045.0322580645161</v>
      </c>
      <c r="V14" s="206">
        <f t="shared" si="28"/>
        <v>188</v>
      </c>
      <c r="W14" s="206">
        <f t="shared" si="9"/>
        <v>4045.0322580645161</v>
      </c>
      <c r="X14" s="35">
        <f t="shared" si="10"/>
        <v>0.6064516129032258</v>
      </c>
      <c r="Y14" s="36">
        <f t="shared" si="29"/>
        <v>44495.354838709674</v>
      </c>
      <c r="Z14" s="206">
        <f>'B5'!C13</f>
        <v>194</v>
      </c>
      <c r="AA14" s="206">
        <f t="shared" si="30"/>
        <v>1940</v>
      </c>
      <c r="AB14" s="206">
        <f t="shared" si="31"/>
        <v>194</v>
      </c>
      <c r="AC14" s="206">
        <f t="shared" si="30"/>
        <v>1940</v>
      </c>
      <c r="AD14" s="206">
        <f t="shared" si="32"/>
        <v>194</v>
      </c>
      <c r="AE14" s="206">
        <f t="shared" si="11"/>
        <v>1940</v>
      </c>
      <c r="AF14" s="206">
        <f t="shared" si="33"/>
        <v>194</v>
      </c>
      <c r="AG14" s="206">
        <f t="shared" si="12"/>
        <v>1940</v>
      </c>
      <c r="AH14" s="206">
        <f t="shared" si="34"/>
        <v>194</v>
      </c>
      <c r="AI14" s="206">
        <f t="shared" si="13"/>
        <v>1940</v>
      </c>
      <c r="AJ14" s="206">
        <f t="shared" si="35"/>
        <v>194</v>
      </c>
      <c r="AK14" s="206">
        <f t="shared" si="14"/>
        <v>1940</v>
      </c>
      <c r="AL14" s="206">
        <f t="shared" si="36"/>
        <v>194</v>
      </c>
      <c r="AM14" s="206">
        <f t="shared" si="15"/>
        <v>1940</v>
      </c>
      <c r="AN14" s="35">
        <f t="shared" si="16"/>
        <v>0.69285714285714284</v>
      </c>
      <c r="AO14" s="36">
        <f t="shared" si="17"/>
        <v>13580</v>
      </c>
      <c r="AQ14" s="226">
        <f t="shared" si="37"/>
        <v>0.62466768676680295</v>
      </c>
      <c r="AR14" s="38">
        <f t="shared" si="41"/>
        <v>58075.354838709674</v>
      </c>
      <c r="AS14" s="200">
        <f t="shared" si="38"/>
        <v>0</v>
      </c>
      <c r="AT14" s="277"/>
      <c r="AU14" s="492"/>
      <c r="AV14" s="533">
        <f t="shared" si="42"/>
        <v>0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188</v>
      </c>
      <c r="C15" s="206">
        <f t="shared" si="18"/>
        <v>4045.0322580645161</v>
      </c>
      <c r="D15">
        <f t="shared" si="19"/>
        <v>188</v>
      </c>
      <c r="E15" s="206">
        <f t="shared" si="18"/>
        <v>4045.0322580645161</v>
      </c>
      <c r="F15">
        <f t="shared" si="20"/>
        <v>188</v>
      </c>
      <c r="G15" s="206">
        <f t="shared" si="1"/>
        <v>4045.0322580645161</v>
      </c>
      <c r="H15" s="206">
        <f t="shared" si="21"/>
        <v>188</v>
      </c>
      <c r="I15" s="206">
        <f t="shared" si="2"/>
        <v>4045.0322580645161</v>
      </c>
      <c r="J15" s="206">
        <f t="shared" si="22"/>
        <v>188</v>
      </c>
      <c r="K15" s="206">
        <f t="shared" si="3"/>
        <v>4045.0322580645161</v>
      </c>
      <c r="L15" s="206">
        <f t="shared" si="23"/>
        <v>188</v>
      </c>
      <c r="M15" s="206">
        <f t="shared" si="4"/>
        <v>4045.0322580645161</v>
      </c>
      <c r="N15" s="206">
        <f t="shared" si="24"/>
        <v>188</v>
      </c>
      <c r="O15" s="206">
        <f t="shared" si="5"/>
        <v>4045.0322580645161</v>
      </c>
      <c r="P15" s="206">
        <f t="shared" si="25"/>
        <v>188</v>
      </c>
      <c r="Q15" s="206">
        <f t="shared" si="6"/>
        <v>4045.0322580645161</v>
      </c>
      <c r="R15" s="206">
        <f t="shared" si="26"/>
        <v>188</v>
      </c>
      <c r="S15" s="206">
        <f t="shared" si="7"/>
        <v>4045.0322580645161</v>
      </c>
      <c r="T15" s="206">
        <f t="shared" si="27"/>
        <v>188</v>
      </c>
      <c r="U15" s="206">
        <f t="shared" si="8"/>
        <v>4045.0322580645161</v>
      </c>
      <c r="V15" s="206">
        <f t="shared" si="28"/>
        <v>188</v>
      </c>
      <c r="W15" s="206">
        <f t="shared" si="9"/>
        <v>4045.0322580645161</v>
      </c>
      <c r="X15" s="35">
        <f t="shared" si="10"/>
        <v>0.6064516129032258</v>
      </c>
      <c r="Y15" s="36">
        <f t="shared" si="29"/>
        <v>44495.354838709674</v>
      </c>
      <c r="Z15" s="206">
        <f>'B5'!C14</f>
        <v>194</v>
      </c>
      <c r="AA15" s="206">
        <f t="shared" si="30"/>
        <v>1940</v>
      </c>
      <c r="AB15" s="206">
        <f t="shared" si="31"/>
        <v>194</v>
      </c>
      <c r="AC15" s="206">
        <f t="shared" si="30"/>
        <v>1940</v>
      </c>
      <c r="AD15" s="206">
        <f t="shared" si="32"/>
        <v>194</v>
      </c>
      <c r="AE15" s="206">
        <f t="shared" si="11"/>
        <v>1940</v>
      </c>
      <c r="AF15" s="206">
        <f t="shared" si="33"/>
        <v>194</v>
      </c>
      <c r="AG15" s="206">
        <f t="shared" si="12"/>
        <v>1940</v>
      </c>
      <c r="AH15" s="206">
        <f t="shared" si="34"/>
        <v>194</v>
      </c>
      <c r="AI15" s="206">
        <f t="shared" si="13"/>
        <v>1940</v>
      </c>
      <c r="AJ15" s="206">
        <f t="shared" si="35"/>
        <v>194</v>
      </c>
      <c r="AK15" s="206">
        <f t="shared" si="14"/>
        <v>1940</v>
      </c>
      <c r="AL15" s="206">
        <f t="shared" si="36"/>
        <v>194</v>
      </c>
      <c r="AM15" s="206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6">
        <f t="shared" si="37"/>
        <v>0.62466768676680295</v>
      </c>
      <c r="AR15" s="38">
        <f t="shared" si="41"/>
        <v>58075.354838709674</v>
      </c>
      <c r="AS15" s="200">
        <f>SUM(AR15-AR14-AT15)</f>
        <v>0</v>
      </c>
      <c r="AT15" s="277"/>
      <c r="AU15" s="449"/>
      <c r="AV15" s="533">
        <f>IF(AT15&gt;0,AU15,AV14)</f>
        <v>0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188</v>
      </c>
      <c r="C16" s="206">
        <f t="shared" si="18"/>
        <v>4045.0322580645161</v>
      </c>
      <c r="D16">
        <f t="shared" si="19"/>
        <v>188</v>
      </c>
      <c r="E16" s="206">
        <f t="shared" si="18"/>
        <v>4045.0322580645161</v>
      </c>
      <c r="F16">
        <f t="shared" si="20"/>
        <v>188</v>
      </c>
      <c r="G16" s="206">
        <f t="shared" si="1"/>
        <v>4045.0322580645161</v>
      </c>
      <c r="H16" s="206">
        <f t="shared" si="21"/>
        <v>188</v>
      </c>
      <c r="I16" s="206">
        <f t="shared" si="2"/>
        <v>4045.0322580645161</v>
      </c>
      <c r="J16" s="206">
        <f t="shared" si="22"/>
        <v>188</v>
      </c>
      <c r="K16" s="206">
        <f t="shared" si="3"/>
        <v>4045.0322580645161</v>
      </c>
      <c r="L16" s="206">
        <f t="shared" si="23"/>
        <v>188</v>
      </c>
      <c r="M16" s="206">
        <f t="shared" si="4"/>
        <v>4045.0322580645161</v>
      </c>
      <c r="N16" s="206">
        <f t="shared" si="24"/>
        <v>188</v>
      </c>
      <c r="O16" s="206">
        <f t="shared" si="5"/>
        <v>4045.0322580645161</v>
      </c>
      <c r="P16" s="206">
        <f t="shared" si="25"/>
        <v>188</v>
      </c>
      <c r="Q16" s="206">
        <f t="shared" si="6"/>
        <v>4045.0322580645161</v>
      </c>
      <c r="R16" s="206">
        <f t="shared" si="26"/>
        <v>188</v>
      </c>
      <c r="S16" s="206">
        <f t="shared" si="7"/>
        <v>4045.0322580645161</v>
      </c>
      <c r="T16" s="206">
        <f t="shared" si="27"/>
        <v>188</v>
      </c>
      <c r="U16" s="206">
        <f t="shared" si="8"/>
        <v>4045.0322580645161</v>
      </c>
      <c r="V16" s="206">
        <f t="shared" si="28"/>
        <v>188</v>
      </c>
      <c r="W16" s="206">
        <f t="shared" si="9"/>
        <v>4045.0322580645161</v>
      </c>
      <c r="X16" s="35">
        <f t="shared" si="10"/>
        <v>0.6064516129032258</v>
      </c>
      <c r="Y16" s="36">
        <f t="shared" si="29"/>
        <v>44495.354838709674</v>
      </c>
      <c r="Z16" s="206">
        <f>'B5'!C15</f>
        <v>194</v>
      </c>
      <c r="AA16" s="206">
        <f t="shared" si="30"/>
        <v>1940</v>
      </c>
      <c r="AB16" s="206">
        <f t="shared" si="31"/>
        <v>194</v>
      </c>
      <c r="AC16" s="206">
        <f t="shared" si="30"/>
        <v>1940</v>
      </c>
      <c r="AD16" s="206">
        <f t="shared" si="32"/>
        <v>194</v>
      </c>
      <c r="AE16" s="206">
        <f t="shared" si="11"/>
        <v>1940</v>
      </c>
      <c r="AF16" s="206">
        <f t="shared" si="33"/>
        <v>194</v>
      </c>
      <c r="AG16" s="206">
        <f t="shared" si="12"/>
        <v>1940</v>
      </c>
      <c r="AH16" s="206">
        <f t="shared" si="34"/>
        <v>194</v>
      </c>
      <c r="AI16" s="206">
        <f t="shared" si="13"/>
        <v>1940</v>
      </c>
      <c r="AJ16" s="206">
        <f t="shared" si="35"/>
        <v>194</v>
      </c>
      <c r="AK16" s="206">
        <f t="shared" si="14"/>
        <v>1940</v>
      </c>
      <c r="AL16" s="206">
        <f t="shared" si="36"/>
        <v>194</v>
      </c>
      <c r="AM16" s="206">
        <f t="shared" si="15"/>
        <v>1940</v>
      </c>
      <c r="AN16" s="35">
        <f t="shared" si="16"/>
        <v>0.69285714285714284</v>
      </c>
      <c r="AO16" s="36">
        <f t="shared" si="17"/>
        <v>13580</v>
      </c>
      <c r="AQ16" s="226">
        <f t="shared" si="37"/>
        <v>0.62466768676680295</v>
      </c>
      <c r="AR16" s="38">
        <f t="shared" si="41"/>
        <v>58075.354838709674</v>
      </c>
      <c r="AS16" s="200">
        <f>SUM(AR16-AR15-AT16)</f>
        <v>0</v>
      </c>
      <c r="AT16" s="277"/>
      <c r="AU16" s="449"/>
      <c r="AV16" s="533">
        <f>IF(AT16&gt;0,AU16,AV15)</f>
        <v>0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188</v>
      </c>
      <c r="C17" s="206">
        <f t="shared" si="18"/>
        <v>4045.0322580645161</v>
      </c>
      <c r="D17">
        <f t="shared" si="19"/>
        <v>188</v>
      </c>
      <c r="E17" s="206">
        <f t="shared" si="18"/>
        <v>4045.0322580645161</v>
      </c>
      <c r="F17">
        <f t="shared" si="20"/>
        <v>188</v>
      </c>
      <c r="G17" s="206">
        <f t="shared" si="1"/>
        <v>4045.0322580645161</v>
      </c>
      <c r="H17" s="206">
        <f t="shared" si="21"/>
        <v>188</v>
      </c>
      <c r="I17" s="206">
        <f t="shared" si="2"/>
        <v>4045.0322580645161</v>
      </c>
      <c r="J17" s="206">
        <f t="shared" si="22"/>
        <v>188</v>
      </c>
      <c r="K17" s="206">
        <f t="shared" si="3"/>
        <v>4045.0322580645161</v>
      </c>
      <c r="L17" s="206">
        <f t="shared" si="23"/>
        <v>188</v>
      </c>
      <c r="M17" s="206">
        <f t="shared" si="4"/>
        <v>4045.0322580645161</v>
      </c>
      <c r="N17" s="206">
        <f t="shared" si="24"/>
        <v>188</v>
      </c>
      <c r="O17" s="206">
        <f t="shared" si="5"/>
        <v>4045.0322580645161</v>
      </c>
      <c r="P17" s="206">
        <f t="shared" si="25"/>
        <v>188</v>
      </c>
      <c r="Q17" s="206">
        <f t="shared" si="6"/>
        <v>4045.0322580645161</v>
      </c>
      <c r="R17" s="206">
        <f t="shared" si="26"/>
        <v>188</v>
      </c>
      <c r="S17" s="206">
        <f t="shared" si="7"/>
        <v>4045.0322580645161</v>
      </c>
      <c r="T17" s="206">
        <f t="shared" si="27"/>
        <v>188</v>
      </c>
      <c r="U17" s="206">
        <f t="shared" si="8"/>
        <v>4045.0322580645161</v>
      </c>
      <c r="V17" s="206">
        <f t="shared" si="28"/>
        <v>188</v>
      </c>
      <c r="W17" s="206">
        <f t="shared" si="9"/>
        <v>4045.0322580645161</v>
      </c>
      <c r="X17" s="35">
        <f t="shared" si="10"/>
        <v>0.6064516129032258</v>
      </c>
      <c r="Y17" s="36">
        <f t="shared" si="29"/>
        <v>44495.354838709674</v>
      </c>
      <c r="Z17" s="206">
        <f>'B5'!C16</f>
        <v>194</v>
      </c>
      <c r="AA17" s="206">
        <f t="shared" si="30"/>
        <v>1940</v>
      </c>
      <c r="AB17" s="206">
        <f t="shared" si="31"/>
        <v>194</v>
      </c>
      <c r="AC17" s="206">
        <f t="shared" si="30"/>
        <v>1940</v>
      </c>
      <c r="AD17" s="206">
        <f t="shared" si="32"/>
        <v>194</v>
      </c>
      <c r="AE17" s="206">
        <f t="shared" si="11"/>
        <v>1940</v>
      </c>
      <c r="AF17" s="206">
        <f t="shared" si="33"/>
        <v>194</v>
      </c>
      <c r="AG17" s="206">
        <f t="shared" si="12"/>
        <v>1940</v>
      </c>
      <c r="AH17" s="206">
        <f t="shared" si="34"/>
        <v>194</v>
      </c>
      <c r="AI17" s="206">
        <f t="shared" si="13"/>
        <v>1940</v>
      </c>
      <c r="AJ17" s="206">
        <f t="shared" si="35"/>
        <v>194</v>
      </c>
      <c r="AK17" s="206">
        <f t="shared" si="14"/>
        <v>1940</v>
      </c>
      <c r="AL17" s="206">
        <f t="shared" si="36"/>
        <v>194</v>
      </c>
      <c r="AM17" s="206">
        <f t="shared" si="15"/>
        <v>1940</v>
      </c>
      <c r="AN17" s="35">
        <f t="shared" si="16"/>
        <v>0.69285714285714284</v>
      </c>
      <c r="AO17" s="36">
        <f>SUM(AA17+AC17+AE17+AG17+AI17+AK17+AM17)</f>
        <v>13580</v>
      </c>
      <c r="AQ17" s="226">
        <f t="shared" si="37"/>
        <v>0.62466768676680295</v>
      </c>
      <c r="AR17" s="38">
        <f t="shared" si="41"/>
        <v>58075.354838709674</v>
      </c>
      <c r="AS17" s="200">
        <f t="shared" si="38"/>
        <v>0</v>
      </c>
      <c r="AT17" s="365"/>
      <c r="AU17" s="492"/>
      <c r="AV17" s="533">
        <f t="shared" si="42"/>
        <v>0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188</v>
      </c>
      <c r="C18" s="206">
        <f t="shared" si="18"/>
        <v>4045.0322580645161</v>
      </c>
      <c r="D18">
        <f t="shared" si="19"/>
        <v>188</v>
      </c>
      <c r="E18" s="206">
        <f t="shared" si="18"/>
        <v>4045.0322580645161</v>
      </c>
      <c r="F18">
        <f t="shared" si="20"/>
        <v>188</v>
      </c>
      <c r="G18" s="206">
        <f t="shared" si="1"/>
        <v>4045.0322580645161</v>
      </c>
      <c r="H18" s="206">
        <f t="shared" si="21"/>
        <v>188</v>
      </c>
      <c r="I18" s="206">
        <f t="shared" si="2"/>
        <v>4045.0322580645161</v>
      </c>
      <c r="J18" s="206">
        <f t="shared" si="22"/>
        <v>188</v>
      </c>
      <c r="K18" s="206">
        <f t="shared" si="3"/>
        <v>4045.0322580645161</v>
      </c>
      <c r="L18" s="206">
        <f t="shared" si="23"/>
        <v>188</v>
      </c>
      <c r="M18" s="206">
        <f t="shared" si="4"/>
        <v>4045.0322580645161</v>
      </c>
      <c r="N18" s="206">
        <f t="shared" si="24"/>
        <v>188</v>
      </c>
      <c r="O18" s="206">
        <f t="shared" si="5"/>
        <v>4045.0322580645161</v>
      </c>
      <c r="P18" s="206">
        <f t="shared" si="25"/>
        <v>188</v>
      </c>
      <c r="Q18" s="206">
        <f t="shared" si="6"/>
        <v>4045.0322580645161</v>
      </c>
      <c r="R18" s="206">
        <f t="shared" si="26"/>
        <v>188</v>
      </c>
      <c r="S18" s="206">
        <f t="shared" si="7"/>
        <v>4045.0322580645161</v>
      </c>
      <c r="T18" s="206">
        <f t="shared" si="27"/>
        <v>188</v>
      </c>
      <c r="U18" s="206">
        <f t="shared" si="8"/>
        <v>4045.0322580645161</v>
      </c>
      <c r="V18" s="206">
        <f t="shared" si="28"/>
        <v>188</v>
      </c>
      <c r="W18" s="206">
        <f t="shared" si="9"/>
        <v>4045.0322580645161</v>
      </c>
      <c r="X18" s="35">
        <f t="shared" si="10"/>
        <v>0.6064516129032258</v>
      </c>
      <c r="Y18" s="36">
        <f t="shared" si="29"/>
        <v>44495.354838709674</v>
      </c>
      <c r="Z18" s="206">
        <f>'B5'!C17</f>
        <v>194</v>
      </c>
      <c r="AA18" s="206">
        <f t="shared" si="30"/>
        <v>1940</v>
      </c>
      <c r="AB18" s="206">
        <f t="shared" si="31"/>
        <v>194</v>
      </c>
      <c r="AC18" s="206">
        <f t="shared" si="30"/>
        <v>1940</v>
      </c>
      <c r="AD18" s="206">
        <f t="shared" si="32"/>
        <v>194</v>
      </c>
      <c r="AE18" s="206">
        <f t="shared" si="11"/>
        <v>1940</v>
      </c>
      <c r="AF18" s="206">
        <f t="shared" si="33"/>
        <v>194</v>
      </c>
      <c r="AG18" s="206">
        <f t="shared" si="12"/>
        <v>1940</v>
      </c>
      <c r="AH18" s="206">
        <f t="shared" si="34"/>
        <v>194</v>
      </c>
      <c r="AI18" s="206">
        <f t="shared" si="13"/>
        <v>1940</v>
      </c>
      <c r="AJ18" s="206">
        <f t="shared" si="35"/>
        <v>194</v>
      </c>
      <c r="AK18" s="206">
        <f t="shared" si="14"/>
        <v>1940</v>
      </c>
      <c r="AL18" s="206">
        <f t="shared" si="36"/>
        <v>194</v>
      </c>
      <c r="AM18" s="206">
        <f t="shared" si="15"/>
        <v>1940</v>
      </c>
      <c r="AN18" s="35">
        <f t="shared" si="16"/>
        <v>0.69285714285714284</v>
      </c>
      <c r="AO18" s="36">
        <f t="shared" si="17"/>
        <v>13580</v>
      </c>
      <c r="AQ18" s="226">
        <f t="shared" si="37"/>
        <v>0.62466768676680295</v>
      </c>
      <c r="AR18" s="38">
        <f t="shared" si="41"/>
        <v>58075.354838709674</v>
      </c>
      <c r="AS18" s="200">
        <f t="shared" si="38"/>
        <v>0</v>
      </c>
      <c r="AT18" s="277"/>
      <c r="AU18" s="449"/>
      <c r="AV18" s="533">
        <f>IF(AT18&gt;0,AU18,AV17)</f>
        <v>0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188</v>
      </c>
      <c r="C19" s="206">
        <f t="shared" si="18"/>
        <v>4045.0322580645161</v>
      </c>
      <c r="D19">
        <f t="shared" si="19"/>
        <v>188</v>
      </c>
      <c r="E19" s="206">
        <f t="shared" si="18"/>
        <v>4045.0322580645161</v>
      </c>
      <c r="F19">
        <f t="shared" si="20"/>
        <v>188</v>
      </c>
      <c r="G19" s="206">
        <f t="shared" si="1"/>
        <v>4045.0322580645161</v>
      </c>
      <c r="H19" s="206">
        <f t="shared" si="21"/>
        <v>188</v>
      </c>
      <c r="I19" s="206">
        <f t="shared" si="2"/>
        <v>4045.0322580645161</v>
      </c>
      <c r="J19" s="206">
        <f t="shared" si="22"/>
        <v>188</v>
      </c>
      <c r="K19" s="206">
        <f t="shared" si="3"/>
        <v>4045.0322580645161</v>
      </c>
      <c r="L19" s="206">
        <f t="shared" si="23"/>
        <v>188</v>
      </c>
      <c r="M19" s="206">
        <f t="shared" si="4"/>
        <v>4045.0322580645161</v>
      </c>
      <c r="N19" s="206">
        <f t="shared" si="24"/>
        <v>188</v>
      </c>
      <c r="O19" s="206">
        <f t="shared" si="5"/>
        <v>4045.0322580645161</v>
      </c>
      <c r="P19" s="206">
        <f t="shared" si="25"/>
        <v>188</v>
      </c>
      <c r="Q19" s="206">
        <f t="shared" si="6"/>
        <v>4045.0322580645161</v>
      </c>
      <c r="R19" s="206">
        <f t="shared" si="26"/>
        <v>188</v>
      </c>
      <c r="S19" s="206">
        <f t="shared" si="7"/>
        <v>4045.0322580645161</v>
      </c>
      <c r="T19" s="206">
        <f t="shared" si="27"/>
        <v>188</v>
      </c>
      <c r="U19" s="206">
        <f t="shared" si="8"/>
        <v>4045.0322580645161</v>
      </c>
      <c r="V19" s="206">
        <f t="shared" si="28"/>
        <v>188</v>
      </c>
      <c r="W19" s="206">
        <f t="shared" si="9"/>
        <v>4045.0322580645161</v>
      </c>
      <c r="X19" s="35">
        <f t="shared" si="10"/>
        <v>0.6064516129032258</v>
      </c>
      <c r="Y19" s="36">
        <f t="shared" si="29"/>
        <v>44495.354838709674</v>
      </c>
      <c r="Z19" s="206">
        <f>'B5'!C18</f>
        <v>194</v>
      </c>
      <c r="AA19" s="206">
        <f t="shared" si="30"/>
        <v>1940</v>
      </c>
      <c r="AB19" s="206">
        <f t="shared" si="31"/>
        <v>194</v>
      </c>
      <c r="AC19" s="206">
        <f t="shared" si="30"/>
        <v>1940</v>
      </c>
      <c r="AD19" s="206">
        <f t="shared" si="32"/>
        <v>194</v>
      </c>
      <c r="AE19" s="206">
        <f t="shared" si="11"/>
        <v>1940</v>
      </c>
      <c r="AF19" s="206">
        <f t="shared" si="33"/>
        <v>194</v>
      </c>
      <c r="AG19" s="206">
        <f t="shared" si="12"/>
        <v>1940</v>
      </c>
      <c r="AH19" s="206">
        <f t="shared" si="34"/>
        <v>194</v>
      </c>
      <c r="AI19" s="206">
        <f t="shared" si="13"/>
        <v>1940</v>
      </c>
      <c r="AJ19" s="206">
        <f t="shared" si="35"/>
        <v>194</v>
      </c>
      <c r="AK19" s="206">
        <f t="shared" si="14"/>
        <v>1940</v>
      </c>
      <c r="AL19" s="206">
        <f t="shared" si="36"/>
        <v>194</v>
      </c>
      <c r="AM19" s="206">
        <f t="shared" si="15"/>
        <v>1940</v>
      </c>
      <c r="AN19" s="35">
        <f t="shared" si="16"/>
        <v>0.69285714285714284</v>
      </c>
      <c r="AO19" s="36">
        <f t="shared" si="17"/>
        <v>13580</v>
      </c>
      <c r="AQ19" s="226">
        <f t="shared" si="37"/>
        <v>0.62466768676680295</v>
      </c>
      <c r="AR19" s="38">
        <f t="shared" si="41"/>
        <v>58075.354838709674</v>
      </c>
      <c r="AS19" s="200">
        <f t="shared" si="38"/>
        <v>0</v>
      </c>
      <c r="AT19" s="277"/>
      <c r="AU19" s="449"/>
      <c r="AV19" s="533">
        <f t="shared" si="42"/>
        <v>0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188</v>
      </c>
      <c r="C20" s="206">
        <f t="shared" si="18"/>
        <v>4045.0322580645161</v>
      </c>
      <c r="D20">
        <f t="shared" si="19"/>
        <v>188</v>
      </c>
      <c r="E20" s="206">
        <f t="shared" si="18"/>
        <v>4045.0322580645161</v>
      </c>
      <c r="F20">
        <f t="shared" si="20"/>
        <v>188</v>
      </c>
      <c r="G20" s="206">
        <f t="shared" si="1"/>
        <v>4045.0322580645161</v>
      </c>
      <c r="H20" s="206">
        <f t="shared" si="21"/>
        <v>188</v>
      </c>
      <c r="I20" s="206">
        <f t="shared" si="2"/>
        <v>4045.0322580645161</v>
      </c>
      <c r="J20" s="206">
        <f t="shared" si="22"/>
        <v>188</v>
      </c>
      <c r="K20" s="206">
        <f t="shared" si="3"/>
        <v>4045.0322580645161</v>
      </c>
      <c r="L20" s="206">
        <f t="shared" si="23"/>
        <v>188</v>
      </c>
      <c r="M20" s="206">
        <f t="shared" si="4"/>
        <v>4045.0322580645161</v>
      </c>
      <c r="N20" s="206">
        <f t="shared" si="24"/>
        <v>188</v>
      </c>
      <c r="O20" s="206">
        <f t="shared" si="5"/>
        <v>4045.0322580645161</v>
      </c>
      <c r="P20" s="206">
        <f t="shared" si="25"/>
        <v>188</v>
      </c>
      <c r="Q20" s="206">
        <f t="shared" si="6"/>
        <v>4045.0322580645161</v>
      </c>
      <c r="R20" s="206">
        <f t="shared" si="26"/>
        <v>188</v>
      </c>
      <c r="S20" s="206">
        <f t="shared" si="7"/>
        <v>4045.0322580645161</v>
      </c>
      <c r="T20" s="206">
        <f t="shared" si="27"/>
        <v>188</v>
      </c>
      <c r="U20" s="206">
        <f t="shared" si="8"/>
        <v>4045.0322580645161</v>
      </c>
      <c r="V20" s="206">
        <f t="shared" si="28"/>
        <v>188</v>
      </c>
      <c r="W20" s="206">
        <f t="shared" si="9"/>
        <v>4045.0322580645161</v>
      </c>
      <c r="X20" s="35">
        <f t="shared" si="10"/>
        <v>0.6064516129032258</v>
      </c>
      <c r="Y20" s="36">
        <f t="shared" si="29"/>
        <v>44495.354838709674</v>
      </c>
      <c r="Z20" s="206">
        <f>'B5'!C19</f>
        <v>194</v>
      </c>
      <c r="AA20" s="206">
        <f t="shared" si="30"/>
        <v>1940</v>
      </c>
      <c r="AB20" s="206">
        <f t="shared" si="31"/>
        <v>194</v>
      </c>
      <c r="AC20" s="206">
        <f t="shared" si="30"/>
        <v>1940</v>
      </c>
      <c r="AD20" s="206">
        <f t="shared" si="32"/>
        <v>194</v>
      </c>
      <c r="AE20" s="206">
        <f t="shared" si="11"/>
        <v>1940</v>
      </c>
      <c r="AF20" s="206">
        <f t="shared" si="33"/>
        <v>194</v>
      </c>
      <c r="AG20" s="206">
        <f t="shared" si="12"/>
        <v>1940</v>
      </c>
      <c r="AH20" s="206">
        <f t="shared" si="34"/>
        <v>194</v>
      </c>
      <c r="AI20" s="206">
        <f t="shared" si="13"/>
        <v>1940</v>
      </c>
      <c r="AJ20" s="206">
        <f t="shared" si="35"/>
        <v>194</v>
      </c>
      <c r="AK20" s="206">
        <f t="shared" si="14"/>
        <v>1940</v>
      </c>
      <c r="AL20" s="206">
        <f t="shared" si="36"/>
        <v>194</v>
      </c>
      <c r="AM20" s="206">
        <f t="shared" si="15"/>
        <v>1940</v>
      </c>
      <c r="AN20" s="35">
        <f t="shared" si="16"/>
        <v>0.69285714285714284</v>
      </c>
      <c r="AO20" s="36">
        <f t="shared" si="17"/>
        <v>13580</v>
      </c>
      <c r="AQ20" s="226">
        <f t="shared" si="37"/>
        <v>0.62466768676680295</v>
      </c>
      <c r="AR20" s="38">
        <f t="shared" si="41"/>
        <v>58075.354838709674</v>
      </c>
      <c r="AS20" s="200">
        <f t="shared" si="38"/>
        <v>0</v>
      </c>
      <c r="AT20" s="277"/>
      <c r="AU20" s="449"/>
      <c r="AV20" s="533">
        <f t="shared" si="42"/>
        <v>0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188</v>
      </c>
      <c r="C21" s="206">
        <f t="shared" si="18"/>
        <v>4045.0322580645161</v>
      </c>
      <c r="D21">
        <f t="shared" si="19"/>
        <v>188</v>
      </c>
      <c r="E21" s="206">
        <f t="shared" si="18"/>
        <v>4045.0322580645161</v>
      </c>
      <c r="F21">
        <f t="shared" si="20"/>
        <v>188</v>
      </c>
      <c r="G21" s="206">
        <f t="shared" si="1"/>
        <v>4045.0322580645161</v>
      </c>
      <c r="H21" s="206">
        <f t="shared" si="21"/>
        <v>188</v>
      </c>
      <c r="I21" s="206">
        <f t="shared" si="2"/>
        <v>4045.0322580645161</v>
      </c>
      <c r="J21" s="206">
        <f t="shared" si="22"/>
        <v>188</v>
      </c>
      <c r="K21" s="206">
        <f t="shared" si="3"/>
        <v>4045.0322580645161</v>
      </c>
      <c r="L21" s="206">
        <f t="shared" si="23"/>
        <v>188</v>
      </c>
      <c r="M21" s="206">
        <f t="shared" si="4"/>
        <v>4045.0322580645161</v>
      </c>
      <c r="N21" s="206">
        <f t="shared" si="24"/>
        <v>188</v>
      </c>
      <c r="O21" s="206">
        <f t="shared" si="5"/>
        <v>4045.0322580645161</v>
      </c>
      <c r="P21" s="206">
        <f t="shared" si="25"/>
        <v>188</v>
      </c>
      <c r="Q21" s="206">
        <f t="shared" si="6"/>
        <v>4045.0322580645161</v>
      </c>
      <c r="R21" s="206">
        <f t="shared" si="26"/>
        <v>188</v>
      </c>
      <c r="S21" s="206">
        <f t="shared" si="7"/>
        <v>4045.0322580645161</v>
      </c>
      <c r="T21" s="206">
        <f t="shared" si="27"/>
        <v>188</v>
      </c>
      <c r="U21" s="206">
        <f t="shared" si="8"/>
        <v>4045.0322580645161</v>
      </c>
      <c r="V21" s="206">
        <f t="shared" si="28"/>
        <v>188</v>
      </c>
      <c r="W21" s="206">
        <f t="shared" si="9"/>
        <v>4045.0322580645161</v>
      </c>
      <c r="X21" s="35">
        <f t="shared" si="10"/>
        <v>0.6064516129032258</v>
      </c>
      <c r="Y21" s="36">
        <f t="shared" si="29"/>
        <v>44495.354838709674</v>
      </c>
      <c r="Z21" s="206">
        <f>'B5'!C20</f>
        <v>194</v>
      </c>
      <c r="AA21" s="206">
        <f t="shared" si="30"/>
        <v>1940</v>
      </c>
      <c r="AB21" s="206">
        <f t="shared" si="31"/>
        <v>194</v>
      </c>
      <c r="AC21" s="206">
        <f t="shared" si="30"/>
        <v>1940</v>
      </c>
      <c r="AD21" s="206">
        <f t="shared" si="32"/>
        <v>194</v>
      </c>
      <c r="AE21" s="206">
        <f t="shared" si="11"/>
        <v>1940</v>
      </c>
      <c r="AF21" s="206">
        <f t="shared" si="33"/>
        <v>194</v>
      </c>
      <c r="AG21" s="206">
        <f t="shared" si="12"/>
        <v>1940</v>
      </c>
      <c r="AH21" s="206">
        <f t="shared" si="34"/>
        <v>194</v>
      </c>
      <c r="AI21" s="206">
        <f t="shared" si="13"/>
        <v>1940</v>
      </c>
      <c r="AJ21" s="206">
        <f t="shared" si="35"/>
        <v>194</v>
      </c>
      <c r="AK21" s="206">
        <f t="shared" si="14"/>
        <v>1940</v>
      </c>
      <c r="AL21" s="206">
        <f t="shared" si="36"/>
        <v>194</v>
      </c>
      <c r="AM21" s="206">
        <f t="shared" si="15"/>
        <v>1940</v>
      </c>
      <c r="AN21" s="35">
        <f t="shared" si="16"/>
        <v>0.69285714285714284</v>
      </c>
      <c r="AO21" s="36">
        <f t="shared" si="17"/>
        <v>13580</v>
      </c>
      <c r="AQ21" s="226">
        <f t="shared" si="37"/>
        <v>0.62466768676680295</v>
      </c>
      <c r="AR21" s="38">
        <f t="shared" si="41"/>
        <v>58075.354838709674</v>
      </c>
      <c r="AS21" s="200">
        <f>SUM(AR21-AR20-AT21)</f>
        <v>0</v>
      </c>
      <c r="AT21" s="277"/>
      <c r="AU21" s="449"/>
      <c r="AV21" s="533">
        <f t="shared" si="42"/>
        <v>0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188</v>
      </c>
      <c r="C22" s="206">
        <f t="shared" si="18"/>
        <v>4045.0322580645161</v>
      </c>
      <c r="D22">
        <f t="shared" si="19"/>
        <v>188</v>
      </c>
      <c r="E22" s="206">
        <f t="shared" si="18"/>
        <v>4045.0322580645161</v>
      </c>
      <c r="F22">
        <f t="shared" si="20"/>
        <v>188</v>
      </c>
      <c r="G22" s="206">
        <f t="shared" si="1"/>
        <v>4045.0322580645161</v>
      </c>
      <c r="H22" s="206">
        <f t="shared" si="21"/>
        <v>188</v>
      </c>
      <c r="I22" s="206">
        <f t="shared" si="2"/>
        <v>4045.0322580645161</v>
      </c>
      <c r="J22" s="206">
        <f t="shared" si="22"/>
        <v>188</v>
      </c>
      <c r="K22" s="206">
        <f t="shared" si="3"/>
        <v>4045.0322580645161</v>
      </c>
      <c r="L22" s="206">
        <f t="shared" si="23"/>
        <v>188</v>
      </c>
      <c r="M22" s="206">
        <f t="shared" si="4"/>
        <v>4045.0322580645161</v>
      </c>
      <c r="N22" s="206">
        <f t="shared" si="24"/>
        <v>188</v>
      </c>
      <c r="O22" s="206">
        <f t="shared" si="5"/>
        <v>4045.0322580645161</v>
      </c>
      <c r="P22" s="206">
        <f t="shared" si="25"/>
        <v>188</v>
      </c>
      <c r="Q22" s="206">
        <f t="shared" si="6"/>
        <v>4045.0322580645161</v>
      </c>
      <c r="R22" s="206">
        <f t="shared" si="26"/>
        <v>188</v>
      </c>
      <c r="S22" s="206">
        <f t="shared" si="7"/>
        <v>4045.0322580645161</v>
      </c>
      <c r="T22" s="206">
        <f t="shared" si="27"/>
        <v>188</v>
      </c>
      <c r="U22" s="206">
        <f t="shared" si="8"/>
        <v>4045.0322580645161</v>
      </c>
      <c r="V22" s="206">
        <f t="shared" si="28"/>
        <v>188</v>
      </c>
      <c r="W22" s="206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6">
        <f>'B5'!C21</f>
        <v>194</v>
      </c>
      <c r="AA22" s="206">
        <f t="shared" si="30"/>
        <v>1940</v>
      </c>
      <c r="AB22" s="206">
        <f t="shared" si="31"/>
        <v>194</v>
      </c>
      <c r="AC22" s="206">
        <f t="shared" si="30"/>
        <v>1940</v>
      </c>
      <c r="AD22" s="206">
        <f t="shared" si="32"/>
        <v>194</v>
      </c>
      <c r="AE22" s="206">
        <f t="shared" si="11"/>
        <v>1940</v>
      </c>
      <c r="AF22" s="206">
        <f t="shared" si="33"/>
        <v>194</v>
      </c>
      <c r="AG22" s="206">
        <f t="shared" si="12"/>
        <v>1940</v>
      </c>
      <c r="AH22" s="206">
        <f t="shared" si="34"/>
        <v>194</v>
      </c>
      <c r="AI22" s="206">
        <f t="shared" si="13"/>
        <v>1940</v>
      </c>
      <c r="AJ22" s="206">
        <f t="shared" si="35"/>
        <v>194</v>
      </c>
      <c r="AK22" s="206">
        <f t="shared" si="14"/>
        <v>1940</v>
      </c>
      <c r="AL22" s="206">
        <f t="shared" si="36"/>
        <v>194</v>
      </c>
      <c r="AM22" s="206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6">
        <f t="shared" si="37"/>
        <v>0.62466768676680295</v>
      </c>
      <c r="AR22" s="38">
        <f t="shared" si="41"/>
        <v>58075.354838709674</v>
      </c>
      <c r="AS22" s="200">
        <f t="shared" si="38"/>
        <v>0</v>
      </c>
      <c r="AT22" s="277"/>
      <c r="AU22" s="449"/>
      <c r="AV22" s="533">
        <f t="shared" si="42"/>
        <v>0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188</v>
      </c>
      <c r="C23" s="206">
        <f t="shared" si="18"/>
        <v>4045.0322580645161</v>
      </c>
      <c r="D23">
        <f t="shared" si="19"/>
        <v>188</v>
      </c>
      <c r="E23" s="206">
        <f t="shared" si="18"/>
        <v>4045.0322580645161</v>
      </c>
      <c r="F23">
        <f t="shared" si="20"/>
        <v>188</v>
      </c>
      <c r="G23" s="206">
        <f t="shared" si="1"/>
        <v>4045.0322580645161</v>
      </c>
      <c r="H23" s="206">
        <f t="shared" si="21"/>
        <v>188</v>
      </c>
      <c r="I23" s="206">
        <f t="shared" si="2"/>
        <v>4045.0322580645161</v>
      </c>
      <c r="J23" s="206">
        <f t="shared" si="22"/>
        <v>188</v>
      </c>
      <c r="K23" s="206">
        <f t="shared" si="3"/>
        <v>4045.0322580645161</v>
      </c>
      <c r="L23" s="206">
        <f t="shared" si="23"/>
        <v>188</v>
      </c>
      <c r="M23" s="206">
        <f t="shared" si="4"/>
        <v>4045.0322580645161</v>
      </c>
      <c r="N23" s="206">
        <f t="shared" si="24"/>
        <v>188</v>
      </c>
      <c r="O23" s="206">
        <f t="shared" si="5"/>
        <v>4045.0322580645161</v>
      </c>
      <c r="P23" s="206">
        <f t="shared" si="25"/>
        <v>188</v>
      </c>
      <c r="Q23" s="206">
        <f t="shared" si="6"/>
        <v>4045.0322580645161</v>
      </c>
      <c r="R23" s="206">
        <f t="shared" si="26"/>
        <v>188</v>
      </c>
      <c r="S23" s="206">
        <f t="shared" si="7"/>
        <v>4045.0322580645161</v>
      </c>
      <c r="T23" s="206">
        <f t="shared" si="27"/>
        <v>188</v>
      </c>
      <c r="U23" s="206">
        <f t="shared" si="8"/>
        <v>4045.0322580645161</v>
      </c>
      <c r="V23" s="206">
        <f t="shared" si="28"/>
        <v>188</v>
      </c>
      <c r="W23" s="206">
        <f t="shared" si="9"/>
        <v>4045.0322580645161</v>
      </c>
      <c r="X23" s="35">
        <f t="shared" si="10"/>
        <v>0.6064516129032258</v>
      </c>
      <c r="Y23" s="36">
        <f t="shared" si="29"/>
        <v>44495.354838709674</v>
      </c>
      <c r="Z23" s="206">
        <f>'B5'!C22</f>
        <v>194</v>
      </c>
      <c r="AA23" s="206">
        <f t="shared" si="30"/>
        <v>1940</v>
      </c>
      <c r="AB23" s="206">
        <f t="shared" si="31"/>
        <v>194</v>
      </c>
      <c r="AC23" s="206">
        <f t="shared" si="30"/>
        <v>1940</v>
      </c>
      <c r="AD23" s="206">
        <f t="shared" si="32"/>
        <v>194</v>
      </c>
      <c r="AE23" s="206">
        <f t="shared" si="11"/>
        <v>1940</v>
      </c>
      <c r="AF23" s="206">
        <f t="shared" si="33"/>
        <v>194</v>
      </c>
      <c r="AG23" s="206">
        <f t="shared" si="12"/>
        <v>1940</v>
      </c>
      <c r="AH23" s="206">
        <f t="shared" si="34"/>
        <v>194</v>
      </c>
      <c r="AI23" s="206">
        <f t="shared" si="13"/>
        <v>1940</v>
      </c>
      <c r="AJ23" s="206">
        <f t="shared" si="35"/>
        <v>194</v>
      </c>
      <c r="AK23" s="206">
        <f t="shared" si="14"/>
        <v>1940</v>
      </c>
      <c r="AL23" s="206">
        <f t="shared" si="36"/>
        <v>194</v>
      </c>
      <c r="AM23" s="206">
        <f t="shared" si="15"/>
        <v>1940</v>
      </c>
      <c r="AN23" s="35">
        <f t="shared" si="16"/>
        <v>0.69285714285714284</v>
      </c>
      <c r="AO23" s="36">
        <f t="shared" si="17"/>
        <v>13580</v>
      </c>
      <c r="AQ23" s="226">
        <f t="shared" si="37"/>
        <v>0.62466768676680295</v>
      </c>
      <c r="AR23" s="38">
        <f t="shared" si="41"/>
        <v>58075.354838709674</v>
      </c>
      <c r="AS23" s="200">
        <f t="shared" si="38"/>
        <v>0</v>
      </c>
      <c r="AT23" s="277"/>
      <c r="AU23" s="449"/>
      <c r="AV23" s="533">
        <f t="shared" si="42"/>
        <v>0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188</v>
      </c>
      <c r="C24" s="206">
        <f t="shared" si="18"/>
        <v>4045.0322580645161</v>
      </c>
      <c r="D24">
        <f t="shared" si="19"/>
        <v>188</v>
      </c>
      <c r="E24" s="206">
        <f t="shared" si="18"/>
        <v>4045.0322580645161</v>
      </c>
      <c r="F24">
        <f t="shared" si="20"/>
        <v>188</v>
      </c>
      <c r="G24" s="206">
        <f t="shared" si="1"/>
        <v>4045.0322580645161</v>
      </c>
      <c r="H24" s="206">
        <f t="shared" si="21"/>
        <v>188</v>
      </c>
      <c r="I24" s="206">
        <f t="shared" si="2"/>
        <v>4045.0322580645161</v>
      </c>
      <c r="J24" s="206">
        <f t="shared" si="22"/>
        <v>188</v>
      </c>
      <c r="K24" s="206">
        <f t="shared" si="3"/>
        <v>4045.0322580645161</v>
      </c>
      <c r="L24" s="206">
        <f t="shared" si="23"/>
        <v>188</v>
      </c>
      <c r="M24" s="206">
        <f t="shared" si="4"/>
        <v>4045.0322580645161</v>
      </c>
      <c r="N24" s="206">
        <f t="shared" si="24"/>
        <v>188</v>
      </c>
      <c r="O24" s="206">
        <f t="shared" si="5"/>
        <v>4045.0322580645161</v>
      </c>
      <c r="P24" s="206">
        <f t="shared" si="25"/>
        <v>188</v>
      </c>
      <c r="Q24" s="206">
        <f t="shared" si="6"/>
        <v>4045.0322580645161</v>
      </c>
      <c r="R24" s="206">
        <f t="shared" si="26"/>
        <v>188</v>
      </c>
      <c r="S24" s="206">
        <f t="shared" si="7"/>
        <v>4045.0322580645161</v>
      </c>
      <c r="T24" s="206">
        <f t="shared" si="27"/>
        <v>188</v>
      </c>
      <c r="U24" s="206">
        <f t="shared" si="8"/>
        <v>4045.0322580645161</v>
      </c>
      <c r="V24" s="206">
        <f t="shared" si="28"/>
        <v>188</v>
      </c>
      <c r="W24" s="206">
        <f t="shared" si="9"/>
        <v>4045.0322580645161</v>
      </c>
      <c r="X24" s="35">
        <f t="shared" si="10"/>
        <v>0.6064516129032258</v>
      </c>
      <c r="Y24" s="36">
        <f t="shared" si="29"/>
        <v>44495.354838709674</v>
      </c>
      <c r="Z24" s="206">
        <f>'B5'!C23</f>
        <v>194</v>
      </c>
      <c r="AA24" s="206">
        <f t="shared" si="30"/>
        <v>1940</v>
      </c>
      <c r="AB24" s="206">
        <f t="shared" si="31"/>
        <v>194</v>
      </c>
      <c r="AC24" s="206">
        <f t="shared" si="30"/>
        <v>1940</v>
      </c>
      <c r="AD24" s="206">
        <f t="shared" si="32"/>
        <v>194</v>
      </c>
      <c r="AE24" s="206">
        <f t="shared" si="11"/>
        <v>1940</v>
      </c>
      <c r="AF24" s="206">
        <f t="shared" si="33"/>
        <v>194</v>
      </c>
      <c r="AG24" s="206">
        <f t="shared" si="12"/>
        <v>1940</v>
      </c>
      <c r="AH24" s="206">
        <f t="shared" si="34"/>
        <v>194</v>
      </c>
      <c r="AI24" s="206">
        <f t="shared" si="13"/>
        <v>1940</v>
      </c>
      <c r="AJ24" s="206">
        <f t="shared" si="35"/>
        <v>194</v>
      </c>
      <c r="AK24" s="206">
        <f t="shared" si="14"/>
        <v>1940</v>
      </c>
      <c r="AL24" s="206">
        <f t="shared" si="36"/>
        <v>194</v>
      </c>
      <c r="AM24" s="206">
        <f t="shared" si="15"/>
        <v>1940</v>
      </c>
      <c r="AN24" s="35">
        <f t="shared" si="16"/>
        <v>0.69285714285714284</v>
      </c>
      <c r="AO24" s="36">
        <f t="shared" si="17"/>
        <v>13580</v>
      </c>
      <c r="AQ24" s="226">
        <f t="shared" si="37"/>
        <v>0.62466768676680295</v>
      </c>
      <c r="AR24" s="38">
        <f t="shared" si="41"/>
        <v>58075.354838709674</v>
      </c>
      <c r="AS24" s="200">
        <f t="shared" si="38"/>
        <v>0</v>
      </c>
      <c r="AT24" s="277"/>
      <c r="AU24" s="449"/>
      <c r="AV24" s="533">
        <f t="shared" si="42"/>
        <v>0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188</v>
      </c>
      <c r="C25" s="206">
        <f t="shared" si="18"/>
        <v>4045.0322580645161</v>
      </c>
      <c r="D25">
        <f t="shared" si="19"/>
        <v>188</v>
      </c>
      <c r="E25" s="206">
        <f t="shared" si="18"/>
        <v>4045.0322580645161</v>
      </c>
      <c r="F25">
        <f t="shared" si="20"/>
        <v>188</v>
      </c>
      <c r="G25" s="206">
        <f t="shared" si="1"/>
        <v>4045.0322580645161</v>
      </c>
      <c r="H25" s="206">
        <f t="shared" si="21"/>
        <v>188</v>
      </c>
      <c r="I25" s="206">
        <f t="shared" si="2"/>
        <v>4045.0322580645161</v>
      </c>
      <c r="J25" s="206">
        <f t="shared" si="22"/>
        <v>188</v>
      </c>
      <c r="K25" s="206">
        <f t="shared" si="3"/>
        <v>4045.0322580645161</v>
      </c>
      <c r="L25" s="206">
        <f t="shared" si="23"/>
        <v>188</v>
      </c>
      <c r="M25" s="206">
        <f t="shared" si="4"/>
        <v>4045.0322580645161</v>
      </c>
      <c r="N25" s="206">
        <f t="shared" si="24"/>
        <v>188</v>
      </c>
      <c r="O25" s="206">
        <f t="shared" si="5"/>
        <v>4045.0322580645161</v>
      </c>
      <c r="P25" s="206">
        <f t="shared" si="25"/>
        <v>188</v>
      </c>
      <c r="Q25" s="206">
        <f t="shared" si="6"/>
        <v>4045.0322580645161</v>
      </c>
      <c r="R25" s="206">
        <f t="shared" si="26"/>
        <v>188</v>
      </c>
      <c r="S25" s="206">
        <f t="shared" si="7"/>
        <v>4045.0322580645161</v>
      </c>
      <c r="T25" s="206">
        <f t="shared" si="27"/>
        <v>188</v>
      </c>
      <c r="U25" s="206">
        <f t="shared" si="8"/>
        <v>4045.0322580645161</v>
      </c>
      <c r="V25" s="206">
        <f t="shared" si="28"/>
        <v>188</v>
      </c>
      <c r="W25" s="206">
        <f t="shared" si="9"/>
        <v>4045.0322580645161</v>
      </c>
      <c r="X25" s="35">
        <f t="shared" si="10"/>
        <v>0.6064516129032258</v>
      </c>
      <c r="Y25" s="36">
        <f t="shared" si="29"/>
        <v>44495.354838709674</v>
      </c>
      <c r="Z25" s="206">
        <f>'B5'!C24</f>
        <v>194</v>
      </c>
      <c r="AA25" s="206">
        <f t="shared" si="30"/>
        <v>1940</v>
      </c>
      <c r="AB25" s="206">
        <f t="shared" si="31"/>
        <v>194</v>
      </c>
      <c r="AC25" s="206">
        <f t="shared" si="30"/>
        <v>1940</v>
      </c>
      <c r="AD25" s="206">
        <f t="shared" si="32"/>
        <v>194</v>
      </c>
      <c r="AE25" s="206">
        <f t="shared" si="11"/>
        <v>1940</v>
      </c>
      <c r="AF25" s="206">
        <f t="shared" si="33"/>
        <v>194</v>
      </c>
      <c r="AG25" s="206">
        <f t="shared" si="12"/>
        <v>1940</v>
      </c>
      <c r="AH25" s="206">
        <f t="shared" si="34"/>
        <v>194</v>
      </c>
      <c r="AI25" s="206">
        <f t="shared" si="13"/>
        <v>1940</v>
      </c>
      <c r="AJ25" s="206">
        <f t="shared" si="35"/>
        <v>194</v>
      </c>
      <c r="AK25" s="206">
        <f t="shared" si="14"/>
        <v>1940</v>
      </c>
      <c r="AL25" s="206">
        <f t="shared" si="36"/>
        <v>194</v>
      </c>
      <c r="AM25" s="206">
        <f t="shared" si="15"/>
        <v>1940</v>
      </c>
      <c r="AN25" s="35">
        <f t="shared" si="16"/>
        <v>0.69285714285714284</v>
      </c>
      <c r="AO25" s="36">
        <f t="shared" si="17"/>
        <v>13580</v>
      </c>
      <c r="AQ25" s="226">
        <f t="shared" si="37"/>
        <v>0.62466768676680295</v>
      </c>
      <c r="AR25" s="38">
        <f t="shared" si="41"/>
        <v>58075.354838709674</v>
      </c>
      <c r="AS25" s="200">
        <f t="shared" si="38"/>
        <v>0</v>
      </c>
      <c r="AT25" s="277"/>
      <c r="AU25" s="449"/>
      <c r="AV25" s="533">
        <f t="shared" si="42"/>
        <v>0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188</v>
      </c>
      <c r="C26" s="206">
        <f t="shared" si="18"/>
        <v>4045.0322580645161</v>
      </c>
      <c r="D26">
        <f t="shared" si="19"/>
        <v>188</v>
      </c>
      <c r="E26" s="206">
        <f t="shared" si="18"/>
        <v>4045.0322580645161</v>
      </c>
      <c r="F26">
        <f t="shared" si="20"/>
        <v>188</v>
      </c>
      <c r="G26" s="206">
        <f t="shared" si="1"/>
        <v>4045.0322580645161</v>
      </c>
      <c r="H26" s="206">
        <f t="shared" si="21"/>
        <v>188</v>
      </c>
      <c r="I26" s="206">
        <f t="shared" si="2"/>
        <v>4045.0322580645161</v>
      </c>
      <c r="J26" s="206">
        <f t="shared" si="22"/>
        <v>188</v>
      </c>
      <c r="K26" s="206">
        <f t="shared" si="3"/>
        <v>4045.0322580645161</v>
      </c>
      <c r="L26" s="206">
        <f t="shared" si="23"/>
        <v>188</v>
      </c>
      <c r="M26" s="206">
        <f t="shared" si="4"/>
        <v>4045.0322580645161</v>
      </c>
      <c r="N26" s="206">
        <f t="shared" si="24"/>
        <v>188</v>
      </c>
      <c r="O26" s="206">
        <f t="shared" si="5"/>
        <v>4045.0322580645161</v>
      </c>
      <c r="P26" s="206">
        <f t="shared" si="25"/>
        <v>188</v>
      </c>
      <c r="Q26" s="206">
        <f t="shared" si="6"/>
        <v>4045.0322580645161</v>
      </c>
      <c r="R26" s="206">
        <f t="shared" si="26"/>
        <v>188</v>
      </c>
      <c r="S26" s="206">
        <f t="shared" si="7"/>
        <v>4045.0322580645161</v>
      </c>
      <c r="T26" s="206">
        <f t="shared" si="27"/>
        <v>188</v>
      </c>
      <c r="U26" s="206">
        <f t="shared" si="8"/>
        <v>4045.0322580645161</v>
      </c>
      <c r="V26" s="206">
        <f t="shared" si="28"/>
        <v>188</v>
      </c>
      <c r="W26" s="206">
        <f t="shared" si="9"/>
        <v>4045.0322580645161</v>
      </c>
      <c r="X26" s="35">
        <f t="shared" si="10"/>
        <v>0.6064516129032258</v>
      </c>
      <c r="Y26" s="36">
        <f t="shared" si="29"/>
        <v>44495.354838709674</v>
      </c>
      <c r="Z26" s="206">
        <f>'B5'!C25</f>
        <v>194</v>
      </c>
      <c r="AA26" s="206">
        <f t="shared" si="30"/>
        <v>1940</v>
      </c>
      <c r="AB26" s="206">
        <f t="shared" si="31"/>
        <v>194</v>
      </c>
      <c r="AC26" s="206">
        <f t="shared" si="30"/>
        <v>1940</v>
      </c>
      <c r="AD26" s="206">
        <f t="shared" si="32"/>
        <v>194</v>
      </c>
      <c r="AE26" s="206">
        <f t="shared" si="11"/>
        <v>1940</v>
      </c>
      <c r="AF26" s="206">
        <f t="shared" si="33"/>
        <v>194</v>
      </c>
      <c r="AG26" s="206">
        <f t="shared" si="12"/>
        <v>1940</v>
      </c>
      <c r="AH26" s="206">
        <f t="shared" si="34"/>
        <v>194</v>
      </c>
      <c r="AI26" s="206">
        <f t="shared" si="13"/>
        <v>1940</v>
      </c>
      <c r="AJ26" s="206">
        <f t="shared" si="35"/>
        <v>194</v>
      </c>
      <c r="AK26" s="206">
        <f t="shared" si="14"/>
        <v>1940</v>
      </c>
      <c r="AL26" s="206">
        <f t="shared" si="36"/>
        <v>194</v>
      </c>
      <c r="AM26" s="206">
        <f t="shared" si="15"/>
        <v>1940</v>
      </c>
      <c r="AN26" s="35">
        <f t="shared" si="16"/>
        <v>0.69285714285714284</v>
      </c>
      <c r="AO26" s="36">
        <f t="shared" si="17"/>
        <v>13580</v>
      </c>
      <c r="AQ26" s="226">
        <f t="shared" si="37"/>
        <v>0.62466768676680295</v>
      </c>
      <c r="AR26" s="38">
        <f t="shared" si="41"/>
        <v>58075.354838709674</v>
      </c>
      <c r="AS26" s="200">
        <f t="shared" si="38"/>
        <v>0</v>
      </c>
      <c r="AT26" s="277"/>
      <c r="AU26" s="449"/>
      <c r="AV26" s="533">
        <f t="shared" si="42"/>
        <v>0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188</v>
      </c>
      <c r="C27" s="206">
        <f t="shared" si="18"/>
        <v>4045.0322580645161</v>
      </c>
      <c r="D27">
        <f t="shared" si="19"/>
        <v>188</v>
      </c>
      <c r="E27" s="206">
        <f t="shared" si="18"/>
        <v>4045.0322580645161</v>
      </c>
      <c r="F27">
        <f t="shared" si="20"/>
        <v>188</v>
      </c>
      <c r="G27" s="206">
        <f t="shared" si="1"/>
        <v>4045.0322580645161</v>
      </c>
      <c r="H27" s="206">
        <f t="shared" si="21"/>
        <v>188</v>
      </c>
      <c r="I27" s="206">
        <f t="shared" si="2"/>
        <v>4045.0322580645161</v>
      </c>
      <c r="J27" s="206">
        <f t="shared" si="22"/>
        <v>188</v>
      </c>
      <c r="K27" s="206">
        <f t="shared" si="3"/>
        <v>4045.0322580645161</v>
      </c>
      <c r="L27" s="206">
        <f t="shared" si="23"/>
        <v>188</v>
      </c>
      <c r="M27" s="206">
        <f t="shared" si="4"/>
        <v>4045.0322580645161</v>
      </c>
      <c r="N27" s="206">
        <f t="shared" si="24"/>
        <v>188</v>
      </c>
      <c r="O27" s="206">
        <f t="shared" si="5"/>
        <v>4045.0322580645161</v>
      </c>
      <c r="P27" s="206">
        <f t="shared" si="25"/>
        <v>188</v>
      </c>
      <c r="Q27" s="206">
        <f t="shared" si="6"/>
        <v>4045.0322580645161</v>
      </c>
      <c r="R27" s="206">
        <f t="shared" si="26"/>
        <v>188</v>
      </c>
      <c r="S27" s="206">
        <f t="shared" si="7"/>
        <v>4045.0322580645161</v>
      </c>
      <c r="T27" s="206">
        <f t="shared" si="27"/>
        <v>188</v>
      </c>
      <c r="U27" s="206">
        <f t="shared" si="8"/>
        <v>4045.0322580645161</v>
      </c>
      <c r="V27" s="206">
        <f t="shared" si="28"/>
        <v>188</v>
      </c>
      <c r="W27" s="206">
        <f t="shared" si="9"/>
        <v>4045.0322580645161</v>
      </c>
      <c r="X27" s="35">
        <f t="shared" si="10"/>
        <v>0.6064516129032258</v>
      </c>
      <c r="Y27" s="36">
        <f t="shared" si="29"/>
        <v>44495.354838709674</v>
      </c>
      <c r="Z27" s="206">
        <f>'B5'!C26</f>
        <v>194</v>
      </c>
      <c r="AA27" s="206">
        <f t="shared" si="30"/>
        <v>1940</v>
      </c>
      <c r="AB27" s="206">
        <f t="shared" si="31"/>
        <v>194</v>
      </c>
      <c r="AC27" s="206">
        <f t="shared" si="30"/>
        <v>1940</v>
      </c>
      <c r="AD27" s="206">
        <f t="shared" si="32"/>
        <v>194</v>
      </c>
      <c r="AE27" s="206">
        <f t="shared" si="11"/>
        <v>1940</v>
      </c>
      <c r="AF27" s="206">
        <f t="shared" si="33"/>
        <v>194</v>
      </c>
      <c r="AG27" s="206">
        <f t="shared" si="12"/>
        <v>1940</v>
      </c>
      <c r="AH27" s="206">
        <f t="shared" si="34"/>
        <v>194</v>
      </c>
      <c r="AI27" s="206">
        <f t="shared" si="13"/>
        <v>1940</v>
      </c>
      <c r="AJ27" s="206">
        <f t="shared" si="35"/>
        <v>194</v>
      </c>
      <c r="AK27" s="206">
        <f t="shared" si="14"/>
        <v>1940</v>
      </c>
      <c r="AL27" s="206">
        <f t="shared" si="36"/>
        <v>194</v>
      </c>
      <c r="AM27" s="206">
        <f t="shared" si="15"/>
        <v>1940</v>
      </c>
      <c r="AN27" s="35">
        <f t="shared" si="16"/>
        <v>0.69285714285714284</v>
      </c>
      <c r="AO27" s="36">
        <f t="shared" si="17"/>
        <v>13580</v>
      </c>
      <c r="AQ27" s="226">
        <f t="shared" si="37"/>
        <v>0.62466768676680295</v>
      </c>
      <c r="AR27" s="38">
        <f t="shared" si="41"/>
        <v>58075.354838709674</v>
      </c>
      <c r="AS27" s="200">
        <f t="shared" si="38"/>
        <v>0</v>
      </c>
      <c r="AT27" s="277"/>
      <c r="AU27" s="449"/>
      <c r="AV27" s="533">
        <f t="shared" si="42"/>
        <v>0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188</v>
      </c>
      <c r="C28" s="206">
        <f t="shared" si="18"/>
        <v>4045.0322580645161</v>
      </c>
      <c r="D28">
        <f t="shared" si="19"/>
        <v>188</v>
      </c>
      <c r="E28" s="206">
        <f t="shared" si="18"/>
        <v>4045.0322580645161</v>
      </c>
      <c r="F28">
        <f t="shared" si="20"/>
        <v>188</v>
      </c>
      <c r="G28" s="206">
        <f t="shared" si="1"/>
        <v>4045.0322580645161</v>
      </c>
      <c r="H28" s="206">
        <f t="shared" si="21"/>
        <v>188</v>
      </c>
      <c r="I28" s="206">
        <f t="shared" si="2"/>
        <v>4045.0322580645161</v>
      </c>
      <c r="J28" s="206">
        <f t="shared" si="22"/>
        <v>188</v>
      </c>
      <c r="K28" s="206">
        <f t="shared" si="3"/>
        <v>4045.0322580645161</v>
      </c>
      <c r="L28" s="206">
        <f t="shared" si="23"/>
        <v>188</v>
      </c>
      <c r="M28" s="206">
        <f t="shared" si="4"/>
        <v>4045.0322580645161</v>
      </c>
      <c r="N28" s="206">
        <f t="shared" si="24"/>
        <v>188</v>
      </c>
      <c r="O28" s="206">
        <f t="shared" si="5"/>
        <v>4045.0322580645161</v>
      </c>
      <c r="P28" s="206">
        <f t="shared" si="25"/>
        <v>188</v>
      </c>
      <c r="Q28" s="206">
        <f t="shared" si="6"/>
        <v>4045.0322580645161</v>
      </c>
      <c r="R28" s="206">
        <f t="shared" si="26"/>
        <v>188</v>
      </c>
      <c r="S28" s="206">
        <f t="shared" si="7"/>
        <v>4045.0322580645161</v>
      </c>
      <c r="T28" s="206">
        <f t="shared" si="27"/>
        <v>188</v>
      </c>
      <c r="U28" s="206">
        <f t="shared" si="8"/>
        <v>4045.0322580645161</v>
      </c>
      <c r="V28" s="206">
        <f t="shared" si="28"/>
        <v>188</v>
      </c>
      <c r="W28" s="206">
        <f t="shared" si="9"/>
        <v>4045.0322580645161</v>
      </c>
      <c r="X28" s="35">
        <f t="shared" si="10"/>
        <v>0.6064516129032258</v>
      </c>
      <c r="Y28" s="36">
        <f t="shared" si="29"/>
        <v>44495.354838709674</v>
      </c>
      <c r="Z28" s="206">
        <f>'B5'!C27</f>
        <v>194</v>
      </c>
      <c r="AA28" s="206">
        <f t="shared" si="30"/>
        <v>1940</v>
      </c>
      <c r="AB28" s="206">
        <f t="shared" si="31"/>
        <v>194</v>
      </c>
      <c r="AC28" s="206">
        <f t="shared" si="30"/>
        <v>1940</v>
      </c>
      <c r="AD28" s="206">
        <f t="shared" si="32"/>
        <v>194</v>
      </c>
      <c r="AE28" s="206">
        <f t="shared" si="11"/>
        <v>1940</v>
      </c>
      <c r="AF28" s="206">
        <f t="shared" si="33"/>
        <v>194</v>
      </c>
      <c r="AG28" s="206">
        <f t="shared" si="12"/>
        <v>1940</v>
      </c>
      <c r="AH28" s="206">
        <f t="shared" si="34"/>
        <v>194</v>
      </c>
      <c r="AI28" s="206">
        <f t="shared" si="13"/>
        <v>1940</v>
      </c>
      <c r="AJ28" s="206">
        <f t="shared" si="35"/>
        <v>194</v>
      </c>
      <c r="AK28" s="206">
        <f t="shared" si="14"/>
        <v>1940</v>
      </c>
      <c r="AL28" s="206">
        <f t="shared" si="36"/>
        <v>194</v>
      </c>
      <c r="AM28" s="206">
        <f t="shared" si="15"/>
        <v>1940</v>
      </c>
      <c r="AN28" s="35">
        <f t="shared" si="16"/>
        <v>0.69285714285714284</v>
      </c>
      <c r="AO28" s="36">
        <f t="shared" si="17"/>
        <v>13580</v>
      </c>
      <c r="AQ28" s="226">
        <f t="shared" si="37"/>
        <v>0.62466768676680295</v>
      </c>
      <c r="AR28" s="38">
        <f t="shared" si="41"/>
        <v>58075.354838709674</v>
      </c>
      <c r="AS28" s="200">
        <f t="shared" si="38"/>
        <v>0</v>
      </c>
      <c r="AT28" s="365"/>
      <c r="AU28" s="449"/>
      <c r="AV28" s="533">
        <f t="shared" si="42"/>
        <v>0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188</v>
      </c>
      <c r="C29" s="206">
        <f t="shared" si="18"/>
        <v>4045.0322580645161</v>
      </c>
      <c r="D29">
        <f t="shared" si="19"/>
        <v>188</v>
      </c>
      <c r="E29" s="206">
        <f t="shared" si="18"/>
        <v>4045.0322580645161</v>
      </c>
      <c r="F29">
        <f t="shared" si="20"/>
        <v>188</v>
      </c>
      <c r="G29" s="206">
        <f t="shared" si="1"/>
        <v>4045.0322580645161</v>
      </c>
      <c r="H29" s="206">
        <f t="shared" si="21"/>
        <v>188</v>
      </c>
      <c r="I29" s="206">
        <f t="shared" si="2"/>
        <v>4045.0322580645161</v>
      </c>
      <c r="J29" s="206">
        <f t="shared" si="22"/>
        <v>188</v>
      </c>
      <c r="K29" s="206">
        <f t="shared" si="3"/>
        <v>4045.0322580645161</v>
      </c>
      <c r="L29" s="206">
        <f t="shared" si="23"/>
        <v>188</v>
      </c>
      <c r="M29" s="206">
        <f t="shared" si="4"/>
        <v>4045.0322580645161</v>
      </c>
      <c r="N29" s="206">
        <f t="shared" si="24"/>
        <v>188</v>
      </c>
      <c r="O29" s="206">
        <f t="shared" si="5"/>
        <v>4045.0322580645161</v>
      </c>
      <c r="P29" s="206">
        <f t="shared" si="25"/>
        <v>188</v>
      </c>
      <c r="Q29" s="206">
        <f t="shared" si="6"/>
        <v>4045.0322580645161</v>
      </c>
      <c r="R29" s="206">
        <f t="shared" si="26"/>
        <v>188</v>
      </c>
      <c r="S29" s="206">
        <f t="shared" si="7"/>
        <v>4045.0322580645161</v>
      </c>
      <c r="T29" s="206">
        <f t="shared" si="27"/>
        <v>188</v>
      </c>
      <c r="U29" s="206">
        <f t="shared" si="8"/>
        <v>4045.0322580645161</v>
      </c>
      <c r="V29" s="206">
        <f t="shared" si="28"/>
        <v>188</v>
      </c>
      <c r="W29" s="206">
        <f t="shared" si="9"/>
        <v>4045.0322580645161</v>
      </c>
      <c r="X29" s="35">
        <f t="shared" si="10"/>
        <v>0.6064516129032258</v>
      </c>
      <c r="Y29" s="36">
        <f t="shared" si="29"/>
        <v>44495.354838709674</v>
      </c>
      <c r="Z29" s="206">
        <f>'B5'!C28</f>
        <v>194</v>
      </c>
      <c r="AA29" s="206">
        <f t="shared" si="30"/>
        <v>1940</v>
      </c>
      <c r="AB29" s="206">
        <f t="shared" si="31"/>
        <v>194</v>
      </c>
      <c r="AC29" s="206">
        <f t="shared" si="30"/>
        <v>1940</v>
      </c>
      <c r="AD29" s="206">
        <f t="shared" si="32"/>
        <v>194</v>
      </c>
      <c r="AE29" s="206">
        <f t="shared" si="11"/>
        <v>1940</v>
      </c>
      <c r="AF29" s="206">
        <f t="shared" si="33"/>
        <v>194</v>
      </c>
      <c r="AG29" s="206">
        <f t="shared" si="12"/>
        <v>1940</v>
      </c>
      <c r="AH29" s="206">
        <f t="shared" si="34"/>
        <v>194</v>
      </c>
      <c r="AI29" s="206">
        <f t="shared" si="13"/>
        <v>1940</v>
      </c>
      <c r="AJ29" s="206">
        <f t="shared" si="35"/>
        <v>194</v>
      </c>
      <c r="AK29" s="206">
        <f t="shared" si="14"/>
        <v>1940</v>
      </c>
      <c r="AL29" s="206">
        <f t="shared" si="36"/>
        <v>194</v>
      </c>
      <c r="AM29" s="206">
        <f t="shared" si="15"/>
        <v>1940</v>
      </c>
      <c r="AN29" s="35">
        <f t="shared" si="16"/>
        <v>0.69285714285714284</v>
      </c>
      <c r="AO29" s="36">
        <f t="shared" si="17"/>
        <v>13580</v>
      </c>
      <c r="AQ29" s="226">
        <f t="shared" si="37"/>
        <v>0.62466768676680295</v>
      </c>
      <c r="AR29" s="38">
        <f t="shared" si="41"/>
        <v>58075.354838709674</v>
      </c>
      <c r="AS29" s="200">
        <f t="shared" si="38"/>
        <v>0</v>
      </c>
      <c r="AT29" s="365"/>
      <c r="AU29" s="449"/>
      <c r="AV29" s="533">
        <f t="shared" si="42"/>
        <v>0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188</v>
      </c>
      <c r="C30" s="206">
        <f t="shared" si="18"/>
        <v>4045.0322580645161</v>
      </c>
      <c r="D30">
        <f t="shared" ref="D30:D35" si="44">SUM(B30)</f>
        <v>188</v>
      </c>
      <c r="E30" s="206">
        <f t="shared" si="18"/>
        <v>4045.0322580645161</v>
      </c>
      <c r="F30">
        <f t="shared" ref="F30:F35" si="45">SUM(D30)</f>
        <v>188</v>
      </c>
      <c r="G30" s="206">
        <f t="shared" si="1"/>
        <v>4045.0322580645161</v>
      </c>
      <c r="H30" s="206">
        <f t="shared" ref="H30:H35" si="46">SUM(F30)</f>
        <v>188</v>
      </c>
      <c r="I30" s="206">
        <f t="shared" si="2"/>
        <v>4045.0322580645161</v>
      </c>
      <c r="J30" s="206">
        <f t="shared" ref="J30:J35" si="47">SUM(H30)</f>
        <v>188</v>
      </c>
      <c r="K30" s="206">
        <f t="shared" si="3"/>
        <v>4045.0322580645161</v>
      </c>
      <c r="L30" s="206">
        <f t="shared" ref="L30:L35" si="48">SUM(J30)</f>
        <v>188</v>
      </c>
      <c r="M30" s="206">
        <f t="shared" si="4"/>
        <v>4045.0322580645161</v>
      </c>
      <c r="N30" s="206">
        <f t="shared" ref="N30:N35" si="49">SUM(L30)</f>
        <v>188</v>
      </c>
      <c r="O30" s="206">
        <f t="shared" si="5"/>
        <v>4045.0322580645161</v>
      </c>
      <c r="P30" s="206">
        <f t="shared" ref="P30:P35" si="50">SUM(N30)</f>
        <v>188</v>
      </c>
      <c r="Q30" s="206">
        <f t="shared" si="6"/>
        <v>4045.0322580645161</v>
      </c>
      <c r="R30" s="206">
        <f t="shared" ref="R30:R35" si="51">SUM(P30)</f>
        <v>188</v>
      </c>
      <c r="S30" s="206">
        <f t="shared" si="7"/>
        <v>4045.0322580645161</v>
      </c>
      <c r="T30" s="206">
        <f t="shared" ref="T30:T35" si="52">SUM(R30)</f>
        <v>188</v>
      </c>
      <c r="U30" s="206">
        <f t="shared" si="8"/>
        <v>4045.0322580645161</v>
      </c>
      <c r="V30" s="206">
        <f t="shared" ref="V30:V35" si="53">SUM(T30)</f>
        <v>188</v>
      </c>
      <c r="W30" s="206">
        <f t="shared" si="9"/>
        <v>4045.0322580645161</v>
      </c>
      <c r="X30" s="35">
        <f t="shared" ref="X30:X35" si="54">SUM(Y30/73370)</f>
        <v>0.6064516129032258</v>
      </c>
      <c r="Y30" s="36">
        <f t="shared" ref="Y30:Y35" si="55">SUM(C30+E30+G30+I30+K30+M30+O30+Q30+S30+U30+W30)</f>
        <v>44495.354838709674</v>
      </c>
      <c r="Z30" s="206">
        <f>'B5'!C29</f>
        <v>194</v>
      </c>
      <c r="AA30" s="206">
        <f t="shared" si="30"/>
        <v>1940</v>
      </c>
      <c r="AB30" s="206">
        <f t="shared" ref="AB30:AB35" si="56">SUM(Z30)</f>
        <v>194</v>
      </c>
      <c r="AC30" s="206">
        <f t="shared" si="30"/>
        <v>1940</v>
      </c>
      <c r="AD30" s="206">
        <f t="shared" ref="AD30:AD35" si="57">SUM(AB30)</f>
        <v>194</v>
      </c>
      <c r="AE30" s="206">
        <f t="shared" si="11"/>
        <v>1940</v>
      </c>
      <c r="AF30" s="206">
        <f t="shared" ref="AF30:AF35" si="58">SUM(AD30)</f>
        <v>194</v>
      </c>
      <c r="AG30" s="206">
        <f t="shared" si="12"/>
        <v>1940</v>
      </c>
      <c r="AH30" s="206">
        <f t="shared" ref="AH30:AH35" si="59">SUM(AF30)</f>
        <v>194</v>
      </c>
      <c r="AI30" s="206">
        <f t="shared" si="13"/>
        <v>1940</v>
      </c>
      <c r="AJ30" s="206">
        <f t="shared" ref="AJ30:AJ35" si="60">SUM(AH30)</f>
        <v>194</v>
      </c>
      <c r="AK30" s="206">
        <f t="shared" si="14"/>
        <v>1940</v>
      </c>
      <c r="AL30" s="206">
        <f t="shared" ref="AL30:AL35" si="61">SUM(AJ30)</f>
        <v>194</v>
      </c>
      <c r="AM30" s="206">
        <f t="shared" si="15"/>
        <v>1940</v>
      </c>
      <c r="AN30" s="35">
        <f t="shared" ref="AN30:AN35" si="62">SUM(AO30/19600)</f>
        <v>0.69285714285714284</v>
      </c>
      <c r="AO30" s="36">
        <f t="shared" ref="AO30:AO35" si="63">SUM(AA30+AC30+AE30+AG30+AI30+AK30+AM30)</f>
        <v>13580</v>
      </c>
      <c r="AQ30" s="226">
        <f t="shared" si="37"/>
        <v>0.62466768676680295</v>
      </c>
      <c r="AR30" s="38">
        <f t="shared" si="41"/>
        <v>58075.354838709674</v>
      </c>
      <c r="AS30" s="200">
        <f t="shared" si="38"/>
        <v>0</v>
      </c>
      <c r="AT30" s="365"/>
      <c r="AU30" s="449"/>
      <c r="AV30" s="533">
        <f t="shared" si="42"/>
        <v>0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188</v>
      </c>
      <c r="C31" s="206">
        <f t="shared" si="18"/>
        <v>4045.0322580645161</v>
      </c>
      <c r="D31">
        <f t="shared" si="44"/>
        <v>188</v>
      </c>
      <c r="E31" s="206">
        <f t="shared" si="18"/>
        <v>4045.0322580645161</v>
      </c>
      <c r="F31">
        <f t="shared" si="45"/>
        <v>188</v>
      </c>
      <c r="G31" s="206">
        <f t="shared" si="1"/>
        <v>4045.0322580645161</v>
      </c>
      <c r="H31" s="206">
        <f t="shared" si="46"/>
        <v>188</v>
      </c>
      <c r="I31" s="206">
        <f t="shared" si="2"/>
        <v>4045.0322580645161</v>
      </c>
      <c r="J31" s="206">
        <f t="shared" si="47"/>
        <v>188</v>
      </c>
      <c r="K31" s="206">
        <f t="shared" si="3"/>
        <v>4045.0322580645161</v>
      </c>
      <c r="L31" s="206">
        <f t="shared" si="48"/>
        <v>188</v>
      </c>
      <c r="M31" s="206">
        <f t="shared" si="4"/>
        <v>4045.0322580645161</v>
      </c>
      <c r="N31" s="206">
        <f t="shared" si="49"/>
        <v>188</v>
      </c>
      <c r="O31" s="206">
        <f t="shared" si="5"/>
        <v>4045.0322580645161</v>
      </c>
      <c r="P31" s="206">
        <f t="shared" si="50"/>
        <v>188</v>
      </c>
      <c r="Q31" s="206">
        <f t="shared" si="6"/>
        <v>4045.0322580645161</v>
      </c>
      <c r="R31" s="206">
        <f t="shared" si="51"/>
        <v>188</v>
      </c>
      <c r="S31" s="206">
        <f t="shared" si="7"/>
        <v>4045.0322580645161</v>
      </c>
      <c r="T31" s="206">
        <f t="shared" si="52"/>
        <v>188</v>
      </c>
      <c r="U31" s="206">
        <f t="shared" si="8"/>
        <v>4045.0322580645161</v>
      </c>
      <c r="V31" s="206">
        <f t="shared" si="53"/>
        <v>188</v>
      </c>
      <c r="W31" s="206">
        <f t="shared" si="9"/>
        <v>4045.0322580645161</v>
      </c>
      <c r="X31" s="35">
        <f t="shared" si="54"/>
        <v>0.6064516129032258</v>
      </c>
      <c r="Y31" s="36">
        <f t="shared" si="55"/>
        <v>44495.354838709674</v>
      </c>
      <c r="Z31" s="206">
        <f>'B5'!C30</f>
        <v>194</v>
      </c>
      <c r="AA31" s="206">
        <f t="shared" si="30"/>
        <v>1940</v>
      </c>
      <c r="AB31" s="206">
        <f t="shared" si="56"/>
        <v>194</v>
      </c>
      <c r="AC31" s="206">
        <f t="shared" si="30"/>
        <v>1940</v>
      </c>
      <c r="AD31" s="206">
        <f t="shared" si="57"/>
        <v>194</v>
      </c>
      <c r="AE31" s="206">
        <f t="shared" si="11"/>
        <v>1940</v>
      </c>
      <c r="AF31" s="206">
        <f t="shared" si="58"/>
        <v>194</v>
      </c>
      <c r="AG31" s="206">
        <f t="shared" si="12"/>
        <v>1940</v>
      </c>
      <c r="AH31" s="206">
        <f t="shared" si="59"/>
        <v>194</v>
      </c>
      <c r="AI31" s="206">
        <f t="shared" si="13"/>
        <v>1940</v>
      </c>
      <c r="AJ31" s="206">
        <f t="shared" si="60"/>
        <v>194</v>
      </c>
      <c r="AK31" s="206">
        <f t="shared" si="14"/>
        <v>1940</v>
      </c>
      <c r="AL31" s="206">
        <f t="shared" si="61"/>
        <v>194</v>
      </c>
      <c r="AM31" s="206">
        <f t="shared" si="15"/>
        <v>1940</v>
      </c>
      <c r="AN31" s="35">
        <f t="shared" si="62"/>
        <v>0.69285714285714284</v>
      </c>
      <c r="AO31" s="36">
        <f t="shared" si="63"/>
        <v>13580</v>
      </c>
      <c r="AQ31" s="226">
        <f t="shared" si="37"/>
        <v>0.62466768676680295</v>
      </c>
      <c r="AR31" s="38">
        <f t="shared" si="41"/>
        <v>58075.354838709674</v>
      </c>
      <c r="AS31" s="200">
        <f>SUM(AR31-AR30-AT31)</f>
        <v>0</v>
      </c>
      <c r="AT31" s="365"/>
      <c r="AU31" s="449"/>
      <c r="AV31" s="533">
        <f t="shared" si="42"/>
        <v>0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188</v>
      </c>
      <c r="C32" s="206">
        <f t="shared" si="18"/>
        <v>4045.0322580645161</v>
      </c>
      <c r="D32">
        <f t="shared" si="44"/>
        <v>188</v>
      </c>
      <c r="E32" s="206">
        <f t="shared" si="18"/>
        <v>4045.0322580645161</v>
      </c>
      <c r="F32">
        <f t="shared" si="45"/>
        <v>188</v>
      </c>
      <c r="G32" s="206">
        <f t="shared" si="1"/>
        <v>4045.0322580645161</v>
      </c>
      <c r="H32" s="206">
        <f t="shared" si="46"/>
        <v>188</v>
      </c>
      <c r="I32" s="206">
        <f t="shared" si="2"/>
        <v>4045.0322580645161</v>
      </c>
      <c r="J32" s="206">
        <f t="shared" si="47"/>
        <v>188</v>
      </c>
      <c r="K32" s="206">
        <f t="shared" si="3"/>
        <v>4045.0322580645161</v>
      </c>
      <c r="L32" s="206">
        <f t="shared" si="48"/>
        <v>188</v>
      </c>
      <c r="M32" s="206">
        <f t="shared" si="4"/>
        <v>4045.0322580645161</v>
      </c>
      <c r="N32" s="206">
        <f t="shared" si="49"/>
        <v>188</v>
      </c>
      <c r="O32" s="206">
        <f t="shared" si="5"/>
        <v>4045.0322580645161</v>
      </c>
      <c r="P32" s="206">
        <f t="shared" si="50"/>
        <v>188</v>
      </c>
      <c r="Q32" s="206">
        <f t="shared" si="6"/>
        <v>4045.0322580645161</v>
      </c>
      <c r="R32" s="206">
        <f t="shared" si="51"/>
        <v>188</v>
      </c>
      <c r="S32" s="206">
        <f t="shared" si="7"/>
        <v>4045.0322580645161</v>
      </c>
      <c r="T32" s="206">
        <f t="shared" si="52"/>
        <v>188</v>
      </c>
      <c r="U32" s="206">
        <f t="shared" si="8"/>
        <v>4045.0322580645161</v>
      </c>
      <c r="V32" s="206">
        <f t="shared" si="53"/>
        <v>188</v>
      </c>
      <c r="W32" s="206">
        <f t="shared" si="9"/>
        <v>4045.0322580645161</v>
      </c>
      <c r="X32" s="35">
        <f t="shared" si="54"/>
        <v>0.6064516129032258</v>
      </c>
      <c r="Y32" s="36">
        <f t="shared" si="55"/>
        <v>44495.354838709674</v>
      </c>
      <c r="Z32" s="206">
        <f>'B5'!C31</f>
        <v>194</v>
      </c>
      <c r="AA32" s="206">
        <f t="shared" si="30"/>
        <v>1940</v>
      </c>
      <c r="AB32" s="206">
        <f t="shared" si="56"/>
        <v>194</v>
      </c>
      <c r="AC32" s="206">
        <f t="shared" si="30"/>
        <v>1940</v>
      </c>
      <c r="AD32" s="206">
        <f t="shared" si="57"/>
        <v>194</v>
      </c>
      <c r="AE32" s="206">
        <f t="shared" si="11"/>
        <v>1940</v>
      </c>
      <c r="AF32" s="206">
        <f t="shared" si="58"/>
        <v>194</v>
      </c>
      <c r="AG32" s="206">
        <f t="shared" si="12"/>
        <v>1940</v>
      </c>
      <c r="AH32" s="206">
        <f t="shared" si="59"/>
        <v>194</v>
      </c>
      <c r="AI32" s="206">
        <f t="shared" si="13"/>
        <v>1940</v>
      </c>
      <c r="AJ32" s="206">
        <f t="shared" si="60"/>
        <v>194</v>
      </c>
      <c r="AK32" s="206">
        <f t="shared" si="14"/>
        <v>1940</v>
      </c>
      <c r="AL32" s="206">
        <f t="shared" si="61"/>
        <v>194</v>
      </c>
      <c r="AM32" s="206">
        <f t="shared" si="15"/>
        <v>1940</v>
      </c>
      <c r="AN32" s="35">
        <f t="shared" si="62"/>
        <v>0.69285714285714284</v>
      </c>
      <c r="AO32" s="36">
        <f t="shared" si="63"/>
        <v>13580</v>
      </c>
      <c r="AQ32" s="226">
        <f t="shared" si="37"/>
        <v>0.62466768676680295</v>
      </c>
      <c r="AR32" s="38">
        <f t="shared" si="41"/>
        <v>58075.354838709674</v>
      </c>
      <c r="AS32" s="200">
        <f t="shared" si="38"/>
        <v>0</v>
      </c>
      <c r="AT32" s="365"/>
      <c r="AU32" s="449"/>
      <c r="AV32" s="533">
        <f>IF(AT32&gt;0,AU32,AV31)</f>
        <v>0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188</v>
      </c>
      <c r="C33" s="206">
        <f t="shared" si="18"/>
        <v>4045.0322580645161</v>
      </c>
      <c r="D33">
        <f t="shared" si="44"/>
        <v>188</v>
      </c>
      <c r="E33" s="206">
        <f t="shared" si="18"/>
        <v>4045.0322580645161</v>
      </c>
      <c r="F33">
        <f t="shared" si="45"/>
        <v>188</v>
      </c>
      <c r="G33" s="206">
        <f t="shared" si="1"/>
        <v>4045.0322580645161</v>
      </c>
      <c r="H33" s="206">
        <f t="shared" si="46"/>
        <v>188</v>
      </c>
      <c r="I33" s="206">
        <f t="shared" si="2"/>
        <v>4045.0322580645161</v>
      </c>
      <c r="J33" s="206">
        <f t="shared" si="47"/>
        <v>188</v>
      </c>
      <c r="K33" s="206">
        <f t="shared" si="3"/>
        <v>4045.0322580645161</v>
      </c>
      <c r="L33" s="206">
        <f t="shared" si="48"/>
        <v>188</v>
      </c>
      <c r="M33" s="206">
        <f t="shared" si="4"/>
        <v>4045.0322580645161</v>
      </c>
      <c r="N33" s="206">
        <f t="shared" si="49"/>
        <v>188</v>
      </c>
      <c r="O33" s="206">
        <f t="shared" si="5"/>
        <v>4045.0322580645161</v>
      </c>
      <c r="P33" s="206">
        <f t="shared" si="50"/>
        <v>188</v>
      </c>
      <c r="Q33" s="206">
        <f t="shared" si="6"/>
        <v>4045.0322580645161</v>
      </c>
      <c r="R33" s="206">
        <f t="shared" si="51"/>
        <v>188</v>
      </c>
      <c r="S33" s="206">
        <f t="shared" si="7"/>
        <v>4045.0322580645161</v>
      </c>
      <c r="T33" s="206">
        <f t="shared" si="52"/>
        <v>188</v>
      </c>
      <c r="U33" s="206">
        <f t="shared" si="8"/>
        <v>4045.0322580645161</v>
      </c>
      <c r="V33" s="206">
        <f t="shared" si="53"/>
        <v>188</v>
      </c>
      <c r="W33" s="206">
        <f t="shared" si="9"/>
        <v>4045.0322580645161</v>
      </c>
      <c r="X33" s="35">
        <f t="shared" si="54"/>
        <v>0.6064516129032258</v>
      </c>
      <c r="Y33" s="36">
        <f t="shared" si="55"/>
        <v>44495.354838709674</v>
      </c>
      <c r="Z33" s="206">
        <f>'B5'!C32</f>
        <v>194</v>
      </c>
      <c r="AA33" s="206">
        <f t="shared" si="30"/>
        <v>1940</v>
      </c>
      <c r="AB33" s="206">
        <f t="shared" si="56"/>
        <v>194</v>
      </c>
      <c r="AC33" s="206">
        <f t="shared" si="30"/>
        <v>1940</v>
      </c>
      <c r="AD33" s="206">
        <f t="shared" si="57"/>
        <v>194</v>
      </c>
      <c r="AE33" s="206">
        <f t="shared" si="11"/>
        <v>1940</v>
      </c>
      <c r="AF33" s="206">
        <f t="shared" si="58"/>
        <v>194</v>
      </c>
      <c r="AG33" s="206">
        <f t="shared" si="12"/>
        <v>1940</v>
      </c>
      <c r="AH33" s="206">
        <f t="shared" si="59"/>
        <v>194</v>
      </c>
      <c r="AI33" s="206">
        <f t="shared" si="13"/>
        <v>1940</v>
      </c>
      <c r="AJ33" s="206">
        <f t="shared" si="60"/>
        <v>194</v>
      </c>
      <c r="AK33" s="206">
        <f t="shared" si="14"/>
        <v>1940</v>
      </c>
      <c r="AL33" s="206">
        <f t="shared" si="61"/>
        <v>194</v>
      </c>
      <c r="AM33" s="206">
        <f t="shared" si="15"/>
        <v>1940</v>
      </c>
      <c r="AN33" s="35">
        <f t="shared" si="62"/>
        <v>0.69285714285714284</v>
      </c>
      <c r="AO33" s="36">
        <f t="shared" si="63"/>
        <v>13580</v>
      </c>
      <c r="AQ33" s="226">
        <f t="shared" si="37"/>
        <v>0.62466768676680295</v>
      </c>
      <c r="AR33" s="38">
        <f t="shared" si="41"/>
        <v>58075.354838709674</v>
      </c>
      <c r="AS33" s="200">
        <f t="shared" si="38"/>
        <v>0</v>
      </c>
      <c r="AT33" s="365"/>
      <c r="AU33" s="449"/>
      <c r="AV33" s="533">
        <f>IF(AT33&gt;0,AU33,AV32)</f>
        <v>0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188</v>
      </c>
      <c r="C34" s="206">
        <f t="shared" si="18"/>
        <v>4045.0322580645161</v>
      </c>
      <c r="D34">
        <f t="shared" si="44"/>
        <v>188</v>
      </c>
      <c r="E34" s="206">
        <f t="shared" si="18"/>
        <v>4045.0322580645161</v>
      </c>
      <c r="F34">
        <f t="shared" si="45"/>
        <v>188</v>
      </c>
      <c r="G34" s="206">
        <f t="shared" si="1"/>
        <v>4045.0322580645161</v>
      </c>
      <c r="H34" s="206">
        <f t="shared" si="46"/>
        <v>188</v>
      </c>
      <c r="I34" s="206">
        <f t="shared" si="2"/>
        <v>4045.0322580645161</v>
      </c>
      <c r="J34" s="206">
        <f t="shared" si="47"/>
        <v>188</v>
      </c>
      <c r="K34" s="206">
        <f t="shared" si="3"/>
        <v>4045.0322580645161</v>
      </c>
      <c r="L34" s="206">
        <f t="shared" si="48"/>
        <v>188</v>
      </c>
      <c r="M34" s="206">
        <f t="shared" si="4"/>
        <v>4045.0322580645161</v>
      </c>
      <c r="N34" s="206">
        <f t="shared" si="49"/>
        <v>188</v>
      </c>
      <c r="O34" s="206">
        <f t="shared" si="5"/>
        <v>4045.0322580645161</v>
      </c>
      <c r="P34" s="206">
        <f t="shared" si="50"/>
        <v>188</v>
      </c>
      <c r="Q34" s="206">
        <f t="shared" si="6"/>
        <v>4045.0322580645161</v>
      </c>
      <c r="R34" s="206">
        <f t="shared" si="51"/>
        <v>188</v>
      </c>
      <c r="S34" s="206">
        <f t="shared" si="7"/>
        <v>4045.0322580645161</v>
      </c>
      <c r="T34" s="206">
        <f t="shared" si="52"/>
        <v>188</v>
      </c>
      <c r="U34" s="206">
        <f t="shared" si="8"/>
        <v>4045.0322580645161</v>
      </c>
      <c r="V34" s="206">
        <f t="shared" si="53"/>
        <v>188</v>
      </c>
      <c r="W34" s="206">
        <f t="shared" si="9"/>
        <v>4045.0322580645161</v>
      </c>
      <c r="X34" s="35">
        <f t="shared" si="54"/>
        <v>0.6064516129032258</v>
      </c>
      <c r="Y34" s="36">
        <f t="shared" si="55"/>
        <v>44495.354838709674</v>
      </c>
      <c r="Z34" s="206">
        <f>'B5'!C33</f>
        <v>194</v>
      </c>
      <c r="AA34" s="206">
        <f t="shared" si="30"/>
        <v>1940</v>
      </c>
      <c r="AB34" s="206">
        <f t="shared" si="56"/>
        <v>194</v>
      </c>
      <c r="AC34" s="206">
        <f t="shared" si="30"/>
        <v>1940</v>
      </c>
      <c r="AD34" s="206">
        <f t="shared" si="57"/>
        <v>194</v>
      </c>
      <c r="AE34" s="206">
        <f t="shared" si="11"/>
        <v>1940</v>
      </c>
      <c r="AF34" s="206">
        <f t="shared" si="58"/>
        <v>194</v>
      </c>
      <c r="AG34" s="206">
        <f t="shared" si="12"/>
        <v>1940</v>
      </c>
      <c r="AH34" s="206">
        <f t="shared" si="59"/>
        <v>194</v>
      </c>
      <c r="AI34" s="206">
        <f t="shared" si="13"/>
        <v>1940</v>
      </c>
      <c r="AJ34" s="206">
        <f t="shared" si="60"/>
        <v>194</v>
      </c>
      <c r="AK34" s="206">
        <f t="shared" si="14"/>
        <v>1940</v>
      </c>
      <c r="AL34" s="206">
        <f t="shared" si="61"/>
        <v>194</v>
      </c>
      <c r="AM34" s="206">
        <f t="shared" si="15"/>
        <v>1940</v>
      </c>
      <c r="AN34" s="35">
        <f t="shared" si="62"/>
        <v>0.69285714285714284</v>
      </c>
      <c r="AO34" s="36">
        <f t="shared" si="63"/>
        <v>13580</v>
      </c>
      <c r="AQ34" s="226">
        <f>SUM(AR34/92970)</f>
        <v>0.62466768676680295</v>
      </c>
      <c r="AR34" s="38">
        <f t="shared" si="41"/>
        <v>58075.354838709674</v>
      </c>
      <c r="AS34" s="200">
        <f t="shared" si="38"/>
        <v>0</v>
      </c>
      <c r="AT34" s="365"/>
      <c r="AU34" s="449"/>
      <c r="AV34" s="533">
        <f t="shared" si="42"/>
        <v>0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188</v>
      </c>
      <c r="C35" s="206">
        <f t="shared" si="18"/>
        <v>4045.0322580645161</v>
      </c>
      <c r="D35">
        <f t="shared" si="44"/>
        <v>188</v>
      </c>
      <c r="E35" s="206">
        <f t="shared" si="18"/>
        <v>4045.0322580645161</v>
      </c>
      <c r="F35">
        <f t="shared" si="45"/>
        <v>188</v>
      </c>
      <c r="G35" s="206">
        <f t="shared" si="1"/>
        <v>4045.0322580645161</v>
      </c>
      <c r="H35" s="206">
        <f t="shared" si="46"/>
        <v>188</v>
      </c>
      <c r="I35" s="206">
        <f t="shared" si="2"/>
        <v>4045.0322580645161</v>
      </c>
      <c r="J35" s="206">
        <f t="shared" si="47"/>
        <v>188</v>
      </c>
      <c r="K35" s="206">
        <f t="shared" si="3"/>
        <v>4045.0322580645161</v>
      </c>
      <c r="L35" s="206">
        <f t="shared" si="48"/>
        <v>188</v>
      </c>
      <c r="M35" s="206">
        <f t="shared" si="4"/>
        <v>4045.0322580645161</v>
      </c>
      <c r="N35" s="206">
        <f t="shared" si="49"/>
        <v>188</v>
      </c>
      <c r="O35" s="206">
        <f t="shared" si="5"/>
        <v>4045.0322580645161</v>
      </c>
      <c r="P35" s="206">
        <f t="shared" si="50"/>
        <v>188</v>
      </c>
      <c r="Q35" s="206">
        <f t="shared" si="6"/>
        <v>4045.0322580645161</v>
      </c>
      <c r="R35" s="206">
        <f t="shared" si="51"/>
        <v>188</v>
      </c>
      <c r="S35" s="206">
        <f t="shared" si="7"/>
        <v>4045.0322580645161</v>
      </c>
      <c r="T35" s="206">
        <f t="shared" si="52"/>
        <v>188</v>
      </c>
      <c r="U35" s="206">
        <f t="shared" si="8"/>
        <v>4045.0322580645161</v>
      </c>
      <c r="V35" s="206">
        <f t="shared" si="53"/>
        <v>188</v>
      </c>
      <c r="W35" s="206">
        <f t="shared" si="9"/>
        <v>4045.0322580645161</v>
      </c>
      <c r="X35" s="35">
        <f t="shared" si="54"/>
        <v>0.6064516129032258</v>
      </c>
      <c r="Y35" s="36">
        <f t="shared" si="55"/>
        <v>44495.354838709674</v>
      </c>
      <c r="Z35" s="206">
        <f>'B5'!C34</f>
        <v>194</v>
      </c>
      <c r="AA35" s="206">
        <f t="shared" si="30"/>
        <v>1940</v>
      </c>
      <c r="AB35" s="206">
        <f t="shared" si="56"/>
        <v>194</v>
      </c>
      <c r="AC35" s="206">
        <f t="shared" si="30"/>
        <v>1940</v>
      </c>
      <c r="AD35" s="206">
        <f t="shared" si="57"/>
        <v>194</v>
      </c>
      <c r="AE35" s="206">
        <f t="shared" si="11"/>
        <v>1940</v>
      </c>
      <c r="AF35" s="206">
        <f t="shared" si="58"/>
        <v>194</v>
      </c>
      <c r="AG35" s="206">
        <f t="shared" si="12"/>
        <v>1940</v>
      </c>
      <c r="AH35" s="206">
        <f t="shared" si="59"/>
        <v>194</v>
      </c>
      <c r="AI35" s="206">
        <f t="shared" si="13"/>
        <v>1940</v>
      </c>
      <c r="AJ35" s="206">
        <f t="shared" si="60"/>
        <v>194</v>
      </c>
      <c r="AK35" s="206">
        <f t="shared" si="14"/>
        <v>1940</v>
      </c>
      <c r="AL35" s="206">
        <f t="shared" si="61"/>
        <v>194</v>
      </c>
      <c r="AM35" s="206">
        <f t="shared" si="15"/>
        <v>1940</v>
      </c>
      <c r="AN35" s="35">
        <f t="shared" si="62"/>
        <v>0.69285714285714284</v>
      </c>
      <c r="AO35" s="36">
        <f t="shared" si="63"/>
        <v>13580</v>
      </c>
      <c r="AQ35" s="226">
        <f>SUM(AR35/92970)</f>
        <v>0.62466768676680295</v>
      </c>
      <c r="AR35" s="38">
        <f t="shared" si="41"/>
        <v>58075.354838709674</v>
      </c>
      <c r="AS35" s="200">
        <f t="shared" si="38"/>
        <v>0</v>
      </c>
      <c r="AT35" s="365"/>
      <c r="AU35" s="449"/>
      <c r="AV35" s="533">
        <f>IF(AT35&gt;0,AU35,AV34)</f>
        <v>0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188</v>
      </c>
      <c r="C36" s="206">
        <f t="shared" ref="C36" si="64">B36*$B$4</f>
        <v>4045.0322580645161</v>
      </c>
      <c r="D36">
        <f t="shared" ref="D36" si="65">SUM(B36)</f>
        <v>188</v>
      </c>
      <c r="E36" s="206">
        <f t="shared" ref="E36" si="66">D36*$B$4</f>
        <v>4045.0322580645161</v>
      </c>
      <c r="F36">
        <f t="shared" ref="F36" si="67">SUM(D36)</f>
        <v>188</v>
      </c>
      <c r="G36" s="206">
        <f t="shared" ref="G36" si="68">F36*$B$4</f>
        <v>4045.0322580645161</v>
      </c>
      <c r="H36" s="206">
        <f t="shared" ref="H36" si="69">SUM(F36)</f>
        <v>188</v>
      </c>
      <c r="I36" s="206">
        <f t="shared" ref="I36" si="70">H36*$B$4</f>
        <v>4045.0322580645161</v>
      </c>
      <c r="J36" s="206">
        <f t="shared" ref="J36" si="71">SUM(H36)</f>
        <v>188</v>
      </c>
      <c r="K36" s="206">
        <f t="shared" ref="K36" si="72">J36*$B$4</f>
        <v>4045.0322580645161</v>
      </c>
      <c r="L36" s="206">
        <f t="shared" ref="L36" si="73">SUM(J36)</f>
        <v>188</v>
      </c>
      <c r="M36" s="206">
        <f t="shared" ref="M36" si="74">L36*$B$4</f>
        <v>4045.0322580645161</v>
      </c>
      <c r="N36" s="206">
        <f t="shared" ref="N36" si="75">SUM(L36)</f>
        <v>188</v>
      </c>
      <c r="O36" s="206">
        <f t="shared" ref="O36" si="76">N36*$B$4</f>
        <v>4045.0322580645161</v>
      </c>
      <c r="P36" s="206">
        <f t="shared" ref="P36" si="77">SUM(N36)</f>
        <v>188</v>
      </c>
      <c r="Q36" s="206">
        <f t="shared" ref="Q36" si="78">P36*$B$4</f>
        <v>4045.0322580645161</v>
      </c>
      <c r="R36" s="206">
        <f t="shared" ref="R36" si="79">SUM(P36)</f>
        <v>188</v>
      </c>
      <c r="S36" s="206">
        <f t="shared" ref="S36" si="80">R36*$B$4</f>
        <v>4045.0322580645161</v>
      </c>
      <c r="T36" s="206">
        <f t="shared" ref="T36" si="81">SUM(R36)</f>
        <v>188</v>
      </c>
      <c r="U36" s="206">
        <f t="shared" ref="U36" si="82">T36*$B$4</f>
        <v>4045.0322580645161</v>
      </c>
      <c r="V36" s="206">
        <f t="shared" ref="V36" si="83">SUM(T36)</f>
        <v>188</v>
      </c>
      <c r="W36" s="206">
        <f t="shared" ref="W36" si="84">V36*$B$4</f>
        <v>4045.0322580645161</v>
      </c>
      <c r="X36" s="35">
        <f t="shared" ref="X36" si="85">SUM(Y36/73370)</f>
        <v>0.6064516129032258</v>
      </c>
      <c r="Y36" s="36">
        <f t="shared" ref="Y36" si="86">SUM(C36+E36+G36+I36+K36+M36+O36+Q36+S36+U36+W36)</f>
        <v>44495.354838709674</v>
      </c>
      <c r="Z36" s="206">
        <f>'B5'!C35</f>
        <v>194</v>
      </c>
      <c r="AA36" s="206">
        <f t="shared" ref="AA36" si="87">SUM(Z36*$Z$4)</f>
        <v>1940</v>
      </c>
      <c r="AB36" s="206">
        <f t="shared" ref="AB36" si="88">SUM(Z36)</f>
        <v>194</v>
      </c>
      <c r="AC36" s="206">
        <f t="shared" ref="AC36" si="89">SUM(AB36*$Z$4)</f>
        <v>1940</v>
      </c>
      <c r="AD36" s="206">
        <f t="shared" ref="AD36" si="90">SUM(AB36)</f>
        <v>194</v>
      </c>
      <c r="AE36" s="206">
        <f t="shared" ref="AE36" si="91">SUM(AD36*$Z$4)</f>
        <v>1940</v>
      </c>
      <c r="AF36" s="206">
        <f t="shared" ref="AF36" si="92">SUM(AD36)</f>
        <v>194</v>
      </c>
      <c r="AG36" s="206">
        <f t="shared" ref="AG36" si="93">SUM(AF36*$Z$4)</f>
        <v>1940</v>
      </c>
      <c r="AH36" s="206">
        <f t="shared" ref="AH36" si="94">SUM(AF36)</f>
        <v>194</v>
      </c>
      <c r="AI36" s="206">
        <f t="shared" ref="AI36" si="95">SUM(AH36*$Z$4)</f>
        <v>1940</v>
      </c>
      <c r="AJ36" s="206">
        <f t="shared" ref="AJ36" si="96">SUM(AH36)</f>
        <v>194</v>
      </c>
      <c r="AK36" s="206">
        <f t="shared" ref="AK36" si="97">SUM(AJ36*$Z$4)</f>
        <v>1940</v>
      </c>
      <c r="AL36" s="206">
        <f t="shared" ref="AL36" si="98">SUM(AJ36)</f>
        <v>194</v>
      </c>
      <c r="AM36" s="206">
        <f t="shared" ref="AM36" si="99">SUM(AL36*$Z$4)</f>
        <v>1940</v>
      </c>
      <c r="AN36" s="35">
        <f t="shared" ref="AN36" si="100">SUM(AO36/19600)</f>
        <v>0.69285714285714284</v>
      </c>
      <c r="AO36" s="36">
        <f t="shared" ref="AO36" si="101">SUM(AA36+AC36+AE36+AG36+AI36+AK36+AM36)</f>
        <v>13580</v>
      </c>
      <c r="AQ36" s="226">
        <f>SUM(AR36/92970)</f>
        <v>0.62466768676680295</v>
      </c>
      <c r="AR36" s="38">
        <f t="shared" si="41"/>
        <v>58075.354838709674</v>
      </c>
      <c r="AS36" s="200">
        <f t="shared" ref="AS36" si="102">SUM(AR36-AR35-AT36)</f>
        <v>0</v>
      </c>
      <c r="AT36" s="365"/>
      <c r="AU36" s="449"/>
      <c r="AV36" s="533">
        <f>IF(AT36&gt;0,AU36,AV35)</f>
        <v>0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1</v>
      </c>
      <c r="AT37" s="206">
        <f>SUM(AT6:AT35)</f>
        <v>0.01</v>
      </c>
      <c r="AU37">
        <f>SUM(AU6:AU35)/AS37</f>
        <v>0</v>
      </c>
      <c r="AX37" s="206">
        <f>SUM(AX6:AX35)</f>
        <v>-8521.3325806451594</v>
      </c>
      <c r="AY37" s="206">
        <f>SUM(AY6:AY35)</f>
        <v>-9130.3325806451594</v>
      </c>
    </row>
    <row r="38" spans="1:60">
      <c r="AS38" s="209"/>
      <c r="AT38">
        <f>+AT37*AU37</f>
        <v>0</v>
      </c>
    </row>
    <row r="40" spans="1:60">
      <c r="AS40" s="165">
        <f>SUM(AS6:AS35)/'EDl log'!A37</f>
        <v>-3043.4441935483865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D4" sqref="D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72">
        <v>9005</v>
      </c>
      <c r="C3" s="295">
        <f>B3-B2</f>
        <v>8</v>
      </c>
      <c r="D3" s="573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3">
        <f>J2</f>
        <v>10698</v>
      </c>
      <c r="K3" s="295">
        <f t="shared" ref="K3:K31" si="2">J3-J2</f>
        <v>0</v>
      </c>
      <c r="L3" s="573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3">
        <v>11612</v>
      </c>
      <c r="S3" s="295">
        <f t="shared" ref="S3:S32" si="5">R3-R2</f>
        <v>17</v>
      </c>
      <c r="T3" s="573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72">
        <v>9010</v>
      </c>
      <c r="C4" s="295">
        <f t="shared" ref="C4:C32" si="11">B4-B3</f>
        <v>5</v>
      </c>
      <c r="D4" s="573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3">
        <v>10698</v>
      </c>
      <c r="K4" s="295">
        <f t="shared" si="2"/>
        <v>0</v>
      </c>
      <c r="L4" s="573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3">
        <v>11616</v>
      </c>
      <c r="S4" s="295">
        <f t="shared" si="5"/>
        <v>4</v>
      </c>
      <c r="T4" s="573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72">
        <f t="shared" ref="B5:B33" si="23">B4</f>
        <v>9010</v>
      </c>
      <c r="C5" s="295">
        <f t="shared" si="11"/>
        <v>0</v>
      </c>
      <c r="D5" s="573">
        <f t="shared" ref="D5:D33" si="24">D4</f>
        <v>204588</v>
      </c>
      <c r="E5" s="295">
        <f t="shared" si="12"/>
        <v>0</v>
      </c>
      <c r="F5" s="295">
        <f t="shared" si="0"/>
        <v>0</v>
      </c>
      <c r="G5" s="293"/>
      <c r="H5" s="296">
        <f>H4</f>
        <v>9100</v>
      </c>
      <c r="I5" s="295" t="str">
        <f t="shared" si="1"/>
        <v>ok</v>
      </c>
      <c r="J5" s="573">
        <f t="shared" si="14"/>
        <v>10698</v>
      </c>
      <c r="K5" s="295">
        <f t="shared" si="2"/>
        <v>0</v>
      </c>
      <c r="L5" s="573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3">
        <f t="shared" ref="R5:T33" si="25">R4</f>
        <v>11616</v>
      </c>
      <c r="S5" s="295">
        <f t="shared" si="5"/>
        <v>0</v>
      </c>
      <c r="T5" s="573">
        <f t="shared" si="25"/>
        <v>337790</v>
      </c>
      <c r="U5" s="295">
        <f t="shared" si="6"/>
        <v>0</v>
      </c>
      <c r="V5" s="295">
        <f>IF(S5&gt;0,U5/S5,0)</f>
        <v>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0</v>
      </c>
      <c r="AA5" s="295">
        <f t="shared" si="19"/>
        <v>0</v>
      </c>
      <c r="AB5" s="295">
        <f t="shared" si="20"/>
        <v>0</v>
      </c>
      <c r="AC5" s="295">
        <f t="shared" si="21"/>
        <v>0</v>
      </c>
      <c r="AD5" s="73">
        <f>ELEC!Q5</f>
        <v>0</v>
      </c>
      <c r="AE5" s="73" t="e">
        <f t="shared" ref="AE5:AE32" si="26">SUM(AD5/Z5)</f>
        <v>#DIV/0!</v>
      </c>
      <c r="AF5" s="413" t="e">
        <f t="shared" ref="AF5:AF32" si="27">SUM(AE5/1600)</f>
        <v>#DIV/0!</v>
      </c>
      <c r="AG5" s="414" t="e">
        <f t="shared" ref="AG5:AG32" si="28">SUM(320*AF5)</f>
        <v>#DIV/0!</v>
      </c>
      <c r="AH5" s="414" t="e">
        <f t="shared" si="22"/>
        <v>#DIV/0!</v>
      </c>
      <c r="AI5" s="73">
        <f t="shared" ref="AI5:AI32" si="29">AD5*AJ5</f>
        <v>0</v>
      </c>
      <c r="AJ5" s="297">
        <f t="shared" si="9"/>
        <v>0.25738396624472576</v>
      </c>
      <c r="AK5" s="297" t="e">
        <f t="shared" si="10"/>
        <v>#DIV/0!</v>
      </c>
    </row>
    <row r="6" spans="1:37" ht="15.75" thickBot="1">
      <c r="A6" s="4">
        <f>ELEC!C6</f>
        <v>44047</v>
      </c>
      <c r="B6" s="572">
        <f t="shared" si="23"/>
        <v>9010</v>
      </c>
      <c r="C6" s="295">
        <f t="shared" si="11"/>
        <v>0</v>
      </c>
      <c r="D6" s="573">
        <f t="shared" si="24"/>
        <v>204588</v>
      </c>
      <c r="E6" s="295">
        <f t="shared" si="12"/>
        <v>0</v>
      </c>
      <c r="F6" s="295">
        <f t="shared" si="0"/>
        <v>0</v>
      </c>
      <c r="G6" s="199"/>
      <c r="H6" s="296">
        <f t="shared" si="13"/>
        <v>9100</v>
      </c>
      <c r="I6" s="295" t="str">
        <f t="shared" si="1"/>
        <v>ok</v>
      </c>
      <c r="J6" s="573">
        <f t="shared" si="14"/>
        <v>10698</v>
      </c>
      <c r="K6" s="295">
        <f t="shared" si="2"/>
        <v>0</v>
      </c>
      <c r="L6" s="573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3">
        <f t="shared" si="25"/>
        <v>11616</v>
      </c>
      <c r="S6" s="295">
        <f t="shared" si="5"/>
        <v>0</v>
      </c>
      <c r="T6" s="573">
        <f t="shared" si="25"/>
        <v>337790</v>
      </c>
      <c r="U6" s="295">
        <f t="shared" si="6"/>
        <v>0</v>
      </c>
      <c r="V6" s="295">
        <f t="shared" si="17"/>
        <v>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0</v>
      </c>
      <c r="AA6" s="295">
        <f t="shared" si="19"/>
        <v>0</v>
      </c>
      <c r="AB6" s="295">
        <f t="shared" si="20"/>
        <v>0</v>
      </c>
      <c r="AC6" s="295">
        <f t="shared" si="21"/>
        <v>0</v>
      </c>
      <c r="AD6" s="73">
        <f>ELEC!Q6</f>
        <v>0</v>
      </c>
      <c r="AE6" s="73" t="e">
        <f>SUM(AD6/Z6)</f>
        <v>#DIV/0!</v>
      </c>
      <c r="AF6" s="413" t="e">
        <f t="shared" si="27"/>
        <v>#DIV/0!</v>
      </c>
      <c r="AG6" s="414" t="e">
        <f>SUM(320*AF6)</f>
        <v>#DIV/0!</v>
      </c>
      <c r="AH6" s="414" t="e">
        <f t="shared" si="22"/>
        <v>#DIV/0!</v>
      </c>
      <c r="AI6" s="73">
        <f t="shared" si="29"/>
        <v>0</v>
      </c>
      <c r="AJ6" s="297">
        <f t="shared" si="9"/>
        <v>0.25738396624472576</v>
      </c>
      <c r="AK6" s="297" t="e">
        <f t="shared" si="10"/>
        <v>#DIV/0!</v>
      </c>
    </row>
    <row r="7" spans="1:37" ht="15.75" thickBot="1">
      <c r="A7" s="4">
        <f>ELEC!C7</f>
        <v>44048</v>
      </c>
      <c r="B7" s="572">
        <f t="shared" si="23"/>
        <v>9010</v>
      </c>
      <c r="C7" s="295">
        <f t="shared" si="11"/>
        <v>0</v>
      </c>
      <c r="D7" s="573">
        <f t="shared" si="24"/>
        <v>204588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9100</v>
      </c>
      <c r="I7" s="295" t="str">
        <f t="shared" si="1"/>
        <v>ok</v>
      </c>
      <c r="J7" s="573">
        <f t="shared" si="14"/>
        <v>10698</v>
      </c>
      <c r="K7" s="295">
        <f t="shared" si="2"/>
        <v>0</v>
      </c>
      <c r="L7" s="573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3">
        <f t="shared" si="25"/>
        <v>11616</v>
      </c>
      <c r="S7" s="295">
        <f t="shared" si="5"/>
        <v>0</v>
      </c>
      <c r="T7" s="573">
        <f t="shared" si="25"/>
        <v>337790</v>
      </c>
      <c r="U7" s="295">
        <f t="shared" si="6"/>
        <v>0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0</v>
      </c>
      <c r="AA7" s="295">
        <f>U7+M7+E7</f>
        <v>0</v>
      </c>
      <c r="AB7" s="295">
        <f t="shared" si="20"/>
        <v>0</v>
      </c>
      <c r="AC7" s="295">
        <f t="shared" si="21"/>
        <v>0</v>
      </c>
      <c r="AD7" s="73">
        <f>ELEC!Q7</f>
        <v>0</v>
      </c>
      <c r="AE7" s="73" t="e">
        <f t="shared" si="26"/>
        <v>#DIV/0!</v>
      </c>
      <c r="AF7" s="413" t="e">
        <f t="shared" si="27"/>
        <v>#DIV/0!</v>
      </c>
      <c r="AG7" s="519" t="s">
        <v>405</v>
      </c>
      <c r="AH7" s="414" t="e">
        <f t="shared" si="22"/>
        <v>#VALUE!</v>
      </c>
      <c r="AI7" s="73">
        <f t="shared" si="29"/>
        <v>0</v>
      </c>
      <c r="AJ7" s="297">
        <f t="shared" si="9"/>
        <v>0.25738396624472576</v>
      </c>
      <c r="AK7" s="297" t="e">
        <f t="shared" si="10"/>
        <v>#DIV/0!</v>
      </c>
    </row>
    <row r="8" spans="1:37" ht="15.75" thickBot="1">
      <c r="A8" s="4">
        <f>ELEC!C8</f>
        <v>44049</v>
      </c>
      <c r="B8" s="572">
        <f t="shared" si="23"/>
        <v>9010</v>
      </c>
      <c r="C8" s="295">
        <f t="shared" si="11"/>
        <v>0</v>
      </c>
      <c r="D8" s="573">
        <f t="shared" si="24"/>
        <v>204588</v>
      </c>
      <c r="E8" s="295">
        <f t="shared" si="12"/>
        <v>0</v>
      </c>
      <c r="F8" s="295">
        <f t="shared" si="0"/>
        <v>0</v>
      </c>
      <c r="G8" s="199"/>
      <c r="H8" s="296">
        <f t="shared" si="13"/>
        <v>9100</v>
      </c>
      <c r="I8" s="295" t="str">
        <f t="shared" si="1"/>
        <v>ok</v>
      </c>
      <c r="J8" s="573">
        <f t="shared" si="14"/>
        <v>10698</v>
      </c>
      <c r="K8" s="295">
        <f t="shared" si="2"/>
        <v>0</v>
      </c>
      <c r="L8" s="573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3">
        <f t="shared" si="25"/>
        <v>11616</v>
      </c>
      <c r="S8" s="295">
        <f t="shared" si="5"/>
        <v>0</v>
      </c>
      <c r="T8" s="573">
        <f t="shared" si="25"/>
        <v>337790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0</v>
      </c>
      <c r="AA8" s="295">
        <f t="shared" si="19"/>
        <v>0</v>
      </c>
      <c r="AB8" s="295">
        <f t="shared" si="20"/>
        <v>0</v>
      </c>
      <c r="AC8" s="295">
        <f t="shared" si="21"/>
        <v>0</v>
      </c>
      <c r="AD8" s="73">
        <f>ELEC!Q8</f>
        <v>0</v>
      </c>
      <c r="AE8" s="73" t="e">
        <f t="shared" si="26"/>
        <v>#DIV/0!</v>
      </c>
      <c r="AF8" s="413" t="e">
        <f t="shared" si="27"/>
        <v>#DIV/0!</v>
      </c>
      <c r="AG8" s="414" t="e">
        <f t="shared" si="28"/>
        <v>#DIV/0!</v>
      </c>
      <c r="AH8" s="414" t="e">
        <f t="shared" si="22"/>
        <v>#DIV/0!</v>
      </c>
      <c r="AI8" s="73">
        <f t="shared" si="29"/>
        <v>0</v>
      </c>
      <c r="AJ8" s="297">
        <f t="shared" si="9"/>
        <v>0.25738396624472576</v>
      </c>
      <c r="AK8" s="297" t="e">
        <f t="shared" si="10"/>
        <v>#DIV/0!</v>
      </c>
    </row>
    <row r="9" spans="1:37" ht="15.75" thickBot="1">
      <c r="A9" s="4">
        <f>ELEC!C9</f>
        <v>44050</v>
      </c>
      <c r="B9" s="572">
        <f t="shared" si="23"/>
        <v>9010</v>
      </c>
      <c r="C9" s="295">
        <f t="shared" si="11"/>
        <v>0</v>
      </c>
      <c r="D9" s="573">
        <f t="shared" si="24"/>
        <v>204588</v>
      </c>
      <c r="E9" s="295">
        <f t="shared" si="12"/>
        <v>0</v>
      </c>
      <c r="F9" s="295">
        <f t="shared" si="0"/>
        <v>0</v>
      </c>
      <c r="G9" s="199"/>
      <c r="H9" s="296">
        <f t="shared" si="13"/>
        <v>9100</v>
      </c>
      <c r="I9" s="295" t="str">
        <f t="shared" si="1"/>
        <v>ok</v>
      </c>
      <c r="J9" s="573">
        <f t="shared" si="14"/>
        <v>10698</v>
      </c>
      <c r="K9" s="295">
        <f t="shared" si="2"/>
        <v>0</v>
      </c>
      <c r="L9" s="573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3">
        <f t="shared" si="25"/>
        <v>11616</v>
      </c>
      <c r="S9" s="295">
        <f t="shared" si="5"/>
        <v>0</v>
      </c>
      <c r="T9" s="573">
        <f t="shared" si="25"/>
        <v>337790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0</v>
      </c>
      <c r="AA9" s="295">
        <f t="shared" si="19"/>
        <v>0</v>
      </c>
      <c r="AB9" s="295">
        <f t="shared" si="20"/>
        <v>0</v>
      </c>
      <c r="AC9" s="295">
        <f t="shared" si="21"/>
        <v>0</v>
      </c>
      <c r="AD9" s="73">
        <f>ELEC!Q9</f>
        <v>0</v>
      </c>
      <c r="AE9" s="73" t="e">
        <f t="shared" si="26"/>
        <v>#DIV/0!</v>
      </c>
      <c r="AF9" s="413" t="e">
        <f t="shared" si="27"/>
        <v>#DIV/0!</v>
      </c>
      <c r="AG9" s="414" t="e">
        <f t="shared" si="28"/>
        <v>#DIV/0!</v>
      </c>
      <c r="AH9" s="414" t="e">
        <f t="shared" si="22"/>
        <v>#DIV/0!</v>
      </c>
      <c r="AI9" s="73">
        <f t="shared" si="29"/>
        <v>0</v>
      </c>
      <c r="AJ9" s="297">
        <v>0.25738396624472576</v>
      </c>
      <c r="AK9" s="297">
        <f t="shared" ref="AK9:AK16" si="30">IF(Z9&gt;0,AI9/Z9,0)</f>
        <v>0</v>
      </c>
    </row>
    <row r="10" spans="1:37" ht="15.75" thickBot="1">
      <c r="A10" s="4">
        <f>ELEC!C10</f>
        <v>44051</v>
      </c>
      <c r="B10" s="572">
        <f t="shared" si="23"/>
        <v>9010</v>
      </c>
      <c r="C10" s="295">
        <f t="shared" si="11"/>
        <v>0</v>
      </c>
      <c r="D10" s="573">
        <f t="shared" si="24"/>
        <v>204588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9100</v>
      </c>
      <c r="I10" s="295" t="str">
        <f t="shared" si="1"/>
        <v>ok</v>
      </c>
      <c r="J10" s="573">
        <f t="shared" si="14"/>
        <v>10698</v>
      </c>
      <c r="K10" s="295">
        <f t="shared" si="2"/>
        <v>0</v>
      </c>
      <c r="L10" s="573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3">
        <f t="shared" si="25"/>
        <v>11616</v>
      </c>
      <c r="S10" s="295">
        <f t="shared" si="5"/>
        <v>0</v>
      </c>
      <c r="T10" s="573">
        <f t="shared" si="25"/>
        <v>337790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0</v>
      </c>
      <c r="AA10" s="295">
        <f t="shared" si="19"/>
        <v>0</v>
      </c>
      <c r="AB10" s="295">
        <f t="shared" si="20"/>
        <v>0</v>
      </c>
      <c r="AC10" s="295">
        <f t="shared" si="21"/>
        <v>0</v>
      </c>
      <c r="AD10" s="73">
        <f>ELEC!Q10</f>
        <v>0</v>
      </c>
      <c r="AE10" s="73" t="e">
        <f t="shared" si="26"/>
        <v>#DIV/0!</v>
      </c>
      <c r="AF10" s="413" t="e">
        <f t="shared" si="27"/>
        <v>#DIV/0!</v>
      </c>
      <c r="AG10" s="414" t="e">
        <f t="shared" si="28"/>
        <v>#DIV/0!</v>
      </c>
      <c r="AH10" s="414" t="e">
        <f t="shared" si="22"/>
        <v>#DIV/0!</v>
      </c>
      <c r="AI10" s="73">
        <f t="shared" si="29"/>
        <v>0</v>
      </c>
      <c r="AJ10" s="297">
        <f t="shared" si="9"/>
        <v>0.25738396624472576</v>
      </c>
      <c r="AK10" s="297">
        <f t="shared" si="30"/>
        <v>0</v>
      </c>
    </row>
    <row r="11" spans="1:37" ht="15.75" thickBot="1">
      <c r="A11" s="4">
        <f>ELEC!C11</f>
        <v>44052</v>
      </c>
      <c r="B11" s="572">
        <f t="shared" si="23"/>
        <v>9010</v>
      </c>
      <c r="C11" s="295">
        <f t="shared" si="11"/>
        <v>0</v>
      </c>
      <c r="D11" s="573">
        <f t="shared" si="24"/>
        <v>204588</v>
      </c>
      <c r="E11" s="295">
        <f t="shared" si="12"/>
        <v>0</v>
      </c>
      <c r="F11" s="295">
        <f t="shared" si="0"/>
        <v>0</v>
      </c>
      <c r="G11" s="199"/>
      <c r="H11" s="296">
        <f t="shared" si="13"/>
        <v>9100</v>
      </c>
      <c r="I11" s="295" t="str">
        <f t="shared" si="1"/>
        <v>ok</v>
      </c>
      <c r="J11" s="573">
        <f t="shared" si="14"/>
        <v>10698</v>
      </c>
      <c r="K11" s="295">
        <f t="shared" si="2"/>
        <v>0</v>
      </c>
      <c r="L11" s="573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3">
        <f t="shared" si="25"/>
        <v>11616</v>
      </c>
      <c r="S11" s="295">
        <f t="shared" si="5"/>
        <v>0</v>
      </c>
      <c r="T11" s="573">
        <f t="shared" si="25"/>
        <v>337790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0</v>
      </c>
      <c r="AA11" s="295">
        <f t="shared" si="19"/>
        <v>0</v>
      </c>
      <c r="AB11" s="295">
        <f t="shared" si="20"/>
        <v>0</v>
      </c>
      <c r="AC11" s="295">
        <f t="shared" si="21"/>
        <v>0</v>
      </c>
      <c r="AD11" s="73">
        <f>ELEC!Q11</f>
        <v>0</v>
      </c>
      <c r="AE11" s="73" t="e">
        <f t="shared" si="26"/>
        <v>#DIV/0!</v>
      </c>
      <c r="AF11" s="413" t="e">
        <f t="shared" si="27"/>
        <v>#DIV/0!</v>
      </c>
      <c r="AG11" s="414" t="e">
        <f t="shared" si="28"/>
        <v>#DIV/0!</v>
      </c>
      <c r="AH11" s="414" t="e">
        <f t="shared" si="22"/>
        <v>#DIV/0!</v>
      </c>
      <c r="AI11" s="73">
        <f t="shared" si="29"/>
        <v>0</v>
      </c>
      <c r="AJ11" s="297">
        <f t="shared" si="9"/>
        <v>0.25738396624472576</v>
      </c>
      <c r="AK11" s="297">
        <f t="shared" si="30"/>
        <v>0</v>
      </c>
    </row>
    <row r="12" spans="1:37" ht="15.75" thickBot="1">
      <c r="A12" s="4">
        <f>ELEC!C12</f>
        <v>44053</v>
      </c>
      <c r="B12" s="572">
        <f t="shared" si="23"/>
        <v>9010</v>
      </c>
      <c r="C12" s="295">
        <f t="shared" si="11"/>
        <v>0</v>
      </c>
      <c r="D12" s="573">
        <f t="shared" si="24"/>
        <v>204588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9100</v>
      </c>
      <c r="I12" s="295" t="str">
        <f t="shared" si="1"/>
        <v>ok</v>
      </c>
      <c r="J12" s="573">
        <f t="shared" si="14"/>
        <v>10698</v>
      </c>
      <c r="K12" s="295">
        <f t="shared" si="2"/>
        <v>0</v>
      </c>
      <c r="L12" s="573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3">
        <f t="shared" si="25"/>
        <v>11616</v>
      </c>
      <c r="S12" s="295">
        <f t="shared" si="5"/>
        <v>0</v>
      </c>
      <c r="T12" s="573">
        <f t="shared" si="25"/>
        <v>337790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0</v>
      </c>
      <c r="AA12" s="295">
        <f t="shared" si="19"/>
        <v>0</v>
      </c>
      <c r="AB12" s="295">
        <f t="shared" si="20"/>
        <v>0</v>
      </c>
      <c r="AC12" s="295">
        <f t="shared" si="21"/>
        <v>0</v>
      </c>
      <c r="AD12" s="73">
        <f>ELEC!Q12</f>
        <v>0</v>
      </c>
      <c r="AE12" s="73" t="e">
        <f t="shared" si="26"/>
        <v>#DIV/0!</v>
      </c>
      <c r="AF12" s="413" t="e">
        <f t="shared" si="27"/>
        <v>#DIV/0!</v>
      </c>
      <c r="AG12" s="414" t="e">
        <f t="shared" si="28"/>
        <v>#DIV/0!</v>
      </c>
      <c r="AH12" s="414" t="e">
        <f t="shared" si="22"/>
        <v>#DIV/0!</v>
      </c>
      <c r="AI12" s="73">
        <f t="shared" si="29"/>
        <v>0</v>
      </c>
      <c r="AJ12" s="297">
        <f t="shared" si="9"/>
        <v>0.25738396624472576</v>
      </c>
      <c r="AK12" s="297">
        <f t="shared" si="30"/>
        <v>0</v>
      </c>
    </row>
    <row r="13" spans="1:37" ht="15.75" thickBot="1">
      <c r="A13" s="4">
        <f>ELEC!C13</f>
        <v>44054</v>
      </c>
      <c r="B13" s="572">
        <f t="shared" si="23"/>
        <v>9010</v>
      </c>
      <c r="C13" s="295">
        <f t="shared" si="11"/>
        <v>0</v>
      </c>
      <c r="D13" s="573">
        <f t="shared" si="24"/>
        <v>204588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9100</v>
      </c>
      <c r="I13" s="295" t="str">
        <f t="shared" si="1"/>
        <v>ok</v>
      </c>
      <c r="J13" s="573">
        <f t="shared" si="14"/>
        <v>10698</v>
      </c>
      <c r="K13" s="295">
        <f t="shared" si="2"/>
        <v>0</v>
      </c>
      <c r="L13" s="573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3">
        <f t="shared" si="25"/>
        <v>11616</v>
      </c>
      <c r="S13" s="295">
        <f t="shared" si="5"/>
        <v>0</v>
      </c>
      <c r="T13" s="573">
        <f t="shared" si="25"/>
        <v>337790</v>
      </c>
      <c r="U13" s="295">
        <f t="shared" si="6"/>
        <v>0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0</v>
      </c>
      <c r="AA13" s="295">
        <f t="shared" si="19"/>
        <v>0</v>
      </c>
      <c r="AB13" s="295">
        <f t="shared" si="20"/>
        <v>0</v>
      </c>
      <c r="AC13" s="295">
        <f t="shared" si="21"/>
        <v>0</v>
      </c>
      <c r="AD13" s="73">
        <f>ELEC!Q13</f>
        <v>0</v>
      </c>
      <c r="AE13" s="73" t="e">
        <f t="shared" si="26"/>
        <v>#DIV/0!</v>
      </c>
      <c r="AF13" s="413" t="e">
        <f t="shared" si="27"/>
        <v>#DIV/0!</v>
      </c>
      <c r="AG13" s="414" t="e">
        <f t="shared" si="28"/>
        <v>#DIV/0!</v>
      </c>
      <c r="AH13" s="414" t="e">
        <f t="shared" si="22"/>
        <v>#DIV/0!</v>
      </c>
      <c r="AI13" s="73">
        <f t="shared" si="29"/>
        <v>0</v>
      </c>
      <c r="AJ13" s="297">
        <f t="shared" si="9"/>
        <v>0.25738396624472576</v>
      </c>
      <c r="AK13" s="297">
        <f t="shared" si="30"/>
        <v>0</v>
      </c>
    </row>
    <row r="14" spans="1:37" ht="15.75" thickBot="1">
      <c r="A14" s="4">
        <f>ELEC!C14</f>
        <v>44055</v>
      </c>
      <c r="B14" s="572">
        <f t="shared" si="23"/>
        <v>9010</v>
      </c>
      <c r="C14" s="295">
        <f t="shared" si="11"/>
        <v>0</v>
      </c>
      <c r="D14" s="573">
        <f t="shared" si="24"/>
        <v>204588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9100</v>
      </c>
      <c r="I14" s="295" t="str">
        <f t="shared" si="1"/>
        <v>ok</v>
      </c>
      <c r="J14" s="573">
        <f t="shared" si="14"/>
        <v>10698</v>
      </c>
      <c r="K14" s="295">
        <f t="shared" si="2"/>
        <v>0</v>
      </c>
      <c r="L14" s="573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3">
        <f t="shared" si="25"/>
        <v>11616</v>
      </c>
      <c r="S14" s="295">
        <f t="shared" si="5"/>
        <v>0</v>
      </c>
      <c r="T14" s="573">
        <f t="shared" si="25"/>
        <v>337790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0</v>
      </c>
      <c r="AA14" s="295">
        <f t="shared" si="19"/>
        <v>0</v>
      </c>
      <c r="AB14" s="295">
        <f t="shared" si="20"/>
        <v>0</v>
      </c>
      <c r="AC14" s="295">
        <f t="shared" si="21"/>
        <v>0</v>
      </c>
      <c r="AD14" s="73">
        <f>ELEC!Q14</f>
        <v>0</v>
      </c>
      <c r="AE14" s="73" t="e">
        <f t="shared" si="26"/>
        <v>#DIV/0!</v>
      </c>
      <c r="AF14" s="413" t="e">
        <f t="shared" si="27"/>
        <v>#DIV/0!</v>
      </c>
      <c r="AG14" s="414" t="e">
        <f t="shared" si="28"/>
        <v>#DIV/0!</v>
      </c>
      <c r="AH14" s="414" t="e">
        <f t="shared" si="22"/>
        <v>#DIV/0!</v>
      </c>
      <c r="AI14" s="73">
        <f t="shared" si="29"/>
        <v>0</v>
      </c>
      <c r="AJ14" s="297">
        <f t="shared" si="9"/>
        <v>0.25738396624472576</v>
      </c>
      <c r="AK14" s="297">
        <f t="shared" si="30"/>
        <v>0</v>
      </c>
    </row>
    <row r="15" spans="1:37" ht="15.75" thickBot="1">
      <c r="A15" s="4">
        <f>ELEC!C15</f>
        <v>44056</v>
      </c>
      <c r="B15" s="572">
        <f t="shared" si="23"/>
        <v>9010</v>
      </c>
      <c r="C15" s="295">
        <f t="shared" si="11"/>
        <v>0</v>
      </c>
      <c r="D15" s="573">
        <f t="shared" si="24"/>
        <v>204588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9100</v>
      </c>
      <c r="I15" s="295" t="str">
        <f t="shared" si="1"/>
        <v>ok</v>
      </c>
      <c r="J15" s="573">
        <f t="shared" si="14"/>
        <v>10698</v>
      </c>
      <c r="K15" s="295">
        <f t="shared" si="2"/>
        <v>0</v>
      </c>
      <c r="L15" s="573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3">
        <f t="shared" si="25"/>
        <v>11616</v>
      </c>
      <c r="S15" s="295">
        <f t="shared" si="5"/>
        <v>0</v>
      </c>
      <c r="T15" s="573">
        <f t="shared" si="25"/>
        <v>337790</v>
      </c>
      <c r="U15" s="295">
        <f t="shared" si="6"/>
        <v>0</v>
      </c>
      <c r="V15" s="295">
        <f t="shared" si="17"/>
        <v>0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0</v>
      </c>
      <c r="AA15" s="295">
        <f t="shared" si="19"/>
        <v>0</v>
      </c>
      <c r="AB15" s="295">
        <f t="shared" si="20"/>
        <v>0</v>
      </c>
      <c r="AC15" s="295">
        <f t="shared" si="21"/>
        <v>0</v>
      </c>
      <c r="AD15" s="73">
        <f>ELEC!Q15</f>
        <v>0</v>
      </c>
      <c r="AE15" s="73" t="e">
        <f t="shared" si="26"/>
        <v>#DIV/0!</v>
      </c>
      <c r="AF15" s="413" t="e">
        <f t="shared" si="27"/>
        <v>#DIV/0!</v>
      </c>
      <c r="AG15" s="414" t="e">
        <f t="shared" si="28"/>
        <v>#DIV/0!</v>
      </c>
      <c r="AH15" s="414" t="e">
        <f t="shared" si="22"/>
        <v>#DIV/0!</v>
      </c>
      <c r="AI15" s="73">
        <f t="shared" si="29"/>
        <v>0</v>
      </c>
      <c r="AJ15" s="297">
        <f t="shared" si="9"/>
        <v>0.25738396624472576</v>
      </c>
      <c r="AK15" s="297">
        <f t="shared" si="30"/>
        <v>0</v>
      </c>
    </row>
    <row r="16" spans="1:37" ht="15.75" thickBot="1">
      <c r="A16" s="4">
        <f>ELEC!C16</f>
        <v>44057</v>
      </c>
      <c r="B16" s="572">
        <f t="shared" si="23"/>
        <v>9010</v>
      </c>
      <c r="C16" s="295">
        <f t="shared" si="11"/>
        <v>0</v>
      </c>
      <c r="D16" s="573">
        <f t="shared" si="24"/>
        <v>204588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3">
        <f t="shared" si="14"/>
        <v>10698</v>
      </c>
      <c r="K16" s="295">
        <f t="shared" si="2"/>
        <v>0</v>
      </c>
      <c r="L16" s="573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3">
        <f t="shared" si="25"/>
        <v>11616</v>
      </c>
      <c r="S16" s="605">
        <f t="shared" si="5"/>
        <v>0</v>
      </c>
      <c r="T16" s="573">
        <f t="shared" si="25"/>
        <v>337790</v>
      </c>
      <c r="U16" s="295">
        <f t="shared" si="6"/>
        <v>0</v>
      </c>
      <c r="V16" s="295">
        <f t="shared" si="17"/>
        <v>0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0</v>
      </c>
      <c r="AA16" s="295">
        <f t="shared" si="19"/>
        <v>0</v>
      </c>
      <c r="AB16" s="295">
        <f t="shared" si="20"/>
        <v>0</v>
      </c>
      <c r="AC16" s="295">
        <f t="shared" si="21"/>
        <v>0</v>
      </c>
      <c r="AD16" s="73">
        <f>ELEC!Q16</f>
        <v>0</v>
      </c>
      <c r="AE16" s="73" t="e">
        <f t="shared" si="26"/>
        <v>#DIV/0!</v>
      </c>
      <c r="AF16" s="413" t="e">
        <f t="shared" si="27"/>
        <v>#DIV/0!</v>
      </c>
      <c r="AG16" s="414" t="e">
        <f t="shared" si="28"/>
        <v>#DIV/0!</v>
      </c>
      <c r="AH16" s="414" t="e">
        <f t="shared" si="22"/>
        <v>#DIV/0!</v>
      </c>
      <c r="AI16" s="73">
        <f t="shared" si="29"/>
        <v>0</v>
      </c>
      <c r="AJ16" s="297">
        <f t="shared" si="9"/>
        <v>0.25738396624472576</v>
      </c>
      <c r="AK16" s="297">
        <f t="shared" si="30"/>
        <v>0</v>
      </c>
    </row>
    <row r="17" spans="1:37" ht="15.75" thickBot="1">
      <c r="A17" s="4">
        <f>ELEC!C17</f>
        <v>44058</v>
      </c>
      <c r="B17" s="572">
        <f t="shared" si="23"/>
        <v>9010</v>
      </c>
      <c r="C17" s="295">
        <f t="shared" si="11"/>
        <v>0</v>
      </c>
      <c r="D17" s="573">
        <f t="shared" si="24"/>
        <v>204588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3">
        <f t="shared" si="14"/>
        <v>10698</v>
      </c>
      <c r="K17" s="295">
        <f t="shared" si="2"/>
        <v>0</v>
      </c>
      <c r="L17" s="573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3">
        <f t="shared" si="25"/>
        <v>11616</v>
      </c>
      <c r="S17" s="295">
        <f t="shared" si="5"/>
        <v>0</v>
      </c>
      <c r="T17" s="573">
        <f t="shared" si="25"/>
        <v>337790</v>
      </c>
      <c r="U17" s="295">
        <f t="shared" si="6"/>
        <v>0</v>
      </c>
      <c r="V17" s="295">
        <f t="shared" si="17"/>
        <v>0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0</v>
      </c>
      <c r="AA17" s="295">
        <f t="shared" si="19"/>
        <v>0</v>
      </c>
      <c r="AB17" s="295">
        <f t="shared" si="20"/>
        <v>0</v>
      </c>
      <c r="AC17" s="295">
        <f t="shared" si="21"/>
        <v>0</v>
      </c>
      <c r="AD17" s="73">
        <f>ELEC!Q17</f>
        <v>0</v>
      </c>
      <c r="AE17" s="73" t="e">
        <f t="shared" si="26"/>
        <v>#DIV/0!</v>
      </c>
      <c r="AF17" s="413" t="e">
        <f t="shared" si="27"/>
        <v>#DIV/0!</v>
      </c>
      <c r="AG17" s="414" t="e">
        <f t="shared" si="28"/>
        <v>#DIV/0!</v>
      </c>
      <c r="AH17" s="414" t="e">
        <f t="shared" si="22"/>
        <v>#DIV/0!</v>
      </c>
      <c r="AI17" s="73">
        <f t="shared" si="29"/>
        <v>0</v>
      </c>
      <c r="AJ17" s="297">
        <f t="shared" si="9"/>
        <v>0.25738396624472576</v>
      </c>
      <c r="AK17" s="297">
        <f t="shared" ref="AK17:AK32" si="31">IF(Z17&gt;0,AI17/Z17,0)</f>
        <v>0</v>
      </c>
    </row>
    <row r="18" spans="1:37" ht="15.75" thickBot="1">
      <c r="A18" s="4">
        <f>ELEC!C18</f>
        <v>44059</v>
      </c>
      <c r="B18" s="572">
        <f t="shared" si="23"/>
        <v>9010</v>
      </c>
      <c r="C18" s="295">
        <f t="shared" si="11"/>
        <v>0</v>
      </c>
      <c r="D18" s="573">
        <f t="shared" si="24"/>
        <v>204588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9100</v>
      </c>
      <c r="I18" s="295" t="str">
        <f t="shared" si="1"/>
        <v>ok</v>
      </c>
      <c r="J18" s="573">
        <f t="shared" si="14"/>
        <v>10698</v>
      </c>
      <c r="K18" s="295">
        <f t="shared" si="2"/>
        <v>0</v>
      </c>
      <c r="L18" s="573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3">
        <f t="shared" si="25"/>
        <v>11616</v>
      </c>
      <c r="S18" s="295">
        <f t="shared" si="5"/>
        <v>0</v>
      </c>
      <c r="T18" s="573">
        <f t="shared" si="25"/>
        <v>337790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0</v>
      </c>
      <c r="AA18" s="295">
        <f t="shared" si="19"/>
        <v>0</v>
      </c>
      <c r="AB18" s="295">
        <f t="shared" si="20"/>
        <v>0</v>
      </c>
      <c r="AC18" s="295">
        <f t="shared" si="21"/>
        <v>0</v>
      </c>
      <c r="AD18" s="73">
        <f>ELEC!Q18</f>
        <v>0</v>
      </c>
      <c r="AE18" s="73" t="e">
        <f t="shared" si="26"/>
        <v>#DIV/0!</v>
      </c>
      <c r="AF18" s="413" t="e">
        <f t="shared" si="27"/>
        <v>#DIV/0!</v>
      </c>
      <c r="AG18" s="414" t="e">
        <f t="shared" si="28"/>
        <v>#DIV/0!</v>
      </c>
      <c r="AH18" s="414" t="e">
        <f t="shared" si="22"/>
        <v>#DIV/0!</v>
      </c>
      <c r="AI18" s="73">
        <f t="shared" si="29"/>
        <v>0</v>
      </c>
      <c r="AJ18" s="297">
        <f t="shared" si="9"/>
        <v>0.25738396624472576</v>
      </c>
      <c r="AK18" s="297">
        <f t="shared" si="31"/>
        <v>0</v>
      </c>
    </row>
    <row r="19" spans="1:37" ht="15.75" thickBot="1">
      <c r="A19" s="4">
        <f>ELEC!C19</f>
        <v>44060</v>
      </c>
      <c r="B19" s="572">
        <f t="shared" si="23"/>
        <v>9010</v>
      </c>
      <c r="C19" s="295">
        <f t="shared" si="11"/>
        <v>0</v>
      </c>
      <c r="D19" s="573">
        <f t="shared" si="24"/>
        <v>204588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9100</v>
      </c>
      <c r="I19" s="295" t="str">
        <f t="shared" si="1"/>
        <v>ok</v>
      </c>
      <c r="J19" s="573">
        <f t="shared" si="14"/>
        <v>10698</v>
      </c>
      <c r="K19" s="295">
        <f t="shared" si="2"/>
        <v>0</v>
      </c>
      <c r="L19" s="573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3">
        <f t="shared" si="25"/>
        <v>11616</v>
      </c>
      <c r="S19" s="295">
        <f t="shared" si="5"/>
        <v>0</v>
      </c>
      <c r="T19" s="573">
        <f t="shared" si="25"/>
        <v>337790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0</v>
      </c>
      <c r="AA19" s="295">
        <f t="shared" si="19"/>
        <v>0</v>
      </c>
      <c r="AB19" s="295">
        <f t="shared" si="20"/>
        <v>0</v>
      </c>
      <c r="AC19" s="295">
        <f t="shared" si="21"/>
        <v>0</v>
      </c>
      <c r="AD19" s="73">
        <f>ELEC!Q19</f>
        <v>0</v>
      </c>
      <c r="AE19" s="73" t="e">
        <f t="shared" si="26"/>
        <v>#DIV/0!</v>
      </c>
      <c r="AF19" s="413" t="e">
        <f t="shared" si="27"/>
        <v>#DIV/0!</v>
      </c>
      <c r="AG19" s="414" t="e">
        <f t="shared" si="28"/>
        <v>#DIV/0!</v>
      </c>
      <c r="AH19" s="414" t="e">
        <f t="shared" si="22"/>
        <v>#DIV/0!</v>
      </c>
      <c r="AI19" s="73">
        <f t="shared" si="29"/>
        <v>0</v>
      </c>
      <c r="AJ19" s="297">
        <f t="shared" si="9"/>
        <v>0.25738396624472576</v>
      </c>
      <c r="AK19" s="297">
        <f t="shared" si="31"/>
        <v>0</v>
      </c>
    </row>
    <row r="20" spans="1:37" ht="15.75" thickBot="1">
      <c r="A20" s="4">
        <f>ELEC!C20</f>
        <v>44061</v>
      </c>
      <c r="B20" s="572">
        <f t="shared" si="23"/>
        <v>9010</v>
      </c>
      <c r="C20" s="295">
        <f>B20-B19</f>
        <v>0</v>
      </c>
      <c r="D20" s="573">
        <f t="shared" si="24"/>
        <v>204588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9100</v>
      </c>
      <c r="I20" s="295" t="str">
        <f t="shared" si="1"/>
        <v>ok</v>
      </c>
      <c r="J20" s="573">
        <f t="shared" si="14"/>
        <v>10698</v>
      </c>
      <c r="K20" s="295">
        <f t="shared" si="2"/>
        <v>0</v>
      </c>
      <c r="L20" s="573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3">
        <f t="shared" si="25"/>
        <v>11616</v>
      </c>
      <c r="S20" s="295">
        <f t="shared" si="5"/>
        <v>0</v>
      </c>
      <c r="T20" s="573">
        <f t="shared" si="25"/>
        <v>337790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0</v>
      </c>
      <c r="AA20" s="295">
        <f t="shared" si="19"/>
        <v>0</v>
      </c>
      <c r="AB20" s="295">
        <f t="shared" si="20"/>
        <v>0</v>
      </c>
      <c r="AC20" s="295">
        <f t="shared" si="21"/>
        <v>0</v>
      </c>
      <c r="AD20" s="73">
        <f>ELEC!Q20</f>
        <v>0</v>
      </c>
      <c r="AE20" s="73" t="e">
        <f t="shared" si="26"/>
        <v>#DIV/0!</v>
      </c>
      <c r="AF20" s="413" t="e">
        <f t="shared" si="27"/>
        <v>#DIV/0!</v>
      </c>
      <c r="AG20" s="414" t="e">
        <f t="shared" si="28"/>
        <v>#DIV/0!</v>
      </c>
      <c r="AH20" s="414" t="e">
        <f t="shared" si="22"/>
        <v>#DIV/0!</v>
      </c>
      <c r="AI20" s="73">
        <f>AD20*AJ20</f>
        <v>0</v>
      </c>
      <c r="AJ20" s="297">
        <f t="shared" si="9"/>
        <v>0.25738396624472576</v>
      </c>
      <c r="AK20" s="297">
        <f t="shared" si="31"/>
        <v>0</v>
      </c>
    </row>
    <row r="21" spans="1:37" ht="15.75" thickBot="1">
      <c r="A21" s="4">
        <f>ELEC!C21</f>
        <v>44062</v>
      </c>
      <c r="B21" s="572">
        <f t="shared" si="23"/>
        <v>9010</v>
      </c>
      <c r="C21" s="295">
        <f t="shared" si="11"/>
        <v>0</v>
      </c>
      <c r="D21" s="573">
        <f t="shared" si="24"/>
        <v>204588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9100</v>
      </c>
      <c r="I21" s="295" t="str">
        <f t="shared" si="1"/>
        <v>ok</v>
      </c>
      <c r="J21" s="573">
        <f t="shared" si="14"/>
        <v>10698</v>
      </c>
      <c r="K21" s="295">
        <f t="shared" si="2"/>
        <v>0</v>
      </c>
      <c r="L21" s="573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3">
        <f t="shared" si="25"/>
        <v>11616</v>
      </c>
      <c r="S21" s="295">
        <f t="shared" si="5"/>
        <v>0</v>
      </c>
      <c r="T21" s="573">
        <f t="shared" si="25"/>
        <v>337790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0</v>
      </c>
      <c r="AA21" s="295">
        <f t="shared" si="19"/>
        <v>0</v>
      </c>
      <c r="AB21" s="295">
        <f t="shared" si="20"/>
        <v>0</v>
      </c>
      <c r="AC21" s="295">
        <f t="shared" si="21"/>
        <v>0</v>
      </c>
      <c r="AD21" s="73">
        <f>ELEC!Q21</f>
        <v>0</v>
      </c>
      <c r="AE21" s="73" t="e">
        <f t="shared" si="26"/>
        <v>#DIV/0!</v>
      </c>
      <c r="AF21" s="413" t="e">
        <f t="shared" si="27"/>
        <v>#DIV/0!</v>
      </c>
      <c r="AG21" s="414" t="e">
        <f t="shared" si="28"/>
        <v>#DIV/0!</v>
      </c>
      <c r="AH21" s="414" t="e">
        <f t="shared" si="22"/>
        <v>#DIV/0!</v>
      </c>
      <c r="AI21" s="73">
        <f t="shared" si="29"/>
        <v>0</v>
      </c>
      <c r="AJ21" s="297">
        <f t="shared" si="9"/>
        <v>0.25738396624472576</v>
      </c>
      <c r="AK21" s="297">
        <f t="shared" si="31"/>
        <v>0</v>
      </c>
    </row>
    <row r="22" spans="1:37" ht="15.75" thickBot="1">
      <c r="A22" s="4">
        <f>ELEC!C22</f>
        <v>44063</v>
      </c>
      <c r="B22" s="572">
        <f t="shared" si="23"/>
        <v>9010</v>
      </c>
      <c r="C22" s="295">
        <f t="shared" si="11"/>
        <v>0</v>
      </c>
      <c r="D22" s="573">
        <f t="shared" si="24"/>
        <v>204588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9100</v>
      </c>
      <c r="I22" s="295" t="str">
        <f t="shared" si="1"/>
        <v>ok</v>
      </c>
      <c r="J22" s="573">
        <f t="shared" si="14"/>
        <v>10698</v>
      </c>
      <c r="K22" s="295">
        <f t="shared" si="2"/>
        <v>0</v>
      </c>
      <c r="L22" s="573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3">
        <f t="shared" si="25"/>
        <v>11616</v>
      </c>
      <c r="S22" s="295">
        <f t="shared" si="5"/>
        <v>0</v>
      </c>
      <c r="T22" s="573">
        <f t="shared" si="25"/>
        <v>337790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0</v>
      </c>
      <c r="AA22" s="295">
        <f t="shared" si="19"/>
        <v>0</v>
      </c>
      <c r="AB22" s="295">
        <f t="shared" si="20"/>
        <v>0</v>
      </c>
      <c r="AC22" s="295">
        <f t="shared" si="21"/>
        <v>0</v>
      </c>
      <c r="AD22" s="73">
        <f>ELEC!Q22</f>
        <v>0</v>
      </c>
      <c r="AE22" s="73" t="e">
        <f t="shared" si="26"/>
        <v>#DIV/0!</v>
      </c>
      <c r="AF22" s="413" t="e">
        <f t="shared" si="27"/>
        <v>#DIV/0!</v>
      </c>
      <c r="AG22" s="414" t="e">
        <f t="shared" si="28"/>
        <v>#DIV/0!</v>
      </c>
      <c r="AH22" s="414" t="e">
        <f t="shared" si="22"/>
        <v>#DIV/0!</v>
      </c>
      <c r="AI22" s="73">
        <f t="shared" si="29"/>
        <v>0</v>
      </c>
      <c r="AJ22" s="297">
        <f t="shared" si="9"/>
        <v>0.25738396624472576</v>
      </c>
      <c r="AK22" s="297">
        <f t="shared" si="31"/>
        <v>0</v>
      </c>
    </row>
    <row r="23" spans="1:37" ht="15.75" thickBot="1">
      <c r="A23" s="4">
        <f>ELEC!C23</f>
        <v>44064</v>
      </c>
      <c r="B23" s="572">
        <f t="shared" si="23"/>
        <v>9010</v>
      </c>
      <c r="C23" s="295">
        <f t="shared" si="11"/>
        <v>0</v>
      </c>
      <c r="D23" s="573">
        <f t="shared" si="24"/>
        <v>204588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9100</v>
      </c>
      <c r="I23" s="295" t="str">
        <f t="shared" si="1"/>
        <v>ok</v>
      </c>
      <c r="J23" s="573">
        <f t="shared" si="14"/>
        <v>10698</v>
      </c>
      <c r="K23" s="295">
        <f t="shared" si="2"/>
        <v>0</v>
      </c>
      <c r="L23" s="573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3">
        <f t="shared" si="25"/>
        <v>11616</v>
      </c>
      <c r="S23" s="295">
        <f t="shared" si="5"/>
        <v>0</v>
      </c>
      <c r="T23" s="573">
        <f t="shared" si="25"/>
        <v>337790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0</v>
      </c>
      <c r="AA23" s="295">
        <f t="shared" si="19"/>
        <v>0</v>
      </c>
      <c r="AB23" s="295">
        <f t="shared" si="20"/>
        <v>0</v>
      </c>
      <c r="AC23" s="295">
        <f t="shared" si="21"/>
        <v>0</v>
      </c>
      <c r="AD23" s="73">
        <f>ELEC!Q23</f>
        <v>0</v>
      </c>
      <c r="AE23" s="73" t="e">
        <f t="shared" si="26"/>
        <v>#DIV/0!</v>
      </c>
      <c r="AF23" s="413" t="e">
        <f t="shared" si="27"/>
        <v>#DIV/0!</v>
      </c>
      <c r="AG23" s="414" t="e">
        <f t="shared" si="28"/>
        <v>#DIV/0!</v>
      </c>
      <c r="AH23" s="414" t="e">
        <f t="shared" si="22"/>
        <v>#DIV/0!</v>
      </c>
      <c r="AI23" s="73">
        <f t="shared" si="29"/>
        <v>0</v>
      </c>
      <c r="AJ23" s="297">
        <f t="shared" si="9"/>
        <v>0.25738396624472576</v>
      </c>
      <c r="AK23" s="297">
        <f t="shared" si="31"/>
        <v>0</v>
      </c>
    </row>
    <row r="24" spans="1:37" ht="15.75" thickBot="1">
      <c r="A24" s="4">
        <f>ELEC!C24</f>
        <v>44065</v>
      </c>
      <c r="B24" s="572">
        <f t="shared" si="23"/>
        <v>9010</v>
      </c>
      <c r="C24" s="295">
        <f t="shared" si="11"/>
        <v>0</v>
      </c>
      <c r="D24" s="573">
        <f t="shared" si="24"/>
        <v>204588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ok</v>
      </c>
      <c r="J24" s="573">
        <f t="shared" si="14"/>
        <v>10698</v>
      </c>
      <c r="K24" s="295">
        <f t="shared" si="2"/>
        <v>0</v>
      </c>
      <c r="L24" s="573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3">
        <f t="shared" si="25"/>
        <v>11616</v>
      </c>
      <c r="S24" s="295">
        <f t="shared" si="5"/>
        <v>0</v>
      </c>
      <c r="T24" s="573">
        <f t="shared" si="25"/>
        <v>337790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0</v>
      </c>
      <c r="AA24" s="295">
        <f t="shared" si="19"/>
        <v>0</v>
      </c>
      <c r="AB24" s="295">
        <f t="shared" si="20"/>
        <v>0</v>
      </c>
      <c r="AC24" s="295">
        <f t="shared" si="21"/>
        <v>0</v>
      </c>
      <c r="AD24" s="73">
        <f>ELEC!Q24</f>
        <v>0</v>
      </c>
      <c r="AE24" s="73" t="e">
        <f t="shared" si="26"/>
        <v>#DIV/0!</v>
      </c>
      <c r="AF24" s="413" t="e">
        <f t="shared" si="27"/>
        <v>#DIV/0!</v>
      </c>
      <c r="AG24" s="414" t="e">
        <f t="shared" si="28"/>
        <v>#DIV/0!</v>
      </c>
      <c r="AH24" s="414" t="e">
        <f t="shared" si="22"/>
        <v>#DIV/0!</v>
      </c>
      <c r="AI24" s="73">
        <f t="shared" si="29"/>
        <v>0</v>
      </c>
      <c r="AJ24" s="297">
        <f t="shared" si="9"/>
        <v>0.25738396624472576</v>
      </c>
      <c r="AK24" s="297">
        <f t="shared" si="31"/>
        <v>0</v>
      </c>
    </row>
    <row r="25" spans="1:37" ht="15.75" thickBot="1">
      <c r="A25" s="4">
        <f>ELEC!C25</f>
        <v>44066</v>
      </c>
      <c r="B25" s="572">
        <f t="shared" si="23"/>
        <v>9010</v>
      </c>
      <c r="C25" s="295">
        <f t="shared" si="11"/>
        <v>0</v>
      </c>
      <c r="D25" s="573">
        <f t="shared" si="24"/>
        <v>204588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5">8920+180</f>
        <v>9100</v>
      </c>
      <c r="I25" s="295" t="str">
        <f t="shared" si="1"/>
        <v>ok</v>
      </c>
      <c r="J25" s="573">
        <f t="shared" si="14"/>
        <v>10698</v>
      </c>
      <c r="K25" s="295">
        <f t="shared" si="2"/>
        <v>0</v>
      </c>
      <c r="L25" s="573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3">
        <f t="shared" si="25"/>
        <v>11616</v>
      </c>
      <c r="S25" s="295">
        <f t="shared" si="5"/>
        <v>0</v>
      </c>
      <c r="T25" s="573">
        <f t="shared" si="25"/>
        <v>337790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0</v>
      </c>
      <c r="AA25" s="295">
        <f t="shared" si="19"/>
        <v>0</v>
      </c>
      <c r="AB25" s="295">
        <f t="shared" si="20"/>
        <v>0</v>
      </c>
      <c r="AC25" s="295">
        <f t="shared" si="21"/>
        <v>0</v>
      </c>
      <c r="AD25" s="73">
        <f>ELEC!Q25</f>
        <v>0</v>
      </c>
      <c r="AE25" s="73" t="e">
        <f t="shared" si="26"/>
        <v>#DIV/0!</v>
      </c>
      <c r="AF25" s="413" t="e">
        <f t="shared" si="27"/>
        <v>#DIV/0!</v>
      </c>
      <c r="AG25" s="414" t="e">
        <f t="shared" si="28"/>
        <v>#DIV/0!</v>
      </c>
      <c r="AH25" s="414" t="e">
        <f t="shared" si="22"/>
        <v>#DIV/0!</v>
      </c>
      <c r="AI25" s="73">
        <f t="shared" si="29"/>
        <v>0</v>
      </c>
      <c r="AJ25" s="297">
        <f t="shared" si="9"/>
        <v>0.25738396624472576</v>
      </c>
      <c r="AK25" s="297">
        <f t="shared" si="31"/>
        <v>0</v>
      </c>
    </row>
    <row r="26" spans="1:37" ht="15.75" thickBot="1">
      <c r="A26" s="4">
        <f>ELEC!C26</f>
        <v>44067</v>
      </c>
      <c r="B26" s="572">
        <f t="shared" si="23"/>
        <v>9010</v>
      </c>
      <c r="C26" s="295">
        <f t="shared" si="11"/>
        <v>0</v>
      </c>
      <c r="D26" s="573">
        <f t="shared" si="24"/>
        <v>204588</v>
      </c>
      <c r="E26" s="295">
        <f t="shared" si="12"/>
        <v>0</v>
      </c>
      <c r="F26" s="295">
        <f t="shared" si="0"/>
        <v>0</v>
      </c>
      <c r="G26" s="199"/>
      <c r="H26" s="296">
        <f t="shared" si="35"/>
        <v>9100</v>
      </c>
      <c r="I26" s="295" t="str">
        <f t="shared" si="1"/>
        <v>ok</v>
      </c>
      <c r="J26" s="573">
        <f t="shared" si="14"/>
        <v>10698</v>
      </c>
      <c r="K26" s="295">
        <f t="shared" si="2"/>
        <v>0</v>
      </c>
      <c r="L26" s="573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3">
        <f t="shared" si="25"/>
        <v>11616</v>
      </c>
      <c r="S26" s="295">
        <f t="shared" si="5"/>
        <v>0</v>
      </c>
      <c r="T26" s="573">
        <f t="shared" si="25"/>
        <v>337790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0</v>
      </c>
      <c r="AA26" s="295">
        <f t="shared" si="19"/>
        <v>0</v>
      </c>
      <c r="AB26" s="295">
        <f t="shared" si="20"/>
        <v>0</v>
      </c>
      <c r="AC26" s="295">
        <f t="shared" si="21"/>
        <v>0</v>
      </c>
      <c r="AD26" s="73">
        <f>ELEC!Q26</f>
        <v>0</v>
      </c>
      <c r="AE26" s="73" t="e">
        <f t="shared" si="26"/>
        <v>#DIV/0!</v>
      </c>
      <c r="AF26" s="413" t="e">
        <f t="shared" si="27"/>
        <v>#DIV/0!</v>
      </c>
      <c r="AG26" s="414" t="e">
        <f t="shared" si="28"/>
        <v>#DIV/0!</v>
      </c>
      <c r="AH26" s="414" t="e">
        <f t="shared" si="22"/>
        <v>#DIV/0!</v>
      </c>
      <c r="AI26" s="73">
        <f t="shared" si="29"/>
        <v>0</v>
      </c>
      <c r="AJ26" s="297">
        <f t="shared" si="9"/>
        <v>0.25738396624472576</v>
      </c>
      <c r="AK26" s="297">
        <f t="shared" si="31"/>
        <v>0</v>
      </c>
    </row>
    <row r="27" spans="1:37" ht="15.75" thickBot="1">
      <c r="A27" s="4">
        <f>ELEC!C27</f>
        <v>44068</v>
      </c>
      <c r="B27" s="572">
        <f t="shared" si="23"/>
        <v>9010</v>
      </c>
      <c r="C27" s="295">
        <f t="shared" si="11"/>
        <v>0</v>
      </c>
      <c r="D27" s="573">
        <f t="shared" si="24"/>
        <v>204588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3">
        <f t="shared" si="14"/>
        <v>10698</v>
      </c>
      <c r="K27" s="295">
        <f t="shared" si="2"/>
        <v>0</v>
      </c>
      <c r="L27" s="573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3">
        <f t="shared" si="25"/>
        <v>11616</v>
      </c>
      <c r="S27" s="295">
        <f t="shared" si="5"/>
        <v>0</v>
      </c>
      <c r="T27" s="573">
        <f t="shared" si="25"/>
        <v>337790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6"/>
        <v>#DIV/0!</v>
      </c>
      <c r="AF27" s="413" t="e">
        <f t="shared" si="27"/>
        <v>#DIV/0!</v>
      </c>
      <c r="AG27" s="414" t="e">
        <f t="shared" si="28"/>
        <v>#DIV/0!</v>
      </c>
      <c r="AH27" s="414" t="e">
        <f t="shared" si="22"/>
        <v>#DIV/0!</v>
      </c>
      <c r="AI27" s="73">
        <f t="shared" si="29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72">
        <f t="shared" si="23"/>
        <v>9010</v>
      </c>
      <c r="C28" s="295">
        <f t="shared" si="11"/>
        <v>0</v>
      </c>
      <c r="D28" s="573">
        <f t="shared" si="24"/>
        <v>204588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3">
        <f t="shared" si="14"/>
        <v>10698</v>
      </c>
      <c r="K28" s="295">
        <f t="shared" si="2"/>
        <v>0</v>
      </c>
      <c r="L28" s="573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3">
        <f t="shared" si="25"/>
        <v>11616</v>
      </c>
      <c r="S28" s="295">
        <f t="shared" si="5"/>
        <v>0</v>
      </c>
      <c r="T28" s="573">
        <f t="shared" si="25"/>
        <v>337790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6"/>
        <v>#DIV/0!</v>
      </c>
      <c r="AF28" s="413" t="e">
        <f t="shared" si="27"/>
        <v>#DIV/0!</v>
      </c>
      <c r="AG28" s="414" t="e">
        <f t="shared" si="28"/>
        <v>#DIV/0!</v>
      </c>
      <c r="AH28" s="414" t="e">
        <f t="shared" si="22"/>
        <v>#DIV/0!</v>
      </c>
      <c r="AI28" s="73">
        <f t="shared" si="29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72">
        <f t="shared" si="23"/>
        <v>9010</v>
      </c>
      <c r="C29" s="295">
        <f t="shared" si="11"/>
        <v>0</v>
      </c>
      <c r="D29" s="573">
        <f t="shared" si="24"/>
        <v>204588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3">
        <f t="shared" si="14"/>
        <v>10698</v>
      </c>
      <c r="K29" s="295">
        <f t="shared" si="2"/>
        <v>0</v>
      </c>
      <c r="L29" s="573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3">
        <f t="shared" si="25"/>
        <v>11616</v>
      </c>
      <c r="S29" s="295">
        <f t="shared" si="5"/>
        <v>0</v>
      </c>
      <c r="T29" s="573">
        <f t="shared" si="25"/>
        <v>337790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6"/>
        <v>#DIV/0!</v>
      </c>
      <c r="AF29" s="413" t="e">
        <f t="shared" si="27"/>
        <v>#DIV/0!</v>
      </c>
      <c r="AG29" s="414" t="e">
        <f t="shared" si="28"/>
        <v>#DIV/0!</v>
      </c>
      <c r="AH29" s="414" t="e">
        <f t="shared" si="22"/>
        <v>#DIV/0!</v>
      </c>
      <c r="AI29" s="73">
        <f t="shared" si="29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72">
        <f t="shared" si="23"/>
        <v>9010</v>
      </c>
      <c r="C30" s="295">
        <f t="shared" si="11"/>
        <v>0</v>
      </c>
      <c r="D30" s="573">
        <f t="shared" si="24"/>
        <v>204588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3">
        <f t="shared" si="14"/>
        <v>10698</v>
      </c>
      <c r="K30" s="295">
        <f t="shared" si="2"/>
        <v>0</v>
      </c>
      <c r="L30" s="573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3">
        <f t="shared" si="25"/>
        <v>11616</v>
      </c>
      <c r="S30" s="295">
        <f t="shared" si="5"/>
        <v>0</v>
      </c>
      <c r="T30" s="573">
        <f t="shared" si="25"/>
        <v>337790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6"/>
        <v>#DIV/0!</v>
      </c>
      <c r="AF30" s="413" t="e">
        <f t="shared" si="27"/>
        <v>#DIV/0!</v>
      </c>
      <c r="AG30" s="414" t="e">
        <f t="shared" si="28"/>
        <v>#DIV/0!</v>
      </c>
      <c r="AH30" s="414" t="e">
        <f t="shared" si="22"/>
        <v>#DIV/0!</v>
      </c>
      <c r="AI30" s="73">
        <f t="shared" si="29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72">
        <f t="shared" si="23"/>
        <v>9010</v>
      </c>
      <c r="C31" s="295">
        <f t="shared" si="11"/>
        <v>0</v>
      </c>
      <c r="D31" s="573">
        <f t="shared" si="24"/>
        <v>204588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3">
        <f t="shared" si="14"/>
        <v>10698</v>
      </c>
      <c r="K31" s="295">
        <f t="shared" si="2"/>
        <v>0</v>
      </c>
      <c r="L31" s="573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3">
        <f t="shared" si="25"/>
        <v>11616</v>
      </c>
      <c r="S31" s="295">
        <f t="shared" si="5"/>
        <v>0</v>
      </c>
      <c r="T31" s="573">
        <f t="shared" si="25"/>
        <v>337790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6"/>
        <v>#DIV/0!</v>
      </c>
      <c r="AF31" s="413" t="e">
        <f t="shared" si="27"/>
        <v>#DIV/0!</v>
      </c>
      <c r="AG31" s="414" t="e">
        <f t="shared" si="28"/>
        <v>#DIV/0!</v>
      </c>
      <c r="AH31" s="414" t="e">
        <f t="shared" si="22"/>
        <v>#DIV/0!</v>
      </c>
      <c r="AI31" s="73">
        <f t="shared" si="29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72">
        <f t="shared" si="23"/>
        <v>9010</v>
      </c>
      <c r="C32" s="295">
        <f t="shared" si="11"/>
        <v>0</v>
      </c>
      <c r="D32" s="573">
        <f t="shared" si="24"/>
        <v>204588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3">
        <f t="shared" si="14"/>
        <v>10698</v>
      </c>
      <c r="K32" s="295">
        <f>J32-J31</f>
        <v>0</v>
      </c>
      <c r="L32" s="573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3">
        <f t="shared" si="25"/>
        <v>11616</v>
      </c>
      <c r="S32" s="295">
        <f t="shared" si="5"/>
        <v>0</v>
      </c>
      <c r="T32" s="573">
        <f t="shared" si="25"/>
        <v>337790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6"/>
        <v>#DIV/0!</v>
      </c>
      <c r="AF32" s="413" t="e">
        <f t="shared" si="27"/>
        <v>#DIV/0!</v>
      </c>
      <c r="AG32" s="414" t="e">
        <f t="shared" si="28"/>
        <v>#DIV/0!</v>
      </c>
      <c r="AH32" s="414" t="e">
        <f t="shared" si="22"/>
        <v>#DIV/0!</v>
      </c>
      <c r="AI32" s="73">
        <f t="shared" si="29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72">
        <f t="shared" si="23"/>
        <v>9010</v>
      </c>
      <c r="C33" s="295">
        <f t="shared" ref="C33" si="36">B33-B32</f>
        <v>0</v>
      </c>
      <c r="D33" s="573">
        <f t="shared" si="24"/>
        <v>204588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3">
        <f t="shared" si="14"/>
        <v>10698</v>
      </c>
      <c r="K33" s="295">
        <f>J33-J32</f>
        <v>0</v>
      </c>
      <c r="L33" s="573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3">
        <f t="shared" si="25"/>
        <v>11616</v>
      </c>
      <c r="S33" s="295">
        <f t="shared" ref="S33" si="43">R33-R32</f>
        <v>0</v>
      </c>
      <c r="T33" s="573">
        <f t="shared" si="25"/>
        <v>337790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34</v>
      </c>
      <c r="V34" s="40"/>
      <c r="X34">
        <v>341</v>
      </c>
      <c r="Z34" s="432">
        <f>SUM(Z3:Z32)</f>
        <v>34</v>
      </c>
    </row>
    <row r="35" spans="1:37">
      <c r="C35" s="40">
        <f>SUM(C3:C32)</f>
        <v>13</v>
      </c>
      <c r="K35" s="40">
        <f>SUM(K3:K32)</f>
        <v>0</v>
      </c>
      <c r="S35" s="40">
        <f>SUM(S3:S32)</f>
        <v>21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-7.8999999999999986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44046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44047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44048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44049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44050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44051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44052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44053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44054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44055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44056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44057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44058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44059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44060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44061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44062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44063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44064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44065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1"/>
      <c r="B1" s="638" t="s">
        <v>119</v>
      </c>
      <c r="C1" s="638" t="s">
        <v>118</v>
      </c>
      <c r="D1" s="643" t="s">
        <v>113</v>
      </c>
      <c r="E1" s="643" t="s">
        <v>114</v>
      </c>
      <c r="F1" s="644" t="s">
        <v>120</v>
      </c>
      <c r="G1" s="645" t="s">
        <v>75</v>
      </c>
      <c r="H1" s="646" t="s">
        <v>115</v>
      </c>
      <c r="I1" s="647" t="s">
        <v>116</v>
      </c>
      <c r="J1" s="646" t="s">
        <v>117</v>
      </c>
      <c r="K1" s="640" t="s">
        <v>121</v>
      </c>
      <c r="L1" s="640" t="s">
        <v>122</v>
      </c>
      <c r="M1" s="640" t="s">
        <v>123</v>
      </c>
      <c r="N1" s="640" t="s">
        <v>124</v>
      </c>
    </row>
    <row r="2" spans="1:14">
      <c r="A2" s="642"/>
      <c r="B2" s="639"/>
      <c r="C2" s="639"/>
      <c r="D2" s="643"/>
      <c r="E2" s="643"/>
      <c r="F2" s="644"/>
      <c r="G2" s="645"/>
      <c r="H2" s="646"/>
      <c r="I2" s="648"/>
      <c r="J2" s="646"/>
      <c r="K2" s="640"/>
      <c r="L2" s="640"/>
      <c r="M2" s="640"/>
      <c r="N2" s="64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0</v>
      </c>
      <c r="C7" s="76">
        <f>'B5'!AH7</f>
        <v>0</v>
      </c>
      <c r="D7" s="76">
        <f>GEN!AI5</f>
        <v>0</v>
      </c>
      <c r="E7" s="247">
        <f t="shared" si="0"/>
        <v>0</v>
      </c>
      <c r="F7" s="75">
        <f>WATER!L7</f>
        <v>7</v>
      </c>
      <c r="G7" s="78">
        <f>WATER!BG7</f>
        <v>-93.4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0</v>
      </c>
      <c r="C9" s="76">
        <f>'B5'!AH9</f>
        <v>0</v>
      </c>
      <c r="D9" s="76">
        <f>GEN!AI7</f>
        <v>0</v>
      </c>
      <c r="E9" s="247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0</v>
      </c>
      <c r="E10" s="247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0</v>
      </c>
      <c r="E11" s="247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0</v>
      </c>
      <c r="E12" s="247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44060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9" t="s">
        <v>151</v>
      </c>
      <c r="U3" s="64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zoomScale="80" zoomScaleNormal="80" workbookViewId="0">
      <selection activeCell="M5" sqref="M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70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70">
        <v>30051</v>
      </c>
      <c r="G4" s="160">
        <f t="shared" ref="G4:G32" si="1">F4-F3</f>
        <v>0</v>
      </c>
      <c r="H4" s="570">
        <v>103383</v>
      </c>
      <c r="I4" s="161">
        <f t="shared" ref="I4:I33" si="2">H4-H3</f>
        <v>3514</v>
      </c>
      <c r="J4" s="570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14.98093921650851</v>
      </c>
      <c r="P4" s="305">
        <f>SUM(L4:O4)</f>
        <v>338.2499276078849</v>
      </c>
      <c r="Q4" s="305">
        <f>SUM(-tanks!AX6*tanks!$AU$37)</f>
        <v>0</v>
      </c>
      <c r="R4" s="305">
        <f>SUM(P4:Q4)</f>
        <v>338.2499276078849</v>
      </c>
      <c r="S4" s="307">
        <f>SUM(ELEC!N3)</f>
        <v>25351</v>
      </c>
      <c r="T4" s="344">
        <f>IF(S4&gt;0,R4/S4,0)</f>
        <v>1.3342666072655315E-2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63"/>
      <c r="AC4" s="664"/>
    </row>
    <row r="5" spans="1:30" ht="15.75" thickBot="1">
      <c r="A5" s="163">
        <f>ELEC!C4</f>
        <v>44045</v>
      </c>
      <c r="B5" s="570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70">
        <v>31607</v>
      </c>
      <c r="G5" s="160">
        <f t="shared" si="1"/>
        <v>1556</v>
      </c>
      <c r="H5" s="570">
        <v>107210</v>
      </c>
      <c r="I5" s="161">
        <f t="shared" si="2"/>
        <v>3827</v>
      </c>
      <c r="J5" s="570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14.98093921650851</v>
      </c>
      <c r="P5" s="305">
        <f t="shared" ref="P5:P32" si="9">SUM(L5:O5)</f>
        <v>766.36004369412046</v>
      </c>
      <c r="Q5" s="305">
        <f>SUM(-tanks!AX7*tanks!$AU$37)</f>
        <v>0</v>
      </c>
      <c r="R5" s="305">
        <f t="shared" ref="R5:R32" si="10">SUM(P5:Q5)</f>
        <v>766.36004369412046</v>
      </c>
      <c r="S5" s="307">
        <f>SUM(ELEC!N4)</f>
        <v>24732</v>
      </c>
      <c r="T5" s="344">
        <f>IF(S5&gt;0,R5/S5,0)</f>
        <v>3.0986577862450286E-2</v>
      </c>
      <c r="U5" s="255"/>
      <c r="V5" s="657"/>
      <c r="W5" s="658"/>
      <c r="X5" s="658"/>
      <c r="Y5" s="659"/>
      <c r="Z5" s="26" t="s">
        <v>203</v>
      </c>
      <c r="AA5" s="270">
        <f>'[5]EDl log'!AA22</f>
        <v>5000</v>
      </c>
      <c r="AB5" s="665"/>
      <c r="AC5" s="666"/>
    </row>
    <row r="6" spans="1:30" ht="15.75" thickBot="1">
      <c r="A6" s="163">
        <f>ELEC!C5</f>
        <v>44046</v>
      </c>
      <c r="B6" s="570">
        <f t="shared" ref="B6:B34" si="11">B5</f>
        <v>218655</v>
      </c>
      <c r="C6" s="270">
        <f t="shared" si="0"/>
        <v>0</v>
      </c>
      <c r="D6" s="316">
        <f t="shared" si="7"/>
        <v>0</v>
      </c>
      <c r="E6" s="316">
        <f t="shared" ref="E6:E34" si="12">B5+D6</f>
        <v>218655</v>
      </c>
      <c r="F6" s="570">
        <f t="shared" ref="F6:J34" si="13">F5</f>
        <v>31607</v>
      </c>
      <c r="G6" s="160">
        <f t="shared" si="1"/>
        <v>0</v>
      </c>
      <c r="H6" s="570">
        <f t="shared" si="13"/>
        <v>107210</v>
      </c>
      <c r="I6" s="161">
        <f t="shared" si="2"/>
        <v>0</v>
      </c>
      <c r="J6" s="570">
        <f t="shared" si="13"/>
        <v>79840</v>
      </c>
      <c r="K6" s="162">
        <f t="shared" si="3"/>
        <v>0</v>
      </c>
      <c r="L6" s="304">
        <f t="shared" si="4"/>
        <v>0</v>
      </c>
      <c r="M6" s="304">
        <f t="shared" si="5"/>
        <v>0</v>
      </c>
      <c r="N6" s="304">
        <f t="shared" si="6"/>
        <v>0</v>
      </c>
      <c r="O6" s="304">
        <f t="shared" si="8"/>
        <v>14.98093921650851</v>
      </c>
      <c r="P6" s="305">
        <f t="shared" si="9"/>
        <v>14.98093921650851</v>
      </c>
      <c r="Q6" s="305">
        <f>SUM(-tanks!AX8*tanks!$AU$37)</f>
        <v>0</v>
      </c>
      <c r="R6" s="305">
        <f t="shared" si="10"/>
        <v>14.98093921650851</v>
      </c>
      <c r="S6" s="307">
        <f>SUM(ELEC!N5)</f>
        <v>0</v>
      </c>
      <c r="T6" s="344">
        <f t="shared" ref="T6:T32" si="14">IF(S6&gt;0,R6/S6,0)</f>
        <v>0</v>
      </c>
      <c r="V6" s="660"/>
      <c r="W6" s="661"/>
      <c r="X6" s="661"/>
      <c r="Y6" s="662"/>
      <c r="Z6" s="3"/>
      <c r="AA6" s="3"/>
      <c r="AB6" s="665"/>
      <c r="AC6" s="666"/>
    </row>
    <row r="7" spans="1:30" ht="15" customHeight="1" thickBot="1">
      <c r="A7" s="163">
        <f>ELEC!C6</f>
        <v>44047</v>
      </c>
      <c r="B7" s="570">
        <f t="shared" si="11"/>
        <v>218655</v>
      </c>
      <c r="C7" s="270">
        <f t="shared" si="0"/>
        <v>0</v>
      </c>
      <c r="D7" s="316">
        <f t="shared" si="7"/>
        <v>0</v>
      </c>
      <c r="E7" s="316">
        <f t="shared" si="12"/>
        <v>218655</v>
      </c>
      <c r="F7" s="570">
        <f t="shared" si="13"/>
        <v>31607</v>
      </c>
      <c r="G7" s="160">
        <f t="shared" si="1"/>
        <v>0</v>
      </c>
      <c r="H7" s="570">
        <f t="shared" si="13"/>
        <v>107210</v>
      </c>
      <c r="I7" s="161">
        <f t="shared" si="2"/>
        <v>0</v>
      </c>
      <c r="J7" s="570">
        <f t="shared" si="13"/>
        <v>79840</v>
      </c>
      <c r="K7" s="162">
        <f t="shared" si="3"/>
        <v>0</v>
      </c>
      <c r="L7" s="304">
        <f t="shared" si="4"/>
        <v>0</v>
      </c>
      <c r="M7" s="304">
        <f t="shared" si="5"/>
        <v>0</v>
      </c>
      <c r="N7" s="304">
        <f t="shared" si="6"/>
        <v>0</v>
      </c>
      <c r="O7" s="304">
        <f t="shared" si="8"/>
        <v>14.98093921650851</v>
      </c>
      <c r="P7" s="305">
        <f t="shared" si="9"/>
        <v>14.98093921650851</v>
      </c>
      <c r="Q7" s="305">
        <f>SUM(-tanks!AX9*tanks!$AU$37)</f>
        <v>0</v>
      </c>
      <c r="R7" s="305">
        <f t="shared" si="10"/>
        <v>14.98093921650851</v>
      </c>
      <c r="S7" s="307">
        <f>SUM(ELEC!N6)</f>
        <v>0</v>
      </c>
      <c r="T7" s="344">
        <f t="shared" si="14"/>
        <v>0</v>
      </c>
      <c r="V7" s="653" t="s">
        <v>204</v>
      </c>
      <c r="W7" s="654"/>
      <c r="X7" s="655" t="s">
        <v>205</v>
      </c>
      <c r="Y7" s="656"/>
      <c r="Z7" s="654"/>
      <c r="AA7" s="26"/>
      <c r="AB7" s="667"/>
      <c r="AC7" s="668"/>
    </row>
    <row r="8" spans="1:30" ht="15.75" customHeight="1" thickBot="1">
      <c r="A8" s="163">
        <f>ELEC!C7</f>
        <v>44048</v>
      </c>
      <c r="B8" s="570">
        <f t="shared" si="11"/>
        <v>218655</v>
      </c>
      <c r="C8" s="270">
        <f t="shared" si="0"/>
        <v>0</v>
      </c>
      <c r="D8" s="316">
        <f t="shared" si="7"/>
        <v>0</v>
      </c>
      <c r="E8" s="316">
        <f t="shared" si="12"/>
        <v>218655</v>
      </c>
      <c r="F8" s="570">
        <f t="shared" si="13"/>
        <v>31607</v>
      </c>
      <c r="G8" s="160">
        <f t="shared" si="1"/>
        <v>0</v>
      </c>
      <c r="H8" s="570">
        <f t="shared" si="13"/>
        <v>107210</v>
      </c>
      <c r="I8" s="161">
        <f t="shared" si="2"/>
        <v>0</v>
      </c>
      <c r="J8" s="570">
        <f t="shared" si="13"/>
        <v>79840</v>
      </c>
      <c r="K8" s="162">
        <f>J8-J7</f>
        <v>0</v>
      </c>
      <c r="L8" s="304">
        <f t="shared" si="4"/>
        <v>0</v>
      </c>
      <c r="M8" s="304">
        <f t="shared" si="5"/>
        <v>0</v>
      </c>
      <c r="N8" s="304">
        <f t="shared" si="6"/>
        <v>0</v>
      </c>
      <c r="O8" s="304">
        <f t="shared" si="8"/>
        <v>14.98093921650851</v>
      </c>
      <c r="P8" s="305">
        <f t="shared" si="9"/>
        <v>14.98093921650851</v>
      </c>
      <c r="Q8" s="305">
        <f>SUM(-tanks!AX10*tanks!$AU$37)</f>
        <v>0</v>
      </c>
      <c r="R8" s="305">
        <f t="shared" si="10"/>
        <v>14.98093921650851</v>
      </c>
      <c r="S8" s="307">
        <f>SUM(ELEC!N7)</f>
        <v>0</v>
      </c>
      <c r="T8" s="344">
        <f>IF(S8&gt;0,R8/S8,0)</f>
        <v>0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70">
        <f t="shared" si="11"/>
        <v>218655</v>
      </c>
      <c r="C9" s="270">
        <f t="shared" si="0"/>
        <v>0</v>
      </c>
      <c r="D9" s="316">
        <f t="shared" si="7"/>
        <v>0</v>
      </c>
      <c r="E9" s="316">
        <f t="shared" si="12"/>
        <v>218655</v>
      </c>
      <c r="F9" s="570">
        <f t="shared" si="13"/>
        <v>31607</v>
      </c>
      <c r="G9" s="160">
        <f t="shared" si="1"/>
        <v>0</v>
      </c>
      <c r="H9" s="570">
        <f t="shared" si="13"/>
        <v>107210</v>
      </c>
      <c r="I9" s="161">
        <f t="shared" si="2"/>
        <v>0</v>
      </c>
      <c r="J9" s="570">
        <f t="shared" si="13"/>
        <v>79840</v>
      </c>
      <c r="K9" s="162">
        <f>J9-J8</f>
        <v>0</v>
      </c>
      <c r="L9" s="304">
        <f t="shared" si="4"/>
        <v>0</v>
      </c>
      <c r="M9" s="304">
        <f t="shared" si="5"/>
        <v>0</v>
      </c>
      <c r="N9" s="304">
        <f t="shared" si="6"/>
        <v>0</v>
      </c>
      <c r="O9" s="304">
        <f t="shared" si="8"/>
        <v>14.98093921650851</v>
      </c>
      <c r="P9" s="305">
        <f t="shared" si="9"/>
        <v>14.98093921650851</v>
      </c>
      <c r="Q9" s="305">
        <f>SUM(-tanks!AX11*tanks!$AU$37)</f>
        <v>0</v>
      </c>
      <c r="R9" s="305">
        <f>SUM(P9:Q9)</f>
        <v>14.98093921650851</v>
      </c>
      <c r="S9" s="307">
        <f>SUM(ELEC!N8)</f>
        <v>0</v>
      </c>
      <c r="T9" s="344">
        <f t="shared" si="14"/>
        <v>0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70">
        <f t="shared" si="11"/>
        <v>218655</v>
      </c>
      <c r="C10" s="270">
        <f t="shared" si="0"/>
        <v>0</v>
      </c>
      <c r="D10" s="316">
        <f t="shared" si="7"/>
        <v>0</v>
      </c>
      <c r="E10" s="316">
        <f t="shared" si="12"/>
        <v>218655</v>
      </c>
      <c r="F10" s="570">
        <f t="shared" si="13"/>
        <v>31607</v>
      </c>
      <c r="G10" s="160">
        <f t="shared" si="1"/>
        <v>0</v>
      </c>
      <c r="H10" s="570">
        <f t="shared" si="13"/>
        <v>107210</v>
      </c>
      <c r="I10" s="161">
        <f t="shared" si="2"/>
        <v>0</v>
      </c>
      <c r="J10" s="570">
        <f t="shared" si="13"/>
        <v>79840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14.98093921650851</v>
      </c>
      <c r="P10" s="305">
        <f t="shared" si="9"/>
        <v>14.98093921650851</v>
      </c>
      <c r="Q10" s="305">
        <f>SUM(-tanks!AX12*tanks!$AU$37)</f>
        <v>0</v>
      </c>
      <c r="R10" s="305">
        <f t="shared" si="10"/>
        <v>14.98093921650851</v>
      </c>
      <c r="S10" s="307">
        <f>SUM(ELEC!N9)</f>
        <v>0</v>
      </c>
      <c r="T10" s="344">
        <f t="shared" si="14"/>
        <v>0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70">
        <f t="shared" si="11"/>
        <v>218655</v>
      </c>
      <c r="C11" s="270">
        <f t="shared" si="0"/>
        <v>0</v>
      </c>
      <c r="D11" s="316">
        <f>SUM(G11+I11+K11)</f>
        <v>0</v>
      </c>
      <c r="E11" s="316">
        <f t="shared" si="12"/>
        <v>218655</v>
      </c>
      <c r="F11" s="570">
        <f t="shared" si="13"/>
        <v>31607</v>
      </c>
      <c r="G11" s="160">
        <f t="shared" si="1"/>
        <v>0</v>
      </c>
      <c r="H11" s="570">
        <f t="shared" si="13"/>
        <v>107210</v>
      </c>
      <c r="I11" s="161">
        <f t="shared" si="2"/>
        <v>0</v>
      </c>
      <c r="J11" s="570">
        <f t="shared" si="13"/>
        <v>79840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14.98093921650851</v>
      </c>
      <c r="P11" s="305">
        <f t="shared" si="9"/>
        <v>14.98093921650851</v>
      </c>
      <c r="Q11" s="305">
        <f>SUM(-tanks!AX13*tanks!$AU$37)</f>
        <v>0</v>
      </c>
      <c r="R11" s="305">
        <f t="shared" si="10"/>
        <v>14.98093921650851</v>
      </c>
      <c r="S11" s="307">
        <f>SUM(ELEC!N10)</f>
        <v>0</v>
      </c>
      <c r="T11" s="344">
        <f t="shared" si="14"/>
        <v>0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70">
        <f t="shared" si="11"/>
        <v>218655</v>
      </c>
      <c r="C12" s="270">
        <f t="shared" si="0"/>
        <v>0</v>
      </c>
      <c r="D12" s="316">
        <f t="shared" si="7"/>
        <v>0</v>
      </c>
      <c r="E12" s="316">
        <f t="shared" si="12"/>
        <v>218655</v>
      </c>
      <c r="F12" s="570">
        <f t="shared" si="13"/>
        <v>31607</v>
      </c>
      <c r="G12" s="160">
        <f t="shared" si="1"/>
        <v>0</v>
      </c>
      <c r="H12" s="570">
        <f t="shared" si="13"/>
        <v>107210</v>
      </c>
      <c r="I12" s="161">
        <f t="shared" si="2"/>
        <v>0</v>
      </c>
      <c r="J12" s="570">
        <f t="shared" si="13"/>
        <v>79840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8"/>
        <v>14.98093921650851</v>
      </c>
      <c r="P12" s="305">
        <f t="shared" si="9"/>
        <v>14.98093921650851</v>
      </c>
      <c r="Q12" s="305">
        <f>SUM(-tanks!AX14*tanks!$AU$37)</f>
        <v>0</v>
      </c>
      <c r="R12" s="305">
        <f t="shared" si="10"/>
        <v>14.98093921650851</v>
      </c>
      <c r="S12" s="307">
        <f>SUM(ELEC!N11)</f>
        <v>0</v>
      </c>
      <c r="T12" s="344">
        <f t="shared" si="14"/>
        <v>0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70">
        <f t="shared" si="11"/>
        <v>218655</v>
      </c>
      <c r="C13" s="270">
        <f t="shared" si="0"/>
        <v>0</v>
      </c>
      <c r="D13" s="316">
        <f t="shared" si="7"/>
        <v>0</v>
      </c>
      <c r="E13" s="316">
        <f t="shared" si="12"/>
        <v>218655</v>
      </c>
      <c r="F13" s="570">
        <f t="shared" si="13"/>
        <v>31607</v>
      </c>
      <c r="G13" s="160">
        <f t="shared" si="1"/>
        <v>0</v>
      </c>
      <c r="H13" s="570">
        <f t="shared" si="13"/>
        <v>107210</v>
      </c>
      <c r="I13" s="161">
        <f t="shared" si="2"/>
        <v>0</v>
      </c>
      <c r="J13" s="570">
        <f t="shared" si="13"/>
        <v>79840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14.98093921650851</v>
      </c>
      <c r="P13" s="305">
        <f t="shared" si="9"/>
        <v>14.98093921650851</v>
      </c>
      <c r="Q13" s="305">
        <f>SUM(-tanks!AX15*tanks!$AU$37)</f>
        <v>0</v>
      </c>
      <c r="R13" s="305">
        <f t="shared" si="10"/>
        <v>14.98093921650851</v>
      </c>
      <c r="S13" s="307">
        <f>SUM(ELEC!N12)</f>
        <v>0</v>
      </c>
      <c r="T13" s="344">
        <f t="shared" si="14"/>
        <v>0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82">
        <f>ELEC!C13</f>
        <v>44054</v>
      </c>
      <c r="B14" s="570">
        <f t="shared" si="11"/>
        <v>218655</v>
      </c>
      <c r="C14" s="270">
        <f t="shared" si="0"/>
        <v>0</v>
      </c>
      <c r="D14" s="316">
        <f t="shared" si="7"/>
        <v>0</v>
      </c>
      <c r="E14" s="316">
        <f t="shared" si="12"/>
        <v>218655</v>
      </c>
      <c r="F14" s="570">
        <f t="shared" si="13"/>
        <v>31607</v>
      </c>
      <c r="G14" s="160">
        <f t="shared" si="1"/>
        <v>0</v>
      </c>
      <c r="H14" s="570">
        <f t="shared" si="13"/>
        <v>107210</v>
      </c>
      <c r="I14" s="161">
        <f t="shared" si="2"/>
        <v>0</v>
      </c>
      <c r="J14" s="570">
        <f t="shared" si="13"/>
        <v>79840</v>
      </c>
      <c r="K14" s="162">
        <f t="shared" ref="K14:K17" si="15">J14-J13</f>
        <v>0</v>
      </c>
      <c r="L14" s="304">
        <f t="shared" ref="L14:L17" si="16">SUM(G14*$Y$28)/1507.5</f>
        <v>0</v>
      </c>
      <c r="M14" s="304">
        <f t="shared" ref="M14:M17" si="17">SUM(I14*$Y$27)/1507.5</f>
        <v>0</v>
      </c>
      <c r="N14" s="304">
        <f t="shared" ref="N14:N17" si="18">SUM(K14*$Y$26)/1507.5</f>
        <v>0</v>
      </c>
      <c r="O14" s="304">
        <f t="shared" ref="O14:O17" si="19">($AC$31/$A$39)/1507.5</f>
        <v>14.98093921650851</v>
      </c>
      <c r="P14" s="305">
        <f t="shared" ref="P14:P17" si="20">SUM(L14:O14)</f>
        <v>14.98093921650851</v>
      </c>
      <c r="Q14" s="305">
        <f>SUM(-tanks!AX16*tanks!$AU$37)</f>
        <v>0</v>
      </c>
      <c r="R14" s="305">
        <f t="shared" ref="R14:R17" si="21">SUM(P14:Q14)</f>
        <v>14.98093921650851</v>
      </c>
      <c r="S14" s="307">
        <f>SUM(ELEC!N13)</f>
        <v>0</v>
      </c>
      <c r="T14" s="344">
        <f t="shared" ref="T14:T17" si="22">IF(S14&gt;0,R14/S14,0)</f>
        <v>0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70">
        <f t="shared" si="11"/>
        <v>218655</v>
      </c>
      <c r="C15" s="270">
        <f t="shared" si="0"/>
        <v>0</v>
      </c>
      <c r="D15" s="316">
        <f t="shared" si="7"/>
        <v>0</v>
      </c>
      <c r="E15" s="316">
        <f t="shared" si="12"/>
        <v>218655</v>
      </c>
      <c r="F15" s="570">
        <f t="shared" si="13"/>
        <v>31607</v>
      </c>
      <c r="G15" s="160">
        <f t="shared" si="1"/>
        <v>0</v>
      </c>
      <c r="H15" s="570">
        <f t="shared" si="13"/>
        <v>107210</v>
      </c>
      <c r="I15" s="161">
        <f t="shared" si="2"/>
        <v>0</v>
      </c>
      <c r="J15" s="570">
        <f t="shared" si="13"/>
        <v>79840</v>
      </c>
      <c r="K15" s="162">
        <f t="shared" si="15"/>
        <v>0</v>
      </c>
      <c r="L15" s="304">
        <f t="shared" si="16"/>
        <v>0</v>
      </c>
      <c r="M15" s="304">
        <f t="shared" si="17"/>
        <v>0</v>
      </c>
      <c r="N15" s="304">
        <f t="shared" si="18"/>
        <v>0</v>
      </c>
      <c r="O15" s="304">
        <f t="shared" si="19"/>
        <v>14.98093921650851</v>
      </c>
      <c r="P15" s="305">
        <f t="shared" si="20"/>
        <v>14.98093921650851</v>
      </c>
      <c r="Q15" s="305">
        <f>SUM(-tanks!AX17*tanks!$AU$37)</f>
        <v>0</v>
      </c>
      <c r="R15" s="305">
        <f t="shared" si="21"/>
        <v>14.98093921650851</v>
      </c>
      <c r="S15" s="307">
        <f>SUM(ELEC!N14)</f>
        <v>0</v>
      </c>
      <c r="T15" s="344">
        <f t="shared" si="22"/>
        <v>0</v>
      </c>
      <c r="V15" s="270" t="str">
        <f>'[5]EDl log'!V32</f>
        <v>H Deg</v>
      </c>
      <c r="W15" s="270">
        <f>'[1]EDl log'!W32</f>
        <v>-549.00000000000011</v>
      </c>
      <c r="X15" s="583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70">
        <f t="shared" si="11"/>
        <v>218655</v>
      </c>
      <c r="C16" s="270">
        <f t="shared" si="0"/>
        <v>0</v>
      </c>
      <c r="D16" s="316">
        <f t="shared" si="7"/>
        <v>0</v>
      </c>
      <c r="E16" s="316">
        <f t="shared" si="12"/>
        <v>218655</v>
      </c>
      <c r="F16" s="570">
        <f t="shared" si="13"/>
        <v>31607</v>
      </c>
      <c r="G16" s="160">
        <f t="shared" si="1"/>
        <v>0</v>
      </c>
      <c r="H16" s="570">
        <f t="shared" si="13"/>
        <v>107210</v>
      </c>
      <c r="I16" s="161">
        <f t="shared" si="2"/>
        <v>0</v>
      </c>
      <c r="J16" s="570">
        <f t="shared" si="13"/>
        <v>79840</v>
      </c>
      <c r="K16" s="162">
        <f t="shared" si="15"/>
        <v>0</v>
      </c>
      <c r="L16" s="304">
        <f t="shared" si="16"/>
        <v>0</v>
      </c>
      <c r="M16" s="304">
        <f t="shared" si="17"/>
        <v>0</v>
      </c>
      <c r="N16" s="304">
        <f t="shared" si="18"/>
        <v>0</v>
      </c>
      <c r="O16" s="304">
        <f t="shared" si="19"/>
        <v>14.98093921650851</v>
      </c>
      <c r="P16" s="305">
        <f t="shared" si="20"/>
        <v>14.98093921650851</v>
      </c>
      <c r="Q16" s="305">
        <f>SUM(-tanks!AX18*tanks!$AU$37)</f>
        <v>0</v>
      </c>
      <c r="R16" s="305">
        <f t="shared" si="21"/>
        <v>14.98093921650851</v>
      </c>
      <c r="S16" s="307">
        <f>SUM(ELEC!N15)</f>
        <v>0</v>
      </c>
      <c r="T16" s="344">
        <f t="shared" si="22"/>
        <v>0</v>
      </c>
      <c r="V16" s="270" t="str">
        <f>'[5]EDl log'!V33</f>
        <v>C Deg</v>
      </c>
      <c r="W16" s="270">
        <f>'[1]EDl log'!W33</f>
        <v>0</v>
      </c>
      <c r="X16" s="583">
        <f>'[2]EDl log'!X16</f>
        <v>0</v>
      </c>
      <c r="Y16" s="583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70">
        <f t="shared" si="11"/>
        <v>218655</v>
      </c>
      <c r="C17" s="270">
        <f t="shared" si="0"/>
        <v>0</v>
      </c>
      <c r="D17" s="316">
        <f t="shared" si="7"/>
        <v>0</v>
      </c>
      <c r="E17" s="316">
        <f t="shared" si="12"/>
        <v>218655</v>
      </c>
      <c r="F17" s="570">
        <f t="shared" si="13"/>
        <v>31607</v>
      </c>
      <c r="G17" s="160">
        <f t="shared" si="1"/>
        <v>0</v>
      </c>
      <c r="H17" s="570">
        <f t="shared" si="13"/>
        <v>107210</v>
      </c>
      <c r="I17" s="161">
        <f t="shared" si="2"/>
        <v>0</v>
      </c>
      <c r="J17" s="570">
        <f t="shared" si="13"/>
        <v>79840</v>
      </c>
      <c r="K17" s="162">
        <f t="shared" si="15"/>
        <v>0</v>
      </c>
      <c r="L17" s="304">
        <f t="shared" si="16"/>
        <v>0</v>
      </c>
      <c r="M17" s="304">
        <f t="shared" si="17"/>
        <v>0</v>
      </c>
      <c r="N17" s="304">
        <f t="shared" si="18"/>
        <v>0</v>
      </c>
      <c r="O17" s="304">
        <f t="shared" si="19"/>
        <v>14.98093921650851</v>
      </c>
      <c r="P17" s="305">
        <f t="shared" si="20"/>
        <v>14.98093921650851</v>
      </c>
      <c r="Q17" s="305">
        <f>SUM(-tanks!AX19*tanks!$AU$37)</f>
        <v>0</v>
      </c>
      <c r="R17" s="305">
        <f t="shared" si="21"/>
        <v>14.98093921650851</v>
      </c>
      <c r="S17" s="307">
        <f>SUM(ELEC!N16)</f>
        <v>0</v>
      </c>
      <c r="T17" s="344">
        <f t="shared" si="22"/>
        <v>0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70">
        <f t="shared" si="11"/>
        <v>218655</v>
      </c>
      <c r="C18" s="270">
        <f t="shared" si="0"/>
        <v>0</v>
      </c>
      <c r="D18" s="316">
        <f t="shared" si="7"/>
        <v>0</v>
      </c>
      <c r="E18" s="316">
        <f t="shared" si="12"/>
        <v>218655</v>
      </c>
      <c r="F18" s="570">
        <f t="shared" si="13"/>
        <v>31607</v>
      </c>
      <c r="G18" s="160">
        <f t="shared" si="1"/>
        <v>0</v>
      </c>
      <c r="H18" s="570">
        <f t="shared" si="13"/>
        <v>107210</v>
      </c>
      <c r="I18" s="161">
        <f t="shared" si="2"/>
        <v>0</v>
      </c>
      <c r="J18" s="570">
        <f t="shared" si="13"/>
        <v>79840</v>
      </c>
      <c r="K18" s="162">
        <f t="shared" si="3"/>
        <v>0</v>
      </c>
      <c r="L18" s="304">
        <f t="shared" ref="L18:L33" si="23">SUM(G18*$Y$28)/1507.5</f>
        <v>0</v>
      </c>
      <c r="M18" s="304">
        <f t="shared" ref="M18:M33" si="24">SUM(I18*$Y$27)/1507.5</f>
        <v>0</v>
      </c>
      <c r="N18" s="304">
        <f t="shared" ref="N18:N33" si="25">SUM(K18*$Y$26)/1507.5</f>
        <v>0</v>
      </c>
      <c r="O18" s="304">
        <f t="shared" ref="O18:O34" si="26">($AC$31/$A$39)/1507.5</f>
        <v>14.98093921650851</v>
      </c>
      <c r="P18" s="305">
        <f t="shared" si="9"/>
        <v>14.98093921650851</v>
      </c>
      <c r="Q18" s="305">
        <f>SUM(-tanks!AX20*tanks!$AU$37)</f>
        <v>0</v>
      </c>
      <c r="R18" s="305">
        <f t="shared" si="10"/>
        <v>14.98093921650851</v>
      </c>
      <c r="S18" s="307">
        <f>SUM(ELEC!N17)</f>
        <v>0</v>
      </c>
      <c r="T18" s="344">
        <f t="shared" si="14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70">
        <f t="shared" si="11"/>
        <v>218655</v>
      </c>
      <c r="C19" s="270">
        <f t="shared" si="0"/>
        <v>0</v>
      </c>
      <c r="D19" s="316">
        <f t="shared" si="7"/>
        <v>0</v>
      </c>
      <c r="E19" s="316">
        <f t="shared" si="12"/>
        <v>218655</v>
      </c>
      <c r="F19" s="570">
        <f t="shared" si="13"/>
        <v>31607</v>
      </c>
      <c r="G19" s="160">
        <f t="shared" si="1"/>
        <v>0</v>
      </c>
      <c r="H19" s="570">
        <f t="shared" si="13"/>
        <v>107210</v>
      </c>
      <c r="I19" s="161">
        <f t="shared" si="2"/>
        <v>0</v>
      </c>
      <c r="J19" s="570">
        <f t="shared" si="13"/>
        <v>79840</v>
      </c>
      <c r="K19" s="162">
        <f t="shared" si="3"/>
        <v>0</v>
      </c>
      <c r="L19" s="304">
        <f t="shared" si="23"/>
        <v>0</v>
      </c>
      <c r="M19" s="304">
        <f t="shared" si="24"/>
        <v>0</v>
      </c>
      <c r="N19" s="304">
        <f t="shared" si="25"/>
        <v>0</v>
      </c>
      <c r="O19" s="304">
        <f t="shared" si="26"/>
        <v>14.98093921650851</v>
      </c>
      <c r="P19" s="305">
        <f t="shared" si="9"/>
        <v>14.98093921650851</v>
      </c>
      <c r="Q19" s="305">
        <f>SUM(-tanks!AX21*tanks!$AU$37)</f>
        <v>0</v>
      </c>
      <c r="R19" s="305">
        <f t="shared" si="10"/>
        <v>14.98093921650851</v>
      </c>
      <c r="S19" s="307">
        <f>SUM(ELEC!N18)</f>
        <v>0</v>
      </c>
      <c r="T19" s="344">
        <f t="shared" si="14"/>
        <v>0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70">
        <f t="shared" si="11"/>
        <v>218655</v>
      </c>
      <c r="C20" s="270">
        <f t="shared" si="0"/>
        <v>0</v>
      </c>
      <c r="D20" s="316">
        <f t="shared" si="7"/>
        <v>0</v>
      </c>
      <c r="E20" s="316">
        <f t="shared" si="12"/>
        <v>218655</v>
      </c>
      <c r="F20" s="570">
        <f t="shared" si="13"/>
        <v>31607</v>
      </c>
      <c r="G20" s="160">
        <f t="shared" si="1"/>
        <v>0</v>
      </c>
      <c r="H20" s="570">
        <f t="shared" si="13"/>
        <v>107210</v>
      </c>
      <c r="I20" s="161">
        <f t="shared" si="2"/>
        <v>0</v>
      </c>
      <c r="J20" s="570">
        <f t="shared" si="13"/>
        <v>79840</v>
      </c>
      <c r="K20" s="162">
        <f t="shared" si="3"/>
        <v>0</v>
      </c>
      <c r="L20" s="304">
        <f t="shared" si="23"/>
        <v>0</v>
      </c>
      <c r="M20" s="304">
        <f t="shared" si="24"/>
        <v>0</v>
      </c>
      <c r="N20" s="304">
        <f t="shared" si="25"/>
        <v>0</v>
      </c>
      <c r="O20" s="304">
        <f t="shared" si="26"/>
        <v>14.98093921650851</v>
      </c>
      <c r="P20" s="305">
        <f t="shared" si="9"/>
        <v>14.98093921650851</v>
      </c>
      <c r="Q20" s="305">
        <f>SUM(-tanks!AX22*tanks!$AU$37)</f>
        <v>0</v>
      </c>
      <c r="R20" s="305">
        <f t="shared" si="10"/>
        <v>14.98093921650851</v>
      </c>
      <c r="S20" s="307">
        <f>SUM(ELEC!N19)</f>
        <v>0</v>
      </c>
      <c r="T20" s="344">
        <f t="shared" si="14"/>
        <v>0</v>
      </c>
      <c r="V20" t="s">
        <v>414</v>
      </c>
      <c r="AB20" s="270"/>
    </row>
    <row r="21" spans="1:32" ht="15.75" thickBot="1">
      <c r="A21" s="163">
        <f>ELEC!C20</f>
        <v>44061</v>
      </c>
      <c r="B21" s="570">
        <f t="shared" si="11"/>
        <v>218655</v>
      </c>
      <c r="C21" s="270">
        <f t="shared" si="0"/>
        <v>0</v>
      </c>
      <c r="D21" s="316">
        <f t="shared" si="7"/>
        <v>0</v>
      </c>
      <c r="E21" s="316">
        <f t="shared" si="12"/>
        <v>218655</v>
      </c>
      <c r="F21" s="570">
        <f t="shared" si="13"/>
        <v>31607</v>
      </c>
      <c r="G21" s="160">
        <f t="shared" si="1"/>
        <v>0</v>
      </c>
      <c r="H21" s="570">
        <f t="shared" si="13"/>
        <v>107210</v>
      </c>
      <c r="I21" s="161">
        <f t="shared" si="2"/>
        <v>0</v>
      </c>
      <c r="J21" s="570">
        <f t="shared" si="13"/>
        <v>79840</v>
      </c>
      <c r="K21" s="162">
        <f t="shared" si="3"/>
        <v>0</v>
      </c>
      <c r="L21" s="304">
        <f t="shared" si="23"/>
        <v>0</v>
      </c>
      <c r="M21" s="304">
        <f t="shared" si="24"/>
        <v>0</v>
      </c>
      <c r="N21" s="304">
        <f t="shared" si="25"/>
        <v>0</v>
      </c>
      <c r="O21" s="304">
        <f t="shared" si="26"/>
        <v>14.98093921650851</v>
      </c>
      <c r="P21" s="305">
        <f t="shared" si="9"/>
        <v>14.98093921650851</v>
      </c>
      <c r="Q21" s="305">
        <f>SUM(-tanks!AX23*tanks!$AU$37)</f>
        <v>0</v>
      </c>
      <c r="R21" s="305">
        <f t="shared" si="10"/>
        <v>14.98093921650851</v>
      </c>
      <c r="S21" s="307">
        <f>SUM(ELEC!N20)</f>
        <v>0</v>
      </c>
      <c r="T21" s="344">
        <f t="shared" si="14"/>
        <v>0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63"/>
      <c r="AC21" s="664"/>
    </row>
    <row r="22" spans="1:32" ht="15.75" thickBot="1">
      <c r="A22" s="163">
        <f>ELEC!C21</f>
        <v>44062</v>
      </c>
      <c r="B22" s="570">
        <f t="shared" si="11"/>
        <v>218655</v>
      </c>
      <c r="C22" s="270">
        <f t="shared" si="0"/>
        <v>0</v>
      </c>
      <c r="D22" s="316">
        <f t="shared" si="7"/>
        <v>0</v>
      </c>
      <c r="E22" s="316">
        <f t="shared" si="12"/>
        <v>218655</v>
      </c>
      <c r="F22" s="570">
        <f t="shared" si="13"/>
        <v>31607</v>
      </c>
      <c r="G22" s="160">
        <f t="shared" si="1"/>
        <v>0</v>
      </c>
      <c r="H22" s="570">
        <f t="shared" si="13"/>
        <v>107210</v>
      </c>
      <c r="I22" s="161">
        <f t="shared" si="2"/>
        <v>0</v>
      </c>
      <c r="J22" s="570">
        <f t="shared" si="13"/>
        <v>79840</v>
      </c>
      <c r="K22" s="162">
        <f t="shared" si="3"/>
        <v>0</v>
      </c>
      <c r="L22" s="304">
        <f t="shared" si="23"/>
        <v>0</v>
      </c>
      <c r="M22" s="304">
        <f t="shared" si="24"/>
        <v>0</v>
      </c>
      <c r="N22" s="304">
        <f t="shared" si="25"/>
        <v>0</v>
      </c>
      <c r="O22" s="304">
        <f t="shared" si="26"/>
        <v>14.98093921650851</v>
      </c>
      <c r="P22" s="305">
        <f t="shared" si="9"/>
        <v>14.98093921650851</v>
      </c>
      <c r="Q22" s="305">
        <f>SUM(-tanks!AX24*tanks!$AU$37)</f>
        <v>0</v>
      </c>
      <c r="R22" s="305">
        <f t="shared" si="10"/>
        <v>14.98093921650851</v>
      </c>
      <c r="S22" s="307">
        <f>SUM(ELEC!N21)</f>
        <v>0</v>
      </c>
      <c r="T22" s="344">
        <f t="shared" si="14"/>
        <v>0</v>
      </c>
      <c r="V22" s="669"/>
      <c r="W22" s="670"/>
      <c r="X22" s="670"/>
      <c r="Y22" s="671"/>
      <c r="Z22" s="26" t="s">
        <v>203</v>
      </c>
      <c r="AA22" s="26">
        <v>5000</v>
      </c>
      <c r="AB22" s="665"/>
      <c r="AC22" s="666"/>
    </row>
    <row r="23" spans="1:32" ht="15.75" thickBot="1">
      <c r="A23" s="163">
        <f>ELEC!C22</f>
        <v>44063</v>
      </c>
      <c r="B23" s="570">
        <f t="shared" si="11"/>
        <v>218655</v>
      </c>
      <c r="C23" s="270">
        <f t="shared" si="0"/>
        <v>0</v>
      </c>
      <c r="D23" s="316">
        <f t="shared" si="7"/>
        <v>0</v>
      </c>
      <c r="E23" s="316">
        <f t="shared" si="12"/>
        <v>218655</v>
      </c>
      <c r="F23" s="570">
        <f t="shared" si="13"/>
        <v>31607</v>
      </c>
      <c r="G23" s="160">
        <f t="shared" si="1"/>
        <v>0</v>
      </c>
      <c r="H23" s="570">
        <f t="shared" si="13"/>
        <v>107210</v>
      </c>
      <c r="I23" s="161">
        <f t="shared" si="2"/>
        <v>0</v>
      </c>
      <c r="J23" s="570">
        <f t="shared" si="13"/>
        <v>79840</v>
      </c>
      <c r="K23" s="162">
        <f t="shared" si="3"/>
        <v>0</v>
      </c>
      <c r="L23" s="304">
        <f t="shared" si="23"/>
        <v>0</v>
      </c>
      <c r="M23" s="304">
        <f t="shared" si="24"/>
        <v>0</v>
      </c>
      <c r="N23" s="304">
        <f t="shared" si="25"/>
        <v>0</v>
      </c>
      <c r="O23" s="304">
        <f t="shared" si="26"/>
        <v>14.98093921650851</v>
      </c>
      <c r="P23" s="305">
        <f t="shared" si="9"/>
        <v>14.98093921650851</v>
      </c>
      <c r="Q23" s="305">
        <f>SUM(-tanks!AX25*tanks!$AU$37)</f>
        <v>0</v>
      </c>
      <c r="R23" s="305">
        <f t="shared" si="10"/>
        <v>14.98093921650851</v>
      </c>
      <c r="S23" s="307">
        <f>SUM(ELEC!N22)</f>
        <v>0</v>
      </c>
      <c r="T23" s="344">
        <f t="shared" si="14"/>
        <v>0</v>
      </c>
      <c r="V23" s="672"/>
      <c r="W23" s="673"/>
      <c r="X23" s="673"/>
      <c r="Y23" s="674"/>
      <c r="Z23" s="675"/>
      <c r="AA23" s="676"/>
      <c r="AB23" s="665"/>
      <c r="AC23" s="666"/>
    </row>
    <row r="24" spans="1:32" ht="15" customHeight="1" thickBot="1">
      <c r="A24" s="163">
        <f>ELEC!C23</f>
        <v>44064</v>
      </c>
      <c r="B24" s="570">
        <f t="shared" si="11"/>
        <v>218655</v>
      </c>
      <c r="C24" s="270">
        <v>1</v>
      </c>
      <c r="D24" s="316">
        <f t="shared" si="7"/>
        <v>0</v>
      </c>
      <c r="E24" s="316">
        <f t="shared" si="12"/>
        <v>218655</v>
      </c>
      <c r="F24" s="570">
        <f t="shared" si="13"/>
        <v>31607</v>
      </c>
      <c r="G24" s="160">
        <f t="shared" si="1"/>
        <v>0</v>
      </c>
      <c r="H24" s="570">
        <f t="shared" si="13"/>
        <v>107210</v>
      </c>
      <c r="I24" s="161">
        <f t="shared" si="2"/>
        <v>0</v>
      </c>
      <c r="J24" s="570">
        <f t="shared" si="13"/>
        <v>79840</v>
      </c>
      <c r="K24" s="162">
        <f t="shared" si="3"/>
        <v>0</v>
      </c>
      <c r="L24" s="304">
        <f t="shared" si="23"/>
        <v>0</v>
      </c>
      <c r="M24" s="304">
        <f t="shared" si="24"/>
        <v>0</v>
      </c>
      <c r="N24" s="304">
        <f t="shared" si="25"/>
        <v>0</v>
      </c>
      <c r="O24" s="304">
        <f t="shared" si="26"/>
        <v>14.98093921650851</v>
      </c>
      <c r="P24" s="305">
        <f t="shared" si="9"/>
        <v>14.98093921650851</v>
      </c>
      <c r="Q24" s="305">
        <f>SUM(-tanks!AX26*tanks!$AU$37)</f>
        <v>0</v>
      </c>
      <c r="R24" s="305">
        <f t="shared" si="10"/>
        <v>14.98093921650851</v>
      </c>
      <c r="S24" s="307">
        <f>SUM(ELEC!N23)</f>
        <v>0</v>
      </c>
      <c r="T24" s="344">
        <f t="shared" si="14"/>
        <v>0</v>
      </c>
      <c r="V24" s="677" t="s">
        <v>204</v>
      </c>
      <c r="W24" s="678"/>
      <c r="X24" s="679" t="s">
        <v>205</v>
      </c>
      <c r="Y24" s="680"/>
      <c r="Z24" s="681"/>
      <c r="AA24" s="170"/>
      <c r="AB24" s="667"/>
      <c r="AC24" s="668"/>
    </row>
    <row r="25" spans="1:32" ht="17.25" customHeight="1" thickBot="1">
      <c r="A25" s="163">
        <f>ELEC!C24</f>
        <v>44065</v>
      </c>
      <c r="B25" s="570">
        <f t="shared" si="11"/>
        <v>218655</v>
      </c>
      <c r="C25" s="270">
        <f t="shared" si="0"/>
        <v>0</v>
      </c>
      <c r="D25" s="316">
        <f t="shared" si="7"/>
        <v>0</v>
      </c>
      <c r="E25" s="316">
        <f t="shared" si="12"/>
        <v>218655</v>
      </c>
      <c r="F25" s="570">
        <f t="shared" si="13"/>
        <v>31607</v>
      </c>
      <c r="G25" s="160">
        <f t="shared" si="1"/>
        <v>0</v>
      </c>
      <c r="H25" s="570">
        <f t="shared" si="13"/>
        <v>107210</v>
      </c>
      <c r="I25" s="161">
        <f t="shared" si="2"/>
        <v>0</v>
      </c>
      <c r="J25" s="570">
        <f t="shared" si="13"/>
        <v>79840</v>
      </c>
      <c r="K25" s="162">
        <f t="shared" si="3"/>
        <v>0</v>
      </c>
      <c r="L25" s="304">
        <f t="shared" si="23"/>
        <v>0</v>
      </c>
      <c r="M25" s="304">
        <f t="shared" si="24"/>
        <v>0</v>
      </c>
      <c r="N25" s="304">
        <f t="shared" si="25"/>
        <v>0</v>
      </c>
      <c r="O25" s="304">
        <f t="shared" si="26"/>
        <v>14.98093921650851</v>
      </c>
      <c r="P25" s="305">
        <f t="shared" si="9"/>
        <v>14.98093921650851</v>
      </c>
      <c r="Q25" s="305">
        <f>SUM(-tanks!AX27*tanks!$AU$37)</f>
        <v>0</v>
      </c>
      <c r="R25" s="305">
        <f t="shared" si="10"/>
        <v>14.98093921650851</v>
      </c>
      <c r="S25" s="307">
        <f>SUM(ELEC!N24)</f>
        <v>0</v>
      </c>
      <c r="T25" s="344">
        <f t="shared" si="14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44066</v>
      </c>
      <c r="B26" s="570">
        <f t="shared" si="11"/>
        <v>218655</v>
      </c>
      <c r="C26" s="270">
        <f t="shared" si="0"/>
        <v>0</v>
      </c>
      <c r="D26" s="316">
        <f t="shared" si="7"/>
        <v>0</v>
      </c>
      <c r="E26" s="316">
        <f t="shared" si="12"/>
        <v>218655</v>
      </c>
      <c r="F26" s="570">
        <f t="shared" si="13"/>
        <v>31607</v>
      </c>
      <c r="G26" s="160">
        <f t="shared" si="1"/>
        <v>0</v>
      </c>
      <c r="H26" s="570">
        <f t="shared" si="13"/>
        <v>107210</v>
      </c>
      <c r="I26" s="161">
        <f t="shared" si="2"/>
        <v>0</v>
      </c>
      <c r="J26" s="570">
        <f t="shared" si="13"/>
        <v>79840</v>
      </c>
      <c r="K26" s="162">
        <f t="shared" si="3"/>
        <v>0</v>
      </c>
      <c r="L26" s="304">
        <f t="shared" si="23"/>
        <v>0</v>
      </c>
      <c r="M26" s="304">
        <f t="shared" si="24"/>
        <v>0</v>
      </c>
      <c r="N26" s="304">
        <f t="shared" si="25"/>
        <v>0</v>
      </c>
      <c r="O26" s="304">
        <f t="shared" si="26"/>
        <v>14.98093921650851</v>
      </c>
      <c r="P26" s="305">
        <f t="shared" si="9"/>
        <v>14.98093921650851</v>
      </c>
      <c r="Q26" s="305">
        <f>SUM(-tanks!AX28*tanks!$AU$37)</f>
        <v>0</v>
      </c>
      <c r="R26" s="305">
        <f t="shared" si="10"/>
        <v>14.98093921650851</v>
      </c>
      <c r="S26" s="307">
        <f>SUM(ELEC!N25)</f>
        <v>0</v>
      </c>
      <c r="T26" s="344">
        <f t="shared" si="14"/>
        <v>0</v>
      </c>
      <c r="V26" s="259">
        <f>W9</f>
        <v>76091</v>
      </c>
      <c r="W26" s="170">
        <f>J34</f>
        <v>79840</v>
      </c>
      <c r="X26" s="172" t="s">
        <v>199</v>
      </c>
      <c r="Y26" s="172">
        <v>80</v>
      </c>
      <c r="Z26" s="172">
        <v>1</v>
      </c>
      <c r="AA26" s="199">
        <f>(W26-V26)*Z26</f>
        <v>3749</v>
      </c>
      <c r="AB26" s="199">
        <f>AA26*Y26</f>
        <v>299920</v>
      </c>
      <c r="AC26" s="254">
        <f>AC9</f>
        <v>1033333</v>
      </c>
      <c r="AD26" s="215">
        <f>SUM(K38)</f>
        <v>0.29645737782698089</v>
      </c>
    </row>
    <row r="27" spans="1:32" ht="15.75" thickBot="1">
      <c r="A27" s="163">
        <f>ELEC!C26</f>
        <v>44067</v>
      </c>
      <c r="B27" s="570">
        <f t="shared" si="11"/>
        <v>218655</v>
      </c>
      <c r="C27" s="270">
        <f t="shared" si="0"/>
        <v>0</v>
      </c>
      <c r="D27" s="316">
        <f t="shared" si="7"/>
        <v>0</v>
      </c>
      <c r="E27" s="316">
        <f t="shared" si="12"/>
        <v>218655</v>
      </c>
      <c r="F27" s="570">
        <f t="shared" si="13"/>
        <v>31607</v>
      </c>
      <c r="G27" s="160">
        <f t="shared" si="1"/>
        <v>0</v>
      </c>
      <c r="H27" s="570">
        <f t="shared" si="13"/>
        <v>107210</v>
      </c>
      <c r="I27" s="161">
        <f t="shared" si="2"/>
        <v>0</v>
      </c>
      <c r="J27" s="570">
        <f t="shared" si="13"/>
        <v>79840</v>
      </c>
      <c r="K27" s="162">
        <f t="shared" si="3"/>
        <v>0</v>
      </c>
      <c r="L27" s="304">
        <f t="shared" si="23"/>
        <v>0</v>
      </c>
      <c r="M27" s="304">
        <f t="shared" si="24"/>
        <v>0</v>
      </c>
      <c r="N27" s="304">
        <f t="shared" si="25"/>
        <v>0</v>
      </c>
      <c r="O27" s="304">
        <f t="shared" si="26"/>
        <v>14.98093921650851</v>
      </c>
      <c r="P27" s="305">
        <f t="shared" si="9"/>
        <v>14.98093921650851</v>
      </c>
      <c r="Q27" s="305">
        <f>SUM(-tanks!AX29*tanks!$AU$37)</f>
        <v>0</v>
      </c>
      <c r="R27" s="305">
        <f t="shared" si="10"/>
        <v>14.98093921650851</v>
      </c>
      <c r="S27" s="307">
        <f>SUM(ELEC!N26)</f>
        <v>0</v>
      </c>
      <c r="T27" s="344">
        <f t="shared" si="14"/>
        <v>0</v>
      </c>
      <c r="V27" s="259">
        <f t="shared" ref="V27:V28" si="27">W10</f>
        <v>99869</v>
      </c>
      <c r="W27" s="170">
        <f>H34</f>
        <v>107210</v>
      </c>
      <c r="X27" s="172" t="s">
        <v>213</v>
      </c>
      <c r="Y27" s="172">
        <v>112</v>
      </c>
      <c r="Z27" s="172">
        <v>1</v>
      </c>
      <c r="AA27" s="199">
        <f>(W27-V27)*Z27</f>
        <v>7341</v>
      </c>
      <c r="AB27" s="199">
        <f>SUM(AA27*Y27)</f>
        <v>822192</v>
      </c>
      <c r="AC27" s="254">
        <f>AC10</f>
        <v>6200000</v>
      </c>
      <c r="AD27" s="215">
        <f>SUM(I38)</f>
        <v>0.5804997627708367</v>
      </c>
    </row>
    <row r="28" spans="1:32" ht="15.75" thickBot="1">
      <c r="A28" s="163">
        <f>ELEC!C27</f>
        <v>44068</v>
      </c>
      <c r="B28" s="570">
        <f t="shared" si="11"/>
        <v>218655</v>
      </c>
      <c r="C28" s="270">
        <f t="shared" si="0"/>
        <v>0</v>
      </c>
      <c r="D28" s="316">
        <f t="shared" si="7"/>
        <v>0</v>
      </c>
      <c r="E28" s="316">
        <f t="shared" si="12"/>
        <v>218655</v>
      </c>
      <c r="F28" s="570">
        <f t="shared" si="13"/>
        <v>31607</v>
      </c>
      <c r="G28" s="160">
        <f t="shared" si="1"/>
        <v>0</v>
      </c>
      <c r="H28" s="570">
        <f t="shared" si="13"/>
        <v>107210</v>
      </c>
      <c r="I28" s="161">
        <f t="shared" si="2"/>
        <v>0</v>
      </c>
      <c r="J28" s="570">
        <f t="shared" si="13"/>
        <v>79840</v>
      </c>
      <c r="K28" s="162">
        <f t="shared" si="3"/>
        <v>0</v>
      </c>
      <c r="L28" s="304">
        <f t="shared" si="23"/>
        <v>0</v>
      </c>
      <c r="M28" s="304">
        <f t="shared" si="24"/>
        <v>0</v>
      </c>
      <c r="N28" s="304">
        <f t="shared" si="25"/>
        <v>0</v>
      </c>
      <c r="O28" s="304">
        <f t="shared" si="26"/>
        <v>14.98093921650851</v>
      </c>
      <c r="P28" s="305">
        <f t="shared" si="9"/>
        <v>14.98093921650851</v>
      </c>
      <c r="Q28" s="305">
        <f>SUM(-tanks!AX30*tanks!$AU$37)</f>
        <v>0</v>
      </c>
      <c r="R28" s="305">
        <f t="shared" si="10"/>
        <v>14.98093921650851</v>
      </c>
      <c r="S28" s="307">
        <f>SUM(ELEC!N27)</f>
        <v>0</v>
      </c>
      <c r="T28" s="344">
        <f t="shared" si="14"/>
        <v>0</v>
      </c>
      <c r="V28" s="259">
        <f t="shared" si="27"/>
        <v>30051</v>
      </c>
      <c r="W28" s="170">
        <f>F34</f>
        <v>31607</v>
      </c>
      <c r="X28" s="172" t="s">
        <v>197</v>
      </c>
      <c r="Y28" s="172">
        <v>320</v>
      </c>
      <c r="Z28" s="172">
        <v>1</v>
      </c>
      <c r="AA28" s="199">
        <f>(W28-V28)*Z28</f>
        <v>1556</v>
      </c>
      <c r="AB28" s="199">
        <f>SUM(AA28*Y28)</f>
        <v>497920</v>
      </c>
      <c r="AC28" s="254">
        <f>AC11</f>
        <v>1000</v>
      </c>
      <c r="AD28" s="215">
        <f>SUM(G38)</f>
        <v>0.12304285940218251</v>
      </c>
      <c r="AE28" s="40">
        <f>SUM(AB28*5%)</f>
        <v>24896</v>
      </c>
      <c r="AF28" s="82">
        <f>SUM(AE28/7)*31</f>
        <v>110253.71428571428</v>
      </c>
    </row>
    <row r="29" spans="1:32" ht="15.75" thickBot="1">
      <c r="A29" s="163">
        <f>ELEC!C28</f>
        <v>44069</v>
      </c>
      <c r="B29" s="570">
        <f t="shared" si="11"/>
        <v>218655</v>
      </c>
      <c r="C29" s="270">
        <f t="shared" si="0"/>
        <v>0</v>
      </c>
      <c r="D29" s="316">
        <f t="shared" si="7"/>
        <v>0</v>
      </c>
      <c r="E29" s="316">
        <f t="shared" si="12"/>
        <v>218655</v>
      </c>
      <c r="F29" s="570">
        <f t="shared" si="13"/>
        <v>31607</v>
      </c>
      <c r="G29" s="160">
        <f t="shared" si="1"/>
        <v>0</v>
      </c>
      <c r="H29" s="570">
        <f t="shared" si="13"/>
        <v>107210</v>
      </c>
      <c r="I29" s="161">
        <f t="shared" si="2"/>
        <v>0</v>
      </c>
      <c r="J29" s="570">
        <f t="shared" si="13"/>
        <v>79840</v>
      </c>
      <c r="K29" s="162">
        <f t="shared" si="3"/>
        <v>0</v>
      </c>
      <c r="L29" s="304">
        <f t="shared" si="23"/>
        <v>0</v>
      </c>
      <c r="M29" s="304">
        <f t="shared" si="24"/>
        <v>0</v>
      </c>
      <c r="N29" s="304">
        <f t="shared" si="25"/>
        <v>0</v>
      </c>
      <c r="O29" s="304">
        <f t="shared" si="26"/>
        <v>14.98093921650851</v>
      </c>
      <c r="P29" s="305">
        <f t="shared" si="9"/>
        <v>14.98093921650851</v>
      </c>
      <c r="Q29" s="305">
        <f>SUM(-tanks!AX31*tanks!$AU$37)</f>
        <v>0</v>
      </c>
      <c r="R29" s="305">
        <f t="shared" si="10"/>
        <v>14.98093921650851</v>
      </c>
      <c r="S29" s="307">
        <f>SUM(ELEC!N28)</f>
        <v>0</v>
      </c>
      <c r="T29" s="344">
        <f t="shared" si="14"/>
        <v>0</v>
      </c>
      <c r="V29" s="216"/>
      <c r="W29" s="217"/>
      <c r="X29" s="217"/>
      <c r="Y29" s="218"/>
      <c r="Z29" s="3"/>
      <c r="AA29" s="293">
        <f>SUM(AA26:AA28)</f>
        <v>12646</v>
      </c>
      <c r="AB29" s="199"/>
      <c r="AC29" s="254"/>
    </row>
    <row r="30" spans="1:32" ht="14.25" customHeight="1" thickBot="1">
      <c r="A30" s="163">
        <f>ELEC!C29</f>
        <v>44070</v>
      </c>
      <c r="B30" s="570">
        <f t="shared" si="11"/>
        <v>218655</v>
      </c>
      <c r="C30" s="270">
        <f t="shared" si="0"/>
        <v>0</v>
      </c>
      <c r="D30" s="316">
        <f t="shared" si="7"/>
        <v>0</v>
      </c>
      <c r="E30" s="316">
        <f t="shared" si="12"/>
        <v>218655</v>
      </c>
      <c r="F30" s="570">
        <f t="shared" si="13"/>
        <v>31607</v>
      </c>
      <c r="G30" s="160">
        <f t="shared" si="1"/>
        <v>0</v>
      </c>
      <c r="H30" s="570">
        <f t="shared" si="13"/>
        <v>107210</v>
      </c>
      <c r="I30" s="161">
        <f t="shared" si="2"/>
        <v>0</v>
      </c>
      <c r="J30" s="570">
        <f t="shared" si="13"/>
        <v>79840</v>
      </c>
      <c r="K30" s="162">
        <f t="shared" si="3"/>
        <v>0</v>
      </c>
      <c r="L30" s="304">
        <f t="shared" si="23"/>
        <v>0</v>
      </c>
      <c r="M30" s="304">
        <f t="shared" si="24"/>
        <v>0</v>
      </c>
      <c r="N30" s="304">
        <f t="shared" si="25"/>
        <v>0</v>
      </c>
      <c r="O30" s="304">
        <f t="shared" si="26"/>
        <v>14.98093921650851</v>
      </c>
      <c r="P30" s="305">
        <f t="shared" si="9"/>
        <v>14.98093921650851</v>
      </c>
      <c r="Q30" s="305">
        <f>SUM(-tanks!AX32*tanks!$AU$37)</f>
        <v>0</v>
      </c>
      <c r="R30" s="305">
        <f t="shared" si="10"/>
        <v>14.98093921650851</v>
      </c>
      <c r="S30" s="307">
        <f>SUM(ELEC!N29)</f>
        <v>0</v>
      </c>
      <c r="T30" s="344">
        <f t="shared" si="14"/>
        <v>0</v>
      </c>
      <c r="V30" s="219" t="s">
        <v>316</v>
      </c>
      <c r="W30" s="456">
        <f>'General information '!F37</f>
        <v>0.36304999999999998</v>
      </c>
      <c r="X30" s="220"/>
      <c r="Y30" s="221" t="s">
        <v>332</v>
      </c>
      <c r="Z30" s="3"/>
      <c r="AA30" s="293"/>
      <c r="AB30" s="199">
        <f>SUM(AB26:AB29)</f>
        <v>1620032</v>
      </c>
      <c r="AC30" s="254">
        <f>SUM(AC26:AC29)/A39*A37</f>
        <v>700096.74193548388</v>
      </c>
    </row>
    <row r="31" spans="1:32" ht="15.75" thickBot="1">
      <c r="A31" s="163">
        <f>ELEC!C30</f>
        <v>44071</v>
      </c>
      <c r="B31" s="570">
        <f t="shared" si="11"/>
        <v>218655</v>
      </c>
      <c r="C31" s="270">
        <f t="shared" si="0"/>
        <v>0</v>
      </c>
      <c r="D31" s="316">
        <f t="shared" si="7"/>
        <v>0</v>
      </c>
      <c r="E31" s="316">
        <f t="shared" si="12"/>
        <v>218655</v>
      </c>
      <c r="F31" s="570">
        <f t="shared" si="13"/>
        <v>31607</v>
      </c>
      <c r="G31" s="160">
        <f t="shared" si="1"/>
        <v>0</v>
      </c>
      <c r="H31" s="570">
        <f t="shared" si="13"/>
        <v>107210</v>
      </c>
      <c r="I31" s="161">
        <f t="shared" si="2"/>
        <v>0</v>
      </c>
      <c r="J31" s="570">
        <f t="shared" si="13"/>
        <v>79840</v>
      </c>
      <c r="K31" s="162">
        <f t="shared" si="3"/>
        <v>0</v>
      </c>
      <c r="L31" s="304">
        <f t="shared" si="23"/>
        <v>0</v>
      </c>
      <c r="M31" s="304">
        <f t="shared" si="24"/>
        <v>0</v>
      </c>
      <c r="N31" s="304">
        <f t="shared" si="25"/>
        <v>0</v>
      </c>
      <c r="O31" s="304">
        <f t="shared" si="26"/>
        <v>14.98093921650851</v>
      </c>
      <c r="P31" s="305">
        <f t="shared" si="9"/>
        <v>14.98093921650851</v>
      </c>
      <c r="Q31" s="305">
        <f>SUM(-tanks!AX33*tanks!$AU$37)</f>
        <v>0</v>
      </c>
      <c r="R31" s="305">
        <f t="shared" si="10"/>
        <v>14.98093921650851</v>
      </c>
      <c r="S31" s="307">
        <f>SUM(ELEC!N30)</f>
        <v>0</v>
      </c>
      <c r="T31" s="344">
        <f t="shared" si="14"/>
        <v>0</v>
      </c>
      <c r="V31" s="219" t="s">
        <v>317</v>
      </c>
      <c r="W31" s="220">
        <f>SUM(GEN!U34)</f>
        <v>34</v>
      </c>
      <c r="X31" s="225">
        <f>SUM(W31/A37)</f>
        <v>11.333333333333334</v>
      </c>
      <c r="Y31" s="266">
        <f>SUM(X31/2)</f>
        <v>5.666666666666667</v>
      </c>
      <c r="Z31" s="3"/>
      <c r="AA31" s="3"/>
      <c r="AB31" s="576">
        <f>SUM(AB30+AC31)</f>
        <v>2320128.7419354841</v>
      </c>
      <c r="AC31" s="254">
        <f>SUM(AC30)</f>
        <v>700096.74193548388</v>
      </c>
    </row>
    <row r="32" spans="1:32" ht="15.75" thickBot="1">
      <c r="A32" s="163">
        <f>ELEC!C31</f>
        <v>44072</v>
      </c>
      <c r="B32" s="570">
        <f t="shared" si="11"/>
        <v>218655</v>
      </c>
      <c r="C32" s="270">
        <f t="shared" si="0"/>
        <v>0</v>
      </c>
      <c r="D32" s="316">
        <f t="shared" si="7"/>
        <v>0</v>
      </c>
      <c r="E32" s="316">
        <f t="shared" si="12"/>
        <v>218655</v>
      </c>
      <c r="F32" s="570">
        <f t="shared" si="13"/>
        <v>31607</v>
      </c>
      <c r="G32" s="160">
        <f t="shared" si="1"/>
        <v>0</v>
      </c>
      <c r="H32" s="570">
        <f t="shared" si="13"/>
        <v>107210</v>
      </c>
      <c r="I32" s="161">
        <f t="shared" si="2"/>
        <v>0</v>
      </c>
      <c r="J32" s="570">
        <f t="shared" si="13"/>
        <v>79840</v>
      </c>
      <c r="K32" s="162">
        <f t="shared" si="3"/>
        <v>0</v>
      </c>
      <c r="L32" s="304">
        <f t="shared" si="23"/>
        <v>0</v>
      </c>
      <c r="M32" s="304">
        <f t="shared" si="24"/>
        <v>0</v>
      </c>
      <c r="N32" s="304">
        <f t="shared" si="25"/>
        <v>0</v>
      </c>
      <c r="O32" s="304">
        <f t="shared" si="26"/>
        <v>14.98093921650851</v>
      </c>
      <c r="P32" s="305">
        <f t="shared" si="9"/>
        <v>14.98093921650851</v>
      </c>
      <c r="Q32" s="305">
        <f>SUM(-tanks!AX34*tanks!$AU$37)</f>
        <v>0</v>
      </c>
      <c r="R32" s="305">
        <f t="shared" si="10"/>
        <v>14.98093921650851</v>
      </c>
      <c r="S32" s="307">
        <f>SUM(ELEC!N31)</f>
        <v>0</v>
      </c>
      <c r="T32" s="344">
        <f t="shared" si="14"/>
        <v>0</v>
      </c>
      <c r="V32" s="219" t="s">
        <v>318</v>
      </c>
      <c r="W32" s="220">
        <f>'Degree Days 2020'!AA17</f>
        <v>-530.70000000000016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70">
        <f t="shared" si="11"/>
        <v>218655</v>
      </c>
      <c r="C33" s="270">
        <f t="shared" si="0"/>
        <v>0</v>
      </c>
      <c r="D33" s="316">
        <f t="shared" si="7"/>
        <v>0</v>
      </c>
      <c r="E33" s="316">
        <f t="shared" si="12"/>
        <v>218655</v>
      </c>
      <c r="F33" s="570">
        <f t="shared" si="13"/>
        <v>31607</v>
      </c>
      <c r="G33" s="160">
        <f>F33-F32</f>
        <v>0</v>
      </c>
      <c r="H33" s="570">
        <f t="shared" si="13"/>
        <v>107210</v>
      </c>
      <c r="I33" s="161">
        <f t="shared" si="2"/>
        <v>0</v>
      </c>
      <c r="J33" s="570">
        <f t="shared" si="13"/>
        <v>79840</v>
      </c>
      <c r="K33" s="162">
        <f t="shared" si="3"/>
        <v>0</v>
      </c>
      <c r="L33" s="304">
        <f t="shared" si="23"/>
        <v>0</v>
      </c>
      <c r="M33" s="304">
        <f t="shared" si="24"/>
        <v>0</v>
      </c>
      <c r="N33" s="304">
        <f t="shared" si="25"/>
        <v>0</v>
      </c>
      <c r="O33" s="304">
        <f t="shared" si="26"/>
        <v>14.98093921650851</v>
      </c>
      <c r="P33" s="305">
        <f>SUM(L33:O33)</f>
        <v>14.98093921650851</v>
      </c>
      <c r="Q33" s="305">
        <f>SUM(-tanks!AX35*tanks!$AU$37)</f>
        <v>0</v>
      </c>
      <c r="R33" s="305">
        <f>SUM(P33:Q33)</f>
        <v>14.98093921650851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19.899999999999999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70">
        <f t="shared" si="11"/>
        <v>218655</v>
      </c>
      <c r="C34" s="270">
        <f t="shared" ref="C34" si="28">SUM(B34-B33)</f>
        <v>0</v>
      </c>
      <c r="D34" s="316">
        <f t="shared" si="7"/>
        <v>0</v>
      </c>
      <c r="E34" s="316">
        <f t="shared" si="12"/>
        <v>218655</v>
      </c>
      <c r="F34" s="570">
        <f t="shared" si="13"/>
        <v>31607</v>
      </c>
      <c r="G34" s="160">
        <f>F34-F33</f>
        <v>0</v>
      </c>
      <c r="H34" s="570">
        <f t="shared" si="13"/>
        <v>107210</v>
      </c>
      <c r="I34" s="161">
        <f t="shared" ref="I34" si="29">H34-H33</f>
        <v>0</v>
      </c>
      <c r="J34" s="570">
        <f t="shared" si="13"/>
        <v>79840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6"/>
        <v>14.98093921650851</v>
      </c>
      <c r="P34" s="305">
        <f>SUM(L34:O34)</f>
        <v>14.98093921650851</v>
      </c>
      <c r="Q34" s="305">
        <f>SUM(-tanks!AX36*tanks!$AU$37)</f>
        <v>0</v>
      </c>
      <c r="R34" s="305">
        <f>SUM(P34:Q34)</f>
        <v>14.98093921650851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60"/>
      <c r="B35" s="561"/>
      <c r="C35" s="562"/>
      <c r="D35" s="561"/>
      <c r="E35" s="561"/>
      <c r="F35" s="561"/>
      <c r="G35" s="561"/>
      <c r="H35" s="561"/>
      <c r="I35" s="561"/>
      <c r="J35" s="561"/>
      <c r="K35" s="561"/>
      <c r="L35" s="563"/>
      <c r="M35" s="563"/>
      <c r="N35" s="563"/>
      <c r="O35" s="563"/>
      <c r="P35" s="564"/>
      <c r="Q35" s="564"/>
      <c r="R35" s="564"/>
      <c r="S35" s="565"/>
      <c r="T35" s="566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0"/>
      <c r="B36" s="561"/>
      <c r="C36" s="562"/>
      <c r="D36" s="562"/>
      <c r="E36" s="562"/>
      <c r="F36" s="561"/>
      <c r="G36" s="561"/>
      <c r="H36" s="561"/>
      <c r="I36" s="561"/>
      <c r="J36" s="561"/>
      <c r="K36" s="567"/>
      <c r="L36" s="564"/>
      <c r="M36" s="564"/>
      <c r="N36" s="564"/>
      <c r="O36" s="564"/>
      <c r="P36" s="565"/>
      <c r="Q36" s="565"/>
      <c r="R36" s="565"/>
      <c r="S36" s="565"/>
      <c r="T36" s="566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255214.16161290326</v>
      </c>
      <c r="AC36" s="286"/>
    </row>
    <row r="37" spans="1:32" ht="15.75" thickBot="1">
      <c r="A37" s="559">
        <f>A39-COUNTIF(C4:C35,0)</f>
        <v>3</v>
      </c>
      <c r="C37" s="176">
        <f>SUM(C4:C35)/A37</f>
        <v>4215.333333333333</v>
      </c>
      <c r="D37" s="176"/>
      <c r="E37" s="176"/>
      <c r="G37" s="176">
        <f>SUM(G4:G35)/A37</f>
        <v>518.66666666666663</v>
      </c>
      <c r="I37" s="176">
        <f>SUM(I4:I35)/A37</f>
        <v>2447</v>
      </c>
      <c r="K37" s="176">
        <f>SUM(K4:K36)/A37</f>
        <v>1249.6666666666667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2575342.9035483873</v>
      </c>
      <c r="AC37" s="286"/>
    </row>
    <row r="38" spans="1:32" ht="15.75" thickBot="1">
      <c r="A38" s="213"/>
      <c r="C38" s="215">
        <f>SUM(G38:K38)</f>
        <v>1</v>
      </c>
      <c r="G38" s="228">
        <f>IF(C37&gt;0,G37/C37,0)</f>
        <v>0.12304285940218251</v>
      </c>
      <c r="H38" s="215"/>
      <c r="I38" s="228">
        <f>SUM(I37/C37)</f>
        <v>0.5804997627708367</v>
      </c>
      <c r="J38" s="215"/>
      <c r="K38" s="228">
        <f>SUM(K37/C37)</f>
        <v>0.29645737782698089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1539.0572085807523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464.40911571176377</v>
      </c>
      <c r="Z40" s="40"/>
      <c r="AA40" s="300" t="s">
        <v>215</v>
      </c>
      <c r="AB40" s="301">
        <f>SUM(AB38)</f>
        <v>1539.0572085807523</v>
      </c>
    </row>
    <row r="41" spans="1:32">
      <c r="V41" s="220"/>
      <c r="W41" s="82">
        <f>(AB30+AB56)/1507.5</f>
        <v>1074.6480928689884</v>
      </c>
      <c r="X41" s="577"/>
      <c r="Z41" s="302">
        <f>SUM(AB40)</f>
        <v>1539.0572085807523</v>
      </c>
      <c r="AA41" s="301"/>
      <c r="AB41" s="301"/>
    </row>
    <row r="42" spans="1:32">
      <c r="V42" s="17"/>
      <c r="W42" s="82">
        <f>SUM(W40:W41)</f>
        <v>1539.0572085807521</v>
      </c>
      <c r="X42" s="577"/>
      <c r="Y42" s="82"/>
      <c r="Z42" s="302">
        <f>SUM(-tanks!AX37)*tanks!AU37</f>
        <v>0</v>
      </c>
      <c r="AA42" s="101">
        <f>SUM(AB31/A37)</f>
        <v>773376.24731182808</v>
      </c>
      <c r="AB42" s="358">
        <f>SUM(AA42*A39)</f>
        <v>23974663.666666672</v>
      </c>
    </row>
    <row r="43" spans="1:32" ht="18.75">
      <c r="W43" s="82">
        <f>(AB30+AB56)/1507.5</f>
        <v>1074.6480928689884</v>
      </c>
      <c r="Z43" s="282">
        <f>SUM(Z41:Z42)</f>
        <v>1539.0572085807523</v>
      </c>
      <c r="AA43" s="301">
        <f>SUM(AA42/1507.5)</f>
        <v>513.01906952691752</v>
      </c>
      <c r="AB43" s="357">
        <f>SUM(AB42/1507.5)</f>
        <v>15903.591155334443</v>
      </c>
    </row>
    <row r="44" spans="1:32">
      <c r="D44" s="534"/>
      <c r="E44" s="534"/>
      <c r="F44" s="534"/>
      <c r="W44" s="82">
        <f>SUM(W42:W43)</f>
        <v>2613.7053014497405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4"/>
      <c r="W47" s="585"/>
      <c r="X47" s="17"/>
      <c r="Y47" s="17"/>
      <c r="Z47" s="586"/>
      <c r="AA47" s="17"/>
      <c r="AB47" s="650"/>
      <c r="AC47" s="650"/>
      <c r="AD47" s="17"/>
      <c r="AE47" s="17"/>
      <c r="AF47" s="17"/>
    </row>
    <row r="48" spans="1:32">
      <c r="V48" s="650"/>
      <c r="W48" s="650"/>
      <c r="X48" s="650"/>
      <c r="Y48" s="650"/>
      <c r="Z48" s="586"/>
      <c r="AA48" s="586"/>
      <c r="AB48" s="650"/>
      <c r="AC48" s="650"/>
      <c r="AD48" s="17"/>
      <c r="AE48" s="17"/>
      <c r="AF48" s="17"/>
    </row>
    <row r="49" spans="22:32">
      <c r="V49" s="650"/>
      <c r="W49" s="650"/>
      <c r="X49" s="650"/>
      <c r="Y49" s="650"/>
      <c r="Z49" s="650"/>
      <c r="AA49" s="650"/>
      <c r="AB49" s="650"/>
      <c r="AC49" s="650"/>
      <c r="AD49" s="17"/>
      <c r="AE49" s="17"/>
      <c r="AF49" s="17"/>
    </row>
    <row r="50" spans="22:32">
      <c r="V50" s="651"/>
      <c r="W50" s="651"/>
      <c r="X50" s="652"/>
      <c r="Y50" s="652"/>
      <c r="Z50" s="652"/>
      <c r="AA50" s="587"/>
      <c r="AB50" s="650"/>
      <c r="AC50" s="650"/>
      <c r="AD50" s="17"/>
      <c r="AE50" s="17"/>
      <c r="AF50" s="17"/>
    </row>
    <row r="51" spans="22:32">
      <c r="V51" s="584"/>
      <c r="W51" s="584"/>
      <c r="X51" s="584"/>
      <c r="Y51" s="584"/>
      <c r="Z51" s="584"/>
      <c r="AA51" s="584"/>
      <c r="AB51" s="584"/>
      <c r="AC51" s="588"/>
      <c r="AD51" s="17"/>
      <c r="AE51" s="17"/>
      <c r="AF51" s="17"/>
    </row>
    <row r="52" spans="22:32">
      <c r="V52" s="587"/>
      <c r="W52" s="587"/>
      <c r="X52" s="589"/>
      <c r="Y52" s="589"/>
      <c r="Z52" s="589"/>
      <c r="AA52" s="73"/>
      <c r="AB52" s="73"/>
      <c r="AC52" s="73"/>
      <c r="AD52" s="590"/>
      <c r="AE52" s="17"/>
      <c r="AF52" s="17"/>
    </row>
    <row r="53" spans="22:32">
      <c r="V53" s="587"/>
      <c r="W53" s="587"/>
      <c r="X53" s="589"/>
      <c r="Y53" s="589"/>
      <c r="Z53" s="589"/>
      <c r="AA53" s="73"/>
      <c r="AB53" s="73"/>
      <c r="AC53" s="73"/>
      <c r="AD53" s="590"/>
      <c r="AE53" s="17"/>
      <c r="AF53" s="17"/>
    </row>
    <row r="54" spans="22:32">
      <c r="V54" s="587"/>
      <c r="W54" s="587"/>
      <c r="X54" s="589"/>
      <c r="Y54" s="589"/>
      <c r="Z54" s="589"/>
      <c r="AA54" s="73"/>
      <c r="AB54" s="73"/>
      <c r="AC54" s="73"/>
      <c r="AD54" s="590"/>
      <c r="AE54" s="591"/>
      <c r="AF54" s="592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3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4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95"/>
      <c r="AB61" s="596"/>
      <c r="AC61" s="597"/>
      <c r="AD61" s="17"/>
      <c r="AE61" s="17"/>
      <c r="AF61" s="17"/>
    </row>
    <row r="62" spans="22:32">
      <c r="V62" s="17"/>
      <c r="W62" s="17"/>
      <c r="X62" s="17"/>
      <c r="Y62" s="17"/>
      <c r="Z62" s="17"/>
      <c r="AA62" s="598"/>
      <c r="AB62" s="596"/>
      <c r="AC62" s="597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96"/>
      <c r="AC63" s="597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9"/>
      <c r="AC64" s="17"/>
      <c r="AD64" s="17"/>
      <c r="AE64" s="17"/>
      <c r="AF64" s="17"/>
    </row>
    <row r="65" spans="22:32">
      <c r="V65" s="220"/>
      <c r="W65" s="592"/>
      <c r="X65" s="17"/>
      <c r="Y65" s="17"/>
      <c r="Z65" s="591"/>
      <c r="AA65" s="600"/>
      <c r="AB65" s="589"/>
      <c r="AC65" s="17"/>
      <c r="AD65" s="17"/>
      <c r="AE65" s="17"/>
      <c r="AF65" s="17"/>
    </row>
    <row r="66" spans="22:32">
      <c r="V66" s="220"/>
      <c r="W66" s="592"/>
      <c r="X66" s="17"/>
      <c r="Y66" s="17"/>
      <c r="Z66" s="433"/>
      <c r="AA66" s="589"/>
      <c r="AB66" s="589"/>
      <c r="AC66" s="17"/>
      <c r="AD66" s="17"/>
      <c r="AE66" s="17"/>
      <c r="AF66" s="17"/>
    </row>
    <row r="67" spans="22:32">
      <c r="V67" s="17"/>
      <c r="W67" s="592"/>
      <c r="X67" s="17"/>
      <c r="Y67" s="592"/>
      <c r="Z67" s="433"/>
      <c r="AA67" s="589"/>
      <c r="AB67" s="601"/>
      <c r="AC67" s="17"/>
      <c r="AD67" s="17"/>
      <c r="AE67" s="17"/>
      <c r="AF67" s="17"/>
    </row>
    <row r="68" spans="22:32" ht="18.75">
      <c r="V68" s="17"/>
      <c r="W68" s="592"/>
      <c r="X68" s="17"/>
      <c r="Y68" s="17"/>
      <c r="Z68" s="602"/>
      <c r="AA68" s="589"/>
      <c r="AB68" s="603"/>
      <c r="AC68" s="17"/>
      <c r="AD68" s="17"/>
      <c r="AE68" s="17"/>
      <c r="AF68" s="17"/>
    </row>
    <row r="69" spans="22:32">
      <c r="V69" s="17"/>
      <c r="W69" s="592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9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M7" sqref="M7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2" t="s">
        <v>51</v>
      </c>
      <c r="B1" s="694" t="s">
        <v>320</v>
      </c>
      <c r="C1" s="695"/>
      <c r="D1" s="697"/>
      <c r="E1" s="694" t="s">
        <v>321</v>
      </c>
      <c r="F1" s="695"/>
      <c r="G1" s="696"/>
      <c r="H1" s="691" t="s">
        <v>326</v>
      </c>
      <c r="I1" s="688" t="s">
        <v>327</v>
      </c>
      <c r="J1" s="685" t="s">
        <v>43</v>
      </c>
    </row>
    <row r="2" spans="1:18" ht="38.25" thickBot="1">
      <c r="A2" s="683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2"/>
      <c r="I2" s="689"/>
      <c r="J2" s="686"/>
    </row>
    <row r="3" spans="1:18" ht="24" customHeight="1" thickBot="1">
      <c r="A3" s="684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3"/>
      <c r="I3" s="690"/>
      <c r="J3" s="687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f>'[5]Swimming Pool quality check '!M36</f>
        <v>6194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9">
        <v>2.5</v>
      </c>
      <c r="C6" s="570">
        <v>7.8</v>
      </c>
      <c r="D6" s="571">
        <v>28</v>
      </c>
      <c r="E6" s="571">
        <v>2.5</v>
      </c>
      <c r="F6" s="571">
        <v>8</v>
      </c>
      <c r="G6" s="571">
        <v>35</v>
      </c>
      <c r="H6" s="571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44045</v>
      </c>
      <c r="B7" s="553">
        <v>25</v>
      </c>
      <c r="C7" s="568">
        <v>7.8</v>
      </c>
      <c r="D7" s="170">
        <v>28</v>
      </c>
      <c r="E7" s="170">
        <v>2</v>
      </c>
      <c r="F7" s="170">
        <v>8</v>
      </c>
      <c r="G7" s="170">
        <v>35</v>
      </c>
      <c r="H7" s="571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f t="shared" ref="M7:M36" si="3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44046</v>
      </c>
      <c r="B8" s="553"/>
      <c r="C8" s="552"/>
      <c r="D8" s="170"/>
      <c r="E8" s="170"/>
      <c r="F8" s="170"/>
      <c r="G8" s="170"/>
      <c r="H8" s="571">
        <f t="shared" ref="H8:H36" si="4">H7</f>
        <v>6550</v>
      </c>
      <c r="I8" s="524">
        <f t="shared" si="2"/>
        <v>0</v>
      </c>
      <c r="J8" s="502">
        <v>0.29166666666666669</v>
      </c>
      <c r="L8" s="99">
        <f t="shared" si="0"/>
        <v>44046</v>
      </c>
      <c r="M8" s="3">
        <f t="shared" si="3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44047</v>
      </c>
      <c r="B9" s="553"/>
      <c r="C9" s="574"/>
      <c r="D9" s="170"/>
      <c r="E9" s="170"/>
      <c r="F9" s="170"/>
      <c r="G9" s="170"/>
      <c r="H9" s="571">
        <f t="shared" si="4"/>
        <v>6550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si="3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44048</v>
      </c>
      <c r="B10" s="524"/>
      <c r="C10" s="524"/>
      <c r="D10" s="524"/>
      <c r="E10" s="170"/>
      <c r="F10" s="170"/>
      <c r="G10" s="170"/>
      <c r="H10" s="571">
        <f t="shared" si="4"/>
        <v>6550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3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44049</v>
      </c>
      <c r="B11" s="524"/>
      <c r="C11" s="524"/>
      <c r="D11" s="524"/>
      <c r="E11" s="524"/>
      <c r="F11" s="524"/>
      <c r="G11" s="524"/>
      <c r="H11" s="571">
        <f t="shared" si="4"/>
        <v>6550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3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44050</v>
      </c>
      <c r="B12" s="524"/>
      <c r="C12" s="524"/>
      <c r="D12" s="524"/>
      <c r="E12" s="524"/>
      <c r="F12" s="524"/>
      <c r="G12" s="524"/>
      <c r="H12" s="571">
        <f t="shared" si="4"/>
        <v>6550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3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44051</v>
      </c>
      <c r="B13" s="553"/>
      <c r="C13" s="575"/>
      <c r="D13" s="170"/>
      <c r="E13" s="170"/>
      <c r="F13" s="170"/>
      <c r="G13" s="170"/>
      <c r="H13" s="571">
        <f t="shared" si="4"/>
        <v>6550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3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44052</v>
      </c>
      <c r="B14" s="259"/>
      <c r="C14" s="555"/>
      <c r="D14" s="170"/>
      <c r="E14" s="170"/>
      <c r="F14" s="170"/>
      <c r="G14" s="170"/>
      <c r="H14" s="571">
        <f t="shared" si="4"/>
        <v>6550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3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44053</v>
      </c>
      <c r="B15" s="259"/>
      <c r="C15" s="556"/>
      <c r="D15" s="170"/>
      <c r="E15" s="170"/>
      <c r="F15" s="170"/>
      <c r="G15" s="170"/>
      <c r="H15" s="571">
        <f t="shared" si="4"/>
        <v>6550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3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44054</v>
      </c>
      <c r="B16" s="259"/>
      <c r="C16" s="557"/>
      <c r="D16" s="170"/>
      <c r="E16" s="170"/>
      <c r="F16" s="170"/>
      <c r="G16" s="170"/>
      <c r="H16" s="571">
        <f t="shared" si="4"/>
        <v>6550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3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44055</v>
      </c>
      <c r="B17" s="524"/>
      <c r="C17" s="578"/>
      <c r="D17" s="524"/>
      <c r="E17" s="524"/>
      <c r="F17" s="524"/>
      <c r="G17" s="524"/>
      <c r="H17" s="571">
        <f t="shared" si="4"/>
        <v>6550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3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44056</v>
      </c>
      <c r="B18" s="524"/>
      <c r="C18" s="524"/>
      <c r="D18" s="524"/>
      <c r="E18" s="524"/>
      <c r="F18" s="524"/>
      <c r="G18" s="524"/>
      <c r="H18" s="571">
        <f t="shared" si="4"/>
        <v>6550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3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44057</v>
      </c>
      <c r="B19" s="259"/>
      <c r="C19" s="579"/>
      <c r="D19" s="170"/>
      <c r="E19" s="170"/>
      <c r="F19" s="170"/>
      <c r="G19" s="170"/>
      <c r="H19" s="571">
        <f t="shared" si="4"/>
        <v>6550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3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44058</v>
      </c>
      <c r="B20" s="524"/>
      <c r="C20" s="524"/>
      <c r="D20" s="524"/>
      <c r="E20" s="524"/>
      <c r="F20" s="524"/>
      <c r="G20" s="524"/>
      <c r="H20" s="571">
        <f t="shared" si="4"/>
        <v>6550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3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44059</v>
      </c>
      <c r="B21" s="524"/>
      <c r="C21" s="524"/>
      <c r="D21" s="524"/>
      <c r="E21" s="524"/>
      <c r="F21" s="524"/>
      <c r="G21" s="524"/>
      <c r="H21" s="571">
        <f t="shared" si="4"/>
        <v>6550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3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44060</v>
      </c>
      <c r="B22" s="259"/>
      <c r="C22" s="580"/>
      <c r="D22" s="170"/>
      <c r="E22" s="170"/>
      <c r="F22" s="170"/>
      <c r="G22" s="170"/>
      <c r="H22" s="571">
        <f t="shared" si="4"/>
        <v>6550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3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44061</v>
      </c>
      <c r="B23" s="170"/>
      <c r="C23" s="170"/>
      <c r="D23" s="170"/>
      <c r="E23" s="170"/>
      <c r="F23" s="170"/>
      <c r="G23" s="170"/>
      <c r="H23" s="571">
        <f t="shared" si="4"/>
        <v>6550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3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44062</v>
      </c>
      <c r="B24" s="524"/>
      <c r="C24" s="524"/>
      <c r="D24" s="524"/>
      <c r="E24" s="524"/>
      <c r="F24" s="524"/>
      <c r="G24" s="524"/>
      <c r="H24" s="571">
        <f t="shared" si="4"/>
        <v>6550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3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44063</v>
      </c>
      <c r="B25" s="524"/>
      <c r="C25" s="524"/>
      <c r="D25" s="524"/>
      <c r="E25" s="524"/>
      <c r="F25" s="524"/>
      <c r="G25" s="524"/>
      <c r="H25" s="571">
        <f t="shared" si="4"/>
        <v>6550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3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44064</v>
      </c>
      <c r="B26" s="524"/>
      <c r="C26" s="524"/>
      <c r="D26" s="524"/>
      <c r="E26" s="524"/>
      <c r="F26" s="524"/>
      <c r="G26" s="524"/>
      <c r="H26" s="571">
        <f t="shared" si="4"/>
        <v>6550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3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44065</v>
      </c>
      <c r="B27" s="524"/>
      <c r="C27" s="524"/>
      <c r="D27" s="524"/>
      <c r="E27" s="524"/>
      <c r="F27" s="524"/>
      <c r="G27" s="524"/>
      <c r="H27" s="571">
        <f t="shared" si="4"/>
        <v>6550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3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44066</v>
      </c>
      <c r="B28" s="259"/>
      <c r="C28" s="581"/>
      <c r="D28" s="170"/>
      <c r="E28" s="170"/>
      <c r="F28" s="170"/>
      <c r="G28" s="170"/>
      <c r="H28" s="571">
        <f t="shared" si="4"/>
        <v>6550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3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44067</v>
      </c>
      <c r="B29" s="524"/>
      <c r="C29" s="524"/>
      <c r="D29" s="524"/>
      <c r="E29" s="524"/>
      <c r="F29" s="524"/>
      <c r="G29" s="524"/>
      <c r="H29" s="571">
        <f t="shared" si="4"/>
        <v>6550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3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71">
        <f t="shared" si="4"/>
        <v>6550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3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44069</v>
      </c>
      <c r="B31" s="259"/>
      <c r="C31" s="558"/>
      <c r="D31" s="170"/>
      <c r="E31" s="170"/>
      <c r="F31" s="170"/>
      <c r="G31" s="170"/>
      <c r="H31" s="571">
        <f t="shared" si="4"/>
        <v>6550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3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71">
        <f t="shared" si="4"/>
        <v>6550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3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71">
        <f t="shared" si="4"/>
        <v>6550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3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71">
        <f t="shared" si="4"/>
        <v>6550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3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71">
        <f t="shared" si="4"/>
        <v>6550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3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71">
        <f t="shared" si="4"/>
        <v>6550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3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698" t="s">
        <v>161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</row>
    <row r="2" spans="1:28" ht="19.5">
      <c r="A2" s="699"/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</row>
    <row r="3" spans="1:28" ht="19.5">
      <c r="A3" s="699" t="s">
        <v>162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9"/>
      <c r="X3" s="69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9" t="s">
        <v>411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699"/>
      <c r="P5" s="699"/>
      <c r="Q5" s="699"/>
      <c r="R5" s="699"/>
      <c r="S5" s="699"/>
      <c r="T5" s="699"/>
      <c r="U5" s="699"/>
      <c r="V5" s="699"/>
      <c r="W5" s="699"/>
      <c r="X5" s="699"/>
    </row>
    <row r="6" spans="1:28" ht="15.75" thickBot="1">
      <c r="A6" s="700"/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  <c r="M6" s="700"/>
      <c r="N6" s="700"/>
      <c r="O6" s="700"/>
      <c r="P6" s="700"/>
      <c r="Q6" s="700"/>
      <c r="R6" s="700"/>
      <c r="S6" s="700"/>
      <c r="T6" s="700"/>
      <c r="U6" s="700"/>
      <c r="V6" s="700"/>
      <c r="W6" s="700"/>
      <c r="X6" s="700"/>
    </row>
    <row r="7" spans="1:28" ht="15.7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-530.70000000000016</v>
      </c>
      <c r="AB17" s="278">
        <f>G81</f>
        <v>19.899999999999999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-938.50000000000011</v>
      </c>
      <c r="AB23" s="134">
        <f>SUM(AB10:AB22)</f>
        <v>669.5999999999998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0</v>
      </c>
      <c r="G50" s="278">
        <f>'General information '!C8</f>
        <v>0</v>
      </c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0</v>
      </c>
      <c r="G51" s="278">
        <f>'General information '!C9</f>
        <v>0</v>
      </c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0</v>
      </c>
      <c r="G52" s="278">
        <f>'General information '!C10</f>
        <v>0</v>
      </c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0</v>
      </c>
      <c r="G53" s="278">
        <f>'General information '!C11</f>
        <v>0</v>
      </c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0</v>
      </c>
      <c r="G54" s="278">
        <f>'General information '!C12</f>
        <v>0</v>
      </c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0</v>
      </c>
      <c r="G55" s="278">
        <f>'General information '!C13</f>
        <v>0</v>
      </c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0</v>
      </c>
      <c r="G56" s="278">
        <f>'General information '!C14</f>
        <v>0</v>
      </c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0</v>
      </c>
      <c r="G57" s="278">
        <f>'General information '!C15</f>
        <v>0</v>
      </c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0</v>
      </c>
      <c r="G58" s="278">
        <f>'General information '!C16</f>
        <v>0</v>
      </c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0</v>
      </c>
      <c r="G59" s="278">
        <f>'General information '!C17</f>
        <v>0</v>
      </c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0</v>
      </c>
      <c r="G60" s="278">
        <f>'General information '!C18</f>
        <v>0</v>
      </c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0</v>
      </c>
      <c r="G61" s="278">
        <f>'General information '!C19</f>
        <v>0</v>
      </c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0</v>
      </c>
      <c r="G62" s="278">
        <f>'General information '!C20</f>
        <v>0</v>
      </c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0</v>
      </c>
      <c r="G63" s="278">
        <f>'General information '!C21</f>
        <v>0</v>
      </c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0</v>
      </c>
      <c r="G64" s="278">
        <f>'General information '!C22</f>
        <v>0</v>
      </c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0</v>
      </c>
      <c r="G65" s="278">
        <f>'General information '!C23</f>
        <v>0</v>
      </c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0</v>
      </c>
      <c r="G66" s="278">
        <f>'General information '!C24</f>
        <v>0</v>
      </c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0</v>
      </c>
      <c r="G67" s="278">
        <f>'General information '!C25</f>
        <v>0</v>
      </c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0</v>
      </c>
      <c r="G68" s="278">
        <f>'General information '!C26</f>
        <v>0</v>
      </c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0</v>
      </c>
      <c r="G69" s="278">
        <f>'General information '!C27</f>
        <v>0</v>
      </c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0</v>
      </c>
      <c r="G70" s="278">
        <f>'General information '!C28</f>
        <v>0</v>
      </c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0</v>
      </c>
      <c r="G71" s="278">
        <f>'General information '!C29</f>
        <v>0</v>
      </c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-530.70000000000016</v>
      </c>
      <c r="G81" s="119">
        <f>SUMIF(H48:H78,"&gt;0")</f>
        <v>19.899999999999999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.25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.75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-3182.8</v>
      </c>
      <c r="O86" s="142">
        <f>C43+G43+K43+O43+S43+W43+C81+G81+K81+O81+S81+W81</f>
        <v>647.5999999999998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2" sqref="B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2" t="s">
        <v>216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3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62</v>
      </c>
      <c r="C6" s="337">
        <v>1.45</v>
      </c>
      <c r="D6" s="187">
        <f>SUM(C6*B6)*D4</f>
        <v>135524.25</v>
      </c>
      <c r="E6" s="448">
        <f>SUM(D6/D4)/F4</f>
        <v>29.966666666666669</v>
      </c>
      <c r="F6" s="188">
        <f>SUM(E6*F4)</f>
        <v>89.9</v>
      </c>
      <c r="G6" s="189">
        <f>SUM(B6*C6)</f>
        <v>89.899999999999991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432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725.80645161290317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0.01</v>
      </c>
      <c r="C8" s="508">
        <f>SUM(tanks!AU37)</f>
        <v>0</v>
      </c>
      <c r="D8" s="194">
        <f>SUM(B8*C8)*D4</f>
        <v>0</v>
      </c>
      <c r="E8" s="195">
        <f>SUM(D8/D4/F4)</f>
        <v>0</v>
      </c>
      <c r="F8" s="195">
        <f>SUM(E8*F4)</f>
        <v>0</v>
      </c>
      <c r="G8" s="525">
        <f>E8*$F$4</f>
        <v>0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2320128.7419354841</v>
      </c>
      <c r="E10" s="185">
        <f>SUM(D10/D4/F4)</f>
        <v>513.01906952691741</v>
      </c>
      <c r="F10" s="185">
        <f>SUM(E10*F4)</f>
        <v>1539.0572085807521</v>
      </c>
      <c r="G10" s="525">
        <f>E10*$G$4</f>
        <v>15903.591155334439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784.92122006455179</v>
      </c>
      <c r="F12" s="183">
        <f>SUM(F6:F10)</f>
        <v>2354.7636601936551</v>
      </c>
      <c r="G12" s="182">
        <f>SUM(G6:G10)</f>
        <v>23493.491155334439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19.899999999999999</v>
      </c>
      <c r="C14" s="445">
        <f>'[9]Utility Cost '!C14</f>
        <v>151</v>
      </c>
      <c r="D14" s="170"/>
      <c r="E14" s="170">
        <f t="shared" ref="E14:E18" si="0">B14-C14</f>
        <v>-131.1</v>
      </c>
      <c r="F14" s="524">
        <v>0</v>
      </c>
      <c r="G14" s="433"/>
      <c r="H14" s="434">
        <f>SUM(G12-H12)</f>
        <v>-50008.208844665554</v>
      </c>
      <c r="I14" s="434">
        <f>SUM(G12-I12)</f>
        <v>-89506.508844665557</v>
      </c>
    </row>
    <row r="15" spans="1:11">
      <c r="A15" s="462" t="s">
        <v>303</v>
      </c>
      <c r="B15" s="97">
        <f>'Degree Days 2020'!AA17</f>
        <v>-530.70000000000016</v>
      </c>
      <c r="C15" s="445">
        <f>'[9]Utility Cost '!C15</f>
        <v>-18.3</v>
      </c>
      <c r="D15" s="170"/>
      <c r="E15" s="170">
        <f t="shared" si="0"/>
        <v>-512.4000000000002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606">
        <f>'General information '!D38</f>
        <v>18.833333333333332</v>
      </c>
      <c r="C16" s="445">
        <f>'[9]Utility Cost '!C16</f>
        <v>28.661290322580644</v>
      </c>
      <c r="D16" s="445"/>
      <c r="E16" s="446">
        <f t="shared" si="0"/>
        <v>-9.827956989247312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0.36304999999999998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-0.46115000000000006</v>
      </c>
      <c r="F17" s="542">
        <f>B17-D17</f>
        <v>-0.28844999999999998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34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-154.20000000000073</v>
      </c>
      <c r="F18" s="543">
        <f>B18-D18</f>
        <v>-264.16666666666669</v>
      </c>
    </row>
    <row r="19" spans="1:10">
      <c r="A19" s="537" t="s">
        <v>413</v>
      </c>
      <c r="B19" s="535">
        <f>SUM(B18/$F$4)</f>
        <v>11.333333333333334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2020-08-03T07:33:06Z</dcterms:modified>
</cp:coreProperties>
</file>