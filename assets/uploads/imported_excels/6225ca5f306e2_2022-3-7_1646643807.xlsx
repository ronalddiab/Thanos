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30" yWindow="30" windowWidth="15720" windowHeight="12060" tabRatio="578" firstSheet="4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X8" i="3"/>
  <c r="T8"/>
  <c r="U5"/>
  <c r="T5"/>
  <c r="T4"/>
  <c r="I8"/>
  <c r="X3"/>
  <c r="T6"/>
  <c r="T7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"/>
  <c r="X2"/>
  <c r="P10" i="2" l="1"/>
  <c r="B3" i="76" l="1"/>
  <c r="H3" l="1"/>
  <c r="W11"/>
  <c r="V11"/>
  <c r="W10"/>
  <c r="V10"/>
  <c r="W9"/>
  <c r="V9"/>
  <c r="J3"/>
  <c r="F3"/>
  <c r="E3"/>
  <c r="C3"/>
  <c r="D3"/>
  <c r="G3"/>
  <c r="I3"/>
  <c r="K3"/>
  <c r="L3"/>
  <c r="M3"/>
  <c r="N3"/>
  <c r="O3"/>
  <c r="P3"/>
  <c r="Q3"/>
  <c r="R3"/>
  <c r="S3"/>
  <c r="T3"/>
  <c r="BI5" i="7"/>
  <c r="BB5"/>
  <c r="BA5"/>
  <c r="AZ5"/>
  <c r="AY5"/>
  <c r="AX5"/>
  <c r="AW5"/>
  <c r="AV5"/>
  <c r="AU5"/>
  <c r="AT5"/>
  <c r="AS5"/>
  <c r="AR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4"/>
  <c r="X5" s="1"/>
  <c r="X6" s="1"/>
  <c r="X7" s="1"/>
  <c r="X9" s="1"/>
  <c r="X10" s="1"/>
  <c r="X11" s="1"/>
  <c r="X12" s="1"/>
  <c r="Y2"/>
  <c r="Z2"/>
  <c r="AA2"/>
  <c r="AB2"/>
  <c r="AC2"/>
  <c r="D5" i="79"/>
  <c r="E5"/>
  <c r="F5"/>
  <c r="G5"/>
  <c r="H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B4"/>
  <c r="M3" i="2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E3"/>
  <c r="F3"/>
  <c r="G3"/>
  <c r="H3"/>
  <c r="I3"/>
  <c r="J3"/>
  <c r="K3"/>
  <c r="L3"/>
  <c r="D3"/>
  <c r="B5" i="79"/>
  <c r="C5"/>
  <c r="C20" i="77"/>
  <c r="C18"/>
  <c r="C17"/>
  <c r="C16"/>
  <c r="C15"/>
  <c r="C14"/>
  <c r="B15"/>
  <c r="B14"/>
  <c r="B17"/>
  <c r="BK34" i="7" l="1"/>
  <c r="BK35"/>
  <c r="BK36"/>
  <c r="AS37"/>
  <c r="AU37" s="1"/>
  <c r="G7" i="5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6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K6" i="5"/>
  <c r="A5" i="79"/>
  <c r="A34"/>
  <c r="L34"/>
  <c r="M34"/>
  <c r="O34" s="1"/>
  <c r="A35"/>
  <c r="L35" s="1"/>
  <c r="M35"/>
  <c r="M36" s="1"/>
  <c r="O36" s="1"/>
  <c r="O35"/>
  <c r="A36"/>
  <c r="L36" s="1"/>
  <c r="F36" i="73"/>
  <c r="A33"/>
  <c r="D33"/>
  <c r="BA34" i="7" s="1"/>
  <c r="G33" i="73"/>
  <c r="K33"/>
  <c r="A34"/>
  <c r="D34"/>
  <c r="AM35" i="5" s="1"/>
  <c r="G34" i="73"/>
  <c r="K34"/>
  <c r="A35"/>
  <c r="D35"/>
  <c r="G35"/>
  <c r="K35"/>
  <c r="V26" i="76"/>
  <c r="AA19"/>
  <c r="AB19"/>
  <c r="AC19"/>
  <c r="AA12"/>
  <c r="AB12"/>
  <c r="AC12"/>
  <c r="AB13"/>
  <c r="AA16"/>
  <c r="AB16"/>
  <c r="AC16"/>
  <c r="AA17"/>
  <c r="AB17"/>
  <c r="AC17"/>
  <c r="AA18"/>
  <c r="AB18"/>
  <c r="AC18"/>
  <c r="X10"/>
  <c r="Y10"/>
  <c r="Z10"/>
  <c r="AA10"/>
  <c r="AB10"/>
  <c r="AC10"/>
  <c r="AD10"/>
  <c r="X11"/>
  <c r="Y11"/>
  <c r="Z11"/>
  <c r="AA11"/>
  <c r="AB11"/>
  <c r="AC11"/>
  <c r="AD11"/>
  <c r="X9"/>
  <c r="Y9"/>
  <c r="Z9"/>
  <c r="AA9"/>
  <c r="AB9"/>
  <c r="AC9"/>
  <c r="AD9"/>
  <c r="J5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H5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B5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3"/>
  <c r="A32"/>
  <c r="A33"/>
  <c r="A34"/>
  <c r="B5" i="7"/>
  <c r="A5"/>
  <c r="A34"/>
  <c r="BB34"/>
  <c r="BE34"/>
  <c r="BG34" s="1"/>
  <c r="A35"/>
  <c r="BB35"/>
  <c r="BE35"/>
  <c r="BG35" s="1"/>
  <c r="A36"/>
  <c r="BA36"/>
  <c r="BB36"/>
  <c r="BE36"/>
  <c r="BG36" s="1"/>
  <c r="R3" i="3"/>
  <c r="Y3" s="1"/>
  <c r="B6"/>
  <c r="B7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D2"/>
  <c r="AE2"/>
  <c r="AF2"/>
  <c r="AG2"/>
  <c r="AH2"/>
  <c r="AI2"/>
  <c r="AJ2"/>
  <c r="AK2"/>
  <c r="AL2"/>
  <c r="B2"/>
  <c r="A2"/>
  <c r="A31"/>
  <c r="A32"/>
  <c r="A33"/>
  <c r="AT7" i="5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T6"/>
  <c r="AT5"/>
  <c r="AU5"/>
  <c r="AV5"/>
  <c r="AV9" s="1"/>
  <c r="AV10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9" s="1"/>
  <c r="AX10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A5"/>
  <c r="B34"/>
  <c r="B35" s="1"/>
  <c r="T34"/>
  <c r="U34"/>
  <c r="Z34"/>
  <c r="AA34"/>
  <c r="AJ34"/>
  <c r="AM34"/>
  <c r="AN34"/>
  <c r="AP34"/>
  <c r="AU34"/>
  <c r="T35"/>
  <c r="U35" s="1"/>
  <c r="Z35"/>
  <c r="Z36" s="1"/>
  <c r="AA35"/>
  <c r="AJ35"/>
  <c r="AN35"/>
  <c r="AP35"/>
  <c r="AR35"/>
  <c r="T36"/>
  <c r="U36"/>
  <c r="AM36"/>
  <c r="AN36"/>
  <c r="AP36"/>
  <c r="AR36"/>
  <c r="A34"/>
  <c r="AR34" s="1"/>
  <c r="A35"/>
  <c r="A36"/>
  <c r="H8" i="1"/>
  <c r="H9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F8"/>
  <c r="F9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8"/>
  <c r="C9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B8"/>
  <c r="B9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S4"/>
  <c r="AT4"/>
  <c r="AU4"/>
  <c r="AV4"/>
  <c r="AW4"/>
  <c r="AX4"/>
  <c r="A4"/>
  <c r="A33"/>
  <c r="O33"/>
  <c r="X33"/>
  <c r="Y33" s="1"/>
  <c r="A34"/>
  <c r="O34"/>
  <c r="O35" s="1"/>
  <c r="X34"/>
  <c r="Y34" s="1"/>
  <c r="A35"/>
  <c r="P7" i="2"/>
  <c r="P8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L7"/>
  <c r="L8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7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7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F7"/>
  <c r="F8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D7"/>
  <c r="D8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A32"/>
  <c r="B32" s="1"/>
  <c r="A33"/>
  <c r="B33" s="1"/>
  <c r="A34"/>
  <c r="B34" s="1"/>
  <c r="AG3"/>
  <c r="C3"/>
  <c r="B30" i="81"/>
  <c r="B31" s="1"/>
  <c r="B32" s="1"/>
  <c r="D30"/>
  <c r="D31" s="1"/>
  <c r="D32" s="1"/>
  <c r="B30" i="82"/>
  <c r="B31" s="1"/>
  <c r="B32" s="1"/>
  <c r="K30"/>
  <c r="K31"/>
  <c r="L32" l="1"/>
  <c r="O32" i="81"/>
  <c r="L30" i="82"/>
  <c r="O30" i="81"/>
  <c r="L31" i="82"/>
  <c r="O31" i="81"/>
  <c r="R6" i="3"/>
  <c r="R7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S31" s="1"/>
  <c r="U31" s="1"/>
  <c r="H7" i="79"/>
  <c r="B34" i="1"/>
  <c r="B34" i="7"/>
  <c r="P33" i="2"/>
  <c r="Q32"/>
  <c r="L33"/>
  <c r="M32"/>
  <c r="E30" i="82" s="1"/>
  <c r="J33" i="2"/>
  <c r="K32"/>
  <c r="F30" i="82" s="1"/>
  <c r="H33" i="2"/>
  <c r="I32"/>
  <c r="G30" i="82" s="1"/>
  <c r="F33" i="2"/>
  <c r="G32"/>
  <c r="I30" i="82" s="1"/>
  <c r="D33" i="2"/>
  <c r="E32"/>
  <c r="H30" i="82" s="1"/>
  <c r="AZ34" i="7"/>
  <c r="O32" i="2"/>
  <c r="AZ35" i="7"/>
  <c r="BA35"/>
  <c r="O33" i="2"/>
  <c r="O34"/>
  <c r="AZ36" i="7"/>
  <c r="B33" i="76"/>
  <c r="B34" s="1"/>
  <c r="C34" s="1"/>
  <c r="C32"/>
  <c r="F33"/>
  <c r="F34" s="1"/>
  <c r="W28" s="1"/>
  <c r="G32"/>
  <c r="L32" s="1"/>
  <c r="I32"/>
  <c r="M32" s="1"/>
  <c r="H33"/>
  <c r="K32"/>
  <c r="N32" s="1"/>
  <c r="J33"/>
  <c r="C33"/>
  <c r="C31" i="3"/>
  <c r="F31" s="1"/>
  <c r="B32"/>
  <c r="AX35" i="5"/>
  <c r="AX36" s="1"/>
  <c r="BA36" s="1"/>
  <c r="BA34"/>
  <c r="AZ34"/>
  <c r="X35"/>
  <c r="Y34"/>
  <c r="H34"/>
  <c r="H36"/>
  <c r="AJ36"/>
  <c r="AA36"/>
  <c r="C35"/>
  <c r="B36"/>
  <c r="C36" s="1"/>
  <c r="C34"/>
  <c r="AU35"/>
  <c r="N33" i="1"/>
  <c r="M34"/>
  <c r="K34"/>
  <c r="L33"/>
  <c r="H34"/>
  <c r="I33"/>
  <c r="G33"/>
  <c r="F34"/>
  <c r="C33"/>
  <c r="Z34" i="7" s="1"/>
  <c r="J33" i="1"/>
  <c r="AB33"/>
  <c r="AB34"/>
  <c r="X35"/>
  <c r="Y35" s="1"/>
  <c r="R32" i="3" l="1"/>
  <c r="R33" s="1"/>
  <c r="S33" s="1"/>
  <c r="U33" s="1"/>
  <c r="H8" i="79"/>
  <c r="H9" s="1"/>
  <c r="H10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 i="5"/>
  <c r="AA34" i="7"/>
  <c r="AB34"/>
  <c r="B35" i="1"/>
  <c r="B36" i="7" s="1"/>
  <c r="B35"/>
  <c r="C34"/>
  <c r="D34"/>
  <c r="P34" i="2"/>
  <c r="Q34" s="1"/>
  <c r="Q33"/>
  <c r="L34"/>
  <c r="M34" s="1"/>
  <c r="E32" i="82" s="1"/>
  <c r="M33" i="2"/>
  <c r="E31" i="82" s="1"/>
  <c r="J34" i="2"/>
  <c r="K34" s="1"/>
  <c r="F32" i="82" s="1"/>
  <c r="K33" i="2"/>
  <c r="F31" i="82" s="1"/>
  <c r="H34" i="2"/>
  <c r="I34" s="1"/>
  <c r="G32" i="82" s="1"/>
  <c r="I33" i="2"/>
  <c r="G31" i="82" s="1"/>
  <c r="F34" i="2"/>
  <c r="G34" s="1"/>
  <c r="I32" i="82" s="1"/>
  <c r="G33" i="2"/>
  <c r="I31" i="82" s="1"/>
  <c r="D34" i="2"/>
  <c r="E34" s="1"/>
  <c r="E33"/>
  <c r="N32"/>
  <c r="H34" i="76"/>
  <c r="I33"/>
  <c r="M33" s="1"/>
  <c r="D32"/>
  <c r="E32" s="1"/>
  <c r="K33"/>
  <c r="N33" s="1"/>
  <c r="J34"/>
  <c r="G34"/>
  <c r="G33"/>
  <c r="B33" i="3"/>
  <c r="C33" s="1"/>
  <c r="F33" s="1"/>
  <c r="C32"/>
  <c r="F32" s="1"/>
  <c r="BA35" i="5"/>
  <c r="BD35" s="1"/>
  <c r="X36"/>
  <c r="Y36" s="1"/>
  <c r="Y35"/>
  <c r="J30" i="82"/>
  <c r="H35" i="5"/>
  <c r="I35" s="1"/>
  <c r="I34"/>
  <c r="D34"/>
  <c r="E34"/>
  <c r="AU36"/>
  <c r="AZ36" s="1"/>
  <c r="AZ35"/>
  <c r="BC35" s="1"/>
  <c r="K32" i="82"/>
  <c r="I36" i="5"/>
  <c r="E36"/>
  <c r="D36"/>
  <c r="E35"/>
  <c r="D35"/>
  <c r="M35" i="1"/>
  <c r="N35" s="1"/>
  <c r="N34"/>
  <c r="L34"/>
  <c r="K35"/>
  <c r="L35" s="1"/>
  <c r="H35"/>
  <c r="I35" s="1"/>
  <c r="I34"/>
  <c r="F35"/>
  <c r="G35" s="1"/>
  <c r="G34"/>
  <c r="C34"/>
  <c r="D33"/>
  <c r="E33" s="1"/>
  <c r="AB35"/>
  <c r="BD36" i="5" l="1"/>
  <c r="S32" i="3"/>
  <c r="U32" s="1"/>
  <c r="I34" i="76"/>
  <c r="M34" s="1"/>
  <c r="M35" s="1"/>
  <c r="W27"/>
  <c r="K34"/>
  <c r="N34" s="1"/>
  <c r="N35" s="1"/>
  <c r="W26"/>
  <c r="I34" i="79"/>
  <c r="H35"/>
  <c r="K34" i="5"/>
  <c r="AD34" i="7"/>
  <c r="AC34"/>
  <c r="D34" i="1"/>
  <c r="E34" s="1"/>
  <c r="Z35" i="7"/>
  <c r="D36"/>
  <c r="C36"/>
  <c r="F34"/>
  <c r="E34"/>
  <c r="C35"/>
  <c r="D35"/>
  <c r="H31" i="82"/>
  <c r="N33" i="2"/>
  <c r="H32" i="82"/>
  <c r="N34" i="2"/>
  <c r="E30" i="81"/>
  <c r="S32" i="76"/>
  <c r="T32" s="1"/>
  <c r="F30" i="81" s="1"/>
  <c r="R32" i="2"/>
  <c r="L34" i="76"/>
  <c r="D33"/>
  <c r="E33" s="1"/>
  <c r="L33"/>
  <c r="J32" i="82"/>
  <c r="J31"/>
  <c r="J36" i="5"/>
  <c r="L32" i="81" s="1"/>
  <c r="K32"/>
  <c r="K31"/>
  <c r="J35" i="5"/>
  <c r="L31" i="81" s="1"/>
  <c r="J34" i="5"/>
  <c r="L30" i="81" s="1"/>
  <c r="K30"/>
  <c r="BC36" i="5"/>
  <c r="J35" i="1"/>
  <c r="J34"/>
  <c r="C35"/>
  <c r="Z36" i="7" s="1"/>
  <c r="D35" i="1" l="1"/>
  <c r="E35" s="1"/>
  <c r="D34" i="76"/>
  <c r="E34" s="1"/>
  <c r="H36" i="79"/>
  <c r="I35"/>
  <c r="K35" i="5"/>
  <c r="L35" s="1"/>
  <c r="AK35" s="1"/>
  <c r="AA35" i="7"/>
  <c r="AB35"/>
  <c r="AB36"/>
  <c r="AA36"/>
  <c r="AE34"/>
  <c r="AF34"/>
  <c r="F36"/>
  <c r="E36"/>
  <c r="G34"/>
  <c r="H34"/>
  <c r="F35"/>
  <c r="E35"/>
  <c r="E32" i="81"/>
  <c r="S34" i="76"/>
  <c r="T34" s="1"/>
  <c r="F32" i="81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G34"/>
  <c r="AD35"/>
  <c r="AC35"/>
  <c r="AD36"/>
  <c r="AC36"/>
  <c r="G36"/>
  <c r="H36"/>
  <c r="I34"/>
  <c r="J34"/>
  <c r="H35"/>
  <c r="G35"/>
  <c r="AE36" l="1"/>
  <c r="AF36"/>
  <c r="AI34"/>
  <c r="AJ34"/>
  <c r="AE35"/>
  <c r="AF35"/>
  <c r="I36"/>
  <c r="J36"/>
  <c r="K34"/>
  <c r="L34"/>
  <c r="I35"/>
  <c r="J35"/>
  <c r="AK34" l="1"/>
  <c r="AO34" s="1"/>
  <c r="AN34" s="1"/>
  <c r="AL34"/>
  <c r="AM34" s="1"/>
  <c r="AG35"/>
  <c r="AH35"/>
  <c r="AG36"/>
  <c r="AH36"/>
  <c r="K36"/>
  <c r="L36"/>
  <c r="M34"/>
  <c r="N34"/>
  <c r="K35"/>
  <c r="L35"/>
  <c r="AI36" l="1"/>
  <c r="AJ36"/>
  <c r="AI35"/>
  <c r="AJ35"/>
  <c r="N36"/>
  <c r="M36"/>
  <c r="O34"/>
  <c r="P34"/>
  <c r="M35"/>
  <c r="N35"/>
  <c r="AK36" l="1"/>
  <c r="AO36" s="1"/>
  <c r="AN36" s="1"/>
  <c r="AL36"/>
  <c r="AM36" s="1"/>
  <c r="AL35"/>
  <c r="AM35" s="1"/>
  <c r="AK35"/>
  <c r="O36"/>
  <c r="P36"/>
  <c r="R34"/>
  <c r="Q34"/>
  <c r="O35"/>
  <c r="P35"/>
  <c r="AO35" l="1"/>
  <c r="AN35" s="1"/>
  <c r="Q36"/>
  <c r="R36"/>
  <c r="T34"/>
  <c r="S34"/>
  <c r="Q35"/>
  <c r="R35"/>
  <c r="T36" l="1"/>
  <c r="S36"/>
  <c r="U34"/>
  <c r="Y34" s="1"/>
  <c r="V34"/>
  <c r="W34" s="1"/>
  <c r="S35"/>
  <c r="T35"/>
  <c r="U36" l="1"/>
  <c r="V36"/>
  <c r="W36" s="1"/>
  <c r="AR34"/>
  <c r="X34"/>
  <c r="U35"/>
  <c r="V35"/>
  <c r="W35" s="1"/>
  <c r="Y36" l="1"/>
  <c r="X36" s="1"/>
  <c r="AQ34"/>
  <c r="Y35"/>
  <c r="AR36" l="1"/>
  <c r="AS36" s="1"/>
  <c r="AR35"/>
  <c r="X35"/>
  <c r="AQ36" l="1"/>
  <c r="AS35"/>
  <c r="AQ35"/>
  <c r="BC36"/>
  <c r="BC35"/>
  <c r="AU29" i="5" l="1"/>
  <c r="Y29"/>
  <c r="Y30"/>
  <c r="Y31" l="1"/>
  <c r="Y33" l="1"/>
  <c r="Y32"/>
  <c r="I24" i="2" l="1"/>
  <c r="E22" l="1"/>
  <c r="G22"/>
  <c r="I22"/>
  <c r="K22"/>
  <c r="M22"/>
  <c r="Q22"/>
  <c r="N22" l="1"/>
  <c r="R22" s="1"/>
  <c r="C6" i="3" l="1"/>
  <c r="T6" i="5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Q22" i="1" l="1"/>
  <c r="Q23" s="1"/>
  <c r="Q24" s="1"/>
  <c r="Q25" s="1"/>
  <c r="Q26" s="1"/>
  <c r="Q27" s="1"/>
  <c r="Q28" s="1"/>
  <c r="Q29" s="1"/>
  <c r="Q30" s="1"/>
  <c r="Q31" s="1"/>
  <c r="Q32" s="1"/>
  <c r="Q33" s="1"/>
  <c r="R21"/>
  <c r="P34"/>
  <c r="S33"/>
  <c r="X32" i="2"/>
  <c r="W33"/>
  <c r="Z32"/>
  <c r="Y33"/>
  <c r="AA33"/>
  <c r="AB32"/>
  <c r="Q9"/>
  <c r="C10" i="74"/>
  <c r="Q34" i="1" l="1"/>
  <c r="R33"/>
  <c r="V33" s="1"/>
  <c r="S34"/>
  <c r="P35"/>
  <c r="S35" s="1"/>
  <c r="T33"/>
  <c r="U33"/>
  <c r="AL33"/>
  <c r="W34" i="2"/>
  <c r="X34" s="1"/>
  <c r="X33"/>
  <c r="Y34"/>
  <c r="Z34" s="1"/>
  <c r="Z33"/>
  <c r="AB33"/>
  <c r="AA34"/>
  <c r="AB34" s="1"/>
  <c r="W13" i="76"/>
  <c r="Q35" i="1" l="1"/>
  <c r="R35" s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AF34" i="3" l="1"/>
  <c r="F37" i="5"/>
  <c r="AT37" i="7" l="1"/>
  <c r="AT38" s="1"/>
  <c r="C24" i="3" l="1"/>
  <c r="AA26" i="76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l="1"/>
  <c r="AA33"/>
  <c r="L25"/>
  <c r="E6" i="2"/>
  <c r="Y9" i="3"/>
  <c r="Y10"/>
  <c r="Y11"/>
  <c r="Y12"/>
  <c r="Y13"/>
  <c r="Y14"/>
  <c r="Y15"/>
  <c r="Y16"/>
  <c r="Y17"/>
  <c r="Y18"/>
  <c r="Y19"/>
  <c r="AA34" i="1" l="1"/>
  <c r="Z35"/>
  <c r="AA35" s="1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B16" i="7"/>
  <c r="H9" i="3" l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7" i="7"/>
  <c r="H24" i="3" l="1"/>
  <c r="H25" s="1"/>
  <c r="H26" s="1"/>
  <c r="H27" s="1"/>
  <c r="H28" s="1"/>
  <c r="H29" s="1"/>
  <c r="H30" s="1"/>
  <c r="H31" s="1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3" i="1" l="1"/>
  <c r="A35" i="76"/>
  <c r="V7" i="1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K35" i="76" l="1"/>
  <c r="C35"/>
  <c r="G36" s="1"/>
  <c r="I35"/>
  <c r="G35"/>
  <c r="O81" i="74"/>
  <c r="N81"/>
  <c r="W81"/>
  <c r="V81"/>
  <c r="C81"/>
  <c r="B81"/>
  <c r="G81"/>
  <c r="F81"/>
  <c r="J81"/>
  <c r="E15" i="77" s="1"/>
  <c r="K81" i="74"/>
  <c r="E14" i="77" s="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AD28" i="76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7" l="1"/>
  <c r="AN7" s="1"/>
  <c r="I17" i="82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AQ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C34" s="1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2" l="1"/>
  <c r="AR43" s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4" i="3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C18" l="1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3" l="1"/>
  <c r="F14" l="1"/>
  <c r="F20" l="1"/>
  <c r="F21" l="1"/>
  <c r="F27" l="1"/>
  <c r="F30" l="1"/>
  <c r="B36" i="74" l="1"/>
  <c r="B39"/>
  <c r="Z6" i="5" l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Z13" l="1"/>
  <c r="AA12"/>
  <c r="AJ12"/>
  <c r="K8" i="82" s="1"/>
  <c r="Z14" i="5" l="1"/>
  <c r="AA13"/>
  <c r="AJ13"/>
  <c r="K9" i="82" s="1"/>
  <c r="Z15" i="5" l="1"/>
  <c r="AJ14"/>
  <c r="K10" i="82" s="1"/>
  <c r="AA14" i="5"/>
  <c r="Z16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Z19" i="5" l="1"/>
  <c r="AJ18"/>
  <c r="K14" i="82" s="1"/>
  <c r="AA18" i="5"/>
  <c r="Z20" l="1"/>
  <c r="AA19"/>
  <c r="AJ19"/>
  <c r="K15" i="82" s="1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AA33" l="1"/>
  <c r="AJ33"/>
  <c r="AJ37" l="1"/>
  <c r="Z38" s="1"/>
  <c r="K29" i="82"/>
  <c r="AC27" i="76" l="1"/>
  <c r="AC28"/>
  <c r="AC26"/>
  <c r="AC29" l="1"/>
  <c r="O32" l="1"/>
  <c r="P32" s="1"/>
  <c r="O34"/>
  <c r="O33"/>
  <c r="P33" s="1"/>
  <c r="O25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O35" l="1"/>
  <c r="P34"/>
  <c r="D10" i="77"/>
  <c r="E10" s="1"/>
  <c r="E12" s="1"/>
  <c r="AB33" i="76"/>
  <c r="AB34" s="1"/>
  <c r="AB36"/>
  <c r="AB38" s="1"/>
  <c r="F10" i="77" l="1"/>
  <c r="F12" s="1"/>
  <c r="G10"/>
  <c r="G12" s="1"/>
  <c r="H14" l="1"/>
  <c r="I14"/>
  <c r="AC6" i="5" l="1"/>
  <c r="AC7" s="1"/>
  <c r="AC8" l="1"/>
  <c r="AD7"/>
  <c r="AG6"/>
  <c r="AE6"/>
  <c r="U4" i="2"/>
  <c r="AE5" i="1"/>
  <c r="S4" i="2"/>
  <c r="AC5" i="1"/>
  <c r="AC4" i="2"/>
  <c r="AE6" i="1" l="1"/>
  <c r="AF5"/>
  <c r="AH5" s="1"/>
  <c r="AC6"/>
  <c r="AD5"/>
  <c r="AE7" i="5"/>
  <c r="AF6"/>
  <c r="AC9"/>
  <c r="AD8"/>
  <c r="AG7"/>
  <c r="AH6"/>
  <c r="T4" i="2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B4" i="63" s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AM7" i="1"/>
  <c r="AG7"/>
  <c r="AI8" i="5"/>
  <c r="H7" i="65" l="1"/>
  <c r="AC9" i="2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E19"/>
  <c r="AC17" i="2"/>
  <c r="AD16"/>
  <c r="U17"/>
  <c r="V16"/>
  <c r="AE15"/>
  <c r="AG15" s="1"/>
  <c r="A13" i="63"/>
  <c r="AC21" i="5"/>
  <c r="AD20"/>
  <c r="AI18" l="1"/>
  <c r="B13" i="63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F17" i="2" l="1"/>
  <c r="H18" i="65" s="1"/>
  <c r="AC19" i="2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B15" i="63" l="1"/>
  <c r="AD23" i="5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S6" i="5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AY6" i="5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AF23" i="2"/>
  <c r="AI26" i="5" l="1"/>
  <c r="AF26" i="1"/>
  <c r="AH26" s="1"/>
  <c r="AE27"/>
  <c r="O6" i="5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M6"/>
  <c r="AG28"/>
  <c r="AH27"/>
  <c r="AF24" i="2"/>
  <c r="I3" i="63"/>
  <c r="BF7" i="5"/>
  <c r="BG7" s="1"/>
  <c r="G7" i="65" s="1"/>
  <c r="AI25" i="1"/>
  <c r="AW26" i="7" s="1"/>
  <c r="C25" i="65"/>
  <c r="E25" s="1"/>
  <c r="G5"/>
  <c r="AY24" i="7"/>
  <c r="Q22" i="76"/>
  <c r="R22" s="1"/>
  <c r="T22" s="1"/>
  <c r="F20" i="81" s="1"/>
  <c r="BJ24" i="7"/>
  <c r="AE28" i="5"/>
  <c r="AF27"/>
  <c r="AS9"/>
  <c r="AY8"/>
  <c r="BB8" s="1"/>
  <c r="BE8" s="1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AI28" i="5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2"/>
  <c r="AY27" i="7"/>
  <c r="Q25" i="76"/>
  <c r="R25" s="1"/>
  <c r="T25" s="1"/>
  <c r="F23" i="81" s="1"/>
  <c r="BJ27" i="7"/>
  <c r="AE27" i="2"/>
  <c r="AG27" s="1"/>
  <c r="A25" i="63"/>
  <c r="V28" i="2"/>
  <c r="U29"/>
  <c r="AI28" i="1"/>
  <c r="AW29" i="7" s="1"/>
  <c r="C28" i="65"/>
  <c r="E28" s="1"/>
  <c r="H27"/>
  <c r="B24" i="63"/>
  <c r="N8" i="5"/>
  <c r="M9"/>
  <c r="AY11"/>
  <c r="BB11" s="1"/>
  <c r="BE11" s="1"/>
  <c r="AS12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AF28" i="2" l="1"/>
  <c r="B26" i="63" s="1"/>
  <c r="AD33" i="5"/>
  <c r="AC34"/>
  <c r="H28" i="65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M10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H29" i="65" l="1"/>
  <c r="AC35" i="5"/>
  <c r="AD34"/>
  <c r="Q9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0"/>
  <c r="AS14" i="5"/>
  <c r="AY13"/>
  <c r="BB13" s="1"/>
  <c r="BE13" s="1"/>
  <c r="AE32" i="1"/>
  <c r="AF31"/>
  <c r="AH31" s="1"/>
  <c r="AJ29"/>
  <c r="AK29" s="1"/>
  <c r="AX30" i="7"/>
  <c r="G26" i="81"/>
  <c r="AD31" i="1"/>
  <c r="AC32"/>
  <c r="A27" i="63"/>
  <c r="AE29" i="2"/>
  <c r="AG29" s="1"/>
  <c r="M4" i="81"/>
  <c r="V10" i="5"/>
  <c r="W9"/>
  <c r="AL9" s="1"/>
  <c r="M11"/>
  <c r="N10"/>
  <c r="AG33"/>
  <c r="AH32"/>
  <c r="BJ29" i="7"/>
  <c r="AY29"/>
  <c r="Q27" i="76"/>
  <c r="R27" s="1"/>
  <c r="T27" s="1"/>
  <c r="F25" i="81" s="1"/>
  <c r="V30" i="2"/>
  <c r="U31"/>
  <c r="AF32" i="5"/>
  <c r="AE33"/>
  <c r="AM30" i="1"/>
  <c r="F31" i="75" s="1"/>
  <c r="G31" s="1"/>
  <c r="AG30" i="1"/>
  <c r="AC31" i="2"/>
  <c r="AD30"/>
  <c r="AF29"/>
  <c r="AD31" l="1"/>
  <c r="AF31" s="1"/>
  <c r="AC32"/>
  <c r="U32"/>
  <c r="V31"/>
  <c r="T31"/>
  <c r="A29" i="63" s="1"/>
  <c r="S32" i="2"/>
  <c r="AC36" i="5"/>
  <c r="AD36" s="1"/>
  <c r="AD35"/>
  <c r="AH33"/>
  <c r="AG34"/>
  <c r="AF33"/>
  <c r="AE34"/>
  <c r="AD32" i="1"/>
  <c r="AG32" s="1"/>
  <c r="AC33"/>
  <c r="AF32"/>
  <c r="AH32" s="1"/>
  <c r="AE33"/>
  <c r="AI32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I9" i="63"/>
  <c r="BF13" i="5"/>
  <c r="BG13" s="1"/>
  <c r="G13" i="65" s="1"/>
  <c r="AI31" i="1"/>
  <c r="AW32" i="7" s="1"/>
  <c r="C31" i="65"/>
  <c r="E31" s="1"/>
  <c r="H30"/>
  <c r="B27" i="63"/>
  <c r="AF30" i="2"/>
  <c r="B29" i="63" l="1"/>
  <c r="H32" i="65"/>
  <c r="AE31" i="2"/>
  <c r="AG31" s="1"/>
  <c r="AI33" i="5"/>
  <c r="S33" i="2"/>
  <c r="T32"/>
  <c r="AE32" s="1"/>
  <c r="AC33"/>
  <c r="AD32"/>
  <c r="U33"/>
  <c r="V32"/>
  <c r="AF32" s="1"/>
  <c r="AH34" i="5"/>
  <c r="AG35"/>
  <c r="AF34"/>
  <c r="AE35"/>
  <c r="AD33" i="1"/>
  <c r="AC34"/>
  <c r="AF33"/>
  <c r="AH33" s="1"/>
  <c r="AI33" s="1"/>
  <c r="AE34"/>
  <c r="AM32"/>
  <c r="F33" i="75" s="1"/>
  <c r="G33" s="1"/>
  <c r="Q11" i="5"/>
  <c r="M7" i="81" s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AW34" i="7" l="1"/>
  <c r="S34" i="2"/>
  <c r="T34" s="1"/>
  <c r="AE34" s="1"/>
  <c r="AG34" s="1"/>
  <c r="T33"/>
  <c r="AE33" s="1"/>
  <c r="AG33" s="1"/>
  <c r="AC34"/>
  <c r="AD34" s="1"/>
  <c r="AD33"/>
  <c r="U34"/>
  <c r="V34" s="1"/>
  <c r="V33"/>
  <c r="AI34" i="5"/>
  <c r="AG36"/>
  <c r="AH36" s="1"/>
  <c r="AH35"/>
  <c r="AF35"/>
  <c r="AE36"/>
  <c r="AF36" s="1"/>
  <c r="AG33" i="1"/>
  <c r="AM33"/>
  <c r="AD34"/>
  <c r="AC35"/>
  <c r="AD35" s="1"/>
  <c r="AE35"/>
  <c r="AF35" s="1"/>
  <c r="AH35" s="1"/>
  <c r="AI35" s="1"/>
  <c r="AF34"/>
  <c r="AH34" s="1"/>
  <c r="V13" i="5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AF33" i="2" l="1"/>
  <c r="AW36" i="7"/>
  <c r="AJ33" i="1"/>
  <c r="AK33" s="1"/>
  <c r="G30" i="81"/>
  <c r="AX34" i="7"/>
  <c r="AF34" i="2"/>
  <c r="AI35" i="5"/>
  <c r="AI36"/>
  <c r="AG34" i="1"/>
  <c r="AM34"/>
  <c r="AM36" s="1"/>
  <c r="AG35"/>
  <c r="AM35"/>
  <c r="AI34"/>
  <c r="AW35" i="7" s="1"/>
  <c r="AH36" i="1"/>
  <c r="Q13" i="5"/>
  <c r="M9" i="81" s="1"/>
  <c r="M8"/>
  <c r="V14" i="5"/>
  <c r="W13"/>
  <c r="AL13" s="1"/>
  <c r="I12" i="63"/>
  <c r="BF16" i="5"/>
  <c r="BG16" s="1"/>
  <c r="G16" i="65" s="1"/>
  <c r="BJ33" i="7"/>
  <c r="AY33"/>
  <c r="Q31" i="76"/>
  <c r="R31" s="1"/>
  <c r="T31" s="1"/>
  <c r="F29" i="81" s="1"/>
  <c r="M15" i="5"/>
  <c r="N14"/>
  <c r="P14"/>
  <c r="O15"/>
  <c r="AS18"/>
  <c r="AY17"/>
  <c r="BB17" s="1"/>
  <c r="BE17" s="1"/>
  <c r="G31" i="81" l="1"/>
  <c r="AJ34" i="1"/>
  <c r="AK34" s="1"/>
  <c r="AX35" i="7"/>
  <c r="AJ35" i="1"/>
  <c r="AK35" s="1"/>
  <c r="G32" i="81"/>
  <c r="AX36" i="7"/>
  <c r="AY34"/>
  <c r="BJ34"/>
  <c r="Q32" i="76"/>
  <c r="R32" s="1"/>
  <c r="AX37" i="7"/>
  <c r="AX42" s="1"/>
  <c r="AI37" i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AY35" i="7" l="1"/>
  <c r="AY37" s="1"/>
  <c r="BJ35"/>
  <c r="Q33" i="76"/>
  <c r="R33" s="1"/>
  <c r="BJ36" i="7"/>
  <c r="AY36"/>
  <c r="Q34" i="76"/>
  <c r="R34" s="1"/>
  <c r="W15" i="5"/>
  <c r="AL15" s="1"/>
  <c r="V16"/>
  <c r="L3" i="3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J3" i="3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F2" i="63"/>
  <c r="Q18" i="5" l="1"/>
  <c r="M14" i="81" s="1"/>
  <c r="O20" i="5"/>
  <c r="P19"/>
  <c r="V19"/>
  <c r="W18"/>
  <c r="AL18" s="1"/>
  <c r="I17" i="63"/>
  <c r="BF21" i="5"/>
  <c r="BG21" s="1"/>
  <c r="G21" i="65" s="1"/>
  <c r="AS23" i="5"/>
  <c r="AY22"/>
  <c r="BB22" s="1"/>
  <c r="BE22" s="1"/>
  <c r="J5" i="3"/>
  <c r="K4"/>
  <c r="M5"/>
  <c r="L6"/>
  <c r="N19" i="5"/>
  <c r="M20"/>
  <c r="Z3" i="3"/>
  <c r="N3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L4" l="1"/>
  <c r="AK4"/>
  <c r="AE4"/>
  <c r="AF4" s="1"/>
  <c r="F4" i="63"/>
  <c r="Z5" i="3"/>
  <c r="N5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l="1"/>
  <c r="BB33" s="1"/>
  <c r="BE33" s="1"/>
  <c r="BF33" s="1"/>
  <c r="BG33" s="1"/>
  <c r="G33" i="65" s="1"/>
  <c r="AS34" i="5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AY34" i="5" l="1"/>
  <c r="BB34" s="1"/>
  <c r="BE34" s="1"/>
  <c r="BF34" s="1"/>
  <c r="BG34" s="1"/>
  <c r="AS35"/>
  <c r="Q30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AS36" l="1"/>
  <c r="AY36" s="1"/>
  <c r="BB36" s="1"/>
  <c r="BE36" s="1"/>
  <c r="BF36" s="1"/>
  <c r="BG36" s="1"/>
  <c r="AY35"/>
  <c r="BB35" s="1"/>
  <c r="BE35" s="1"/>
  <c r="BF35" s="1"/>
  <c r="BG35" s="1"/>
  <c r="N32"/>
  <c r="M33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Q31"/>
  <c r="M27" i="81" s="1"/>
  <c r="P33" i="5" l="1"/>
  <c r="Q33" s="1"/>
  <c r="O34"/>
  <c r="N33"/>
  <c r="M34"/>
  <c r="BK18" i="7"/>
  <c r="AG15" i="3"/>
  <c r="AK16"/>
  <c r="AL16"/>
  <c r="AE16"/>
  <c r="AF16" s="1"/>
  <c r="F16" i="63"/>
  <c r="V33" i="5"/>
  <c r="W32"/>
  <c r="AL32" s="1"/>
  <c r="M19" i="3"/>
  <c r="L20"/>
  <c r="Z17"/>
  <c r="N17"/>
  <c r="J19"/>
  <c r="K18"/>
  <c r="Q32" i="5"/>
  <c r="M28" i="81" s="1"/>
  <c r="P34" i="5" l="1"/>
  <c r="Q34" s="1"/>
  <c r="M30" i="81" s="1"/>
  <c r="O35" i="5"/>
  <c r="W33"/>
  <c r="AL33" s="1"/>
  <c r="V34"/>
  <c r="N34"/>
  <c r="M35"/>
  <c r="M29" i="81"/>
  <c r="L21" i="3"/>
  <c r="M20"/>
  <c r="AK17"/>
  <c r="AE17"/>
  <c r="AF17" s="1"/>
  <c r="F17" i="63"/>
  <c r="AL17" i="3"/>
  <c r="BK19" i="7"/>
  <c r="AG16" i="3"/>
  <c r="J20"/>
  <c r="K19"/>
  <c r="Z18"/>
  <c r="N18"/>
  <c r="N35" i="5" l="1"/>
  <c r="M36"/>
  <c r="N36" s="1"/>
  <c r="O36"/>
  <c r="P36" s="1"/>
  <c r="P35"/>
  <c r="V35"/>
  <c r="W34"/>
  <c r="AL34" s="1"/>
  <c r="J21" i="3"/>
  <c r="K20"/>
  <c r="L22"/>
  <c r="M21"/>
  <c r="N19"/>
  <c r="Z19"/>
  <c r="AE18"/>
  <c r="AF18" s="1"/>
  <c r="AL18"/>
  <c r="F18" i="63"/>
  <c r="AK18" i="3"/>
  <c r="BK20" i="7"/>
  <c r="AG17" i="3"/>
  <c r="V36" i="5" l="1"/>
  <c r="W36" s="1"/>
  <c r="AL36" s="1"/>
  <c r="W35"/>
  <c r="AL35" s="1"/>
  <c r="Q36"/>
  <c r="M32" i="81" s="1"/>
  <c r="Q35" i="5"/>
  <c r="M31" i="81" s="1"/>
  <c r="Z20" i="3"/>
  <c r="N20"/>
  <c r="AB20" s="1"/>
  <c r="J22"/>
  <c r="K21"/>
  <c r="L23"/>
  <c r="M22"/>
  <c r="AA22" s="1"/>
  <c r="F19" i="63"/>
  <c r="AE19" i="3"/>
  <c r="AF19" s="1"/>
  <c r="AL19"/>
  <c r="AK19"/>
  <c r="BK21" i="7"/>
  <c r="AG18" i="3"/>
  <c r="AL37" i="5" l="1"/>
  <c r="Q37"/>
  <c r="O38" s="1"/>
  <c r="BK22" i="7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29"/>
  <c r="F26" i="63"/>
  <c r="AE26" i="3"/>
  <c r="AF26" s="1"/>
  <c r="AK26"/>
  <c r="AL26"/>
  <c r="BK28" i="7"/>
  <c r="AG25" i="3"/>
  <c r="M30" l="1"/>
  <c r="L31"/>
  <c r="Z28"/>
  <c r="N28"/>
  <c r="AB28" s="1"/>
  <c r="J30"/>
  <c r="J31" s="1"/>
  <c r="K29"/>
  <c r="BK29" i="7"/>
  <c r="AG26" i="3"/>
  <c r="AK27"/>
  <c r="F27" i="63"/>
  <c r="AE27" i="3"/>
  <c r="AF27" s="1"/>
  <c r="AL27"/>
  <c r="L32" l="1"/>
  <c r="M31"/>
  <c r="J32"/>
  <c r="K31"/>
  <c r="N29"/>
  <c r="Z29"/>
  <c r="BK30" i="7"/>
  <c r="AG27" i="3"/>
  <c r="AK28"/>
  <c r="F28" i="63"/>
  <c r="AC28" i="3"/>
  <c r="AE28"/>
  <c r="AF28" s="1"/>
  <c r="AL28"/>
  <c r="K30"/>
  <c r="M32" l="1"/>
  <c r="L33"/>
  <c r="M33" s="1"/>
  <c r="J33"/>
  <c r="K32"/>
  <c r="N31"/>
  <c r="AB31" s="1"/>
  <c r="Z31"/>
  <c r="AC31" s="1"/>
  <c r="F29" i="63"/>
  <c r="AE29" i="3"/>
  <c r="AF29" s="1"/>
  <c r="AL29"/>
  <c r="AK29"/>
  <c r="N30"/>
  <c r="AB30" s="1"/>
  <c r="Z30"/>
  <c r="BK31" i="7"/>
  <c r="AG28" i="3"/>
  <c r="AH28" s="1"/>
  <c r="K33" l="1"/>
  <c r="K35" s="1"/>
  <c r="U34" s="1"/>
  <c r="N32"/>
  <c r="AB32" s="1"/>
  <c r="Z32"/>
  <c r="AC32" s="1"/>
  <c r="BK32" i="7"/>
  <c r="AG29" i="3"/>
  <c r="AL30"/>
  <c r="AL34" s="1"/>
  <c r="B19" i="77" s="1"/>
  <c r="F30" i="63"/>
  <c r="AK30" i="3"/>
  <c r="AE30"/>
  <c r="AF30" s="1"/>
  <c r="N33" l="1"/>
  <c r="AB33" s="1"/>
  <c r="Z33"/>
  <c r="Z34" s="1"/>
  <c r="BK33" i="7"/>
  <c r="AG30" i="3"/>
  <c r="AC33" l="1"/>
  <c r="B18" i="77"/>
  <c r="D3" i="3"/>
  <c r="F18" i="77" l="1"/>
  <c r="E18"/>
  <c r="W32" i="76"/>
  <c r="X32" s="1"/>
  <c r="Y32" s="1"/>
  <c r="B20" i="77"/>
  <c r="D4" i="3"/>
  <c r="E3"/>
  <c r="AA3" l="1"/>
  <c r="AC3" s="1"/>
  <c r="AH3" s="1"/>
  <c r="F3"/>
  <c r="AB3" s="1"/>
  <c r="D5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l="1"/>
  <c r="AC8" s="1"/>
  <c r="AH8" s="1"/>
  <c r="F8"/>
  <c r="AB8" s="1"/>
  <c r="D10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l="1"/>
  <c r="AA30" s="1"/>
  <c r="AC30" s="1"/>
  <c r="AH30" s="1"/>
  <c r="D31"/>
  <c r="AA29"/>
  <c r="AC29" s="1"/>
  <c r="AH29" s="1"/>
  <c r="F29"/>
  <c r="AB29" s="1"/>
  <c r="AN5" i="1"/>
  <c r="AR5"/>
  <c r="AP5"/>
  <c r="D32" i="3" l="1"/>
  <c r="E31"/>
  <c r="AA31" s="1"/>
  <c r="AR6" i="1"/>
  <c r="AS5"/>
  <c r="AN6"/>
  <c r="AO5"/>
  <c r="AP6"/>
  <c r="AQ5"/>
  <c r="D33" i="3" l="1"/>
  <c r="E33" s="1"/>
  <c r="AA33" s="1"/>
  <c r="E32"/>
  <c r="AA32" s="1"/>
  <c r="AN7" i="1"/>
  <c r="AO6"/>
  <c r="AR7"/>
  <c r="AS6"/>
  <c r="AP7"/>
  <c r="AQ6"/>
  <c r="AT5"/>
  <c r="AU5" s="1"/>
  <c r="AT6" l="1"/>
  <c r="AU6" s="1"/>
  <c r="I3" i="81" s="1"/>
  <c r="I2"/>
  <c r="AN8" i="1"/>
  <c r="AO7"/>
  <c r="AR8"/>
  <c r="AS7"/>
  <c r="P3" i="3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P14" i="3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1"/>
  <c r="AR32"/>
  <c r="AS31"/>
  <c r="AP32"/>
  <c r="AQ31"/>
  <c r="AT30"/>
  <c r="AU30" s="1"/>
  <c r="I27" i="81" s="1"/>
  <c r="AQ32" i="1" l="1"/>
  <c r="AP33"/>
  <c r="AO32"/>
  <c r="AN33"/>
  <c r="AS32"/>
  <c r="AR33"/>
  <c r="AT31"/>
  <c r="AU31" s="1"/>
  <c r="I28" i="81" s="1"/>
  <c r="P29" i="3"/>
  <c r="Q28"/>
  <c r="AT32" i="1" l="1"/>
  <c r="AU32" s="1"/>
  <c r="I29" i="81" s="1"/>
  <c r="AP34" i="1"/>
  <c r="AQ33"/>
  <c r="AO33"/>
  <c r="AN34"/>
  <c r="AS33"/>
  <c r="AR34"/>
  <c r="P30" i="3"/>
  <c r="Q29"/>
  <c r="Q30" l="1"/>
  <c r="P31"/>
  <c r="AQ34" i="1"/>
  <c r="AP35"/>
  <c r="AQ35" s="1"/>
  <c r="AO34"/>
  <c r="AN35"/>
  <c r="AO35" s="1"/>
  <c r="AS34"/>
  <c r="AR35"/>
  <c r="AS35" s="1"/>
  <c r="AT33"/>
  <c r="AX5"/>
  <c r="P32" i="3" l="1"/>
  <c r="Q31"/>
  <c r="AU34" i="1"/>
  <c r="I31" i="81" s="1"/>
  <c r="AU33" i="1"/>
  <c r="AT34"/>
  <c r="AU35" s="1"/>
  <c r="I32" i="81" s="1"/>
  <c r="AT35" i="1"/>
  <c r="AX6"/>
  <c r="J2" i="81"/>
  <c r="P33" i="3" l="1"/>
  <c r="Q33" s="1"/>
  <c r="Q32"/>
  <c r="I30" i="81"/>
  <c r="AU36" i="1"/>
  <c r="AU38" s="1"/>
  <c r="AX7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V6" i="7"/>
  <c r="H2" i="81" s="1"/>
  <c r="J30" l="1"/>
  <c r="AX34" i="1"/>
  <c r="AV7" i="7"/>
  <c r="H3" i="81" s="1"/>
  <c r="AX35" i="1" l="1"/>
  <c r="J32" i="81" s="1"/>
  <c r="J31"/>
  <c r="AV8" i="7"/>
  <c r="H4" i="81" s="1"/>
  <c r="AV9" i="7" l="1"/>
  <c r="H5" i="81" s="1"/>
  <c r="AV10" i="7" l="1"/>
  <c r="H6" i="81" s="1"/>
  <c r="AV11" i="7" l="1"/>
  <c r="H7" i="81" s="1"/>
  <c r="AV12" i="7" l="1"/>
  <c r="H8" i="81" s="1"/>
  <c r="AV13" i="7" l="1"/>
  <c r="H9" i="81" s="1"/>
  <c r="AV14" i="7" l="1"/>
  <c r="H10" i="81" s="1"/>
  <c r="AV15" i="7" l="1"/>
  <c r="H11" i="81" s="1"/>
  <c r="AV16" i="7" l="1"/>
  <c r="H12" i="81" s="1"/>
  <c r="AV17" i="7" l="1"/>
  <c r="H13" i="81" s="1"/>
  <c r="AV18" i="7" l="1"/>
  <c r="H14" i="81" s="1"/>
  <c r="AV19" i="7" l="1"/>
  <c r="H15" i="81" s="1"/>
  <c r="AV20" i="7" l="1"/>
  <c r="H16" i="81" s="1"/>
  <c r="AV21" i="7" l="1"/>
  <c r="H17" i="81" s="1"/>
  <c r="AV22" i="7" l="1"/>
  <c r="H18" i="81" s="1"/>
  <c r="AV23" i="7" l="1"/>
  <c r="H19" i="81" s="1"/>
  <c r="AV24" i="7" l="1"/>
  <c r="H20" i="81" s="1"/>
  <c r="AV25" i="7" l="1"/>
  <c r="H21" i="81" s="1"/>
  <c r="AV26" i="7" l="1"/>
  <c r="H22" i="81" s="1"/>
  <c r="AV27" i="7" l="1"/>
  <c r="H23" i="81" s="1"/>
  <c r="AV28" i="7" l="1"/>
  <c r="H24" i="81" s="1"/>
  <c r="AV29" i="7" l="1"/>
  <c r="H25" i="81" s="1"/>
  <c r="AV30" i="7" l="1"/>
  <c r="H26" i="81" s="1"/>
  <c r="AV31" i="7" l="1"/>
  <c r="H27" i="81" s="1"/>
  <c r="AV32" i="7" l="1"/>
  <c r="H28" i="81" s="1"/>
  <c r="AV33" i="7" l="1"/>
  <c r="H29" i="81" s="1"/>
  <c r="AV34" i="7" l="1"/>
  <c r="H30" i="81" s="1"/>
  <c r="AV35" i="7" l="1"/>
  <c r="H31" i="81" s="1"/>
  <c r="AV36" i="7" l="1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<sst xmlns="http://schemas.openxmlformats.org/spreadsheetml/2006/main" count="666" uniqueCount="418">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</sst>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43" fontId="0" fillId="0" borderId="43" xfId="1" applyNumberFormat="1" applyFont="1" applyBorder="1" applyAlignment="1">
      <alignment horizontal="center"/>
    </xf>
    <xf numFmtId="167" fontId="0" fillId="0" borderId="43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7359616"/>
        <c:axId val="181602176"/>
      </c:lineChart>
      <c:catAx>
        <c:axId val="14735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602176"/>
        <c:crosses val="autoZero"/>
        <c:auto val="1"/>
        <c:lblAlgn val="ctr"/>
        <c:lblOffset val="100"/>
      </c:catAx>
      <c:valAx>
        <c:axId val="181602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5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86968704"/>
        <c:axId val="117605120"/>
      </c:lineChart>
      <c:catAx>
        <c:axId val="18696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05120"/>
        <c:crosses val="autoZero"/>
        <c:auto val="1"/>
        <c:lblAlgn val="ctr"/>
        <c:lblOffset val="100"/>
      </c:catAx>
      <c:valAx>
        <c:axId val="117605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96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2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17633792"/>
        <c:axId val="117635328"/>
      </c:lineChart>
      <c:catAx>
        <c:axId val="11763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35328"/>
        <c:crosses val="autoZero"/>
        <c:auto val="1"/>
        <c:lblAlgn val="ctr"/>
        <c:lblOffset val="100"/>
      </c:catAx>
      <c:valAx>
        <c:axId val="1176353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3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3406592"/>
        <c:axId val="123408384"/>
      </c:lineChart>
      <c:catAx>
        <c:axId val="12340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08384"/>
        <c:crosses val="autoZero"/>
        <c:auto val="1"/>
        <c:lblAlgn val="ctr"/>
        <c:lblOffset val="100"/>
      </c:catAx>
      <c:valAx>
        <c:axId val="1234083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0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56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3424768"/>
        <c:axId val="123426304"/>
      </c:lineChart>
      <c:catAx>
        <c:axId val="12342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26304"/>
        <c:crosses val="autoZero"/>
        <c:auto val="1"/>
        <c:lblAlgn val="ctr"/>
        <c:lblOffset val="100"/>
      </c:catAx>
      <c:valAx>
        <c:axId val="1234263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2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67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25036416"/>
        <c:axId val="125037952"/>
      </c:lineChart>
      <c:catAx>
        <c:axId val="12503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37952"/>
        <c:crosses val="autoZero"/>
        <c:auto val="1"/>
        <c:lblAlgn val="ctr"/>
        <c:lblOffset val="100"/>
      </c:catAx>
      <c:valAx>
        <c:axId val="12503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3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25095296"/>
        <c:axId val="126628992"/>
      </c:lineChart>
      <c:catAx>
        <c:axId val="12509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28992"/>
        <c:crosses val="autoZero"/>
        <c:auto val="1"/>
        <c:lblAlgn val="ctr"/>
        <c:lblOffset val="100"/>
      </c:catAx>
      <c:valAx>
        <c:axId val="126628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27198336"/>
        <c:axId val="127199872"/>
      </c:lineChart>
      <c:catAx>
        <c:axId val="12719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99872"/>
        <c:crosses val="autoZero"/>
        <c:auto val="1"/>
        <c:lblAlgn val="ctr"/>
        <c:lblOffset val="100"/>
      </c:catAx>
      <c:valAx>
        <c:axId val="12719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9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6954880"/>
        <c:axId val="146960768"/>
      </c:lineChart>
      <c:catAx>
        <c:axId val="14695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60768"/>
        <c:crosses val="autoZero"/>
        <c:auto val="1"/>
        <c:lblAlgn val="ctr"/>
        <c:lblOffset val="100"/>
      </c:catAx>
      <c:valAx>
        <c:axId val="1469607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5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999"/>
          <c:w val="0.1272403315177650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7157376"/>
        <c:axId val="147158912"/>
      </c:lineChart>
      <c:catAx>
        <c:axId val="14715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58912"/>
        <c:crosses val="autoZero"/>
        <c:auto val="1"/>
        <c:lblAlgn val="ctr"/>
        <c:lblOffset val="100"/>
      </c:catAx>
      <c:valAx>
        <c:axId val="14715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5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51611264"/>
        <c:axId val="151612800"/>
      </c:lineChart>
      <c:catAx>
        <c:axId val="15161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12800"/>
        <c:crosses val="autoZero"/>
        <c:auto val="1"/>
        <c:lblAlgn val="ctr"/>
        <c:lblOffset val="100"/>
      </c:catAx>
      <c:valAx>
        <c:axId val="1516128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1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24305408"/>
        <c:axId val="124306944"/>
      </c:lineChart>
      <c:catAx>
        <c:axId val="124305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06944"/>
        <c:crosses val="autoZero"/>
        <c:auto val="1"/>
        <c:lblAlgn val="ctr"/>
        <c:lblOffset val="100"/>
      </c:catAx>
      <c:valAx>
        <c:axId val="124306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0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14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415</c:v>
                </c:pt>
                <c:pt idx="1">
                  <c:v>343</c:v>
                </c:pt>
                <c:pt idx="2">
                  <c:v>425</c:v>
                </c:pt>
                <c:pt idx="3">
                  <c:v>337</c:v>
                </c:pt>
                <c:pt idx="4">
                  <c:v>0</c:v>
                </c:pt>
                <c:pt idx="5">
                  <c:v>0</c:v>
                </c:pt>
                <c:pt idx="6">
                  <c:v>528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82626176"/>
        <c:axId val="182627712"/>
      </c:lineChart>
      <c:catAx>
        <c:axId val="18262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627712"/>
        <c:crosses val="autoZero"/>
        <c:auto val="1"/>
        <c:lblAlgn val="ctr"/>
        <c:lblOffset val="100"/>
      </c:catAx>
      <c:valAx>
        <c:axId val="182627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62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999"/>
          <c:w val="0.135416885389379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82640000"/>
        <c:axId val="182645888"/>
      </c:lineChart>
      <c:catAx>
        <c:axId val="18264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645888"/>
        <c:crosses val="autoZero"/>
        <c:auto val="1"/>
        <c:lblAlgn val="ctr"/>
        <c:lblOffset val="100"/>
      </c:catAx>
      <c:valAx>
        <c:axId val="182645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64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99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26506496"/>
        <c:axId val="126508032"/>
      </c:lineChart>
      <c:catAx>
        <c:axId val="12650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08032"/>
        <c:crosses val="autoZero"/>
        <c:auto val="1"/>
        <c:lblAlgn val="ctr"/>
        <c:lblOffset val="100"/>
      </c:catAx>
      <c:valAx>
        <c:axId val="126508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0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26520320"/>
        <c:axId val="126534400"/>
      </c:lineChart>
      <c:catAx>
        <c:axId val="12652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34400"/>
        <c:crosses val="autoZero"/>
        <c:auto val="1"/>
        <c:lblAlgn val="ctr"/>
        <c:lblOffset val="100"/>
      </c:catAx>
      <c:valAx>
        <c:axId val="126534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2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999"/>
          <c:w val="0.1354168853893794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26751488"/>
        <c:axId val="126753024"/>
      </c:lineChart>
      <c:catAx>
        <c:axId val="12675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53024"/>
        <c:crosses val="autoZero"/>
        <c:auto val="1"/>
        <c:lblAlgn val="ctr"/>
        <c:lblOffset val="100"/>
      </c:catAx>
      <c:valAx>
        <c:axId val="1267530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5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407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-1767.7741935483791</c:v>
                </c:pt>
                <c:pt idx="1">
                  <c:v>-2760.0967741935383</c:v>
                </c:pt>
                <c:pt idx="2">
                  <c:v>-2383.4193548387266</c:v>
                </c:pt>
                <c:pt idx="3">
                  <c:v>0</c:v>
                </c:pt>
                <c:pt idx="4">
                  <c:v>0</c:v>
                </c:pt>
                <c:pt idx="5">
                  <c:v>-2453.419354838712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2418688"/>
        <c:axId val="103911424"/>
      </c:lineChart>
      <c:catAx>
        <c:axId val="10241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11424"/>
        <c:crosses val="autoZero"/>
        <c:auto val="1"/>
        <c:lblAlgn val="ctr"/>
        <c:lblOffset val="100"/>
      </c:catAx>
      <c:valAx>
        <c:axId val="1039114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1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26796160"/>
        <c:axId val="126797696"/>
      </c:lineChart>
      <c:catAx>
        <c:axId val="12679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97696"/>
        <c:crosses val="autoZero"/>
        <c:auto val="1"/>
        <c:lblAlgn val="ctr"/>
        <c:lblOffset val="100"/>
      </c:catAx>
      <c:valAx>
        <c:axId val="126797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9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97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82597504"/>
        <c:axId val="182599040"/>
      </c:lineChart>
      <c:catAx>
        <c:axId val="18259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599040"/>
        <c:crosses val="autoZero"/>
        <c:auto val="1"/>
        <c:lblAlgn val="ctr"/>
        <c:lblOffset val="100"/>
      </c:catAx>
      <c:valAx>
        <c:axId val="1825990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59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6827904"/>
        <c:axId val="126841984"/>
      </c:lineChart>
      <c:catAx>
        <c:axId val="12682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41984"/>
        <c:crosses val="autoZero"/>
        <c:auto val="1"/>
        <c:lblAlgn val="ctr"/>
        <c:lblOffset val="100"/>
      </c:catAx>
      <c:valAx>
        <c:axId val="1268419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2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6858368"/>
        <c:axId val="126859904"/>
      </c:lineChart>
      <c:catAx>
        <c:axId val="12685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59904"/>
        <c:crosses val="autoZero"/>
        <c:auto val="1"/>
        <c:lblAlgn val="ctr"/>
        <c:lblOffset val="100"/>
      </c:catAx>
      <c:valAx>
        <c:axId val="126859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5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83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0974720"/>
        <c:axId val="140976512"/>
      </c:lineChart>
      <c:catAx>
        <c:axId val="14097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76512"/>
        <c:crosses val="autoZero"/>
        <c:auto val="1"/>
        <c:lblAlgn val="ctr"/>
        <c:lblOffset val="100"/>
      </c:catAx>
      <c:valAx>
        <c:axId val="140976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7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99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1009280"/>
        <c:axId val="141010816"/>
      </c:lineChart>
      <c:catAx>
        <c:axId val="14100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10816"/>
        <c:crosses val="autoZero"/>
        <c:auto val="1"/>
        <c:lblAlgn val="ctr"/>
        <c:lblOffset val="100"/>
      </c:catAx>
      <c:valAx>
        <c:axId val="141010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0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563"/>
          <c:w val="0.1234311819809445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1102080"/>
        <c:axId val="141112064"/>
      </c:lineChart>
      <c:catAx>
        <c:axId val="1411020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12064"/>
        <c:crosses val="autoZero"/>
        <c:auto val="1"/>
        <c:lblAlgn val="ctr"/>
        <c:lblOffset val="100"/>
      </c:catAx>
      <c:valAx>
        <c:axId val="1411120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0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344"/>
          <c:w val="0.1569039853282440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1132160"/>
        <c:axId val="141133696"/>
      </c:lineChart>
      <c:catAx>
        <c:axId val="14113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33696"/>
        <c:crosses val="autoZero"/>
        <c:auto val="1"/>
        <c:lblAlgn val="ctr"/>
        <c:lblOffset val="100"/>
      </c:catAx>
      <c:valAx>
        <c:axId val="1411336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3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15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1216000"/>
        <c:axId val="141217792"/>
      </c:lineChart>
      <c:catAx>
        <c:axId val="14121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17792"/>
        <c:crosses val="autoZero"/>
        <c:auto val="1"/>
        <c:lblAlgn val="ctr"/>
        <c:lblOffset val="100"/>
      </c:catAx>
      <c:valAx>
        <c:axId val="141217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1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6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59942144"/>
        <c:axId val="159943680"/>
      </c:lineChart>
      <c:catAx>
        <c:axId val="1599421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43680"/>
        <c:crosses val="autoZero"/>
        <c:auto val="1"/>
        <c:lblAlgn val="ctr"/>
        <c:lblOffset val="100"/>
      </c:catAx>
      <c:valAx>
        <c:axId val="1599436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4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34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  <cell r="D31">
            <v>210460</v>
          </cell>
          <cell r="E31">
            <v>2660</v>
          </cell>
          <cell r="F31">
            <v>4119812</v>
          </cell>
          <cell r="G31">
            <v>320</v>
          </cell>
          <cell r="H31">
            <v>18019414</v>
          </cell>
          <cell r="I31">
            <v>520</v>
          </cell>
          <cell r="J31">
            <v>29718110</v>
          </cell>
          <cell r="K31">
            <v>1960</v>
          </cell>
          <cell r="L31">
            <v>24539766</v>
          </cell>
          <cell r="M31">
            <v>1144</v>
          </cell>
          <cell r="N31">
            <v>6604</v>
          </cell>
          <cell r="O31">
            <v>0</v>
          </cell>
          <cell r="P31">
            <v>18998.87</v>
          </cell>
          <cell r="Q31">
            <v>6474.9999999985448</v>
          </cell>
          <cell r="R31">
            <v>129.00000000145519</v>
          </cell>
          <cell r="S31">
            <v>10175</v>
          </cell>
          <cell r="T31">
            <v>0</v>
          </cell>
          <cell r="U31">
            <v>429166</v>
          </cell>
          <cell r="V31">
            <v>0</v>
          </cell>
          <cell r="W31">
            <v>33484</v>
          </cell>
          <cell r="X31">
            <v>0</v>
          </cell>
          <cell r="Y31">
            <v>996900</v>
          </cell>
          <cell r="Z31">
            <v>0</v>
          </cell>
          <cell r="AA31">
            <v>36796</v>
          </cell>
          <cell r="AB31">
            <v>0</v>
          </cell>
          <cell r="AC31">
            <v>1170505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</sheetData>
      <sheetData sheetId="3">
        <row r="32">
          <cell r="A32">
            <v>44620</v>
          </cell>
          <cell r="B32">
            <v>166</v>
          </cell>
          <cell r="C32">
            <v>158</v>
          </cell>
          <cell r="D32">
            <v>18</v>
          </cell>
          <cell r="E32">
            <v>150.84</v>
          </cell>
          <cell r="F32">
            <v>2110</v>
          </cell>
          <cell r="G32">
            <v>6</v>
          </cell>
          <cell r="H32">
            <v>33475</v>
          </cell>
          <cell r="I32">
            <v>415</v>
          </cell>
          <cell r="J32">
            <v>69.166666666666671</v>
          </cell>
          <cell r="K32">
            <v>2390</v>
          </cell>
          <cell r="L32">
            <v>0</v>
          </cell>
          <cell r="M32">
            <v>176670</v>
          </cell>
          <cell r="N32">
            <v>0</v>
          </cell>
          <cell r="O32">
            <v>1869</v>
          </cell>
          <cell r="P32">
            <v>2180</v>
          </cell>
          <cell r="Q32">
            <v>182533</v>
          </cell>
          <cell r="R32">
            <v>0</v>
          </cell>
          <cell r="S32">
            <v>0</v>
          </cell>
          <cell r="T32">
            <v>0</v>
          </cell>
          <cell r="U32">
            <v>6</v>
          </cell>
          <cell r="V32">
            <v>415</v>
          </cell>
          <cell r="X32">
            <v>2471</v>
          </cell>
          <cell r="Y32">
            <v>0</v>
          </cell>
          <cell r="Z32">
            <v>1392127</v>
          </cell>
          <cell r="AA32">
            <v>0</v>
          </cell>
          <cell r="AB32">
            <v>0</v>
          </cell>
          <cell r="AC32">
            <v>1943</v>
          </cell>
          <cell r="AD32">
            <v>0</v>
          </cell>
          <cell r="AE32">
            <v>366210</v>
          </cell>
          <cell r="AF32">
            <v>0</v>
          </cell>
          <cell r="AG32">
            <v>0</v>
          </cell>
          <cell r="AH32">
            <v>0</v>
          </cell>
          <cell r="AI32">
            <v>415</v>
          </cell>
          <cell r="AJ32">
            <v>415</v>
          </cell>
          <cell r="AK32">
            <v>0</v>
          </cell>
          <cell r="AL32">
            <v>6</v>
          </cell>
          <cell r="AM32">
            <v>0</v>
          </cell>
          <cell r="AN32">
            <v>65</v>
          </cell>
          <cell r="AO32">
            <v>1950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5430</v>
          </cell>
          <cell r="AU32">
            <v>0</v>
          </cell>
          <cell r="AX32">
            <v>0.8</v>
          </cell>
        </row>
      </sheetData>
      <sheetData sheetId="4">
        <row r="33">
          <cell r="A33">
            <v>44620</v>
          </cell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627273</v>
          </cell>
          <cell r="H33">
            <v>0</v>
          </cell>
          <cell r="I33">
            <v>0</v>
          </cell>
          <cell r="J33">
            <v>0</v>
          </cell>
          <cell r="K33">
            <v>7020</v>
          </cell>
          <cell r="L33">
            <v>5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5181</v>
          </cell>
          <cell r="U33">
            <v>0</v>
          </cell>
          <cell r="V33">
            <v>478</v>
          </cell>
          <cell r="W33">
            <v>0</v>
          </cell>
          <cell r="X33">
            <v>154864</v>
          </cell>
          <cell r="Y33">
            <v>0</v>
          </cell>
          <cell r="Z33">
            <v>99301</v>
          </cell>
          <cell r="AA33">
            <v>0</v>
          </cell>
          <cell r="AB33">
            <v>238</v>
          </cell>
          <cell r="AC33">
            <v>790</v>
          </cell>
          <cell r="AD33">
            <v>0</v>
          </cell>
          <cell r="AE33">
            <v>239.96</v>
          </cell>
          <cell r="AF33">
            <v>0</v>
          </cell>
          <cell r="AG33">
            <v>2218.1999999999998</v>
          </cell>
          <cell r="AH33">
            <v>0</v>
          </cell>
          <cell r="AI33">
            <v>0</v>
          </cell>
          <cell r="AJ33">
            <v>0</v>
          </cell>
          <cell r="AK33">
            <v>-5</v>
          </cell>
          <cell r="AL33">
            <v>0</v>
          </cell>
          <cell r="AM33">
            <v>14.5</v>
          </cell>
          <cell r="AN33">
            <v>0</v>
          </cell>
          <cell r="AP33">
            <v>0</v>
          </cell>
          <cell r="AR33">
            <v>44620</v>
          </cell>
          <cell r="AS33">
            <v>0.9</v>
          </cell>
          <cell r="AT33">
            <v>183</v>
          </cell>
          <cell r="AU33">
            <v>1.1000000000000001</v>
          </cell>
          <cell r="AV33">
            <v>123</v>
          </cell>
          <cell r="AW33">
            <v>2.9</v>
          </cell>
          <cell r="AX33">
            <v>99</v>
          </cell>
          <cell r="AY33">
            <v>164.70000000000002</v>
          </cell>
          <cell r="AZ33">
            <v>135.30000000000001</v>
          </cell>
          <cell r="BA33">
            <v>287.09999999999997</v>
          </cell>
          <cell r="BB33">
            <v>0</v>
          </cell>
          <cell r="BC33">
            <v>-1.0999999999999943</v>
          </cell>
          <cell r="BD33">
            <v>-8.7000000000000455</v>
          </cell>
          <cell r="BE33">
            <v>-9.8000000000000398</v>
          </cell>
          <cell r="BF33">
            <v>9.8000000000000398</v>
          </cell>
          <cell r="BG33">
            <v>-9.8000000000000398</v>
          </cell>
        </row>
      </sheetData>
      <sheetData sheetId="5">
        <row r="30">
          <cell r="A30">
            <v>44620</v>
          </cell>
          <cell r="B30">
            <v>11505</v>
          </cell>
          <cell r="C30">
            <v>0</v>
          </cell>
          <cell r="D30">
            <v>639266</v>
          </cell>
          <cell r="E30">
            <v>0</v>
          </cell>
          <cell r="F30">
            <v>0</v>
          </cell>
          <cell r="H30">
            <v>11528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13667</v>
          </cell>
          <cell r="S30">
            <v>13</v>
          </cell>
          <cell r="T30">
            <v>356262</v>
          </cell>
          <cell r="U30">
            <v>3250</v>
          </cell>
          <cell r="V30">
            <v>250</v>
          </cell>
          <cell r="X30">
            <v>13719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6474.9999999985448</v>
          </cell>
          <cell r="AE30">
            <v>498.07692307681111</v>
          </cell>
          <cell r="AF30">
            <v>0.31129807692300693</v>
          </cell>
          <cell r="AG30">
            <v>1.9456129807687934E-4</v>
          </cell>
          <cell r="AH30">
            <v>249.99980543870191</v>
          </cell>
          <cell r="AI30">
            <v>1666.5611814342246</v>
          </cell>
          <cell r="AJ30">
            <v>0.25738396624472576</v>
          </cell>
          <cell r="AK30">
            <v>128.19701395647883</v>
          </cell>
          <cell r="AL30">
            <v>1</v>
          </cell>
        </row>
      </sheetData>
      <sheetData sheetId="6">
        <row r="33">
          <cell r="A33">
            <v>44620</v>
          </cell>
          <cell r="B33">
            <v>166</v>
          </cell>
          <cell r="C33">
            <v>3571.6774193548385</v>
          </cell>
          <cell r="D33">
            <v>166</v>
          </cell>
          <cell r="E33">
            <v>3571.6774193548385</v>
          </cell>
          <cell r="F33">
            <v>166</v>
          </cell>
          <cell r="G33">
            <v>3571.6774193548385</v>
          </cell>
          <cell r="H33">
            <v>166</v>
          </cell>
          <cell r="I33">
            <v>3571.6774193548385</v>
          </cell>
          <cell r="J33">
            <v>166</v>
          </cell>
          <cell r="K33">
            <v>3571.6774193548385</v>
          </cell>
          <cell r="L33">
            <v>166</v>
          </cell>
          <cell r="M33">
            <v>3571.6774193548385</v>
          </cell>
          <cell r="N33">
            <v>166</v>
          </cell>
          <cell r="O33">
            <v>3571.6774193548385</v>
          </cell>
          <cell r="P33">
            <v>166</v>
          </cell>
          <cell r="Q33">
            <v>3571.6774193548385</v>
          </cell>
          <cell r="R33">
            <v>166</v>
          </cell>
          <cell r="S33">
            <v>3571.6774193548385</v>
          </cell>
          <cell r="T33">
            <v>166</v>
          </cell>
          <cell r="U33">
            <v>3571.6774193548385</v>
          </cell>
          <cell r="V33">
            <v>166</v>
          </cell>
          <cell r="W33">
            <v>3571.6774193548385</v>
          </cell>
          <cell r="X33">
            <v>0.53548387096774186</v>
          </cell>
          <cell r="Y33">
            <v>39288.45161290322</v>
          </cell>
          <cell r="Z33">
            <v>158</v>
          </cell>
          <cell r="AA33">
            <v>1580</v>
          </cell>
          <cell r="AB33">
            <v>158</v>
          </cell>
          <cell r="AC33">
            <v>1580</v>
          </cell>
          <cell r="AD33">
            <v>158</v>
          </cell>
          <cell r="AE33">
            <v>1580</v>
          </cell>
          <cell r="AF33">
            <v>158</v>
          </cell>
          <cell r="AG33">
            <v>1580</v>
          </cell>
          <cell r="AH33">
            <v>158</v>
          </cell>
          <cell r="AI33">
            <v>1580</v>
          </cell>
          <cell r="AJ33">
            <v>158</v>
          </cell>
          <cell r="AK33">
            <v>1580</v>
          </cell>
          <cell r="AL33">
            <v>158</v>
          </cell>
          <cell r="AM33">
            <v>1580</v>
          </cell>
          <cell r="AN33">
            <v>0.56428571428571428</v>
          </cell>
          <cell r="AO33">
            <v>11060</v>
          </cell>
          <cell r="AQ33">
            <v>0.54155589558893424</v>
          </cell>
          <cell r="AR33">
            <v>50348.45161290322</v>
          </cell>
          <cell r="AS33">
            <v>-1733.3548387096889</v>
          </cell>
          <cell r="AV33">
            <v>0.74</v>
          </cell>
          <cell r="AW33">
            <v>-415</v>
          </cell>
          <cell r="AX33">
            <v>-1318.3548387096889</v>
          </cell>
          <cell r="AY33">
            <v>-1733.3548387096889</v>
          </cell>
          <cell r="AZ33">
            <v>0</v>
          </cell>
          <cell r="BA33">
            <v>14.5</v>
          </cell>
          <cell r="BB33">
            <v>0.66</v>
          </cell>
        </row>
      </sheetData>
      <sheetData sheetId="7">
        <row r="26">
          <cell r="V26">
            <v>400529</v>
          </cell>
          <cell r="W26">
            <v>400976</v>
          </cell>
          <cell r="X26" t="str">
            <v>Night</v>
          </cell>
          <cell r="Y26">
            <v>80</v>
          </cell>
          <cell r="Z26">
            <v>1</v>
          </cell>
          <cell r="AA26">
            <v>447</v>
          </cell>
          <cell r="AB26">
            <v>35760</v>
          </cell>
          <cell r="AC26">
            <v>1033333</v>
          </cell>
          <cell r="AD26">
            <v>0.16747845635069314</v>
          </cell>
        </row>
        <row r="27">
          <cell r="V27">
            <v>548374</v>
          </cell>
          <cell r="W27">
            <v>550000</v>
          </cell>
          <cell r="X27" t="str">
            <v>day</v>
          </cell>
          <cell r="Y27">
            <v>112</v>
          </cell>
          <cell r="Z27">
            <v>1</v>
          </cell>
          <cell r="AA27">
            <v>1626</v>
          </cell>
          <cell r="AB27">
            <v>182112</v>
          </cell>
          <cell r="AC27">
            <v>6200000</v>
          </cell>
          <cell r="AD27">
            <v>0.60921693518171605</v>
          </cell>
        </row>
        <row r="28">
          <cell r="V28">
            <v>160439</v>
          </cell>
          <cell r="W28">
            <v>161035</v>
          </cell>
          <cell r="X28" t="str">
            <v>Peak</v>
          </cell>
          <cell r="Y28">
            <v>320</v>
          </cell>
          <cell r="Z28">
            <v>1</v>
          </cell>
          <cell r="AA28">
            <v>596</v>
          </cell>
          <cell r="AB28">
            <v>190720</v>
          </cell>
          <cell r="AC28">
            <v>1000</v>
          </cell>
          <cell r="AD28">
            <v>0.22330460846759087</v>
          </cell>
        </row>
        <row r="29">
          <cell r="AA29">
            <v>2669</v>
          </cell>
          <cell r="AB29">
            <v>408592</v>
          </cell>
          <cell r="AC29">
            <v>7234333</v>
          </cell>
        </row>
        <row r="30">
          <cell r="AB30">
            <v>7642925</v>
          </cell>
        </row>
        <row r="31">
          <cell r="A31">
            <v>44620</v>
          </cell>
          <cell r="B31">
            <v>1112011</v>
          </cell>
          <cell r="C31">
            <v>46</v>
          </cell>
          <cell r="D31">
            <v>47</v>
          </cell>
          <cell r="E31">
            <v>1112012</v>
          </cell>
          <cell r="F31">
            <v>161035</v>
          </cell>
          <cell r="G31">
            <v>0</v>
          </cell>
          <cell r="H31">
            <v>550000</v>
          </cell>
          <cell r="I31">
            <v>47</v>
          </cell>
          <cell r="J31">
            <v>400976</v>
          </cell>
          <cell r="K31">
            <v>0</v>
          </cell>
          <cell r="L31">
            <v>0</v>
          </cell>
          <cell r="M31">
            <v>3.4918739635157547</v>
          </cell>
          <cell r="N31">
            <v>0</v>
          </cell>
          <cell r="O31">
            <v>171.38907841743662</v>
          </cell>
          <cell r="P31">
            <v>174.88095238095238</v>
          </cell>
          <cell r="Q31">
            <v>1008.7611774193637</v>
          </cell>
          <cell r="R31">
            <v>1183.6421298003161</v>
          </cell>
          <cell r="S31">
            <v>6604</v>
          </cell>
          <cell r="T31">
            <v>0.17923109173233132</v>
          </cell>
        </row>
        <row r="33">
          <cell r="AA33">
            <v>0.11</v>
          </cell>
          <cell r="AB33">
            <v>840721.75</v>
          </cell>
          <cell r="AC33">
            <v>7234333</v>
          </cell>
        </row>
        <row r="34">
          <cell r="AB34">
            <v>8483646.75</v>
          </cell>
          <cell r="AC34">
            <v>0</v>
          </cell>
        </row>
        <row r="36">
          <cell r="AA36" t="str">
            <v>$ without VAT</v>
          </cell>
          <cell r="AB36">
            <v>5069.9336650082914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  <cell r="B33">
            <v>4</v>
          </cell>
          <cell r="C33">
            <v>7.8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7020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</row>
      </sheetData>
      <sheetData sheetId="3">
        <row r="35">
          <cell r="A35">
            <v>44592</v>
          </cell>
        </row>
      </sheetData>
      <sheetData sheetId="4">
        <row r="36">
          <cell r="A36">
            <v>44592</v>
          </cell>
        </row>
      </sheetData>
      <sheetData sheetId="5">
        <row r="33">
          <cell r="A33">
            <v>44592</v>
          </cell>
        </row>
      </sheetData>
      <sheetData sheetId="6">
        <row r="36">
          <cell r="A36">
            <v>44592</v>
          </cell>
          <cell r="BI36">
            <v>23</v>
          </cell>
        </row>
      </sheetData>
      <sheetData sheetId="7">
        <row r="26">
          <cell r="V26">
            <v>400225</v>
          </cell>
        </row>
        <row r="28">
          <cell r="AE28">
            <v>5600</v>
          </cell>
          <cell r="AF28">
            <v>24800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11.499999999999996</v>
          </cell>
        </row>
        <row r="15">
          <cell r="B15">
            <v>-64.799999999999983</v>
          </cell>
        </row>
        <row r="16">
          <cell r="B16">
            <v>15.064516129032258</v>
          </cell>
        </row>
        <row r="17">
          <cell r="B17">
            <v>0</v>
          </cell>
        </row>
        <row r="18">
          <cell r="B18">
            <v>229</v>
          </cell>
        </row>
        <row r="19">
          <cell r="B19">
            <v>7.387096774193548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N30" sqref="N30:N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3</v>
      </c>
      <c r="D2">
        <v>2022</v>
      </c>
      <c r="E2" s="203">
        <f>ELEC!N4</f>
        <v>6721</v>
      </c>
      <c r="F2" s="315">
        <f>SUM('EDl log'!T4)</f>
        <v>0.18463550253525474</v>
      </c>
      <c r="G2" s="203">
        <f>-tanks!AW6</f>
        <v>343</v>
      </c>
      <c r="H2" s="315">
        <f>tanks!AV6</f>
        <v>0.75700000000000001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3</v>
      </c>
      <c r="D3">
        <f>D2</f>
        <v>2022</v>
      </c>
      <c r="E3" s="203">
        <f>ELEC!N5</f>
        <v>5888</v>
      </c>
      <c r="F3" s="315">
        <f>SUM('EDl log'!T5)</f>
        <v>0.32650667402090633</v>
      </c>
      <c r="G3" s="203">
        <f>-tanks!AW7</f>
        <v>425</v>
      </c>
      <c r="H3" s="315">
        <f>tanks!AV7</f>
        <v>0.75700000000000001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3</v>
      </c>
      <c r="D4">
        <f t="shared" ref="D4:D32" si="1">D3</f>
        <v>2022</v>
      </c>
      <c r="E4" s="203">
        <f>ELEC!N6</f>
        <v>5727</v>
      </c>
      <c r="F4" s="315">
        <f>SUM('EDl log'!T6)</f>
        <v>0.30409031658558755</v>
      </c>
      <c r="G4" s="203">
        <f>-tanks!AW8</f>
        <v>337</v>
      </c>
      <c r="H4" s="315">
        <f>tanks!AV8</f>
        <v>0.75700000000000001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3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0.75700000000000001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3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0.75700000000000001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3</v>
      </c>
      <c r="D7">
        <f t="shared" si="1"/>
        <v>2022</v>
      </c>
      <c r="E7" s="203">
        <f>ELEC!N9</f>
        <v>6030</v>
      </c>
      <c r="F7" s="315">
        <f>SUM('EDl log'!T9)</f>
        <v>0.26738731180489106</v>
      </c>
      <c r="G7" s="203">
        <f>-tanks!AW11</f>
        <v>528</v>
      </c>
      <c r="H7" s="315">
        <f>tanks!AV11</f>
        <v>0.75700000000000001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3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0.75700000000000001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3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0.75700000000000001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3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0.75700000000000001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3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0.75700000000000001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3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0.75700000000000001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3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0.75700000000000001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3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0.75700000000000001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3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0.75700000000000001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3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0.75700000000000001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3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0.75700000000000001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3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0.75700000000000001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3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0.75700000000000001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3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0.75700000000000001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3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0.75700000000000001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3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0.75700000000000001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3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0.75700000000000001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3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0.75700000000000001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3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0.75700000000000001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3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0.75700000000000001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3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0.75700000000000001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3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0.75700000000000001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3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0.75700000000000001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3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0.75700000000000001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3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0.75700000000000001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3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0.75700000000000001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3</v>
      </c>
      <c r="D2">
        <v>2022</v>
      </c>
      <c r="E2" s="203">
        <f>ELEC!M4</f>
        <v>1106</v>
      </c>
      <c r="F2" s="203">
        <f>ELEC!K4</f>
        <v>1808</v>
      </c>
      <c r="G2" s="203">
        <f>ELEC!I4</f>
        <v>532</v>
      </c>
      <c r="H2" s="203">
        <f>ELEC!E4</f>
        <v>2970</v>
      </c>
      <c r="I2" s="203">
        <f>ELEC!G4</f>
        <v>305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3</v>
      </c>
      <c r="D3">
        <v>2022</v>
      </c>
      <c r="E3" s="203">
        <f>ELEC!M5</f>
        <v>976</v>
      </c>
      <c r="F3" s="203">
        <f>ELEC!K5</f>
        <v>1560</v>
      </c>
      <c r="G3" s="203">
        <f>ELEC!I5</f>
        <v>472</v>
      </c>
      <c r="H3" s="203">
        <f>ELEC!E5</f>
        <v>2610</v>
      </c>
      <c r="I3" s="203">
        <f>ELEC!G5</f>
        <v>270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3</v>
      </c>
      <c r="D4">
        <v>2022</v>
      </c>
      <c r="E4" s="203">
        <f>ELEC!M6</f>
        <v>910</v>
      </c>
      <c r="F4" s="203">
        <f>ELEC!K6</f>
        <v>1512</v>
      </c>
      <c r="G4" s="203">
        <f>ELEC!I6</f>
        <v>484</v>
      </c>
      <c r="H4" s="203">
        <f>ELEC!E6</f>
        <v>2550</v>
      </c>
      <c r="I4" s="203">
        <f>ELEC!G6</f>
        <v>271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3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3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3</v>
      </c>
      <c r="D7">
        <v>2022</v>
      </c>
      <c r="E7" s="203">
        <f>ELEC!M9</f>
        <v>1004</v>
      </c>
      <c r="F7" s="203">
        <f>ELEC!K9</f>
        <v>1636</v>
      </c>
      <c r="G7" s="203">
        <f>ELEC!I9</f>
        <v>520</v>
      </c>
      <c r="H7" s="203">
        <f>ELEC!E9</f>
        <v>2570</v>
      </c>
      <c r="I7" s="203">
        <f>ELEC!G9</f>
        <v>300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3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3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3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3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3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3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3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3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3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3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3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3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3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3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3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3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3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3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3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3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3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3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3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3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3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F1" zoomScale="70" zoomScaleNormal="70" zoomScaleSheetLayoutView="100" workbookViewId="0">
      <pane ySplit="2" topLeftCell="A3" activePane="bottomLeft" state="frozen"/>
      <selection activeCell="C1" sqref="C1"/>
      <selection pane="bottomLeft" activeCell="N22" sqref="N22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[2]ELEC!$C$31</f>
        <v>44620</v>
      </c>
      <c r="D3" s="591">
        <f>[2]ELEC!D31</f>
        <v>210460</v>
      </c>
      <c r="E3" s="591">
        <f>[2]ELEC!E31</f>
        <v>2660</v>
      </c>
      <c r="F3" s="591">
        <f>[2]ELEC!F31</f>
        <v>4119812</v>
      </c>
      <c r="G3" s="591">
        <f>[2]ELEC!G31</f>
        <v>320</v>
      </c>
      <c r="H3" s="591">
        <f>[2]ELEC!H31</f>
        <v>18019414</v>
      </c>
      <c r="I3" s="591">
        <f>[2]ELEC!I31</f>
        <v>520</v>
      </c>
      <c r="J3" s="591">
        <f>[2]ELEC!J31</f>
        <v>29718110</v>
      </c>
      <c r="K3" s="591">
        <f>[2]ELEC!K31</f>
        <v>1960</v>
      </c>
      <c r="L3" s="591">
        <f>[2]ELEC!L31</f>
        <v>24539766</v>
      </c>
      <c r="M3" s="591">
        <f>[2]ELEC!M31</f>
        <v>1144</v>
      </c>
      <c r="N3" s="591">
        <f>[2]ELEC!N31</f>
        <v>6604</v>
      </c>
      <c r="O3" s="591">
        <f>[2]ELEC!O31</f>
        <v>0</v>
      </c>
      <c r="P3" s="591">
        <f>[2]ELEC!P31</f>
        <v>18998.87</v>
      </c>
      <c r="Q3" s="591">
        <f>[2]ELEC!Q31</f>
        <v>6474.9999999985448</v>
      </c>
      <c r="R3" s="591">
        <f>[2]ELEC!R31</f>
        <v>129.00000000145519</v>
      </c>
      <c r="S3" s="591">
        <f>[2]ELEC!S31</f>
        <v>10175</v>
      </c>
      <c r="T3" s="591">
        <f>[2]ELEC!T31</f>
        <v>0</v>
      </c>
      <c r="U3" s="591">
        <f>[2]ELEC!U31</f>
        <v>429166</v>
      </c>
      <c r="V3" s="591">
        <f>[2]ELEC!V31</f>
        <v>0</v>
      </c>
      <c r="W3" s="591">
        <f>[2]ELEC!W31</f>
        <v>33484</v>
      </c>
      <c r="X3" s="591">
        <f>[2]ELEC!X31</f>
        <v>0</v>
      </c>
      <c r="Y3" s="591">
        <f>[2]ELEC!Y31</f>
        <v>996900</v>
      </c>
      <c r="Z3" s="591">
        <f>[2]ELEC!Z31</f>
        <v>0</v>
      </c>
      <c r="AA3" s="591">
        <f>[2]ELEC!AA31</f>
        <v>36796</v>
      </c>
      <c r="AB3" s="591">
        <f>[2]ELEC!AB31</f>
        <v>0</v>
      </c>
      <c r="AC3" s="591">
        <f>[2]ELEC!AC31</f>
        <v>1170505</v>
      </c>
      <c r="AD3" s="591">
        <f>[2]ELEC!AD31</f>
        <v>0</v>
      </c>
      <c r="AE3" s="591">
        <f>[2]ELEC!AE31</f>
        <v>0</v>
      </c>
      <c r="AF3" s="591">
        <f>[2]ELEC!AF31</f>
        <v>0</v>
      </c>
      <c r="AG3" s="591">
        <f>[2]ELEC!AG31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44621</v>
      </c>
      <c r="D4" s="592">
        <v>213430</v>
      </c>
      <c r="E4" s="580">
        <f>D4-D3</f>
        <v>2970</v>
      </c>
      <c r="F4" s="569">
        <v>4120117</v>
      </c>
      <c r="G4" s="581">
        <f>F4-F3</f>
        <v>305</v>
      </c>
      <c r="H4" s="426">
        <v>18019946</v>
      </c>
      <c r="I4" s="581">
        <f>H4-H3</f>
        <v>532</v>
      </c>
      <c r="J4" s="426">
        <v>29719918</v>
      </c>
      <c r="K4" s="581">
        <f>J4-J3</f>
        <v>1808</v>
      </c>
      <c r="L4" s="426">
        <v>24540872</v>
      </c>
      <c r="M4" s="581">
        <f>L4-L3</f>
        <v>1106</v>
      </c>
      <c r="N4" s="427">
        <f>M4+K4+I4+G4+E4</f>
        <v>6721</v>
      </c>
      <c r="O4" s="438">
        <f t="shared" ref="O4:O10" si="0">IF(B4&gt;0,N4/B4,0)</f>
        <v>0</v>
      </c>
      <c r="P4" s="563">
        <v>19005.046999999999</v>
      </c>
      <c r="Q4" s="446">
        <f t="shared" ref="Q4:Q31" si="1">(P4-P3)*1000</f>
        <v>6176.9999999996799</v>
      </c>
      <c r="R4" s="547">
        <f>+N4-Q4</f>
        <v>544.00000000032014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44622</v>
      </c>
      <c r="D5" s="592">
        <v>216040</v>
      </c>
      <c r="E5" s="580">
        <f t="shared" ref="E5:E34" si="7">D5-D4</f>
        <v>2610</v>
      </c>
      <c r="F5" s="569">
        <v>4120387</v>
      </c>
      <c r="G5" s="449">
        <f>F5-F4</f>
        <v>270</v>
      </c>
      <c r="H5" s="426">
        <v>18020418</v>
      </c>
      <c r="I5" s="449">
        <f>H5-H4</f>
        <v>472</v>
      </c>
      <c r="J5" s="426">
        <v>29721478</v>
      </c>
      <c r="K5" s="449">
        <f>J5-J4</f>
        <v>1560</v>
      </c>
      <c r="L5" s="426">
        <v>24541848</v>
      </c>
      <c r="M5" s="449">
        <f>L5-L4</f>
        <v>976</v>
      </c>
      <c r="N5" s="297">
        <f>M5+K5+I5+G5+E5</f>
        <v>5888</v>
      </c>
      <c r="O5" s="445">
        <f t="shared" si="0"/>
        <v>0</v>
      </c>
      <c r="P5" s="563">
        <v>19011.003000000001</v>
      </c>
      <c r="Q5" s="446">
        <f t="shared" si="1"/>
        <v>5956.00000000195</v>
      </c>
      <c r="R5" s="428">
        <f>N5-Q5</f>
        <v>-68.000000001949957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44623</v>
      </c>
      <c r="D6" s="592">
        <v>218590</v>
      </c>
      <c r="E6" s="580">
        <f t="shared" si="7"/>
        <v>2550</v>
      </c>
      <c r="F6" s="569">
        <v>4120658</v>
      </c>
      <c r="G6" s="449">
        <f t="shared" ref="G6:G34" si="15">F6-F5</f>
        <v>271</v>
      </c>
      <c r="H6" s="426">
        <v>18020902</v>
      </c>
      <c r="I6" s="449">
        <f t="shared" ref="I6:I34" si="16">H6-H5</f>
        <v>484</v>
      </c>
      <c r="J6" s="426">
        <v>29722990</v>
      </c>
      <c r="K6" s="449">
        <f t="shared" ref="K6:K34" si="17">J6-J5</f>
        <v>1512</v>
      </c>
      <c r="L6" s="426">
        <v>24542758</v>
      </c>
      <c r="M6" s="449">
        <f t="shared" ref="M6:M31" si="18">L6-L5</f>
        <v>910</v>
      </c>
      <c r="N6" s="297">
        <f t="shared" ref="N6:N31" si="19">M6+K6+I6+G6+E6</f>
        <v>5727</v>
      </c>
      <c r="O6" s="445">
        <f t="shared" si="0"/>
        <v>0</v>
      </c>
      <c r="P6" s="563">
        <v>19016.59</v>
      </c>
      <c r="Q6" s="446">
        <f t="shared" si="1"/>
        <v>5586.9999999995343</v>
      </c>
      <c r="R6" s="428">
        <f>N6-Q6</f>
        <v>140.00000000046566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44624</v>
      </c>
      <c r="D7" s="592">
        <f t="shared" ref="D7:D34" si="23">D6</f>
        <v>218590</v>
      </c>
      <c r="E7" s="580">
        <f t="shared" si="7"/>
        <v>0</v>
      </c>
      <c r="F7" s="569">
        <f t="shared" ref="F7:F34" si="24">F6</f>
        <v>4120658</v>
      </c>
      <c r="G7" s="449">
        <f t="shared" si="15"/>
        <v>0</v>
      </c>
      <c r="H7" s="426">
        <f t="shared" ref="H7:H34" si="25">H6</f>
        <v>18020902</v>
      </c>
      <c r="I7" s="449">
        <f t="shared" si="16"/>
        <v>0</v>
      </c>
      <c r="J7" s="426">
        <f t="shared" ref="J7:J34" si="26">J6</f>
        <v>29722990</v>
      </c>
      <c r="K7" s="449">
        <f t="shared" si="17"/>
        <v>0</v>
      </c>
      <c r="L7" s="426">
        <f t="shared" ref="L7:L34" si="27">L6</f>
        <v>24542758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3">
        <f t="shared" ref="P7:P34" si="28">P6</f>
        <v>19016.59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44625</v>
      </c>
      <c r="D8" s="592">
        <f t="shared" si="23"/>
        <v>218590</v>
      </c>
      <c r="E8" s="580">
        <f t="shared" si="7"/>
        <v>0</v>
      </c>
      <c r="F8" s="569">
        <f t="shared" si="24"/>
        <v>4120658</v>
      </c>
      <c r="G8" s="449">
        <f t="shared" si="15"/>
        <v>0</v>
      </c>
      <c r="H8" s="426">
        <f t="shared" si="25"/>
        <v>18020902</v>
      </c>
      <c r="I8" s="449">
        <f t="shared" si="16"/>
        <v>0</v>
      </c>
      <c r="J8" s="426">
        <f t="shared" si="26"/>
        <v>29722990</v>
      </c>
      <c r="K8" s="449">
        <f t="shared" si="17"/>
        <v>0</v>
      </c>
      <c r="L8" s="426">
        <f t="shared" si="27"/>
        <v>24542758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3">
        <f t="shared" si="28"/>
        <v>19016.59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44626</v>
      </c>
      <c r="D9" s="592">
        <v>221160</v>
      </c>
      <c r="E9" s="580">
        <f t="shared" si="7"/>
        <v>2570</v>
      </c>
      <c r="F9" s="569">
        <v>4120958</v>
      </c>
      <c r="G9" s="449">
        <f t="shared" si="15"/>
        <v>300</v>
      </c>
      <c r="H9" s="426">
        <v>18021422</v>
      </c>
      <c r="I9" s="449">
        <f t="shared" si="16"/>
        <v>520</v>
      </c>
      <c r="J9" s="426">
        <v>29724626</v>
      </c>
      <c r="K9" s="449">
        <f t="shared" si="17"/>
        <v>1636</v>
      </c>
      <c r="L9" s="426">
        <v>24543762</v>
      </c>
      <c r="M9" s="449">
        <f t="shared" si="18"/>
        <v>1004</v>
      </c>
      <c r="N9" s="297">
        <f t="shared" si="19"/>
        <v>6030</v>
      </c>
      <c r="O9" s="445">
        <f t="shared" si="0"/>
        <v>0</v>
      </c>
      <c r="P9" s="563">
        <v>19022.474999999999</v>
      </c>
      <c r="Q9" s="446">
        <f t="shared" si="1"/>
        <v>5884.9999999983993</v>
      </c>
      <c r="R9" s="428">
        <f t="shared" si="29"/>
        <v>145.00000000160071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44627</v>
      </c>
      <c r="D10" s="592">
        <f t="shared" si="23"/>
        <v>221160</v>
      </c>
      <c r="E10" s="580">
        <f t="shared" si="7"/>
        <v>0</v>
      </c>
      <c r="F10" s="569">
        <f t="shared" si="24"/>
        <v>4120958</v>
      </c>
      <c r="G10" s="449">
        <f t="shared" si="15"/>
        <v>0</v>
      </c>
      <c r="H10" s="426">
        <f t="shared" si="25"/>
        <v>18021422</v>
      </c>
      <c r="I10" s="449">
        <f t="shared" si="16"/>
        <v>0</v>
      </c>
      <c r="J10" s="426">
        <f t="shared" si="26"/>
        <v>29724626</v>
      </c>
      <c r="K10" s="449">
        <f t="shared" si="17"/>
        <v>0</v>
      </c>
      <c r="L10" s="426">
        <f t="shared" si="27"/>
        <v>24543762</v>
      </c>
      <c r="M10" s="449">
        <f t="shared" si="18"/>
        <v>0</v>
      </c>
      <c r="N10" s="297">
        <f t="shared" si="19"/>
        <v>0</v>
      </c>
      <c r="O10" s="445">
        <f t="shared" si="0"/>
        <v>0</v>
      </c>
      <c r="P10" s="563">
        <f t="shared" si="28"/>
        <v>19022.474999999999</v>
      </c>
      <c r="Q10" s="446">
        <f t="shared" si="1"/>
        <v>0</v>
      </c>
      <c r="R10" s="428">
        <f t="shared" si="29"/>
        <v>0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44628</v>
      </c>
      <c r="D11" s="592">
        <f t="shared" si="23"/>
        <v>221160</v>
      </c>
      <c r="E11" s="580">
        <f t="shared" si="7"/>
        <v>0</v>
      </c>
      <c r="F11" s="569">
        <f t="shared" si="24"/>
        <v>4120958</v>
      </c>
      <c r="G11" s="449">
        <f t="shared" si="15"/>
        <v>0</v>
      </c>
      <c r="H11" s="426">
        <f t="shared" si="25"/>
        <v>18021422</v>
      </c>
      <c r="I11" s="449">
        <f t="shared" si="16"/>
        <v>0</v>
      </c>
      <c r="J11" s="426">
        <f t="shared" si="26"/>
        <v>29724626</v>
      </c>
      <c r="K11" s="449">
        <f t="shared" si="17"/>
        <v>0</v>
      </c>
      <c r="L11" s="426">
        <f t="shared" si="27"/>
        <v>24543762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3">
        <f t="shared" si="28"/>
        <v>19022.474999999999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44629</v>
      </c>
      <c r="D12" s="592">
        <f t="shared" si="23"/>
        <v>221160</v>
      </c>
      <c r="E12" s="580">
        <f>D12-D11</f>
        <v>0</v>
      </c>
      <c r="F12" s="569">
        <f t="shared" si="24"/>
        <v>4120958</v>
      </c>
      <c r="G12" s="449">
        <f t="shared" si="15"/>
        <v>0</v>
      </c>
      <c r="H12" s="426">
        <f t="shared" si="25"/>
        <v>18021422</v>
      </c>
      <c r="I12" s="449">
        <f t="shared" si="16"/>
        <v>0</v>
      </c>
      <c r="J12" s="426">
        <f t="shared" si="26"/>
        <v>29724626</v>
      </c>
      <c r="K12" s="449">
        <f t="shared" si="17"/>
        <v>0</v>
      </c>
      <c r="L12" s="426">
        <f t="shared" si="27"/>
        <v>24543762</v>
      </c>
      <c r="M12" s="449">
        <f t="shared" si="18"/>
        <v>0</v>
      </c>
      <c r="N12" s="297">
        <f>M12+K12+I12+G12+E12</f>
        <v>0</v>
      </c>
      <c r="O12" s="445">
        <f t="shared" si="32"/>
        <v>0</v>
      </c>
      <c r="P12" s="563">
        <f t="shared" si="28"/>
        <v>19022.474999999999</v>
      </c>
      <c r="Q12" s="446">
        <f t="shared" si="1"/>
        <v>0</v>
      </c>
      <c r="R12" s="428">
        <f t="shared" si="29"/>
        <v>0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44630</v>
      </c>
      <c r="D13" s="592">
        <f t="shared" si="23"/>
        <v>221160</v>
      </c>
      <c r="E13" s="580">
        <f t="shared" si="7"/>
        <v>0</v>
      </c>
      <c r="F13" s="569">
        <f t="shared" si="24"/>
        <v>4120958</v>
      </c>
      <c r="G13" s="449">
        <f t="shared" si="15"/>
        <v>0</v>
      </c>
      <c r="H13" s="426">
        <f t="shared" si="25"/>
        <v>18021422</v>
      </c>
      <c r="I13" s="449">
        <f t="shared" si="16"/>
        <v>0</v>
      </c>
      <c r="J13" s="426">
        <f t="shared" si="26"/>
        <v>29724626</v>
      </c>
      <c r="K13" s="449">
        <f t="shared" si="17"/>
        <v>0</v>
      </c>
      <c r="L13" s="426">
        <f t="shared" si="27"/>
        <v>24543762</v>
      </c>
      <c r="M13" s="449">
        <f t="shared" si="18"/>
        <v>0</v>
      </c>
      <c r="N13" s="297">
        <f>M13+K13+I13+G13+E13</f>
        <v>0</v>
      </c>
      <c r="O13" s="445">
        <f t="shared" si="32"/>
        <v>0</v>
      </c>
      <c r="P13" s="563">
        <f t="shared" si="28"/>
        <v>19022.474999999999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44631</v>
      </c>
      <c r="D14" s="592">
        <f t="shared" si="23"/>
        <v>221160</v>
      </c>
      <c r="E14" s="580">
        <f t="shared" si="7"/>
        <v>0</v>
      </c>
      <c r="F14" s="569">
        <f t="shared" si="24"/>
        <v>4120958</v>
      </c>
      <c r="G14" s="449">
        <f t="shared" si="15"/>
        <v>0</v>
      </c>
      <c r="H14" s="426">
        <f t="shared" si="25"/>
        <v>18021422</v>
      </c>
      <c r="I14" s="449">
        <f t="shared" si="16"/>
        <v>0</v>
      </c>
      <c r="J14" s="426">
        <f t="shared" si="26"/>
        <v>29724626</v>
      </c>
      <c r="K14" s="449">
        <f t="shared" si="17"/>
        <v>0</v>
      </c>
      <c r="L14" s="426">
        <f t="shared" si="27"/>
        <v>24543762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3">
        <f t="shared" si="28"/>
        <v>19022.474999999999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44632</v>
      </c>
      <c r="D15" s="592">
        <f t="shared" si="23"/>
        <v>221160</v>
      </c>
      <c r="E15" s="580">
        <f t="shared" si="7"/>
        <v>0</v>
      </c>
      <c r="F15" s="569">
        <f t="shared" si="24"/>
        <v>4120958</v>
      </c>
      <c r="G15" s="449">
        <f t="shared" si="15"/>
        <v>0</v>
      </c>
      <c r="H15" s="426">
        <f t="shared" si="25"/>
        <v>18021422</v>
      </c>
      <c r="I15" s="449">
        <f t="shared" si="16"/>
        <v>0</v>
      </c>
      <c r="J15" s="426">
        <f t="shared" si="26"/>
        <v>29724626</v>
      </c>
      <c r="K15" s="449">
        <f t="shared" si="17"/>
        <v>0</v>
      </c>
      <c r="L15" s="426">
        <f t="shared" si="27"/>
        <v>24543762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3">
        <f t="shared" si="28"/>
        <v>19022.474999999999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44633</v>
      </c>
      <c r="D16" s="592">
        <f t="shared" si="23"/>
        <v>221160</v>
      </c>
      <c r="E16" s="580">
        <f t="shared" si="7"/>
        <v>0</v>
      </c>
      <c r="F16" s="569">
        <f t="shared" si="24"/>
        <v>4120958</v>
      </c>
      <c r="G16" s="449">
        <f t="shared" si="15"/>
        <v>0</v>
      </c>
      <c r="H16" s="426">
        <f t="shared" si="25"/>
        <v>18021422</v>
      </c>
      <c r="I16" s="449">
        <f t="shared" si="16"/>
        <v>0</v>
      </c>
      <c r="J16" s="426">
        <f t="shared" si="26"/>
        <v>29724626</v>
      </c>
      <c r="K16" s="449">
        <f t="shared" si="17"/>
        <v>0</v>
      </c>
      <c r="L16" s="426">
        <f t="shared" si="27"/>
        <v>24543762</v>
      </c>
      <c r="M16" s="449">
        <f t="shared" si="18"/>
        <v>0</v>
      </c>
      <c r="N16" s="297">
        <f t="shared" si="19"/>
        <v>0</v>
      </c>
      <c r="O16" s="445">
        <f t="shared" si="32"/>
        <v>0</v>
      </c>
      <c r="P16" s="563">
        <f t="shared" si="28"/>
        <v>19022.474999999999</v>
      </c>
      <c r="Q16" s="446">
        <f t="shared" si="1"/>
        <v>0</v>
      </c>
      <c r="R16" s="428">
        <f t="shared" si="29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44634</v>
      </c>
      <c r="D17" s="592">
        <f t="shared" si="23"/>
        <v>221160</v>
      </c>
      <c r="E17" s="580">
        <f t="shared" si="7"/>
        <v>0</v>
      </c>
      <c r="F17" s="569">
        <f t="shared" si="24"/>
        <v>4120958</v>
      </c>
      <c r="G17" s="449">
        <f t="shared" si="15"/>
        <v>0</v>
      </c>
      <c r="H17" s="426">
        <f t="shared" si="25"/>
        <v>18021422</v>
      </c>
      <c r="I17" s="449">
        <f t="shared" si="16"/>
        <v>0</v>
      </c>
      <c r="J17" s="426">
        <f t="shared" si="26"/>
        <v>29724626</v>
      </c>
      <c r="K17" s="449">
        <f t="shared" si="17"/>
        <v>0</v>
      </c>
      <c r="L17" s="426">
        <f t="shared" si="27"/>
        <v>24543762</v>
      </c>
      <c r="M17" s="449">
        <f t="shared" si="18"/>
        <v>0</v>
      </c>
      <c r="N17" s="297">
        <f t="shared" si="19"/>
        <v>0</v>
      </c>
      <c r="O17" s="445">
        <f t="shared" si="32"/>
        <v>0</v>
      </c>
      <c r="P17" s="563">
        <f t="shared" si="28"/>
        <v>19022.474999999999</v>
      </c>
      <c r="Q17" s="446">
        <f t="shared" si="1"/>
        <v>0</v>
      </c>
      <c r="R17" s="428">
        <f t="shared" si="29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44635</v>
      </c>
      <c r="D18" s="592">
        <f t="shared" si="23"/>
        <v>221160</v>
      </c>
      <c r="E18" s="580">
        <f t="shared" si="7"/>
        <v>0</v>
      </c>
      <c r="F18" s="569">
        <f t="shared" si="24"/>
        <v>4120958</v>
      </c>
      <c r="G18" s="449">
        <f t="shared" si="15"/>
        <v>0</v>
      </c>
      <c r="H18" s="426">
        <f t="shared" si="25"/>
        <v>18021422</v>
      </c>
      <c r="I18" s="449">
        <f t="shared" si="16"/>
        <v>0</v>
      </c>
      <c r="J18" s="426">
        <f t="shared" si="26"/>
        <v>29724626</v>
      </c>
      <c r="K18" s="449">
        <f t="shared" si="17"/>
        <v>0</v>
      </c>
      <c r="L18" s="426">
        <f t="shared" si="27"/>
        <v>24543762</v>
      </c>
      <c r="M18" s="449">
        <f t="shared" si="18"/>
        <v>0</v>
      </c>
      <c r="N18" s="297">
        <f>M18+K18+I18+G18+E18</f>
        <v>0</v>
      </c>
      <c r="O18" s="445">
        <f t="shared" si="32"/>
        <v>0</v>
      </c>
      <c r="P18" s="563">
        <f t="shared" si="28"/>
        <v>19022.474999999999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44636</v>
      </c>
      <c r="D19" s="592">
        <f t="shared" si="23"/>
        <v>221160</v>
      </c>
      <c r="E19" s="580">
        <f t="shared" si="7"/>
        <v>0</v>
      </c>
      <c r="F19" s="569">
        <f t="shared" si="24"/>
        <v>4120958</v>
      </c>
      <c r="G19" s="449">
        <f t="shared" si="15"/>
        <v>0</v>
      </c>
      <c r="H19" s="426">
        <f t="shared" si="25"/>
        <v>18021422</v>
      </c>
      <c r="I19" s="449">
        <f t="shared" si="16"/>
        <v>0</v>
      </c>
      <c r="J19" s="426">
        <f t="shared" si="26"/>
        <v>29724626</v>
      </c>
      <c r="K19" s="449">
        <f t="shared" si="17"/>
        <v>0</v>
      </c>
      <c r="L19" s="426">
        <f t="shared" si="27"/>
        <v>24543762</v>
      </c>
      <c r="M19" s="449">
        <f t="shared" si="18"/>
        <v>0</v>
      </c>
      <c r="N19" s="297">
        <f t="shared" si="19"/>
        <v>0</v>
      </c>
      <c r="O19" s="445">
        <f t="shared" si="32"/>
        <v>0</v>
      </c>
      <c r="P19" s="563">
        <f t="shared" si="28"/>
        <v>19022.474999999999</v>
      </c>
      <c r="Q19" s="446">
        <f>(P19-P18)*1000</f>
        <v>0</v>
      </c>
      <c r="R19" s="594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44637</v>
      </c>
      <c r="D20" s="592">
        <f t="shared" si="23"/>
        <v>221160</v>
      </c>
      <c r="E20" s="580">
        <f t="shared" si="7"/>
        <v>0</v>
      </c>
      <c r="F20" s="569">
        <f t="shared" si="24"/>
        <v>4120958</v>
      </c>
      <c r="G20" s="449">
        <f t="shared" si="15"/>
        <v>0</v>
      </c>
      <c r="H20" s="426">
        <f t="shared" si="25"/>
        <v>18021422</v>
      </c>
      <c r="I20" s="449">
        <f t="shared" si="16"/>
        <v>0</v>
      </c>
      <c r="J20" s="426">
        <f t="shared" si="26"/>
        <v>29724626</v>
      </c>
      <c r="K20" s="449">
        <f t="shared" si="17"/>
        <v>0</v>
      </c>
      <c r="L20" s="426">
        <f t="shared" si="27"/>
        <v>24543762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3">
        <f t="shared" si="28"/>
        <v>19022.474999999999</v>
      </c>
      <c r="Q20" s="446">
        <f>(P20-P19)*1000</f>
        <v>0</v>
      </c>
      <c r="R20" s="594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44638</v>
      </c>
      <c r="D21" s="592">
        <f t="shared" si="23"/>
        <v>221160</v>
      </c>
      <c r="E21" s="580">
        <f t="shared" si="7"/>
        <v>0</v>
      </c>
      <c r="F21" s="569">
        <f t="shared" si="24"/>
        <v>4120958</v>
      </c>
      <c r="G21" s="449">
        <f t="shared" si="15"/>
        <v>0</v>
      </c>
      <c r="H21" s="426">
        <f t="shared" si="25"/>
        <v>18021422</v>
      </c>
      <c r="I21" s="449">
        <f t="shared" si="16"/>
        <v>0</v>
      </c>
      <c r="J21" s="426">
        <f t="shared" si="26"/>
        <v>29724626</v>
      </c>
      <c r="K21" s="449">
        <f t="shared" si="17"/>
        <v>0</v>
      </c>
      <c r="L21" s="426">
        <f t="shared" si="27"/>
        <v>24543762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3">
        <f t="shared" si="28"/>
        <v>19022.474999999999</v>
      </c>
      <c r="Q21" s="446">
        <f t="shared" si="1"/>
        <v>0</v>
      </c>
      <c r="R21" s="594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44639</v>
      </c>
      <c r="D22" s="592">
        <f t="shared" si="23"/>
        <v>221160</v>
      </c>
      <c r="E22" s="580">
        <f t="shared" ref="E22" si="36">D22-D21</f>
        <v>0</v>
      </c>
      <c r="F22" s="569">
        <f t="shared" si="24"/>
        <v>4120958</v>
      </c>
      <c r="G22" s="449">
        <f t="shared" ref="G22" si="37">F22-F21</f>
        <v>0</v>
      </c>
      <c r="H22" s="426">
        <f t="shared" si="25"/>
        <v>18021422</v>
      </c>
      <c r="I22" s="449">
        <f t="shared" ref="I22" si="38">H22-H21</f>
        <v>0</v>
      </c>
      <c r="J22" s="426">
        <f t="shared" si="26"/>
        <v>29724626</v>
      </c>
      <c r="K22" s="449">
        <f t="shared" ref="K22" si="39">J22-J21</f>
        <v>0</v>
      </c>
      <c r="L22" s="426">
        <f t="shared" si="27"/>
        <v>24543762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28"/>
        <v>19022.474999999999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44640</v>
      </c>
      <c r="D23" s="592">
        <f t="shared" si="23"/>
        <v>221160</v>
      </c>
      <c r="E23" s="580">
        <f t="shared" si="7"/>
        <v>0</v>
      </c>
      <c r="F23" s="569">
        <f t="shared" si="24"/>
        <v>4120958</v>
      </c>
      <c r="G23" s="449">
        <f t="shared" si="15"/>
        <v>0</v>
      </c>
      <c r="H23" s="426">
        <f t="shared" si="25"/>
        <v>18021422</v>
      </c>
      <c r="I23" s="449">
        <f t="shared" si="16"/>
        <v>0</v>
      </c>
      <c r="J23" s="426">
        <f t="shared" si="26"/>
        <v>29724626</v>
      </c>
      <c r="K23" s="449">
        <f t="shared" si="17"/>
        <v>0</v>
      </c>
      <c r="L23" s="426">
        <f t="shared" si="27"/>
        <v>24543762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3">
        <f t="shared" si="28"/>
        <v>19022.474999999999</v>
      </c>
      <c r="Q23" s="446">
        <f t="shared" si="1"/>
        <v>0</v>
      </c>
      <c r="R23" s="594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44641</v>
      </c>
      <c r="D24" s="592">
        <f t="shared" si="23"/>
        <v>221160</v>
      </c>
      <c r="E24" s="580">
        <f t="shared" si="7"/>
        <v>0</v>
      </c>
      <c r="F24" s="569">
        <f t="shared" si="24"/>
        <v>4120958</v>
      </c>
      <c r="G24" s="449">
        <f t="shared" si="15"/>
        <v>0</v>
      </c>
      <c r="H24" s="426">
        <f t="shared" si="25"/>
        <v>18021422</v>
      </c>
      <c r="I24" s="599">
        <f t="shared" si="16"/>
        <v>0</v>
      </c>
      <c r="J24" s="426">
        <f t="shared" si="26"/>
        <v>29724626</v>
      </c>
      <c r="K24" s="449">
        <f t="shared" si="17"/>
        <v>0</v>
      </c>
      <c r="L24" s="426">
        <f t="shared" si="27"/>
        <v>24543762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3">
        <f t="shared" si="28"/>
        <v>19022.474999999999</v>
      </c>
      <c r="Q24" s="446">
        <f t="shared" si="1"/>
        <v>0</v>
      </c>
      <c r="R24" s="594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44642</v>
      </c>
      <c r="D25" s="592">
        <f t="shared" si="23"/>
        <v>221160</v>
      </c>
      <c r="E25" s="580">
        <f t="shared" si="7"/>
        <v>0</v>
      </c>
      <c r="F25" s="569">
        <f t="shared" si="24"/>
        <v>4120958</v>
      </c>
      <c r="G25" s="449">
        <f t="shared" si="15"/>
        <v>0</v>
      </c>
      <c r="H25" s="426">
        <f t="shared" si="25"/>
        <v>18021422</v>
      </c>
      <c r="I25" s="449">
        <f t="shared" si="16"/>
        <v>0</v>
      </c>
      <c r="J25" s="426">
        <f t="shared" si="26"/>
        <v>29724626</v>
      </c>
      <c r="K25" s="449">
        <f t="shared" si="17"/>
        <v>0</v>
      </c>
      <c r="L25" s="426">
        <f t="shared" si="27"/>
        <v>24543762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3">
        <f t="shared" si="28"/>
        <v>19022.474999999999</v>
      </c>
      <c r="Q25" s="446">
        <f t="shared" si="1"/>
        <v>0</v>
      </c>
      <c r="R25" s="594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44643</v>
      </c>
      <c r="D26" s="592">
        <f t="shared" si="23"/>
        <v>221160</v>
      </c>
      <c r="E26" s="580">
        <f t="shared" si="7"/>
        <v>0</v>
      </c>
      <c r="F26" s="569">
        <f t="shared" si="24"/>
        <v>4120958</v>
      </c>
      <c r="G26" s="449">
        <f t="shared" si="15"/>
        <v>0</v>
      </c>
      <c r="H26" s="426">
        <f t="shared" si="25"/>
        <v>18021422</v>
      </c>
      <c r="I26" s="449">
        <f t="shared" si="16"/>
        <v>0</v>
      </c>
      <c r="J26" s="426">
        <f t="shared" si="26"/>
        <v>29724626</v>
      </c>
      <c r="K26" s="449">
        <f t="shared" si="17"/>
        <v>0</v>
      </c>
      <c r="L26" s="426">
        <f t="shared" si="27"/>
        <v>24543762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3">
        <f t="shared" si="28"/>
        <v>19022.474999999999</v>
      </c>
      <c r="Q26" s="446">
        <f t="shared" si="1"/>
        <v>0</v>
      </c>
      <c r="R26" s="594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44644</v>
      </c>
      <c r="D27" s="592">
        <f t="shared" si="23"/>
        <v>221160</v>
      </c>
      <c r="E27" s="580">
        <f t="shared" si="7"/>
        <v>0</v>
      </c>
      <c r="F27" s="569">
        <f t="shared" si="24"/>
        <v>4120958</v>
      </c>
      <c r="G27" s="449">
        <f t="shared" si="15"/>
        <v>0</v>
      </c>
      <c r="H27" s="426">
        <f t="shared" si="25"/>
        <v>18021422</v>
      </c>
      <c r="I27" s="449">
        <f t="shared" si="16"/>
        <v>0</v>
      </c>
      <c r="J27" s="426">
        <f t="shared" si="26"/>
        <v>29724626</v>
      </c>
      <c r="K27" s="449">
        <f t="shared" si="17"/>
        <v>0</v>
      </c>
      <c r="L27" s="426">
        <f t="shared" si="27"/>
        <v>24543762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3">
        <f t="shared" si="28"/>
        <v>19022.474999999999</v>
      </c>
      <c r="Q27" s="446">
        <f t="shared" si="1"/>
        <v>0</v>
      </c>
      <c r="R27" s="594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44645</v>
      </c>
      <c r="D28" s="592">
        <f t="shared" si="23"/>
        <v>221160</v>
      </c>
      <c r="E28" s="580">
        <f t="shared" si="7"/>
        <v>0</v>
      </c>
      <c r="F28" s="569">
        <f t="shared" si="24"/>
        <v>4120958</v>
      </c>
      <c r="G28" s="449">
        <f>F28-F27</f>
        <v>0</v>
      </c>
      <c r="H28" s="426">
        <f t="shared" si="25"/>
        <v>18021422</v>
      </c>
      <c r="I28" s="449">
        <f t="shared" si="16"/>
        <v>0</v>
      </c>
      <c r="J28" s="426">
        <f t="shared" si="26"/>
        <v>29724626</v>
      </c>
      <c r="K28" s="449">
        <f t="shared" si="17"/>
        <v>0</v>
      </c>
      <c r="L28" s="426">
        <f t="shared" si="27"/>
        <v>24543762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3">
        <f t="shared" si="28"/>
        <v>19022.474999999999</v>
      </c>
      <c r="Q28" s="446">
        <f t="shared" si="1"/>
        <v>0</v>
      </c>
      <c r="R28" s="594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44646</v>
      </c>
      <c r="D29" s="592">
        <f t="shared" si="23"/>
        <v>221160</v>
      </c>
      <c r="E29" s="580">
        <f t="shared" si="7"/>
        <v>0</v>
      </c>
      <c r="F29" s="569">
        <f t="shared" si="24"/>
        <v>4120958</v>
      </c>
      <c r="G29" s="449">
        <f>F29-F28</f>
        <v>0</v>
      </c>
      <c r="H29" s="426">
        <f t="shared" si="25"/>
        <v>18021422</v>
      </c>
      <c r="I29" s="449">
        <f>H29-H28</f>
        <v>0</v>
      </c>
      <c r="J29" s="426">
        <f t="shared" si="26"/>
        <v>29724626</v>
      </c>
      <c r="K29" s="449">
        <f>J29-J28</f>
        <v>0</v>
      </c>
      <c r="L29" s="426">
        <f t="shared" si="27"/>
        <v>24543762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8"/>
        <v>19022.474999999999</v>
      </c>
      <c r="Q29" s="446">
        <f>(P29-P28)*1000</f>
        <v>0</v>
      </c>
      <c r="R29" s="594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44647</v>
      </c>
      <c r="D30" s="592">
        <f t="shared" si="23"/>
        <v>221160</v>
      </c>
      <c r="E30" s="580">
        <f t="shared" si="7"/>
        <v>0</v>
      </c>
      <c r="F30" s="569">
        <f t="shared" si="24"/>
        <v>4120958</v>
      </c>
      <c r="G30" s="449">
        <f t="shared" si="15"/>
        <v>0</v>
      </c>
      <c r="H30" s="426">
        <f t="shared" si="25"/>
        <v>18021422</v>
      </c>
      <c r="I30" s="449">
        <f t="shared" si="16"/>
        <v>0</v>
      </c>
      <c r="J30" s="426">
        <f t="shared" si="26"/>
        <v>29724626</v>
      </c>
      <c r="K30" s="449">
        <f t="shared" si="17"/>
        <v>0</v>
      </c>
      <c r="L30" s="426">
        <f t="shared" si="27"/>
        <v>24543762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3">
        <f t="shared" si="28"/>
        <v>19022.474999999999</v>
      </c>
      <c r="Q30" s="446">
        <f t="shared" si="1"/>
        <v>0</v>
      </c>
      <c r="R30" s="594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44648</v>
      </c>
      <c r="D31" s="592">
        <f t="shared" si="23"/>
        <v>221160</v>
      </c>
      <c r="E31" s="580">
        <f t="shared" si="7"/>
        <v>0</v>
      </c>
      <c r="F31" s="569">
        <f t="shared" si="24"/>
        <v>4120958</v>
      </c>
      <c r="G31" s="449">
        <f t="shared" si="15"/>
        <v>0</v>
      </c>
      <c r="H31" s="426">
        <f t="shared" si="25"/>
        <v>18021422</v>
      </c>
      <c r="I31" s="449">
        <f t="shared" si="16"/>
        <v>0</v>
      </c>
      <c r="J31" s="426">
        <f t="shared" si="26"/>
        <v>29724626</v>
      </c>
      <c r="K31" s="449">
        <f t="shared" si="17"/>
        <v>0</v>
      </c>
      <c r="L31" s="426">
        <f t="shared" si="27"/>
        <v>24543762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3">
        <f t="shared" si="28"/>
        <v>19022.474999999999</v>
      </c>
      <c r="Q31" s="446">
        <f t="shared" si="1"/>
        <v>0</v>
      </c>
      <c r="R31" s="594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44649</v>
      </c>
      <c r="D32" s="592">
        <f t="shared" si="23"/>
        <v>221160</v>
      </c>
      <c r="E32" s="580">
        <f t="shared" si="7"/>
        <v>0</v>
      </c>
      <c r="F32" s="569">
        <f t="shared" si="24"/>
        <v>4120958</v>
      </c>
      <c r="G32" s="449">
        <f t="shared" si="15"/>
        <v>0</v>
      </c>
      <c r="H32" s="426">
        <f t="shared" si="25"/>
        <v>18021422</v>
      </c>
      <c r="I32" s="449">
        <f t="shared" si="16"/>
        <v>0</v>
      </c>
      <c r="J32" s="426">
        <f t="shared" si="26"/>
        <v>29724626</v>
      </c>
      <c r="K32" s="449">
        <f t="shared" si="17"/>
        <v>0</v>
      </c>
      <c r="L32" s="426">
        <f t="shared" si="27"/>
        <v>24543762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28"/>
        <v>19022.474999999999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1">W32-W31</f>
        <v>0</v>
      </c>
      <c r="Y32" s="426">
        <f t="shared" si="11"/>
        <v>996900</v>
      </c>
      <c r="Z32" s="428">
        <f t="shared" ref="Z32:Z34" si="52">Y32-Y31</f>
        <v>0</v>
      </c>
      <c r="AA32" s="426">
        <f t="shared" si="12"/>
        <v>36796</v>
      </c>
      <c r="AB32" s="428">
        <f t="shared" ref="AB32:AB34" si="53">AA32-AA31</f>
        <v>0</v>
      </c>
      <c r="AC32" s="426">
        <f t="shared" si="13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/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44650</v>
      </c>
      <c r="D33" s="592">
        <f t="shared" si="23"/>
        <v>221160</v>
      </c>
      <c r="E33" s="580">
        <f t="shared" si="7"/>
        <v>0</v>
      </c>
      <c r="F33" s="569">
        <f t="shared" si="24"/>
        <v>4120958</v>
      </c>
      <c r="G33" s="449">
        <f t="shared" si="15"/>
        <v>0</v>
      </c>
      <c r="H33" s="426">
        <f t="shared" si="25"/>
        <v>18021422</v>
      </c>
      <c r="I33" s="449">
        <f t="shared" si="16"/>
        <v>0</v>
      </c>
      <c r="J33" s="426">
        <f t="shared" si="26"/>
        <v>29724626</v>
      </c>
      <c r="K33" s="449">
        <f t="shared" si="17"/>
        <v>0</v>
      </c>
      <c r="L33" s="426">
        <f t="shared" si="27"/>
        <v>24543762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28"/>
        <v>19022.474999999999</v>
      </c>
      <c r="Q33" s="446">
        <f t="shared" si="49"/>
        <v>0</v>
      </c>
      <c r="R33" s="594">
        <f t="shared" si="50"/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57">U33-U32</f>
        <v>0</v>
      </c>
      <c r="W33" s="426">
        <f t="shared" si="10"/>
        <v>33484</v>
      </c>
      <c r="X33" s="448">
        <f t="shared" si="51"/>
        <v>0</v>
      </c>
      <c r="Y33" s="426">
        <f t="shared" si="11"/>
        <v>996900</v>
      </c>
      <c r="Z33" s="428">
        <f t="shared" si="52"/>
        <v>0</v>
      </c>
      <c r="AA33" s="426">
        <f t="shared" si="12"/>
        <v>36796</v>
      </c>
      <c r="AB33" s="428">
        <f t="shared" si="53"/>
        <v>0</v>
      </c>
      <c r="AC33" s="426">
        <f t="shared" si="13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44651</v>
      </c>
      <c r="D34" s="592">
        <f t="shared" si="23"/>
        <v>221160</v>
      </c>
      <c r="E34" s="580">
        <f t="shared" si="7"/>
        <v>0</v>
      </c>
      <c r="F34" s="569">
        <f t="shared" si="24"/>
        <v>4120958</v>
      </c>
      <c r="G34" s="449">
        <f t="shared" si="15"/>
        <v>0</v>
      </c>
      <c r="H34" s="426">
        <f t="shared" si="25"/>
        <v>18021422</v>
      </c>
      <c r="I34" s="449">
        <f t="shared" si="16"/>
        <v>0</v>
      </c>
      <c r="J34" s="426">
        <f t="shared" si="26"/>
        <v>29724626</v>
      </c>
      <c r="K34" s="449">
        <f t="shared" si="17"/>
        <v>0</v>
      </c>
      <c r="L34" s="426">
        <f t="shared" si="27"/>
        <v>24543762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28"/>
        <v>19022.474999999999</v>
      </c>
      <c r="Q34" s="446">
        <f t="shared" si="49"/>
        <v>0</v>
      </c>
      <c r="R34" s="594">
        <f t="shared" si="50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1"/>
        <v>0</v>
      </c>
      <c r="Y34" s="426">
        <f t="shared" si="11"/>
        <v>996900</v>
      </c>
      <c r="Z34" s="428">
        <f t="shared" si="52"/>
        <v>0</v>
      </c>
      <c r="AA34" s="426">
        <f t="shared" si="12"/>
        <v>36796</v>
      </c>
      <c r="AB34" s="428">
        <f t="shared" si="53"/>
        <v>0</v>
      </c>
      <c r="AC34" s="426">
        <f t="shared" si="13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H1" zoomScale="90" zoomScaleNormal="90" workbookViewId="0">
      <pane ySplit="1" topLeftCell="A2" activePane="bottomLeft" state="frozen"/>
      <selection activeCell="K1" sqref="K1"/>
      <selection pane="bottomLeft" activeCell="Y10" sqref="Y1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57.87797619047619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[2]B5!$A$32</f>
        <v>44620</v>
      </c>
      <c r="B4" s="379">
        <f>[2]B5!B32</f>
        <v>166</v>
      </c>
      <c r="C4" s="379">
        <f>[2]B5!C32</f>
        <v>158</v>
      </c>
      <c r="D4" s="379">
        <f>[2]B5!D32</f>
        <v>18</v>
      </c>
      <c r="E4" s="379">
        <f>[2]B5!E32</f>
        <v>150.84</v>
      </c>
      <c r="F4" s="379">
        <f>[2]B5!F32</f>
        <v>2110</v>
      </c>
      <c r="G4" s="379">
        <f>[2]B5!G32</f>
        <v>6</v>
      </c>
      <c r="H4" s="379">
        <f>[2]B5!H32</f>
        <v>33475</v>
      </c>
      <c r="I4" s="379">
        <f>[2]B5!I32</f>
        <v>415</v>
      </c>
      <c r="J4" s="379">
        <f>[2]B5!J32</f>
        <v>69.166666666666671</v>
      </c>
      <c r="K4" s="379">
        <f>[2]B5!K32</f>
        <v>2390</v>
      </c>
      <c r="L4" s="379">
        <f>[2]B5!L32</f>
        <v>0</v>
      </c>
      <c r="M4" s="379">
        <f>[2]B5!M32</f>
        <v>176670</v>
      </c>
      <c r="N4" s="379">
        <f>[2]B5!N32</f>
        <v>0</v>
      </c>
      <c r="O4" s="379">
        <f>[2]B5!O32</f>
        <v>1869</v>
      </c>
      <c r="P4" s="379">
        <f>[2]B5!P32</f>
        <v>2180</v>
      </c>
      <c r="Q4" s="379">
        <f>[2]B5!Q32</f>
        <v>182533</v>
      </c>
      <c r="R4" s="379">
        <f>[2]B5!R32</f>
        <v>0</v>
      </c>
      <c r="S4" s="379">
        <f>[2]B5!S32</f>
        <v>0</v>
      </c>
      <c r="T4" s="379">
        <f>[2]B5!T32</f>
        <v>0</v>
      </c>
      <c r="U4" s="379">
        <f>[2]B5!U32</f>
        <v>6</v>
      </c>
      <c r="V4" s="379">
        <f>[2]B5!V32</f>
        <v>415</v>
      </c>
      <c r="W4" s="379">
        <f>[2]B5!W32</f>
        <v>0</v>
      </c>
      <c r="X4" s="379">
        <f>[2]B5!X32</f>
        <v>2471</v>
      </c>
      <c r="Y4" s="379">
        <f>[2]B5!Y32</f>
        <v>0</v>
      </c>
      <c r="Z4" s="379">
        <f>[2]B5!Z32</f>
        <v>1392127</v>
      </c>
      <c r="AA4" s="379">
        <f>[2]B5!AA32</f>
        <v>0</v>
      </c>
      <c r="AB4" s="379">
        <f>[2]B5!AB32</f>
        <v>0</v>
      </c>
      <c r="AC4" s="379">
        <f>[2]B5!AC32</f>
        <v>1943</v>
      </c>
      <c r="AD4" s="379">
        <f>[2]B5!AD32</f>
        <v>0</v>
      </c>
      <c r="AE4" s="379">
        <f>[2]B5!AE32</f>
        <v>366210</v>
      </c>
      <c r="AF4" s="379">
        <f>[2]B5!AF32</f>
        <v>0</v>
      </c>
      <c r="AG4" s="379">
        <f>[2]B5!AG32</f>
        <v>0</v>
      </c>
      <c r="AH4" s="379">
        <f>[2]B5!AH32</f>
        <v>0</v>
      </c>
      <c r="AI4" s="379">
        <f>[2]B5!AI32</f>
        <v>415</v>
      </c>
      <c r="AJ4" s="379">
        <f>[2]B5!AJ32</f>
        <v>415</v>
      </c>
      <c r="AK4" s="379">
        <f>[2]B5!AK32</f>
        <v>0</v>
      </c>
      <c r="AL4" s="379">
        <f>[2]B5!AL32</f>
        <v>6</v>
      </c>
      <c r="AM4" s="379">
        <f>[2]B5!AM32</f>
        <v>0</v>
      </c>
      <c r="AN4" s="379">
        <f>[2]B5!AN32</f>
        <v>65</v>
      </c>
      <c r="AO4" s="379">
        <f>[2]B5!AO32</f>
        <v>1950</v>
      </c>
      <c r="AP4" s="379">
        <f>[2]B5!AP32</f>
        <v>55</v>
      </c>
      <c r="AQ4" s="379">
        <f>[2]B5!AQ32</f>
        <v>1650.0000000000002</v>
      </c>
      <c r="AR4" s="379">
        <f>[2]B5!AR32</f>
        <v>61</v>
      </c>
      <c r="AS4" s="379">
        <f>[2]B5!AS32</f>
        <v>1830</v>
      </c>
      <c r="AT4" s="379">
        <f>[2]B5!AT32</f>
        <v>5430</v>
      </c>
      <c r="AU4" s="379">
        <f>[2]B5!AU32</f>
        <v>0</v>
      </c>
      <c r="AV4" s="379">
        <f>[2]B5!AV32</f>
        <v>0</v>
      </c>
      <c r="AW4" s="379">
        <f>[2]B5!AW32</f>
        <v>0</v>
      </c>
      <c r="AX4" s="379">
        <f>[2]B5!AX32</f>
        <v>0.8</v>
      </c>
    </row>
    <row r="5" spans="1:52">
      <c r="A5" s="63">
        <f>ELEC!C4</f>
        <v>44621</v>
      </c>
      <c r="B5" s="537">
        <v>187</v>
      </c>
      <c r="C5" s="537">
        <v>194</v>
      </c>
      <c r="D5" s="45">
        <f>C4-C5</f>
        <v>-36</v>
      </c>
      <c r="E5" s="45">
        <f>D5*8.38</f>
        <v>-301.68</v>
      </c>
      <c r="F5" s="537">
        <v>2114</v>
      </c>
      <c r="G5" s="52">
        <f t="shared" ref="G5:G32" si="0">F5-F4</f>
        <v>4</v>
      </c>
      <c r="H5" s="537">
        <v>33818</v>
      </c>
      <c r="I5" s="380">
        <f t="shared" ref="I5:I32" si="1">SUM(H5-H4)</f>
        <v>343</v>
      </c>
      <c r="J5" s="66">
        <v>1</v>
      </c>
      <c r="K5" s="537">
        <f>K4</f>
        <v>2390</v>
      </c>
      <c r="L5" s="52">
        <f>K5-K4</f>
        <v>0</v>
      </c>
      <c r="M5" s="537">
        <f>M4</f>
        <v>176670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2180</v>
      </c>
      <c r="Q5" s="537">
        <f>Q4</f>
        <v>182533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4</v>
      </c>
      <c r="V5" s="62">
        <f>R5+N5+I5:I5</f>
        <v>343</v>
      </c>
      <c r="W5" s="384">
        <f>SUM(V5/U5)</f>
        <v>85.75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343</v>
      </c>
      <c r="AJ5" s="303">
        <f>-tanks!AW6</f>
        <v>343</v>
      </c>
      <c r="AK5" s="303">
        <f>SUM(AJ5-AI5)</f>
        <v>0</v>
      </c>
      <c r="AL5" s="303">
        <f t="shared" ref="AL5:AL32" si="8">S5+L5+G5</f>
        <v>4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44622</v>
      </c>
      <c r="B6" s="537">
        <v>178</v>
      </c>
      <c r="C6" s="537">
        <v>185</v>
      </c>
      <c r="D6" s="45">
        <f>C5-C6</f>
        <v>9</v>
      </c>
      <c r="E6" s="45">
        <f t="shared" ref="E6:E32" si="12">D6*8.38</f>
        <v>75.42</v>
      </c>
      <c r="F6" s="537">
        <v>2120</v>
      </c>
      <c r="G6" s="52">
        <f t="shared" si="0"/>
        <v>6</v>
      </c>
      <c r="H6" s="537">
        <v>34243</v>
      </c>
      <c r="I6" s="380">
        <f t="shared" si="1"/>
        <v>425</v>
      </c>
      <c r="J6" s="66">
        <f t="shared" ref="J6:J32" si="13">IF(G6&gt;0,I6/G6,0)</f>
        <v>70.833333333333329</v>
      </c>
      <c r="K6" s="537">
        <f t="shared" ref="K6:K35" si="14">K5</f>
        <v>2390</v>
      </c>
      <c r="L6" s="52">
        <f t="shared" ref="L6:L32" si="15">K6-K5</f>
        <v>0</v>
      </c>
      <c r="M6" s="537">
        <f t="shared" ref="M6:M35" si="16">M5</f>
        <v>176670</v>
      </c>
      <c r="N6" s="380">
        <f t="shared" si="2"/>
        <v>0</v>
      </c>
      <c r="O6" s="64">
        <f t="shared" si="3"/>
        <v>1869</v>
      </c>
      <c r="P6" s="537">
        <f t="shared" si="3"/>
        <v>2180</v>
      </c>
      <c r="Q6" s="537">
        <f t="shared" si="3"/>
        <v>182533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6</v>
      </c>
      <c r="V6" s="62">
        <f t="shared" ref="V6:V32" si="18">R6+N6+I6:I6</f>
        <v>425</v>
      </c>
      <c r="W6" s="384">
        <f t="shared" ref="W6:W16" si="19">SUM(V6/U6)</f>
        <v>70.833333333333329</v>
      </c>
      <c r="X6" s="537">
        <f t="shared" ref="X6:X35" si="20">X5</f>
        <v>2471</v>
      </c>
      <c r="Y6" s="52">
        <f t="shared" ref="Y6:Y32" si="21">X6-X5</f>
        <v>0</v>
      </c>
      <c r="Z6" s="537">
        <f t="shared" ref="Z6:Z35" si="22">Z5</f>
        <v>1392127</v>
      </c>
      <c r="AA6" s="65">
        <f t="shared" si="6"/>
        <v>0</v>
      </c>
      <c r="AB6" s="273">
        <f>SUM(Y6*$AB$2)</f>
        <v>0</v>
      </c>
      <c r="AC6" s="537">
        <f t="shared" ref="AC6:AC35" si="23">AC5</f>
        <v>1943</v>
      </c>
      <c r="AD6" s="45">
        <f t="shared" si="7"/>
        <v>0</v>
      </c>
      <c r="AE6" s="537">
        <f t="shared" ref="AE6:AE35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425</v>
      </c>
      <c r="AJ6" s="303">
        <f>-tanks!AW7</f>
        <v>425</v>
      </c>
      <c r="AK6" s="303">
        <f t="shared" ref="AK6:AK32" si="27">SUM(AJ6-AI6)</f>
        <v>0</v>
      </c>
      <c r="AL6" s="303">
        <f t="shared" si="8"/>
        <v>6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44623</v>
      </c>
      <c r="B7" s="537">
        <v>170</v>
      </c>
      <c r="C7" s="537">
        <v>178</v>
      </c>
      <c r="D7" s="45">
        <f t="shared" ref="D7:D19" si="32">C6-C7</f>
        <v>7</v>
      </c>
      <c r="E7" s="45">
        <f t="shared" si="12"/>
        <v>58.660000000000004</v>
      </c>
      <c r="F7" s="537">
        <v>2124</v>
      </c>
      <c r="G7" s="52">
        <f t="shared" si="0"/>
        <v>4</v>
      </c>
      <c r="H7" s="537">
        <v>34580</v>
      </c>
      <c r="I7" s="380">
        <f t="shared" si="1"/>
        <v>337</v>
      </c>
      <c r="J7" s="66">
        <f t="shared" si="13"/>
        <v>84.25</v>
      </c>
      <c r="K7" s="537">
        <f t="shared" si="14"/>
        <v>2390</v>
      </c>
      <c r="L7" s="52">
        <f t="shared" si="15"/>
        <v>0</v>
      </c>
      <c r="M7" s="537">
        <f t="shared" si="16"/>
        <v>176670</v>
      </c>
      <c r="N7" s="380">
        <f t="shared" si="2"/>
        <v>0</v>
      </c>
      <c r="O7" s="64">
        <f t="shared" si="3"/>
        <v>1869</v>
      </c>
      <c r="P7" s="537">
        <f t="shared" si="3"/>
        <v>2180</v>
      </c>
      <c r="Q7" s="537">
        <f t="shared" si="3"/>
        <v>182533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337</v>
      </c>
      <c r="W7" s="384">
        <f t="shared" si="19"/>
        <v>84.25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337</v>
      </c>
      <c r="AJ7" s="303">
        <f>-tanks!AW8</f>
        <v>337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44624</v>
      </c>
      <c r="B8" s="537">
        <f t="shared" ref="B8:B35" si="40">B7</f>
        <v>170</v>
      </c>
      <c r="C8" s="537">
        <f t="shared" ref="C8:C35" si="41">C7</f>
        <v>178</v>
      </c>
      <c r="D8" s="45">
        <f t="shared" si="32"/>
        <v>0</v>
      </c>
      <c r="E8" s="45">
        <f t="shared" si="12"/>
        <v>0</v>
      </c>
      <c r="F8" s="537">
        <f t="shared" ref="F8:F35" si="42">F7</f>
        <v>2124</v>
      </c>
      <c r="G8" s="52">
        <f t="shared" si="0"/>
        <v>0</v>
      </c>
      <c r="H8" s="537">
        <f t="shared" ref="H8:H35" si="43">H7</f>
        <v>34580</v>
      </c>
      <c r="I8" s="380">
        <f t="shared" si="1"/>
        <v>0</v>
      </c>
      <c r="J8" s="66">
        <f t="shared" si="13"/>
        <v>0</v>
      </c>
      <c r="K8" s="537">
        <f t="shared" si="14"/>
        <v>2390</v>
      </c>
      <c r="L8" s="52">
        <f t="shared" si="15"/>
        <v>0</v>
      </c>
      <c r="M8" s="537">
        <f t="shared" si="16"/>
        <v>176670</v>
      </c>
      <c r="N8" s="380">
        <f t="shared" si="2"/>
        <v>0</v>
      </c>
      <c r="O8" s="64">
        <f t="shared" si="3"/>
        <v>1869</v>
      </c>
      <c r="P8" s="537">
        <f t="shared" si="3"/>
        <v>2180</v>
      </c>
      <c r="Q8" s="537">
        <f t="shared" si="3"/>
        <v>182533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44625</v>
      </c>
      <c r="B9" s="537">
        <f t="shared" si="40"/>
        <v>170</v>
      </c>
      <c r="C9" s="537">
        <f t="shared" si="41"/>
        <v>178</v>
      </c>
      <c r="D9" s="45">
        <f t="shared" si="32"/>
        <v>0</v>
      </c>
      <c r="E9" s="45">
        <f t="shared" si="12"/>
        <v>0</v>
      </c>
      <c r="F9" s="537">
        <f t="shared" si="42"/>
        <v>2124</v>
      </c>
      <c r="G9" s="52">
        <f t="shared" si="0"/>
        <v>0</v>
      </c>
      <c r="H9" s="537">
        <f t="shared" si="43"/>
        <v>34580</v>
      </c>
      <c r="I9" s="380">
        <f t="shared" si="1"/>
        <v>0</v>
      </c>
      <c r="J9" s="66">
        <f t="shared" si="13"/>
        <v>0</v>
      </c>
      <c r="K9" s="537">
        <f t="shared" si="14"/>
        <v>2390</v>
      </c>
      <c r="L9" s="52">
        <f t="shared" si="15"/>
        <v>0</v>
      </c>
      <c r="M9" s="537">
        <f t="shared" si="16"/>
        <v>176670</v>
      </c>
      <c r="N9" s="380">
        <f t="shared" si="2"/>
        <v>0</v>
      </c>
      <c r="O9" s="64">
        <f t="shared" si="3"/>
        <v>1869</v>
      </c>
      <c r="P9" s="537">
        <f t="shared" si="3"/>
        <v>2180</v>
      </c>
      <c r="Q9" s="537">
        <f t="shared" si="3"/>
        <v>182533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44626</v>
      </c>
      <c r="B10" s="537">
        <v>162</v>
      </c>
      <c r="C10" s="537">
        <v>170</v>
      </c>
      <c r="D10" s="45">
        <f t="shared" si="32"/>
        <v>8</v>
      </c>
      <c r="E10" s="45">
        <f t="shared" si="12"/>
        <v>67.040000000000006</v>
      </c>
      <c r="F10" s="537">
        <v>2131</v>
      </c>
      <c r="G10" s="52">
        <f t="shared" si="0"/>
        <v>7</v>
      </c>
      <c r="H10" s="537">
        <v>35108</v>
      </c>
      <c r="I10" s="380">
        <f t="shared" si="1"/>
        <v>528</v>
      </c>
      <c r="J10" s="66">
        <f t="shared" si="13"/>
        <v>75.428571428571431</v>
      </c>
      <c r="K10" s="537">
        <f t="shared" si="14"/>
        <v>2390</v>
      </c>
      <c r="L10" s="52">
        <f t="shared" si="15"/>
        <v>0</v>
      </c>
      <c r="M10" s="537">
        <f t="shared" si="16"/>
        <v>176670</v>
      </c>
      <c r="N10" s="380">
        <f t="shared" si="2"/>
        <v>0</v>
      </c>
      <c r="O10" s="64">
        <f t="shared" si="3"/>
        <v>1869</v>
      </c>
      <c r="P10" s="537">
        <f t="shared" si="3"/>
        <v>2180</v>
      </c>
      <c r="Q10" s="537">
        <f t="shared" si="3"/>
        <v>182533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7</v>
      </c>
      <c r="V10" s="62">
        <f t="shared" si="18"/>
        <v>528</v>
      </c>
      <c r="W10" s="384">
        <f t="shared" si="19"/>
        <v>75.428571428571431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528</v>
      </c>
      <c r="AJ10" s="303">
        <f>-tanks!AW11</f>
        <v>528</v>
      </c>
      <c r="AK10" s="303">
        <f t="shared" si="27"/>
        <v>0</v>
      </c>
      <c r="AL10" s="303">
        <f t="shared" si="8"/>
        <v>7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44627</v>
      </c>
      <c r="B11" s="537">
        <f t="shared" si="40"/>
        <v>162</v>
      </c>
      <c r="C11" s="537">
        <f t="shared" si="41"/>
        <v>170</v>
      </c>
      <c r="D11" s="45">
        <f t="shared" si="32"/>
        <v>0</v>
      </c>
      <c r="E11" s="45">
        <f t="shared" si="12"/>
        <v>0</v>
      </c>
      <c r="F11" s="537">
        <f t="shared" si="42"/>
        <v>2131</v>
      </c>
      <c r="G11" s="52">
        <f t="shared" si="0"/>
        <v>0</v>
      </c>
      <c r="H11" s="537">
        <f t="shared" si="43"/>
        <v>35108</v>
      </c>
      <c r="I11" s="380">
        <f t="shared" si="1"/>
        <v>0</v>
      </c>
      <c r="J11" s="66">
        <f t="shared" si="13"/>
        <v>0</v>
      </c>
      <c r="K11" s="537">
        <f t="shared" si="14"/>
        <v>2390</v>
      </c>
      <c r="L11" s="52">
        <f t="shared" si="15"/>
        <v>0</v>
      </c>
      <c r="M11" s="537">
        <f t="shared" si="16"/>
        <v>176670</v>
      </c>
      <c r="N11" s="380">
        <f t="shared" si="2"/>
        <v>0</v>
      </c>
      <c r="O11" s="64">
        <f t="shared" si="3"/>
        <v>1869</v>
      </c>
      <c r="P11" s="537">
        <f t="shared" si="3"/>
        <v>2180</v>
      </c>
      <c r="Q11" s="537">
        <f t="shared" si="3"/>
        <v>182533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0</v>
      </c>
      <c r="V11" s="62">
        <f t="shared" si="18"/>
        <v>0</v>
      </c>
      <c r="W11" s="384" t="e">
        <f t="shared" si="19"/>
        <v>#DIV/0!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27"/>
        <v>0</v>
      </c>
      <c r="AL11" s="303">
        <f t="shared" si="8"/>
        <v>0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44628</v>
      </c>
      <c r="B12" s="537">
        <f t="shared" si="40"/>
        <v>162</v>
      </c>
      <c r="C12" s="537">
        <f t="shared" si="41"/>
        <v>170</v>
      </c>
      <c r="D12" s="45">
        <f t="shared" si="32"/>
        <v>0</v>
      </c>
      <c r="E12" s="45">
        <f t="shared" si="12"/>
        <v>0</v>
      </c>
      <c r="F12" s="537">
        <f t="shared" si="42"/>
        <v>2131</v>
      </c>
      <c r="G12" s="52">
        <f t="shared" si="0"/>
        <v>0</v>
      </c>
      <c r="H12" s="537">
        <f t="shared" si="43"/>
        <v>35108</v>
      </c>
      <c r="I12" s="380">
        <f t="shared" si="1"/>
        <v>0</v>
      </c>
      <c r="J12" s="66">
        <f t="shared" si="13"/>
        <v>0</v>
      </c>
      <c r="K12" s="537">
        <f t="shared" si="14"/>
        <v>2390</v>
      </c>
      <c r="L12" s="52">
        <f t="shared" si="15"/>
        <v>0</v>
      </c>
      <c r="M12" s="537">
        <f t="shared" si="16"/>
        <v>176670</v>
      </c>
      <c r="N12" s="380">
        <f t="shared" si="2"/>
        <v>0</v>
      </c>
      <c r="O12" s="64">
        <f t="shared" si="3"/>
        <v>1869</v>
      </c>
      <c r="P12" s="537">
        <f t="shared" si="3"/>
        <v>2180</v>
      </c>
      <c r="Q12" s="537">
        <f t="shared" si="3"/>
        <v>182533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44629</v>
      </c>
      <c r="B13" s="537">
        <f t="shared" si="40"/>
        <v>162</v>
      </c>
      <c r="C13" s="537">
        <f t="shared" si="41"/>
        <v>170</v>
      </c>
      <c r="D13" s="45">
        <f t="shared" si="32"/>
        <v>0</v>
      </c>
      <c r="E13" s="45">
        <f t="shared" si="12"/>
        <v>0</v>
      </c>
      <c r="F13" s="537">
        <f t="shared" si="42"/>
        <v>2131</v>
      </c>
      <c r="G13" s="52">
        <f t="shared" si="0"/>
        <v>0</v>
      </c>
      <c r="H13" s="537">
        <f t="shared" si="43"/>
        <v>35108</v>
      </c>
      <c r="I13" s="380">
        <f t="shared" si="1"/>
        <v>0</v>
      </c>
      <c r="J13" s="66">
        <f t="shared" si="13"/>
        <v>0</v>
      </c>
      <c r="K13" s="537">
        <f t="shared" si="14"/>
        <v>2390</v>
      </c>
      <c r="L13" s="52">
        <f t="shared" si="15"/>
        <v>0</v>
      </c>
      <c r="M13" s="537">
        <f t="shared" si="16"/>
        <v>176670</v>
      </c>
      <c r="N13" s="380">
        <f t="shared" si="2"/>
        <v>0</v>
      </c>
      <c r="O13" s="64">
        <f t="shared" si="3"/>
        <v>1869</v>
      </c>
      <c r="P13" s="537">
        <f t="shared" si="3"/>
        <v>2180</v>
      </c>
      <c r="Q13" s="537">
        <f t="shared" si="3"/>
        <v>182533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0</v>
      </c>
      <c r="V13" s="62">
        <f t="shared" si="18"/>
        <v>0</v>
      </c>
      <c r="W13" s="384" t="e">
        <f t="shared" si="19"/>
        <v>#DIV/0!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0</v>
      </c>
      <c r="AJ13" s="303">
        <f>-tanks!AW14</f>
        <v>0</v>
      </c>
      <c r="AK13" s="303">
        <f t="shared" si="27"/>
        <v>0</v>
      </c>
      <c r="AL13" s="303">
        <f t="shared" si="8"/>
        <v>0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44630</v>
      </c>
      <c r="B14" s="537">
        <f t="shared" si="40"/>
        <v>162</v>
      </c>
      <c r="C14" s="537">
        <f t="shared" si="41"/>
        <v>170</v>
      </c>
      <c r="D14" s="45">
        <f t="shared" si="32"/>
        <v>0</v>
      </c>
      <c r="E14" s="45">
        <f t="shared" si="12"/>
        <v>0</v>
      </c>
      <c r="F14" s="537">
        <f t="shared" si="42"/>
        <v>2131</v>
      </c>
      <c r="G14" s="52">
        <f t="shared" si="0"/>
        <v>0</v>
      </c>
      <c r="H14" s="537">
        <f t="shared" si="43"/>
        <v>35108</v>
      </c>
      <c r="I14" s="380">
        <f t="shared" si="1"/>
        <v>0</v>
      </c>
      <c r="J14" s="66">
        <f t="shared" si="13"/>
        <v>0</v>
      </c>
      <c r="K14" s="537">
        <f t="shared" si="14"/>
        <v>2390</v>
      </c>
      <c r="L14" s="52">
        <f t="shared" si="15"/>
        <v>0</v>
      </c>
      <c r="M14" s="537">
        <f t="shared" si="16"/>
        <v>176670</v>
      </c>
      <c r="N14" s="380">
        <f t="shared" si="2"/>
        <v>0</v>
      </c>
      <c r="O14" s="64">
        <f t="shared" si="3"/>
        <v>1869</v>
      </c>
      <c r="P14" s="537">
        <f t="shared" si="3"/>
        <v>2180</v>
      </c>
      <c r="Q14" s="537">
        <f t="shared" si="3"/>
        <v>182533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0</v>
      </c>
      <c r="V14" s="62">
        <f t="shared" si="18"/>
        <v>0</v>
      </c>
      <c r="W14" s="384" t="e">
        <f t="shared" si="19"/>
        <v>#DIV/0!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7"/>
        <v>0</v>
      </c>
      <c r="AL14" s="303">
        <f t="shared" si="8"/>
        <v>0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44631</v>
      </c>
      <c r="B15" s="537">
        <f t="shared" si="40"/>
        <v>162</v>
      </c>
      <c r="C15" s="537">
        <f t="shared" si="41"/>
        <v>170</v>
      </c>
      <c r="D15" s="45">
        <f t="shared" si="32"/>
        <v>0</v>
      </c>
      <c r="E15" s="45">
        <f t="shared" si="12"/>
        <v>0</v>
      </c>
      <c r="F15" s="537">
        <f t="shared" si="42"/>
        <v>2131</v>
      </c>
      <c r="G15" s="52">
        <f t="shared" si="0"/>
        <v>0</v>
      </c>
      <c r="H15" s="537">
        <f t="shared" si="43"/>
        <v>35108</v>
      </c>
      <c r="I15" s="380">
        <f t="shared" si="1"/>
        <v>0</v>
      </c>
      <c r="J15" s="66">
        <f t="shared" si="13"/>
        <v>0</v>
      </c>
      <c r="K15" s="537">
        <f t="shared" si="14"/>
        <v>2390</v>
      </c>
      <c r="L15" s="52">
        <f t="shared" si="15"/>
        <v>0</v>
      </c>
      <c r="M15" s="537">
        <f t="shared" si="16"/>
        <v>176670</v>
      </c>
      <c r="N15" s="380">
        <f t="shared" si="2"/>
        <v>0</v>
      </c>
      <c r="O15" s="64">
        <f t="shared" si="3"/>
        <v>1869</v>
      </c>
      <c r="P15" s="537">
        <f t="shared" si="3"/>
        <v>2180</v>
      </c>
      <c r="Q15" s="537">
        <f t="shared" si="3"/>
        <v>182533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44632</v>
      </c>
      <c r="B16" s="537">
        <f t="shared" si="40"/>
        <v>162</v>
      </c>
      <c r="C16" s="537">
        <f t="shared" si="41"/>
        <v>170</v>
      </c>
      <c r="D16" s="45">
        <f t="shared" si="32"/>
        <v>0</v>
      </c>
      <c r="E16" s="45">
        <f t="shared" si="12"/>
        <v>0</v>
      </c>
      <c r="F16" s="537">
        <f t="shared" si="42"/>
        <v>2131</v>
      </c>
      <c r="G16" s="52">
        <f t="shared" si="0"/>
        <v>0</v>
      </c>
      <c r="H16" s="537">
        <f t="shared" si="43"/>
        <v>35108</v>
      </c>
      <c r="I16" s="380">
        <f t="shared" si="1"/>
        <v>0</v>
      </c>
      <c r="J16" s="66">
        <f t="shared" si="13"/>
        <v>0</v>
      </c>
      <c r="K16" s="537">
        <f t="shared" si="14"/>
        <v>2390</v>
      </c>
      <c r="L16" s="52">
        <f t="shared" si="15"/>
        <v>0</v>
      </c>
      <c r="M16" s="537">
        <f t="shared" si="16"/>
        <v>176670</v>
      </c>
      <c r="N16" s="380">
        <f t="shared" si="2"/>
        <v>0</v>
      </c>
      <c r="O16" s="64">
        <f t="shared" si="3"/>
        <v>1869</v>
      </c>
      <c r="P16" s="537">
        <f t="shared" si="3"/>
        <v>2180</v>
      </c>
      <c r="Q16" s="537">
        <f t="shared" si="3"/>
        <v>182533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44633</v>
      </c>
      <c r="B17" s="537">
        <f t="shared" si="40"/>
        <v>162</v>
      </c>
      <c r="C17" s="537">
        <f t="shared" si="41"/>
        <v>170</v>
      </c>
      <c r="D17" s="45">
        <f t="shared" si="32"/>
        <v>0</v>
      </c>
      <c r="E17" s="45">
        <f t="shared" si="12"/>
        <v>0</v>
      </c>
      <c r="F17" s="537">
        <f t="shared" si="42"/>
        <v>2131</v>
      </c>
      <c r="G17" s="52">
        <f t="shared" si="0"/>
        <v>0</v>
      </c>
      <c r="H17" s="537">
        <f t="shared" si="43"/>
        <v>35108</v>
      </c>
      <c r="I17" s="380">
        <f t="shared" si="1"/>
        <v>0</v>
      </c>
      <c r="J17" s="66">
        <f t="shared" si="13"/>
        <v>0</v>
      </c>
      <c r="K17" s="537">
        <f t="shared" si="14"/>
        <v>2390</v>
      </c>
      <c r="L17" s="52">
        <f t="shared" si="15"/>
        <v>0</v>
      </c>
      <c r="M17" s="537">
        <f t="shared" si="16"/>
        <v>176670</v>
      </c>
      <c r="N17" s="380">
        <f t="shared" si="2"/>
        <v>0</v>
      </c>
      <c r="O17" s="64">
        <f t="shared" si="3"/>
        <v>1869</v>
      </c>
      <c r="P17" s="537">
        <f t="shared" si="3"/>
        <v>2180</v>
      </c>
      <c r="Q17" s="537">
        <f t="shared" si="3"/>
        <v>182533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0</v>
      </c>
      <c r="V17" s="62">
        <f t="shared" si="18"/>
        <v>0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0</v>
      </c>
      <c r="AJ17" s="303">
        <f>-tanks!AW18</f>
        <v>0</v>
      </c>
      <c r="AK17" s="303">
        <f t="shared" si="27"/>
        <v>0</v>
      </c>
      <c r="AL17" s="303">
        <f t="shared" si="8"/>
        <v>0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44634</v>
      </c>
      <c r="B18" s="537">
        <f t="shared" si="40"/>
        <v>162</v>
      </c>
      <c r="C18" s="537">
        <f t="shared" si="41"/>
        <v>170</v>
      </c>
      <c r="D18" s="45">
        <f t="shared" si="32"/>
        <v>0</v>
      </c>
      <c r="E18" s="45">
        <f t="shared" si="12"/>
        <v>0</v>
      </c>
      <c r="F18" s="537">
        <f t="shared" si="42"/>
        <v>2131</v>
      </c>
      <c r="G18" s="52">
        <f t="shared" si="0"/>
        <v>0</v>
      </c>
      <c r="H18" s="537">
        <f t="shared" si="43"/>
        <v>35108</v>
      </c>
      <c r="I18" s="380">
        <f t="shared" si="1"/>
        <v>0</v>
      </c>
      <c r="J18" s="66">
        <f t="shared" si="13"/>
        <v>0</v>
      </c>
      <c r="K18" s="537">
        <f t="shared" si="14"/>
        <v>2390</v>
      </c>
      <c r="L18" s="52">
        <f t="shared" si="15"/>
        <v>0</v>
      </c>
      <c r="M18" s="537">
        <f t="shared" si="16"/>
        <v>176670</v>
      </c>
      <c r="N18" s="380">
        <f t="shared" si="2"/>
        <v>0</v>
      </c>
      <c r="O18" s="64">
        <v>1869</v>
      </c>
      <c r="P18" s="537">
        <f t="shared" ref="P18:P35" si="45">P17</f>
        <v>2180</v>
      </c>
      <c r="Q18" s="537">
        <f t="shared" ref="Q18:Q35" si="46">Q17</f>
        <v>182533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0</v>
      </c>
      <c r="V18" s="62">
        <f t="shared" si="18"/>
        <v>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0</v>
      </c>
      <c r="AJ18" s="303">
        <f>-tanks!AW19</f>
        <v>0</v>
      </c>
      <c r="AK18" s="303">
        <f t="shared" si="27"/>
        <v>0</v>
      </c>
      <c r="AL18" s="303">
        <f t="shared" si="8"/>
        <v>0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44635</v>
      </c>
      <c r="B19" s="537">
        <f t="shared" si="40"/>
        <v>162</v>
      </c>
      <c r="C19" s="537">
        <f t="shared" si="41"/>
        <v>170</v>
      </c>
      <c r="D19" s="45">
        <f t="shared" si="32"/>
        <v>0</v>
      </c>
      <c r="E19" s="45">
        <f t="shared" si="12"/>
        <v>0</v>
      </c>
      <c r="F19" s="537">
        <f t="shared" si="42"/>
        <v>2131</v>
      </c>
      <c r="G19" s="52">
        <f t="shared" si="0"/>
        <v>0</v>
      </c>
      <c r="H19" s="537">
        <f t="shared" si="43"/>
        <v>35108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2180</v>
      </c>
      <c r="Q19" s="537">
        <f t="shared" si="46"/>
        <v>182533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0</v>
      </c>
      <c r="V19" s="62">
        <f t="shared" si="18"/>
        <v>0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0</v>
      </c>
      <c r="AJ19" s="303">
        <f>-tanks!AW20</f>
        <v>0</v>
      </c>
      <c r="AK19" s="303">
        <f t="shared" si="27"/>
        <v>0</v>
      </c>
      <c r="AL19" s="303">
        <f t="shared" si="8"/>
        <v>0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44636</v>
      </c>
      <c r="B20" s="537">
        <f t="shared" si="40"/>
        <v>162</v>
      </c>
      <c r="C20" s="537">
        <f t="shared" si="41"/>
        <v>170</v>
      </c>
      <c r="D20" s="45">
        <f>C19-C20</f>
        <v>0</v>
      </c>
      <c r="E20" s="45">
        <f t="shared" si="12"/>
        <v>0</v>
      </c>
      <c r="F20" s="537">
        <f t="shared" si="42"/>
        <v>2131</v>
      </c>
      <c r="G20" s="52">
        <f t="shared" si="0"/>
        <v>0</v>
      </c>
      <c r="H20" s="537">
        <f t="shared" si="43"/>
        <v>35108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8"/>
        <v>1869</v>
      </c>
      <c r="P20" s="537">
        <f t="shared" si="45"/>
        <v>2180</v>
      </c>
      <c r="Q20" s="537">
        <f t="shared" si="46"/>
        <v>182533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0</v>
      </c>
      <c r="V20" s="62">
        <f t="shared" si="18"/>
        <v>0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0</v>
      </c>
      <c r="AJ20" s="303">
        <f>-tanks!AW21</f>
        <v>0</v>
      </c>
      <c r="AK20" s="303">
        <f t="shared" si="27"/>
        <v>0</v>
      </c>
      <c r="AL20" s="303">
        <f t="shared" si="8"/>
        <v>0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44637</v>
      </c>
      <c r="B21" s="537">
        <f t="shared" si="40"/>
        <v>162</v>
      </c>
      <c r="C21" s="537">
        <f t="shared" si="41"/>
        <v>170</v>
      </c>
      <c r="D21" s="45">
        <f t="shared" ref="D21:D32" si="49">C20-C21</f>
        <v>0</v>
      </c>
      <c r="E21" s="45">
        <f t="shared" si="12"/>
        <v>0</v>
      </c>
      <c r="F21" s="537">
        <f t="shared" si="42"/>
        <v>2131</v>
      </c>
      <c r="G21" s="52">
        <f t="shared" si="0"/>
        <v>0</v>
      </c>
      <c r="H21" s="537">
        <f t="shared" si="43"/>
        <v>35108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8"/>
        <v>1869</v>
      </c>
      <c r="P21" s="537">
        <f t="shared" si="45"/>
        <v>2180</v>
      </c>
      <c r="Q21" s="537">
        <f t="shared" si="46"/>
        <v>182533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44638</v>
      </c>
      <c r="B22" s="537">
        <f t="shared" si="40"/>
        <v>162</v>
      </c>
      <c r="C22" s="537">
        <f t="shared" si="41"/>
        <v>170</v>
      </c>
      <c r="D22" s="45">
        <f t="shared" si="49"/>
        <v>0</v>
      </c>
      <c r="E22" s="45">
        <f t="shared" si="12"/>
        <v>0</v>
      </c>
      <c r="F22" s="537">
        <f t="shared" si="42"/>
        <v>2131</v>
      </c>
      <c r="G22" s="52">
        <f t="shared" si="0"/>
        <v>0</v>
      </c>
      <c r="H22" s="537">
        <f t="shared" si="43"/>
        <v>35108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8"/>
        <v>1869</v>
      </c>
      <c r="P22" s="537">
        <f t="shared" si="45"/>
        <v>2180</v>
      </c>
      <c r="Q22" s="537">
        <f t="shared" si="46"/>
        <v>182533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44639</v>
      </c>
      <c r="B23" s="537">
        <f t="shared" si="40"/>
        <v>162</v>
      </c>
      <c r="C23" s="537">
        <f t="shared" si="41"/>
        <v>170</v>
      </c>
      <c r="D23" s="45">
        <f t="shared" si="49"/>
        <v>0</v>
      </c>
      <c r="E23" s="45">
        <f t="shared" si="12"/>
        <v>0</v>
      </c>
      <c r="F23" s="537">
        <f t="shared" si="42"/>
        <v>2131</v>
      </c>
      <c r="G23" s="52">
        <f t="shared" si="0"/>
        <v>0</v>
      </c>
      <c r="H23" s="537">
        <f t="shared" si="43"/>
        <v>35108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8"/>
        <v>1869</v>
      </c>
      <c r="P23" s="537">
        <f t="shared" si="45"/>
        <v>2180</v>
      </c>
      <c r="Q23" s="537">
        <f t="shared" si="46"/>
        <v>182533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44640</v>
      </c>
      <c r="B24" s="537">
        <f t="shared" si="40"/>
        <v>162</v>
      </c>
      <c r="C24" s="537">
        <f t="shared" si="41"/>
        <v>170</v>
      </c>
      <c r="D24" s="45">
        <f t="shared" si="49"/>
        <v>0</v>
      </c>
      <c r="E24" s="45">
        <f t="shared" si="12"/>
        <v>0</v>
      </c>
      <c r="F24" s="537">
        <f t="shared" si="42"/>
        <v>2131</v>
      </c>
      <c r="G24" s="52">
        <f t="shared" si="0"/>
        <v>0</v>
      </c>
      <c r="H24" s="537">
        <f t="shared" si="43"/>
        <v>35108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8"/>
        <v>1869</v>
      </c>
      <c r="P24" s="537">
        <f t="shared" si="45"/>
        <v>2180</v>
      </c>
      <c r="Q24" s="537">
        <f t="shared" si="46"/>
        <v>182533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44641</v>
      </c>
      <c r="B25" s="537">
        <f t="shared" si="40"/>
        <v>162</v>
      </c>
      <c r="C25" s="537">
        <f t="shared" si="41"/>
        <v>170</v>
      </c>
      <c r="D25" s="45">
        <f t="shared" si="49"/>
        <v>0</v>
      </c>
      <c r="E25" s="45">
        <f t="shared" si="12"/>
        <v>0</v>
      </c>
      <c r="F25" s="537">
        <f t="shared" si="42"/>
        <v>2131</v>
      </c>
      <c r="G25" s="52">
        <f t="shared" si="0"/>
        <v>0</v>
      </c>
      <c r="H25" s="537">
        <f t="shared" si="43"/>
        <v>35108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8"/>
        <v>1869</v>
      </c>
      <c r="P25" s="537">
        <f t="shared" si="45"/>
        <v>2180</v>
      </c>
      <c r="Q25" s="537">
        <f t="shared" si="46"/>
        <v>182533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44642</v>
      </c>
      <c r="B26" s="537">
        <f t="shared" si="40"/>
        <v>162</v>
      </c>
      <c r="C26" s="537">
        <f t="shared" si="41"/>
        <v>170</v>
      </c>
      <c r="D26" s="45">
        <f t="shared" si="49"/>
        <v>0</v>
      </c>
      <c r="E26" s="45">
        <f t="shared" si="12"/>
        <v>0</v>
      </c>
      <c r="F26" s="537">
        <f t="shared" si="42"/>
        <v>2131</v>
      </c>
      <c r="G26" s="52">
        <f t="shared" si="0"/>
        <v>0</v>
      </c>
      <c r="H26" s="537">
        <f t="shared" si="43"/>
        <v>35108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8"/>
        <v>1869</v>
      </c>
      <c r="P26" s="537">
        <f t="shared" si="45"/>
        <v>2180</v>
      </c>
      <c r="Q26" s="537">
        <f t="shared" si="46"/>
        <v>182533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44643</v>
      </c>
      <c r="B27" s="537">
        <f t="shared" si="40"/>
        <v>162</v>
      </c>
      <c r="C27" s="537">
        <f t="shared" si="41"/>
        <v>170</v>
      </c>
      <c r="D27" s="45">
        <f t="shared" si="49"/>
        <v>0</v>
      </c>
      <c r="E27" s="45">
        <f t="shared" si="12"/>
        <v>0</v>
      </c>
      <c r="F27" s="537">
        <f t="shared" si="42"/>
        <v>2131</v>
      </c>
      <c r="G27" s="52">
        <f t="shared" si="0"/>
        <v>0</v>
      </c>
      <c r="H27" s="537">
        <f t="shared" si="43"/>
        <v>35108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8"/>
        <v>1869</v>
      </c>
      <c r="P27" s="537">
        <f t="shared" si="45"/>
        <v>2180</v>
      </c>
      <c r="Q27" s="537">
        <f t="shared" si="46"/>
        <v>182533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44644</v>
      </c>
      <c r="B28" s="537">
        <f t="shared" si="40"/>
        <v>162</v>
      </c>
      <c r="C28" s="537">
        <f t="shared" si="41"/>
        <v>170</v>
      </c>
      <c r="D28" s="45">
        <f t="shared" si="49"/>
        <v>0</v>
      </c>
      <c r="E28" s="45">
        <f t="shared" si="12"/>
        <v>0</v>
      </c>
      <c r="F28" s="537">
        <f t="shared" si="42"/>
        <v>2131</v>
      </c>
      <c r="G28" s="52">
        <f t="shared" si="0"/>
        <v>0</v>
      </c>
      <c r="H28" s="537">
        <f t="shared" si="43"/>
        <v>35108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8"/>
        <v>1869</v>
      </c>
      <c r="P28" s="537">
        <f t="shared" si="45"/>
        <v>2180</v>
      </c>
      <c r="Q28" s="537">
        <f t="shared" si="46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44645</v>
      </c>
      <c r="B29" s="537">
        <f t="shared" si="40"/>
        <v>162</v>
      </c>
      <c r="C29" s="537">
        <f t="shared" si="41"/>
        <v>170</v>
      </c>
      <c r="D29" s="45">
        <f t="shared" si="49"/>
        <v>0</v>
      </c>
      <c r="E29" s="45">
        <f t="shared" si="12"/>
        <v>0</v>
      </c>
      <c r="F29" s="537">
        <f t="shared" si="42"/>
        <v>2131</v>
      </c>
      <c r="G29" s="52">
        <f t="shared" si="0"/>
        <v>0</v>
      </c>
      <c r="H29" s="537">
        <f t="shared" si="43"/>
        <v>35108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8"/>
        <v>1869</v>
      </c>
      <c r="P29" s="537">
        <f t="shared" si="45"/>
        <v>2180</v>
      </c>
      <c r="Q29" s="537">
        <f t="shared" si="46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44646</v>
      </c>
      <c r="B30" s="537">
        <f t="shared" si="40"/>
        <v>162</v>
      </c>
      <c r="C30" s="537">
        <f t="shared" si="41"/>
        <v>170</v>
      </c>
      <c r="D30" s="45">
        <f>C29-C30</f>
        <v>0</v>
      </c>
      <c r="E30" s="45">
        <f>D30*8.38</f>
        <v>0</v>
      </c>
      <c r="F30" s="537">
        <f t="shared" si="42"/>
        <v>2131</v>
      </c>
      <c r="G30" s="52">
        <f>F30-F29</f>
        <v>0</v>
      </c>
      <c r="H30" s="537">
        <f t="shared" si="43"/>
        <v>35108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8"/>
        <v>1869</v>
      </c>
      <c r="P30" s="537">
        <f t="shared" si="45"/>
        <v>2180</v>
      </c>
      <c r="Q30" s="537">
        <f t="shared" si="46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44647</v>
      </c>
      <c r="B31" s="537">
        <f t="shared" si="40"/>
        <v>162</v>
      </c>
      <c r="C31" s="537">
        <f t="shared" si="41"/>
        <v>170</v>
      </c>
      <c r="D31" s="45">
        <f t="shared" si="49"/>
        <v>0</v>
      </c>
      <c r="E31" s="45">
        <f t="shared" si="12"/>
        <v>0</v>
      </c>
      <c r="F31" s="537">
        <f t="shared" si="42"/>
        <v>2131</v>
      </c>
      <c r="G31" s="52">
        <f t="shared" si="0"/>
        <v>0</v>
      </c>
      <c r="H31" s="537">
        <f t="shared" si="43"/>
        <v>35108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8"/>
        <v>1869</v>
      </c>
      <c r="P31" s="537">
        <f t="shared" si="45"/>
        <v>2180</v>
      </c>
      <c r="Q31" s="537">
        <f t="shared" si="46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44648</v>
      </c>
      <c r="B32" s="537">
        <f t="shared" si="40"/>
        <v>162</v>
      </c>
      <c r="C32" s="537">
        <f t="shared" si="41"/>
        <v>170</v>
      </c>
      <c r="D32" s="45">
        <f t="shared" si="49"/>
        <v>0</v>
      </c>
      <c r="E32" s="45">
        <f t="shared" si="12"/>
        <v>0</v>
      </c>
      <c r="F32" s="537">
        <f t="shared" si="42"/>
        <v>2131</v>
      </c>
      <c r="G32" s="52">
        <f t="shared" si="0"/>
        <v>0</v>
      </c>
      <c r="H32" s="537">
        <f t="shared" si="43"/>
        <v>35108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8"/>
        <v>1869</v>
      </c>
      <c r="P32" s="537">
        <f t="shared" si="45"/>
        <v>2180</v>
      </c>
      <c r="Q32" s="537">
        <f t="shared" si="46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50">
      <c r="A33" s="63">
        <f>ELEC!C32</f>
        <v>44649</v>
      </c>
      <c r="B33" s="537">
        <f t="shared" si="40"/>
        <v>162</v>
      </c>
      <c r="C33" s="537">
        <f t="shared" si="41"/>
        <v>170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42"/>
        <v>2131</v>
      </c>
      <c r="G33" s="52">
        <f t="shared" ref="G33:G35" si="56">F33-F32</f>
        <v>0</v>
      </c>
      <c r="H33" s="537">
        <f t="shared" si="43"/>
        <v>35108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4"/>
        <v>2390</v>
      </c>
      <c r="L33" s="52">
        <f t="shared" ref="L33:L35" si="59">K33-K32</f>
        <v>0</v>
      </c>
      <c r="M33" s="537">
        <f t="shared" si="16"/>
        <v>176670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2180</v>
      </c>
      <c r="Q33" s="537">
        <f t="shared" si="46"/>
        <v>182533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0"/>
        <v>2471</v>
      </c>
      <c r="Y33" s="52">
        <f t="shared" ref="Y33:Y35" si="66">X33-X32</f>
        <v>0</v>
      </c>
      <c r="Z33" s="537">
        <f t="shared" si="22"/>
        <v>1392127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3"/>
        <v>1943</v>
      </c>
      <c r="AD33" s="259">
        <f t="shared" ref="AD33:AD35" si="69">AC33-AC32</f>
        <v>0</v>
      </c>
      <c r="AE33" s="537">
        <f t="shared" si="24"/>
        <v>366210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44650</v>
      </c>
      <c r="B34" s="537">
        <f t="shared" si="40"/>
        <v>162</v>
      </c>
      <c r="C34" s="537">
        <f t="shared" si="41"/>
        <v>170</v>
      </c>
      <c r="D34" s="45">
        <f t="shared" si="54"/>
        <v>0</v>
      </c>
      <c r="E34" s="45">
        <f t="shared" si="55"/>
        <v>0</v>
      </c>
      <c r="F34" s="537">
        <f t="shared" si="42"/>
        <v>2131</v>
      </c>
      <c r="G34" s="52">
        <f t="shared" si="56"/>
        <v>0</v>
      </c>
      <c r="H34" s="537">
        <f t="shared" si="43"/>
        <v>35108</v>
      </c>
      <c r="I34" s="380">
        <f t="shared" si="57"/>
        <v>0</v>
      </c>
      <c r="J34" s="66">
        <f t="shared" si="58"/>
        <v>0</v>
      </c>
      <c r="K34" s="537">
        <f t="shared" si="14"/>
        <v>2390</v>
      </c>
      <c r="L34" s="52">
        <f t="shared" si="59"/>
        <v>0</v>
      </c>
      <c r="M34" s="537">
        <f t="shared" si="16"/>
        <v>176670</v>
      </c>
      <c r="N34" s="380">
        <f t="shared" si="60"/>
        <v>0</v>
      </c>
      <c r="O34" s="64">
        <f t="shared" si="48"/>
        <v>1869</v>
      </c>
      <c r="P34" s="537">
        <f t="shared" si="45"/>
        <v>2180</v>
      </c>
      <c r="Q34" s="537">
        <f t="shared" si="46"/>
        <v>182533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0"/>
        <v>2471</v>
      </c>
      <c r="Y34" s="52">
        <f t="shared" si="66"/>
        <v>0</v>
      </c>
      <c r="Z34" s="537">
        <f t="shared" si="22"/>
        <v>1392127</v>
      </c>
      <c r="AA34" s="65">
        <f t="shared" si="67"/>
        <v>0</v>
      </c>
      <c r="AB34" s="273">
        <f t="shared" si="68"/>
        <v>0</v>
      </c>
      <c r="AC34" s="537">
        <f t="shared" si="23"/>
        <v>1943</v>
      </c>
      <c r="AD34" s="259">
        <f t="shared" si="69"/>
        <v>0</v>
      </c>
      <c r="AE34" s="537">
        <f t="shared" si="24"/>
        <v>366210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44651</v>
      </c>
      <c r="B35" s="537">
        <f t="shared" si="40"/>
        <v>162</v>
      </c>
      <c r="C35" s="537">
        <f t="shared" si="41"/>
        <v>170</v>
      </c>
      <c r="D35" s="45">
        <f t="shared" si="54"/>
        <v>0</v>
      </c>
      <c r="E35" s="45">
        <f t="shared" si="55"/>
        <v>0</v>
      </c>
      <c r="F35" s="537">
        <f t="shared" si="42"/>
        <v>2131</v>
      </c>
      <c r="G35" s="52">
        <f t="shared" si="56"/>
        <v>0</v>
      </c>
      <c r="H35" s="537">
        <f t="shared" si="43"/>
        <v>35108</v>
      </c>
      <c r="I35" s="380">
        <f t="shared" si="57"/>
        <v>0</v>
      </c>
      <c r="J35" s="66">
        <f t="shared" si="58"/>
        <v>0</v>
      </c>
      <c r="K35" s="537">
        <f t="shared" si="14"/>
        <v>2390</v>
      </c>
      <c r="L35" s="52">
        <f t="shared" si="59"/>
        <v>0</v>
      </c>
      <c r="M35" s="537">
        <f t="shared" si="16"/>
        <v>176670</v>
      </c>
      <c r="N35" s="380">
        <f t="shared" si="60"/>
        <v>0</v>
      </c>
      <c r="O35" s="64">
        <f t="shared" si="48"/>
        <v>1869</v>
      </c>
      <c r="P35" s="537">
        <f t="shared" si="45"/>
        <v>2180</v>
      </c>
      <c r="Q35" s="537">
        <f t="shared" si="46"/>
        <v>182533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0"/>
        <v>2471</v>
      </c>
      <c r="Y35" s="52">
        <f t="shared" si="66"/>
        <v>0</v>
      </c>
      <c r="Z35" s="537">
        <f t="shared" si="22"/>
        <v>1392127</v>
      </c>
      <c r="AA35" s="65">
        <f t="shared" si="67"/>
        <v>0</v>
      </c>
      <c r="AB35" s="273">
        <f t="shared" si="68"/>
        <v>0</v>
      </c>
      <c r="AC35" s="537">
        <f t="shared" si="23"/>
        <v>1943</v>
      </c>
      <c r="AD35" s="259">
        <f t="shared" si="69"/>
        <v>0</v>
      </c>
      <c r="AE35" s="537">
        <f t="shared" si="24"/>
        <v>366210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57.87797619047619</v>
      </c>
      <c r="U36" s="70">
        <f>SUM(U5:U35)</f>
        <v>21</v>
      </c>
      <c r="V36" s="62">
        <f>SUM(V5:V35)</f>
        <v>1633</v>
      </c>
      <c r="AE36" s="71" t="s">
        <v>379</v>
      </c>
      <c r="AG36" s="329"/>
      <c r="AH36" s="62">
        <f>SUM(AH5:AH35)</f>
        <v>0</v>
      </c>
      <c r="AL36" s="62">
        <f>SUM(AL5:AL35)</f>
        <v>21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77.761904761904759</v>
      </c>
      <c r="AH37" s="62">
        <f>AF37+AA37</f>
        <v>0</v>
      </c>
      <c r="AI37" s="306">
        <f>SUM(AI5:AI35)</f>
        <v>1633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L1" zoomScale="90" zoomScaleNormal="90" workbookViewId="0">
      <pane ySplit="3" topLeftCell="A4" activePane="bottomLeft" state="frozen"/>
      <selection pane="bottomLeft" activeCell="AV26" sqref="AV2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8154549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[2]WATER!$A$33</f>
        <v>44620</v>
      </c>
      <c r="B5" s="393">
        <f>[2]WATER!B33</f>
        <v>109443</v>
      </c>
      <c r="C5" s="393">
        <f>[2]WATER!C33</f>
        <v>0</v>
      </c>
      <c r="D5" s="393">
        <f>[2]WATER!D33</f>
        <v>0</v>
      </c>
      <c r="E5" s="393">
        <f>[2]WATER!E33</f>
        <v>267.85714285714283</v>
      </c>
      <c r="F5" s="393">
        <f>[2]WATER!F33</f>
        <v>0</v>
      </c>
      <c r="G5" s="393">
        <f>[2]WATER!G33</f>
        <v>627273</v>
      </c>
      <c r="H5" s="393">
        <f>[2]WATER!H33</f>
        <v>0</v>
      </c>
      <c r="I5" s="393">
        <f>[2]WATER!I33</f>
        <v>0</v>
      </c>
      <c r="J5" s="393">
        <f>[2]WATER!J33</f>
        <v>0</v>
      </c>
      <c r="K5" s="393">
        <f>[2]WATER!K33</f>
        <v>7020</v>
      </c>
      <c r="L5" s="393">
        <f>[2]WATER!L33</f>
        <v>5</v>
      </c>
      <c r="M5" s="393">
        <f>[2]WATER!M33</f>
        <v>457.44</v>
      </c>
      <c r="N5" s="393">
        <f>[2]WATER!N33</f>
        <v>0</v>
      </c>
      <c r="O5" s="393">
        <f>[2]WATER!O33</f>
        <v>529.52</v>
      </c>
      <c r="P5" s="393">
        <f>[2]WATER!P33</f>
        <v>0</v>
      </c>
      <c r="Q5" s="393">
        <f>[2]WATER!Q33</f>
        <v>0</v>
      </c>
      <c r="R5" s="393">
        <f>[2]WATER!R33</f>
        <v>0</v>
      </c>
      <c r="S5" s="393">
        <f>[2]WATER!S33</f>
        <v>0</v>
      </c>
      <c r="T5" s="393">
        <f>[2]WATER!T33</f>
        <v>5181</v>
      </c>
      <c r="U5" s="393">
        <f>[2]WATER!U33</f>
        <v>0</v>
      </c>
      <c r="V5" s="393">
        <f>[2]WATER!V33</f>
        <v>478</v>
      </c>
      <c r="W5" s="393">
        <f>[2]WATER!W33</f>
        <v>0</v>
      </c>
      <c r="X5" s="393">
        <f>[2]WATER!X33</f>
        <v>154864</v>
      </c>
      <c r="Y5" s="393">
        <f>[2]WATER!Y33</f>
        <v>0</v>
      </c>
      <c r="Z5" s="393">
        <f>[2]WATER!Z33</f>
        <v>99301</v>
      </c>
      <c r="AA5" s="393">
        <f>[2]WATER!AA33</f>
        <v>0</v>
      </c>
      <c r="AB5" s="393">
        <f>[2]WATER!AB33</f>
        <v>238</v>
      </c>
      <c r="AC5" s="393">
        <f>[2]WATER!AC33</f>
        <v>790</v>
      </c>
      <c r="AD5" s="393">
        <f>[2]WATER!AD33</f>
        <v>0</v>
      </c>
      <c r="AE5" s="393">
        <f>[2]WATER!AE33</f>
        <v>239.96</v>
      </c>
      <c r="AF5" s="393">
        <f>[2]WATER!AF33</f>
        <v>0</v>
      </c>
      <c r="AG5" s="393">
        <f>[2]WATER!AG33</f>
        <v>2218.1999999999998</v>
      </c>
      <c r="AH5" s="393">
        <f>[2]WATER!AH33</f>
        <v>0</v>
      </c>
      <c r="AI5" s="393">
        <f>[2]WATER!AI33</f>
        <v>0</v>
      </c>
      <c r="AJ5" s="393">
        <f>[2]WATER!AJ33</f>
        <v>0</v>
      </c>
      <c r="AK5" s="393">
        <f>[2]WATER!AK33</f>
        <v>-5</v>
      </c>
      <c r="AL5" s="393">
        <f>[2]WATER!AL33</f>
        <v>0</v>
      </c>
      <c r="AM5" s="393">
        <f>[2]WATER!AM33</f>
        <v>14.5</v>
      </c>
      <c r="AN5" s="393">
        <f>[2]WATER!AN33</f>
        <v>0</v>
      </c>
      <c r="AO5" s="393">
        <f>[2]WATER!AO33</f>
        <v>0</v>
      </c>
      <c r="AP5" s="393">
        <f>[2]WATER!AP33</f>
        <v>0</v>
      </c>
      <c r="AR5" s="543">
        <f>[2]WATER!$AR$33</f>
        <v>44620</v>
      </c>
      <c r="AS5" s="393">
        <f>[2]WATER!AS33</f>
        <v>0.9</v>
      </c>
      <c r="AT5" s="393">
        <f>[2]WATER!AT33</f>
        <v>183</v>
      </c>
      <c r="AU5" s="393">
        <f>[2]WATER!AU33</f>
        <v>1.1000000000000001</v>
      </c>
      <c r="AV5" s="393">
        <f>[2]WATER!AV33</f>
        <v>123</v>
      </c>
      <c r="AW5" s="393">
        <f>[2]WATER!AW33</f>
        <v>2.9</v>
      </c>
      <c r="AX5" s="393">
        <f>[2]WATER!AX33</f>
        <v>99</v>
      </c>
      <c r="AY5" s="393">
        <f>[2]WATER!AY33</f>
        <v>164.70000000000002</v>
      </c>
      <c r="AZ5" s="393">
        <f>[2]WATER!AZ33</f>
        <v>135.30000000000001</v>
      </c>
      <c r="BA5" s="393">
        <f>[2]WATER!BA33</f>
        <v>287.09999999999997</v>
      </c>
      <c r="BB5" s="393">
        <f>[2]WATER!BB33</f>
        <v>0</v>
      </c>
      <c r="BC5" s="393">
        <f>[2]WATER!BC33</f>
        <v>-1.0999999999999943</v>
      </c>
      <c r="BD5" s="393">
        <f>[2]WATER!BD33</f>
        <v>-8.7000000000000455</v>
      </c>
      <c r="BE5" s="393">
        <f>[2]WATER!BE33</f>
        <v>-9.8000000000000398</v>
      </c>
      <c r="BF5" s="393">
        <f>[2]WATER!BF33</f>
        <v>9.8000000000000398</v>
      </c>
      <c r="BG5" s="393">
        <f>[2]WATER!BG33</f>
        <v>-9.8000000000000398</v>
      </c>
    </row>
    <row r="6" spans="1:65" ht="15.75" thickBot="1">
      <c r="A6" s="6">
        <f>ELEC!C4</f>
        <v>44621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627273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7021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154864</v>
      </c>
      <c r="Y6" s="309">
        <f>SUM(X6-X5)</f>
        <v>0</v>
      </c>
      <c r="Z6" s="5">
        <f>Z5</f>
        <v>99301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15.5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44621</v>
      </c>
      <c r="AS6" s="407">
        <f>AS5</f>
        <v>0.9</v>
      </c>
      <c r="AT6" s="201">
        <f>AT5</f>
        <v>183</v>
      </c>
      <c r="AU6" s="408">
        <f>AU5</f>
        <v>1.1000000000000001</v>
      </c>
      <c r="AV6" s="201">
        <v>122</v>
      </c>
      <c r="AW6" s="5">
        <v>2.9</v>
      </c>
      <c r="AX6" s="201">
        <v>97</v>
      </c>
      <c r="AY6" s="409">
        <f>AS6*AT6</f>
        <v>164.70000000000002</v>
      </c>
      <c r="AZ6" s="409">
        <f>AU6*AV6</f>
        <v>134.20000000000002</v>
      </c>
      <c r="BA6" s="409">
        <f>AW6*AX6</f>
        <v>281.3</v>
      </c>
      <c r="BB6" s="21">
        <f>AY6-AY5</f>
        <v>0</v>
      </c>
      <c r="BC6" s="21">
        <f>AZ6-AZ5</f>
        <v>-1.0999999999999943</v>
      </c>
      <c r="BD6" s="21">
        <f>BA6-BA5</f>
        <v>-5.7999999999999545</v>
      </c>
      <c r="BE6" s="24">
        <f>SUM(BB6:BD6)</f>
        <v>-6.8999999999999488</v>
      </c>
      <c r="BF6" s="96">
        <f>SUM(I6-BE6)</f>
        <v>6.8999999999999488</v>
      </c>
      <c r="BG6" s="82">
        <f t="shared" ref="BG6:BG33" si="4">SUM(I6-BF6)</f>
        <v>-6.8999999999999488</v>
      </c>
      <c r="BI6" s="17"/>
      <c r="BJ6" s="17"/>
      <c r="BK6" s="17"/>
      <c r="BL6" s="17"/>
      <c r="BM6" s="17"/>
    </row>
    <row r="7" spans="1:65" ht="15.75" thickBot="1">
      <c r="A7" s="6">
        <f>ELEC!C5</f>
        <v>44622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627273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7021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5181</v>
      </c>
      <c r="U7" s="5">
        <f t="shared" si="3"/>
        <v>0</v>
      </c>
      <c r="V7" s="5">
        <f t="shared" ref="V7:V36" si="14">V6</f>
        <v>478</v>
      </c>
      <c r="W7" s="309">
        <f t="shared" ref="W7:W33" si="15">+V7-V6</f>
        <v>0</v>
      </c>
      <c r="X7" s="5">
        <f t="shared" ref="X7:X36" si="16">X6</f>
        <v>154864</v>
      </c>
      <c r="Y7" s="309">
        <f>SUM(X7-X6)</f>
        <v>0</v>
      </c>
      <c r="Z7" s="5">
        <f t="shared" ref="Z7:Z36" si="17">Z6</f>
        <v>99301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239.96</v>
      </c>
      <c r="AF7" s="83">
        <f t="shared" ref="AF7:AF32" si="22">AE7-AE6</f>
        <v>0</v>
      </c>
      <c r="AG7" s="5">
        <f t="shared" ref="AG7:AG36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19.5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44622</v>
      </c>
      <c r="AS7" s="407">
        <f t="shared" ref="AS7:AT21" si="29">AS6</f>
        <v>0.9</v>
      </c>
      <c r="AT7" s="201">
        <f t="shared" si="29"/>
        <v>183</v>
      </c>
      <c r="AU7" s="408">
        <f>AU6</f>
        <v>1.1000000000000001</v>
      </c>
      <c r="AV7" s="201">
        <v>119</v>
      </c>
      <c r="AW7" s="5">
        <v>2.9</v>
      </c>
      <c r="AX7" s="201">
        <v>94</v>
      </c>
      <c r="AY7" s="409">
        <f>AS7*AT7</f>
        <v>164.70000000000002</v>
      </c>
      <c r="AZ7" s="409">
        <f>AU7*AV7</f>
        <v>130.9</v>
      </c>
      <c r="BA7" s="409">
        <f>AW7*AX7</f>
        <v>272.59999999999997</v>
      </c>
      <c r="BB7" s="21">
        <f>AY7-AY6</f>
        <v>0</v>
      </c>
      <c r="BC7" s="21">
        <f t="shared" ref="BC7:BD21" si="30">AZ7-AZ6</f>
        <v>-3.3000000000000114</v>
      </c>
      <c r="BD7" s="21">
        <f t="shared" si="30"/>
        <v>-8.7000000000000455</v>
      </c>
      <c r="BE7" s="24">
        <f t="shared" ref="BE7:BE33" si="31">SUM(BB7:BD7)</f>
        <v>-12.000000000000057</v>
      </c>
      <c r="BF7" s="96">
        <f t="shared" ref="BF7:BF33" si="32">SUM(I7-BE7)</f>
        <v>12.000000000000057</v>
      </c>
      <c r="BG7" s="82">
        <f t="shared" si="4"/>
        <v>-12.000000000000057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44623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627273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7021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154864</v>
      </c>
      <c r="Y8" s="309">
        <f>SUM(X8-X7)</f>
        <v>0</v>
      </c>
      <c r="Z8" s="5">
        <f t="shared" si="17"/>
        <v>99301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16.5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44623</v>
      </c>
      <c r="AS8" s="407">
        <f t="shared" si="29"/>
        <v>0.9</v>
      </c>
      <c r="AT8" s="201">
        <f t="shared" si="29"/>
        <v>183</v>
      </c>
      <c r="AU8" s="408">
        <v>1.1000000000000001</v>
      </c>
      <c r="AV8" s="201">
        <v>118</v>
      </c>
      <c r="AW8" s="5">
        <v>2.9</v>
      </c>
      <c r="AX8" s="201">
        <v>92</v>
      </c>
      <c r="AY8" s="409">
        <f t="shared" ref="AY8:AY33" si="35">AS8*AT8</f>
        <v>164.70000000000002</v>
      </c>
      <c r="AZ8" s="409">
        <f t="shared" ref="AZ8:AZ33" si="36">AU8*AV8</f>
        <v>129.80000000000001</v>
      </c>
      <c r="BA8" s="409">
        <f t="shared" ref="BA8:BA33" si="37">AW8*AX8</f>
        <v>266.8</v>
      </c>
      <c r="BB8" s="21">
        <f t="shared" ref="BB8:BB19" si="38">AY8-AY7</f>
        <v>0</v>
      </c>
      <c r="BC8" s="21">
        <f t="shared" si="30"/>
        <v>-1.0999999999999943</v>
      </c>
      <c r="BD8" s="21">
        <f t="shared" si="30"/>
        <v>-5.7999999999999545</v>
      </c>
      <c r="BE8" s="24">
        <f t="shared" si="31"/>
        <v>-6.8999999999999488</v>
      </c>
      <c r="BF8" s="96">
        <f t="shared" si="32"/>
        <v>6.8999999999999488</v>
      </c>
      <c r="BG8" s="82">
        <f t="shared" si="4"/>
        <v>-6.8999999999999488</v>
      </c>
      <c r="BI8" s="86"/>
      <c r="BJ8" s="17"/>
      <c r="BK8" s="17"/>
    </row>
    <row r="9" spans="1:65" ht="15.75" thickBot="1">
      <c r="A9" s="6">
        <f>ELEC!C7</f>
        <v>44624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627273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7021</v>
      </c>
      <c r="L9" s="83">
        <f t="shared" ref="L9:L33" si="39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154864</v>
      </c>
      <c r="Y9" s="309">
        <f t="shared" ref="Y9:Y33" si="40">SUM(X9-X8)</f>
        <v>0</v>
      </c>
      <c r="Z9" s="5">
        <f t="shared" si="17"/>
        <v>99301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44624</v>
      </c>
      <c r="AS9" s="407">
        <f t="shared" si="29"/>
        <v>0.9</v>
      </c>
      <c r="AT9" s="201">
        <f t="shared" si="29"/>
        <v>183</v>
      </c>
      <c r="AU9" s="408">
        <f t="shared" ref="AU9:AU36" si="41">AU8</f>
        <v>1.1000000000000001</v>
      </c>
      <c r="AV9" s="201">
        <f t="shared" ref="AV9:AV36" si="42">AV8</f>
        <v>118</v>
      </c>
      <c r="AW9" s="5">
        <v>2.9</v>
      </c>
      <c r="AX9" s="201">
        <f t="shared" ref="AX9:AX36" si="43">AX8</f>
        <v>92</v>
      </c>
      <c r="AY9" s="409">
        <f t="shared" si="35"/>
        <v>164.70000000000002</v>
      </c>
      <c r="AZ9" s="409">
        <f t="shared" si="36"/>
        <v>129.80000000000001</v>
      </c>
      <c r="BA9" s="409">
        <f t="shared" si="37"/>
        <v>266.8</v>
      </c>
      <c r="BB9" s="21">
        <f t="shared" si="38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44625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627273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7021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154864</v>
      </c>
      <c r="Y10" s="309">
        <f t="shared" si="40"/>
        <v>0</v>
      </c>
      <c r="Z10" s="5">
        <f t="shared" si="17"/>
        <v>99301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44625</v>
      </c>
      <c r="AS10" s="407">
        <f t="shared" si="29"/>
        <v>0.9</v>
      </c>
      <c r="AT10" s="201">
        <f t="shared" si="29"/>
        <v>183</v>
      </c>
      <c r="AU10" s="408">
        <f t="shared" si="41"/>
        <v>1.1000000000000001</v>
      </c>
      <c r="AV10" s="201">
        <f t="shared" si="42"/>
        <v>118</v>
      </c>
      <c r="AW10" s="5">
        <v>2.9</v>
      </c>
      <c r="AX10" s="201">
        <f t="shared" si="43"/>
        <v>92</v>
      </c>
      <c r="AY10" s="409">
        <f t="shared" si="35"/>
        <v>164.70000000000002</v>
      </c>
      <c r="AZ10" s="409">
        <f t="shared" si="36"/>
        <v>129.80000000000001</v>
      </c>
      <c r="BA10" s="409">
        <f t="shared" si="37"/>
        <v>266.8</v>
      </c>
      <c r="BB10" s="21">
        <f t="shared" si="38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44626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627273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7022</v>
      </c>
      <c r="L11" s="83">
        <f t="shared" si="39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154864</v>
      </c>
      <c r="Y11" s="309">
        <f t="shared" si="40"/>
        <v>0</v>
      </c>
      <c r="Z11" s="5">
        <f t="shared" si="17"/>
        <v>99301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17.5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44626</v>
      </c>
      <c r="AS11" s="407">
        <f t="shared" si="29"/>
        <v>0.9</v>
      </c>
      <c r="AT11" s="201">
        <f t="shared" si="29"/>
        <v>183</v>
      </c>
      <c r="AU11" s="408">
        <f t="shared" si="41"/>
        <v>1.1000000000000001</v>
      </c>
      <c r="AV11" s="201">
        <v>116</v>
      </c>
      <c r="AW11" s="5">
        <v>2.9</v>
      </c>
      <c r="AX11" s="201">
        <v>89</v>
      </c>
      <c r="AY11" s="409">
        <f t="shared" si="35"/>
        <v>164.70000000000002</v>
      </c>
      <c r="AZ11" s="409">
        <f t="shared" si="36"/>
        <v>127.60000000000001</v>
      </c>
      <c r="BA11" s="409">
        <f t="shared" si="37"/>
        <v>258.09999999999997</v>
      </c>
      <c r="BB11" s="21">
        <f t="shared" si="38"/>
        <v>0</v>
      </c>
      <c r="BC11" s="21">
        <f t="shared" si="30"/>
        <v>-2.2000000000000028</v>
      </c>
      <c r="BD11" s="21">
        <f t="shared" si="30"/>
        <v>-8.7000000000000455</v>
      </c>
      <c r="BE11" s="24">
        <f t="shared" si="31"/>
        <v>-10.900000000000048</v>
      </c>
      <c r="BF11" s="96">
        <f t="shared" si="32"/>
        <v>10.900000000000048</v>
      </c>
      <c r="BG11" s="82">
        <f t="shared" si="4"/>
        <v>-10.900000000000048</v>
      </c>
    </row>
    <row r="12" spans="1:65" ht="15.75" thickBot="1">
      <c r="A12" s="6">
        <f>ELEC!C10</f>
        <v>44627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627273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7022</v>
      </c>
      <c r="L12" s="83">
        <f t="shared" si="39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154864</v>
      </c>
      <c r="Y12" s="309">
        <f t="shared" si="40"/>
        <v>0</v>
      </c>
      <c r="Z12" s="5">
        <f t="shared" si="17"/>
        <v>99301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44627</v>
      </c>
      <c r="AS12" s="407">
        <f t="shared" si="29"/>
        <v>0.9</v>
      </c>
      <c r="AT12" s="201">
        <f t="shared" si="29"/>
        <v>183</v>
      </c>
      <c r="AU12" s="408">
        <f t="shared" si="41"/>
        <v>1.1000000000000001</v>
      </c>
      <c r="AV12" s="201">
        <f t="shared" si="42"/>
        <v>116</v>
      </c>
      <c r="AW12" s="5">
        <v>2.9</v>
      </c>
      <c r="AX12" s="201">
        <f t="shared" si="43"/>
        <v>89</v>
      </c>
      <c r="AY12" s="409">
        <f t="shared" si="35"/>
        <v>164.70000000000002</v>
      </c>
      <c r="AZ12" s="409">
        <f t="shared" si="36"/>
        <v>127.60000000000001</v>
      </c>
      <c r="BA12" s="409">
        <f t="shared" si="37"/>
        <v>258.09999999999997</v>
      </c>
      <c r="BB12" s="21">
        <f t="shared" si="38"/>
        <v>0</v>
      </c>
      <c r="BC12" s="21">
        <f t="shared" si="30"/>
        <v>0</v>
      </c>
      <c r="BD12" s="21">
        <f t="shared" si="30"/>
        <v>0</v>
      </c>
      <c r="BE12" s="24">
        <f t="shared" si="31"/>
        <v>0</v>
      </c>
      <c r="BF12" s="96">
        <f t="shared" si="32"/>
        <v>0</v>
      </c>
      <c r="BG12" s="82">
        <f t="shared" si="4"/>
        <v>0</v>
      </c>
    </row>
    <row r="13" spans="1:65" ht="15.75" thickBot="1">
      <c r="A13" s="6">
        <f>ELEC!C11</f>
        <v>44628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627273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7022</v>
      </c>
      <c r="L13" s="83">
        <f t="shared" si="39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154864</v>
      </c>
      <c r="Y13" s="309">
        <f t="shared" si="40"/>
        <v>0</v>
      </c>
      <c r="Z13" s="5">
        <f t="shared" si="17"/>
        <v>99301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44628</v>
      </c>
      <c r="AS13" s="407">
        <f t="shared" si="29"/>
        <v>0.9</v>
      </c>
      <c r="AT13" s="201">
        <f t="shared" si="29"/>
        <v>183</v>
      </c>
      <c r="AU13" s="408">
        <f t="shared" si="41"/>
        <v>1.1000000000000001</v>
      </c>
      <c r="AV13" s="201">
        <f t="shared" si="42"/>
        <v>116</v>
      </c>
      <c r="AW13" s="5">
        <v>2.9</v>
      </c>
      <c r="AX13" s="201">
        <f t="shared" si="43"/>
        <v>89</v>
      </c>
      <c r="AY13" s="409">
        <f t="shared" si="35"/>
        <v>164.70000000000002</v>
      </c>
      <c r="AZ13" s="409">
        <f t="shared" si="36"/>
        <v>127.60000000000001</v>
      </c>
      <c r="BA13" s="409">
        <f t="shared" si="37"/>
        <v>258.09999999999997</v>
      </c>
      <c r="BB13" s="21">
        <f t="shared" si="38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44629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627273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7022</v>
      </c>
      <c r="L14" s="83">
        <f t="shared" si="39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154864</v>
      </c>
      <c r="Y14" s="309">
        <f t="shared" si="40"/>
        <v>0</v>
      </c>
      <c r="Z14" s="5">
        <f t="shared" si="17"/>
        <v>99301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44629</v>
      </c>
      <c r="AS14" s="407">
        <f t="shared" si="29"/>
        <v>0.9</v>
      </c>
      <c r="AT14" s="201">
        <f t="shared" si="29"/>
        <v>183</v>
      </c>
      <c r="AU14" s="408">
        <f t="shared" si="41"/>
        <v>1.1000000000000001</v>
      </c>
      <c r="AV14" s="201">
        <f t="shared" si="42"/>
        <v>116</v>
      </c>
      <c r="AW14" s="5">
        <v>2.9</v>
      </c>
      <c r="AX14" s="201">
        <f t="shared" si="43"/>
        <v>89</v>
      </c>
      <c r="AY14" s="409">
        <f t="shared" si="35"/>
        <v>164.70000000000002</v>
      </c>
      <c r="AZ14" s="409">
        <f t="shared" si="36"/>
        <v>127.60000000000001</v>
      </c>
      <c r="BA14" s="409">
        <f t="shared" si="37"/>
        <v>258.09999999999997</v>
      </c>
      <c r="BB14" s="21">
        <f t="shared" si="38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32"/>
        <v>0</v>
      </c>
      <c r="BG14" s="82">
        <f t="shared" si="4"/>
        <v>0</v>
      </c>
    </row>
    <row r="15" spans="1:65" ht="16.5" customHeight="1" thickBot="1">
      <c r="A15" s="6">
        <f>ELEC!C13</f>
        <v>44630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627273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7022</v>
      </c>
      <c r="L15" s="83">
        <f t="shared" si="39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154864</v>
      </c>
      <c r="Y15" s="309">
        <f t="shared" si="40"/>
        <v>0</v>
      </c>
      <c r="Z15" s="5">
        <f t="shared" si="17"/>
        <v>99301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44630</v>
      </c>
      <c r="AS15" s="407">
        <f t="shared" si="29"/>
        <v>0.9</v>
      </c>
      <c r="AT15" s="201">
        <f t="shared" si="29"/>
        <v>183</v>
      </c>
      <c r="AU15" s="408">
        <f t="shared" si="41"/>
        <v>1.1000000000000001</v>
      </c>
      <c r="AV15" s="201">
        <f t="shared" si="42"/>
        <v>116</v>
      </c>
      <c r="AW15" s="5">
        <v>2.9</v>
      </c>
      <c r="AX15" s="201">
        <f t="shared" si="43"/>
        <v>89</v>
      </c>
      <c r="AY15" s="409">
        <f t="shared" si="35"/>
        <v>164.70000000000002</v>
      </c>
      <c r="AZ15" s="409">
        <f t="shared" si="36"/>
        <v>127.60000000000001</v>
      </c>
      <c r="BA15" s="409">
        <f t="shared" si="37"/>
        <v>258.09999999999997</v>
      </c>
      <c r="BB15" s="21">
        <f t="shared" si="38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32"/>
        <v>0</v>
      </c>
      <c r="BG15" s="82">
        <f t="shared" si="4"/>
        <v>0</v>
      </c>
    </row>
    <row r="16" spans="1:65" ht="15.75" thickBot="1">
      <c r="A16" s="6">
        <f>ELEC!C14</f>
        <v>44631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627273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7022</v>
      </c>
      <c r="L16" s="263">
        <f t="shared" si="39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154864</v>
      </c>
      <c r="Y16" s="309">
        <f t="shared" si="40"/>
        <v>0</v>
      </c>
      <c r="Z16" s="5">
        <f t="shared" si="17"/>
        <v>99301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44631</v>
      </c>
      <c r="AS16" s="407">
        <f t="shared" si="29"/>
        <v>0.9</v>
      </c>
      <c r="AT16" s="201">
        <f t="shared" si="29"/>
        <v>183</v>
      </c>
      <c r="AU16" s="408">
        <f t="shared" si="41"/>
        <v>1.1000000000000001</v>
      </c>
      <c r="AV16" s="201">
        <f t="shared" si="42"/>
        <v>116</v>
      </c>
      <c r="AW16" s="5">
        <v>2.9</v>
      </c>
      <c r="AX16" s="201">
        <f t="shared" si="43"/>
        <v>89</v>
      </c>
      <c r="AY16" s="409">
        <f t="shared" si="35"/>
        <v>164.70000000000002</v>
      </c>
      <c r="AZ16" s="409">
        <f t="shared" si="36"/>
        <v>127.60000000000001</v>
      </c>
      <c r="BA16" s="409">
        <f t="shared" si="37"/>
        <v>258.09999999999997</v>
      </c>
      <c r="BB16" s="21">
        <f t="shared" si="38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44632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627273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7022</v>
      </c>
      <c r="L17" s="83">
        <f t="shared" si="39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154864</v>
      </c>
      <c r="Y17" s="309">
        <f t="shared" si="40"/>
        <v>0</v>
      </c>
      <c r="Z17" s="5">
        <f t="shared" si="17"/>
        <v>99301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44632</v>
      </c>
      <c r="AS17" s="407">
        <f t="shared" si="29"/>
        <v>0.9</v>
      </c>
      <c r="AT17" s="201">
        <f t="shared" si="29"/>
        <v>183</v>
      </c>
      <c r="AU17" s="408">
        <f t="shared" si="41"/>
        <v>1.1000000000000001</v>
      </c>
      <c r="AV17" s="201">
        <f t="shared" si="42"/>
        <v>116</v>
      </c>
      <c r="AW17" s="5">
        <v>2.9</v>
      </c>
      <c r="AX17" s="201">
        <f t="shared" si="43"/>
        <v>89</v>
      </c>
      <c r="AY17" s="409">
        <f t="shared" si="35"/>
        <v>164.70000000000002</v>
      </c>
      <c r="AZ17" s="409">
        <f t="shared" si="36"/>
        <v>127.60000000000001</v>
      </c>
      <c r="BA17" s="409">
        <f t="shared" si="37"/>
        <v>258.09999999999997</v>
      </c>
      <c r="BB17" s="21">
        <f t="shared" si="38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44633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627273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7022</v>
      </c>
      <c r="L18" s="83">
        <f t="shared" si="39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154864</v>
      </c>
      <c r="Y18" s="309">
        <f t="shared" si="40"/>
        <v>0</v>
      </c>
      <c r="Z18" s="5">
        <f t="shared" si="17"/>
        <v>99301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44633</v>
      </c>
      <c r="AS18" s="407">
        <f t="shared" si="29"/>
        <v>0.9</v>
      </c>
      <c r="AT18" s="201">
        <f t="shared" si="29"/>
        <v>183</v>
      </c>
      <c r="AU18" s="408">
        <f t="shared" si="41"/>
        <v>1.1000000000000001</v>
      </c>
      <c r="AV18" s="201">
        <f t="shared" si="42"/>
        <v>116</v>
      </c>
      <c r="AW18" s="5">
        <v>2.9</v>
      </c>
      <c r="AX18" s="201">
        <f t="shared" si="43"/>
        <v>89</v>
      </c>
      <c r="AY18" s="409">
        <f t="shared" si="35"/>
        <v>164.70000000000002</v>
      </c>
      <c r="AZ18" s="409">
        <f t="shared" si="36"/>
        <v>127.60000000000001</v>
      </c>
      <c r="BA18" s="409">
        <f t="shared" si="37"/>
        <v>258.09999999999997</v>
      </c>
      <c r="BB18" s="21">
        <f t="shared" si="38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32"/>
        <v>0</v>
      </c>
      <c r="BG18" s="82">
        <f t="shared" si="4"/>
        <v>0</v>
      </c>
    </row>
    <row r="19" spans="1:61" ht="15.75" thickBot="1">
      <c r="A19" s="6">
        <f>ELEC!C17</f>
        <v>44634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627273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7022</v>
      </c>
      <c r="L19" s="83">
        <f t="shared" si="39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154864</v>
      </c>
      <c r="Y19" s="309">
        <f t="shared" si="40"/>
        <v>0</v>
      </c>
      <c r="Z19" s="5">
        <f t="shared" si="17"/>
        <v>99301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44634</v>
      </c>
      <c r="AS19" s="407">
        <f t="shared" si="29"/>
        <v>0.9</v>
      </c>
      <c r="AT19" s="201">
        <f t="shared" si="29"/>
        <v>183</v>
      </c>
      <c r="AU19" s="408">
        <f t="shared" si="41"/>
        <v>1.1000000000000001</v>
      </c>
      <c r="AV19" s="201">
        <f t="shared" si="42"/>
        <v>116</v>
      </c>
      <c r="AW19" s="5">
        <v>2.9</v>
      </c>
      <c r="AX19" s="201">
        <f t="shared" si="43"/>
        <v>89</v>
      </c>
      <c r="AY19" s="409">
        <f>AS19*AT19</f>
        <v>164.70000000000002</v>
      </c>
      <c r="AZ19" s="409">
        <f>AU19*AV19</f>
        <v>127.60000000000001</v>
      </c>
      <c r="BA19" s="409">
        <f>AW19*AX19</f>
        <v>258.09999999999997</v>
      </c>
      <c r="BB19" s="21">
        <f t="shared" si="38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2"/>
        <v>0</v>
      </c>
      <c r="BG19" s="82">
        <f t="shared" si="4"/>
        <v>0</v>
      </c>
    </row>
    <row r="20" spans="1:61" ht="15.75" thickBot="1">
      <c r="A20" s="6">
        <f>ELEC!C18</f>
        <v>44635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627273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7022</v>
      </c>
      <c r="L20" s="83">
        <f t="shared" si="39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154864</v>
      </c>
      <c r="Y20" s="309">
        <f t="shared" si="40"/>
        <v>0</v>
      </c>
      <c r="Z20" s="5">
        <f t="shared" si="17"/>
        <v>99301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44635</v>
      </c>
      <c r="AS20" s="407">
        <f t="shared" si="29"/>
        <v>0.9</v>
      </c>
      <c r="AT20" s="201">
        <f t="shared" si="29"/>
        <v>183</v>
      </c>
      <c r="AU20" s="408">
        <f t="shared" si="41"/>
        <v>1.1000000000000001</v>
      </c>
      <c r="AV20" s="201">
        <f t="shared" si="42"/>
        <v>116</v>
      </c>
      <c r="AW20" s="5">
        <v>2.9</v>
      </c>
      <c r="AX20" s="201">
        <f t="shared" si="43"/>
        <v>89</v>
      </c>
      <c r="AY20" s="409">
        <f>AS20*AT20</f>
        <v>164.70000000000002</v>
      </c>
      <c r="AZ20" s="409">
        <f>AU20*AV20</f>
        <v>127.60000000000001</v>
      </c>
      <c r="BA20" s="409">
        <f>AW20*AX20</f>
        <v>258.09999999999997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44636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627273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7022</v>
      </c>
      <c r="L21" s="83">
        <f t="shared" si="39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154864</v>
      </c>
      <c r="Y21" s="309">
        <f>SUM(X21-X20)</f>
        <v>0</v>
      </c>
      <c r="Z21" s="5">
        <f t="shared" si="17"/>
        <v>99301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44636</v>
      </c>
      <c r="AS21" s="407">
        <f t="shared" si="29"/>
        <v>0.9</v>
      </c>
      <c r="AT21" s="201">
        <f t="shared" si="29"/>
        <v>183</v>
      </c>
      <c r="AU21" s="408">
        <f t="shared" si="41"/>
        <v>1.1000000000000001</v>
      </c>
      <c r="AV21" s="201">
        <f t="shared" si="42"/>
        <v>116</v>
      </c>
      <c r="AW21" s="5">
        <v>2.9</v>
      </c>
      <c r="AX21" s="201">
        <f t="shared" si="43"/>
        <v>89</v>
      </c>
      <c r="AY21" s="409">
        <f>AS21*AT21</f>
        <v>164.70000000000002</v>
      </c>
      <c r="AZ21" s="409">
        <f>AU21*AV21</f>
        <v>127.60000000000001</v>
      </c>
      <c r="BA21" s="409">
        <f>AW21*AX21</f>
        <v>258.09999999999997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44637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627273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7022</v>
      </c>
      <c r="L22" s="83">
        <f t="shared" si="39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154864</v>
      </c>
      <c r="Y22" s="309">
        <f t="shared" si="40"/>
        <v>0</v>
      </c>
      <c r="Z22" s="5">
        <f t="shared" si="17"/>
        <v>99301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44637</v>
      </c>
      <c r="AS22" s="407">
        <f t="shared" ref="AS22:AT33" si="49">AS21</f>
        <v>0.9</v>
      </c>
      <c r="AT22" s="201">
        <f t="shared" si="49"/>
        <v>183</v>
      </c>
      <c r="AU22" s="408">
        <f t="shared" si="41"/>
        <v>1.1000000000000001</v>
      </c>
      <c r="AV22" s="201">
        <f t="shared" si="42"/>
        <v>116</v>
      </c>
      <c r="AW22" s="5">
        <v>2.9</v>
      </c>
      <c r="AX22" s="201">
        <f t="shared" si="43"/>
        <v>89</v>
      </c>
      <c r="AY22" s="409">
        <f t="shared" si="35"/>
        <v>164.70000000000002</v>
      </c>
      <c r="AZ22" s="409">
        <f t="shared" si="36"/>
        <v>127.60000000000001</v>
      </c>
      <c r="BA22" s="409">
        <f t="shared" si="37"/>
        <v>258.09999999999997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44638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627273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7022</v>
      </c>
      <c r="L23" s="263">
        <f t="shared" si="39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154864</v>
      </c>
      <c r="Y23" s="309">
        <f t="shared" si="40"/>
        <v>0</v>
      </c>
      <c r="Z23" s="5">
        <f t="shared" si="17"/>
        <v>99301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44638</v>
      </c>
      <c r="AS23" s="407">
        <f t="shared" si="49"/>
        <v>0.9</v>
      </c>
      <c r="AT23" s="201">
        <f t="shared" si="49"/>
        <v>183</v>
      </c>
      <c r="AU23" s="408">
        <f t="shared" si="41"/>
        <v>1.1000000000000001</v>
      </c>
      <c r="AV23" s="201">
        <f t="shared" si="42"/>
        <v>116</v>
      </c>
      <c r="AW23" s="5">
        <v>2.9</v>
      </c>
      <c r="AX23" s="201">
        <f t="shared" si="43"/>
        <v>89</v>
      </c>
      <c r="AY23" s="409">
        <f t="shared" si="35"/>
        <v>164.70000000000002</v>
      </c>
      <c r="AZ23" s="409">
        <f t="shared" si="36"/>
        <v>127.60000000000001</v>
      </c>
      <c r="BA23" s="409">
        <f t="shared" si="37"/>
        <v>258.09999999999997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44639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627273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7022</v>
      </c>
      <c r="L24" s="263">
        <f t="shared" si="39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154864</v>
      </c>
      <c r="Y24" s="309">
        <f t="shared" si="40"/>
        <v>0</v>
      </c>
      <c r="Z24" s="5">
        <f t="shared" si="17"/>
        <v>99301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44639</v>
      </c>
      <c r="AS24" s="407">
        <f t="shared" si="49"/>
        <v>0.9</v>
      </c>
      <c r="AT24" s="201">
        <f t="shared" si="49"/>
        <v>183</v>
      </c>
      <c r="AU24" s="408">
        <f t="shared" si="41"/>
        <v>1.1000000000000001</v>
      </c>
      <c r="AV24" s="201">
        <f t="shared" si="42"/>
        <v>116</v>
      </c>
      <c r="AW24" s="5">
        <v>2.9</v>
      </c>
      <c r="AX24" s="201">
        <f t="shared" si="43"/>
        <v>89</v>
      </c>
      <c r="AY24" s="409">
        <f t="shared" si="35"/>
        <v>164.70000000000002</v>
      </c>
      <c r="AZ24" s="409">
        <f t="shared" si="36"/>
        <v>127.60000000000001</v>
      </c>
      <c r="BA24" s="409">
        <f t="shared" si="37"/>
        <v>258.09999999999997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44640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627273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7022</v>
      </c>
      <c r="L25" s="263">
        <f t="shared" si="39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154864</v>
      </c>
      <c r="Y25" s="309">
        <f t="shared" si="40"/>
        <v>0</v>
      </c>
      <c r="Z25" s="5">
        <f t="shared" si="17"/>
        <v>99301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44640</v>
      </c>
      <c r="AS25" s="407">
        <f t="shared" si="49"/>
        <v>0.9</v>
      </c>
      <c r="AT25" s="201">
        <f t="shared" si="49"/>
        <v>183</v>
      </c>
      <c r="AU25" s="408">
        <f t="shared" si="41"/>
        <v>1.1000000000000001</v>
      </c>
      <c r="AV25" s="201">
        <f t="shared" si="42"/>
        <v>116</v>
      </c>
      <c r="AW25" s="5">
        <v>2.9</v>
      </c>
      <c r="AX25" s="201">
        <f t="shared" si="43"/>
        <v>89</v>
      </c>
      <c r="AY25" s="409">
        <f t="shared" si="35"/>
        <v>164.70000000000002</v>
      </c>
      <c r="AZ25" s="409">
        <f t="shared" si="36"/>
        <v>127.60000000000001</v>
      </c>
      <c r="BA25" s="409">
        <f t="shared" si="37"/>
        <v>258.09999999999997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44641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627273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7022</v>
      </c>
      <c r="L26" s="263">
        <f t="shared" si="39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154864</v>
      </c>
      <c r="Y26" s="309">
        <f t="shared" si="40"/>
        <v>0</v>
      </c>
      <c r="Z26" s="5">
        <v>99301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44641</v>
      </c>
      <c r="AS26" s="407">
        <f t="shared" si="49"/>
        <v>0.9</v>
      </c>
      <c r="AT26" s="201">
        <f t="shared" si="49"/>
        <v>183</v>
      </c>
      <c r="AU26" s="408">
        <f t="shared" si="41"/>
        <v>1.1000000000000001</v>
      </c>
      <c r="AV26" s="201">
        <f t="shared" si="42"/>
        <v>116</v>
      </c>
      <c r="AW26" s="5">
        <v>2.9</v>
      </c>
      <c r="AX26" s="201">
        <f t="shared" si="43"/>
        <v>89</v>
      </c>
      <c r="AY26" s="409">
        <f t="shared" si="35"/>
        <v>164.70000000000002</v>
      </c>
      <c r="AZ26" s="409">
        <f t="shared" si="36"/>
        <v>127.60000000000001</v>
      </c>
      <c r="BA26" s="409">
        <f t="shared" si="37"/>
        <v>258.09999999999997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44642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627273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7022</v>
      </c>
      <c r="L27" s="263">
        <f t="shared" si="39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478</v>
      </c>
      <c r="W27" s="309">
        <f t="shared" si="15"/>
        <v>0</v>
      </c>
      <c r="X27" s="5">
        <f t="shared" si="16"/>
        <v>154864</v>
      </c>
      <c r="Y27" s="309">
        <f t="shared" si="40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44642</v>
      </c>
      <c r="AS27" s="407">
        <f t="shared" si="49"/>
        <v>0.9</v>
      </c>
      <c r="AT27" s="201">
        <f t="shared" si="49"/>
        <v>183</v>
      </c>
      <c r="AU27" s="408">
        <f t="shared" si="41"/>
        <v>1.1000000000000001</v>
      </c>
      <c r="AV27" s="201">
        <f t="shared" si="42"/>
        <v>116</v>
      </c>
      <c r="AW27" s="5">
        <v>2.9</v>
      </c>
      <c r="AX27" s="201">
        <f t="shared" si="43"/>
        <v>89</v>
      </c>
      <c r="AY27" s="409">
        <f t="shared" si="35"/>
        <v>164.70000000000002</v>
      </c>
      <c r="AZ27" s="409">
        <f t="shared" si="36"/>
        <v>127.60000000000001</v>
      </c>
      <c r="BA27" s="409">
        <f t="shared" si="37"/>
        <v>258.09999999999997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44643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627273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7022</v>
      </c>
      <c r="L28" s="263">
        <f t="shared" si="39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154864</v>
      </c>
      <c r="Y28" s="309">
        <f t="shared" si="40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44643</v>
      </c>
      <c r="AS28" s="407">
        <f t="shared" si="49"/>
        <v>0.9</v>
      </c>
      <c r="AT28" s="201">
        <f t="shared" si="49"/>
        <v>183</v>
      </c>
      <c r="AU28" s="408">
        <f t="shared" si="41"/>
        <v>1.1000000000000001</v>
      </c>
      <c r="AV28" s="201">
        <f t="shared" si="42"/>
        <v>116</v>
      </c>
      <c r="AW28" s="5">
        <v>2.9</v>
      </c>
      <c r="AX28" s="201">
        <f t="shared" si="43"/>
        <v>89</v>
      </c>
      <c r="AY28" s="409">
        <f t="shared" si="35"/>
        <v>164.70000000000002</v>
      </c>
      <c r="AZ28" s="409">
        <f t="shared" si="36"/>
        <v>127.60000000000001</v>
      </c>
      <c r="BA28" s="409">
        <f t="shared" si="37"/>
        <v>258.09999999999997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44644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627273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7022</v>
      </c>
      <c r="L29" s="263">
        <f t="shared" si="39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154864</v>
      </c>
      <c r="Y29" s="309">
        <f t="shared" si="40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44644</v>
      </c>
      <c r="AS29" s="407">
        <f t="shared" si="49"/>
        <v>0.9</v>
      </c>
      <c r="AT29" s="201">
        <f t="shared" si="49"/>
        <v>183</v>
      </c>
      <c r="AU29" s="408">
        <f t="shared" si="41"/>
        <v>1.1000000000000001</v>
      </c>
      <c r="AV29" s="201">
        <f t="shared" si="42"/>
        <v>116</v>
      </c>
      <c r="AW29" s="5">
        <v>2.9</v>
      </c>
      <c r="AX29" s="201">
        <f t="shared" si="43"/>
        <v>89</v>
      </c>
      <c r="AY29" s="409">
        <f t="shared" si="35"/>
        <v>164.70000000000002</v>
      </c>
      <c r="AZ29" s="409">
        <f t="shared" si="36"/>
        <v>127.60000000000001</v>
      </c>
      <c r="BA29" s="409">
        <f t="shared" si="37"/>
        <v>258.09999999999997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44645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627273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7022</v>
      </c>
      <c r="L30" s="263">
        <f t="shared" si="39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154864</v>
      </c>
      <c r="Y30" s="309">
        <f t="shared" si="40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44645</v>
      </c>
      <c r="AS30" s="407">
        <f t="shared" si="49"/>
        <v>0.9</v>
      </c>
      <c r="AT30" s="201">
        <f t="shared" si="49"/>
        <v>183</v>
      </c>
      <c r="AU30" s="408">
        <f t="shared" si="41"/>
        <v>1.1000000000000001</v>
      </c>
      <c r="AV30" s="201">
        <f t="shared" si="42"/>
        <v>116</v>
      </c>
      <c r="AW30" s="5">
        <v>2.9</v>
      </c>
      <c r="AX30" s="201">
        <f t="shared" si="43"/>
        <v>89</v>
      </c>
      <c r="AY30" s="409">
        <f t="shared" si="35"/>
        <v>164.70000000000002</v>
      </c>
      <c r="AZ30" s="409">
        <f t="shared" si="36"/>
        <v>127.60000000000001</v>
      </c>
      <c r="BA30" s="409">
        <f t="shared" si="37"/>
        <v>258.09999999999997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44646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627273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7022</v>
      </c>
      <c r="L31" s="263">
        <f t="shared" si="39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154864</v>
      </c>
      <c r="Y31" s="309">
        <f t="shared" si="40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44646</v>
      </c>
      <c r="AS31" s="407">
        <f t="shared" si="49"/>
        <v>0.9</v>
      </c>
      <c r="AT31" s="201">
        <f t="shared" si="49"/>
        <v>183</v>
      </c>
      <c r="AU31" s="408">
        <f t="shared" si="41"/>
        <v>1.1000000000000001</v>
      </c>
      <c r="AV31" s="201">
        <f t="shared" si="42"/>
        <v>116</v>
      </c>
      <c r="AW31" s="5">
        <v>2.9</v>
      </c>
      <c r="AX31" s="201">
        <f t="shared" si="43"/>
        <v>89</v>
      </c>
      <c r="AY31" s="409">
        <f t="shared" si="35"/>
        <v>164.70000000000002</v>
      </c>
      <c r="AZ31" s="409">
        <f>AU31*AV31</f>
        <v>127.60000000000001</v>
      </c>
      <c r="BA31" s="409">
        <f t="shared" si="37"/>
        <v>258.09999999999997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44647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627273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7022</v>
      </c>
      <c r="L32" s="263">
        <f t="shared" si="39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154864</v>
      </c>
      <c r="Y32" s="309">
        <f t="shared" si="40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44647</v>
      </c>
      <c r="AS32" s="407">
        <f t="shared" si="49"/>
        <v>0.9</v>
      </c>
      <c r="AT32" s="201">
        <f t="shared" si="49"/>
        <v>183</v>
      </c>
      <c r="AU32" s="408">
        <f t="shared" si="41"/>
        <v>1.1000000000000001</v>
      </c>
      <c r="AV32" s="201">
        <f t="shared" si="42"/>
        <v>116</v>
      </c>
      <c r="AW32" s="5">
        <v>2.9</v>
      </c>
      <c r="AX32" s="201">
        <f t="shared" si="43"/>
        <v>89</v>
      </c>
      <c r="AY32" s="409">
        <f t="shared" si="35"/>
        <v>164.70000000000002</v>
      </c>
      <c r="AZ32" s="409">
        <f t="shared" si="36"/>
        <v>127.60000000000001</v>
      </c>
      <c r="BA32" s="409">
        <f t="shared" si="37"/>
        <v>258.09999999999997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44648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627273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7022</v>
      </c>
      <c r="L33" s="263">
        <f t="shared" si="39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154864</v>
      </c>
      <c r="Y33" s="309">
        <f t="shared" si="40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44648</v>
      </c>
      <c r="AS33" s="407">
        <f t="shared" si="49"/>
        <v>0.9</v>
      </c>
      <c r="AT33" s="201">
        <f t="shared" si="49"/>
        <v>183</v>
      </c>
      <c r="AU33" s="408">
        <f t="shared" si="41"/>
        <v>1.1000000000000001</v>
      </c>
      <c r="AV33" s="201">
        <f t="shared" si="42"/>
        <v>116</v>
      </c>
      <c r="AW33" s="5">
        <v>2.9</v>
      </c>
      <c r="AX33" s="201">
        <f t="shared" si="43"/>
        <v>89</v>
      </c>
      <c r="AY33" s="409">
        <f t="shared" si="35"/>
        <v>164.70000000000002</v>
      </c>
      <c r="AZ33" s="409">
        <f t="shared" si="36"/>
        <v>127.60000000000001</v>
      </c>
      <c r="BA33" s="409">
        <f t="shared" si="37"/>
        <v>258.09999999999997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44649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627273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7022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5181</v>
      </c>
      <c r="U34" s="5">
        <f t="shared" ref="U34:U36" si="59">SUM(T34-T33)</f>
        <v>0</v>
      </c>
      <c r="V34" s="5">
        <f t="shared" si="14"/>
        <v>478</v>
      </c>
      <c r="W34" s="309">
        <f t="shared" ref="W34:W36" si="60">+V34-V33</f>
        <v>0</v>
      </c>
      <c r="X34" s="5">
        <f t="shared" si="16"/>
        <v>154864</v>
      </c>
      <c r="Y34" s="309">
        <f t="shared" ref="Y34:Y36" si="61">SUM(X34-X33)</f>
        <v>0</v>
      </c>
      <c r="Z34" s="5">
        <f t="shared" si="17"/>
        <v>99301</v>
      </c>
      <c r="AA34" s="83">
        <f t="shared" ref="AA34:AA36" si="62">Z34-Z33</f>
        <v>0</v>
      </c>
      <c r="AB34" s="5">
        <f t="shared" si="19"/>
        <v>238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239.96</v>
      </c>
      <c r="AF34" s="83">
        <f t="shared" ref="AF34:AF36" si="64">AE34-AE33</f>
        <v>0</v>
      </c>
      <c r="AG34" s="5">
        <f t="shared" si="23"/>
        <v>2218.1999999999998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44649</v>
      </c>
      <c r="AS34" s="407">
        <f t="shared" ref="AS34:AT34" si="70">AS33</f>
        <v>0.9</v>
      </c>
      <c r="AT34" s="201">
        <f t="shared" si="70"/>
        <v>183</v>
      </c>
      <c r="AU34" s="408">
        <f t="shared" si="41"/>
        <v>1.1000000000000001</v>
      </c>
      <c r="AV34" s="201">
        <f t="shared" si="42"/>
        <v>116</v>
      </c>
      <c r="AW34" s="5">
        <v>2.9</v>
      </c>
      <c r="AX34" s="201">
        <f t="shared" si="43"/>
        <v>89</v>
      </c>
      <c r="AY34" s="409">
        <f t="shared" ref="AY34:AY36" si="71">AS34*AT34</f>
        <v>164.70000000000002</v>
      </c>
      <c r="AZ34" s="409">
        <f t="shared" ref="AZ34:AZ36" si="72">AU34*AV34</f>
        <v>127.60000000000001</v>
      </c>
      <c r="BA34" s="409">
        <f t="shared" ref="BA34:BA36" si="73">AW34*AX34</f>
        <v>258.09999999999997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44650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627273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7022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5181</v>
      </c>
      <c r="U35" s="5">
        <f t="shared" si="59"/>
        <v>0</v>
      </c>
      <c r="V35" s="5">
        <f t="shared" si="14"/>
        <v>478</v>
      </c>
      <c r="W35" s="309">
        <f t="shared" si="60"/>
        <v>0</v>
      </c>
      <c r="X35" s="5">
        <f t="shared" si="16"/>
        <v>154864</v>
      </c>
      <c r="Y35" s="309">
        <f t="shared" si="61"/>
        <v>0</v>
      </c>
      <c r="Z35" s="5">
        <f t="shared" si="17"/>
        <v>99301</v>
      </c>
      <c r="AA35" s="83">
        <f t="shared" si="62"/>
        <v>0</v>
      </c>
      <c r="AB35" s="5">
        <f t="shared" si="19"/>
        <v>238</v>
      </c>
      <c r="AC35" s="5">
        <f t="shared" si="20"/>
        <v>790</v>
      </c>
      <c r="AD35" s="83">
        <f t="shared" si="63"/>
        <v>0</v>
      </c>
      <c r="AE35" s="5">
        <f t="shared" si="21"/>
        <v>239.96</v>
      </c>
      <c r="AF35" s="83">
        <f t="shared" si="64"/>
        <v>0</v>
      </c>
      <c r="AG35" s="5">
        <f t="shared" si="23"/>
        <v>2218.1999999999998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44650</v>
      </c>
      <c r="AS35" s="407">
        <f t="shared" ref="AS35:AT35" si="81">AS34</f>
        <v>0.9</v>
      </c>
      <c r="AT35" s="201">
        <f t="shared" si="81"/>
        <v>183</v>
      </c>
      <c r="AU35" s="408">
        <f t="shared" si="41"/>
        <v>1.1000000000000001</v>
      </c>
      <c r="AV35" s="201">
        <f t="shared" si="42"/>
        <v>116</v>
      </c>
      <c r="AW35" s="5">
        <v>2.9</v>
      </c>
      <c r="AX35" s="201">
        <f t="shared" si="43"/>
        <v>89</v>
      </c>
      <c r="AY35" s="409">
        <f t="shared" si="71"/>
        <v>164.70000000000002</v>
      </c>
      <c r="AZ35" s="409">
        <f t="shared" si="72"/>
        <v>127.60000000000001</v>
      </c>
      <c r="BA35" s="409">
        <f t="shared" si="73"/>
        <v>258.09999999999997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44651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627273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7022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5181</v>
      </c>
      <c r="U36" s="5">
        <f t="shared" si="59"/>
        <v>0</v>
      </c>
      <c r="V36" s="5">
        <f t="shared" si="14"/>
        <v>478</v>
      </c>
      <c r="W36" s="309">
        <f t="shared" si="60"/>
        <v>0</v>
      </c>
      <c r="X36" s="5">
        <f t="shared" si="16"/>
        <v>154864</v>
      </c>
      <c r="Y36" s="309">
        <f t="shared" si="61"/>
        <v>0</v>
      </c>
      <c r="Z36" s="5">
        <f t="shared" si="17"/>
        <v>99301</v>
      </c>
      <c r="AA36" s="83">
        <f t="shared" si="62"/>
        <v>0</v>
      </c>
      <c r="AB36" s="5">
        <f t="shared" si="19"/>
        <v>238</v>
      </c>
      <c r="AC36" s="5">
        <f t="shared" si="20"/>
        <v>790</v>
      </c>
      <c r="AD36" s="83">
        <f t="shared" si="63"/>
        <v>0</v>
      </c>
      <c r="AE36" s="5">
        <f t="shared" si="21"/>
        <v>239.96</v>
      </c>
      <c r="AF36" s="83">
        <f t="shared" si="64"/>
        <v>0</v>
      </c>
      <c r="AG36" s="5">
        <f t="shared" si="23"/>
        <v>2218.1999999999998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44651</v>
      </c>
      <c r="AS36" s="407">
        <f t="shared" ref="AS36:AT36" si="82">AS35</f>
        <v>0.9</v>
      </c>
      <c r="AT36" s="201">
        <f t="shared" si="82"/>
        <v>183</v>
      </c>
      <c r="AU36" s="408">
        <f t="shared" si="41"/>
        <v>1.1000000000000001</v>
      </c>
      <c r="AV36" s="201">
        <f t="shared" si="42"/>
        <v>116</v>
      </c>
      <c r="AW36" s="5">
        <v>2.9</v>
      </c>
      <c r="AX36" s="201">
        <f t="shared" si="43"/>
        <v>89</v>
      </c>
      <c r="AY36" s="409">
        <f t="shared" si="71"/>
        <v>164.70000000000002</v>
      </c>
      <c r="AZ36" s="409">
        <f t="shared" si="72"/>
        <v>127.60000000000001</v>
      </c>
      <c r="BA36" s="409">
        <f t="shared" si="73"/>
        <v>258.09999999999997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1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-1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abSelected="1" zoomScale="70" zoomScaleNormal="70" workbookViewId="0">
      <pane ySplit="1" topLeftCell="A2" activePane="bottomLeft" state="frozen"/>
      <selection pane="bottomLeft" activeCell="J26" sqref="J26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[2]GEN!$A$30</f>
        <v>44620</v>
      </c>
      <c r="B2" s="260">
        <f>[2]GEN!B30</f>
        <v>11505</v>
      </c>
      <c r="C2" s="260">
        <f>[2]GEN!C30</f>
        <v>0</v>
      </c>
      <c r="D2" s="260">
        <f>[2]GEN!D30</f>
        <v>639266</v>
      </c>
      <c r="E2" s="260">
        <f>[2]GEN!E30</f>
        <v>0</v>
      </c>
      <c r="F2" s="260">
        <f>[2]GEN!F30</f>
        <v>0</v>
      </c>
      <c r="G2" s="260">
        <f>[2]GEN!G30</f>
        <v>0</v>
      </c>
      <c r="H2" s="260">
        <f>[2]GEN!H30</f>
        <v>11528</v>
      </c>
      <c r="I2" s="260" t="str">
        <f>[2]GEN!I30</f>
        <v>ok</v>
      </c>
      <c r="J2" s="260">
        <f>[2]GEN!J30</f>
        <v>10698</v>
      </c>
      <c r="K2" s="260">
        <f>[2]GEN!K30</f>
        <v>0</v>
      </c>
      <c r="L2" s="260">
        <f>[2]GEN!L30</f>
        <v>357691</v>
      </c>
      <c r="M2" s="260">
        <f>[2]GEN!M30</f>
        <v>0</v>
      </c>
      <c r="N2" s="260">
        <f>[2]GEN!N30</f>
        <v>0</v>
      </c>
      <c r="O2" s="260">
        <f>[2]GEN!O30</f>
        <v>0</v>
      </c>
      <c r="P2" s="260">
        <f>[2]GEN!P30</f>
        <v>10873</v>
      </c>
      <c r="Q2" s="260" t="str">
        <f>[2]GEN!Q30</f>
        <v>ok</v>
      </c>
      <c r="R2" s="260">
        <f>[2]GEN!R30</f>
        <v>13667</v>
      </c>
      <c r="S2" s="260">
        <f>[2]GEN!S30</f>
        <v>13</v>
      </c>
      <c r="T2" s="260">
        <f>[2]GEN!T30</f>
        <v>356262</v>
      </c>
      <c r="U2" s="260">
        <f>[2]GEN!U30</f>
        <v>3250</v>
      </c>
      <c r="V2" s="260">
        <f>[2]GEN!V30</f>
        <v>250</v>
      </c>
      <c r="W2" s="260">
        <f>[2]GEN!W30</f>
        <v>0</v>
      </c>
      <c r="X2" s="260">
        <f>[2]GEN!X30</f>
        <v>13719</v>
      </c>
      <c r="Y2" s="260" t="str">
        <f>[2]GEN!Y30</f>
        <v>ok</v>
      </c>
      <c r="Z2" s="260">
        <f>[2]GEN!Z30</f>
        <v>13</v>
      </c>
      <c r="AA2" s="260">
        <f>[2]GEN!AA30</f>
        <v>3250</v>
      </c>
      <c r="AB2" s="260">
        <f>[2]GEN!AB30</f>
        <v>250</v>
      </c>
      <c r="AC2" s="260">
        <f>[2]GEN!AC30</f>
        <v>250</v>
      </c>
      <c r="AD2" s="260">
        <f>[2]GEN!AD30</f>
        <v>6474.9999999985448</v>
      </c>
      <c r="AE2" s="260">
        <f>[2]GEN!AE30</f>
        <v>498.07692307681111</v>
      </c>
      <c r="AF2" s="260">
        <f>[2]GEN!AF30</f>
        <v>0.31129807692300693</v>
      </c>
      <c r="AG2" s="260">
        <f>[2]GEN!AG30</f>
        <v>1.9456129807687934E-4</v>
      </c>
      <c r="AH2" s="260">
        <f>[2]GEN!AH30</f>
        <v>249.99980543870191</v>
      </c>
      <c r="AI2" s="260">
        <f>[2]GEN!AI30</f>
        <v>1666.5611814342246</v>
      </c>
      <c r="AJ2" s="260">
        <f>[2]GEN!AJ30</f>
        <v>0.25738396624472576</v>
      </c>
      <c r="AK2" s="260">
        <f>[2]GEN!AK30</f>
        <v>128.19701395647883</v>
      </c>
      <c r="AL2" s="260">
        <f>[2]GEN!AL30</f>
        <v>1</v>
      </c>
    </row>
    <row r="3" spans="1:38" ht="15.75" thickBot="1">
      <c r="A3" s="4">
        <f>ELEC!C4</f>
        <v>44621</v>
      </c>
      <c r="B3" s="502">
        <v>11516</v>
      </c>
      <c r="C3" s="276">
        <f>B3-B2</f>
        <v>11</v>
      </c>
      <c r="D3" s="503">
        <f>D2+C3*250</f>
        <v>642016</v>
      </c>
      <c r="E3" s="276">
        <f>SUM(D3-D2)</f>
        <v>2750</v>
      </c>
      <c r="F3" s="276">
        <f t="shared" ref="F3:F30" si="0">IF(C3&gt;0,E3/C3,0)</f>
        <v>250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13667</v>
      </c>
      <c r="S3" s="276">
        <f t="shared" ref="S3:S30" si="4">R3-R2</f>
        <v>0</v>
      </c>
      <c r="T3" s="503">
        <f>T2+U3</f>
        <v>356262</v>
      </c>
      <c r="U3" s="276">
        <f>V3*S3</f>
        <v>0</v>
      </c>
      <c r="V3" s="276">
        <v>250</v>
      </c>
      <c r="W3" s="260">
        <f>[4]GEN!W32</f>
        <v>0</v>
      </c>
      <c r="X3" s="260">
        <f>X2</f>
        <v>13719</v>
      </c>
      <c r="Y3" s="276" t="str">
        <f>IF(R3-X3&lt;=0,"ok","oil change")</f>
        <v>ok</v>
      </c>
      <c r="Z3" s="276">
        <f t="shared" ref="Z3:Z30" si="5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6176.9999999996799</v>
      </c>
      <c r="AE3" s="73">
        <f>SUM(AD3/Z3)</f>
        <v>561.5454545454254</v>
      </c>
      <c r="AF3" s="387">
        <f>SUM(AE3/1600)</f>
        <v>0.35096590909089087</v>
      </c>
      <c r="AG3" s="388">
        <f>SUM(360*AF3)</f>
        <v>126.34772727272072</v>
      </c>
      <c r="AH3" s="388">
        <f>SUM(AC3-AG3)</f>
        <v>123.65227272727928</v>
      </c>
      <c r="AI3" s="73">
        <f>AD3*AJ3</f>
        <v>1589.8607594935886</v>
      </c>
      <c r="AJ3" s="278">
        <f t="shared" ref="AJ3:AJ30" si="6">305/1185</f>
        <v>0.25738396624472576</v>
      </c>
      <c r="AK3" s="278">
        <f t="shared" ref="AK3:AK30" si="7">AI3/Z3</f>
        <v>144.53279631759895</v>
      </c>
      <c r="AL3">
        <f>IF(Z3=0,0,1)</f>
        <v>1</v>
      </c>
    </row>
    <row r="4" spans="1:38" ht="15.75" thickBot="1">
      <c r="A4" s="4">
        <f>ELEC!C5</f>
        <v>44622</v>
      </c>
      <c r="B4" s="502">
        <v>11525</v>
      </c>
      <c r="C4" s="276">
        <f t="shared" ref="C4:C30" si="8">B4-B3</f>
        <v>9</v>
      </c>
      <c r="D4" s="503">
        <f t="shared" ref="D4:D30" si="9">D3+C4*250</f>
        <v>644266</v>
      </c>
      <c r="E4" s="276">
        <f t="shared" ref="E4:E25" si="10">SUM(D4-D3)</f>
        <v>2250</v>
      </c>
      <c r="F4" s="276">
        <f t="shared" si="0"/>
        <v>250</v>
      </c>
      <c r="G4" s="196"/>
      <c r="H4" s="260">
        <f t="shared" ref="H4:H33" si="11">H3</f>
        <v>11528</v>
      </c>
      <c r="I4" s="276" t="str">
        <f t="shared" si="1"/>
        <v>ok</v>
      </c>
      <c r="J4" s="502">
        <f t="shared" ref="J4:J33" si="12">J3</f>
        <v>10698</v>
      </c>
      <c r="K4" s="276">
        <f t="shared" si="2"/>
        <v>0</v>
      </c>
      <c r="L4" s="503">
        <f t="shared" ref="L4:L33" si="13">L3</f>
        <v>357691</v>
      </c>
      <c r="M4" s="276">
        <f t="shared" ref="M4:M30" si="14">SUM(L4-L3)</f>
        <v>0</v>
      </c>
      <c r="N4" s="276">
        <f t="shared" ref="N4:N30" si="15">IF(K4&gt;0,M4/K4,0)</f>
        <v>0</v>
      </c>
      <c r="O4" s="196"/>
      <c r="P4" s="277">
        <f t="shared" ref="P4:P33" si="16">P3</f>
        <v>10873</v>
      </c>
      <c r="Q4" s="276" t="str">
        <f t="shared" si="3"/>
        <v>ok</v>
      </c>
      <c r="R4" s="502">
        <v>13670</v>
      </c>
      <c r="S4" s="276">
        <f t="shared" si="4"/>
        <v>3</v>
      </c>
      <c r="T4" s="503">
        <f>T3+U4</f>
        <v>357012</v>
      </c>
      <c r="U4" s="276">
        <f>V4*S4</f>
        <v>750</v>
      </c>
      <c r="V4" s="276">
        <v>250</v>
      </c>
      <c r="W4" s="196"/>
      <c r="X4" s="260">
        <f t="shared" ref="X4:X12" si="17">X3</f>
        <v>13719</v>
      </c>
      <c r="Y4" s="276" t="str">
        <f t="shared" ref="Y4:Y19" si="18">IF(R4-X4&lt;=0,"ok","oil change")</f>
        <v>ok</v>
      </c>
      <c r="Z4" s="276">
        <f t="shared" si="5"/>
        <v>12</v>
      </c>
      <c r="AA4" s="276">
        <f t="shared" ref="AA4:AA30" si="19">U4+M4+E4</f>
        <v>3000</v>
      </c>
      <c r="AB4" s="276">
        <f t="shared" ref="AB4:AB30" si="20">V4+N4+F4</f>
        <v>500</v>
      </c>
      <c r="AC4" s="276">
        <f t="shared" ref="AC4:AC30" si="21">IF(Z4&gt;0,AA4/Z4,0)</f>
        <v>250</v>
      </c>
      <c r="AD4" s="73">
        <f>ELEC!Q5</f>
        <v>5956.00000000195</v>
      </c>
      <c r="AE4" s="73">
        <f>SUM(AD4/Z4)</f>
        <v>496.33333333349583</v>
      </c>
      <c r="AF4" s="387">
        <f>SUM(AE4/1600)</f>
        <v>0.31020833333343489</v>
      </c>
      <c r="AG4" s="388">
        <f>SUM(360*AF4)</f>
        <v>111.67500000003656</v>
      </c>
      <c r="AH4" s="388">
        <f t="shared" ref="AH4:AH30" si="22">SUM(AC4-AG4)</f>
        <v>138.32499999996344</v>
      </c>
      <c r="AI4" s="73">
        <f>AD4*AJ4</f>
        <v>1532.9789029540884</v>
      </c>
      <c r="AJ4" s="278">
        <f t="shared" si="6"/>
        <v>0.25738396624472576</v>
      </c>
      <c r="AK4" s="278">
        <f t="shared" si="7"/>
        <v>127.7482419128407</v>
      </c>
      <c r="AL4">
        <f t="shared" ref="AL4:AL30" si="23">IF(Z4=0,0,1)</f>
        <v>1</v>
      </c>
    </row>
    <row r="5" spans="1:38" ht="15.75" thickBot="1">
      <c r="A5" s="4">
        <f>ELEC!C6</f>
        <v>44623</v>
      </c>
      <c r="B5" s="502">
        <v>11526</v>
      </c>
      <c r="C5" s="276">
        <f t="shared" si="8"/>
        <v>1</v>
      </c>
      <c r="D5" s="503">
        <f t="shared" si="9"/>
        <v>644516</v>
      </c>
      <c r="E5" s="276">
        <f t="shared" si="10"/>
        <v>250</v>
      </c>
      <c r="F5" s="276">
        <f t="shared" si="0"/>
        <v>250</v>
      </c>
      <c r="G5" s="274"/>
      <c r="H5" s="260">
        <f t="shared" si="11"/>
        <v>11528</v>
      </c>
      <c r="I5" s="276" t="str">
        <f t="shared" si="1"/>
        <v>ok</v>
      </c>
      <c r="J5" s="502">
        <f t="shared" si="12"/>
        <v>10698</v>
      </c>
      <c r="K5" s="276">
        <f t="shared" si="2"/>
        <v>0</v>
      </c>
      <c r="L5" s="503">
        <f t="shared" si="13"/>
        <v>357691</v>
      </c>
      <c r="M5" s="276">
        <f t="shared" si="14"/>
        <v>0</v>
      </c>
      <c r="N5" s="276">
        <f t="shared" si="15"/>
        <v>0</v>
      </c>
      <c r="O5" s="196"/>
      <c r="P5" s="277">
        <f t="shared" si="16"/>
        <v>10873</v>
      </c>
      <c r="Q5" s="276" t="str">
        <f t="shared" si="3"/>
        <v>ok</v>
      </c>
      <c r="R5" s="502">
        <v>13681</v>
      </c>
      <c r="S5" s="276">
        <f t="shared" si="4"/>
        <v>11</v>
      </c>
      <c r="T5" s="503">
        <f>T4+U5</f>
        <v>359762</v>
      </c>
      <c r="U5" s="276">
        <f>V5*S5</f>
        <v>2750</v>
      </c>
      <c r="V5" s="276">
        <v>250</v>
      </c>
      <c r="W5" s="196"/>
      <c r="X5" s="260">
        <f t="shared" si="17"/>
        <v>13719</v>
      </c>
      <c r="Y5" s="276" t="str">
        <f t="shared" si="18"/>
        <v>ok</v>
      </c>
      <c r="Z5" s="276">
        <f t="shared" si="5"/>
        <v>12</v>
      </c>
      <c r="AA5" s="276">
        <f t="shared" si="19"/>
        <v>3000</v>
      </c>
      <c r="AB5" s="276">
        <f t="shared" si="20"/>
        <v>500</v>
      </c>
      <c r="AC5" s="276">
        <f t="shared" si="21"/>
        <v>250</v>
      </c>
      <c r="AD5" s="73">
        <f>ELEC!Q6</f>
        <v>5586.9999999995343</v>
      </c>
      <c r="AE5" s="73">
        <f t="shared" ref="AE5:AE30" si="24">SUM(AD5/Z5)</f>
        <v>465.58333333329455</v>
      </c>
      <c r="AF5" s="387">
        <f t="shared" ref="AF5:AG30" si="25">SUM(AE5/1600)</f>
        <v>0.2909895833333091</v>
      </c>
      <c r="AG5" s="388">
        <f>SUM(320*AF5)</f>
        <v>93.116666666658915</v>
      </c>
      <c r="AH5" s="388">
        <f t="shared" si="22"/>
        <v>156.88333333334108</v>
      </c>
      <c r="AI5" s="73">
        <f t="shared" ref="AI5:AI30" si="26">AD5*AJ5</f>
        <v>1438.0042194091629</v>
      </c>
      <c r="AJ5" s="278">
        <f t="shared" si="6"/>
        <v>0.25738396624472576</v>
      </c>
      <c r="AK5" s="278">
        <f t="shared" si="7"/>
        <v>119.83368495076358</v>
      </c>
      <c r="AL5">
        <f t="shared" si="23"/>
        <v>1</v>
      </c>
    </row>
    <row r="6" spans="1:38" ht="15.75" thickBot="1">
      <c r="A6" s="4">
        <f>ELEC!C7</f>
        <v>44624</v>
      </c>
      <c r="B6" s="502">
        <f t="shared" ref="B6:B33" si="27">B5</f>
        <v>11526</v>
      </c>
      <c r="C6" s="276">
        <f>B6-B5</f>
        <v>0</v>
      </c>
      <c r="D6" s="503">
        <f t="shared" si="9"/>
        <v>644516</v>
      </c>
      <c r="E6" s="276">
        <f t="shared" si="10"/>
        <v>0</v>
      </c>
      <c r="F6" s="276">
        <f t="shared" si="0"/>
        <v>0</v>
      </c>
      <c r="G6" s="196"/>
      <c r="H6" s="260">
        <f t="shared" si="11"/>
        <v>11528</v>
      </c>
      <c r="I6" s="276" t="str">
        <f t="shared" si="1"/>
        <v>ok</v>
      </c>
      <c r="J6" s="502">
        <f t="shared" si="12"/>
        <v>10698</v>
      </c>
      <c r="K6" s="276">
        <f t="shared" si="2"/>
        <v>0</v>
      </c>
      <c r="L6" s="503">
        <f t="shared" si="13"/>
        <v>357691</v>
      </c>
      <c r="M6" s="276">
        <f>SUM(L6-L5)</f>
        <v>0</v>
      </c>
      <c r="N6" s="276">
        <f t="shared" si="15"/>
        <v>0</v>
      </c>
      <c r="O6" s="294"/>
      <c r="P6" s="277">
        <f t="shared" si="16"/>
        <v>10873</v>
      </c>
      <c r="Q6" s="276" t="str">
        <f t="shared" si="3"/>
        <v>ok</v>
      </c>
      <c r="R6" s="502">
        <f t="shared" ref="R6:R33" si="28">R5</f>
        <v>13681</v>
      </c>
      <c r="S6" s="276">
        <f t="shared" si="4"/>
        <v>0</v>
      </c>
      <c r="T6" s="503">
        <f t="shared" ref="T4:T33" si="29">T5+U6</f>
        <v>359762</v>
      </c>
      <c r="U6" s="276">
        <f>V6*S6</f>
        <v>0</v>
      </c>
      <c r="V6" s="276">
        <v>250</v>
      </c>
      <c r="W6" s="294"/>
      <c r="X6" s="260">
        <f t="shared" si="17"/>
        <v>13719</v>
      </c>
      <c r="Y6" s="276" t="str">
        <f t="shared" si="18"/>
        <v>ok</v>
      </c>
      <c r="Z6" s="276">
        <f t="shared" si="5"/>
        <v>0</v>
      </c>
      <c r="AA6" s="276">
        <f t="shared" si="19"/>
        <v>0</v>
      </c>
      <c r="AB6" s="276">
        <f t="shared" si="20"/>
        <v>250</v>
      </c>
      <c r="AC6" s="276">
        <f t="shared" si="21"/>
        <v>0</v>
      </c>
      <c r="AD6" s="73">
        <f>ELEC!Q7</f>
        <v>0</v>
      </c>
      <c r="AE6" s="73" t="e">
        <f>SUM(AD6/Z6)</f>
        <v>#DIV/0!</v>
      </c>
      <c r="AF6" s="387" t="e">
        <f t="shared" si="25"/>
        <v>#DIV/0!</v>
      </c>
      <c r="AG6" s="388" t="e">
        <f>SUM(320*AF6)</f>
        <v>#DIV/0!</v>
      </c>
      <c r="AH6" s="388" t="e">
        <f t="shared" si="22"/>
        <v>#DIV/0!</v>
      </c>
      <c r="AI6" s="73">
        <f t="shared" si="26"/>
        <v>0</v>
      </c>
      <c r="AJ6" s="278">
        <f t="shared" si="6"/>
        <v>0.25738396624472576</v>
      </c>
      <c r="AK6" s="278" t="e">
        <f t="shared" si="7"/>
        <v>#DIV/0!</v>
      </c>
      <c r="AL6">
        <f t="shared" si="23"/>
        <v>0</v>
      </c>
    </row>
    <row r="7" spans="1:38" ht="15.75" thickBot="1">
      <c r="A7" s="4">
        <f>ELEC!C8</f>
        <v>44625</v>
      </c>
      <c r="B7" s="502">
        <f t="shared" si="27"/>
        <v>11526</v>
      </c>
      <c r="C7" s="276">
        <f t="shared" si="8"/>
        <v>0</v>
      </c>
      <c r="D7" s="503">
        <f t="shared" si="9"/>
        <v>644516</v>
      </c>
      <c r="E7" s="276">
        <f t="shared" si="10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2"/>
        <v>10698</v>
      </c>
      <c r="K7" s="276">
        <f t="shared" si="2"/>
        <v>0</v>
      </c>
      <c r="L7" s="503">
        <f t="shared" si="13"/>
        <v>357691</v>
      </c>
      <c r="M7" s="276">
        <f t="shared" si="14"/>
        <v>0</v>
      </c>
      <c r="N7" s="276">
        <f t="shared" si="15"/>
        <v>0</v>
      </c>
      <c r="O7" s="294"/>
      <c r="P7" s="277">
        <f t="shared" si="16"/>
        <v>10873</v>
      </c>
      <c r="Q7" s="276" t="str">
        <f t="shared" si="3"/>
        <v>ok</v>
      </c>
      <c r="R7" s="502">
        <f t="shared" si="28"/>
        <v>13681</v>
      </c>
      <c r="S7" s="276">
        <f t="shared" si="4"/>
        <v>0</v>
      </c>
      <c r="T7" s="503">
        <f t="shared" si="29"/>
        <v>359762</v>
      </c>
      <c r="U7" s="276">
        <f>V7*S7</f>
        <v>0</v>
      </c>
      <c r="V7" s="276">
        <v>250</v>
      </c>
      <c r="W7" s="196"/>
      <c r="X7" s="260">
        <f t="shared" si="17"/>
        <v>13719</v>
      </c>
      <c r="Y7" s="276" t="str">
        <f t="shared" si="18"/>
        <v>ok</v>
      </c>
      <c r="Z7" s="276">
        <f t="shared" si="5"/>
        <v>0</v>
      </c>
      <c r="AA7" s="276">
        <f>U7+M7+E7</f>
        <v>0</v>
      </c>
      <c r="AB7" s="276">
        <f t="shared" si="20"/>
        <v>250</v>
      </c>
      <c r="AC7" s="276">
        <f t="shared" si="21"/>
        <v>0</v>
      </c>
      <c r="AD7" s="73">
        <f>ELEC!Q8</f>
        <v>0</v>
      </c>
      <c r="AE7" s="73" t="e">
        <f t="shared" si="24"/>
        <v>#DIV/0!</v>
      </c>
      <c r="AF7" s="387" t="e">
        <f t="shared" si="25"/>
        <v>#DIV/0!</v>
      </c>
      <c r="AG7" s="387" t="e">
        <f t="shared" si="25"/>
        <v>#DIV/0!</v>
      </c>
      <c r="AH7" s="388" t="e">
        <f t="shared" si="22"/>
        <v>#DIV/0!</v>
      </c>
      <c r="AI7" s="73">
        <f t="shared" si="26"/>
        <v>0</v>
      </c>
      <c r="AJ7" s="278">
        <f t="shared" si="6"/>
        <v>0.25738396624472576</v>
      </c>
      <c r="AK7" s="278" t="e">
        <f t="shared" si="7"/>
        <v>#DIV/0!</v>
      </c>
      <c r="AL7">
        <f t="shared" si="23"/>
        <v>0</v>
      </c>
    </row>
    <row r="8" spans="1:38" ht="15.75" thickBot="1">
      <c r="A8" s="4">
        <f>ELEC!C9</f>
        <v>44626</v>
      </c>
      <c r="B8" s="502">
        <v>11534</v>
      </c>
      <c r="C8" s="276">
        <f t="shared" si="8"/>
        <v>8</v>
      </c>
      <c r="D8" s="503">
        <f t="shared" si="9"/>
        <v>646516</v>
      </c>
      <c r="E8" s="276">
        <f t="shared" si="10"/>
        <v>2000</v>
      </c>
      <c r="F8" s="276">
        <f t="shared" si="0"/>
        <v>250</v>
      </c>
      <c r="G8" s="196"/>
      <c r="H8" s="260">
        <f t="shared" si="11"/>
        <v>11528</v>
      </c>
      <c r="I8" s="276" t="str">
        <f>IF(B8-H8&lt;=0,"ok","oil change")</f>
        <v>oil change</v>
      </c>
      <c r="J8" s="502">
        <f t="shared" si="12"/>
        <v>10698</v>
      </c>
      <c r="K8" s="276">
        <f t="shared" si="2"/>
        <v>0</v>
      </c>
      <c r="L8" s="503">
        <f t="shared" si="13"/>
        <v>357691</v>
      </c>
      <c r="M8" s="276">
        <f t="shared" si="14"/>
        <v>0</v>
      </c>
      <c r="N8" s="276">
        <f t="shared" si="15"/>
        <v>0</v>
      </c>
      <c r="O8" s="196"/>
      <c r="P8" s="277">
        <f t="shared" si="16"/>
        <v>10873</v>
      </c>
      <c r="Q8" s="276" t="str">
        <f t="shared" si="3"/>
        <v>ok</v>
      </c>
      <c r="R8" s="502">
        <v>13684</v>
      </c>
      <c r="S8" s="276">
        <f t="shared" si="4"/>
        <v>3</v>
      </c>
      <c r="T8" s="503">
        <f>T7+U8</f>
        <v>360512</v>
      </c>
      <c r="U8" s="276">
        <f>V8*S8</f>
        <v>750</v>
      </c>
      <c r="V8" s="276">
        <v>250</v>
      </c>
      <c r="W8" s="196"/>
      <c r="X8" s="260">
        <f>X7</f>
        <v>13719</v>
      </c>
      <c r="Y8" s="276" t="str">
        <f t="shared" si="18"/>
        <v>ok</v>
      </c>
      <c r="Z8" s="276">
        <f t="shared" si="5"/>
        <v>11</v>
      </c>
      <c r="AA8" s="276">
        <f t="shared" si="19"/>
        <v>2750</v>
      </c>
      <c r="AB8" s="276">
        <f t="shared" si="20"/>
        <v>500</v>
      </c>
      <c r="AC8" s="276">
        <f t="shared" si="21"/>
        <v>250</v>
      </c>
      <c r="AD8" s="73">
        <f>ELEC!Q9</f>
        <v>5884.9999999983993</v>
      </c>
      <c r="AE8" s="73">
        <f>SUM(AD8/Z8)</f>
        <v>534.99999999985448</v>
      </c>
      <c r="AF8" s="387">
        <f t="shared" si="25"/>
        <v>0.33437499999990905</v>
      </c>
      <c r="AG8" s="387">
        <f t="shared" si="25"/>
        <v>2.0898437499994316E-4</v>
      </c>
      <c r="AH8" s="388">
        <f t="shared" si="22"/>
        <v>249.99979101562499</v>
      </c>
      <c r="AI8" s="73">
        <f t="shared" si="26"/>
        <v>1514.7046413497992</v>
      </c>
      <c r="AJ8" s="278">
        <f t="shared" si="6"/>
        <v>0.25738396624472576</v>
      </c>
      <c r="AK8" s="278">
        <f t="shared" si="7"/>
        <v>137.70042194089083</v>
      </c>
      <c r="AL8">
        <f t="shared" si="23"/>
        <v>1</v>
      </c>
    </row>
    <row r="9" spans="1:38" ht="15.75" thickBot="1">
      <c r="A9" s="4">
        <f>ELEC!C10</f>
        <v>44627</v>
      </c>
      <c r="B9" s="502">
        <f t="shared" si="27"/>
        <v>11534</v>
      </c>
      <c r="C9" s="276">
        <f t="shared" si="8"/>
        <v>0</v>
      </c>
      <c r="D9" s="503">
        <f t="shared" si="9"/>
        <v>646516</v>
      </c>
      <c r="E9" s="276">
        <f t="shared" si="10"/>
        <v>0</v>
      </c>
      <c r="F9" s="276">
        <f t="shared" si="0"/>
        <v>0</v>
      </c>
      <c r="G9" s="196"/>
      <c r="H9" s="260">
        <f t="shared" si="11"/>
        <v>11528</v>
      </c>
      <c r="I9" s="276" t="str">
        <f t="shared" si="1"/>
        <v>oil change</v>
      </c>
      <c r="J9" s="502">
        <f t="shared" si="12"/>
        <v>10698</v>
      </c>
      <c r="K9" s="276">
        <f t="shared" si="2"/>
        <v>0</v>
      </c>
      <c r="L9" s="503">
        <f t="shared" si="13"/>
        <v>357691</v>
      </c>
      <c r="M9" s="276">
        <f t="shared" si="14"/>
        <v>0</v>
      </c>
      <c r="N9" s="276">
        <f t="shared" si="15"/>
        <v>0</v>
      </c>
      <c r="O9" s="196"/>
      <c r="P9" s="277">
        <f t="shared" si="16"/>
        <v>10873</v>
      </c>
      <c r="Q9" s="276" t="str">
        <f t="shared" si="3"/>
        <v>ok</v>
      </c>
      <c r="R9" s="502">
        <f t="shared" si="28"/>
        <v>13684</v>
      </c>
      <c r="S9" s="276">
        <f t="shared" si="4"/>
        <v>0</v>
      </c>
      <c r="T9" s="503">
        <f t="shared" si="29"/>
        <v>360512</v>
      </c>
      <c r="U9" s="276">
        <f t="shared" ref="U4:U30" si="30">V9*S9</f>
        <v>0</v>
      </c>
      <c r="V9" s="276">
        <v>250</v>
      </c>
      <c r="W9" s="196"/>
      <c r="X9" s="260">
        <f t="shared" si="17"/>
        <v>13719</v>
      </c>
      <c r="Y9" s="276" t="str">
        <f t="shared" si="18"/>
        <v>ok</v>
      </c>
      <c r="Z9" s="276">
        <f t="shared" si="5"/>
        <v>0</v>
      </c>
      <c r="AA9" s="276">
        <f t="shared" si="19"/>
        <v>0</v>
      </c>
      <c r="AB9" s="276">
        <f t="shared" si="20"/>
        <v>250</v>
      </c>
      <c r="AC9" s="276">
        <f t="shared" si="21"/>
        <v>0</v>
      </c>
      <c r="AD9" s="73">
        <f>ELEC!Q10</f>
        <v>0</v>
      </c>
      <c r="AE9" s="73" t="e">
        <f t="shared" si="24"/>
        <v>#DIV/0!</v>
      </c>
      <c r="AF9" s="387" t="e">
        <f t="shared" si="25"/>
        <v>#DIV/0!</v>
      </c>
      <c r="AG9" s="387" t="e">
        <f t="shared" si="25"/>
        <v>#DIV/0!</v>
      </c>
      <c r="AH9" s="388" t="e">
        <f t="shared" si="22"/>
        <v>#DIV/0!</v>
      </c>
      <c r="AI9" s="73">
        <f t="shared" si="26"/>
        <v>0</v>
      </c>
      <c r="AJ9" s="278">
        <f t="shared" si="6"/>
        <v>0.25738396624472576</v>
      </c>
      <c r="AK9" s="278" t="e">
        <f t="shared" si="7"/>
        <v>#DIV/0!</v>
      </c>
      <c r="AL9">
        <f t="shared" si="23"/>
        <v>0</v>
      </c>
    </row>
    <row r="10" spans="1:38" ht="15.75" thickBot="1">
      <c r="A10" s="4">
        <f>ELEC!C11</f>
        <v>44628</v>
      </c>
      <c r="B10" s="502">
        <f t="shared" si="27"/>
        <v>11534</v>
      </c>
      <c r="C10" s="276">
        <f t="shared" si="8"/>
        <v>0</v>
      </c>
      <c r="D10" s="503">
        <f t="shared" si="9"/>
        <v>646516</v>
      </c>
      <c r="E10" s="276">
        <f>SUM(D10-D9)</f>
        <v>0</v>
      </c>
      <c r="F10" s="276">
        <f t="shared" si="0"/>
        <v>0</v>
      </c>
      <c r="G10" s="196"/>
      <c r="H10" s="260">
        <f t="shared" si="11"/>
        <v>11528</v>
      </c>
      <c r="I10" s="276" t="str">
        <f t="shared" si="1"/>
        <v>oil change</v>
      </c>
      <c r="J10" s="502">
        <f t="shared" si="12"/>
        <v>10698</v>
      </c>
      <c r="K10" s="276">
        <f t="shared" si="2"/>
        <v>0</v>
      </c>
      <c r="L10" s="503">
        <f t="shared" si="13"/>
        <v>357691</v>
      </c>
      <c r="M10" s="276">
        <f t="shared" si="14"/>
        <v>0</v>
      </c>
      <c r="N10" s="276">
        <f t="shared" si="15"/>
        <v>0</v>
      </c>
      <c r="O10" s="196"/>
      <c r="P10" s="277">
        <f t="shared" si="16"/>
        <v>10873</v>
      </c>
      <c r="Q10" s="276" t="str">
        <f t="shared" si="3"/>
        <v>ok</v>
      </c>
      <c r="R10" s="502">
        <f t="shared" si="28"/>
        <v>13684</v>
      </c>
      <c r="S10" s="276">
        <f t="shared" si="4"/>
        <v>0</v>
      </c>
      <c r="T10" s="503">
        <f t="shared" si="29"/>
        <v>360512</v>
      </c>
      <c r="U10" s="276">
        <f t="shared" si="30"/>
        <v>0</v>
      </c>
      <c r="V10" s="276">
        <v>250</v>
      </c>
      <c r="W10" s="323"/>
      <c r="X10" s="260">
        <f t="shared" si="17"/>
        <v>13719</v>
      </c>
      <c r="Y10" s="276" t="str">
        <f t="shared" si="18"/>
        <v>ok</v>
      </c>
      <c r="Z10" s="276">
        <f t="shared" si="5"/>
        <v>0</v>
      </c>
      <c r="AA10" s="276">
        <f t="shared" si="19"/>
        <v>0</v>
      </c>
      <c r="AB10" s="276">
        <f t="shared" si="20"/>
        <v>250</v>
      </c>
      <c r="AC10" s="276">
        <f t="shared" si="21"/>
        <v>0</v>
      </c>
      <c r="AD10" s="73">
        <f>ELEC!Q11</f>
        <v>0</v>
      </c>
      <c r="AE10" s="73" t="e">
        <f t="shared" si="24"/>
        <v>#DIV/0!</v>
      </c>
      <c r="AF10" s="387" t="e">
        <f t="shared" si="25"/>
        <v>#DIV/0!</v>
      </c>
      <c r="AG10" s="387" t="e">
        <f t="shared" si="25"/>
        <v>#DIV/0!</v>
      </c>
      <c r="AH10" s="388" t="e">
        <f t="shared" si="22"/>
        <v>#DIV/0!</v>
      </c>
      <c r="AI10" s="73">
        <f t="shared" si="26"/>
        <v>0</v>
      </c>
      <c r="AJ10" s="278">
        <f t="shared" si="6"/>
        <v>0.25738396624472576</v>
      </c>
      <c r="AK10" s="278" t="e">
        <f t="shared" si="7"/>
        <v>#DIV/0!</v>
      </c>
      <c r="AL10">
        <f t="shared" si="23"/>
        <v>0</v>
      </c>
    </row>
    <row r="11" spans="1:38" ht="15.75" thickBot="1">
      <c r="A11" s="4">
        <f>ELEC!C12</f>
        <v>44629</v>
      </c>
      <c r="B11" s="502">
        <f t="shared" si="27"/>
        <v>11534</v>
      </c>
      <c r="C11" s="276">
        <f t="shared" si="8"/>
        <v>0</v>
      </c>
      <c r="D11" s="503">
        <f t="shared" si="9"/>
        <v>646516</v>
      </c>
      <c r="E11" s="276">
        <f t="shared" si="10"/>
        <v>0</v>
      </c>
      <c r="F11" s="276">
        <f>IF(C11&gt;0,E11/C11,0)</f>
        <v>0</v>
      </c>
      <c r="G11" s="196"/>
      <c r="H11" s="260">
        <f t="shared" si="11"/>
        <v>11528</v>
      </c>
      <c r="I11" s="276" t="str">
        <f t="shared" si="1"/>
        <v>oil change</v>
      </c>
      <c r="J11" s="502">
        <f t="shared" si="12"/>
        <v>10698</v>
      </c>
      <c r="K11" s="276">
        <f t="shared" si="2"/>
        <v>0</v>
      </c>
      <c r="L11" s="503">
        <f t="shared" si="13"/>
        <v>357691</v>
      </c>
      <c r="M11" s="276">
        <f t="shared" si="14"/>
        <v>0</v>
      </c>
      <c r="N11" s="276">
        <f t="shared" si="15"/>
        <v>0</v>
      </c>
      <c r="O11" s="196"/>
      <c r="P11" s="277">
        <f t="shared" si="16"/>
        <v>10873</v>
      </c>
      <c r="Q11" s="276" t="str">
        <f t="shared" si="3"/>
        <v>ok</v>
      </c>
      <c r="R11" s="502">
        <f t="shared" si="28"/>
        <v>13684</v>
      </c>
      <c r="S11" s="276">
        <f t="shared" si="4"/>
        <v>0</v>
      </c>
      <c r="T11" s="503">
        <f t="shared" si="29"/>
        <v>360512</v>
      </c>
      <c r="U11" s="276">
        <f t="shared" si="30"/>
        <v>0</v>
      </c>
      <c r="V11" s="276">
        <v>250</v>
      </c>
      <c r="W11" s="323"/>
      <c r="X11" s="260">
        <f t="shared" si="17"/>
        <v>13719</v>
      </c>
      <c r="Y11" s="276" t="str">
        <f t="shared" si="18"/>
        <v>ok</v>
      </c>
      <c r="Z11" s="276">
        <f t="shared" si="5"/>
        <v>0</v>
      </c>
      <c r="AA11" s="276">
        <f t="shared" si="19"/>
        <v>0</v>
      </c>
      <c r="AB11" s="276">
        <f t="shared" si="20"/>
        <v>250</v>
      </c>
      <c r="AC11" s="276">
        <f t="shared" si="21"/>
        <v>0</v>
      </c>
      <c r="AD11" s="73">
        <f>ELEC!Q12</f>
        <v>0</v>
      </c>
      <c r="AE11" s="73" t="e">
        <f t="shared" si="24"/>
        <v>#DIV/0!</v>
      </c>
      <c r="AF11" s="387" t="e">
        <f t="shared" si="25"/>
        <v>#DIV/0!</v>
      </c>
      <c r="AG11" s="387" t="e">
        <f t="shared" si="25"/>
        <v>#DIV/0!</v>
      </c>
      <c r="AH11" s="388" t="e">
        <f t="shared" si="22"/>
        <v>#DIV/0!</v>
      </c>
      <c r="AI11" s="73">
        <f t="shared" si="26"/>
        <v>0</v>
      </c>
      <c r="AJ11" s="278">
        <f t="shared" si="6"/>
        <v>0.25738396624472576</v>
      </c>
      <c r="AK11" s="278" t="e">
        <f t="shared" si="7"/>
        <v>#DIV/0!</v>
      </c>
      <c r="AL11">
        <f t="shared" si="23"/>
        <v>0</v>
      </c>
    </row>
    <row r="12" spans="1:38" ht="15.75" thickBot="1">
      <c r="A12" s="4">
        <f>ELEC!C13</f>
        <v>44630</v>
      </c>
      <c r="B12" s="502">
        <f t="shared" si="27"/>
        <v>11534</v>
      </c>
      <c r="C12" s="276">
        <f t="shared" si="8"/>
        <v>0</v>
      </c>
      <c r="D12" s="503">
        <f t="shared" si="9"/>
        <v>646516</v>
      </c>
      <c r="E12" s="276">
        <f t="shared" si="10"/>
        <v>0</v>
      </c>
      <c r="F12" s="276">
        <f t="shared" si="0"/>
        <v>0</v>
      </c>
      <c r="G12" s="196"/>
      <c r="H12" s="260">
        <f t="shared" si="11"/>
        <v>11528</v>
      </c>
      <c r="I12" s="276" t="str">
        <f t="shared" si="1"/>
        <v>oil change</v>
      </c>
      <c r="J12" s="502">
        <f t="shared" si="12"/>
        <v>10698</v>
      </c>
      <c r="K12" s="276">
        <f t="shared" si="2"/>
        <v>0</v>
      </c>
      <c r="L12" s="503">
        <f t="shared" si="13"/>
        <v>357691</v>
      </c>
      <c r="M12" s="276">
        <f t="shared" si="14"/>
        <v>0</v>
      </c>
      <c r="N12" s="276">
        <f t="shared" si="15"/>
        <v>0</v>
      </c>
      <c r="O12" s="196"/>
      <c r="P12" s="277">
        <f t="shared" si="16"/>
        <v>10873</v>
      </c>
      <c r="Q12" s="276" t="str">
        <f t="shared" si="3"/>
        <v>ok</v>
      </c>
      <c r="R12" s="502">
        <f t="shared" si="28"/>
        <v>13684</v>
      </c>
      <c r="S12" s="276">
        <f t="shared" si="4"/>
        <v>0</v>
      </c>
      <c r="T12" s="503">
        <f t="shared" si="29"/>
        <v>360512</v>
      </c>
      <c r="U12" s="276">
        <f t="shared" si="30"/>
        <v>0</v>
      </c>
      <c r="V12" s="276">
        <v>250</v>
      </c>
      <c r="W12" s="323"/>
      <c r="X12" s="260">
        <f t="shared" si="17"/>
        <v>13719</v>
      </c>
      <c r="Y12" s="276" t="str">
        <f t="shared" si="18"/>
        <v>ok</v>
      </c>
      <c r="Z12" s="276">
        <f t="shared" si="5"/>
        <v>0</v>
      </c>
      <c r="AA12" s="276">
        <f t="shared" si="19"/>
        <v>0</v>
      </c>
      <c r="AB12" s="276">
        <f t="shared" si="20"/>
        <v>250</v>
      </c>
      <c r="AC12" s="276">
        <f t="shared" si="21"/>
        <v>0</v>
      </c>
      <c r="AD12" s="73">
        <f>ELEC!Q13</f>
        <v>0</v>
      </c>
      <c r="AE12" s="73" t="e">
        <f t="shared" si="24"/>
        <v>#DIV/0!</v>
      </c>
      <c r="AF12" s="387" t="e">
        <f t="shared" si="25"/>
        <v>#DIV/0!</v>
      </c>
      <c r="AG12" s="387" t="e">
        <f t="shared" si="25"/>
        <v>#DIV/0!</v>
      </c>
      <c r="AH12" s="388" t="e">
        <f t="shared" si="22"/>
        <v>#DIV/0!</v>
      </c>
      <c r="AI12" s="73">
        <f t="shared" si="26"/>
        <v>0</v>
      </c>
      <c r="AJ12" s="278">
        <f t="shared" si="6"/>
        <v>0.25738396624472576</v>
      </c>
      <c r="AK12" s="278" t="e">
        <f t="shared" si="7"/>
        <v>#DIV/0!</v>
      </c>
      <c r="AL12">
        <f t="shared" si="23"/>
        <v>0</v>
      </c>
    </row>
    <row r="13" spans="1:38" ht="15.75" thickBot="1">
      <c r="A13" s="4">
        <f>ELEC!C14</f>
        <v>44631</v>
      </c>
      <c r="B13" s="502">
        <f t="shared" si="27"/>
        <v>11534</v>
      </c>
      <c r="C13" s="276">
        <f t="shared" si="8"/>
        <v>0</v>
      </c>
      <c r="D13" s="503">
        <f t="shared" si="9"/>
        <v>646516</v>
      </c>
      <c r="E13" s="276">
        <f t="shared" si="10"/>
        <v>0</v>
      </c>
      <c r="F13" s="276">
        <f t="shared" si="0"/>
        <v>0</v>
      </c>
      <c r="G13" s="196"/>
      <c r="H13" s="260">
        <f t="shared" si="11"/>
        <v>11528</v>
      </c>
      <c r="I13" s="276" t="str">
        <f t="shared" si="1"/>
        <v>oil change</v>
      </c>
      <c r="J13" s="502">
        <f t="shared" si="12"/>
        <v>10698</v>
      </c>
      <c r="K13" s="276">
        <f t="shared" si="2"/>
        <v>0</v>
      </c>
      <c r="L13" s="503">
        <f t="shared" si="13"/>
        <v>357691</v>
      </c>
      <c r="M13" s="276">
        <f t="shared" si="14"/>
        <v>0</v>
      </c>
      <c r="N13" s="276">
        <f t="shared" si="15"/>
        <v>0</v>
      </c>
      <c r="O13" s="196"/>
      <c r="P13" s="277">
        <f t="shared" si="16"/>
        <v>10873</v>
      </c>
      <c r="Q13" s="276" t="str">
        <f t="shared" si="3"/>
        <v>ok</v>
      </c>
      <c r="R13" s="502">
        <f t="shared" si="28"/>
        <v>13684</v>
      </c>
      <c r="S13" s="276">
        <f t="shared" si="4"/>
        <v>0</v>
      </c>
      <c r="T13" s="503">
        <f t="shared" si="29"/>
        <v>360512</v>
      </c>
      <c r="U13" s="276">
        <f t="shared" si="30"/>
        <v>0</v>
      </c>
      <c r="V13" s="276">
        <v>250</v>
      </c>
      <c r="W13" s="323"/>
      <c r="X13" s="260">
        <v>13719</v>
      </c>
      <c r="Y13" s="276" t="str">
        <f t="shared" si="18"/>
        <v>ok</v>
      </c>
      <c r="Z13" s="276">
        <f t="shared" si="5"/>
        <v>0</v>
      </c>
      <c r="AA13" s="276">
        <f t="shared" si="19"/>
        <v>0</v>
      </c>
      <c r="AB13" s="276">
        <f t="shared" si="20"/>
        <v>250</v>
      </c>
      <c r="AC13" s="276">
        <f t="shared" si="21"/>
        <v>0</v>
      </c>
      <c r="AD13" s="73">
        <f>ELEC!Q14</f>
        <v>0</v>
      </c>
      <c r="AE13" s="73" t="e">
        <f t="shared" si="24"/>
        <v>#DIV/0!</v>
      </c>
      <c r="AF13" s="387" t="e">
        <f t="shared" si="25"/>
        <v>#DIV/0!</v>
      </c>
      <c r="AG13" s="387" t="e">
        <f t="shared" si="25"/>
        <v>#DIV/0!</v>
      </c>
      <c r="AH13" s="388" t="e">
        <f t="shared" si="22"/>
        <v>#DIV/0!</v>
      </c>
      <c r="AI13" s="73">
        <f t="shared" si="26"/>
        <v>0</v>
      </c>
      <c r="AJ13" s="278">
        <f t="shared" si="6"/>
        <v>0.25738396624472576</v>
      </c>
      <c r="AK13" s="278" t="e">
        <f t="shared" si="7"/>
        <v>#DIV/0!</v>
      </c>
      <c r="AL13">
        <f t="shared" si="23"/>
        <v>0</v>
      </c>
    </row>
    <row r="14" spans="1:38" ht="15.75" thickBot="1">
      <c r="A14" s="4">
        <f>ELEC!C15</f>
        <v>44632</v>
      </c>
      <c r="B14" s="502">
        <f t="shared" si="27"/>
        <v>11534</v>
      </c>
      <c r="C14" s="276">
        <f t="shared" si="8"/>
        <v>0</v>
      </c>
      <c r="D14" s="503">
        <f t="shared" si="9"/>
        <v>646516</v>
      </c>
      <c r="E14" s="276">
        <f t="shared" si="10"/>
        <v>0</v>
      </c>
      <c r="F14" s="276">
        <f t="shared" si="0"/>
        <v>0</v>
      </c>
      <c r="G14" s="196"/>
      <c r="H14" s="260">
        <f t="shared" si="11"/>
        <v>11528</v>
      </c>
      <c r="I14" s="276" t="str">
        <f t="shared" si="1"/>
        <v>oil change</v>
      </c>
      <c r="J14" s="502">
        <f t="shared" si="12"/>
        <v>10698</v>
      </c>
      <c r="K14" s="276">
        <f t="shared" si="2"/>
        <v>0</v>
      </c>
      <c r="L14" s="503">
        <f t="shared" si="13"/>
        <v>357691</v>
      </c>
      <c r="M14" s="276">
        <f t="shared" si="14"/>
        <v>0</v>
      </c>
      <c r="N14" s="276">
        <f t="shared" si="15"/>
        <v>0</v>
      </c>
      <c r="O14" s="196"/>
      <c r="P14" s="277">
        <f t="shared" si="16"/>
        <v>10873</v>
      </c>
      <c r="Q14" s="276" t="str">
        <f t="shared" si="3"/>
        <v>ok</v>
      </c>
      <c r="R14" s="502">
        <f t="shared" si="28"/>
        <v>13684</v>
      </c>
      <c r="S14" s="276">
        <f t="shared" si="4"/>
        <v>0</v>
      </c>
      <c r="T14" s="503">
        <f t="shared" si="29"/>
        <v>360512</v>
      </c>
      <c r="U14" s="276">
        <f t="shared" si="30"/>
        <v>0</v>
      </c>
      <c r="V14" s="276">
        <v>250</v>
      </c>
      <c r="W14" s="323"/>
      <c r="X14" s="260">
        <v>13719</v>
      </c>
      <c r="Y14" s="276" t="str">
        <f t="shared" si="18"/>
        <v>ok</v>
      </c>
      <c r="Z14" s="276">
        <f t="shared" si="5"/>
        <v>0</v>
      </c>
      <c r="AA14" s="276">
        <f t="shared" si="19"/>
        <v>0</v>
      </c>
      <c r="AB14" s="276">
        <f t="shared" si="20"/>
        <v>250</v>
      </c>
      <c r="AC14" s="276">
        <f t="shared" si="21"/>
        <v>0</v>
      </c>
      <c r="AD14" s="73">
        <f>ELEC!Q15</f>
        <v>0</v>
      </c>
      <c r="AE14" s="73" t="e">
        <f t="shared" si="24"/>
        <v>#DIV/0!</v>
      </c>
      <c r="AF14" s="387" t="e">
        <f t="shared" si="25"/>
        <v>#DIV/0!</v>
      </c>
      <c r="AG14" s="387" t="e">
        <f t="shared" si="25"/>
        <v>#DIV/0!</v>
      </c>
      <c r="AH14" s="388" t="e">
        <f t="shared" si="22"/>
        <v>#DIV/0!</v>
      </c>
      <c r="AI14" s="73">
        <f t="shared" si="26"/>
        <v>0</v>
      </c>
      <c r="AJ14" s="278">
        <f t="shared" si="6"/>
        <v>0.25738396624472576</v>
      </c>
      <c r="AK14" s="278" t="e">
        <f t="shared" si="7"/>
        <v>#DIV/0!</v>
      </c>
      <c r="AL14">
        <f t="shared" si="23"/>
        <v>0</v>
      </c>
    </row>
    <row r="15" spans="1:38" ht="15.75" thickBot="1">
      <c r="A15" s="4">
        <f>ELEC!C16</f>
        <v>44633</v>
      </c>
      <c r="B15" s="502">
        <f t="shared" si="27"/>
        <v>11534</v>
      </c>
      <c r="C15" s="276">
        <f t="shared" si="8"/>
        <v>0</v>
      </c>
      <c r="D15" s="503">
        <f t="shared" si="9"/>
        <v>646516</v>
      </c>
      <c r="E15" s="276">
        <f t="shared" si="10"/>
        <v>0</v>
      </c>
      <c r="F15" s="276">
        <f t="shared" si="0"/>
        <v>0</v>
      </c>
      <c r="G15" s="196"/>
      <c r="H15" s="260">
        <f t="shared" si="11"/>
        <v>11528</v>
      </c>
      <c r="I15" s="276" t="str">
        <f t="shared" si="1"/>
        <v>oil change</v>
      </c>
      <c r="J15" s="502">
        <f t="shared" si="12"/>
        <v>10698</v>
      </c>
      <c r="K15" s="276">
        <f t="shared" si="2"/>
        <v>0</v>
      </c>
      <c r="L15" s="503">
        <f t="shared" si="13"/>
        <v>357691</v>
      </c>
      <c r="M15" s="276">
        <f t="shared" si="14"/>
        <v>0</v>
      </c>
      <c r="N15" s="276">
        <f t="shared" si="15"/>
        <v>0</v>
      </c>
      <c r="O15" s="196"/>
      <c r="P15" s="277">
        <f t="shared" si="16"/>
        <v>10873</v>
      </c>
      <c r="Q15" s="276" t="str">
        <f t="shared" si="3"/>
        <v>ok</v>
      </c>
      <c r="R15" s="502">
        <f t="shared" si="28"/>
        <v>13684</v>
      </c>
      <c r="S15" s="276">
        <f t="shared" si="4"/>
        <v>0</v>
      </c>
      <c r="T15" s="503">
        <f t="shared" si="29"/>
        <v>360512</v>
      </c>
      <c r="U15" s="276">
        <f t="shared" si="30"/>
        <v>0</v>
      </c>
      <c r="V15" s="276">
        <v>250</v>
      </c>
      <c r="W15" s="323"/>
      <c r="X15" s="260">
        <v>13719</v>
      </c>
      <c r="Y15" s="276" t="str">
        <f t="shared" si="18"/>
        <v>ok</v>
      </c>
      <c r="Z15" s="276">
        <f t="shared" si="5"/>
        <v>0</v>
      </c>
      <c r="AA15" s="276">
        <f t="shared" si="19"/>
        <v>0</v>
      </c>
      <c r="AB15" s="276">
        <f t="shared" si="20"/>
        <v>250</v>
      </c>
      <c r="AC15" s="276">
        <f t="shared" si="21"/>
        <v>0</v>
      </c>
      <c r="AD15" s="73">
        <f>ELEC!Q16</f>
        <v>0</v>
      </c>
      <c r="AE15" s="73" t="e">
        <f t="shared" si="24"/>
        <v>#DIV/0!</v>
      </c>
      <c r="AF15" s="387" t="e">
        <f t="shared" si="25"/>
        <v>#DIV/0!</v>
      </c>
      <c r="AG15" s="387" t="e">
        <f t="shared" si="25"/>
        <v>#DIV/0!</v>
      </c>
      <c r="AH15" s="388" t="e">
        <f t="shared" si="22"/>
        <v>#DIV/0!</v>
      </c>
      <c r="AI15" s="73">
        <f t="shared" si="26"/>
        <v>0</v>
      </c>
      <c r="AJ15" s="278">
        <f t="shared" si="6"/>
        <v>0.25738396624472576</v>
      </c>
      <c r="AK15" s="278" t="e">
        <f t="shared" si="7"/>
        <v>#DIV/0!</v>
      </c>
      <c r="AL15">
        <f t="shared" si="23"/>
        <v>0</v>
      </c>
    </row>
    <row r="16" spans="1:38" ht="15.75" thickBot="1">
      <c r="A16" s="4">
        <f>ELEC!C17</f>
        <v>44634</v>
      </c>
      <c r="B16" s="502">
        <f t="shared" si="27"/>
        <v>11534</v>
      </c>
      <c r="C16" s="276">
        <f t="shared" si="8"/>
        <v>0</v>
      </c>
      <c r="D16" s="503">
        <f t="shared" si="9"/>
        <v>646516</v>
      </c>
      <c r="E16" s="276">
        <f t="shared" si="10"/>
        <v>0</v>
      </c>
      <c r="F16" s="276">
        <f t="shared" si="0"/>
        <v>0</v>
      </c>
      <c r="G16" s="196"/>
      <c r="H16" s="260">
        <f t="shared" si="11"/>
        <v>11528</v>
      </c>
      <c r="I16" s="276" t="str">
        <f t="shared" si="1"/>
        <v>oil change</v>
      </c>
      <c r="J16" s="502">
        <f t="shared" si="12"/>
        <v>10698</v>
      </c>
      <c r="K16" s="276">
        <f t="shared" si="2"/>
        <v>0</v>
      </c>
      <c r="L16" s="503">
        <f t="shared" si="13"/>
        <v>357691</v>
      </c>
      <c r="M16" s="276">
        <f t="shared" si="14"/>
        <v>0</v>
      </c>
      <c r="N16" s="276">
        <f t="shared" si="15"/>
        <v>0</v>
      </c>
      <c r="O16" s="196"/>
      <c r="P16" s="277">
        <f t="shared" si="16"/>
        <v>10873</v>
      </c>
      <c r="Q16" s="276" t="str">
        <f t="shared" si="3"/>
        <v>ok</v>
      </c>
      <c r="R16" s="502">
        <f t="shared" si="28"/>
        <v>13684</v>
      </c>
      <c r="S16" s="276">
        <f t="shared" si="4"/>
        <v>0</v>
      </c>
      <c r="T16" s="503">
        <f t="shared" si="29"/>
        <v>360512</v>
      </c>
      <c r="U16" s="276">
        <f t="shared" si="30"/>
        <v>0</v>
      </c>
      <c r="V16" s="276">
        <v>250</v>
      </c>
      <c r="W16" s="323"/>
      <c r="X16" s="260">
        <v>13719</v>
      </c>
      <c r="Y16" s="276" t="str">
        <f t="shared" si="18"/>
        <v>ok</v>
      </c>
      <c r="Z16" s="276">
        <f t="shared" si="5"/>
        <v>0</v>
      </c>
      <c r="AA16" s="276">
        <f t="shared" si="19"/>
        <v>0</v>
      </c>
      <c r="AB16" s="276">
        <f t="shared" si="20"/>
        <v>250</v>
      </c>
      <c r="AC16" s="276">
        <f t="shared" si="21"/>
        <v>0</v>
      </c>
      <c r="AD16" s="73">
        <f>ELEC!Q17</f>
        <v>0</v>
      </c>
      <c r="AE16" s="73" t="e">
        <f t="shared" si="24"/>
        <v>#DIV/0!</v>
      </c>
      <c r="AF16" s="387" t="e">
        <f t="shared" si="25"/>
        <v>#DIV/0!</v>
      </c>
      <c r="AG16" s="387" t="e">
        <f t="shared" si="25"/>
        <v>#DIV/0!</v>
      </c>
      <c r="AH16" s="388" t="e">
        <f t="shared" si="22"/>
        <v>#DIV/0!</v>
      </c>
      <c r="AI16" s="73">
        <f t="shared" si="26"/>
        <v>0</v>
      </c>
      <c r="AJ16" s="278">
        <f t="shared" si="6"/>
        <v>0.25738396624472576</v>
      </c>
      <c r="AK16" s="278" t="e">
        <f t="shared" si="7"/>
        <v>#DIV/0!</v>
      </c>
      <c r="AL16">
        <f t="shared" si="23"/>
        <v>0</v>
      </c>
    </row>
    <row r="17" spans="1:38" ht="15.75" thickBot="1">
      <c r="A17" s="4">
        <f>ELEC!C18</f>
        <v>44635</v>
      </c>
      <c r="B17" s="502">
        <f t="shared" si="27"/>
        <v>11534</v>
      </c>
      <c r="C17" s="276">
        <f t="shared" si="8"/>
        <v>0</v>
      </c>
      <c r="D17" s="503">
        <f t="shared" si="9"/>
        <v>646516</v>
      </c>
      <c r="E17" s="276">
        <f t="shared" si="10"/>
        <v>0</v>
      </c>
      <c r="F17" s="276">
        <f t="shared" si="0"/>
        <v>0</v>
      </c>
      <c r="G17" s="196"/>
      <c r="H17" s="260">
        <f t="shared" si="11"/>
        <v>11528</v>
      </c>
      <c r="I17" s="276" t="str">
        <f t="shared" si="1"/>
        <v>oil change</v>
      </c>
      <c r="J17" s="502">
        <f t="shared" si="12"/>
        <v>10698</v>
      </c>
      <c r="K17" s="276">
        <f t="shared" si="2"/>
        <v>0</v>
      </c>
      <c r="L17" s="503">
        <f t="shared" si="13"/>
        <v>357691</v>
      </c>
      <c r="M17" s="276">
        <f t="shared" si="14"/>
        <v>0</v>
      </c>
      <c r="N17" s="276">
        <f t="shared" si="15"/>
        <v>0</v>
      </c>
      <c r="O17" s="196"/>
      <c r="P17" s="277">
        <f t="shared" si="16"/>
        <v>10873</v>
      </c>
      <c r="Q17" s="276" t="str">
        <f t="shared" si="3"/>
        <v>ok</v>
      </c>
      <c r="R17" s="502">
        <f t="shared" si="28"/>
        <v>13684</v>
      </c>
      <c r="S17" s="276">
        <f t="shared" si="4"/>
        <v>0</v>
      </c>
      <c r="T17" s="503">
        <f t="shared" si="29"/>
        <v>360512</v>
      </c>
      <c r="U17" s="276">
        <f t="shared" si="30"/>
        <v>0</v>
      </c>
      <c r="V17" s="276">
        <v>250</v>
      </c>
      <c r="W17" s="323"/>
      <c r="X17" s="260">
        <v>13719</v>
      </c>
      <c r="Y17" s="276" t="str">
        <f t="shared" si="18"/>
        <v>ok</v>
      </c>
      <c r="Z17" s="276">
        <f t="shared" si="5"/>
        <v>0</v>
      </c>
      <c r="AA17" s="276">
        <f t="shared" si="19"/>
        <v>0</v>
      </c>
      <c r="AB17" s="276">
        <f t="shared" si="20"/>
        <v>250</v>
      </c>
      <c r="AC17" s="276">
        <f t="shared" si="21"/>
        <v>0</v>
      </c>
      <c r="AD17" s="73">
        <f>ELEC!Q18</f>
        <v>0</v>
      </c>
      <c r="AE17" s="73" t="e">
        <f t="shared" si="24"/>
        <v>#DIV/0!</v>
      </c>
      <c r="AF17" s="387" t="e">
        <f t="shared" si="25"/>
        <v>#DIV/0!</v>
      </c>
      <c r="AG17" s="387" t="e">
        <f t="shared" si="25"/>
        <v>#DIV/0!</v>
      </c>
      <c r="AH17" s="388" t="e">
        <f t="shared" si="22"/>
        <v>#DIV/0!</v>
      </c>
      <c r="AI17" s="73">
        <f t="shared" si="26"/>
        <v>0</v>
      </c>
      <c r="AJ17" s="278">
        <f t="shared" si="6"/>
        <v>0.25738396624472576</v>
      </c>
      <c r="AK17" s="278" t="e">
        <f t="shared" si="7"/>
        <v>#DIV/0!</v>
      </c>
      <c r="AL17">
        <f t="shared" si="23"/>
        <v>0</v>
      </c>
    </row>
    <row r="18" spans="1:38" ht="15.75" thickBot="1">
      <c r="A18" s="4">
        <f>ELEC!C19</f>
        <v>44636</v>
      </c>
      <c r="B18" s="502">
        <f t="shared" si="27"/>
        <v>11534</v>
      </c>
      <c r="C18" s="276">
        <f t="shared" si="8"/>
        <v>0</v>
      </c>
      <c r="D18" s="503">
        <f t="shared" si="9"/>
        <v>646516</v>
      </c>
      <c r="E18" s="276">
        <f t="shared" si="10"/>
        <v>0</v>
      </c>
      <c r="F18" s="276">
        <f t="shared" si="0"/>
        <v>0</v>
      </c>
      <c r="G18" s="196"/>
      <c r="H18" s="260">
        <f t="shared" si="11"/>
        <v>11528</v>
      </c>
      <c r="I18" s="276" t="str">
        <f t="shared" si="1"/>
        <v>oil change</v>
      </c>
      <c r="J18" s="502">
        <f t="shared" si="12"/>
        <v>10698</v>
      </c>
      <c r="K18" s="276">
        <f t="shared" si="2"/>
        <v>0</v>
      </c>
      <c r="L18" s="503">
        <f t="shared" si="13"/>
        <v>357691</v>
      </c>
      <c r="M18" s="276">
        <f t="shared" si="14"/>
        <v>0</v>
      </c>
      <c r="N18" s="276">
        <f t="shared" si="15"/>
        <v>0</v>
      </c>
      <c r="O18" s="196"/>
      <c r="P18" s="277">
        <f t="shared" si="16"/>
        <v>10873</v>
      </c>
      <c r="Q18" s="276" t="str">
        <f>IF(J18-P14&lt;=0,"ok","oil change")</f>
        <v>ok</v>
      </c>
      <c r="R18" s="502">
        <f t="shared" si="28"/>
        <v>13684</v>
      </c>
      <c r="S18" s="276">
        <f t="shared" si="4"/>
        <v>0</v>
      </c>
      <c r="T18" s="503">
        <f t="shared" si="29"/>
        <v>360512</v>
      </c>
      <c r="U18" s="276">
        <f t="shared" si="30"/>
        <v>0</v>
      </c>
      <c r="V18" s="276">
        <v>250</v>
      </c>
      <c r="W18" s="323"/>
      <c r="X18" s="260">
        <v>13719</v>
      </c>
      <c r="Y18" s="276" t="str">
        <f t="shared" si="18"/>
        <v>ok</v>
      </c>
      <c r="Z18" s="276">
        <f t="shared" si="5"/>
        <v>0</v>
      </c>
      <c r="AA18" s="276">
        <f t="shared" si="19"/>
        <v>0</v>
      </c>
      <c r="AB18" s="276">
        <f t="shared" si="20"/>
        <v>250</v>
      </c>
      <c r="AC18" s="276">
        <f t="shared" si="21"/>
        <v>0</v>
      </c>
      <c r="AD18" s="73">
        <f>ELEC!Q19</f>
        <v>0</v>
      </c>
      <c r="AE18" s="73" t="e">
        <f t="shared" si="24"/>
        <v>#DIV/0!</v>
      </c>
      <c r="AF18" s="387" t="e">
        <f t="shared" si="25"/>
        <v>#DIV/0!</v>
      </c>
      <c r="AG18" s="387" t="e">
        <f t="shared" si="25"/>
        <v>#DIV/0!</v>
      </c>
      <c r="AH18" s="388" t="e">
        <f t="shared" si="22"/>
        <v>#DIV/0!</v>
      </c>
      <c r="AI18" s="73">
        <f t="shared" si="26"/>
        <v>0</v>
      </c>
      <c r="AJ18" s="278">
        <f t="shared" si="6"/>
        <v>0.25738396624472576</v>
      </c>
      <c r="AK18" s="278" t="e">
        <f t="shared" si="7"/>
        <v>#DIV/0!</v>
      </c>
      <c r="AL18">
        <f t="shared" si="23"/>
        <v>0</v>
      </c>
    </row>
    <row r="19" spans="1:38" ht="15.75" thickBot="1">
      <c r="A19" s="4">
        <f>ELEC!C20</f>
        <v>44637</v>
      </c>
      <c r="B19" s="502">
        <f t="shared" si="27"/>
        <v>11534</v>
      </c>
      <c r="C19" s="276">
        <f t="shared" si="8"/>
        <v>0</v>
      </c>
      <c r="D19" s="503">
        <f t="shared" si="9"/>
        <v>646516</v>
      </c>
      <c r="E19" s="276">
        <f t="shared" si="10"/>
        <v>0</v>
      </c>
      <c r="F19" s="276">
        <f t="shared" si="0"/>
        <v>0</v>
      </c>
      <c r="G19" s="196"/>
      <c r="H19" s="260">
        <f t="shared" si="11"/>
        <v>11528</v>
      </c>
      <c r="I19" s="276" t="str">
        <f t="shared" si="1"/>
        <v>oil change</v>
      </c>
      <c r="J19" s="502">
        <f t="shared" si="12"/>
        <v>10698</v>
      </c>
      <c r="K19" s="276">
        <f t="shared" si="2"/>
        <v>0</v>
      </c>
      <c r="L19" s="503">
        <f t="shared" si="13"/>
        <v>357691</v>
      </c>
      <c r="M19" s="276">
        <f t="shared" si="14"/>
        <v>0</v>
      </c>
      <c r="N19" s="276">
        <f t="shared" si="15"/>
        <v>0</v>
      </c>
      <c r="O19" s="196"/>
      <c r="P19" s="277">
        <f t="shared" si="16"/>
        <v>10873</v>
      </c>
      <c r="Q19" s="276" t="str">
        <f t="shared" ref="Q19:Q30" si="31">IF(J19-P19&lt;=0,"ok","oil change")</f>
        <v>ok</v>
      </c>
      <c r="R19" s="502">
        <f t="shared" si="28"/>
        <v>13684</v>
      </c>
      <c r="S19" s="276">
        <f t="shared" si="4"/>
        <v>0</v>
      </c>
      <c r="T19" s="503">
        <f t="shared" si="29"/>
        <v>360512</v>
      </c>
      <c r="U19" s="276">
        <f t="shared" si="30"/>
        <v>0</v>
      </c>
      <c r="V19" s="276">
        <v>250</v>
      </c>
      <c r="W19" s="323"/>
      <c r="X19" s="260">
        <v>13719</v>
      </c>
      <c r="Y19" s="276" t="str">
        <f t="shared" si="18"/>
        <v>ok</v>
      </c>
      <c r="Z19" s="276">
        <f t="shared" si="5"/>
        <v>0</v>
      </c>
      <c r="AA19" s="276">
        <f t="shared" si="19"/>
        <v>0</v>
      </c>
      <c r="AB19" s="276">
        <f t="shared" si="20"/>
        <v>250</v>
      </c>
      <c r="AC19" s="276">
        <f t="shared" si="21"/>
        <v>0</v>
      </c>
      <c r="AD19" s="73">
        <f>ELEC!Q20</f>
        <v>0</v>
      </c>
      <c r="AE19" s="73" t="e">
        <f t="shared" si="24"/>
        <v>#DIV/0!</v>
      </c>
      <c r="AF19" s="387" t="e">
        <f t="shared" si="25"/>
        <v>#DIV/0!</v>
      </c>
      <c r="AG19" s="387" t="e">
        <f t="shared" si="25"/>
        <v>#DIV/0!</v>
      </c>
      <c r="AH19" s="388" t="e">
        <f t="shared" si="22"/>
        <v>#DIV/0!</v>
      </c>
      <c r="AI19" s="73">
        <f t="shared" si="26"/>
        <v>0</v>
      </c>
      <c r="AJ19" s="278">
        <f t="shared" si="6"/>
        <v>0.25738396624472576</v>
      </c>
      <c r="AK19" s="278" t="e">
        <f t="shared" si="7"/>
        <v>#DIV/0!</v>
      </c>
      <c r="AL19">
        <f t="shared" si="23"/>
        <v>0</v>
      </c>
    </row>
    <row r="20" spans="1:38" ht="15.75" thickBot="1">
      <c r="A20" s="4">
        <f>ELEC!C21</f>
        <v>44638</v>
      </c>
      <c r="B20" s="502">
        <f t="shared" si="27"/>
        <v>11534</v>
      </c>
      <c r="C20" s="276">
        <f>B20-B19</f>
        <v>0</v>
      </c>
      <c r="D20" s="503">
        <f t="shared" si="9"/>
        <v>646516</v>
      </c>
      <c r="E20" s="276">
        <f t="shared" si="10"/>
        <v>0</v>
      </c>
      <c r="F20" s="276">
        <f t="shared" si="0"/>
        <v>0</v>
      </c>
      <c r="G20" s="196"/>
      <c r="H20" s="260">
        <f t="shared" si="11"/>
        <v>11528</v>
      </c>
      <c r="I20" s="276" t="str">
        <f t="shared" si="1"/>
        <v>oil change</v>
      </c>
      <c r="J20" s="502">
        <f t="shared" si="12"/>
        <v>10698</v>
      </c>
      <c r="K20" s="276">
        <f t="shared" si="2"/>
        <v>0</v>
      </c>
      <c r="L20" s="503">
        <f t="shared" si="13"/>
        <v>357691</v>
      </c>
      <c r="M20" s="276">
        <f t="shared" si="14"/>
        <v>0</v>
      </c>
      <c r="N20" s="276">
        <f t="shared" si="15"/>
        <v>0</v>
      </c>
      <c r="O20" s="196"/>
      <c r="P20" s="277">
        <f t="shared" si="16"/>
        <v>10873</v>
      </c>
      <c r="Q20" s="276" t="str">
        <f t="shared" si="31"/>
        <v>ok</v>
      </c>
      <c r="R20" s="502">
        <f t="shared" si="28"/>
        <v>13684</v>
      </c>
      <c r="S20" s="276">
        <f t="shared" si="4"/>
        <v>0</v>
      </c>
      <c r="T20" s="503">
        <f t="shared" si="29"/>
        <v>360512</v>
      </c>
      <c r="U20" s="276">
        <f t="shared" si="30"/>
        <v>0</v>
      </c>
      <c r="V20" s="276">
        <v>250</v>
      </c>
      <c r="W20" s="323"/>
      <c r="X20" s="260">
        <v>13719</v>
      </c>
      <c r="Y20" s="276" t="str">
        <f>IF(R20-X20&lt;=0,"ok","oil change")</f>
        <v>ok</v>
      </c>
      <c r="Z20" s="276">
        <f t="shared" si="5"/>
        <v>0</v>
      </c>
      <c r="AA20" s="276">
        <f t="shared" si="19"/>
        <v>0</v>
      </c>
      <c r="AB20" s="276">
        <f t="shared" si="20"/>
        <v>250</v>
      </c>
      <c r="AC20" s="276">
        <f t="shared" si="21"/>
        <v>0</v>
      </c>
      <c r="AD20" s="73">
        <f>ELEC!Q21</f>
        <v>0</v>
      </c>
      <c r="AE20" s="73" t="e">
        <f t="shared" si="24"/>
        <v>#DIV/0!</v>
      </c>
      <c r="AF20" s="387" t="e">
        <f t="shared" si="25"/>
        <v>#DIV/0!</v>
      </c>
      <c r="AG20" s="387" t="e">
        <f t="shared" si="25"/>
        <v>#DIV/0!</v>
      </c>
      <c r="AH20" s="388" t="e">
        <f t="shared" si="22"/>
        <v>#DIV/0!</v>
      </c>
      <c r="AI20" s="73">
        <f>AD20*AJ20</f>
        <v>0</v>
      </c>
      <c r="AJ20" s="278">
        <f t="shared" si="6"/>
        <v>0.25738396624472576</v>
      </c>
      <c r="AK20" s="278" t="e">
        <f t="shared" si="7"/>
        <v>#DIV/0!</v>
      </c>
      <c r="AL20">
        <f t="shared" si="23"/>
        <v>0</v>
      </c>
    </row>
    <row r="21" spans="1:38" ht="15.75" thickBot="1">
      <c r="A21" s="4">
        <f>ELEC!C22</f>
        <v>44639</v>
      </c>
      <c r="B21" s="502">
        <f t="shared" si="27"/>
        <v>11534</v>
      </c>
      <c r="C21" s="276">
        <f>B21-B20</f>
        <v>0</v>
      </c>
      <c r="D21" s="503">
        <f t="shared" si="9"/>
        <v>646516</v>
      </c>
      <c r="E21" s="276">
        <f t="shared" si="10"/>
        <v>0</v>
      </c>
      <c r="F21" s="276">
        <f t="shared" si="0"/>
        <v>0</v>
      </c>
      <c r="G21" s="196"/>
      <c r="H21" s="260">
        <f t="shared" si="11"/>
        <v>11528</v>
      </c>
      <c r="I21" s="276" t="str">
        <f t="shared" si="1"/>
        <v>oil change</v>
      </c>
      <c r="J21" s="502">
        <f t="shared" si="12"/>
        <v>10698</v>
      </c>
      <c r="K21" s="276">
        <f t="shared" si="2"/>
        <v>0</v>
      </c>
      <c r="L21" s="503">
        <f t="shared" si="13"/>
        <v>357691</v>
      </c>
      <c r="M21" s="276">
        <f t="shared" si="14"/>
        <v>0</v>
      </c>
      <c r="N21" s="276">
        <f t="shared" si="15"/>
        <v>0</v>
      </c>
      <c r="O21" s="196"/>
      <c r="P21" s="277">
        <f t="shared" si="16"/>
        <v>10873</v>
      </c>
      <c r="Q21" s="276" t="str">
        <f t="shared" si="31"/>
        <v>ok</v>
      </c>
      <c r="R21" s="502">
        <f t="shared" si="28"/>
        <v>13684</v>
      </c>
      <c r="S21" s="276">
        <f t="shared" si="4"/>
        <v>0</v>
      </c>
      <c r="T21" s="503">
        <f t="shared" si="29"/>
        <v>360512</v>
      </c>
      <c r="U21" s="276">
        <f t="shared" si="30"/>
        <v>0</v>
      </c>
      <c r="V21" s="276">
        <v>250</v>
      </c>
      <c r="W21" s="196"/>
      <c r="X21" s="260">
        <v>13719</v>
      </c>
      <c r="Y21" s="276" t="str">
        <f>Y20</f>
        <v>ok</v>
      </c>
      <c r="Z21" s="276">
        <f t="shared" si="5"/>
        <v>0</v>
      </c>
      <c r="AA21" s="276">
        <f t="shared" si="19"/>
        <v>0</v>
      </c>
      <c r="AB21" s="276">
        <f t="shared" si="20"/>
        <v>250</v>
      </c>
      <c r="AC21" s="276">
        <f t="shared" si="21"/>
        <v>0</v>
      </c>
      <c r="AD21" s="73">
        <f>ELEC!Q22</f>
        <v>0</v>
      </c>
      <c r="AE21" s="73" t="e">
        <f t="shared" si="24"/>
        <v>#DIV/0!</v>
      </c>
      <c r="AF21" s="387" t="e">
        <f t="shared" si="25"/>
        <v>#DIV/0!</v>
      </c>
      <c r="AG21" s="387" t="e">
        <f t="shared" si="25"/>
        <v>#DIV/0!</v>
      </c>
      <c r="AH21" s="388" t="e">
        <f t="shared" si="22"/>
        <v>#DIV/0!</v>
      </c>
      <c r="AI21" s="73">
        <f t="shared" si="26"/>
        <v>0</v>
      </c>
      <c r="AJ21" s="278">
        <f t="shared" si="6"/>
        <v>0.25738396624472576</v>
      </c>
      <c r="AK21" s="278" t="e">
        <f t="shared" si="7"/>
        <v>#DIV/0!</v>
      </c>
      <c r="AL21">
        <f t="shared" si="23"/>
        <v>0</v>
      </c>
    </row>
    <row r="22" spans="1:38" ht="15.75" thickBot="1">
      <c r="A22" s="4">
        <f>ELEC!C23</f>
        <v>44640</v>
      </c>
      <c r="B22" s="502">
        <f t="shared" si="27"/>
        <v>11534</v>
      </c>
      <c r="C22" s="276">
        <f t="shared" si="8"/>
        <v>0</v>
      </c>
      <c r="D22" s="503">
        <f t="shared" si="9"/>
        <v>646516</v>
      </c>
      <c r="E22" s="276">
        <f>150*C22</f>
        <v>0</v>
      </c>
      <c r="F22" s="276">
        <f t="shared" si="0"/>
        <v>0</v>
      </c>
      <c r="G22" s="196"/>
      <c r="H22" s="260">
        <f t="shared" si="11"/>
        <v>11528</v>
      </c>
      <c r="I22" s="276" t="str">
        <f t="shared" si="1"/>
        <v>oil change</v>
      </c>
      <c r="J22" s="502">
        <f t="shared" si="12"/>
        <v>10698</v>
      </c>
      <c r="K22" s="276">
        <f t="shared" si="2"/>
        <v>0</v>
      </c>
      <c r="L22" s="503">
        <f t="shared" si="13"/>
        <v>357691</v>
      </c>
      <c r="M22" s="276">
        <f t="shared" si="14"/>
        <v>0</v>
      </c>
      <c r="N22" s="276">
        <f t="shared" si="15"/>
        <v>0</v>
      </c>
      <c r="O22" s="196"/>
      <c r="P22" s="277">
        <f t="shared" si="16"/>
        <v>10873</v>
      </c>
      <c r="Q22" s="276" t="str">
        <f t="shared" si="31"/>
        <v>ok</v>
      </c>
      <c r="R22" s="502">
        <f t="shared" si="28"/>
        <v>13684</v>
      </c>
      <c r="S22" s="276">
        <f t="shared" si="4"/>
        <v>0</v>
      </c>
      <c r="T22" s="503">
        <f t="shared" si="29"/>
        <v>360512</v>
      </c>
      <c r="U22" s="276">
        <f t="shared" si="30"/>
        <v>0</v>
      </c>
      <c r="V22" s="276">
        <v>250</v>
      </c>
      <c r="W22" s="196"/>
      <c r="X22" s="260">
        <v>13719</v>
      </c>
      <c r="Y22" s="276" t="str">
        <f t="shared" ref="Y22:Y33" si="32">Y21</f>
        <v>ok</v>
      </c>
      <c r="Z22" s="276">
        <f t="shared" si="5"/>
        <v>0</v>
      </c>
      <c r="AA22" s="276">
        <f t="shared" si="19"/>
        <v>0</v>
      </c>
      <c r="AB22" s="276">
        <f t="shared" si="20"/>
        <v>250</v>
      </c>
      <c r="AC22" s="276">
        <f t="shared" si="21"/>
        <v>0</v>
      </c>
      <c r="AD22" s="73">
        <f>ELEC!Q23</f>
        <v>0</v>
      </c>
      <c r="AE22" s="73" t="e">
        <f t="shared" si="24"/>
        <v>#DIV/0!</v>
      </c>
      <c r="AF22" s="387" t="e">
        <f t="shared" si="25"/>
        <v>#DIV/0!</v>
      </c>
      <c r="AG22" s="387" t="e">
        <f t="shared" si="25"/>
        <v>#DIV/0!</v>
      </c>
      <c r="AH22" s="388" t="e">
        <f t="shared" si="22"/>
        <v>#DIV/0!</v>
      </c>
      <c r="AI22" s="73">
        <f t="shared" si="26"/>
        <v>0</v>
      </c>
      <c r="AJ22" s="278">
        <f t="shared" si="6"/>
        <v>0.25738396624472576</v>
      </c>
      <c r="AK22" s="278" t="e">
        <f t="shared" si="7"/>
        <v>#DIV/0!</v>
      </c>
      <c r="AL22">
        <f t="shared" si="23"/>
        <v>0</v>
      </c>
    </row>
    <row r="23" spans="1:38" ht="15.75" thickBot="1">
      <c r="A23" s="4">
        <f>ELEC!C24</f>
        <v>44641</v>
      </c>
      <c r="B23" s="502">
        <f t="shared" si="27"/>
        <v>11534</v>
      </c>
      <c r="C23" s="276">
        <f t="shared" si="8"/>
        <v>0</v>
      </c>
      <c r="D23" s="503">
        <f t="shared" si="9"/>
        <v>646516</v>
      </c>
      <c r="E23" s="276">
        <f>150*C23</f>
        <v>0</v>
      </c>
      <c r="F23" s="276">
        <f t="shared" si="0"/>
        <v>0</v>
      </c>
      <c r="G23" s="196"/>
      <c r="H23" s="260">
        <f t="shared" si="11"/>
        <v>11528</v>
      </c>
      <c r="I23" s="276" t="str">
        <f t="shared" si="1"/>
        <v>oil change</v>
      </c>
      <c r="J23" s="502">
        <f t="shared" si="12"/>
        <v>10698</v>
      </c>
      <c r="K23" s="276">
        <f t="shared" si="2"/>
        <v>0</v>
      </c>
      <c r="L23" s="503">
        <f t="shared" si="13"/>
        <v>357691</v>
      </c>
      <c r="M23" s="276">
        <f t="shared" si="14"/>
        <v>0</v>
      </c>
      <c r="N23" s="276">
        <f t="shared" si="15"/>
        <v>0</v>
      </c>
      <c r="O23" s="196"/>
      <c r="P23" s="277">
        <f t="shared" si="16"/>
        <v>10873</v>
      </c>
      <c r="Q23" s="276" t="str">
        <f t="shared" si="31"/>
        <v>ok</v>
      </c>
      <c r="R23" s="502">
        <f t="shared" si="28"/>
        <v>13684</v>
      </c>
      <c r="S23" s="276">
        <f>R23-R22</f>
        <v>0</v>
      </c>
      <c r="T23" s="503">
        <f t="shared" si="29"/>
        <v>360512</v>
      </c>
      <c r="U23" s="276">
        <f>V23*S23</f>
        <v>0</v>
      </c>
      <c r="V23" s="276">
        <v>250</v>
      </c>
      <c r="W23" s="196"/>
      <c r="X23" s="260">
        <v>13719</v>
      </c>
      <c r="Y23" s="276" t="str">
        <f t="shared" si="32"/>
        <v>ok</v>
      </c>
      <c r="Z23" s="276">
        <f t="shared" si="5"/>
        <v>0</v>
      </c>
      <c r="AA23" s="276">
        <f t="shared" si="19"/>
        <v>0</v>
      </c>
      <c r="AB23" s="276">
        <f t="shared" si="20"/>
        <v>250</v>
      </c>
      <c r="AC23" s="276">
        <f t="shared" si="21"/>
        <v>0</v>
      </c>
      <c r="AD23" s="73">
        <f>ELEC!Q24</f>
        <v>0</v>
      </c>
      <c r="AE23" s="73" t="e">
        <f t="shared" si="24"/>
        <v>#DIV/0!</v>
      </c>
      <c r="AF23" s="387" t="e">
        <f t="shared" si="25"/>
        <v>#DIV/0!</v>
      </c>
      <c r="AG23" s="387" t="e">
        <f t="shared" si="25"/>
        <v>#DIV/0!</v>
      </c>
      <c r="AH23" s="388" t="e">
        <f t="shared" si="22"/>
        <v>#DIV/0!</v>
      </c>
      <c r="AI23" s="73">
        <f t="shared" si="26"/>
        <v>0</v>
      </c>
      <c r="AJ23" s="278">
        <f t="shared" si="6"/>
        <v>0.25738396624472576</v>
      </c>
      <c r="AK23" s="278" t="e">
        <f t="shared" si="7"/>
        <v>#DIV/0!</v>
      </c>
      <c r="AL23">
        <f t="shared" si="23"/>
        <v>0</v>
      </c>
    </row>
    <row r="24" spans="1:38" ht="15.75" thickBot="1">
      <c r="A24" s="4">
        <f>ELEC!C25</f>
        <v>44642</v>
      </c>
      <c r="B24" s="502">
        <f t="shared" si="27"/>
        <v>11534</v>
      </c>
      <c r="C24" s="276">
        <f t="shared" si="8"/>
        <v>0</v>
      </c>
      <c r="D24" s="503">
        <f t="shared" si="9"/>
        <v>646516</v>
      </c>
      <c r="E24" s="276">
        <f t="shared" si="10"/>
        <v>0</v>
      </c>
      <c r="F24" s="276">
        <f t="shared" si="0"/>
        <v>0</v>
      </c>
      <c r="G24" s="196"/>
      <c r="H24" s="260">
        <f t="shared" si="11"/>
        <v>11528</v>
      </c>
      <c r="I24" s="276" t="str">
        <f t="shared" si="1"/>
        <v>oil change</v>
      </c>
      <c r="J24" s="502">
        <f t="shared" si="12"/>
        <v>10698</v>
      </c>
      <c r="K24" s="276">
        <f t="shared" si="2"/>
        <v>0</v>
      </c>
      <c r="L24" s="503">
        <f t="shared" si="13"/>
        <v>357691</v>
      </c>
      <c r="M24" s="276">
        <f t="shared" si="14"/>
        <v>0</v>
      </c>
      <c r="N24" s="276">
        <f t="shared" si="15"/>
        <v>0</v>
      </c>
      <c r="O24" s="196"/>
      <c r="P24" s="277">
        <f t="shared" si="16"/>
        <v>10873</v>
      </c>
      <c r="Q24" s="276" t="str">
        <f t="shared" si="31"/>
        <v>ok</v>
      </c>
      <c r="R24" s="502">
        <f t="shared" si="28"/>
        <v>13684</v>
      </c>
      <c r="S24" s="276">
        <f t="shared" si="4"/>
        <v>0</v>
      </c>
      <c r="T24" s="503">
        <f t="shared" si="29"/>
        <v>360512</v>
      </c>
      <c r="U24" s="276">
        <f t="shared" si="30"/>
        <v>0</v>
      </c>
      <c r="V24" s="276">
        <v>250</v>
      </c>
      <c r="W24" s="196"/>
      <c r="X24" s="260">
        <v>13719</v>
      </c>
      <c r="Y24" s="276" t="str">
        <f t="shared" si="32"/>
        <v>ok</v>
      </c>
      <c r="Z24" s="276">
        <f t="shared" si="5"/>
        <v>0</v>
      </c>
      <c r="AA24" s="276">
        <f t="shared" si="19"/>
        <v>0</v>
      </c>
      <c r="AB24" s="276">
        <f t="shared" si="20"/>
        <v>250</v>
      </c>
      <c r="AC24" s="276">
        <f t="shared" si="21"/>
        <v>0</v>
      </c>
      <c r="AD24" s="73">
        <f>ELEC!Q25</f>
        <v>0</v>
      </c>
      <c r="AE24" s="73" t="e">
        <f t="shared" si="24"/>
        <v>#DIV/0!</v>
      </c>
      <c r="AF24" s="387" t="e">
        <f t="shared" si="25"/>
        <v>#DIV/0!</v>
      </c>
      <c r="AG24" s="387" t="e">
        <f t="shared" si="25"/>
        <v>#DIV/0!</v>
      </c>
      <c r="AH24" s="388" t="e">
        <f t="shared" si="22"/>
        <v>#DIV/0!</v>
      </c>
      <c r="AI24" s="73">
        <f t="shared" si="26"/>
        <v>0</v>
      </c>
      <c r="AJ24" s="278">
        <f t="shared" si="6"/>
        <v>0.25738396624472576</v>
      </c>
      <c r="AK24" s="278" t="e">
        <f t="shared" si="7"/>
        <v>#DIV/0!</v>
      </c>
      <c r="AL24">
        <f t="shared" si="23"/>
        <v>0</v>
      </c>
    </row>
    <row r="25" spans="1:38" ht="15.75" thickBot="1">
      <c r="A25" s="4">
        <f>ELEC!C26</f>
        <v>44643</v>
      </c>
      <c r="B25" s="502">
        <f t="shared" si="27"/>
        <v>11534</v>
      </c>
      <c r="C25" s="276">
        <f t="shared" si="8"/>
        <v>0</v>
      </c>
      <c r="D25" s="503">
        <f t="shared" si="9"/>
        <v>646516</v>
      </c>
      <c r="E25" s="276">
        <f t="shared" si="10"/>
        <v>0</v>
      </c>
      <c r="F25" s="276">
        <f t="shared" si="0"/>
        <v>0</v>
      </c>
      <c r="G25" s="196"/>
      <c r="H25" s="260">
        <f t="shared" si="11"/>
        <v>11528</v>
      </c>
      <c r="I25" s="276" t="str">
        <f t="shared" si="1"/>
        <v>oil change</v>
      </c>
      <c r="J25" s="502">
        <f t="shared" si="12"/>
        <v>10698</v>
      </c>
      <c r="K25" s="276">
        <f t="shared" si="2"/>
        <v>0</v>
      </c>
      <c r="L25" s="503">
        <f t="shared" si="13"/>
        <v>357691</v>
      </c>
      <c r="M25" s="276">
        <f t="shared" si="14"/>
        <v>0</v>
      </c>
      <c r="N25" s="276">
        <f t="shared" si="15"/>
        <v>0</v>
      </c>
      <c r="O25" s="196"/>
      <c r="P25" s="277">
        <f t="shared" si="16"/>
        <v>10873</v>
      </c>
      <c r="Q25" s="276" t="str">
        <f t="shared" si="31"/>
        <v>ok</v>
      </c>
      <c r="R25" s="502">
        <f t="shared" si="28"/>
        <v>13684</v>
      </c>
      <c r="S25" s="276">
        <f t="shared" si="4"/>
        <v>0</v>
      </c>
      <c r="T25" s="503">
        <f t="shared" si="29"/>
        <v>360512</v>
      </c>
      <c r="U25" s="276">
        <f t="shared" si="30"/>
        <v>0</v>
      </c>
      <c r="V25" s="276">
        <v>250</v>
      </c>
      <c r="W25" s="196"/>
      <c r="X25" s="260">
        <v>13719</v>
      </c>
      <c r="Y25" s="276" t="str">
        <f t="shared" si="32"/>
        <v>ok</v>
      </c>
      <c r="Z25" s="276">
        <f t="shared" si="5"/>
        <v>0</v>
      </c>
      <c r="AA25" s="276">
        <f t="shared" si="19"/>
        <v>0</v>
      </c>
      <c r="AB25" s="276">
        <f t="shared" si="20"/>
        <v>250</v>
      </c>
      <c r="AC25" s="276">
        <f t="shared" si="21"/>
        <v>0</v>
      </c>
      <c r="AD25" s="73">
        <f>ELEC!Q26</f>
        <v>0</v>
      </c>
      <c r="AE25" s="73" t="e">
        <f t="shared" si="24"/>
        <v>#DIV/0!</v>
      </c>
      <c r="AF25" s="387" t="e">
        <f t="shared" si="25"/>
        <v>#DIV/0!</v>
      </c>
      <c r="AG25" s="387" t="e">
        <f t="shared" si="25"/>
        <v>#DIV/0!</v>
      </c>
      <c r="AH25" s="388" t="e">
        <f t="shared" si="22"/>
        <v>#DIV/0!</v>
      </c>
      <c r="AI25" s="73">
        <f t="shared" si="26"/>
        <v>0</v>
      </c>
      <c r="AJ25" s="278">
        <f t="shared" si="6"/>
        <v>0.25738396624472576</v>
      </c>
      <c r="AK25" s="278" t="e">
        <f t="shared" si="7"/>
        <v>#DIV/0!</v>
      </c>
      <c r="AL25">
        <f t="shared" si="23"/>
        <v>0</v>
      </c>
    </row>
    <row r="26" spans="1:38" ht="15.75" thickBot="1">
      <c r="A26" s="4">
        <f>ELEC!C27</f>
        <v>44644</v>
      </c>
      <c r="B26" s="502">
        <f t="shared" si="27"/>
        <v>11534</v>
      </c>
      <c r="C26" s="276">
        <f>B26-B25</f>
        <v>0</v>
      </c>
      <c r="D26" s="503">
        <f t="shared" si="9"/>
        <v>646516</v>
      </c>
      <c r="E26" s="276">
        <f>SUM(D26-D25)</f>
        <v>0</v>
      </c>
      <c r="F26" s="276">
        <f t="shared" si="0"/>
        <v>0</v>
      </c>
      <c r="G26" s="196"/>
      <c r="H26" s="260">
        <f t="shared" si="11"/>
        <v>11528</v>
      </c>
      <c r="I26" s="276" t="str">
        <f t="shared" si="1"/>
        <v>oil change</v>
      </c>
      <c r="J26" s="502">
        <f t="shared" si="12"/>
        <v>10698</v>
      </c>
      <c r="K26" s="276">
        <f t="shared" si="2"/>
        <v>0</v>
      </c>
      <c r="L26" s="503">
        <f t="shared" si="13"/>
        <v>357691</v>
      </c>
      <c r="M26" s="276">
        <f t="shared" si="14"/>
        <v>0</v>
      </c>
      <c r="N26" s="276">
        <f t="shared" si="15"/>
        <v>0</v>
      </c>
      <c r="O26" s="196"/>
      <c r="P26" s="277">
        <f t="shared" si="16"/>
        <v>10873</v>
      </c>
      <c r="Q26" s="276" t="str">
        <f t="shared" si="31"/>
        <v>ok</v>
      </c>
      <c r="R26" s="502">
        <f t="shared" si="28"/>
        <v>13684</v>
      </c>
      <c r="S26" s="276">
        <f>R26-R25</f>
        <v>0</v>
      </c>
      <c r="T26" s="503">
        <f t="shared" si="29"/>
        <v>360512</v>
      </c>
      <c r="U26" s="276">
        <f t="shared" si="30"/>
        <v>0</v>
      </c>
      <c r="V26" s="276">
        <v>250</v>
      </c>
      <c r="W26" s="196"/>
      <c r="X26" s="260">
        <v>13719</v>
      </c>
      <c r="Y26" s="276" t="str">
        <f t="shared" si="32"/>
        <v>ok</v>
      </c>
      <c r="Z26" s="276">
        <f t="shared" si="5"/>
        <v>0</v>
      </c>
      <c r="AA26" s="276">
        <f t="shared" si="19"/>
        <v>0</v>
      </c>
      <c r="AB26" s="276">
        <f t="shared" si="20"/>
        <v>250</v>
      </c>
      <c r="AC26" s="276">
        <f t="shared" si="21"/>
        <v>0</v>
      </c>
      <c r="AD26" s="73">
        <f>ELEC!Q27</f>
        <v>0</v>
      </c>
      <c r="AE26" s="73" t="e">
        <f t="shared" si="24"/>
        <v>#DIV/0!</v>
      </c>
      <c r="AF26" s="387" t="e">
        <f t="shared" si="25"/>
        <v>#DIV/0!</v>
      </c>
      <c r="AG26" s="387" t="e">
        <f t="shared" si="25"/>
        <v>#DIV/0!</v>
      </c>
      <c r="AH26" s="388" t="e">
        <f t="shared" si="22"/>
        <v>#DIV/0!</v>
      </c>
      <c r="AI26" s="73">
        <f t="shared" si="26"/>
        <v>0</v>
      </c>
      <c r="AJ26" s="278">
        <f t="shared" si="6"/>
        <v>0.25738396624472576</v>
      </c>
      <c r="AK26" s="278" t="e">
        <f t="shared" si="7"/>
        <v>#DIV/0!</v>
      </c>
      <c r="AL26">
        <f t="shared" si="23"/>
        <v>0</v>
      </c>
    </row>
    <row r="27" spans="1:38" ht="15.75" thickBot="1">
      <c r="A27" s="4">
        <f>ELEC!C28</f>
        <v>44645</v>
      </c>
      <c r="B27" s="502">
        <f t="shared" si="27"/>
        <v>11534</v>
      </c>
      <c r="C27" s="276">
        <f>B27-B26</f>
        <v>0</v>
      </c>
      <c r="D27" s="503">
        <f t="shared" si="9"/>
        <v>646516</v>
      </c>
      <c r="E27" s="276">
        <f>SUM(D27-D26)</f>
        <v>0</v>
      </c>
      <c r="F27" s="276">
        <f t="shared" si="0"/>
        <v>0</v>
      </c>
      <c r="G27" s="196"/>
      <c r="H27" s="260">
        <f t="shared" si="11"/>
        <v>11528</v>
      </c>
      <c r="I27" s="276" t="str">
        <f>IF(B27-H27&lt;=0,"ok","oil change")</f>
        <v>oil change</v>
      </c>
      <c r="J27" s="502">
        <f t="shared" si="12"/>
        <v>10698</v>
      </c>
      <c r="K27" s="276">
        <f t="shared" si="2"/>
        <v>0</v>
      </c>
      <c r="L27" s="503">
        <f t="shared" si="13"/>
        <v>357691</v>
      </c>
      <c r="M27" s="276">
        <f t="shared" si="14"/>
        <v>0</v>
      </c>
      <c r="N27" s="276">
        <f t="shared" si="15"/>
        <v>0</v>
      </c>
      <c r="O27" s="196"/>
      <c r="P27" s="277">
        <f t="shared" si="16"/>
        <v>10873</v>
      </c>
      <c r="Q27" s="276" t="str">
        <f t="shared" si="31"/>
        <v>ok</v>
      </c>
      <c r="R27" s="502">
        <f t="shared" si="28"/>
        <v>13684</v>
      </c>
      <c r="S27" s="276">
        <f t="shared" si="4"/>
        <v>0</v>
      </c>
      <c r="T27" s="503">
        <f t="shared" si="29"/>
        <v>360512</v>
      </c>
      <c r="U27" s="276">
        <f t="shared" si="30"/>
        <v>0</v>
      </c>
      <c r="V27" s="276">
        <v>250</v>
      </c>
      <c r="W27" s="196"/>
      <c r="X27" s="260">
        <v>13719</v>
      </c>
      <c r="Y27" s="276" t="str">
        <f t="shared" si="32"/>
        <v>ok</v>
      </c>
      <c r="Z27" s="276">
        <f t="shared" si="5"/>
        <v>0</v>
      </c>
      <c r="AA27" s="276">
        <f t="shared" si="19"/>
        <v>0</v>
      </c>
      <c r="AB27" s="276">
        <f t="shared" si="20"/>
        <v>250</v>
      </c>
      <c r="AC27" s="276">
        <f t="shared" si="21"/>
        <v>0</v>
      </c>
      <c r="AD27" s="73">
        <f>ELEC!Q28</f>
        <v>0</v>
      </c>
      <c r="AE27" s="73" t="e">
        <f t="shared" si="24"/>
        <v>#DIV/0!</v>
      </c>
      <c r="AF27" s="387" t="e">
        <f t="shared" si="25"/>
        <v>#DIV/0!</v>
      </c>
      <c r="AG27" s="387" t="e">
        <f t="shared" si="25"/>
        <v>#DIV/0!</v>
      </c>
      <c r="AH27" s="388" t="e">
        <f t="shared" si="22"/>
        <v>#DIV/0!</v>
      </c>
      <c r="AI27" s="73">
        <f t="shared" si="26"/>
        <v>0</v>
      </c>
      <c r="AJ27" s="278">
        <f t="shared" si="6"/>
        <v>0.25738396624472576</v>
      </c>
      <c r="AK27" s="278" t="e">
        <f t="shared" si="7"/>
        <v>#DIV/0!</v>
      </c>
      <c r="AL27">
        <f t="shared" si="23"/>
        <v>0</v>
      </c>
    </row>
    <row r="28" spans="1:38" ht="15.75" thickBot="1">
      <c r="A28" s="4">
        <f>ELEC!C29</f>
        <v>44646</v>
      </c>
      <c r="B28" s="502">
        <f t="shared" si="27"/>
        <v>11534</v>
      </c>
      <c r="C28" s="276">
        <f t="shared" si="8"/>
        <v>0</v>
      </c>
      <c r="D28" s="503">
        <f t="shared" si="9"/>
        <v>646516</v>
      </c>
      <c r="E28" s="276">
        <f>SUM(D28-D27)</f>
        <v>0</v>
      </c>
      <c r="F28" s="276">
        <f t="shared" si="0"/>
        <v>0</v>
      </c>
      <c r="G28" s="274"/>
      <c r="H28" s="260">
        <f t="shared" si="11"/>
        <v>11528</v>
      </c>
      <c r="I28" s="276" t="str">
        <f t="shared" si="1"/>
        <v>oil change</v>
      </c>
      <c r="J28" s="502">
        <f t="shared" si="12"/>
        <v>10698</v>
      </c>
      <c r="K28" s="276">
        <f t="shared" si="2"/>
        <v>0</v>
      </c>
      <c r="L28" s="503">
        <f t="shared" si="13"/>
        <v>357691</v>
      </c>
      <c r="M28" s="276">
        <f t="shared" si="14"/>
        <v>0</v>
      </c>
      <c r="N28" s="276">
        <f t="shared" si="15"/>
        <v>0</v>
      </c>
      <c r="O28" s="196"/>
      <c r="P28" s="277">
        <f t="shared" si="16"/>
        <v>10873</v>
      </c>
      <c r="Q28" s="276" t="str">
        <f t="shared" si="31"/>
        <v>ok</v>
      </c>
      <c r="R28" s="502">
        <f t="shared" si="28"/>
        <v>13684</v>
      </c>
      <c r="S28" s="276">
        <f t="shared" si="4"/>
        <v>0</v>
      </c>
      <c r="T28" s="503">
        <f t="shared" si="29"/>
        <v>360512</v>
      </c>
      <c r="U28" s="276">
        <f t="shared" si="30"/>
        <v>0</v>
      </c>
      <c r="V28" s="276">
        <v>250</v>
      </c>
      <c r="W28" s="196"/>
      <c r="X28" s="260">
        <v>13719</v>
      </c>
      <c r="Y28" s="276" t="str">
        <f t="shared" si="32"/>
        <v>ok</v>
      </c>
      <c r="Z28" s="276">
        <f t="shared" si="5"/>
        <v>0</v>
      </c>
      <c r="AA28" s="276">
        <f t="shared" si="19"/>
        <v>0</v>
      </c>
      <c r="AB28" s="276">
        <f t="shared" si="20"/>
        <v>250</v>
      </c>
      <c r="AC28" s="276">
        <f t="shared" si="21"/>
        <v>0</v>
      </c>
      <c r="AD28" s="73">
        <f>ELEC!Q29</f>
        <v>0</v>
      </c>
      <c r="AE28" s="73" t="e">
        <f t="shared" si="24"/>
        <v>#DIV/0!</v>
      </c>
      <c r="AF28" s="387" t="e">
        <f t="shared" si="25"/>
        <v>#DIV/0!</v>
      </c>
      <c r="AG28" s="387" t="e">
        <f t="shared" si="25"/>
        <v>#DIV/0!</v>
      </c>
      <c r="AH28" s="388" t="e">
        <f t="shared" si="22"/>
        <v>#DIV/0!</v>
      </c>
      <c r="AI28" s="73">
        <f t="shared" si="26"/>
        <v>0</v>
      </c>
      <c r="AJ28" s="278">
        <f t="shared" si="6"/>
        <v>0.25738396624472576</v>
      </c>
      <c r="AK28" s="278" t="e">
        <f t="shared" si="7"/>
        <v>#DIV/0!</v>
      </c>
      <c r="AL28">
        <f t="shared" si="23"/>
        <v>0</v>
      </c>
    </row>
    <row r="29" spans="1:38" ht="15.75" thickBot="1">
      <c r="A29" s="4">
        <f>ELEC!C30</f>
        <v>44647</v>
      </c>
      <c r="B29" s="502">
        <f t="shared" si="27"/>
        <v>11534</v>
      </c>
      <c r="C29" s="276">
        <f t="shared" si="8"/>
        <v>0</v>
      </c>
      <c r="D29" s="503">
        <f t="shared" si="9"/>
        <v>646516</v>
      </c>
      <c r="E29" s="276">
        <f>SUM(D29-D28)</f>
        <v>0</v>
      </c>
      <c r="F29" s="276">
        <f t="shared" si="0"/>
        <v>0</v>
      </c>
      <c r="G29" s="196"/>
      <c r="H29" s="260">
        <f t="shared" si="11"/>
        <v>11528</v>
      </c>
      <c r="I29" s="276" t="str">
        <f t="shared" si="1"/>
        <v>oil change</v>
      </c>
      <c r="J29" s="502">
        <f t="shared" si="12"/>
        <v>10698</v>
      </c>
      <c r="K29" s="276">
        <f t="shared" si="2"/>
        <v>0</v>
      </c>
      <c r="L29" s="503">
        <f t="shared" si="13"/>
        <v>357691</v>
      </c>
      <c r="M29" s="276">
        <f t="shared" si="14"/>
        <v>0</v>
      </c>
      <c r="N29" s="276">
        <f t="shared" si="15"/>
        <v>0</v>
      </c>
      <c r="O29" s="196"/>
      <c r="P29" s="277">
        <f t="shared" si="16"/>
        <v>10873</v>
      </c>
      <c r="Q29" s="276" t="str">
        <f t="shared" si="31"/>
        <v>ok</v>
      </c>
      <c r="R29" s="502">
        <f t="shared" si="28"/>
        <v>13684</v>
      </c>
      <c r="S29" s="276">
        <f t="shared" si="4"/>
        <v>0</v>
      </c>
      <c r="T29" s="503">
        <f t="shared" si="29"/>
        <v>360512</v>
      </c>
      <c r="U29" s="276">
        <f>V29*S29</f>
        <v>0</v>
      </c>
      <c r="V29" s="276">
        <v>250</v>
      </c>
      <c r="W29" s="196"/>
      <c r="X29" s="260">
        <v>13719</v>
      </c>
      <c r="Y29" s="276" t="str">
        <f t="shared" si="32"/>
        <v>ok</v>
      </c>
      <c r="Z29" s="276">
        <f t="shared" si="5"/>
        <v>0</v>
      </c>
      <c r="AA29" s="276">
        <f t="shared" si="19"/>
        <v>0</v>
      </c>
      <c r="AB29" s="276">
        <f t="shared" si="20"/>
        <v>250</v>
      </c>
      <c r="AC29" s="276">
        <f t="shared" si="21"/>
        <v>0</v>
      </c>
      <c r="AD29" s="73">
        <f>ELEC!Q30</f>
        <v>0</v>
      </c>
      <c r="AE29" s="73" t="e">
        <f t="shared" si="24"/>
        <v>#DIV/0!</v>
      </c>
      <c r="AF29" s="387" t="e">
        <f t="shared" si="25"/>
        <v>#DIV/0!</v>
      </c>
      <c r="AG29" s="387" t="e">
        <f t="shared" si="25"/>
        <v>#DIV/0!</v>
      </c>
      <c r="AH29" s="388" t="e">
        <f t="shared" si="22"/>
        <v>#DIV/0!</v>
      </c>
      <c r="AI29" s="73">
        <f t="shared" si="26"/>
        <v>0</v>
      </c>
      <c r="AJ29" s="278">
        <f t="shared" si="6"/>
        <v>0.25738396624472576</v>
      </c>
      <c r="AK29" s="278" t="e">
        <f t="shared" si="7"/>
        <v>#DIV/0!</v>
      </c>
      <c r="AL29">
        <f t="shared" si="23"/>
        <v>0</v>
      </c>
    </row>
    <row r="30" spans="1:38" ht="15.75" thickBot="1">
      <c r="A30" s="4">
        <f>ELEC!C31</f>
        <v>44648</v>
      </c>
      <c r="B30" s="502">
        <f t="shared" si="27"/>
        <v>11534</v>
      </c>
      <c r="C30" s="276">
        <f t="shared" si="8"/>
        <v>0</v>
      </c>
      <c r="D30" s="503">
        <f t="shared" si="9"/>
        <v>646516</v>
      </c>
      <c r="E30" s="276">
        <f>SUM(D30-D29)</f>
        <v>0</v>
      </c>
      <c r="F30" s="276">
        <f t="shared" si="0"/>
        <v>0</v>
      </c>
      <c r="G30" s="196"/>
      <c r="H30" s="260">
        <f t="shared" si="11"/>
        <v>11528</v>
      </c>
      <c r="I30" s="276" t="str">
        <f t="shared" si="1"/>
        <v>oil change</v>
      </c>
      <c r="J30" s="502">
        <f t="shared" si="12"/>
        <v>10698</v>
      </c>
      <c r="K30" s="276">
        <f t="shared" si="2"/>
        <v>0</v>
      </c>
      <c r="L30" s="503">
        <f t="shared" si="13"/>
        <v>357691</v>
      </c>
      <c r="M30" s="276">
        <f t="shared" si="14"/>
        <v>0</v>
      </c>
      <c r="N30" s="276">
        <f t="shared" si="15"/>
        <v>0</v>
      </c>
      <c r="O30" s="196"/>
      <c r="P30" s="277">
        <f t="shared" si="16"/>
        <v>10873</v>
      </c>
      <c r="Q30" s="276" t="str">
        <f t="shared" si="31"/>
        <v>ok</v>
      </c>
      <c r="R30" s="502">
        <f t="shared" si="28"/>
        <v>13684</v>
      </c>
      <c r="S30" s="276">
        <f t="shared" si="4"/>
        <v>0</v>
      </c>
      <c r="T30" s="503">
        <f t="shared" si="29"/>
        <v>360512</v>
      </c>
      <c r="U30" s="276">
        <f t="shared" si="30"/>
        <v>0</v>
      </c>
      <c r="V30" s="276">
        <v>250</v>
      </c>
      <c r="W30" s="274"/>
      <c r="X30" s="260">
        <v>13719</v>
      </c>
      <c r="Y30" s="276" t="str">
        <f t="shared" si="32"/>
        <v>ok</v>
      </c>
      <c r="Z30" s="276">
        <f t="shared" si="5"/>
        <v>0</v>
      </c>
      <c r="AA30" s="276">
        <f t="shared" si="19"/>
        <v>0</v>
      </c>
      <c r="AB30" s="276">
        <f t="shared" si="20"/>
        <v>250</v>
      </c>
      <c r="AC30" s="276">
        <f t="shared" si="21"/>
        <v>0</v>
      </c>
      <c r="AD30" s="73">
        <f>ELEC!Q31</f>
        <v>0</v>
      </c>
      <c r="AE30" s="73" t="e">
        <f t="shared" si="24"/>
        <v>#DIV/0!</v>
      </c>
      <c r="AF30" s="387" t="e">
        <f t="shared" si="25"/>
        <v>#DIV/0!</v>
      </c>
      <c r="AG30" s="387" t="e">
        <f t="shared" si="25"/>
        <v>#DIV/0!</v>
      </c>
      <c r="AH30" s="388" t="e">
        <f t="shared" si="22"/>
        <v>#DIV/0!</v>
      </c>
      <c r="AI30" s="73">
        <f t="shared" si="26"/>
        <v>0</v>
      </c>
      <c r="AJ30" s="278">
        <f t="shared" si="6"/>
        <v>0.25738396624472576</v>
      </c>
      <c r="AK30" s="278" t="e">
        <f t="shared" si="7"/>
        <v>#DIV/0!</v>
      </c>
      <c r="AL30">
        <f t="shared" si="23"/>
        <v>0</v>
      </c>
    </row>
    <row r="31" spans="1:38" ht="15.75" thickBot="1">
      <c r="A31" s="4">
        <f>ELEC!C32</f>
        <v>44649</v>
      </c>
      <c r="B31" s="502">
        <f t="shared" si="27"/>
        <v>11534</v>
      </c>
      <c r="C31" s="276">
        <f t="shared" ref="C31:C33" si="33">B31-B30</f>
        <v>0</v>
      </c>
      <c r="D31" s="503">
        <f t="shared" ref="D31:D33" si="34">D30+C31*250</f>
        <v>646516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1"/>
        <v>11528</v>
      </c>
      <c r="I31" s="276" t="str">
        <f t="shared" ref="I31:I33" si="37">IF(B31-H31&lt;=0,"ok","oil change")</f>
        <v>oil change</v>
      </c>
      <c r="J31" s="502">
        <f t="shared" si="12"/>
        <v>10698</v>
      </c>
      <c r="K31" s="276">
        <f t="shared" ref="K31:K33" si="38">J31-J30</f>
        <v>0</v>
      </c>
      <c r="L31" s="503">
        <f t="shared" si="13"/>
        <v>357691</v>
      </c>
      <c r="M31" s="276">
        <f t="shared" ref="M31:M33" si="39">SUM(L31-L30)</f>
        <v>0</v>
      </c>
      <c r="N31" s="276">
        <f t="shared" ref="N31:N33" si="40">IF(K31&gt;0,M31/K31,0)</f>
        <v>0</v>
      </c>
      <c r="O31" s="323"/>
      <c r="P31" s="277">
        <f t="shared" si="16"/>
        <v>10873</v>
      </c>
      <c r="Q31" s="276" t="str">
        <f t="shared" ref="Q31:Q33" si="41">IF(J31-P31&lt;=0,"ok","oil change")</f>
        <v>ok</v>
      </c>
      <c r="R31" s="502">
        <f t="shared" si="28"/>
        <v>13684</v>
      </c>
      <c r="S31" s="276">
        <f t="shared" ref="S31:S33" si="42">R31-R30</f>
        <v>0</v>
      </c>
      <c r="T31" s="503">
        <f t="shared" si="29"/>
        <v>360512</v>
      </c>
      <c r="U31" s="276">
        <f t="shared" ref="U31:U33" si="43">V31*S31</f>
        <v>0</v>
      </c>
      <c r="V31" s="276">
        <v>250</v>
      </c>
      <c r="W31" s="323"/>
      <c r="X31" s="260">
        <v>13719</v>
      </c>
      <c r="Y31" s="276" t="str">
        <f t="shared" si="32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250</v>
      </c>
      <c r="AC31" s="276">
        <f t="shared" ref="AC31:AC33" si="47">IF(Z31&gt;0,AA31/Z31,0)</f>
        <v>0</v>
      </c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>
        <f>ELEC!C33</f>
        <v>44650</v>
      </c>
      <c r="B32" s="502">
        <f t="shared" si="27"/>
        <v>11534</v>
      </c>
      <c r="C32" s="276">
        <f t="shared" si="33"/>
        <v>0</v>
      </c>
      <c r="D32" s="503">
        <f t="shared" si="34"/>
        <v>646516</v>
      </c>
      <c r="E32" s="276">
        <f t="shared" si="35"/>
        <v>0</v>
      </c>
      <c r="F32" s="276">
        <f t="shared" si="36"/>
        <v>0</v>
      </c>
      <c r="G32" s="323"/>
      <c r="H32" s="260">
        <f t="shared" si="11"/>
        <v>11528</v>
      </c>
      <c r="I32" s="276" t="str">
        <f t="shared" si="37"/>
        <v>oil change</v>
      </c>
      <c r="J32" s="502">
        <f t="shared" si="12"/>
        <v>10698</v>
      </c>
      <c r="K32" s="276">
        <f t="shared" si="38"/>
        <v>0</v>
      </c>
      <c r="L32" s="503">
        <f t="shared" si="13"/>
        <v>357691</v>
      </c>
      <c r="M32" s="276">
        <f t="shared" si="39"/>
        <v>0</v>
      </c>
      <c r="N32" s="276">
        <f t="shared" si="40"/>
        <v>0</v>
      </c>
      <c r="O32" s="323"/>
      <c r="P32" s="277">
        <f t="shared" si="16"/>
        <v>10873</v>
      </c>
      <c r="Q32" s="276" t="str">
        <f t="shared" si="41"/>
        <v>ok</v>
      </c>
      <c r="R32" s="502">
        <f t="shared" si="28"/>
        <v>13684</v>
      </c>
      <c r="S32" s="276">
        <f t="shared" si="42"/>
        <v>0</v>
      </c>
      <c r="T32" s="503">
        <f t="shared" si="29"/>
        <v>360512</v>
      </c>
      <c r="U32" s="276">
        <f t="shared" si="43"/>
        <v>0</v>
      </c>
      <c r="V32" s="276">
        <v>250</v>
      </c>
      <c r="W32" s="323"/>
      <c r="X32" s="260">
        <v>13719</v>
      </c>
      <c r="Y32" s="276" t="str">
        <f t="shared" si="32"/>
        <v>ok</v>
      </c>
      <c r="Z32" s="276">
        <f t="shared" si="44"/>
        <v>0</v>
      </c>
      <c r="AA32" s="276">
        <f t="shared" si="45"/>
        <v>0</v>
      </c>
      <c r="AB32" s="276">
        <f t="shared" si="46"/>
        <v>250</v>
      </c>
      <c r="AC32" s="276">
        <f t="shared" si="47"/>
        <v>0</v>
      </c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>
        <f>ELEC!C34</f>
        <v>44651</v>
      </c>
      <c r="B33" s="502">
        <f t="shared" si="27"/>
        <v>11534</v>
      </c>
      <c r="C33" s="276">
        <f t="shared" si="33"/>
        <v>0</v>
      </c>
      <c r="D33" s="503">
        <f t="shared" si="34"/>
        <v>646516</v>
      </c>
      <c r="E33" s="276">
        <f t="shared" si="35"/>
        <v>0</v>
      </c>
      <c r="F33" s="276">
        <f t="shared" si="36"/>
        <v>0</v>
      </c>
      <c r="G33" s="323"/>
      <c r="H33" s="260">
        <f t="shared" si="11"/>
        <v>11528</v>
      </c>
      <c r="I33" s="276" t="str">
        <f t="shared" si="37"/>
        <v>oil change</v>
      </c>
      <c r="J33" s="502">
        <f t="shared" si="12"/>
        <v>10698</v>
      </c>
      <c r="K33" s="276">
        <f t="shared" si="38"/>
        <v>0</v>
      </c>
      <c r="L33" s="503">
        <f t="shared" si="13"/>
        <v>357691</v>
      </c>
      <c r="M33" s="276">
        <f t="shared" si="39"/>
        <v>0</v>
      </c>
      <c r="N33" s="276">
        <f t="shared" si="40"/>
        <v>0</v>
      </c>
      <c r="O33" s="323"/>
      <c r="P33" s="277">
        <f t="shared" si="16"/>
        <v>10873</v>
      </c>
      <c r="Q33" s="276" t="str">
        <f t="shared" si="41"/>
        <v>ok</v>
      </c>
      <c r="R33" s="502">
        <f t="shared" si="28"/>
        <v>13684</v>
      </c>
      <c r="S33" s="276">
        <f t="shared" si="42"/>
        <v>0</v>
      </c>
      <c r="T33" s="503">
        <f t="shared" si="29"/>
        <v>360512</v>
      </c>
      <c r="U33" s="276">
        <f t="shared" si="43"/>
        <v>0</v>
      </c>
      <c r="V33" s="276">
        <v>250</v>
      </c>
      <c r="W33" s="323"/>
      <c r="X33" s="260">
        <v>13719</v>
      </c>
      <c r="Y33" s="276" t="str">
        <f t="shared" si="32"/>
        <v>ok</v>
      </c>
      <c r="Z33" s="276">
        <f t="shared" si="44"/>
        <v>0</v>
      </c>
      <c r="AA33" s="276">
        <f t="shared" si="45"/>
        <v>0</v>
      </c>
      <c r="AB33" s="276">
        <f t="shared" si="46"/>
        <v>250</v>
      </c>
      <c r="AC33" s="276">
        <f t="shared" si="47"/>
        <v>0</v>
      </c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46</v>
      </c>
      <c r="V34" s="40"/>
      <c r="X34">
        <v>341</v>
      </c>
      <c r="Z34" s="404">
        <f>SUM(Z3:Z33)</f>
        <v>46</v>
      </c>
      <c r="AF34" s="387">
        <f>SUM(AE34/1600)</f>
        <v>0</v>
      </c>
      <c r="AL34">
        <f>SUM(AL3:AL33)</f>
        <v>4</v>
      </c>
    </row>
    <row r="35" spans="1:38">
      <c r="C35" s="40">
        <f>SUM(C3:C33)</f>
        <v>29</v>
      </c>
      <c r="K35" s="40">
        <f>SUM(K3:K33)</f>
        <v>0</v>
      </c>
      <c r="S35" s="40">
        <f>SUM(S3:S33)</f>
        <v>17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M1" activePane="topRight" state="frozen"/>
      <selection pane="topRight" activeCell="AO8" sqref="AO8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[2]tanks!$A$33</f>
        <v>44620</v>
      </c>
      <c r="B5" s="499">
        <f>[2]tanks!B33</f>
        <v>166</v>
      </c>
      <c r="C5" s="499">
        <f>[2]tanks!C33</f>
        <v>3571.6774193548385</v>
      </c>
      <c r="D5" s="499">
        <f>[2]tanks!D33</f>
        <v>166</v>
      </c>
      <c r="E5" s="499">
        <f>[2]tanks!E33</f>
        <v>3571.6774193548385</v>
      </c>
      <c r="F5" s="499">
        <f>[2]tanks!F33</f>
        <v>166</v>
      </c>
      <c r="G5" s="499">
        <f>[2]tanks!G33</f>
        <v>3571.6774193548385</v>
      </c>
      <c r="H5" s="499">
        <f>[2]tanks!H33</f>
        <v>166</v>
      </c>
      <c r="I5" s="499">
        <f>[2]tanks!I33</f>
        <v>3571.6774193548385</v>
      </c>
      <c r="J5" s="499">
        <f>[2]tanks!J33</f>
        <v>166</v>
      </c>
      <c r="K5" s="499">
        <f>[2]tanks!K33</f>
        <v>3571.6774193548385</v>
      </c>
      <c r="L5" s="499">
        <f>[2]tanks!L33</f>
        <v>166</v>
      </c>
      <c r="M5" s="499">
        <f>[2]tanks!M33</f>
        <v>3571.6774193548385</v>
      </c>
      <c r="N5" s="499">
        <f>[2]tanks!N33</f>
        <v>166</v>
      </c>
      <c r="O5" s="499">
        <f>[2]tanks!O33</f>
        <v>3571.6774193548385</v>
      </c>
      <c r="P5" s="499">
        <f>[2]tanks!P33</f>
        <v>166</v>
      </c>
      <c r="Q5" s="499">
        <f>[2]tanks!Q33</f>
        <v>3571.6774193548385</v>
      </c>
      <c r="R5" s="499">
        <f>[2]tanks!R33</f>
        <v>166</v>
      </c>
      <c r="S5" s="499">
        <f>[2]tanks!S33</f>
        <v>3571.6774193548385</v>
      </c>
      <c r="T5" s="499">
        <f>[2]tanks!T33</f>
        <v>166</v>
      </c>
      <c r="U5" s="499">
        <f>[2]tanks!U33</f>
        <v>3571.6774193548385</v>
      </c>
      <c r="V5" s="499">
        <f>[2]tanks!V33</f>
        <v>166</v>
      </c>
      <c r="W5" s="499">
        <f>[2]tanks!W33</f>
        <v>3571.6774193548385</v>
      </c>
      <c r="X5" s="499">
        <f>[2]tanks!X33</f>
        <v>0.53548387096774186</v>
      </c>
      <c r="Y5" s="499">
        <f>[2]tanks!Y33</f>
        <v>39288.45161290322</v>
      </c>
      <c r="Z5" s="499">
        <f>[2]tanks!Z33</f>
        <v>158</v>
      </c>
      <c r="AA5" s="499">
        <f>[2]tanks!AA33</f>
        <v>1580</v>
      </c>
      <c r="AB5" s="499">
        <f>[2]tanks!AB33</f>
        <v>158</v>
      </c>
      <c r="AC5" s="499">
        <f>[2]tanks!AC33</f>
        <v>1580</v>
      </c>
      <c r="AD5" s="499">
        <f>[2]tanks!AD33</f>
        <v>158</v>
      </c>
      <c r="AE5" s="499">
        <f>[2]tanks!AE33</f>
        <v>1580</v>
      </c>
      <c r="AF5" s="499">
        <f>[2]tanks!AF33</f>
        <v>158</v>
      </c>
      <c r="AG5" s="499">
        <f>[2]tanks!AG33</f>
        <v>1580</v>
      </c>
      <c r="AH5" s="499">
        <f>[2]tanks!AH33</f>
        <v>158</v>
      </c>
      <c r="AI5" s="499">
        <f>[2]tanks!AI33</f>
        <v>1580</v>
      </c>
      <c r="AJ5" s="499">
        <f>[2]tanks!AJ33</f>
        <v>158</v>
      </c>
      <c r="AK5" s="499">
        <f>[2]tanks!AK33</f>
        <v>1580</v>
      </c>
      <c r="AL5" s="499">
        <f>[2]tanks!AL33</f>
        <v>158</v>
      </c>
      <c r="AM5" s="499">
        <f>[2]tanks!AM33</f>
        <v>1580</v>
      </c>
      <c r="AN5" s="476">
        <f>[2]tanks!AN33</f>
        <v>0.56428571428571428</v>
      </c>
      <c r="AO5" s="499">
        <f>[2]tanks!AO33</f>
        <v>11060</v>
      </c>
      <c r="AP5" s="499"/>
      <c r="AQ5" s="476">
        <f>[2]tanks!$AQ$33</f>
        <v>0.54155589558893424</v>
      </c>
      <c r="AR5" s="572">
        <f>[2]tanks!AR33</f>
        <v>50348.45161290322</v>
      </c>
      <c r="AS5" s="572">
        <f>[2]tanks!AS33</f>
        <v>-1733.3548387096889</v>
      </c>
      <c r="AT5" s="572">
        <f>[2]tanks!AT33</f>
        <v>0</v>
      </c>
      <c r="AU5" s="572">
        <f>[2]tanks!AU33</f>
        <v>0</v>
      </c>
      <c r="AV5" s="572">
        <f>[2]tanks!AV33</f>
        <v>0.74</v>
      </c>
      <c r="AW5" s="572">
        <f>[2]tanks!AW33</f>
        <v>-415</v>
      </c>
      <c r="AX5" s="572">
        <f>[2]tanks!AX33</f>
        <v>-1318.3548387096889</v>
      </c>
      <c r="AY5" s="572">
        <f>[2]tanks!AY33</f>
        <v>-1733.3548387096889</v>
      </c>
      <c r="AZ5" s="476">
        <f>[2]tanks!AZ33</f>
        <v>0</v>
      </c>
      <c r="BA5" s="572">
        <f>[2]tanks!BA33</f>
        <v>14.5</v>
      </c>
      <c r="BB5" s="476">
        <f>[2]tanks!BB33</f>
        <v>0.66</v>
      </c>
      <c r="BC5" s="572">
        <f>[5]tanks!BC36</f>
        <v>0</v>
      </c>
      <c r="BD5" s="572">
        <f>[5]tanks!BD36</f>
        <v>0</v>
      </c>
      <c r="BE5" s="572">
        <f>[5]tanks!BE36</f>
        <v>0</v>
      </c>
      <c r="BF5" s="572">
        <f>[5]tanks!BF36</f>
        <v>0</v>
      </c>
      <c r="BG5" s="572">
        <f>[5]tanks!BG36</f>
        <v>0</v>
      </c>
      <c r="BH5" s="572">
        <f>[5]tanks!BH36</f>
        <v>0</v>
      </c>
      <c r="BI5" s="572">
        <f>[5]tanks!BI36</f>
        <v>23</v>
      </c>
    </row>
    <row r="6" spans="1:63">
      <c r="A6" s="425">
        <f>ELEC!C4</f>
        <v>44621</v>
      </c>
      <c r="B6" s="499">
        <f>'B5'!B5</f>
        <v>187</v>
      </c>
      <c r="C6" s="203">
        <f>B6*$B$4</f>
        <v>4023.516129032258</v>
      </c>
      <c r="D6">
        <f>SUM(B6)</f>
        <v>187</v>
      </c>
      <c r="E6" s="203">
        <f>D6*$B$4</f>
        <v>4023.516129032258</v>
      </c>
      <c r="F6">
        <f>SUM(D6)</f>
        <v>187</v>
      </c>
      <c r="G6" s="203">
        <f t="shared" ref="G6:G33" si="1">F6*$B$4</f>
        <v>4023.516129032258</v>
      </c>
      <c r="H6" s="203">
        <f>SUM(F6)</f>
        <v>187</v>
      </c>
      <c r="I6" s="203">
        <f t="shared" ref="I6:I33" si="2">H6*$B$4</f>
        <v>4023.516129032258</v>
      </c>
      <c r="J6" s="203">
        <f>SUM(H6)</f>
        <v>187</v>
      </c>
      <c r="K6" s="203">
        <f t="shared" ref="K6:K33" si="3">J6*$B$4</f>
        <v>4023.516129032258</v>
      </c>
      <c r="L6" s="203">
        <f>SUM(J6)</f>
        <v>187</v>
      </c>
      <c r="M6" s="203">
        <f t="shared" ref="M6:M33" si="4">L6*$B$4</f>
        <v>4023.516129032258</v>
      </c>
      <c r="N6" s="203">
        <f>SUM(L6)</f>
        <v>187</v>
      </c>
      <c r="O6" s="203">
        <f t="shared" ref="O6:O33" si="5">N6*$B$4</f>
        <v>4023.516129032258</v>
      </c>
      <c r="P6" s="203">
        <f>SUM(N6)</f>
        <v>187</v>
      </c>
      <c r="Q6" s="203">
        <f t="shared" ref="Q6:Q33" si="6">P6*$B$4</f>
        <v>4023.516129032258</v>
      </c>
      <c r="R6" s="203">
        <f>SUM(P6)</f>
        <v>187</v>
      </c>
      <c r="S6" s="203">
        <f t="shared" ref="S6:S33" si="7">R6*$B$4</f>
        <v>4023.516129032258</v>
      </c>
      <c r="T6" s="203">
        <f>SUM(R6)</f>
        <v>187</v>
      </c>
      <c r="U6" s="203">
        <f t="shared" ref="U6:U33" si="8">T6*$B$4</f>
        <v>4023.516129032258</v>
      </c>
      <c r="V6" s="203">
        <f>SUM(T6)</f>
        <v>187</v>
      </c>
      <c r="W6" s="203">
        <f t="shared" ref="W6:W33" si="9">V6*$B$4</f>
        <v>4023.516129032258</v>
      </c>
      <c r="X6" s="35">
        <f t="shared" ref="X6:X29" si="10">SUM(Y6/73370)</f>
        <v>0.60322580645161294</v>
      </c>
      <c r="Y6" s="36">
        <f>SUM(C6+E6+G6+I6+K6+M6+O6+Q6+S6+U6+W6)</f>
        <v>44258.677419354841</v>
      </c>
      <c r="Z6" s="203">
        <f>'B5'!C5</f>
        <v>194</v>
      </c>
      <c r="AA6" s="203">
        <f>SUM(Z6*$Z$4)</f>
        <v>1940</v>
      </c>
      <c r="AB6" s="203">
        <f>SUM(Z6)</f>
        <v>194</v>
      </c>
      <c r="AC6" s="203">
        <f>SUM(AB6*$Z$4)</f>
        <v>1940</v>
      </c>
      <c r="AD6" s="203">
        <f>SUM(AB6)</f>
        <v>194</v>
      </c>
      <c r="AE6" s="203">
        <f t="shared" ref="AE6:AE33" si="11">SUM(AD6*$Z$4)</f>
        <v>1940</v>
      </c>
      <c r="AF6" s="203">
        <f>SUM(AD6)</f>
        <v>194</v>
      </c>
      <c r="AG6" s="203">
        <f t="shared" ref="AG6:AG33" si="12">SUM(AF6*$Z$4)</f>
        <v>1940</v>
      </c>
      <c r="AH6" s="203">
        <f>SUM(AF6)</f>
        <v>194</v>
      </c>
      <c r="AI6" s="203">
        <f t="shared" ref="AI6:AI33" si="13">SUM(AH6*$Z$4)</f>
        <v>1940</v>
      </c>
      <c r="AJ6" s="203">
        <f>SUM(AH6)</f>
        <v>194</v>
      </c>
      <c r="AK6" s="203">
        <f t="shared" ref="AK6:AK33" si="14">SUM(AJ6*$Z$4)</f>
        <v>1940</v>
      </c>
      <c r="AL6" s="203">
        <f>SUM(AJ6)</f>
        <v>194</v>
      </c>
      <c r="AM6" s="203">
        <f t="shared" ref="AM6:AM33" si="15">SUM(AL6*$Z$4)</f>
        <v>1940</v>
      </c>
      <c r="AN6" s="35">
        <f t="shared" ref="AN6:AN29" si="16">SUM(AO6/19600)</f>
        <v>0.69285714285714284</v>
      </c>
      <c r="AO6" s="36">
        <f>SUM(AA6+AC6+AE6+AG6+AI6+AK6+AM6)</f>
        <v>13580</v>
      </c>
      <c r="AQ6" s="223">
        <f>SUM(AR6/92970)</f>
        <v>0.62212194707276369</v>
      </c>
      <c r="AR6" s="38">
        <f>Y6+AO6</f>
        <v>57838.677419354841</v>
      </c>
      <c r="AS6" s="197">
        <f>SUM(AR6-AR5-AT6)</f>
        <v>-1767.7741935483791</v>
      </c>
      <c r="AT6" s="340">
        <v>9258</v>
      </c>
      <c r="AU6" s="548">
        <v>0.75700000000000001</v>
      </c>
      <c r="AV6" s="485">
        <f>IF(AT6&gt;0,AU6,AV5)</f>
        <v>0.75700000000000001</v>
      </c>
      <c r="AW6" s="279">
        <f>-SUM('B5'!AI5)</f>
        <v>-343</v>
      </c>
      <c r="AX6" s="279">
        <f t="shared" ref="AX6:AX33" si="17">-SUM(AW6-AS6)</f>
        <v>-1424.7741935483791</v>
      </c>
      <c r="AY6" s="37">
        <f>SUM(AX6+AW6)</f>
        <v>-1767.7741935483791</v>
      </c>
      <c r="AZ6" s="100">
        <f>ELEC!A4</f>
        <v>0</v>
      </c>
      <c r="BA6" s="118">
        <f>'General information '!D5</f>
        <v>15.5</v>
      </c>
      <c r="BB6" s="269">
        <f>SUM('General information '!E5)</f>
        <v>0.74</v>
      </c>
      <c r="BC6" s="3">
        <f>IF(AR3&gt;=AR6,0,1)</f>
        <v>0</v>
      </c>
      <c r="BD6" s="102">
        <v>19222</v>
      </c>
      <c r="BE6" s="14">
        <f>(305/1185)*ELEC!Q5</f>
        <v>1532.9789029540884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-118.73118279569826</v>
      </c>
      <c r="BK6" s="538">
        <f>GEN!AF3</f>
        <v>0.35096590909089087</v>
      </c>
    </row>
    <row r="7" spans="1:63">
      <c r="A7" s="425">
        <f>ELEC!C5</f>
        <v>44622</v>
      </c>
      <c r="B7">
        <f>'B5'!B6</f>
        <v>178</v>
      </c>
      <c r="C7" s="203">
        <f t="shared" ref="C7:E33" si="18">B7*$B$4</f>
        <v>3829.8709677419356</v>
      </c>
      <c r="D7">
        <f t="shared" ref="D7:D29" si="19">SUM(B7)</f>
        <v>178</v>
      </c>
      <c r="E7" s="203">
        <f t="shared" si="18"/>
        <v>3829.8709677419356</v>
      </c>
      <c r="F7">
        <f t="shared" ref="F7:F29" si="20">SUM(D7)</f>
        <v>178</v>
      </c>
      <c r="G7" s="203">
        <f t="shared" si="1"/>
        <v>3829.8709677419356</v>
      </c>
      <c r="H7" s="203">
        <f t="shared" ref="H7:H29" si="21">SUM(F7)</f>
        <v>178</v>
      </c>
      <c r="I7" s="203">
        <f t="shared" si="2"/>
        <v>3829.8709677419356</v>
      </c>
      <c r="J7" s="203">
        <f t="shared" ref="J7:J29" si="22">SUM(H7)</f>
        <v>178</v>
      </c>
      <c r="K7" s="203">
        <f t="shared" si="3"/>
        <v>3829.8709677419356</v>
      </c>
      <c r="L7" s="203">
        <f t="shared" ref="L7:L29" si="23">SUM(J7)</f>
        <v>178</v>
      </c>
      <c r="M7" s="203">
        <f t="shared" si="4"/>
        <v>3829.8709677419356</v>
      </c>
      <c r="N7" s="203">
        <f t="shared" ref="N7:N29" si="24">SUM(L7)</f>
        <v>178</v>
      </c>
      <c r="O7" s="203">
        <f t="shared" si="5"/>
        <v>3829.8709677419356</v>
      </c>
      <c r="P7" s="203">
        <f t="shared" ref="P7:P29" si="25">SUM(N7)</f>
        <v>178</v>
      </c>
      <c r="Q7" s="203">
        <f t="shared" si="6"/>
        <v>3829.8709677419356</v>
      </c>
      <c r="R7" s="203">
        <f t="shared" ref="R7:R29" si="26">SUM(P7)</f>
        <v>178</v>
      </c>
      <c r="S7" s="203">
        <f t="shared" si="7"/>
        <v>3829.8709677419356</v>
      </c>
      <c r="T7" s="203">
        <f t="shared" ref="T7:T29" si="27">SUM(R7)</f>
        <v>178</v>
      </c>
      <c r="U7" s="203">
        <f t="shared" si="8"/>
        <v>3829.8709677419356</v>
      </c>
      <c r="V7" s="203">
        <f t="shared" ref="V7:V29" si="28">SUM(T7)</f>
        <v>178</v>
      </c>
      <c r="W7" s="203">
        <f t="shared" si="9"/>
        <v>3829.8709677419356</v>
      </c>
      <c r="X7" s="35">
        <f t="shared" si="10"/>
        <v>0.57419354838709691</v>
      </c>
      <c r="Y7" s="36">
        <f t="shared" ref="Y7:Y29" si="29">SUM(C7+E7+G7+I7+K7+M7+O7+Q7+S7+U7+W7)</f>
        <v>42128.580645161303</v>
      </c>
      <c r="Z7" s="203">
        <f>'B5'!C6</f>
        <v>185</v>
      </c>
      <c r="AA7" s="203">
        <f t="shared" ref="AA7:AC33" si="30">SUM(Z7*$Z$4)</f>
        <v>1850</v>
      </c>
      <c r="AB7" s="203">
        <f t="shared" ref="AB7:AB29" si="31">SUM(Z7)</f>
        <v>185</v>
      </c>
      <c r="AC7" s="203">
        <f t="shared" si="30"/>
        <v>1850</v>
      </c>
      <c r="AD7" s="203">
        <f t="shared" ref="AD7:AD29" si="32">SUM(AB7)</f>
        <v>185</v>
      </c>
      <c r="AE7" s="203">
        <f t="shared" si="11"/>
        <v>1850</v>
      </c>
      <c r="AF7" s="203">
        <f t="shared" ref="AF7:AF29" si="33">SUM(AD7)</f>
        <v>185</v>
      </c>
      <c r="AG7" s="203">
        <f t="shared" si="12"/>
        <v>1850</v>
      </c>
      <c r="AH7" s="203">
        <f t="shared" ref="AH7:AH29" si="34">SUM(AF7)</f>
        <v>185</v>
      </c>
      <c r="AI7" s="203">
        <f t="shared" si="13"/>
        <v>1850</v>
      </c>
      <c r="AJ7" s="203">
        <f t="shared" ref="AJ7:AJ29" si="35">SUM(AH7)</f>
        <v>185</v>
      </c>
      <c r="AK7" s="203">
        <f t="shared" si="14"/>
        <v>1850</v>
      </c>
      <c r="AL7" s="203">
        <f t="shared" ref="AL7:AL29" si="36">SUM(AJ7)</f>
        <v>185</v>
      </c>
      <c r="AM7" s="203">
        <f t="shared" si="15"/>
        <v>1850</v>
      </c>
      <c r="AN7" s="35">
        <f>SUM(AO7/19600)</f>
        <v>0.6607142857142857</v>
      </c>
      <c r="AO7" s="36">
        <f>SUM(AA7+AC7+AE7+AG7+AI7+AK7+AM7)</f>
        <v>12950</v>
      </c>
      <c r="AQ7" s="223">
        <f>SUM(AR7/92970)</f>
        <v>0.59243391034915893</v>
      </c>
      <c r="AR7" s="38">
        <f t="shared" ref="AR7:AR33" si="37">Y7+AO7</f>
        <v>55078.580645161303</v>
      </c>
      <c r="AS7" s="197">
        <f>SUM(AR7-AR6-AT7)</f>
        <v>-2760.0967741935383</v>
      </c>
      <c r="AT7" s="340"/>
      <c r="AU7" s="548"/>
      <c r="AV7" s="485">
        <f>IF(AT7&gt;0,AU7,AV6)</f>
        <v>0.75700000000000001</v>
      </c>
      <c r="AW7" s="279">
        <f>-SUM('B5'!AI6)</f>
        <v>-425</v>
      </c>
      <c r="AX7" s="279">
        <f t="shared" si="17"/>
        <v>-2335.0967741935383</v>
      </c>
      <c r="AY7" s="37">
        <f t="shared" ref="AY7:AY33" si="38">SUM(AX7+AW7)</f>
        <v>-2760.0967741935383</v>
      </c>
      <c r="AZ7" s="100">
        <f>ELEC!A5</f>
        <v>0</v>
      </c>
      <c r="BA7" s="118">
        <f>'General information '!D6</f>
        <v>19.5</v>
      </c>
      <c r="BB7" s="378">
        <f>SUM('General information '!E6)</f>
        <v>0.62</v>
      </c>
      <c r="BC7" s="3">
        <v>0</v>
      </c>
      <c r="BD7" s="102">
        <v>19222</v>
      </c>
      <c r="BE7" s="14">
        <f>(305/1185)*ELEC!Q6</f>
        <v>1438.0042194091629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9">AX7/BI7</f>
        <v>-155.67311827956922</v>
      </c>
      <c r="BK7" s="538">
        <f>GEN!AF4</f>
        <v>0.31020833333343489</v>
      </c>
    </row>
    <row r="8" spans="1:63">
      <c r="A8" s="425">
        <f>ELEC!C6</f>
        <v>44623</v>
      </c>
      <c r="B8">
        <f>'B5'!B7</f>
        <v>170</v>
      </c>
      <c r="C8" s="203">
        <f t="shared" si="18"/>
        <v>3657.7419354838707</v>
      </c>
      <c r="D8">
        <f t="shared" si="19"/>
        <v>170</v>
      </c>
      <c r="E8" s="203">
        <f t="shared" si="18"/>
        <v>3657.7419354838707</v>
      </c>
      <c r="F8">
        <f t="shared" si="20"/>
        <v>170</v>
      </c>
      <c r="G8" s="203">
        <f t="shared" si="1"/>
        <v>3657.7419354838707</v>
      </c>
      <c r="H8" s="203">
        <f t="shared" si="21"/>
        <v>170</v>
      </c>
      <c r="I8" s="203">
        <f t="shared" si="2"/>
        <v>3657.7419354838707</v>
      </c>
      <c r="J8" s="203">
        <f t="shared" si="22"/>
        <v>170</v>
      </c>
      <c r="K8" s="203">
        <f t="shared" si="3"/>
        <v>3657.7419354838707</v>
      </c>
      <c r="L8" s="203">
        <f t="shared" si="23"/>
        <v>170</v>
      </c>
      <c r="M8" s="203">
        <f t="shared" si="4"/>
        <v>3657.7419354838707</v>
      </c>
      <c r="N8" s="203">
        <f t="shared" si="24"/>
        <v>170</v>
      </c>
      <c r="O8" s="203">
        <f t="shared" si="5"/>
        <v>3657.7419354838707</v>
      </c>
      <c r="P8" s="203">
        <f t="shared" si="25"/>
        <v>170</v>
      </c>
      <c r="Q8" s="203">
        <f t="shared" si="6"/>
        <v>3657.7419354838707</v>
      </c>
      <c r="R8" s="203">
        <f t="shared" si="26"/>
        <v>170</v>
      </c>
      <c r="S8" s="203">
        <f t="shared" si="7"/>
        <v>3657.7419354838707</v>
      </c>
      <c r="T8" s="203">
        <f t="shared" si="27"/>
        <v>170</v>
      </c>
      <c r="U8" s="203">
        <f t="shared" si="8"/>
        <v>3657.7419354838707</v>
      </c>
      <c r="V8" s="203">
        <f t="shared" si="28"/>
        <v>170</v>
      </c>
      <c r="W8" s="203">
        <f t="shared" si="9"/>
        <v>3657.7419354838707</v>
      </c>
      <c r="X8" s="35">
        <f t="shared" si="10"/>
        <v>0.54838709677419351</v>
      </c>
      <c r="Y8" s="36">
        <f t="shared" si="29"/>
        <v>40235.161290322576</v>
      </c>
      <c r="Z8" s="203">
        <f>'B5'!C7</f>
        <v>178</v>
      </c>
      <c r="AA8" s="203">
        <f t="shared" si="30"/>
        <v>1780</v>
      </c>
      <c r="AB8" s="203">
        <f t="shared" si="31"/>
        <v>178</v>
      </c>
      <c r="AC8" s="203">
        <f t="shared" si="30"/>
        <v>1780</v>
      </c>
      <c r="AD8" s="203">
        <f t="shared" si="32"/>
        <v>178</v>
      </c>
      <c r="AE8" s="203">
        <f t="shared" si="11"/>
        <v>1780</v>
      </c>
      <c r="AF8" s="203">
        <f t="shared" si="33"/>
        <v>178</v>
      </c>
      <c r="AG8" s="203">
        <f t="shared" si="12"/>
        <v>1780</v>
      </c>
      <c r="AH8" s="203">
        <f t="shared" si="34"/>
        <v>178</v>
      </c>
      <c r="AI8" s="203">
        <f t="shared" si="13"/>
        <v>1780</v>
      </c>
      <c r="AJ8" s="203">
        <f t="shared" si="35"/>
        <v>178</v>
      </c>
      <c r="AK8" s="203">
        <f t="shared" si="14"/>
        <v>1780</v>
      </c>
      <c r="AL8" s="203">
        <f t="shared" si="36"/>
        <v>178</v>
      </c>
      <c r="AM8" s="203">
        <f t="shared" si="15"/>
        <v>1780</v>
      </c>
      <c r="AN8" s="35">
        <f t="shared" si="16"/>
        <v>0.63571428571428568</v>
      </c>
      <c r="AO8" s="36">
        <f t="shared" ref="AO8:AO29" si="40">SUM(AA8+AC8+AE8+AG8+AI8+AK8+AM8)</f>
        <v>12460</v>
      </c>
      <c r="AQ8" s="223">
        <f t="shared" ref="AQ8:AQ33" si="41">SUM(AR8/92970)</f>
        <v>0.56679747542564884</v>
      </c>
      <c r="AR8" s="38">
        <f t="shared" si="37"/>
        <v>52695.161290322576</v>
      </c>
      <c r="AS8" s="197">
        <f t="shared" ref="AS8:AS17" si="42">SUM(AR8-AR7-AT8)</f>
        <v>-2383.4193548387266</v>
      </c>
      <c r="AT8" s="340"/>
      <c r="AU8" s="548"/>
      <c r="AV8" s="485">
        <f t="shared" ref="AV8:AV31" si="43">IF(AT8&gt;0,AU8,AV7)</f>
        <v>0.75700000000000001</v>
      </c>
      <c r="AW8" s="279">
        <f>-SUM('B5'!AI7)</f>
        <v>-337</v>
      </c>
      <c r="AX8" s="279">
        <f t="shared" si="17"/>
        <v>-2046.4193548387266</v>
      </c>
      <c r="AY8" s="37">
        <f t="shared" si="38"/>
        <v>-2383.4193548387266</v>
      </c>
      <c r="AZ8" s="100">
        <f>ELEC!A6</f>
        <v>0</v>
      </c>
      <c r="BA8" s="118">
        <f>'General information '!D7</f>
        <v>16.5</v>
      </c>
      <c r="BB8" s="378">
        <f>SUM('General information '!E7)</f>
        <v>0.62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9"/>
        <v>-227.37992831541408</v>
      </c>
      <c r="BK8" s="538">
        <f>GEN!AF5</f>
        <v>0.2909895833333091</v>
      </c>
    </row>
    <row r="9" spans="1:63">
      <c r="A9" s="425">
        <f>ELEC!C7</f>
        <v>44624</v>
      </c>
      <c r="B9">
        <f>'B5'!B8</f>
        <v>170</v>
      </c>
      <c r="C9" s="203">
        <f t="shared" si="18"/>
        <v>3657.7419354838707</v>
      </c>
      <c r="D9">
        <f t="shared" si="19"/>
        <v>170</v>
      </c>
      <c r="E9" s="203">
        <f t="shared" si="18"/>
        <v>3657.7419354838707</v>
      </c>
      <c r="F9">
        <f t="shared" si="20"/>
        <v>170</v>
      </c>
      <c r="G9" s="203">
        <f t="shared" si="1"/>
        <v>3657.7419354838707</v>
      </c>
      <c r="H9" s="203">
        <f t="shared" si="21"/>
        <v>170</v>
      </c>
      <c r="I9" s="203">
        <f t="shared" si="2"/>
        <v>3657.7419354838707</v>
      </c>
      <c r="J9" s="203">
        <f t="shared" si="22"/>
        <v>170</v>
      </c>
      <c r="K9" s="203">
        <f t="shared" si="3"/>
        <v>3657.7419354838707</v>
      </c>
      <c r="L9" s="203">
        <f t="shared" si="23"/>
        <v>170</v>
      </c>
      <c r="M9" s="203">
        <f t="shared" si="4"/>
        <v>3657.7419354838707</v>
      </c>
      <c r="N9" s="203">
        <f t="shared" si="24"/>
        <v>170</v>
      </c>
      <c r="O9" s="203">
        <f t="shared" si="5"/>
        <v>3657.7419354838707</v>
      </c>
      <c r="P9" s="203">
        <f t="shared" si="25"/>
        <v>170</v>
      </c>
      <c r="Q9" s="203">
        <f t="shared" si="6"/>
        <v>3657.7419354838707</v>
      </c>
      <c r="R9" s="203">
        <f t="shared" si="26"/>
        <v>170</v>
      </c>
      <c r="S9" s="203">
        <f t="shared" si="7"/>
        <v>3657.7419354838707</v>
      </c>
      <c r="T9" s="203">
        <f t="shared" si="27"/>
        <v>170</v>
      </c>
      <c r="U9" s="203">
        <f t="shared" si="8"/>
        <v>3657.7419354838707</v>
      </c>
      <c r="V9" s="203">
        <f t="shared" si="28"/>
        <v>170</v>
      </c>
      <c r="W9" s="203">
        <f t="shared" si="9"/>
        <v>3657.7419354838707</v>
      </c>
      <c r="X9" s="35">
        <f t="shared" si="10"/>
        <v>0.54838709677419351</v>
      </c>
      <c r="Y9" s="36">
        <f t="shared" si="29"/>
        <v>40235.161290322576</v>
      </c>
      <c r="Z9" s="203">
        <f>'B5'!C8</f>
        <v>178</v>
      </c>
      <c r="AA9" s="203">
        <f t="shared" si="30"/>
        <v>1780</v>
      </c>
      <c r="AB9" s="203">
        <f t="shared" si="31"/>
        <v>178</v>
      </c>
      <c r="AC9" s="203">
        <f t="shared" si="30"/>
        <v>1780</v>
      </c>
      <c r="AD9" s="203">
        <f t="shared" si="32"/>
        <v>178</v>
      </c>
      <c r="AE9" s="203">
        <f t="shared" si="11"/>
        <v>1780</v>
      </c>
      <c r="AF9" s="203">
        <f t="shared" si="33"/>
        <v>178</v>
      </c>
      <c r="AG9" s="203">
        <f t="shared" si="12"/>
        <v>1780</v>
      </c>
      <c r="AH9" s="203">
        <f t="shared" si="34"/>
        <v>178</v>
      </c>
      <c r="AI9" s="203">
        <f t="shared" si="13"/>
        <v>1780</v>
      </c>
      <c r="AJ9" s="203">
        <f t="shared" si="35"/>
        <v>178</v>
      </c>
      <c r="AK9" s="203">
        <f t="shared" si="14"/>
        <v>1780</v>
      </c>
      <c r="AL9" s="203">
        <f t="shared" si="36"/>
        <v>178</v>
      </c>
      <c r="AM9" s="203">
        <f t="shared" si="15"/>
        <v>1780</v>
      </c>
      <c r="AN9" s="35">
        <f t="shared" si="16"/>
        <v>0.63571428571428568</v>
      </c>
      <c r="AO9" s="36">
        <f>SUM(AA9+AC9+AE9+AG9+AI9+AK9+AM9)</f>
        <v>12460</v>
      </c>
      <c r="AQ9" s="223">
        <f t="shared" si="41"/>
        <v>0.56679747542564884</v>
      </c>
      <c r="AR9" s="38">
        <f t="shared" si="37"/>
        <v>52695.161290322576</v>
      </c>
      <c r="AS9" s="197">
        <f t="shared" si="42"/>
        <v>0</v>
      </c>
      <c r="AT9" s="340"/>
      <c r="AU9" s="548"/>
      <c r="AV9" s="485">
        <f t="shared" si="43"/>
        <v>0.75700000000000001</v>
      </c>
      <c r="AW9" s="279">
        <f>-SUM('B5'!AI8)</f>
        <v>0</v>
      </c>
      <c r="AX9" s="279">
        <f t="shared" si="17"/>
        <v>0</v>
      </c>
      <c r="AY9" s="37">
        <f t="shared" si="38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9"/>
        <v>0</v>
      </c>
      <c r="BK9" s="538" t="e">
        <f>GEN!AF6</f>
        <v>#DIV/0!</v>
      </c>
    </row>
    <row r="10" spans="1:63">
      <c r="A10" s="425">
        <f>ELEC!C8</f>
        <v>44625</v>
      </c>
      <c r="B10">
        <f>'B5'!B9</f>
        <v>170</v>
      </c>
      <c r="C10" s="203">
        <f t="shared" si="18"/>
        <v>3657.7419354838707</v>
      </c>
      <c r="D10">
        <f t="shared" si="19"/>
        <v>170</v>
      </c>
      <c r="E10" s="203">
        <f t="shared" si="18"/>
        <v>3657.7419354838707</v>
      </c>
      <c r="F10">
        <f t="shared" si="20"/>
        <v>170</v>
      </c>
      <c r="G10" s="203">
        <f t="shared" si="1"/>
        <v>3657.7419354838707</v>
      </c>
      <c r="H10" s="203">
        <f t="shared" si="21"/>
        <v>170</v>
      </c>
      <c r="I10" s="203">
        <f t="shared" si="2"/>
        <v>3657.7419354838707</v>
      </c>
      <c r="J10" s="203">
        <f t="shared" si="22"/>
        <v>170</v>
      </c>
      <c r="K10" s="203">
        <f t="shared" si="3"/>
        <v>3657.7419354838707</v>
      </c>
      <c r="L10" s="203">
        <f t="shared" si="23"/>
        <v>170</v>
      </c>
      <c r="M10" s="203">
        <f t="shared" si="4"/>
        <v>3657.7419354838707</v>
      </c>
      <c r="N10" s="203">
        <f t="shared" si="24"/>
        <v>170</v>
      </c>
      <c r="O10" s="203">
        <f t="shared" si="5"/>
        <v>3657.7419354838707</v>
      </c>
      <c r="P10" s="203">
        <f t="shared" si="25"/>
        <v>170</v>
      </c>
      <c r="Q10" s="203">
        <f t="shared" si="6"/>
        <v>3657.7419354838707</v>
      </c>
      <c r="R10" s="203">
        <f t="shared" si="26"/>
        <v>170</v>
      </c>
      <c r="S10" s="203">
        <f t="shared" si="7"/>
        <v>3657.7419354838707</v>
      </c>
      <c r="T10" s="203">
        <f t="shared" si="27"/>
        <v>170</v>
      </c>
      <c r="U10" s="203">
        <f t="shared" si="8"/>
        <v>3657.7419354838707</v>
      </c>
      <c r="V10" s="203">
        <f t="shared" si="28"/>
        <v>170</v>
      </c>
      <c r="W10" s="203">
        <f t="shared" si="9"/>
        <v>3657.7419354838707</v>
      </c>
      <c r="X10" s="35">
        <f t="shared" si="10"/>
        <v>0.54838709677419351</v>
      </c>
      <c r="Y10" s="36">
        <f t="shared" si="29"/>
        <v>40235.161290322576</v>
      </c>
      <c r="Z10" s="203">
        <f>'B5'!C9</f>
        <v>178</v>
      </c>
      <c r="AA10" s="203">
        <f t="shared" si="30"/>
        <v>1780</v>
      </c>
      <c r="AB10" s="203">
        <f t="shared" si="31"/>
        <v>178</v>
      </c>
      <c r="AC10" s="203">
        <f t="shared" si="30"/>
        <v>1780</v>
      </c>
      <c r="AD10" s="203">
        <f t="shared" si="32"/>
        <v>178</v>
      </c>
      <c r="AE10" s="203">
        <f t="shared" si="11"/>
        <v>1780</v>
      </c>
      <c r="AF10" s="203">
        <f t="shared" si="33"/>
        <v>178</v>
      </c>
      <c r="AG10" s="203">
        <f t="shared" si="12"/>
        <v>1780</v>
      </c>
      <c r="AH10" s="203">
        <f t="shared" si="34"/>
        <v>178</v>
      </c>
      <c r="AI10" s="203">
        <f t="shared" si="13"/>
        <v>1780</v>
      </c>
      <c r="AJ10" s="203">
        <f t="shared" si="35"/>
        <v>178</v>
      </c>
      <c r="AK10" s="203">
        <f t="shared" si="14"/>
        <v>1780</v>
      </c>
      <c r="AL10" s="203">
        <f t="shared" si="36"/>
        <v>178</v>
      </c>
      <c r="AM10" s="203">
        <f t="shared" si="15"/>
        <v>1780</v>
      </c>
      <c r="AN10" s="35">
        <f t="shared" si="16"/>
        <v>0.63571428571428568</v>
      </c>
      <c r="AO10" s="36">
        <f t="shared" si="40"/>
        <v>12460</v>
      </c>
      <c r="AQ10" s="223">
        <f t="shared" si="41"/>
        <v>0.56679747542564884</v>
      </c>
      <c r="AR10" s="38">
        <f t="shared" si="37"/>
        <v>52695.161290322576</v>
      </c>
      <c r="AS10" s="197">
        <f t="shared" si="42"/>
        <v>0</v>
      </c>
      <c r="AT10" s="340"/>
      <c r="AU10" s="548"/>
      <c r="AV10" s="485">
        <f>IF(AT10&gt;0,AU10,AV9)</f>
        <v>0.75700000000000001</v>
      </c>
      <c r="AW10" s="279">
        <f>-SUM('B5'!AI9)</f>
        <v>0</v>
      </c>
      <c r="AX10" s="279">
        <f t="shared" si="17"/>
        <v>0</v>
      </c>
      <c r="AY10" s="37">
        <f t="shared" si="38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1514.7046413497992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9"/>
        <v>0</v>
      </c>
      <c r="BK10" s="538" t="e">
        <f>GEN!AF7</f>
        <v>#DIV/0!</v>
      </c>
    </row>
    <row r="11" spans="1:63">
      <c r="A11" s="425">
        <f>ELEC!C9</f>
        <v>44626</v>
      </c>
      <c r="B11">
        <f>'B5'!B10</f>
        <v>162</v>
      </c>
      <c r="C11" s="203">
        <f t="shared" si="18"/>
        <v>3485.6129032258063</v>
      </c>
      <c r="D11">
        <f>SUM(B11)</f>
        <v>162</v>
      </c>
      <c r="E11" s="203">
        <f t="shared" si="18"/>
        <v>3485.6129032258063</v>
      </c>
      <c r="F11">
        <f>SUM(D11)</f>
        <v>162</v>
      </c>
      <c r="G11" s="203">
        <f t="shared" si="1"/>
        <v>3485.6129032258063</v>
      </c>
      <c r="H11" s="203">
        <f>SUM(F11)</f>
        <v>162</v>
      </c>
      <c r="I11" s="203">
        <f t="shared" si="2"/>
        <v>3485.6129032258063</v>
      </c>
      <c r="J11" s="203">
        <f>SUM(H11)</f>
        <v>162</v>
      </c>
      <c r="K11" s="203">
        <f t="shared" si="3"/>
        <v>3485.6129032258063</v>
      </c>
      <c r="L11" s="203">
        <f>SUM(J11)</f>
        <v>162</v>
      </c>
      <c r="M11" s="203">
        <f t="shared" si="4"/>
        <v>3485.6129032258063</v>
      </c>
      <c r="N11" s="203">
        <f>SUM(L11)</f>
        <v>162</v>
      </c>
      <c r="O11" s="203">
        <f t="shared" si="5"/>
        <v>3485.6129032258063</v>
      </c>
      <c r="P11" s="203">
        <f>SUM(N11)</f>
        <v>162</v>
      </c>
      <c r="Q11" s="203">
        <f t="shared" si="6"/>
        <v>3485.6129032258063</v>
      </c>
      <c r="R11" s="203">
        <f>SUM(P11)</f>
        <v>162</v>
      </c>
      <c r="S11" s="203">
        <f t="shared" si="7"/>
        <v>3485.6129032258063</v>
      </c>
      <c r="T11" s="203">
        <f>SUM(R11)</f>
        <v>162</v>
      </c>
      <c r="U11" s="203">
        <f t="shared" si="8"/>
        <v>3485.6129032258063</v>
      </c>
      <c r="V11" s="203">
        <f>SUM(T11)</f>
        <v>162</v>
      </c>
      <c r="W11" s="203">
        <f t="shared" si="9"/>
        <v>3485.6129032258063</v>
      </c>
      <c r="X11" s="35">
        <f>SUM(Y11/73370)</f>
        <v>0.52258064516129021</v>
      </c>
      <c r="Y11" s="36">
        <f>SUM(C11+E11+G11+I11+K11+M11+O11+Q11+S11+U11+W11)</f>
        <v>38341.741935483864</v>
      </c>
      <c r="Z11" s="203">
        <f>'B5'!C10</f>
        <v>170</v>
      </c>
      <c r="AA11" s="203">
        <f t="shared" si="30"/>
        <v>1700</v>
      </c>
      <c r="AB11" s="203">
        <f>SUM(Z11)</f>
        <v>170</v>
      </c>
      <c r="AC11" s="203">
        <f t="shared" si="30"/>
        <v>1700</v>
      </c>
      <c r="AD11" s="203">
        <f>SUM(AB11)</f>
        <v>170</v>
      </c>
      <c r="AE11" s="203">
        <f t="shared" si="11"/>
        <v>1700</v>
      </c>
      <c r="AF11" s="203">
        <f>SUM(AD11)</f>
        <v>170</v>
      </c>
      <c r="AG11" s="203">
        <f t="shared" si="12"/>
        <v>1700</v>
      </c>
      <c r="AH11" s="203">
        <f>SUM(AF11)</f>
        <v>170</v>
      </c>
      <c r="AI11" s="203">
        <f t="shared" si="13"/>
        <v>1700</v>
      </c>
      <c r="AJ11" s="203">
        <f>SUM(AH11)</f>
        <v>170</v>
      </c>
      <c r="AK11" s="203">
        <f t="shared" si="14"/>
        <v>1700</v>
      </c>
      <c r="AL11" s="203">
        <f>SUM(AJ11)</f>
        <v>170</v>
      </c>
      <c r="AM11" s="203">
        <f t="shared" si="15"/>
        <v>1700</v>
      </c>
      <c r="AN11" s="35">
        <f>SUM(AO11/19600)</f>
        <v>0.6071428571428571</v>
      </c>
      <c r="AO11" s="36">
        <f t="shared" si="40"/>
        <v>11900</v>
      </c>
      <c r="AP11" s="525"/>
      <c r="AQ11" s="223">
        <f t="shared" si="41"/>
        <v>0.54040810944911111</v>
      </c>
      <c r="AR11" s="38">
        <f t="shared" si="37"/>
        <v>50241.741935483864</v>
      </c>
      <c r="AS11" s="197">
        <f t="shared" si="42"/>
        <v>-2453.419354838712</v>
      </c>
      <c r="AT11" s="340"/>
      <c r="AU11" s="548"/>
      <c r="AV11" s="485">
        <f>IF(AT11&gt;0,AU11,AV10)</f>
        <v>0.75700000000000001</v>
      </c>
      <c r="AW11" s="279">
        <f>-SUM('B5'!AI10)</f>
        <v>-528</v>
      </c>
      <c r="AX11" s="279">
        <f t="shared" si="17"/>
        <v>-1925.419354838712</v>
      </c>
      <c r="AY11" s="37">
        <f t="shared" si="38"/>
        <v>-2453.419354838712</v>
      </c>
      <c r="AZ11" s="100">
        <f>ELEC!A9</f>
        <v>0</v>
      </c>
      <c r="BA11" s="118">
        <f>'General information '!D10</f>
        <v>17.5</v>
      </c>
      <c r="BB11" s="378">
        <f>SUM('General information '!E10)</f>
        <v>0.67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9"/>
        <v>-207.03433922998522</v>
      </c>
      <c r="BK11" s="538">
        <f>GEN!AF8</f>
        <v>0.33437499999990905</v>
      </c>
    </row>
    <row r="12" spans="1:63">
      <c r="A12" s="425">
        <f>ELEC!C10</f>
        <v>44627</v>
      </c>
      <c r="B12">
        <f>'B5'!B11</f>
        <v>162</v>
      </c>
      <c r="C12" s="203">
        <f t="shared" si="18"/>
        <v>3485.6129032258063</v>
      </c>
      <c r="D12">
        <f t="shared" si="19"/>
        <v>162</v>
      </c>
      <c r="E12" s="203">
        <f t="shared" si="18"/>
        <v>3485.6129032258063</v>
      </c>
      <c r="F12">
        <f t="shared" si="20"/>
        <v>162</v>
      </c>
      <c r="G12" s="203">
        <f t="shared" si="1"/>
        <v>3485.6129032258063</v>
      </c>
      <c r="H12" s="203">
        <f t="shared" si="21"/>
        <v>162</v>
      </c>
      <c r="I12" s="203">
        <f t="shared" si="2"/>
        <v>3485.6129032258063</v>
      </c>
      <c r="J12" s="203">
        <f t="shared" si="22"/>
        <v>162</v>
      </c>
      <c r="K12" s="203">
        <f t="shared" si="3"/>
        <v>3485.6129032258063</v>
      </c>
      <c r="L12" s="203">
        <f t="shared" si="23"/>
        <v>162</v>
      </c>
      <c r="M12" s="203">
        <f t="shared" si="4"/>
        <v>3485.6129032258063</v>
      </c>
      <c r="N12" s="203">
        <f t="shared" si="24"/>
        <v>162</v>
      </c>
      <c r="O12" s="203">
        <f t="shared" si="5"/>
        <v>3485.6129032258063</v>
      </c>
      <c r="P12" s="203">
        <f t="shared" si="25"/>
        <v>162</v>
      </c>
      <c r="Q12" s="203">
        <f t="shared" si="6"/>
        <v>3485.6129032258063</v>
      </c>
      <c r="R12" s="203">
        <f t="shared" si="26"/>
        <v>162</v>
      </c>
      <c r="S12" s="203">
        <f t="shared" si="7"/>
        <v>3485.6129032258063</v>
      </c>
      <c r="T12" s="203">
        <f t="shared" si="27"/>
        <v>162</v>
      </c>
      <c r="U12" s="203">
        <f t="shared" si="8"/>
        <v>3485.6129032258063</v>
      </c>
      <c r="V12" s="203">
        <f t="shared" si="28"/>
        <v>162</v>
      </c>
      <c r="W12" s="203">
        <f t="shared" si="9"/>
        <v>3485.6129032258063</v>
      </c>
      <c r="X12" s="35">
        <f t="shared" si="10"/>
        <v>0.52258064516129021</v>
      </c>
      <c r="Y12" s="36">
        <f t="shared" si="29"/>
        <v>38341.741935483864</v>
      </c>
      <c r="Z12" s="203">
        <f>'B5'!C11</f>
        <v>170</v>
      </c>
      <c r="AA12" s="203">
        <f t="shared" si="30"/>
        <v>1700</v>
      </c>
      <c r="AB12" s="203">
        <f t="shared" si="31"/>
        <v>170</v>
      </c>
      <c r="AC12" s="203">
        <f t="shared" si="30"/>
        <v>1700</v>
      </c>
      <c r="AD12" s="203">
        <f t="shared" si="32"/>
        <v>170</v>
      </c>
      <c r="AE12" s="203">
        <f t="shared" si="11"/>
        <v>1700</v>
      </c>
      <c r="AF12" s="203">
        <f t="shared" si="33"/>
        <v>170</v>
      </c>
      <c r="AG12" s="203">
        <f t="shared" si="12"/>
        <v>1700</v>
      </c>
      <c r="AH12" s="203">
        <f t="shared" si="34"/>
        <v>170</v>
      </c>
      <c r="AI12" s="203">
        <f t="shared" si="13"/>
        <v>1700</v>
      </c>
      <c r="AJ12" s="203">
        <f t="shared" si="35"/>
        <v>170</v>
      </c>
      <c r="AK12" s="203">
        <f t="shared" si="14"/>
        <v>1700</v>
      </c>
      <c r="AL12" s="203">
        <f t="shared" si="36"/>
        <v>170</v>
      </c>
      <c r="AM12" s="203">
        <f t="shared" si="15"/>
        <v>1700</v>
      </c>
      <c r="AN12" s="35">
        <f t="shared" si="16"/>
        <v>0.6071428571428571</v>
      </c>
      <c r="AO12" s="36">
        <f t="shared" si="40"/>
        <v>11900</v>
      </c>
      <c r="AP12" s="525"/>
      <c r="AQ12" s="223">
        <f t="shared" si="41"/>
        <v>0.54040810944911111</v>
      </c>
      <c r="AR12" s="38">
        <f t="shared" si="37"/>
        <v>50241.741935483864</v>
      </c>
      <c r="AS12" s="197">
        <f t="shared" si="42"/>
        <v>0</v>
      </c>
      <c r="AT12" s="340"/>
      <c r="AU12" s="548"/>
      <c r="AV12" s="485">
        <f t="shared" si="43"/>
        <v>0.75700000000000001</v>
      </c>
      <c r="AW12" s="279">
        <f>-SUM('B5'!AI11)</f>
        <v>0</v>
      </c>
      <c r="AX12" s="279">
        <f t="shared" si="17"/>
        <v>0</v>
      </c>
      <c r="AY12" s="37">
        <f t="shared" si="38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9"/>
        <v>0</v>
      </c>
      <c r="BK12" s="538" t="e">
        <f>GEN!AF9</f>
        <v>#DIV/0!</v>
      </c>
    </row>
    <row r="13" spans="1:63">
      <c r="A13" s="425">
        <f>ELEC!C11</f>
        <v>44628</v>
      </c>
      <c r="B13">
        <f>'B5'!B12</f>
        <v>162</v>
      </c>
      <c r="C13" s="203">
        <f t="shared" si="18"/>
        <v>3485.6129032258063</v>
      </c>
      <c r="D13">
        <f t="shared" si="19"/>
        <v>162</v>
      </c>
      <c r="E13" s="203">
        <f t="shared" si="18"/>
        <v>3485.6129032258063</v>
      </c>
      <c r="F13">
        <f t="shared" si="20"/>
        <v>162</v>
      </c>
      <c r="G13" s="203">
        <f t="shared" si="1"/>
        <v>3485.6129032258063</v>
      </c>
      <c r="H13" s="203">
        <f t="shared" si="21"/>
        <v>162</v>
      </c>
      <c r="I13" s="203">
        <f t="shared" si="2"/>
        <v>3485.6129032258063</v>
      </c>
      <c r="J13" s="203">
        <f t="shared" si="22"/>
        <v>162</v>
      </c>
      <c r="K13" s="203">
        <f t="shared" si="3"/>
        <v>3485.6129032258063</v>
      </c>
      <c r="L13" s="203">
        <f t="shared" si="23"/>
        <v>162</v>
      </c>
      <c r="M13" s="203">
        <f t="shared" si="4"/>
        <v>3485.6129032258063</v>
      </c>
      <c r="N13" s="203">
        <f t="shared" si="24"/>
        <v>162</v>
      </c>
      <c r="O13" s="203">
        <f t="shared" si="5"/>
        <v>3485.6129032258063</v>
      </c>
      <c r="P13" s="203">
        <f t="shared" si="25"/>
        <v>162</v>
      </c>
      <c r="Q13" s="203">
        <f t="shared" si="6"/>
        <v>3485.6129032258063</v>
      </c>
      <c r="R13" s="203">
        <f t="shared" si="26"/>
        <v>162</v>
      </c>
      <c r="S13" s="203">
        <f t="shared" si="7"/>
        <v>3485.6129032258063</v>
      </c>
      <c r="T13" s="203">
        <f t="shared" si="27"/>
        <v>162</v>
      </c>
      <c r="U13" s="203">
        <f t="shared" si="8"/>
        <v>3485.6129032258063</v>
      </c>
      <c r="V13" s="203">
        <f t="shared" si="28"/>
        <v>162</v>
      </c>
      <c r="W13" s="203">
        <f t="shared" si="9"/>
        <v>3485.6129032258063</v>
      </c>
      <c r="X13" s="35">
        <f t="shared" si="10"/>
        <v>0.52258064516129021</v>
      </c>
      <c r="Y13" s="36">
        <f t="shared" si="29"/>
        <v>38341.741935483864</v>
      </c>
      <c r="Z13" s="203">
        <f>'B5'!C12</f>
        <v>170</v>
      </c>
      <c r="AA13" s="203">
        <f t="shared" si="30"/>
        <v>1700</v>
      </c>
      <c r="AB13" s="203">
        <f t="shared" si="31"/>
        <v>170</v>
      </c>
      <c r="AC13" s="203">
        <f t="shared" si="30"/>
        <v>1700</v>
      </c>
      <c r="AD13" s="203">
        <f t="shared" si="32"/>
        <v>170</v>
      </c>
      <c r="AE13" s="203">
        <f t="shared" si="11"/>
        <v>1700</v>
      </c>
      <c r="AF13" s="203">
        <f t="shared" si="33"/>
        <v>170</v>
      </c>
      <c r="AG13" s="203">
        <f t="shared" si="12"/>
        <v>1700</v>
      </c>
      <c r="AH13" s="203">
        <f t="shared" si="34"/>
        <v>170</v>
      </c>
      <c r="AI13" s="203">
        <f t="shared" si="13"/>
        <v>1700</v>
      </c>
      <c r="AJ13" s="203">
        <f t="shared" si="35"/>
        <v>170</v>
      </c>
      <c r="AK13" s="203">
        <f t="shared" si="14"/>
        <v>1700</v>
      </c>
      <c r="AL13" s="203">
        <f t="shared" si="36"/>
        <v>170</v>
      </c>
      <c r="AM13" s="203">
        <f t="shared" si="15"/>
        <v>1700</v>
      </c>
      <c r="AN13" s="35">
        <f t="shared" si="16"/>
        <v>0.6071428571428571</v>
      </c>
      <c r="AO13" s="36">
        <f t="shared" si="40"/>
        <v>11900</v>
      </c>
      <c r="AP13" s="525"/>
      <c r="AQ13" s="223">
        <f t="shared" si="41"/>
        <v>0.54040810944911111</v>
      </c>
      <c r="AR13" s="38">
        <f t="shared" si="37"/>
        <v>50241.741935483864</v>
      </c>
      <c r="AS13" s="197">
        <f t="shared" si="42"/>
        <v>0</v>
      </c>
      <c r="AT13" s="340"/>
      <c r="AU13" s="548"/>
      <c r="AV13" s="485">
        <f t="shared" si="43"/>
        <v>0.75700000000000001</v>
      </c>
      <c r="AW13" s="279">
        <f>-SUM('B5'!AI12)</f>
        <v>0</v>
      </c>
      <c r="AX13" s="279">
        <f t="shared" si="17"/>
        <v>0</v>
      </c>
      <c r="AY13" s="37">
        <f t="shared" si="38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9"/>
        <v>0</v>
      </c>
      <c r="BK13" s="538" t="e">
        <f>GEN!AF10</f>
        <v>#DIV/0!</v>
      </c>
    </row>
    <row r="14" spans="1:63">
      <c r="A14" s="425">
        <f>ELEC!C12</f>
        <v>44629</v>
      </c>
      <c r="B14">
        <f>'B5'!B13</f>
        <v>162</v>
      </c>
      <c r="C14" s="203">
        <f t="shared" si="18"/>
        <v>3485.6129032258063</v>
      </c>
      <c r="D14">
        <f t="shared" si="19"/>
        <v>162</v>
      </c>
      <c r="E14" s="203">
        <f t="shared" si="18"/>
        <v>3485.6129032258063</v>
      </c>
      <c r="F14">
        <f t="shared" si="20"/>
        <v>162</v>
      </c>
      <c r="G14" s="203">
        <f t="shared" si="1"/>
        <v>3485.6129032258063</v>
      </c>
      <c r="H14" s="203">
        <f t="shared" si="21"/>
        <v>162</v>
      </c>
      <c r="I14" s="203">
        <f t="shared" si="2"/>
        <v>3485.6129032258063</v>
      </c>
      <c r="J14" s="203">
        <f t="shared" si="22"/>
        <v>162</v>
      </c>
      <c r="K14" s="203">
        <f t="shared" si="3"/>
        <v>3485.6129032258063</v>
      </c>
      <c r="L14" s="203">
        <f t="shared" si="23"/>
        <v>162</v>
      </c>
      <c r="M14" s="203">
        <f t="shared" si="4"/>
        <v>3485.6129032258063</v>
      </c>
      <c r="N14" s="203">
        <f t="shared" si="24"/>
        <v>162</v>
      </c>
      <c r="O14" s="203">
        <f t="shared" si="5"/>
        <v>3485.6129032258063</v>
      </c>
      <c r="P14" s="203">
        <f t="shared" si="25"/>
        <v>162</v>
      </c>
      <c r="Q14" s="203">
        <f t="shared" si="6"/>
        <v>3485.6129032258063</v>
      </c>
      <c r="R14" s="203">
        <f t="shared" si="26"/>
        <v>162</v>
      </c>
      <c r="S14" s="203">
        <f t="shared" si="7"/>
        <v>3485.6129032258063</v>
      </c>
      <c r="T14" s="203">
        <f t="shared" si="27"/>
        <v>162</v>
      </c>
      <c r="U14" s="203">
        <f t="shared" si="8"/>
        <v>3485.6129032258063</v>
      </c>
      <c r="V14" s="203">
        <f t="shared" si="28"/>
        <v>162</v>
      </c>
      <c r="W14" s="203">
        <f t="shared" si="9"/>
        <v>3485.6129032258063</v>
      </c>
      <c r="X14" s="35">
        <f t="shared" si="10"/>
        <v>0.52258064516129021</v>
      </c>
      <c r="Y14" s="36">
        <f t="shared" si="29"/>
        <v>38341.741935483864</v>
      </c>
      <c r="Z14" s="203">
        <f>'B5'!C13</f>
        <v>170</v>
      </c>
      <c r="AA14" s="203">
        <f t="shared" si="30"/>
        <v>1700</v>
      </c>
      <c r="AB14" s="203">
        <f t="shared" si="31"/>
        <v>170</v>
      </c>
      <c r="AC14" s="203">
        <f t="shared" si="30"/>
        <v>1700</v>
      </c>
      <c r="AD14" s="203">
        <f t="shared" si="32"/>
        <v>170</v>
      </c>
      <c r="AE14" s="203">
        <f t="shared" si="11"/>
        <v>1700</v>
      </c>
      <c r="AF14" s="203">
        <f t="shared" si="33"/>
        <v>170</v>
      </c>
      <c r="AG14" s="203">
        <f t="shared" si="12"/>
        <v>1700</v>
      </c>
      <c r="AH14" s="203">
        <f t="shared" si="34"/>
        <v>170</v>
      </c>
      <c r="AI14" s="203">
        <f t="shared" si="13"/>
        <v>1700</v>
      </c>
      <c r="AJ14" s="203">
        <f t="shared" si="35"/>
        <v>170</v>
      </c>
      <c r="AK14" s="203">
        <f t="shared" si="14"/>
        <v>1700</v>
      </c>
      <c r="AL14" s="203">
        <f t="shared" si="36"/>
        <v>170</v>
      </c>
      <c r="AM14" s="203">
        <f t="shared" si="15"/>
        <v>1700</v>
      </c>
      <c r="AN14" s="35">
        <f t="shared" si="16"/>
        <v>0.6071428571428571</v>
      </c>
      <c r="AO14" s="36">
        <f t="shared" si="40"/>
        <v>11900</v>
      </c>
      <c r="AQ14" s="223">
        <f t="shared" si="41"/>
        <v>0.54040810944911111</v>
      </c>
      <c r="AR14" s="38">
        <f t="shared" si="37"/>
        <v>50241.741935483864</v>
      </c>
      <c r="AS14" s="197">
        <f t="shared" si="42"/>
        <v>0</v>
      </c>
      <c r="AT14" s="340"/>
      <c r="AU14" s="548"/>
      <c r="AV14" s="485">
        <f t="shared" si="43"/>
        <v>0.75700000000000001</v>
      </c>
      <c r="AW14" s="279">
        <f>-SUM('B5'!AI13)</f>
        <v>0</v>
      </c>
      <c r="AX14" s="279">
        <f t="shared" si="17"/>
        <v>0</v>
      </c>
      <c r="AY14" s="37">
        <f t="shared" si="38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9"/>
        <v>0</v>
      </c>
      <c r="BK14" s="538" t="e">
        <f>GEN!AF11</f>
        <v>#DIV/0!</v>
      </c>
    </row>
    <row r="15" spans="1:63" ht="13.5" customHeight="1">
      <c r="A15" s="425">
        <f>ELEC!C13</f>
        <v>44630</v>
      </c>
      <c r="B15">
        <f>'B5'!B14</f>
        <v>162</v>
      </c>
      <c r="C15" s="203">
        <f>B15*$B$4</f>
        <v>3485.6129032258063</v>
      </c>
      <c r="D15">
        <f t="shared" si="19"/>
        <v>162</v>
      </c>
      <c r="E15" s="203">
        <f t="shared" si="18"/>
        <v>3485.6129032258063</v>
      </c>
      <c r="F15">
        <f t="shared" si="20"/>
        <v>162</v>
      </c>
      <c r="G15" s="203">
        <f t="shared" si="1"/>
        <v>3485.6129032258063</v>
      </c>
      <c r="H15" s="203">
        <f t="shared" si="21"/>
        <v>162</v>
      </c>
      <c r="I15" s="203">
        <f t="shared" si="2"/>
        <v>3485.6129032258063</v>
      </c>
      <c r="J15" s="203">
        <f t="shared" si="22"/>
        <v>162</v>
      </c>
      <c r="K15" s="203">
        <f t="shared" si="3"/>
        <v>3485.6129032258063</v>
      </c>
      <c r="L15" s="203">
        <f t="shared" si="23"/>
        <v>162</v>
      </c>
      <c r="M15" s="203">
        <f t="shared" si="4"/>
        <v>3485.6129032258063</v>
      </c>
      <c r="N15" s="203">
        <f t="shared" si="24"/>
        <v>162</v>
      </c>
      <c r="O15" s="203">
        <f t="shared" si="5"/>
        <v>3485.6129032258063</v>
      </c>
      <c r="P15" s="203">
        <f t="shared" si="25"/>
        <v>162</v>
      </c>
      <c r="Q15" s="203">
        <f t="shared" si="6"/>
        <v>3485.6129032258063</v>
      </c>
      <c r="R15" s="203">
        <f t="shared" si="26"/>
        <v>162</v>
      </c>
      <c r="S15" s="203">
        <f t="shared" si="7"/>
        <v>3485.6129032258063</v>
      </c>
      <c r="T15" s="203">
        <f t="shared" si="27"/>
        <v>162</v>
      </c>
      <c r="U15" s="203">
        <f t="shared" si="8"/>
        <v>3485.6129032258063</v>
      </c>
      <c r="V15" s="203">
        <f t="shared" si="28"/>
        <v>162</v>
      </c>
      <c r="W15" s="203">
        <f t="shared" si="9"/>
        <v>3485.6129032258063</v>
      </c>
      <c r="X15" s="35">
        <f t="shared" si="10"/>
        <v>0.52258064516129021</v>
      </c>
      <c r="Y15" s="36">
        <f t="shared" si="29"/>
        <v>38341.741935483864</v>
      </c>
      <c r="Z15" s="203">
        <f>'B5'!C14</f>
        <v>170</v>
      </c>
      <c r="AA15" s="203">
        <f t="shared" si="30"/>
        <v>1700</v>
      </c>
      <c r="AB15" s="203">
        <f t="shared" si="31"/>
        <v>170</v>
      </c>
      <c r="AC15" s="203">
        <f t="shared" si="30"/>
        <v>1700</v>
      </c>
      <c r="AD15" s="203">
        <f t="shared" si="32"/>
        <v>170</v>
      </c>
      <c r="AE15" s="203">
        <f t="shared" si="11"/>
        <v>1700</v>
      </c>
      <c r="AF15" s="203">
        <f t="shared" si="33"/>
        <v>170</v>
      </c>
      <c r="AG15" s="203">
        <f t="shared" si="12"/>
        <v>1700</v>
      </c>
      <c r="AH15" s="203">
        <f t="shared" si="34"/>
        <v>170</v>
      </c>
      <c r="AI15" s="203">
        <f t="shared" si="13"/>
        <v>1700</v>
      </c>
      <c r="AJ15" s="203">
        <f t="shared" si="35"/>
        <v>170</v>
      </c>
      <c r="AK15" s="203">
        <f t="shared" si="14"/>
        <v>1700</v>
      </c>
      <c r="AL15" s="203">
        <f t="shared" si="36"/>
        <v>170</v>
      </c>
      <c r="AM15" s="203">
        <f t="shared" si="15"/>
        <v>1700</v>
      </c>
      <c r="AN15" s="35">
        <f t="shared" si="16"/>
        <v>0.6071428571428571</v>
      </c>
      <c r="AO15" s="36">
        <f t="shared" si="40"/>
        <v>11900</v>
      </c>
      <c r="AQ15" s="223">
        <f t="shared" si="41"/>
        <v>0.54040810944911111</v>
      </c>
      <c r="AR15" s="38">
        <f>Y15+AO15</f>
        <v>50241.741935483864</v>
      </c>
      <c r="AS15" s="197">
        <f t="shared" si="42"/>
        <v>0</v>
      </c>
      <c r="AT15" s="340"/>
      <c r="AU15" s="548"/>
      <c r="AV15" s="485">
        <f>IF(AT15&gt;0,AU15,AV14)</f>
        <v>0.75700000000000001</v>
      </c>
      <c r="AW15" s="279">
        <f>-SUM('B5'!AI14)</f>
        <v>0</v>
      </c>
      <c r="AX15" s="279">
        <f t="shared" si="17"/>
        <v>0</v>
      </c>
      <c r="AY15" s="37">
        <f t="shared" si="38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9"/>
        <v>0</v>
      </c>
      <c r="BK15" s="538" t="e">
        <f>GEN!AF12</f>
        <v>#DIV/0!</v>
      </c>
    </row>
    <row r="16" spans="1:63">
      <c r="A16" s="425">
        <f>ELEC!C14</f>
        <v>44631</v>
      </c>
      <c r="B16">
        <f>'B5'!B15</f>
        <v>162</v>
      </c>
      <c r="C16" s="203">
        <f t="shared" si="18"/>
        <v>3485.6129032258063</v>
      </c>
      <c r="D16">
        <f t="shared" si="19"/>
        <v>162</v>
      </c>
      <c r="E16" s="203">
        <f t="shared" si="18"/>
        <v>3485.6129032258063</v>
      </c>
      <c r="F16">
        <f t="shared" si="20"/>
        <v>162</v>
      </c>
      <c r="G16" s="203">
        <f t="shared" si="1"/>
        <v>3485.6129032258063</v>
      </c>
      <c r="H16" s="203">
        <f t="shared" si="21"/>
        <v>162</v>
      </c>
      <c r="I16" s="203">
        <f t="shared" si="2"/>
        <v>3485.6129032258063</v>
      </c>
      <c r="J16" s="203">
        <f t="shared" si="22"/>
        <v>162</v>
      </c>
      <c r="K16" s="203">
        <f t="shared" si="3"/>
        <v>3485.6129032258063</v>
      </c>
      <c r="L16" s="203">
        <f t="shared" si="23"/>
        <v>162</v>
      </c>
      <c r="M16" s="203">
        <f t="shared" si="4"/>
        <v>3485.6129032258063</v>
      </c>
      <c r="N16" s="203">
        <f t="shared" si="24"/>
        <v>162</v>
      </c>
      <c r="O16" s="203">
        <f t="shared" si="5"/>
        <v>3485.6129032258063</v>
      </c>
      <c r="P16" s="203">
        <f t="shared" si="25"/>
        <v>162</v>
      </c>
      <c r="Q16" s="203">
        <f t="shared" si="6"/>
        <v>3485.6129032258063</v>
      </c>
      <c r="R16" s="203">
        <f t="shared" si="26"/>
        <v>162</v>
      </c>
      <c r="S16" s="203">
        <f t="shared" si="7"/>
        <v>3485.6129032258063</v>
      </c>
      <c r="T16" s="203">
        <f t="shared" si="27"/>
        <v>162</v>
      </c>
      <c r="U16" s="203">
        <f t="shared" si="8"/>
        <v>3485.6129032258063</v>
      </c>
      <c r="V16" s="203">
        <f t="shared" si="28"/>
        <v>162</v>
      </c>
      <c r="W16" s="203">
        <f t="shared" si="9"/>
        <v>3485.6129032258063</v>
      </c>
      <c r="X16" s="35">
        <f t="shared" si="10"/>
        <v>0.52258064516129021</v>
      </c>
      <c r="Y16" s="36">
        <f t="shared" si="29"/>
        <v>38341.741935483864</v>
      </c>
      <c r="Z16" s="203">
        <f>'B5'!C15</f>
        <v>170</v>
      </c>
      <c r="AA16" s="203">
        <f t="shared" si="30"/>
        <v>1700</v>
      </c>
      <c r="AB16" s="203">
        <f t="shared" si="31"/>
        <v>170</v>
      </c>
      <c r="AC16" s="203">
        <f t="shared" si="30"/>
        <v>1700</v>
      </c>
      <c r="AD16" s="203">
        <f t="shared" si="32"/>
        <v>170</v>
      </c>
      <c r="AE16" s="203">
        <f t="shared" si="11"/>
        <v>1700</v>
      </c>
      <c r="AF16" s="203">
        <f t="shared" si="33"/>
        <v>170</v>
      </c>
      <c r="AG16" s="203">
        <f t="shared" si="12"/>
        <v>1700</v>
      </c>
      <c r="AH16" s="203">
        <f t="shared" si="34"/>
        <v>170</v>
      </c>
      <c r="AI16" s="203">
        <f t="shared" si="13"/>
        <v>1700</v>
      </c>
      <c r="AJ16" s="203">
        <f t="shared" si="35"/>
        <v>170</v>
      </c>
      <c r="AK16" s="203">
        <f t="shared" si="14"/>
        <v>1700</v>
      </c>
      <c r="AL16" s="203">
        <f t="shared" si="36"/>
        <v>170</v>
      </c>
      <c r="AM16" s="203">
        <f t="shared" si="15"/>
        <v>1700</v>
      </c>
      <c r="AN16" s="35">
        <f t="shared" si="16"/>
        <v>0.6071428571428571</v>
      </c>
      <c r="AO16" s="36">
        <f t="shared" si="40"/>
        <v>11900</v>
      </c>
      <c r="AQ16" s="223">
        <f t="shared" si="41"/>
        <v>0.54040810944911111</v>
      </c>
      <c r="AR16" s="38">
        <f t="shared" si="37"/>
        <v>50241.741935483864</v>
      </c>
      <c r="AS16" s="197">
        <f t="shared" si="42"/>
        <v>0</v>
      </c>
      <c r="AT16" s="340"/>
      <c r="AU16" s="548"/>
      <c r="AV16" s="485">
        <f t="shared" ref="AV16:AV21" si="45">IF(AT16&gt;0,AU16,AV15)</f>
        <v>0.75700000000000001</v>
      </c>
      <c r="AW16" s="279">
        <f>-SUM('B5'!AI15)</f>
        <v>0</v>
      </c>
      <c r="AX16" s="279">
        <f t="shared" si="17"/>
        <v>0</v>
      </c>
      <c r="AY16" s="37">
        <f t="shared" si="38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9"/>
        <v>0</v>
      </c>
      <c r="BK16" s="538" t="e">
        <f>GEN!AF13</f>
        <v>#DIV/0!</v>
      </c>
    </row>
    <row r="17" spans="1:64">
      <c r="A17" s="425">
        <f>ELEC!C15</f>
        <v>44632</v>
      </c>
      <c r="B17">
        <f>'B5'!B16</f>
        <v>162</v>
      </c>
      <c r="C17" s="203">
        <f t="shared" si="18"/>
        <v>3485.6129032258063</v>
      </c>
      <c r="D17">
        <f t="shared" si="19"/>
        <v>162</v>
      </c>
      <c r="E17" s="203">
        <f t="shared" si="18"/>
        <v>3485.6129032258063</v>
      </c>
      <c r="F17">
        <f t="shared" si="20"/>
        <v>162</v>
      </c>
      <c r="G17" s="203">
        <f t="shared" si="1"/>
        <v>3485.6129032258063</v>
      </c>
      <c r="H17" s="203">
        <f t="shared" si="21"/>
        <v>162</v>
      </c>
      <c r="I17" s="203">
        <f t="shared" si="2"/>
        <v>3485.6129032258063</v>
      </c>
      <c r="J17" s="203">
        <f t="shared" si="22"/>
        <v>162</v>
      </c>
      <c r="K17" s="203">
        <f t="shared" si="3"/>
        <v>3485.6129032258063</v>
      </c>
      <c r="L17" s="203">
        <f t="shared" si="23"/>
        <v>162</v>
      </c>
      <c r="M17" s="203">
        <f t="shared" si="4"/>
        <v>3485.6129032258063</v>
      </c>
      <c r="N17" s="203">
        <f t="shared" si="24"/>
        <v>162</v>
      </c>
      <c r="O17" s="203">
        <f t="shared" si="5"/>
        <v>3485.6129032258063</v>
      </c>
      <c r="P17" s="203">
        <f t="shared" si="25"/>
        <v>162</v>
      </c>
      <c r="Q17" s="203">
        <f t="shared" si="6"/>
        <v>3485.6129032258063</v>
      </c>
      <c r="R17" s="203">
        <f t="shared" si="26"/>
        <v>162</v>
      </c>
      <c r="S17" s="203">
        <f t="shared" si="7"/>
        <v>3485.6129032258063</v>
      </c>
      <c r="T17" s="203">
        <f t="shared" si="27"/>
        <v>162</v>
      </c>
      <c r="U17" s="203">
        <f t="shared" si="8"/>
        <v>3485.6129032258063</v>
      </c>
      <c r="V17" s="203">
        <f t="shared" si="28"/>
        <v>162</v>
      </c>
      <c r="W17" s="203">
        <f t="shared" si="9"/>
        <v>3485.6129032258063</v>
      </c>
      <c r="X17" s="35">
        <f t="shared" si="10"/>
        <v>0.52258064516129021</v>
      </c>
      <c r="Y17" s="36">
        <f t="shared" si="29"/>
        <v>38341.741935483864</v>
      </c>
      <c r="Z17" s="203">
        <f>'B5'!C16</f>
        <v>170</v>
      </c>
      <c r="AA17" s="203">
        <f t="shared" si="30"/>
        <v>1700</v>
      </c>
      <c r="AB17" s="203">
        <f t="shared" si="31"/>
        <v>170</v>
      </c>
      <c r="AC17" s="203">
        <f t="shared" si="30"/>
        <v>1700</v>
      </c>
      <c r="AD17" s="203">
        <f t="shared" si="32"/>
        <v>170</v>
      </c>
      <c r="AE17" s="203">
        <f t="shared" si="11"/>
        <v>1700</v>
      </c>
      <c r="AF17" s="203">
        <f t="shared" si="33"/>
        <v>170</v>
      </c>
      <c r="AG17" s="203">
        <f t="shared" si="12"/>
        <v>1700</v>
      </c>
      <c r="AH17" s="203">
        <f t="shared" si="34"/>
        <v>170</v>
      </c>
      <c r="AI17" s="203">
        <f t="shared" si="13"/>
        <v>1700</v>
      </c>
      <c r="AJ17" s="203">
        <f t="shared" si="35"/>
        <v>170</v>
      </c>
      <c r="AK17" s="203">
        <f t="shared" si="14"/>
        <v>1700</v>
      </c>
      <c r="AL17" s="203">
        <f t="shared" si="36"/>
        <v>170</v>
      </c>
      <c r="AM17" s="203">
        <f t="shared" si="15"/>
        <v>1700</v>
      </c>
      <c r="AN17" s="35">
        <f t="shared" si="16"/>
        <v>0.6071428571428571</v>
      </c>
      <c r="AO17" s="36">
        <f>SUM(AA17+AC17+AE17+AG17+AI17+AK17+AM17)</f>
        <v>11900</v>
      </c>
      <c r="AQ17" s="223">
        <f t="shared" si="41"/>
        <v>0.54040810944911111</v>
      </c>
      <c r="AR17" s="38">
        <f t="shared" si="37"/>
        <v>50241.741935483864</v>
      </c>
      <c r="AS17" s="197">
        <f t="shared" si="42"/>
        <v>0</v>
      </c>
      <c r="AU17" s="3"/>
      <c r="AV17" s="485">
        <f t="shared" si="45"/>
        <v>0.75700000000000001</v>
      </c>
      <c r="AW17" s="279">
        <f>-SUM('B5'!AI16)</f>
        <v>0</v>
      </c>
      <c r="AX17" s="279">
        <f t="shared" si="17"/>
        <v>0</v>
      </c>
      <c r="AY17" s="37">
        <f t="shared" si="38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44633</v>
      </c>
      <c r="B18">
        <f>'B5'!B17</f>
        <v>162</v>
      </c>
      <c r="C18" s="203">
        <f t="shared" si="18"/>
        <v>3485.6129032258063</v>
      </c>
      <c r="D18">
        <f t="shared" si="19"/>
        <v>162</v>
      </c>
      <c r="E18" s="203">
        <f t="shared" si="18"/>
        <v>3485.6129032258063</v>
      </c>
      <c r="F18">
        <f t="shared" si="20"/>
        <v>162</v>
      </c>
      <c r="G18" s="203">
        <f t="shared" si="1"/>
        <v>3485.6129032258063</v>
      </c>
      <c r="H18" s="203">
        <f t="shared" si="21"/>
        <v>162</v>
      </c>
      <c r="I18" s="203">
        <f t="shared" si="2"/>
        <v>3485.6129032258063</v>
      </c>
      <c r="J18" s="203">
        <f t="shared" si="22"/>
        <v>162</v>
      </c>
      <c r="K18" s="203">
        <f t="shared" si="3"/>
        <v>3485.6129032258063</v>
      </c>
      <c r="L18" s="203">
        <f t="shared" si="23"/>
        <v>162</v>
      </c>
      <c r="M18" s="203">
        <f t="shared" si="4"/>
        <v>3485.6129032258063</v>
      </c>
      <c r="N18" s="203">
        <f t="shared" si="24"/>
        <v>162</v>
      </c>
      <c r="O18" s="203">
        <f t="shared" si="5"/>
        <v>3485.6129032258063</v>
      </c>
      <c r="P18" s="203">
        <f t="shared" si="25"/>
        <v>162</v>
      </c>
      <c r="Q18" s="203">
        <f t="shared" si="6"/>
        <v>3485.6129032258063</v>
      </c>
      <c r="R18" s="203">
        <f t="shared" si="26"/>
        <v>162</v>
      </c>
      <c r="S18" s="203">
        <f t="shared" si="7"/>
        <v>3485.6129032258063</v>
      </c>
      <c r="T18" s="203">
        <f t="shared" si="27"/>
        <v>162</v>
      </c>
      <c r="U18" s="203">
        <f t="shared" si="8"/>
        <v>3485.6129032258063</v>
      </c>
      <c r="V18" s="203">
        <f t="shared" si="28"/>
        <v>162</v>
      </c>
      <c r="W18" s="203">
        <f t="shared" si="9"/>
        <v>3485.6129032258063</v>
      </c>
      <c r="X18" s="35">
        <f t="shared" si="10"/>
        <v>0.52258064516129021</v>
      </c>
      <c r="Y18" s="36">
        <f t="shared" si="29"/>
        <v>38341.741935483864</v>
      </c>
      <c r="Z18" s="203">
        <f>'B5'!C17</f>
        <v>170</v>
      </c>
      <c r="AA18" s="203">
        <f t="shared" si="30"/>
        <v>1700</v>
      </c>
      <c r="AB18" s="203">
        <f t="shared" si="31"/>
        <v>170</v>
      </c>
      <c r="AC18" s="203">
        <f t="shared" si="30"/>
        <v>1700</v>
      </c>
      <c r="AD18" s="203">
        <f t="shared" si="32"/>
        <v>170</v>
      </c>
      <c r="AE18" s="203">
        <f t="shared" si="11"/>
        <v>1700</v>
      </c>
      <c r="AF18" s="203">
        <f t="shared" si="33"/>
        <v>170</v>
      </c>
      <c r="AG18" s="203">
        <f t="shared" si="12"/>
        <v>1700</v>
      </c>
      <c r="AH18" s="203">
        <f t="shared" si="34"/>
        <v>170</v>
      </c>
      <c r="AI18" s="203">
        <f t="shared" si="13"/>
        <v>1700</v>
      </c>
      <c r="AJ18" s="203">
        <f t="shared" si="35"/>
        <v>170</v>
      </c>
      <c r="AK18" s="203">
        <f t="shared" si="14"/>
        <v>1700</v>
      </c>
      <c r="AL18" s="203">
        <f t="shared" si="36"/>
        <v>170</v>
      </c>
      <c r="AM18" s="203">
        <f t="shared" si="15"/>
        <v>1700</v>
      </c>
      <c r="AN18" s="35">
        <f t="shared" si="16"/>
        <v>0.6071428571428571</v>
      </c>
      <c r="AO18" s="36">
        <f t="shared" si="40"/>
        <v>11900</v>
      </c>
      <c r="AQ18" s="223">
        <f t="shared" si="41"/>
        <v>0.54040810944911111</v>
      </c>
      <c r="AR18" s="38">
        <f t="shared" si="37"/>
        <v>50241.741935483864</v>
      </c>
      <c r="AS18" s="197">
        <f>SUM(AR18-AR17-AT18)</f>
        <v>0</v>
      </c>
      <c r="AT18" s="340"/>
      <c r="AU18" s="548"/>
      <c r="AV18" s="485">
        <f t="shared" si="45"/>
        <v>0.75700000000000001</v>
      </c>
      <c r="AW18" s="279">
        <f>-SUM('B5'!AI17)</f>
        <v>0</v>
      </c>
      <c r="AX18" s="279">
        <f t="shared" si="17"/>
        <v>0</v>
      </c>
      <c r="AY18" s="37">
        <f t="shared" si="38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44634</v>
      </c>
      <c r="B19">
        <f>'B5'!B18</f>
        <v>162</v>
      </c>
      <c r="C19" s="203">
        <f t="shared" si="18"/>
        <v>3485.6129032258063</v>
      </c>
      <c r="D19">
        <f t="shared" si="19"/>
        <v>162</v>
      </c>
      <c r="E19" s="203">
        <f t="shared" si="18"/>
        <v>3485.6129032258063</v>
      </c>
      <c r="F19">
        <f t="shared" si="20"/>
        <v>162</v>
      </c>
      <c r="G19" s="203">
        <f t="shared" si="1"/>
        <v>3485.6129032258063</v>
      </c>
      <c r="H19" s="203">
        <f t="shared" si="21"/>
        <v>162</v>
      </c>
      <c r="I19" s="203">
        <f t="shared" si="2"/>
        <v>3485.6129032258063</v>
      </c>
      <c r="J19" s="203">
        <f t="shared" si="22"/>
        <v>162</v>
      </c>
      <c r="K19" s="203">
        <f t="shared" si="3"/>
        <v>3485.6129032258063</v>
      </c>
      <c r="L19" s="203">
        <f t="shared" si="23"/>
        <v>162</v>
      </c>
      <c r="M19" s="203">
        <f t="shared" si="4"/>
        <v>3485.6129032258063</v>
      </c>
      <c r="N19" s="203">
        <f t="shared" si="24"/>
        <v>162</v>
      </c>
      <c r="O19" s="203">
        <f t="shared" si="5"/>
        <v>3485.6129032258063</v>
      </c>
      <c r="P19" s="203">
        <f t="shared" si="25"/>
        <v>162</v>
      </c>
      <c r="Q19" s="203">
        <f t="shared" si="6"/>
        <v>3485.6129032258063</v>
      </c>
      <c r="R19" s="203">
        <f t="shared" si="26"/>
        <v>162</v>
      </c>
      <c r="S19" s="203">
        <f t="shared" si="7"/>
        <v>3485.6129032258063</v>
      </c>
      <c r="T19" s="203">
        <f t="shared" si="27"/>
        <v>162</v>
      </c>
      <c r="U19" s="203">
        <f t="shared" si="8"/>
        <v>3485.6129032258063</v>
      </c>
      <c r="V19" s="203">
        <f t="shared" si="28"/>
        <v>162</v>
      </c>
      <c r="W19" s="203">
        <f t="shared" si="9"/>
        <v>3485.6129032258063</v>
      </c>
      <c r="X19" s="35">
        <f t="shared" si="10"/>
        <v>0.52258064516129021</v>
      </c>
      <c r="Y19" s="36">
        <f t="shared" si="29"/>
        <v>38341.741935483864</v>
      </c>
      <c r="Z19" s="203">
        <f>'B5'!C18</f>
        <v>170</v>
      </c>
      <c r="AA19" s="203">
        <f t="shared" si="30"/>
        <v>1700</v>
      </c>
      <c r="AB19" s="203">
        <f t="shared" si="31"/>
        <v>170</v>
      </c>
      <c r="AC19" s="203">
        <f t="shared" si="30"/>
        <v>1700</v>
      </c>
      <c r="AD19" s="203">
        <f t="shared" si="32"/>
        <v>170</v>
      </c>
      <c r="AE19" s="203">
        <f t="shared" si="11"/>
        <v>1700</v>
      </c>
      <c r="AF19" s="203">
        <f t="shared" si="33"/>
        <v>170</v>
      </c>
      <c r="AG19" s="203">
        <f t="shared" si="12"/>
        <v>1700</v>
      </c>
      <c r="AH19" s="203">
        <f t="shared" si="34"/>
        <v>170</v>
      </c>
      <c r="AI19" s="203">
        <f t="shared" si="13"/>
        <v>1700</v>
      </c>
      <c r="AJ19" s="203">
        <f t="shared" si="35"/>
        <v>170</v>
      </c>
      <c r="AK19" s="203">
        <f t="shared" si="14"/>
        <v>1700</v>
      </c>
      <c r="AL19" s="203">
        <f t="shared" si="36"/>
        <v>170</v>
      </c>
      <c r="AM19" s="203">
        <f t="shared" si="15"/>
        <v>1700</v>
      </c>
      <c r="AN19" s="35">
        <f t="shared" si="16"/>
        <v>0.6071428571428571</v>
      </c>
      <c r="AO19" s="36">
        <f t="shared" si="40"/>
        <v>11900</v>
      </c>
      <c r="AQ19" s="223">
        <f t="shared" si="41"/>
        <v>0.54040810944911111</v>
      </c>
      <c r="AR19" s="38">
        <f t="shared" si="37"/>
        <v>50241.741935483864</v>
      </c>
      <c r="AS19" s="197">
        <f t="shared" ref="AS19:AS32" si="47">SUM(AR19-AR18-AT19)</f>
        <v>0</v>
      </c>
      <c r="AT19" s="340"/>
      <c r="AU19" s="548"/>
      <c r="AV19" s="485">
        <f t="shared" si="45"/>
        <v>0.75700000000000001</v>
      </c>
      <c r="AW19" s="279">
        <f>-SUM('B5'!AI18)</f>
        <v>0</v>
      </c>
      <c r="AX19" s="279">
        <f t="shared" si="17"/>
        <v>0</v>
      </c>
      <c r="AY19" s="37">
        <f t="shared" si="38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44635</v>
      </c>
      <c r="B20">
        <f>'B5'!B19</f>
        <v>162</v>
      </c>
      <c r="C20" s="203">
        <f t="shared" si="18"/>
        <v>3485.6129032258063</v>
      </c>
      <c r="D20">
        <f t="shared" si="19"/>
        <v>162</v>
      </c>
      <c r="E20" s="203">
        <f t="shared" si="18"/>
        <v>3485.6129032258063</v>
      </c>
      <c r="F20">
        <f t="shared" si="20"/>
        <v>162</v>
      </c>
      <c r="G20" s="203">
        <f t="shared" si="1"/>
        <v>3485.6129032258063</v>
      </c>
      <c r="H20" s="203">
        <f t="shared" si="21"/>
        <v>162</v>
      </c>
      <c r="I20" s="203">
        <f t="shared" si="2"/>
        <v>3485.6129032258063</v>
      </c>
      <c r="J20" s="203">
        <f t="shared" si="22"/>
        <v>162</v>
      </c>
      <c r="K20" s="203">
        <f t="shared" si="3"/>
        <v>3485.6129032258063</v>
      </c>
      <c r="L20" s="203">
        <f t="shared" si="23"/>
        <v>162</v>
      </c>
      <c r="M20" s="203">
        <f t="shared" si="4"/>
        <v>3485.6129032258063</v>
      </c>
      <c r="N20" s="203">
        <f t="shared" si="24"/>
        <v>162</v>
      </c>
      <c r="O20" s="203">
        <f t="shared" si="5"/>
        <v>3485.6129032258063</v>
      </c>
      <c r="P20" s="203">
        <f t="shared" si="25"/>
        <v>162</v>
      </c>
      <c r="Q20" s="203">
        <f t="shared" si="6"/>
        <v>3485.6129032258063</v>
      </c>
      <c r="R20" s="203">
        <f t="shared" si="26"/>
        <v>162</v>
      </c>
      <c r="S20" s="203">
        <f t="shared" si="7"/>
        <v>3485.6129032258063</v>
      </c>
      <c r="T20" s="203">
        <f t="shared" si="27"/>
        <v>162</v>
      </c>
      <c r="U20" s="203">
        <f t="shared" si="8"/>
        <v>3485.6129032258063</v>
      </c>
      <c r="V20" s="203">
        <f t="shared" si="28"/>
        <v>162</v>
      </c>
      <c r="W20" s="203">
        <f t="shared" si="9"/>
        <v>3485.6129032258063</v>
      </c>
      <c r="X20" s="35">
        <f t="shared" si="10"/>
        <v>0.52258064516129021</v>
      </c>
      <c r="Y20" s="36">
        <f t="shared" si="29"/>
        <v>38341.741935483864</v>
      </c>
      <c r="Z20" s="203">
        <f>'B5'!C19</f>
        <v>170</v>
      </c>
      <c r="AA20" s="203">
        <f t="shared" si="30"/>
        <v>1700</v>
      </c>
      <c r="AB20" s="203">
        <f t="shared" si="31"/>
        <v>170</v>
      </c>
      <c r="AC20" s="203">
        <f t="shared" si="30"/>
        <v>1700</v>
      </c>
      <c r="AD20" s="203">
        <f t="shared" si="32"/>
        <v>170</v>
      </c>
      <c r="AE20" s="203">
        <f t="shared" si="11"/>
        <v>1700</v>
      </c>
      <c r="AF20" s="203">
        <f t="shared" si="33"/>
        <v>170</v>
      </c>
      <c r="AG20" s="203">
        <f t="shared" si="12"/>
        <v>1700</v>
      </c>
      <c r="AH20" s="203">
        <f t="shared" si="34"/>
        <v>170</v>
      </c>
      <c r="AI20" s="203">
        <f t="shared" si="13"/>
        <v>1700</v>
      </c>
      <c r="AJ20" s="203">
        <f t="shared" si="35"/>
        <v>170</v>
      </c>
      <c r="AK20" s="203">
        <f t="shared" si="14"/>
        <v>1700</v>
      </c>
      <c r="AL20" s="203">
        <f t="shared" si="36"/>
        <v>170</v>
      </c>
      <c r="AM20" s="203">
        <f t="shared" si="15"/>
        <v>1700</v>
      </c>
      <c r="AN20" s="35">
        <f t="shared" si="16"/>
        <v>0.6071428571428571</v>
      </c>
      <c r="AO20" s="36">
        <f t="shared" si="40"/>
        <v>11900</v>
      </c>
      <c r="AQ20" s="223">
        <f t="shared" si="41"/>
        <v>0.54040810944911111</v>
      </c>
      <c r="AR20" s="38">
        <f t="shared" si="37"/>
        <v>50241.741935483864</v>
      </c>
      <c r="AS20" s="197">
        <f>SUM(AR20-AR19-AT20)</f>
        <v>0</v>
      </c>
      <c r="AT20" s="340"/>
      <c r="AU20" s="548"/>
      <c r="AV20" s="485">
        <f t="shared" si="45"/>
        <v>0.75700000000000001</v>
      </c>
      <c r="AW20" s="279">
        <f>-SUM('B5'!AI19)</f>
        <v>0</v>
      </c>
      <c r="AX20" s="279">
        <f>-SUM(AW20-AS20)</f>
        <v>0</v>
      </c>
      <c r="AY20" s="37">
        <f t="shared" si="38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44636</v>
      </c>
      <c r="B21">
        <f>'B5'!B20</f>
        <v>162</v>
      </c>
      <c r="C21" s="203">
        <f t="shared" si="18"/>
        <v>3485.6129032258063</v>
      </c>
      <c r="D21">
        <f t="shared" si="19"/>
        <v>162</v>
      </c>
      <c r="E21" s="203">
        <f t="shared" si="18"/>
        <v>3485.6129032258063</v>
      </c>
      <c r="F21">
        <f t="shared" si="20"/>
        <v>162</v>
      </c>
      <c r="G21" s="203">
        <f t="shared" si="1"/>
        <v>3485.6129032258063</v>
      </c>
      <c r="H21" s="203">
        <f t="shared" si="21"/>
        <v>162</v>
      </c>
      <c r="I21" s="203">
        <f t="shared" si="2"/>
        <v>3485.6129032258063</v>
      </c>
      <c r="J21" s="203">
        <f t="shared" si="22"/>
        <v>162</v>
      </c>
      <c r="K21" s="203">
        <f t="shared" si="3"/>
        <v>3485.6129032258063</v>
      </c>
      <c r="L21" s="203">
        <f t="shared" si="23"/>
        <v>162</v>
      </c>
      <c r="M21" s="203">
        <f t="shared" si="4"/>
        <v>3485.6129032258063</v>
      </c>
      <c r="N21" s="203">
        <f t="shared" si="24"/>
        <v>162</v>
      </c>
      <c r="O21" s="203">
        <f t="shared" si="5"/>
        <v>3485.6129032258063</v>
      </c>
      <c r="P21" s="203">
        <f t="shared" si="25"/>
        <v>162</v>
      </c>
      <c r="Q21" s="203">
        <f t="shared" si="6"/>
        <v>3485.6129032258063</v>
      </c>
      <c r="R21" s="203">
        <f t="shared" si="26"/>
        <v>162</v>
      </c>
      <c r="S21" s="203">
        <f t="shared" si="7"/>
        <v>3485.6129032258063</v>
      </c>
      <c r="T21" s="203">
        <f t="shared" si="27"/>
        <v>162</v>
      </c>
      <c r="U21" s="203">
        <f t="shared" si="8"/>
        <v>3485.6129032258063</v>
      </c>
      <c r="V21" s="203">
        <f t="shared" si="28"/>
        <v>162</v>
      </c>
      <c r="W21" s="203">
        <f t="shared" si="9"/>
        <v>3485.6129032258063</v>
      </c>
      <c r="X21" s="35">
        <f t="shared" si="10"/>
        <v>0.52258064516129021</v>
      </c>
      <c r="Y21" s="36">
        <f t="shared" si="29"/>
        <v>38341.741935483864</v>
      </c>
      <c r="Z21" s="203">
        <f>'B5'!C20</f>
        <v>170</v>
      </c>
      <c r="AA21" s="203">
        <f t="shared" si="30"/>
        <v>1700</v>
      </c>
      <c r="AB21" s="203">
        <f t="shared" si="31"/>
        <v>170</v>
      </c>
      <c r="AC21" s="203">
        <f t="shared" si="30"/>
        <v>1700</v>
      </c>
      <c r="AD21" s="203">
        <f t="shared" si="32"/>
        <v>170</v>
      </c>
      <c r="AE21" s="203">
        <f t="shared" si="11"/>
        <v>1700</v>
      </c>
      <c r="AF21" s="203">
        <f t="shared" si="33"/>
        <v>170</v>
      </c>
      <c r="AG21" s="203">
        <f t="shared" si="12"/>
        <v>1700</v>
      </c>
      <c r="AH21" s="203">
        <f t="shared" si="34"/>
        <v>170</v>
      </c>
      <c r="AI21" s="203">
        <f t="shared" si="13"/>
        <v>1700</v>
      </c>
      <c r="AJ21" s="203">
        <f t="shared" si="35"/>
        <v>170</v>
      </c>
      <c r="AK21" s="203">
        <f t="shared" si="14"/>
        <v>1700</v>
      </c>
      <c r="AL21" s="203">
        <f t="shared" si="36"/>
        <v>170</v>
      </c>
      <c r="AM21" s="203">
        <f t="shared" si="15"/>
        <v>1700</v>
      </c>
      <c r="AN21" s="35">
        <f t="shared" si="16"/>
        <v>0.6071428571428571</v>
      </c>
      <c r="AO21" s="36">
        <f t="shared" si="40"/>
        <v>11900</v>
      </c>
      <c r="AQ21" s="223">
        <f t="shared" si="41"/>
        <v>0.54040810944911111</v>
      </c>
      <c r="AR21" s="38">
        <f t="shared" si="37"/>
        <v>50241.741935483864</v>
      </c>
      <c r="AS21" s="197">
        <f>SUM(AR21-AR20-AT21)</f>
        <v>0</v>
      </c>
      <c r="AT21" s="340"/>
      <c r="AU21" s="548"/>
      <c r="AV21" s="485">
        <f t="shared" si="45"/>
        <v>0.75700000000000001</v>
      </c>
      <c r="AW21" s="279">
        <f>-SUM('B5'!AI20)</f>
        <v>0</v>
      </c>
      <c r="AX21" s="279">
        <f t="shared" si="17"/>
        <v>0</v>
      </c>
      <c r="AY21" s="37">
        <f t="shared" si="38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44637</v>
      </c>
      <c r="B22">
        <f>'B5'!B21</f>
        <v>162</v>
      </c>
      <c r="C22" s="203">
        <f t="shared" si="18"/>
        <v>3485.6129032258063</v>
      </c>
      <c r="D22">
        <f t="shared" si="19"/>
        <v>162</v>
      </c>
      <c r="E22" s="203">
        <f t="shared" si="18"/>
        <v>3485.6129032258063</v>
      </c>
      <c r="F22">
        <f t="shared" si="20"/>
        <v>162</v>
      </c>
      <c r="G22" s="203">
        <f t="shared" si="1"/>
        <v>3485.6129032258063</v>
      </c>
      <c r="H22" s="203">
        <f t="shared" si="21"/>
        <v>162</v>
      </c>
      <c r="I22" s="203">
        <f t="shared" si="2"/>
        <v>3485.6129032258063</v>
      </c>
      <c r="J22" s="203">
        <f t="shared" si="22"/>
        <v>162</v>
      </c>
      <c r="K22" s="203">
        <f t="shared" si="3"/>
        <v>3485.6129032258063</v>
      </c>
      <c r="L22" s="203">
        <f t="shared" si="23"/>
        <v>162</v>
      </c>
      <c r="M22" s="203">
        <f t="shared" si="4"/>
        <v>3485.6129032258063</v>
      </c>
      <c r="N22" s="203">
        <f t="shared" si="24"/>
        <v>162</v>
      </c>
      <c r="O22" s="203">
        <f t="shared" si="5"/>
        <v>3485.6129032258063</v>
      </c>
      <c r="P22" s="203">
        <f t="shared" si="25"/>
        <v>162</v>
      </c>
      <c r="Q22" s="203">
        <f t="shared" si="6"/>
        <v>3485.6129032258063</v>
      </c>
      <c r="R22" s="203">
        <f t="shared" si="26"/>
        <v>162</v>
      </c>
      <c r="S22" s="203">
        <f t="shared" si="7"/>
        <v>3485.6129032258063</v>
      </c>
      <c r="T22" s="203">
        <f t="shared" si="27"/>
        <v>162</v>
      </c>
      <c r="U22" s="203">
        <f t="shared" si="8"/>
        <v>3485.6129032258063</v>
      </c>
      <c r="V22" s="203">
        <f t="shared" si="28"/>
        <v>162</v>
      </c>
      <c r="W22" s="203">
        <f t="shared" si="9"/>
        <v>3485.6129032258063</v>
      </c>
      <c r="X22" s="35">
        <f t="shared" si="10"/>
        <v>0.52258064516129021</v>
      </c>
      <c r="Y22" s="36">
        <f t="shared" si="29"/>
        <v>38341.741935483864</v>
      </c>
      <c r="Z22" s="203">
        <f>'B5'!C21</f>
        <v>170</v>
      </c>
      <c r="AA22" s="203">
        <f t="shared" si="30"/>
        <v>1700</v>
      </c>
      <c r="AB22" s="203">
        <f t="shared" si="31"/>
        <v>170</v>
      </c>
      <c r="AC22" s="203">
        <f t="shared" si="30"/>
        <v>1700</v>
      </c>
      <c r="AD22" s="203">
        <f t="shared" si="32"/>
        <v>170</v>
      </c>
      <c r="AE22" s="203">
        <f t="shared" si="11"/>
        <v>1700</v>
      </c>
      <c r="AF22" s="203">
        <f t="shared" si="33"/>
        <v>170</v>
      </c>
      <c r="AG22" s="203">
        <f t="shared" si="12"/>
        <v>1700</v>
      </c>
      <c r="AH22" s="203">
        <f t="shared" si="34"/>
        <v>170</v>
      </c>
      <c r="AI22" s="203">
        <f t="shared" si="13"/>
        <v>1700</v>
      </c>
      <c r="AJ22" s="203">
        <f t="shared" si="35"/>
        <v>170</v>
      </c>
      <c r="AK22" s="203">
        <f t="shared" si="14"/>
        <v>1700</v>
      </c>
      <c r="AL22" s="203">
        <f t="shared" si="36"/>
        <v>170</v>
      </c>
      <c r="AM22" s="203">
        <f t="shared" si="15"/>
        <v>1700</v>
      </c>
      <c r="AN22" s="35">
        <f t="shared" si="16"/>
        <v>0.6071428571428571</v>
      </c>
      <c r="AO22" s="36">
        <f t="shared" si="40"/>
        <v>11900</v>
      </c>
      <c r="AQ22" s="223">
        <f t="shared" si="41"/>
        <v>0.54040810944911111</v>
      </c>
      <c r="AR22" s="38">
        <f t="shared" si="37"/>
        <v>50241.741935483864</v>
      </c>
      <c r="AS22" s="197">
        <f t="shared" si="47"/>
        <v>0</v>
      </c>
      <c r="AT22" s="340"/>
      <c r="AU22" s="548"/>
      <c r="AV22" s="485">
        <f t="shared" si="43"/>
        <v>0.75700000000000001</v>
      </c>
      <c r="AW22" s="279">
        <f>-SUM('B5'!AI21)</f>
        <v>0</v>
      </c>
      <c r="AX22" s="279">
        <f t="shared" si="17"/>
        <v>0</v>
      </c>
      <c r="AY22" s="37">
        <f t="shared" si="38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44638</v>
      </c>
      <c r="B23">
        <f>'B5'!B22</f>
        <v>162</v>
      </c>
      <c r="C23" s="203">
        <f t="shared" si="18"/>
        <v>3485.6129032258063</v>
      </c>
      <c r="D23">
        <f t="shared" si="19"/>
        <v>162</v>
      </c>
      <c r="E23" s="203">
        <f t="shared" si="18"/>
        <v>3485.6129032258063</v>
      </c>
      <c r="F23">
        <f t="shared" si="20"/>
        <v>162</v>
      </c>
      <c r="G23" s="203">
        <f t="shared" si="1"/>
        <v>3485.6129032258063</v>
      </c>
      <c r="H23" s="203">
        <f t="shared" si="21"/>
        <v>162</v>
      </c>
      <c r="I23" s="203">
        <f t="shared" si="2"/>
        <v>3485.6129032258063</v>
      </c>
      <c r="J23" s="203">
        <f t="shared" si="22"/>
        <v>162</v>
      </c>
      <c r="K23" s="203">
        <f t="shared" si="3"/>
        <v>3485.6129032258063</v>
      </c>
      <c r="L23" s="203">
        <f t="shared" si="23"/>
        <v>162</v>
      </c>
      <c r="M23" s="203">
        <f t="shared" si="4"/>
        <v>3485.6129032258063</v>
      </c>
      <c r="N23" s="203">
        <f t="shared" si="24"/>
        <v>162</v>
      </c>
      <c r="O23" s="203">
        <f t="shared" si="5"/>
        <v>3485.6129032258063</v>
      </c>
      <c r="P23" s="203">
        <f t="shared" si="25"/>
        <v>162</v>
      </c>
      <c r="Q23" s="203">
        <f t="shared" si="6"/>
        <v>3485.6129032258063</v>
      </c>
      <c r="R23" s="203">
        <f t="shared" si="26"/>
        <v>162</v>
      </c>
      <c r="S23" s="203">
        <f t="shared" si="7"/>
        <v>3485.6129032258063</v>
      </c>
      <c r="T23" s="203">
        <f t="shared" si="27"/>
        <v>162</v>
      </c>
      <c r="U23" s="203">
        <f t="shared" si="8"/>
        <v>3485.6129032258063</v>
      </c>
      <c r="V23" s="203">
        <f t="shared" si="28"/>
        <v>162</v>
      </c>
      <c r="W23" s="203">
        <f t="shared" si="9"/>
        <v>3485.6129032258063</v>
      </c>
      <c r="X23" s="35">
        <f t="shared" si="10"/>
        <v>0.52258064516129021</v>
      </c>
      <c r="Y23" s="36">
        <f t="shared" si="29"/>
        <v>38341.741935483864</v>
      </c>
      <c r="Z23" s="203">
        <f>'B5'!C22</f>
        <v>170</v>
      </c>
      <c r="AA23" s="203">
        <f t="shared" si="30"/>
        <v>1700</v>
      </c>
      <c r="AB23" s="203">
        <f t="shared" si="31"/>
        <v>170</v>
      </c>
      <c r="AC23" s="203">
        <f t="shared" si="30"/>
        <v>1700</v>
      </c>
      <c r="AD23" s="203">
        <f t="shared" si="32"/>
        <v>170</v>
      </c>
      <c r="AE23" s="203">
        <f t="shared" si="11"/>
        <v>1700</v>
      </c>
      <c r="AF23" s="203">
        <f t="shared" si="33"/>
        <v>170</v>
      </c>
      <c r="AG23" s="203">
        <f t="shared" si="12"/>
        <v>1700</v>
      </c>
      <c r="AH23" s="203">
        <f t="shared" si="34"/>
        <v>170</v>
      </c>
      <c r="AI23" s="203">
        <f t="shared" si="13"/>
        <v>1700</v>
      </c>
      <c r="AJ23" s="203">
        <f t="shared" si="35"/>
        <v>170</v>
      </c>
      <c r="AK23" s="203">
        <f t="shared" si="14"/>
        <v>1700</v>
      </c>
      <c r="AL23" s="203">
        <f t="shared" si="36"/>
        <v>170</v>
      </c>
      <c r="AM23" s="203">
        <f t="shared" si="15"/>
        <v>1700</v>
      </c>
      <c r="AN23" s="35">
        <f t="shared" si="16"/>
        <v>0.6071428571428571</v>
      </c>
      <c r="AO23" s="36">
        <f t="shared" si="40"/>
        <v>11900</v>
      </c>
      <c r="AQ23" s="223">
        <f t="shared" si="41"/>
        <v>0.54040810944911111</v>
      </c>
      <c r="AR23" s="38">
        <f t="shared" si="37"/>
        <v>50241.741935483864</v>
      </c>
      <c r="AS23" s="197">
        <f t="shared" si="47"/>
        <v>0</v>
      </c>
      <c r="AT23" s="340"/>
      <c r="AU23" s="548"/>
      <c r="AV23" s="485">
        <f t="shared" si="43"/>
        <v>0.75700000000000001</v>
      </c>
      <c r="AW23" s="279">
        <f>-SUM('B5'!AI22)</f>
        <v>0</v>
      </c>
      <c r="AX23" s="279">
        <f t="shared" si="17"/>
        <v>0</v>
      </c>
      <c r="AY23" s="37">
        <f t="shared" si="38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44639</v>
      </c>
      <c r="B24">
        <f>'B5'!B23</f>
        <v>162</v>
      </c>
      <c r="C24" s="203">
        <f t="shared" si="18"/>
        <v>3485.6129032258063</v>
      </c>
      <c r="D24">
        <f t="shared" si="19"/>
        <v>162</v>
      </c>
      <c r="E24" s="203">
        <f t="shared" si="18"/>
        <v>3485.6129032258063</v>
      </c>
      <c r="F24">
        <f t="shared" si="20"/>
        <v>162</v>
      </c>
      <c r="G24" s="203">
        <f t="shared" si="1"/>
        <v>3485.6129032258063</v>
      </c>
      <c r="H24" s="203">
        <f t="shared" si="21"/>
        <v>162</v>
      </c>
      <c r="I24" s="203">
        <f t="shared" si="2"/>
        <v>3485.6129032258063</v>
      </c>
      <c r="J24" s="203">
        <f t="shared" si="22"/>
        <v>162</v>
      </c>
      <c r="K24" s="203">
        <f t="shared" si="3"/>
        <v>3485.6129032258063</v>
      </c>
      <c r="L24" s="203">
        <f t="shared" si="23"/>
        <v>162</v>
      </c>
      <c r="M24" s="203">
        <f t="shared" si="4"/>
        <v>3485.6129032258063</v>
      </c>
      <c r="N24" s="203">
        <f t="shared" si="24"/>
        <v>162</v>
      </c>
      <c r="O24" s="203">
        <f t="shared" si="5"/>
        <v>3485.6129032258063</v>
      </c>
      <c r="P24" s="203">
        <f t="shared" si="25"/>
        <v>162</v>
      </c>
      <c r="Q24" s="203">
        <f t="shared" si="6"/>
        <v>3485.6129032258063</v>
      </c>
      <c r="R24" s="203">
        <f t="shared" si="26"/>
        <v>162</v>
      </c>
      <c r="S24" s="203">
        <f t="shared" si="7"/>
        <v>3485.6129032258063</v>
      </c>
      <c r="T24" s="203">
        <f t="shared" si="27"/>
        <v>162</v>
      </c>
      <c r="U24" s="203">
        <f t="shared" si="8"/>
        <v>3485.6129032258063</v>
      </c>
      <c r="V24" s="203">
        <f t="shared" si="28"/>
        <v>162</v>
      </c>
      <c r="W24" s="203">
        <f t="shared" si="9"/>
        <v>3485.6129032258063</v>
      </c>
      <c r="X24" s="35">
        <f t="shared" si="10"/>
        <v>0.52258064516129021</v>
      </c>
      <c r="Y24" s="36">
        <f t="shared" si="29"/>
        <v>38341.741935483864</v>
      </c>
      <c r="Z24" s="203">
        <f>'B5'!C23</f>
        <v>170</v>
      </c>
      <c r="AA24" s="203">
        <f t="shared" si="30"/>
        <v>1700</v>
      </c>
      <c r="AB24" s="203">
        <f t="shared" si="31"/>
        <v>170</v>
      </c>
      <c r="AC24" s="203">
        <f t="shared" si="30"/>
        <v>1700</v>
      </c>
      <c r="AD24" s="203">
        <f t="shared" si="32"/>
        <v>170</v>
      </c>
      <c r="AE24" s="203">
        <f t="shared" si="11"/>
        <v>1700</v>
      </c>
      <c r="AF24" s="203">
        <f t="shared" si="33"/>
        <v>170</v>
      </c>
      <c r="AG24" s="203">
        <f t="shared" si="12"/>
        <v>1700</v>
      </c>
      <c r="AH24" s="203">
        <f t="shared" si="34"/>
        <v>170</v>
      </c>
      <c r="AI24" s="203">
        <f t="shared" si="13"/>
        <v>1700</v>
      </c>
      <c r="AJ24" s="203">
        <f t="shared" si="35"/>
        <v>170</v>
      </c>
      <c r="AK24" s="203">
        <f t="shared" si="14"/>
        <v>1700</v>
      </c>
      <c r="AL24" s="203">
        <f t="shared" si="36"/>
        <v>170</v>
      </c>
      <c r="AM24" s="203">
        <f t="shared" si="15"/>
        <v>1700</v>
      </c>
      <c r="AN24" s="35">
        <f t="shared" si="16"/>
        <v>0.6071428571428571</v>
      </c>
      <c r="AO24" s="36">
        <f t="shared" si="40"/>
        <v>11900</v>
      </c>
      <c r="AQ24" s="223">
        <f t="shared" si="41"/>
        <v>0.54040810944911111</v>
      </c>
      <c r="AR24" s="38">
        <f t="shared" si="37"/>
        <v>50241.741935483864</v>
      </c>
      <c r="AS24" s="197">
        <f t="shared" si="47"/>
        <v>0</v>
      </c>
      <c r="AT24" s="340"/>
      <c r="AU24" s="548"/>
      <c r="AV24" s="485">
        <f t="shared" si="43"/>
        <v>0.75700000000000001</v>
      </c>
      <c r="AW24" s="279">
        <f>-SUM('B5'!AI23)</f>
        <v>0</v>
      </c>
      <c r="AX24" s="279">
        <f t="shared" si="17"/>
        <v>0</v>
      </c>
      <c r="AY24" s="37">
        <f t="shared" si="38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44640</v>
      </c>
      <c r="B25">
        <f>'B5'!B24</f>
        <v>162</v>
      </c>
      <c r="C25" s="203">
        <f t="shared" si="18"/>
        <v>3485.6129032258063</v>
      </c>
      <c r="D25">
        <f t="shared" si="19"/>
        <v>162</v>
      </c>
      <c r="E25" s="203">
        <f t="shared" si="18"/>
        <v>3485.6129032258063</v>
      </c>
      <c r="F25">
        <f t="shared" si="20"/>
        <v>162</v>
      </c>
      <c r="G25" s="203">
        <f t="shared" si="1"/>
        <v>3485.6129032258063</v>
      </c>
      <c r="H25" s="203">
        <f t="shared" si="21"/>
        <v>162</v>
      </c>
      <c r="I25" s="203">
        <f t="shared" si="2"/>
        <v>3485.6129032258063</v>
      </c>
      <c r="J25" s="203">
        <f t="shared" si="22"/>
        <v>162</v>
      </c>
      <c r="K25" s="203">
        <f t="shared" si="3"/>
        <v>3485.6129032258063</v>
      </c>
      <c r="L25" s="203">
        <f t="shared" si="23"/>
        <v>162</v>
      </c>
      <c r="M25" s="203">
        <f t="shared" si="4"/>
        <v>3485.6129032258063</v>
      </c>
      <c r="N25" s="203">
        <f t="shared" si="24"/>
        <v>162</v>
      </c>
      <c r="O25" s="203">
        <f t="shared" si="5"/>
        <v>3485.6129032258063</v>
      </c>
      <c r="P25" s="203">
        <f t="shared" si="25"/>
        <v>162</v>
      </c>
      <c r="Q25" s="203">
        <f t="shared" si="6"/>
        <v>3485.6129032258063</v>
      </c>
      <c r="R25" s="203">
        <f t="shared" si="26"/>
        <v>162</v>
      </c>
      <c r="S25" s="203">
        <f t="shared" si="7"/>
        <v>3485.6129032258063</v>
      </c>
      <c r="T25" s="203">
        <f t="shared" si="27"/>
        <v>162</v>
      </c>
      <c r="U25" s="203">
        <f t="shared" si="8"/>
        <v>3485.6129032258063</v>
      </c>
      <c r="V25" s="203">
        <f t="shared" si="28"/>
        <v>162</v>
      </c>
      <c r="W25" s="203">
        <f t="shared" si="9"/>
        <v>3485.6129032258063</v>
      </c>
      <c r="X25" s="35">
        <f t="shared" si="10"/>
        <v>0.52258064516129021</v>
      </c>
      <c r="Y25" s="36">
        <f t="shared" si="29"/>
        <v>38341.741935483864</v>
      </c>
      <c r="Z25" s="203">
        <f>'B5'!C24</f>
        <v>170</v>
      </c>
      <c r="AA25" s="203">
        <f t="shared" si="30"/>
        <v>1700</v>
      </c>
      <c r="AB25" s="203">
        <f t="shared" si="31"/>
        <v>170</v>
      </c>
      <c r="AC25" s="203">
        <f t="shared" si="30"/>
        <v>1700</v>
      </c>
      <c r="AD25" s="203">
        <f t="shared" si="32"/>
        <v>170</v>
      </c>
      <c r="AE25" s="203">
        <f t="shared" si="11"/>
        <v>1700</v>
      </c>
      <c r="AF25" s="203">
        <f t="shared" si="33"/>
        <v>170</v>
      </c>
      <c r="AG25" s="203">
        <f t="shared" si="12"/>
        <v>1700</v>
      </c>
      <c r="AH25" s="203">
        <f t="shared" si="34"/>
        <v>170</v>
      </c>
      <c r="AI25" s="203">
        <f t="shared" si="13"/>
        <v>1700</v>
      </c>
      <c r="AJ25" s="203">
        <f t="shared" si="35"/>
        <v>170</v>
      </c>
      <c r="AK25" s="203">
        <f t="shared" si="14"/>
        <v>1700</v>
      </c>
      <c r="AL25" s="203">
        <f t="shared" si="36"/>
        <v>170</v>
      </c>
      <c r="AM25" s="203">
        <f t="shared" si="15"/>
        <v>1700</v>
      </c>
      <c r="AN25" s="35">
        <f t="shared" si="16"/>
        <v>0.6071428571428571</v>
      </c>
      <c r="AO25" s="36">
        <f t="shared" si="40"/>
        <v>11900</v>
      </c>
      <c r="AQ25" s="223">
        <f t="shared" si="41"/>
        <v>0.54040810944911111</v>
      </c>
      <c r="AR25" s="38">
        <f>Y25+AO25</f>
        <v>50241.741935483864</v>
      </c>
      <c r="AS25" s="197">
        <f t="shared" si="47"/>
        <v>0</v>
      </c>
      <c r="AT25" s="340"/>
      <c r="AU25" s="549"/>
      <c r="AV25" s="485">
        <f t="shared" si="43"/>
        <v>0.75700000000000001</v>
      </c>
      <c r="AW25" s="279">
        <f>-SUM('B5'!AI24)</f>
        <v>0</v>
      </c>
      <c r="AX25" s="279">
        <f t="shared" si="17"/>
        <v>0</v>
      </c>
      <c r="AY25" s="37">
        <f t="shared" si="38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44641</v>
      </c>
      <c r="B26">
        <f>'B5'!B25</f>
        <v>162</v>
      </c>
      <c r="C26" s="203">
        <f t="shared" si="18"/>
        <v>3485.6129032258063</v>
      </c>
      <c r="D26">
        <f t="shared" si="19"/>
        <v>162</v>
      </c>
      <c r="E26" s="203">
        <f t="shared" si="18"/>
        <v>3485.6129032258063</v>
      </c>
      <c r="F26">
        <f t="shared" si="20"/>
        <v>162</v>
      </c>
      <c r="G26" s="203">
        <f t="shared" si="1"/>
        <v>3485.6129032258063</v>
      </c>
      <c r="H26" s="203">
        <f t="shared" si="21"/>
        <v>162</v>
      </c>
      <c r="I26" s="203">
        <f t="shared" si="2"/>
        <v>3485.6129032258063</v>
      </c>
      <c r="J26" s="203">
        <f t="shared" si="22"/>
        <v>162</v>
      </c>
      <c r="K26" s="203">
        <f t="shared" si="3"/>
        <v>3485.6129032258063</v>
      </c>
      <c r="L26" s="203">
        <f t="shared" si="23"/>
        <v>162</v>
      </c>
      <c r="M26" s="203">
        <f t="shared" si="4"/>
        <v>3485.6129032258063</v>
      </c>
      <c r="N26" s="203">
        <f t="shared" si="24"/>
        <v>162</v>
      </c>
      <c r="O26" s="203">
        <f t="shared" si="5"/>
        <v>3485.6129032258063</v>
      </c>
      <c r="P26" s="203">
        <f t="shared" si="25"/>
        <v>162</v>
      </c>
      <c r="Q26" s="203">
        <f t="shared" si="6"/>
        <v>3485.6129032258063</v>
      </c>
      <c r="R26" s="203">
        <f t="shared" si="26"/>
        <v>162</v>
      </c>
      <c r="S26" s="203">
        <f t="shared" si="7"/>
        <v>3485.6129032258063</v>
      </c>
      <c r="T26" s="203">
        <f t="shared" si="27"/>
        <v>162</v>
      </c>
      <c r="U26" s="203">
        <f t="shared" si="8"/>
        <v>3485.6129032258063</v>
      </c>
      <c r="V26" s="203">
        <f t="shared" si="28"/>
        <v>162</v>
      </c>
      <c r="W26" s="203">
        <f t="shared" si="9"/>
        <v>3485.6129032258063</v>
      </c>
      <c r="X26" s="35">
        <f t="shared" si="10"/>
        <v>0.52258064516129021</v>
      </c>
      <c r="Y26" s="36">
        <f t="shared" si="29"/>
        <v>38341.741935483864</v>
      </c>
      <c r="Z26" s="203">
        <f>'B5'!C25</f>
        <v>170</v>
      </c>
      <c r="AA26" s="203">
        <f t="shared" si="30"/>
        <v>1700</v>
      </c>
      <c r="AB26" s="203">
        <f t="shared" si="31"/>
        <v>170</v>
      </c>
      <c r="AC26" s="203">
        <f t="shared" si="30"/>
        <v>1700</v>
      </c>
      <c r="AD26" s="203">
        <f t="shared" si="32"/>
        <v>170</v>
      </c>
      <c r="AE26" s="203">
        <f t="shared" si="11"/>
        <v>1700</v>
      </c>
      <c r="AF26" s="203">
        <f t="shared" si="33"/>
        <v>170</v>
      </c>
      <c r="AG26" s="203">
        <f t="shared" si="12"/>
        <v>1700</v>
      </c>
      <c r="AH26" s="203">
        <f t="shared" si="34"/>
        <v>170</v>
      </c>
      <c r="AI26" s="203">
        <f t="shared" si="13"/>
        <v>1700</v>
      </c>
      <c r="AJ26" s="203">
        <f t="shared" si="35"/>
        <v>170</v>
      </c>
      <c r="AK26" s="203">
        <f t="shared" si="14"/>
        <v>1700</v>
      </c>
      <c r="AL26" s="203">
        <f t="shared" si="36"/>
        <v>170</v>
      </c>
      <c r="AM26" s="203">
        <f t="shared" si="15"/>
        <v>1700</v>
      </c>
      <c r="AN26" s="35">
        <f t="shared" si="16"/>
        <v>0.6071428571428571</v>
      </c>
      <c r="AO26" s="36">
        <f t="shared" si="40"/>
        <v>11900</v>
      </c>
      <c r="AQ26" s="223">
        <f t="shared" si="41"/>
        <v>0.54040810944911111</v>
      </c>
      <c r="AR26" s="38">
        <f>Y26+AO26</f>
        <v>50241.741935483864</v>
      </c>
      <c r="AS26" s="197">
        <f t="shared" si="47"/>
        <v>0</v>
      </c>
      <c r="AT26" s="340"/>
      <c r="AU26" s="548"/>
      <c r="AV26" s="485">
        <f t="shared" si="43"/>
        <v>0.75700000000000001</v>
      </c>
      <c r="AW26" s="279">
        <f>-SUM('B5'!AI25)</f>
        <v>0</v>
      </c>
      <c r="AX26" s="279">
        <f t="shared" si="17"/>
        <v>0</v>
      </c>
      <c r="AY26" s="37">
        <f t="shared" si="38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44642</v>
      </c>
      <c r="B27">
        <f>'B5'!B26</f>
        <v>162</v>
      </c>
      <c r="C27" s="203">
        <f t="shared" si="18"/>
        <v>3485.6129032258063</v>
      </c>
      <c r="D27">
        <f t="shared" si="19"/>
        <v>162</v>
      </c>
      <c r="E27" s="203">
        <f t="shared" si="18"/>
        <v>3485.6129032258063</v>
      </c>
      <c r="F27">
        <f t="shared" si="20"/>
        <v>162</v>
      </c>
      <c r="G27" s="203">
        <f t="shared" si="1"/>
        <v>3485.6129032258063</v>
      </c>
      <c r="H27" s="203">
        <f t="shared" si="21"/>
        <v>162</v>
      </c>
      <c r="I27" s="203">
        <f t="shared" si="2"/>
        <v>3485.6129032258063</v>
      </c>
      <c r="J27" s="203">
        <f t="shared" si="22"/>
        <v>162</v>
      </c>
      <c r="K27" s="203">
        <f t="shared" si="3"/>
        <v>3485.6129032258063</v>
      </c>
      <c r="L27" s="203">
        <f t="shared" si="23"/>
        <v>162</v>
      </c>
      <c r="M27" s="203">
        <f t="shared" si="4"/>
        <v>3485.6129032258063</v>
      </c>
      <c r="N27" s="203">
        <f t="shared" si="24"/>
        <v>162</v>
      </c>
      <c r="O27" s="203">
        <f t="shared" si="5"/>
        <v>3485.6129032258063</v>
      </c>
      <c r="P27" s="203">
        <f t="shared" si="25"/>
        <v>162</v>
      </c>
      <c r="Q27" s="203">
        <f t="shared" si="6"/>
        <v>3485.6129032258063</v>
      </c>
      <c r="R27" s="203">
        <f t="shared" si="26"/>
        <v>162</v>
      </c>
      <c r="S27" s="203">
        <f t="shared" si="7"/>
        <v>3485.6129032258063</v>
      </c>
      <c r="T27" s="203">
        <f t="shared" si="27"/>
        <v>162</v>
      </c>
      <c r="U27" s="203">
        <f t="shared" si="8"/>
        <v>3485.6129032258063</v>
      </c>
      <c r="V27" s="203">
        <f t="shared" si="28"/>
        <v>162</v>
      </c>
      <c r="W27" s="203">
        <f t="shared" si="9"/>
        <v>3485.6129032258063</v>
      </c>
      <c r="X27" s="35">
        <f t="shared" si="10"/>
        <v>0.52258064516129021</v>
      </c>
      <c r="Y27" s="36">
        <f t="shared" si="29"/>
        <v>38341.741935483864</v>
      </c>
      <c r="Z27" s="203">
        <f>'B5'!C26</f>
        <v>170</v>
      </c>
      <c r="AA27" s="203">
        <f t="shared" si="30"/>
        <v>1700</v>
      </c>
      <c r="AB27" s="203">
        <f t="shared" si="31"/>
        <v>170</v>
      </c>
      <c r="AC27" s="203">
        <f t="shared" si="30"/>
        <v>1700</v>
      </c>
      <c r="AD27" s="203">
        <f t="shared" si="32"/>
        <v>170</v>
      </c>
      <c r="AE27" s="203">
        <f t="shared" si="11"/>
        <v>1700</v>
      </c>
      <c r="AF27" s="203">
        <f t="shared" si="33"/>
        <v>170</v>
      </c>
      <c r="AG27" s="203">
        <f t="shared" si="12"/>
        <v>1700</v>
      </c>
      <c r="AH27" s="203">
        <f t="shared" si="34"/>
        <v>170</v>
      </c>
      <c r="AI27" s="203">
        <f t="shared" si="13"/>
        <v>1700</v>
      </c>
      <c r="AJ27" s="203">
        <f t="shared" si="35"/>
        <v>170</v>
      </c>
      <c r="AK27" s="203">
        <f t="shared" si="14"/>
        <v>1700</v>
      </c>
      <c r="AL27" s="203">
        <f t="shared" si="36"/>
        <v>170</v>
      </c>
      <c r="AM27" s="203">
        <f t="shared" si="15"/>
        <v>1700</v>
      </c>
      <c r="AN27" s="35">
        <f t="shared" si="16"/>
        <v>0.6071428571428571</v>
      </c>
      <c r="AO27" s="36">
        <f t="shared" si="40"/>
        <v>11900</v>
      </c>
      <c r="AQ27" s="223">
        <f t="shared" si="41"/>
        <v>0.54040810944911111</v>
      </c>
      <c r="AR27" s="38">
        <f t="shared" si="37"/>
        <v>50241.741935483864</v>
      </c>
      <c r="AS27" s="197">
        <f t="shared" si="47"/>
        <v>0</v>
      </c>
      <c r="AT27" s="340"/>
      <c r="AU27" s="548"/>
      <c r="AV27" s="485">
        <f t="shared" si="43"/>
        <v>0.75700000000000001</v>
      </c>
      <c r="AW27" s="279">
        <f>-SUM('B5'!AI26)</f>
        <v>0</v>
      </c>
      <c r="AX27" s="279">
        <f t="shared" si="17"/>
        <v>0</v>
      </c>
      <c r="AY27" s="37">
        <f t="shared" si="38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44643</v>
      </c>
      <c r="B28">
        <f>'B5'!B27</f>
        <v>162</v>
      </c>
      <c r="C28" s="203">
        <f t="shared" si="18"/>
        <v>3485.6129032258063</v>
      </c>
      <c r="D28">
        <f t="shared" si="19"/>
        <v>162</v>
      </c>
      <c r="E28" s="203">
        <f t="shared" si="18"/>
        <v>3485.6129032258063</v>
      </c>
      <c r="F28">
        <f t="shared" si="20"/>
        <v>162</v>
      </c>
      <c r="G28" s="203">
        <f t="shared" si="1"/>
        <v>3485.6129032258063</v>
      </c>
      <c r="H28" s="203">
        <f t="shared" si="21"/>
        <v>162</v>
      </c>
      <c r="I28" s="203">
        <f t="shared" si="2"/>
        <v>3485.6129032258063</v>
      </c>
      <c r="J28" s="203">
        <f t="shared" si="22"/>
        <v>162</v>
      </c>
      <c r="K28" s="203">
        <f t="shared" si="3"/>
        <v>3485.6129032258063</v>
      </c>
      <c r="L28" s="203">
        <f t="shared" si="23"/>
        <v>162</v>
      </c>
      <c r="M28" s="203">
        <f t="shared" si="4"/>
        <v>3485.6129032258063</v>
      </c>
      <c r="N28" s="203">
        <f t="shared" si="24"/>
        <v>162</v>
      </c>
      <c r="O28" s="203">
        <f t="shared" si="5"/>
        <v>3485.6129032258063</v>
      </c>
      <c r="P28" s="203">
        <f t="shared" si="25"/>
        <v>162</v>
      </c>
      <c r="Q28" s="203">
        <f t="shared" si="6"/>
        <v>3485.6129032258063</v>
      </c>
      <c r="R28" s="203">
        <f t="shared" si="26"/>
        <v>162</v>
      </c>
      <c r="S28" s="203">
        <f t="shared" si="7"/>
        <v>3485.6129032258063</v>
      </c>
      <c r="T28" s="203">
        <f t="shared" si="27"/>
        <v>162</v>
      </c>
      <c r="U28" s="203">
        <f t="shared" si="8"/>
        <v>3485.6129032258063</v>
      </c>
      <c r="V28" s="203">
        <f t="shared" si="28"/>
        <v>162</v>
      </c>
      <c r="W28" s="203">
        <f t="shared" si="9"/>
        <v>3485.6129032258063</v>
      </c>
      <c r="X28" s="35">
        <f t="shared" si="10"/>
        <v>0.52258064516129021</v>
      </c>
      <c r="Y28" s="36">
        <f t="shared" si="29"/>
        <v>38341.741935483864</v>
      </c>
      <c r="Z28" s="203">
        <f>'B5'!C27</f>
        <v>170</v>
      </c>
      <c r="AA28" s="203">
        <f t="shared" si="30"/>
        <v>1700</v>
      </c>
      <c r="AB28" s="203">
        <f t="shared" si="31"/>
        <v>170</v>
      </c>
      <c r="AC28" s="203">
        <f t="shared" si="30"/>
        <v>1700</v>
      </c>
      <c r="AD28" s="203">
        <f t="shared" si="32"/>
        <v>170</v>
      </c>
      <c r="AE28" s="203">
        <f t="shared" si="11"/>
        <v>1700</v>
      </c>
      <c r="AF28" s="203">
        <f t="shared" si="33"/>
        <v>170</v>
      </c>
      <c r="AG28" s="203">
        <f t="shared" si="12"/>
        <v>1700</v>
      </c>
      <c r="AH28" s="203">
        <f t="shared" si="34"/>
        <v>170</v>
      </c>
      <c r="AI28" s="203">
        <f t="shared" si="13"/>
        <v>1700</v>
      </c>
      <c r="AJ28" s="203">
        <f t="shared" si="35"/>
        <v>170</v>
      </c>
      <c r="AK28" s="203">
        <f t="shared" si="14"/>
        <v>1700</v>
      </c>
      <c r="AL28" s="203">
        <f t="shared" si="36"/>
        <v>170</v>
      </c>
      <c r="AM28" s="203">
        <f t="shared" si="15"/>
        <v>1700</v>
      </c>
      <c r="AN28" s="35">
        <f t="shared" si="16"/>
        <v>0.6071428571428571</v>
      </c>
      <c r="AO28" s="36">
        <f t="shared" si="40"/>
        <v>11900</v>
      </c>
      <c r="AQ28" s="223">
        <f t="shared" si="41"/>
        <v>0.54040810944911111</v>
      </c>
      <c r="AR28" s="38">
        <f t="shared" si="37"/>
        <v>50241.741935483864</v>
      </c>
      <c r="AS28" s="197">
        <f t="shared" si="47"/>
        <v>0</v>
      </c>
      <c r="AT28" s="340"/>
      <c r="AU28" s="549"/>
      <c r="AV28" s="485">
        <f t="shared" si="43"/>
        <v>0.75700000000000001</v>
      </c>
      <c r="AW28" s="279">
        <f>-SUM('B5'!AI27)</f>
        <v>0</v>
      </c>
      <c r="AX28" s="279">
        <f t="shared" si="17"/>
        <v>0</v>
      </c>
      <c r="AY28" s="37">
        <f t="shared" si="38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44644</v>
      </c>
      <c r="B29">
        <f>'B5'!B28</f>
        <v>162</v>
      </c>
      <c r="C29" s="203">
        <f t="shared" si="18"/>
        <v>3485.6129032258063</v>
      </c>
      <c r="D29">
        <f t="shared" si="19"/>
        <v>162</v>
      </c>
      <c r="E29" s="203">
        <f t="shared" si="18"/>
        <v>3485.6129032258063</v>
      </c>
      <c r="F29">
        <f t="shared" si="20"/>
        <v>162</v>
      </c>
      <c r="G29" s="203">
        <f t="shared" si="1"/>
        <v>3485.6129032258063</v>
      </c>
      <c r="H29" s="203">
        <f t="shared" si="21"/>
        <v>162</v>
      </c>
      <c r="I29" s="203">
        <f t="shared" si="2"/>
        <v>3485.6129032258063</v>
      </c>
      <c r="J29" s="203">
        <f t="shared" si="22"/>
        <v>162</v>
      </c>
      <c r="K29" s="203">
        <f t="shared" si="3"/>
        <v>3485.6129032258063</v>
      </c>
      <c r="L29" s="203">
        <f t="shared" si="23"/>
        <v>162</v>
      </c>
      <c r="M29" s="203">
        <f t="shared" si="4"/>
        <v>3485.6129032258063</v>
      </c>
      <c r="N29" s="203">
        <f t="shared" si="24"/>
        <v>162</v>
      </c>
      <c r="O29" s="203">
        <f t="shared" si="5"/>
        <v>3485.6129032258063</v>
      </c>
      <c r="P29" s="203">
        <f t="shared" si="25"/>
        <v>162</v>
      </c>
      <c r="Q29" s="203">
        <f t="shared" si="6"/>
        <v>3485.6129032258063</v>
      </c>
      <c r="R29" s="203">
        <f t="shared" si="26"/>
        <v>162</v>
      </c>
      <c r="S29" s="203">
        <f t="shared" si="7"/>
        <v>3485.6129032258063</v>
      </c>
      <c r="T29" s="203">
        <f t="shared" si="27"/>
        <v>162</v>
      </c>
      <c r="U29" s="203">
        <f t="shared" si="8"/>
        <v>3485.6129032258063</v>
      </c>
      <c r="V29" s="203">
        <f t="shared" si="28"/>
        <v>162</v>
      </c>
      <c r="W29" s="203">
        <f t="shared" si="9"/>
        <v>3485.6129032258063</v>
      </c>
      <c r="X29" s="35">
        <f t="shared" si="10"/>
        <v>0.52258064516129021</v>
      </c>
      <c r="Y29" s="36">
        <f t="shared" si="29"/>
        <v>38341.741935483864</v>
      </c>
      <c r="Z29" s="203">
        <f>'B5'!C28</f>
        <v>170</v>
      </c>
      <c r="AA29" s="203">
        <f t="shared" si="30"/>
        <v>1700</v>
      </c>
      <c r="AB29" s="203">
        <f t="shared" si="31"/>
        <v>170</v>
      </c>
      <c r="AC29" s="203">
        <f t="shared" si="30"/>
        <v>1700</v>
      </c>
      <c r="AD29" s="203">
        <f t="shared" si="32"/>
        <v>170</v>
      </c>
      <c r="AE29" s="203">
        <f t="shared" si="11"/>
        <v>1700</v>
      </c>
      <c r="AF29" s="203">
        <f t="shared" si="33"/>
        <v>170</v>
      </c>
      <c r="AG29" s="203">
        <f t="shared" si="12"/>
        <v>1700</v>
      </c>
      <c r="AH29" s="203">
        <f t="shared" si="34"/>
        <v>170</v>
      </c>
      <c r="AI29" s="203">
        <f t="shared" si="13"/>
        <v>1700</v>
      </c>
      <c r="AJ29" s="203">
        <f t="shared" si="35"/>
        <v>170</v>
      </c>
      <c r="AK29" s="203">
        <f t="shared" si="14"/>
        <v>1700</v>
      </c>
      <c r="AL29" s="203">
        <f t="shared" si="36"/>
        <v>170</v>
      </c>
      <c r="AM29" s="203">
        <f t="shared" si="15"/>
        <v>1700</v>
      </c>
      <c r="AN29" s="35">
        <f t="shared" si="16"/>
        <v>0.6071428571428571</v>
      </c>
      <c r="AO29" s="36">
        <f t="shared" si="40"/>
        <v>11900</v>
      </c>
      <c r="AQ29" s="223">
        <f t="shared" si="41"/>
        <v>0.54040810944911111</v>
      </c>
      <c r="AR29" s="38">
        <f t="shared" si="37"/>
        <v>50241.741935483864</v>
      </c>
      <c r="AS29" s="197">
        <f>SUM(AR29-AR28-AT29)</f>
        <v>0</v>
      </c>
      <c r="AT29" s="340"/>
      <c r="AU29" s="549"/>
      <c r="AV29" s="485">
        <f t="shared" si="43"/>
        <v>0.75700000000000001</v>
      </c>
      <c r="AW29" s="279">
        <f>-SUM('B5'!AI28)</f>
        <v>0</v>
      </c>
      <c r="AX29" s="279">
        <f t="shared" si="17"/>
        <v>0</v>
      </c>
      <c r="AY29" s="37">
        <f t="shared" si="38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44645</v>
      </c>
      <c r="B30">
        <f>'B5'!B29</f>
        <v>162</v>
      </c>
      <c r="C30" s="203">
        <f t="shared" si="18"/>
        <v>3485.6129032258063</v>
      </c>
      <c r="D30">
        <f>SUM(B30)</f>
        <v>162</v>
      </c>
      <c r="E30" s="203">
        <f t="shared" si="18"/>
        <v>3485.6129032258063</v>
      </c>
      <c r="F30">
        <f>SUM(D30)</f>
        <v>162</v>
      </c>
      <c r="G30" s="203">
        <f t="shared" si="1"/>
        <v>3485.6129032258063</v>
      </c>
      <c r="H30" s="203">
        <f>SUM(F30)</f>
        <v>162</v>
      </c>
      <c r="I30" s="203">
        <f t="shared" si="2"/>
        <v>3485.6129032258063</v>
      </c>
      <c r="J30" s="203">
        <f>SUM(H30)</f>
        <v>162</v>
      </c>
      <c r="K30" s="203">
        <f t="shared" si="3"/>
        <v>3485.6129032258063</v>
      </c>
      <c r="L30" s="203">
        <f>SUM(J30)</f>
        <v>162</v>
      </c>
      <c r="M30" s="203">
        <f t="shared" si="4"/>
        <v>3485.6129032258063</v>
      </c>
      <c r="N30" s="203">
        <f>SUM(L30)</f>
        <v>162</v>
      </c>
      <c r="O30" s="203">
        <f t="shared" si="5"/>
        <v>3485.6129032258063</v>
      </c>
      <c r="P30" s="203">
        <f>SUM(N30)</f>
        <v>162</v>
      </c>
      <c r="Q30" s="203">
        <f t="shared" si="6"/>
        <v>3485.6129032258063</v>
      </c>
      <c r="R30" s="203">
        <f>SUM(P30)</f>
        <v>162</v>
      </c>
      <c r="S30" s="203">
        <f t="shared" si="7"/>
        <v>3485.6129032258063</v>
      </c>
      <c r="T30" s="203">
        <f>SUM(R30)</f>
        <v>162</v>
      </c>
      <c r="U30" s="203">
        <f t="shared" si="8"/>
        <v>3485.6129032258063</v>
      </c>
      <c r="V30" s="203">
        <f>SUM(T30)</f>
        <v>162</v>
      </c>
      <c r="W30" s="203">
        <f t="shared" si="9"/>
        <v>3485.6129032258063</v>
      </c>
      <c r="X30" s="35">
        <f>SUM(Y30/73370)</f>
        <v>0.52258064516129021</v>
      </c>
      <c r="Y30" s="36">
        <f>SUM(C30+E30+G30+I30+K30+M30+O30+Q30+S30+U30+W30)</f>
        <v>38341.741935483864</v>
      </c>
      <c r="Z30" s="203">
        <f>'B5'!C29</f>
        <v>170</v>
      </c>
      <c r="AA30" s="203">
        <f t="shared" si="30"/>
        <v>1700</v>
      </c>
      <c r="AB30" s="203">
        <f>SUM(Z30)</f>
        <v>170</v>
      </c>
      <c r="AC30" s="203">
        <f t="shared" si="30"/>
        <v>1700</v>
      </c>
      <c r="AD30" s="203">
        <f>SUM(AB30)</f>
        <v>170</v>
      </c>
      <c r="AE30" s="203">
        <f t="shared" si="11"/>
        <v>1700</v>
      </c>
      <c r="AF30" s="203">
        <f>SUM(AD30)</f>
        <v>170</v>
      </c>
      <c r="AG30" s="203">
        <f t="shared" si="12"/>
        <v>1700</v>
      </c>
      <c r="AH30" s="203">
        <f>SUM(AF30)</f>
        <v>170</v>
      </c>
      <c r="AI30" s="203">
        <f t="shared" si="13"/>
        <v>1700</v>
      </c>
      <c r="AJ30" s="203">
        <f>SUM(AH30)</f>
        <v>170</v>
      </c>
      <c r="AK30" s="203">
        <f t="shared" si="14"/>
        <v>1700</v>
      </c>
      <c r="AL30" s="203">
        <f>SUM(AJ30)</f>
        <v>170</v>
      </c>
      <c r="AM30" s="203">
        <f t="shared" si="15"/>
        <v>1700</v>
      </c>
      <c r="AN30" s="35">
        <f>SUM(AO30/19600)</f>
        <v>0.6071428571428571</v>
      </c>
      <c r="AO30" s="36">
        <f>SUM(AA30+AC30+AE30+AG30+AI30+AK30+AM30)</f>
        <v>11900</v>
      </c>
      <c r="AQ30" s="223">
        <f t="shared" si="41"/>
        <v>0.54040810944911111</v>
      </c>
      <c r="AR30" s="38">
        <f t="shared" si="37"/>
        <v>50241.741935483864</v>
      </c>
      <c r="AS30" s="197">
        <f>SUM(AR30-AR29-AT30)</f>
        <v>0</v>
      </c>
      <c r="AT30" s="340"/>
      <c r="AU30" s="549"/>
      <c r="AV30" s="485">
        <f t="shared" si="43"/>
        <v>0.75700000000000001</v>
      </c>
      <c r="AW30" s="279">
        <f>-SUM('B5'!AI29)</f>
        <v>0</v>
      </c>
      <c r="AX30" s="279">
        <f t="shared" si="17"/>
        <v>0</v>
      </c>
      <c r="AY30" s="37">
        <f t="shared" si="38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44646</v>
      </c>
      <c r="B31">
        <f>'B5'!B30</f>
        <v>162</v>
      </c>
      <c r="C31" s="203">
        <f t="shared" si="18"/>
        <v>3485.6129032258063</v>
      </c>
      <c r="D31">
        <f>SUM(B31)</f>
        <v>162</v>
      </c>
      <c r="E31" s="203">
        <f t="shared" si="18"/>
        <v>3485.6129032258063</v>
      </c>
      <c r="F31">
        <f>SUM(D31)</f>
        <v>162</v>
      </c>
      <c r="G31" s="203">
        <f t="shared" si="1"/>
        <v>3485.6129032258063</v>
      </c>
      <c r="H31" s="203">
        <f>SUM(F31)</f>
        <v>162</v>
      </c>
      <c r="I31" s="203">
        <f t="shared" si="2"/>
        <v>3485.6129032258063</v>
      </c>
      <c r="J31" s="203">
        <f>SUM(H31)</f>
        <v>162</v>
      </c>
      <c r="K31" s="203">
        <f t="shared" si="3"/>
        <v>3485.6129032258063</v>
      </c>
      <c r="L31" s="203">
        <f>SUM(J31)</f>
        <v>162</v>
      </c>
      <c r="M31" s="203">
        <f t="shared" si="4"/>
        <v>3485.6129032258063</v>
      </c>
      <c r="N31" s="203">
        <f>SUM(L31)</f>
        <v>162</v>
      </c>
      <c r="O31" s="203">
        <f t="shared" si="5"/>
        <v>3485.6129032258063</v>
      </c>
      <c r="P31" s="203">
        <f>SUM(N31)</f>
        <v>162</v>
      </c>
      <c r="Q31" s="203">
        <f t="shared" si="6"/>
        <v>3485.6129032258063</v>
      </c>
      <c r="R31" s="203">
        <f>SUM(P31)</f>
        <v>162</v>
      </c>
      <c r="S31" s="203">
        <f t="shared" si="7"/>
        <v>3485.6129032258063</v>
      </c>
      <c r="T31" s="203">
        <f>SUM(R31)</f>
        <v>162</v>
      </c>
      <c r="U31" s="203">
        <f t="shared" si="8"/>
        <v>3485.6129032258063</v>
      </c>
      <c r="V31" s="203">
        <f>SUM(T31)</f>
        <v>162</v>
      </c>
      <c r="W31" s="203">
        <f t="shared" si="9"/>
        <v>3485.6129032258063</v>
      </c>
      <c r="X31" s="35">
        <f>SUM(Y31/73370)</f>
        <v>0.52258064516129021</v>
      </c>
      <c r="Y31" s="36">
        <f>SUM(C31+E31+G31+I31+K31+M31+O31+Q31+S31+U31+W31)</f>
        <v>38341.741935483864</v>
      </c>
      <c r="Z31" s="203">
        <f>'B5'!C30</f>
        <v>170</v>
      </c>
      <c r="AA31" s="203">
        <f t="shared" si="30"/>
        <v>1700</v>
      </c>
      <c r="AB31" s="203">
        <f>SUM(Z31)</f>
        <v>170</v>
      </c>
      <c r="AC31" s="203">
        <f t="shared" si="30"/>
        <v>1700</v>
      </c>
      <c r="AD31" s="203">
        <f>SUM(AB31)</f>
        <v>170</v>
      </c>
      <c r="AE31" s="203">
        <f t="shared" si="11"/>
        <v>1700</v>
      </c>
      <c r="AF31" s="203">
        <f>SUM(AD31)</f>
        <v>170</v>
      </c>
      <c r="AG31" s="203">
        <f t="shared" si="12"/>
        <v>1700</v>
      </c>
      <c r="AH31" s="203">
        <f>SUM(AF31)</f>
        <v>170</v>
      </c>
      <c r="AI31" s="203">
        <f t="shared" si="13"/>
        <v>1700</v>
      </c>
      <c r="AJ31" s="203">
        <f>SUM(AH31)</f>
        <v>170</v>
      </c>
      <c r="AK31" s="203">
        <f t="shared" si="14"/>
        <v>1700</v>
      </c>
      <c r="AL31" s="203">
        <f>SUM(AJ31)</f>
        <v>170</v>
      </c>
      <c r="AM31" s="203">
        <f t="shared" si="15"/>
        <v>1700</v>
      </c>
      <c r="AN31" s="35">
        <f>SUM(AO31/19600)</f>
        <v>0.6071428571428571</v>
      </c>
      <c r="AO31" s="36">
        <f>SUM(AA31+AC31+AE31+AG31+AI31+AK31+AM31)</f>
        <v>11900</v>
      </c>
      <c r="AQ31" s="223">
        <f t="shared" si="41"/>
        <v>0.54040810944911111</v>
      </c>
      <c r="AR31" s="38">
        <f t="shared" si="37"/>
        <v>50241.741935483864</v>
      </c>
      <c r="AS31" s="197">
        <f t="shared" si="47"/>
        <v>0</v>
      </c>
      <c r="AT31" s="340"/>
      <c r="AU31" s="571"/>
      <c r="AV31" s="485">
        <f t="shared" si="43"/>
        <v>0.75700000000000001</v>
      </c>
      <c r="AW31" s="279">
        <f>-SUM('B5'!AI30)</f>
        <v>0</v>
      </c>
      <c r="AX31" s="279">
        <f t="shared" si="17"/>
        <v>0</v>
      </c>
      <c r="AY31" s="37">
        <f t="shared" si="38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44647</v>
      </c>
      <c r="B32">
        <f>'B5'!B31</f>
        <v>162</v>
      </c>
      <c r="C32" s="203">
        <f t="shared" si="18"/>
        <v>3485.6129032258063</v>
      </c>
      <c r="D32">
        <f>SUM(B32)</f>
        <v>162</v>
      </c>
      <c r="E32" s="203">
        <f t="shared" si="18"/>
        <v>3485.6129032258063</v>
      </c>
      <c r="F32">
        <f>SUM(D32)</f>
        <v>162</v>
      </c>
      <c r="G32" s="203">
        <f t="shared" si="1"/>
        <v>3485.6129032258063</v>
      </c>
      <c r="H32" s="203">
        <f>SUM(F32)</f>
        <v>162</v>
      </c>
      <c r="I32" s="203">
        <f t="shared" si="2"/>
        <v>3485.6129032258063</v>
      </c>
      <c r="J32" s="203">
        <f>SUM(H32)</f>
        <v>162</v>
      </c>
      <c r="K32" s="203">
        <f t="shared" si="3"/>
        <v>3485.6129032258063</v>
      </c>
      <c r="L32" s="203">
        <f>SUM(J32)</f>
        <v>162</v>
      </c>
      <c r="M32" s="203">
        <f t="shared" si="4"/>
        <v>3485.6129032258063</v>
      </c>
      <c r="N32" s="203">
        <f>SUM(L32)</f>
        <v>162</v>
      </c>
      <c r="O32" s="203">
        <f t="shared" si="5"/>
        <v>3485.6129032258063</v>
      </c>
      <c r="P32" s="203">
        <f>SUM(N32)</f>
        <v>162</v>
      </c>
      <c r="Q32" s="203">
        <f t="shared" si="6"/>
        <v>3485.6129032258063</v>
      </c>
      <c r="R32" s="203">
        <f>SUM(P32)</f>
        <v>162</v>
      </c>
      <c r="S32" s="203">
        <f t="shared" si="7"/>
        <v>3485.6129032258063</v>
      </c>
      <c r="T32" s="203">
        <f>SUM(R32)</f>
        <v>162</v>
      </c>
      <c r="U32" s="203">
        <f t="shared" si="8"/>
        <v>3485.6129032258063</v>
      </c>
      <c r="V32" s="203">
        <f>SUM(T32)</f>
        <v>162</v>
      </c>
      <c r="W32" s="203">
        <f t="shared" si="9"/>
        <v>3485.6129032258063</v>
      </c>
      <c r="X32" s="35">
        <f>SUM(Y32/73370)</f>
        <v>0.52258064516129021</v>
      </c>
      <c r="Y32" s="36">
        <f>SUM(C32+E32+G32+I32+K32+M32+O32+Q32+S32+U32+W32)</f>
        <v>38341.741935483864</v>
      </c>
      <c r="Z32" s="203">
        <f>'B5'!C31</f>
        <v>170</v>
      </c>
      <c r="AA32" s="203">
        <f t="shared" si="30"/>
        <v>1700</v>
      </c>
      <c r="AB32" s="203">
        <f>SUM(Z32)</f>
        <v>170</v>
      </c>
      <c r="AC32" s="203">
        <f t="shared" si="30"/>
        <v>1700</v>
      </c>
      <c r="AD32" s="203">
        <f>SUM(AB32)</f>
        <v>170</v>
      </c>
      <c r="AE32" s="203">
        <f t="shared" si="11"/>
        <v>1700</v>
      </c>
      <c r="AF32" s="203">
        <f>SUM(AD32)</f>
        <v>170</v>
      </c>
      <c r="AG32" s="203">
        <f t="shared" si="12"/>
        <v>1700</v>
      </c>
      <c r="AH32" s="203">
        <f>SUM(AF32)</f>
        <v>170</v>
      </c>
      <c r="AI32" s="203">
        <f t="shared" si="13"/>
        <v>1700</v>
      </c>
      <c r="AJ32" s="203">
        <f>SUM(AH32)</f>
        <v>170</v>
      </c>
      <c r="AK32" s="203">
        <f t="shared" si="14"/>
        <v>1700</v>
      </c>
      <c r="AL32" s="203">
        <f>SUM(AJ32)</f>
        <v>170</v>
      </c>
      <c r="AM32" s="203">
        <f t="shared" si="15"/>
        <v>1700</v>
      </c>
      <c r="AN32" s="35">
        <f>SUM(AO32/19600)</f>
        <v>0.6071428571428571</v>
      </c>
      <c r="AO32" s="36">
        <f>SUM(AA32+AC32+AE32+AG32+AI32+AK32+AM32)</f>
        <v>11900</v>
      </c>
      <c r="AQ32" s="223">
        <f t="shared" si="41"/>
        <v>0.54040810944911111</v>
      </c>
      <c r="AR32" s="38">
        <f t="shared" si="37"/>
        <v>50241.741935483864</v>
      </c>
      <c r="AS32" s="197">
        <f t="shared" si="47"/>
        <v>0</v>
      </c>
      <c r="AT32" s="340"/>
      <c r="AU32" s="548"/>
      <c r="AV32" s="485">
        <f>IF(AT32&gt;0,AU32,AV31)</f>
        <v>0.75700000000000001</v>
      </c>
      <c r="AW32" s="279">
        <f>-SUM('B5'!AI31)</f>
        <v>0</v>
      </c>
      <c r="AX32" s="279">
        <f t="shared" si="17"/>
        <v>0</v>
      </c>
      <c r="AY32" s="37">
        <f t="shared" si="38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44648</v>
      </c>
      <c r="B33">
        <f>'B5'!B32</f>
        <v>162</v>
      </c>
      <c r="C33" s="203">
        <f t="shared" si="18"/>
        <v>3485.6129032258063</v>
      </c>
      <c r="D33">
        <f>SUM(B33)</f>
        <v>162</v>
      </c>
      <c r="E33" s="203">
        <f t="shared" si="18"/>
        <v>3485.6129032258063</v>
      </c>
      <c r="F33">
        <f>SUM(D33)</f>
        <v>162</v>
      </c>
      <c r="G33" s="203">
        <f t="shared" si="1"/>
        <v>3485.6129032258063</v>
      </c>
      <c r="H33" s="203">
        <f>SUM(F33)</f>
        <v>162</v>
      </c>
      <c r="I33" s="203">
        <f t="shared" si="2"/>
        <v>3485.6129032258063</v>
      </c>
      <c r="J33" s="203">
        <f>SUM(H33)</f>
        <v>162</v>
      </c>
      <c r="K33" s="203">
        <f t="shared" si="3"/>
        <v>3485.6129032258063</v>
      </c>
      <c r="L33" s="203">
        <f>SUM(J33)</f>
        <v>162</v>
      </c>
      <c r="M33" s="203">
        <f t="shared" si="4"/>
        <v>3485.6129032258063</v>
      </c>
      <c r="N33" s="203">
        <f>SUM(L33)</f>
        <v>162</v>
      </c>
      <c r="O33" s="203">
        <f t="shared" si="5"/>
        <v>3485.6129032258063</v>
      </c>
      <c r="P33" s="203">
        <f>SUM(N33)</f>
        <v>162</v>
      </c>
      <c r="Q33" s="203">
        <f t="shared" si="6"/>
        <v>3485.6129032258063</v>
      </c>
      <c r="R33" s="203">
        <f>SUM(P33)</f>
        <v>162</v>
      </c>
      <c r="S33" s="203">
        <f t="shared" si="7"/>
        <v>3485.6129032258063</v>
      </c>
      <c r="T33" s="203">
        <f>SUM(R33)</f>
        <v>162</v>
      </c>
      <c r="U33" s="203">
        <f t="shared" si="8"/>
        <v>3485.6129032258063</v>
      </c>
      <c r="V33" s="203">
        <f>SUM(T33)</f>
        <v>162</v>
      </c>
      <c r="W33" s="203">
        <f t="shared" si="9"/>
        <v>3485.6129032258063</v>
      </c>
      <c r="X33" s="35">
        <f>SUM(Y33/73370)</f>
        <v>0.52258064516129021</v>
      </c>
      <c r="Y33" s="36">
        <f>SUM(C33+E33+G33+I33+K33+M33+O33+Q33+S33+U33+W33)</f>
        <v>38341.741935483864</v>
      </c>
      <c r="Z33" s="203">
        <f>'B5'!C32</f>
        <v>170</v>
      </c>
      <c r="AA33" s="203">
        <f t="shared" si="30"/>
        <v>1700</v>
      </c>
      <c r="AB33" s="203">
        <f>SUM(Z33)</f>
        <v>170</v>
      </c>
      <c r="AC33" s="203">
        <f t="shared" si="30"/>
        <v>1700</v>
      </c>
      <c r="AD33" s="203">
        <f>SUM(AB33)</f>
        <v>170</v>
      </c>
      <c r="AE33" s="203">
        <f t="shared" si="11"/>
        <v>1700</v>
      </c>
      <c r="AF33" s="203">
        <f>SUM(AD33)</f>
        <v>170</v>
      </c>
      <c r="AG33" s="203">
        <f t="shared" si="12"/>
        <v>1700</v>
      </c>
      <c r="AH33" s="203">
        <f>SUM(AF33)</f>
        <v>170</v>
      </c>
      <c r="AI33" s="203">
        <f t="shared" si="13"/>
        <v>1700</v>
      </c>
      <c r="AJ33" s="203">
        <f>SUM(AH33)</f>
        <v>170</v>
      </c>
      <c r="AK33" s="203">
        <f t="shared" si="14"/>
        <v>1700</v>
      </c>
      <c r="AL33" s="203">
        <f>SUM(AJ33)</f>
        <v>170</v>
      </c>
      <c r="AM33" s="203">
        <f t="shared" si="15"/>
        <v>1700</v>
      </c>
      <c r="AN33" s="35">
        <f>SUM(AO33/19600)</f>
        <v>0.6071428571428571</v>
      </c>
      <c r="AO33" s="36">
        <f>SUM(AA33+AC33+AE33+AG33+AI33+AK33+AM33)</f>
        <v>11900</v>
      </c>
      <c r="AQ33" s="223">
        <f t="shared" si="41"/>
        <v>0.54040810944911111</v>
      </c>
      <c r="AR33" s="38">
        <f t="shared" si="37"/>
        <v>50241.741935483864</v>
      </c>
      <c r="AS33" s="197">
        <f>SUM(AR33-AR32-AT33)</f>
        <v>0</v>
      </c>
      <c r="AT33" s="340"/>
      <c r="AU33" s="548"/>
      <c r="AV33" s="485">
        <f>IF(AT33&gt;0,AU33,AV32)</f>
        <v>0.75700000000000001</v>
      </c>
      <c r="AW33" s="279">
        <f>-SUM('B5'!AI32)</f>
        <v>0</v>
      </c>
      <c r="AX33" s="279">
        <f t="shared" si="17"/>
        <v>0</v>
      </c>
      <c r="AY33" s="37">
        <f t="shared" si="38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44649</v>
      </c>
      <c r="B34">
        <f>'B5'!B33</f>
        <v>162</v>
      </c>
      <c r="C34" s="203">
        <f t="shared" ref="C34:C36" si="48">B34*$B$4</f>
        <v>3485.6129032258063</v>
      </c>
      <c r="D34">
        <f t="shared" ref="D34:D36" si="49">SUM(B34)</f>
        <v>162</v>
      </c>
      <c r="E34" s="203">
        <f t="shared" ref="E34:E36" si="50">D34*$B$4</f>
        <v>3485.6129032258063</v>
      </c>
      <c r="F34">
        <f t="shared" ref="F34:F36" si="51">SUM(D34)</f>
        <v>162</v>
      </c>
      <c r="G34" s="203">
        <f t="shared" ref="G34:G36" si="52">F34*$B$4</f>
        <v>3485.6129032258063</v>
      </c>
      <c r="H34" s="203">
        <f t="shared" ref="H34:H36" si="53">SUM(F34)</f>
        <v>162</v>
      </c>
      <c r="I34" s="203">
        <f t="shared" ref="I34:I36" si="54">H34*$B$4</f>
        <v>3485.6129032258063</v>
      </c>
      <c r="J34" s="203">
        <f t="shared" ref="J34:J36" si="55">SUM(H34)</f>
        <v>162</v>
      </c>
      <c r="K34" s="203">
        <f t="shared" ref="K34:K36" si="56">J34*$B$4</f>
        <v>3485.6129032258063</v>
      </c>
      <c r="L34" s="203">
        <f t="shared" ref="L34:L36" si="57">SUM(J34)</f>
        <v>162</v>
      </c>
      <c r="M34" s="203">
        <f t="shared" ref="M34:M36" si="58">L34*$B$4</f>
        <v>3485.6129032258063</v>
      </c>
      <c r="N34" s="203">
        <f t="shared" ref="N34:N36" si="59">SUM(L34)</f>
        <v>162</v>
      </c>
      <c r="O34" s="203">
        <f t="shared" ref="O34:O36" si="60">N34*$B$4</f>
        <v>3485.6129032258063</v>
      </c>
      <c r="P34" s="203">
        <f t="shared" ref="P34:P36" si="61">SUM(N34)</f>
        <v>162</v>
      </c>
      <c r="Q34" s="203">
        <f t="shared" ref="Q34:Q36" si="62">P34*$B$4</f>
        <v>3485.6129032258063</v>
      </c>
      <c r="R34" s="203">
        <f t="shared" ref="R34:R36" si="63">SUM(P34)</f>
        <v>162</v>
      </c>
      <c r="S34" s="203">
        <f t="shared" ref="S34:S36" si="64">R34*$B$4</f>
        <v>3485.6129032258063</v>
      </c>
      <c r="T34" s="203">
        <f t="shared" ref="T34:T36" si="65">SUM(R34)</f>
        <v>162</v>
      </c>
      <c r="U34" s="203">
        <f t="shared" ref="U34:U36" si="66">T34*$B$4</f>
        <v>3485.6129032258063</v>
      </c>
      <c r="V34" s="203">
        <f t="shared" ref="V34:V36" si="67">SUM(T34)</f>
        <v>162</v>
      </c>
      <c r="W34" s="203">
        <f t="shared" ref="W34:W36" si="68">V34*$B$4</f>
        <v>3485.6129032258063</v>
      </c>
      <c r="X34" s="35">
        <f t="shared" ref="X34:X36" si="69">SUM(Y34/73370)</f>
        <v>0.52258064516129021</v>
      </c>
      <c r="Y34" s="36">
        <f t="shared" ref="Y34:Y36" si="70">SUM(C34+E34+G34+I34+K34+M34+O34+Q34+S34+U34+W34)</f>
        <v>38341.741935483864</v>
      </c>
      <c r="Z34" s="203">
        <f>'B5'!C33</f>
        <v>170</v>
      </c>
      <c r="AA34" s="203">
        <f t="shared" ref="AA34:AA36" si="71">SUM(Z34*$Z$4)</f>
        <v>1700</v>
      </c>
      <c r="AB34" s="203">
        <f t="shared" ref="AB34:AB36" si="72">SUM(Z34)</f>
        <v>170</v>
      </c>
      <c r="AC34" s="203">
        <f t="shared" ref="AC34:AC36" si="73">SUM(AB34*$Z$4)</f>
        <v>1700</v>
      </c>
      <c r="AD34" s="203">
        <f t="shared" ref="AD34:AD36" si="74">SUM(AB34)</f>
        <v>170</v>
      </c>
      <c r="AE34" s="203">
        <f t="shared" ref="AE34:AE36" si="75">SUM(AD34*$Z$4)</f>
        <v>1700</v>
      </c>
      <c r="AF34" s="203">
        <f t="shared" ref="AF34:AF36" si="76">SUM(AD34)</f>
        <v>170</v>
      </c>
      <c r="AG34" s="203">
        <f t="shared" ref="AG34:AG36" si="77">SUM(AF34*$Z$4)</f>
        <v>1700</v>
      </c>
      <c r="AH34" s="203">
        <f t="shared" ref="AH34:AH36" si="78">SUM(AF34)</f>
        <v>170</v>
      </c>
      <c r="AI34" s="203">
        <f t="shared" ref="AI34:AI36" si="79">SUM(AH34*$Z$4)</f>
        <v>1700</v>
      </c>
      <c r="AJ34" s="203">
        <f t="shared" ref="AJ34:AJ36" si="80">SUM(AH34)</f>
        <v>170</v>
      </c>
      <c r="AK34" s="203">
        <f t="shared" ref="AK34:AK36" si="81">SUM(AJ34*$Z$4)</f>
        <v>1700</v>
      </c>
      <c r="AL34" s="203">
        <f t="shared" ref="AL34:AL36" si="82">SUM(AJ34)</f>
        <v>170</v>
      </c>
      <c r="AM34" s="203">
        <f t="shared" ref="AM34:AM36" si="83">SUM(AL34*$Z$4)</f>
        <v>1700</v>
      </c>
      <c r="AN34" s="35">
        <f t="shared" ref="AN34:AN36" si="84">SUM(AO34/19600)</f>
        <v>0.6071428571428571</v>
      </c>
      <c r="AO34" s="36">
        <f t="shared" ref="AO34:AO36" si="85">SUM(AA34+AC34+AE34+AG34+AI34+AK34+AM34)</f>
        <v>11900</v>
      </c>
      <c r="AQ34" s="223">
        <f t="shared" ref="AQ34:AQ36" si="86">SUM(AR34/92970)</f>
        <v>0.54040810944911111</v>
      </c>
      <c r="AR34" s="38">
        <f t="shared" ref="AR34:AR36" si="87">Y34+AO34</f>
        <v>50241.741935483864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0.75700000000000001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>
        <f>GEN!AF31</f>
        <v>0</v>
      </c>
    </row>
    <row r="35" spans="1:63">
      <c r="A35" s="425">
        <f>ELEC!C33</f>
        <v>44650</v>
      </c>
      <c r="B35">
        <f>'B5'!B34</f>
        <v>162</v>
      </c>
      <c r="C35" s="203">
        <f t="shared" si="48"/>
        <v>3485.6129032258063</v>
      </c>
      <c r="D35">
        <f t="shared" si="49"/>
        <v>162</v>
      </c>
      <c r="E35" s="203">
        <f t="shared" si="50"/>
        <v>3485.6129032258063</v>
      </c>
      <c r="F35">
        <f t="shared" si="51"/>
        <v>162</v>
      </c>
      <c r="G35" s="203">
        <f t="shared" si="52"/>
        <v>3485.6129032258063</v>
      </c>
      <c r="H35" s="203">
        <f t="shared" si="53"/>
        <v>162</v>
      </c>
      <c r="I35" s="203">
        <f t="shared" si="54"/>
        <v>3485.6129032258063</v>
      </c>
      <c r="J35" s="203">
        <f t="shared" si="55"/>
        <v>162</v>
      </c>
      <c r="K35" s="203">
        <f t="shared" si="56"/>
        <v>3485.6129032258063</v>
      </c>
      <c r="L35" s="203">
        <f t="shared" si="57"/>
        <v>162</v>
      </c>
      <c r="M35" s="203">
        <f t="shared" si="58"/>
        <v>3485.6129032258063</v>
      </c>
      <c r="N35" s="203">
        <f t="shared" si="59"/>
        <v>162</v>
      </c>
      <c r="O35" s="203">
        <f t="shared" si="60"/>
        <v>3485.6129032258063</v>
      </c>
      <c r="P35" s="203">
        <f t="shared" si="61"/>
        <v>162</v>
      </c>
      <c r="Q35" s="203">
        <f t="shared" si="62"/>
        <v>3485.6129032258063</v>
      </c>
      <c r="R35" s="203">
        <f t="shared" si="63"/>
        <v>162</v>
      </c>
      <c r="S35" s="203">
        <f t="shared" si="64"/>
        <v>3485.6129032258063</v>
      </c>
      <c r="T35" s="203">
        <f t="shared" si="65"/>
        <v>162</v>
      </c>
      <c r="U35" s="203">
        <f t="shared" si="66"/>
        <v>3485.6129032258063</v>
      </c>
      <c r="V35" s="203">
        <f t="shared" si="67"/>
        <v>162</v>
      </c>
      <c r="W35" s="203">
        <f t="shared" si="68"/>
        <v>3485.6129032258063</v>
      </c>
      <c r="X35" s="35">
        <f t="shared" si="69"/>
        <v>0.52258064516129021</v>
      </c>
      <c r="Y35" s="36">
        <f t="shared" si="70"/>
        <v>38341.741935483864</v>
      </c>
      <c r="Z35" s="203">
        <f>'B5'!C34</f>
        <v>170</v>
      </c>
      <c r="AA35" s="203">
        <f t="shared" si="71"/>
        <v>1700</v>
      </c>
      <c r="AB35" s="203">
        <f t="shared" si="72"/>
        <v>170</v>
      </c>
      <c r="AC35" s="203">
        <f t="shared" si="73"/>
        <v>1700</v>
      </c>
      <c r="AD35" s="203">
        <f t="shared" si="74"/>
        <v>170</v>
      </c>
      <c r="AE35" s="203">
        <f t="shared" si="75"/>
        <v>1700</v>
      </c>
      <c r="AF35" s="203">
        <f t="shared" si="76"/>
        <v>170</v>
      </c>
      <c r="AG35" s="203">
        <f t="shared" si="77"/>
        <v>1700</v>
      </c>
      <c r="AH35" s="203">
        <f t="shared" si="78"/>
        <v>170</v>
      </c>
      <c r="AI35" s="203">
        <f t="shared" si="79"/>
        <v>1700</v>
      </c>
      <c r="AJ35" s="203">
        <f t="shared" si="80"/>
        <v>170</v>
      </c>
      <c r="AK35" s="203">
        <f t="shared" si="81"/>
        <v>1700</v>
      </c>
      <c r="AL35" s="203">
        <f t="shared" si="82"/>
        <v>170</v>
      </c>
      <c r="AM35" s="203">
        <f t="shared" si="83"/>
        <v>1700</v>
      </c>
      <c r="AN35" s="35">
        <f t="shared" si="84"/>
        <v>0.6071428571428571</v>
      </c>
      <c r="AO35" s="36">
        <f t="shared" si="85"/>
        <v>11900</v>
      </c>
      <c r="AQ35" s="223">
        <f t="shared" si="86"/>
        <v>0.54040810944911111</v>
      </c>
      <c r="AR35" s="38">
        <f t="shared" si="87"/>
        <v>50241.741935483864</v>
      </c>
      <c r="AS35" s="197">
        <f t="shared" si="88"/>
        <v>0</v>
      </c>
      <c r="AT35" s="340"/>
      <c r="AU35" s="548"/>
      <c r="AV35" s="485">
        <f t="shared" si="89"/>
        <v>0.75700000000000001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>
        <f>GEN!AF32</f>
        <v>0</v>
      </c>
    </row>
    <row r="36" spans="1:63">
      <c r="A36" s="425">
        <f>ELEC!C34</f>
        <v>44651</v>
      </c>
      <c r="B36">
        <f>'B5'!B35</f>
        <v>162</v>
      </c>
      <c r="C36" s="203">
        <f t="shared" si="48"/>
        <v>3485.6129032258063</v>
      </c>
      <c r="D36">
        <f t="shared" si="49"/>
        <v>162</v>
      </c>
      <c r="E36" s="203">
        <f t="shared" si="50"/>
        <v>3485.6129032258063</v>
      </c>
      <c r="F36">
        <f t="shared" si="51"/>
        <v>162</v>
      </c>
      <c r="G36" s="203">
        <f t="shared" si="52"/>
        <v>3485.6129032258063</v>
      </c>
      <c r="H36" s="203">
        <f t="shared" si="53"/>
        <v>162</v>
      </c>
      <c r="I36" s="203">
        <f t="shared" si="54"/>
        <v>3485.6129032258063</v>
      </c>
      <c r="J36" s="203">
        <f t="shared" si="55"/>
        <v>162</v>
      </c>
      <c r="K36" s="203">
        <f t="shared" si="56"/>
        <v>3485.6129032258063</v>
      </c>
      <c r="L36" s="203">
        <f t="shared" si="57"/>
        <v>162</v>
      </c>
      <c r="M36" s="203">
        <f t="shared" si="58"/>
        <v>3485.6129032258063</v>
      </c>
      <c r="N36" s="203">
        <f t="shared" si="59"/>
        <v>162</v>
      </c>
      <c r="O36" s="203">
        <f t="shared" si="60"/>
        <v>3485.6129032258063</v>
      </c>
      <c r="P36" s="203">
        <f t="shared" si="61"/>
        <v>162</v>
      </c>
      <c r="Q36" s="203">
        <f t="shared" si="62"/>
        <v>3485.6129032258063</v>
      </c>
      <c r="R36" s="203">
        <f t="shared" si="63"/>
        <v>162</v>
      </c>
      <c r="S36" s="203">
        <f t="shared" si="64"/>
        <v>3485.6129032258063</v>
      </c>
      <c r="T36" s="203">
        <f t="shared" si="65"/>
        <v>162</v>
      </c>
      <c r="U36" s="203">
        <f t="shared" si="66"/>
        <v>3485.6129032258063</v>
      </c>
      <c r="V36" s="203">
        <f t="shared" si="67"/>
        <v>162</v>
      </c>
      <c r="W36" s="203">
        <f t="shared" si="68"/>
        <v>3485.6129032258063</v>
      </c>
      <c r="X36" s="35">
        <f t="shared" si="69"/>
        <v>0.52258064516129021</v>
      </c>
      <c r="Y36" s="36">
        <f t="shared" si="70"/>
        <v>38341.741935483864</v>
      </c>
      <c r="Z36" s="203">
        <f>'B5'!C35</f>
        <v>170</v>
      </c>
      <c r="AA36" s="203">
        <f t="shared" si="71"/>
        <v>1700</v>
      </c>
      <c r="AB36" s="203">
        <f t="shared" si="72"/>
        <v>170</v>
      </c>
      <c r="AC36" s="203">
        <f t="shared" si="73"/>
        <v>1700</v>
      </c>
      <c r="AD36" s="203">
        <f t="shared" si="74"/>
        <v>170</v>
      </c>
      <c r="AE36" s="203">
        <f t="shared" si="75"/>
        <v>1700</v>
      </c>
      <c r="AF36" s="203">
        <f t="shared" si="76"/>
        <v>170</v>
      </c>
      <c r="AG36" s="203">
        <f t="shared" si="77"/>
        <v>1700</v>
      </c>
      <c r="AH36" s="203">
        <f t="shared" si="78"/>
        <v>170</v>
      </c>
      <c r="AI36" s="203">
        <f t="shared" si="79"/>
        <v>1700</v>
      </c>
      <c r="AJ36" s="203">
        <f t="shared" si="80"/>
        <v>170</v>
      </c>
      <c r="AK36" s="203">
        <f t="shared" si="81"/>
        <v>1700</v>
      </c>
      <c r="AL36" s="203">
        <f t="shared" si="82"/>
        <v>170</v>
      </c>
      <c r="AM36" s="203">
        <f t="shared" si="83"/>
        <v>1700</v>
      </c>
      <c r="AN36" s="35">
        <f t="shared" si="84"/>
        <v>0.6071428571428571</v>
      </c>
      <c r="AO36" s="36">
        <f t="shared" si="85"/>
        <v>11900</v>
      </c>
      <c r="AQ36" s="223">
        <f t="shared" si="86"/>
        <v>0.54040810944911111</v>
      </c>
      <c r="AR36" s="38">
        <f t="shared" si="87"/>
        <v>50241.741935483864</v>
      </c>
      <c r="AS36" s="197">
        <f t="shared" si="88"/>
        <v>0</v>
      </c>
      <c r="AT36" s="340"/>
      <c r="AU36" s="548"/>
      <c r="AV36" s="485">
        <f t="shared" si="89"/>
        <v>0.75700000000000001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>
        <f>GEN!AF33</f>
        <v>0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9258</v>
      </c>
      <c r="AU37" s="544">
        <f>SUM(AU6:AU36)/AS37</f>
        <v>0.75700000000000001</v>
      </c>
      <c r="AX37" s="203">
        <f>SUM(AX6:AX36)</f>
        <v>-7731.709677419356</v>
      </c>
      <c r="AY37" s="203">
        <f>SUM(AY6:AY36)</f>
        <v>-9364.709677419356</v>
      </c>
    </row>
    <row r="38" spans="1:63">
      <c r="AS38" s="206"/>
      <c r="AT38" s="82">
        <f>+AT37*AU37</f>
        <v>7008.3060000000005</v>
      </c>
    </row>
    <row r="40" spans="1:63">
      <c r="AS40" s="165">
        <f>SUM(AS6:AS36)/'EDl log'!A35</f>
        <v>-4682.354838709678</v>
      </c>
      <c r="AT40" s="203"/>
    </row>
    <row r="41" spans="1:63">
      <c r="AX41">
        <v>43309</v>
      </c>
    </row>
    <row r="42" spans="1:63">
      <c r="AR42" s="203">
        <f>AR33-22000</f>
        <v>28241.741935483864</v>
      </c>
      <c r="AU42" s="203"/>
      <c r="AX42">
        <f>AX37/AX41</f>
        <v>-0.17852431774964456</v>
      </c>
    </row>
    <row r="43" spans="1:63">
      <c r="AR43">
        <f>AR42/5500</f>
        <v>5.1348621700879749</v>
      </c>
    </row>
    <row r="44" spans="1:63">
      <c r="AR44">
        <f>AR43*2</f>
        <v>10.26972434017595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K6" sqref="K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log'!$A$31</f>
        <v>44620</v>
      </c>
      <c r="B3" s="254">
        <f>'[2]EDl log'!B31</f>
        <v>1112011</v>
      </c>
      <c r="C3" s="254">
        <f>'[2]EDl log'!C31</f>
        <v>46</v>
      </c>
      <c r="D3" s="254">
        <f>'[2]EDl log'!D31</f>
        <v>47</v>
      </c>
      <c r="E3" s="254">
        <f>'[2]EDl log'!E31</f>
        <v>1112012</v>
      </c>
      <c r="F3" s="254">
        <f>'[2]EDl log'!F31</f>
        <v>161035</v>
      </c>
      <c r="G3" s="254">
        <f>'[2]EDl log'!G31</f>
        <v>0</v>
      </c>
      <c r="H3" s="254">
        <f>'[2]EDl log'!H31</f>
        <v>550000</v>
      </c>
      <c r="I3" s="254">
        <f>'[2]EDl log'!I31</f>
        <v>47</v>
      </c>
      <c r="J3" s="254">
        <f>'[2]EDl log'!J31</f>
        <v>400976</v>
      </c>
      <c r="K3" s="254">
        <f>'[2]EDl log'!K31</f>
        <v>0</v>
      </c>
      <c r="L3" s="254">
        <f>'[2]EDl log'!L31</f>
        <v>0</v>
      </c>
      <c r="M3" s="254">
        <f>'[2]EDl log'!M31</f>
        <v>3.4918739635157547</v>
      </c>
      <c r="N3" s="254">
        <f>'[2]EDl log'!N31</f>
        <v>0</v>
      </c>
      <c r="O3" s="254">
        <f>'[2]EDl log'!O31</f>
        <v>171.38907841743662</v>
      </c>
      <c r="P3" s="254">
        <f>'[2]EDl log'!P31</f>
        <v>174.88095238095238</v>
      </c>
      <c r="Q3" s="254">
        <f>'[2]EDl log'!Q31</f>
        <v>1008.7611774193637</v>
      </c>
      <c r="R3" s="254">
        <f>'[2]EDl log'!R31</f>
        <v>1183.6421298003161</v>
      </c>
      <c r="S3" s="254">
        <f>'[2]EDl log'!S31</f>
        <v>6604</v>
      </c>
      <c r="T3" s="254">
        <f>'[2]EDl log'!T31</f>
        <v>0.17923109173233132</v>
      </c>
      <c r="Z3" t="s">
        <v>213</v>
      </c>
      <c r="AA3">
        <v>0.1</v>
      </c>
    </row>
    <row r="4" spans="1:32" ht="20.100000000000001" customHeight="1">
      <c r="A4" s="163">
        <f>ELEC!C4</f>
        <v>44621</v>
      </c>
      <c r="B4" s="536">
        <v>1112117</v>
      </c>
      <c r="C4" s="254">
        <f t="shared" ref="C4:C30" si="0">SUM(B4-B3)</f>
        <v>106</v>
      </c>
      <c r="D4" s="295">
        <f>SUM(G4+I4+K4)</f>
        <v>102</v>
      </c>
      <c r="E4" s="295">
        <f>B3+D4</f>
        <v>1112113</v>
      </c>
      <c r="F4" s="539">
        <v>161035</v>
      </c>
      <c r="G4" s="160">
        <f t="shared" ref="G4:G30" si="1">F4-F3</f>
        <v>0</v>
      </c>
      <c r="H4" s="539">
        <v>550102</v>
      </c>
      <c r="I4" s="161">
        <f t="shared" ref="I4:I30" si="2">H4-H3</f>
        <v>102</v>
      </c>
      <c r="J4" s="586">
        <v>400976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7.5781094527363182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162.38114802332424</v>
      </c>
      <c r="Q4" s="285">
        <f>SUM(-tanks!AX6*tanks!$AU$37)</f>
        <v>1078.5540645161229</v>
      </c>
      <c r="R4" s="285">
        <f>SUM(P4:Q4)</f>
        <v>1240.9352125394471</v>
      </c>
      <c r="S4" s="287">
        <f>SUM(ELEC!N4)</f>
        <v>6721</v>
      </c>
      <c r="T4" s="321">
        <f>IF(S4&gt;0,R4/S4,0)</f>
        <v>0.18463550253525474</v>
      </c>
      <c r="U4" s="245"/>
      <c r="V4" s="166" t="s">
        <v>200</v>
      </c>
      <c r="W4" s="167">
        <v>44614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44622</v>
      </c>
      <c r="B5" s="604">
        <f t="shared" ref="B5:B34" si="7">B4</f>
        <v>1112117</v>
      </c>
      <c r="C5" s="254">
        <f t="shared" si="0"/>
        <v>0</v>
      </c>
      <c r="D5" s="295">
        <f>SUM(G5+I5+K5)</f>
        <v>0</v>
      </c>
      <c r="E5" s="295">
        <f>B4+D5</f>
        <v>1112117</v>
      </c>
      <c r="F5" s="604">
        <f t="shared" ref="F5:F34" si="8">F4</f>
        <v>161035</v>
      </c>
      <c r="G5" s="160">
        <f t="shared" si="1"/>
        <v>0</v>
      </c>
      <c r="H5" s="604">
        <f t="shared" ref="H5:H34" si="9">H4</f>
        <v>550102</v>
      </c>
      <c r="I5" s="161">
        <f t="shared" si="2"/>
        <v>0</v>
      </c>
      <c r="J5" s="604">
        <f t="shared" ref="J5:J34" si="10">J4</f>
        <v>400976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1767.6682580645086</v>
      </c>
      <c r="R5" s="285">
        <f t="shared" ref="R5:R30" si="13">SUM(P5:Q5)</f>
        <v>1922.4712966350965</v>
      </c>
      <c r="S5" s="287">
        <f>SUM(ELEC!N5)</f>
        <v>5888</v>
      </c>
      <c r="T5" s="321">
        <f>IF(S5&gt;0,R5/S5,0)</f>
        <v>0.32650667402090633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44623</v>
      </c>
      <c r="B6" s="604">
        <v>1112469</v>
      </c>
      <c r="C6" s="254">
        <f t="shared" si="0"/>
        <v>352</v>
      </c>
      <c r="D6" s="295">
        <f t="shared" ref="D6:D31" si="14">SUM(G6+I6+K6)</f>
        <v>356</v>
      </c>
      <c r="E6" s="295">
        <f t="shared" ref="E6:E30" si="15">B5+D6</f>
        <v>1112473</v>
      </c>
      <c r="F6" s="604">
        <v>161138</v>
      </c>
      <c r="G6" s="160">
        <f t="shared" si="1"/>
        <v>103</v>
      </c>
      <c r="H6" s="604">
        <v>550210</v>
      </c>
      <c r="I6" s="161">
        <f t="shared" si="2"/>
        <v>108</v>
      </c>
      <c r="J6" s="604">
        <v>401121</v>
      </c>
      <c r="K6" s="162">
        <f t="shared" si="11"/>
        <v>145</v>
      </c>
      <c r="L6" s="284">
        <f t="shared" si="3"/>
        <v>21.864013266998342</v>
      </c>
      <c r="M6" s="284">
        <f t="shared" si="4"/>
        <v>8.0238805970149247</v>
      </c>
      <c r="N6" s="284">
        <f t="shared" si="5"/>
        <v>7.6948590381426198</v>
      </c>
      <c r="O6" s="284">
        <f t="shared" si="6"/>
        <v>154.80303857058792</v>
      </c>
      <c r="P6" s="285">
        <f t="shared" si="12"/>
        <v>192.38579147274379</v>
      </c>
      <c r="Q6" s="285">
        <f>SUM(-tanks!AX8*tanks!$AU$37)</f>
        <v>1549.139451612916</v>
      </c>
      <c r="R6" s="285">
        <f t="shared" si="13"/>
        <v>1741.5252430856599</v>
      </c>
      <c r="S6" s="287">
        <f>SUM(ELEC!N6)</f>
        <v>5727</v>
      </c>
      <c r="T6" s="321">
        <f t="shared" ref="T6:T30" si="16">IF(S6&gt;0,R6/S6,0)</f>
        <v>0.30409031658558755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44624</v>
      </c>
      <c r="B7" s="604">
        <f t="shared" si="7"/>
        <v>1112469</v>
      </c>
      <c r="C7" s="254">
        <f t="shared" si="0"/>
        <v>0</v>
      </c>
      <c r="D7" s="295">
        <f t="shared" si="14"/>
        <v>0</v>
      </c>
      <c r="E7" s="295">
        <f t="shared" si="15"/>
        <v>1112469</v>
      </c>
      <c r="F7" s="604">
        <f t="shared" si="8"/>
        <v>161138</v>
      </c>
      <c r="G7" s="160">
        <f t="shared" si="1"/>
        <v>0</v>
      </c>
      <c r="H7" s="604">
        <f t="shared" si="9"/>
        <v>550210</v>
      </c>
      <c r="I7" s="161">
        <f t="shared" si="2"/>
        <v>0</v>
      </c>
      <c r="J7" s="604">
        <f t="shared" si="10"/>
        <v>401121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44625</v>
      </c>
      <c r="B8" s="604">
        <f t="shared" si="7"/>
        <v>1112469</v>
      </c>
      <c r="C8" s="254">
        <f t="shared" si="0"/>
        <v>0</v>
      </c>
      <c r="D8" s="295">
        <f t="shared" si="14"/>
        <v>0</v>
      </c>
      <c r="E8" s="295">
        <f t="shared" si="15"/>
        <v>1112469</v>
      </c>
      <c r="F8" s="604">
        <f t="shared" si="8"/>
        <v>161138</v>
      </c>
      <c r="G8" s="160">
        <f t="shared" si="1"/>
        <v>0</v>
      </c>
      <c r="H8" s="604">
        <f t="shared" si="9"/>
        <v>550210</v>
      </c>
      <c r="I8" s="161">
        <f t="shared" si="2"/>
        <v>0</v>
      </c>
      <c r="J8" s="604">
        <f t="shared" si="10"/>
        <v>401121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44626</v>
      </c>
      <c r="B9" s="604">
        <f t="shared" si="7"/>
        <v>1112469</v>
      </c>
      <c r="C9" s="254">
        <f t="shared" si="0"/>
        <v>0</v>
      </c>
      <c r="D9" s="295">
        <f t="shared" si="14"/>
        <v>0</v>
      </c>
      <c r="E9" s="295">
        <f t="shared" si="15"/>
        <v>1112469</v>
      </c>
      <c r="F9" s="604">
        <f t="shared" si="8"/>
        <v>161138</v>
      </c>
      <c r="G9" s="160">
        <f t="shared" si="1"/>
        <v>0</v>
      </c>
      <c r="H9" s="604">
        <f t="shared" si="9"/>
        <v>550210</v>
      </c>
      <c r="I9" s="161">
        <f t="shared" si="2"/>
        <v>0</v>
      </c>
      <c r="J9" s="604">
        <f t="shared" si="10"/>
        <v>401121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1457.5424516129051</v>
      </c>
      <c r="R9" s="285">
        <f>SUM(P9:Q9)</f>
        <v>1612.345490183493</v>
      </c>
      <c r="S9" s="287">
        <f>SUM(ELEC!N9)</f>
        <v>6030</v>
      </c>
      <c r="T9" s="321">
        <f t="shared" si="16"/>
        <v>0.26738731180489106</v>
      </c>
      <c r="V9" s="246">
        <f>'[2]EDl log'!V26</f>
        <v>400529</v>
      </c>
      <c r="W9" s="246">
        <f>'[2]EDl log'!W26</f>
        <v>400976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447</v>
      </c>
      <c r="AB9" s="610">
        <f>'[2]EDl log'!AB26</f>
        <v>35760</v>
      </c>
      <c r="AC9" s="610">
        <f>'[2]EDl log'!AC26</f>
        <v>1033333</v>
      </c>
      <c r="AD9" s="608">
        <f>'[2]EDl log'!AD26</f>
        <v>0.16747845635069314</v>
      </c>
      <c r="AE9" s="172"/>
      <c r="AF9" s="172"/>
    </row>
    <row r="10" spans="1:32" ht="20.100000000000001" customHeight="1">
      <c r="A10" s="163">
        <f>ELEC!C10</f>
        <v>44627</v>
      </c>
      <c r="B10" s="604">
        <f t="shared" si="7"/>
        <v>1112469</v>
      </c>
      <c r="C10" s="254">
        <f t="shared" si="0"/>
        <v>0</v>
      </c>
      <c r="D10" s="295">
        <f t="shared" si="14"/>
        <v>0</v>
      </c>
      <c r="E10" s="295">
        <f t="shared" si="15"/>
        <v>1112469</v>
      </c>
      <c r="F10" s="604">
        <f t="shared" si="8"/>
        <v>161138</v>
      </c>
      <c r="G10" s="160">
        <f t="shared" si="1"/>
        <v>0</v>
      </c>
      <c r="H10" s="604">
        <f t="shared" si="9"/>
        <v>550210</v>
      </c>
      <c r="I10" s="161">
        <f t="shared" si="2"/>
        <v>0</v>
      </c>
      <c r="J10" s="604">
        <f t="shared" si="10"/>
        <v>401121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548374</v>
      </c>
      <c r="W10" s="246">
        <f>'[2]EDl log'!W27</f>
        <v>550000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1626</v>
      </c>
      <c r="AB10" s="610">
        <f>'[2]EDl log'!AB27</f>
        <v>182112</v>
      </c>
      <c r="AC10" s="610">
        <f>'[2]EDl log'!AC27</f>
        <v>6200000</v>
      </c>
      <c r="AD10" s="608">
        <f>'[2]EDl log'!AD27</f>
        <v>0.60921693518171605</v>
      </c>
      <c r="AE10" s="172"/>
      <c r="AF10" s="172"/>
    </row>
    <row r="11" spans="1:32" ht="20.100000000000001" customHeight="1">
      <c r="A11" s="163">
        <f>ELEC!C11</f>
        <v>44628</v>
      </c>
      <c r="B11" s="604">
        <f t="shared" si="7"/>
        <v>1112469</v>
      </c>
      <c r="C11" s="254">
        <f t="shared" si="0"/>
        <v>0</v>
      </c>
      <c r="D11" s="295">
        <f t="shared" si="14"/>
        <v>0</v>
      </c>
      <c r="E11" s="295">
        <f t="shared" si="15"/>
        <v>1112469</v>
      </c>
      <c r="F11" s="604">
        <f t="shared" si="8"/>
        <v>161138</v>
      </c>
      <c r="G11" s="160">
        <f t="shared" si="1"/>
        <v>0</v>
      </c>
      <c r="H11" s="604">
        <f t="shared" si="9"/>
        <v>550210</v>
      </c>
      <c r="I11" s="161">
        <f t="shared" si="2"/>
        <v>0</v>
      </c>
      <c r="J11" s="604">
        <f t="shared" si="10"/>
        <v>401121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160439</v>
      </c>
      <c r="W11" s="246">
        <f>'[2]EDl log'!W28</f>
        <v>161035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596</v>
      </c>
      <c r="AB11" s="610">
        <f>'[2]EDl log'!AB28</f>
        <v>190720</v>
      </c>
      <c r="AC11" s="610">
        <f>'[2]EDl log'!AC28</f>
        <v>1000</v>
      </c>
      <c r="AD11" s="608">
        <f>'[2]EDl log'!AD28</f>
        <v>0.22330460846759087</v>
      </c>
      <c r="AE11" s="172">
        <f>'[5]EDl log'!AE28</f>
        <v>5600</v>
      </c>
      <c r="AF11" s="172">
        <f>'[5]EDl log'!AF28</f>
        <v>24800</v>
      </c>
    </row>
    <row r="12" spans="1:32" ht="20.100000000000001" customHeight="1">
      <c r="A12" s="163">
        <f>ELEC!C12</f>
        <v>44629</v>
      </c>
      <c r="B12" s="604">
        <f t="shared" si="7"/>
        <v>1112469</v>
      </c>
      <c r="C12" s="254">
        <f t="shared" si="0"/>
        <v>0</v>
      </c>
      <c r="D12" s="295">
        <f t="shared" si="14"/>
        <v>0</v>
      </c>
      <c r="E12" s="295">
        <f t="shared" si="15"/>
        <v>1112469</v>
      </c>
      <c r="F12" s="604">
        <f t="shared" si="8"/>
        <v>161138</v>
      </c>
      <c r="G12" s="160">
        <f t="shared" si="1"/>
        <v>0</v>
      </c>
      <c r="H12" s="604">
        <f t="shared" si="9"/>
        <v>550210</v>
      </c>
      <c r="I12" s="161">
        <f t="shared" si="2"/>
        <v>0</v>
      </c>
      <c r="J12" s="604">
        <f t="shared" si="10"/>
        <v>401121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2669</v>
      </c>
      <c r="AB12" s="610">
        <f>'[2]EDl log'!AB29</f>
        <v>408592</v>
      </c>
      <c r="AC12" s="610">
        <f>'[2]EDl log'!AC29</f>
        <v>7234333</v>
      </c>
    </row>
    <row r="13" spans="1:32" ht="20.100000000000001" customHeight="1">
      <c r="A13" s="163">
        <f>ELEC!C13</f>
        <v>44630</v>
      </c>
      <c r="B13" s="604">
        <f t="shared" si="7"/>
        <v>1112469</v>
      </c>
      <c r="C13" s="254">
        <f t="shared" si="0"/>
        <v>0</v>
      </c>
      <c r="D13" s="295">
        <f t="shared" si="14"/>
        <v>0</v>
      </c>
      <c r="E13" s="295">
        <f t="shared" si="15"/>
        <v>1112469</v>
      </c>
      <c r="F13" s="604">
        <f t="shared" si="8"/>
        <v>161138</v>
      </c>
      <c r="G13" s="160">
        <f t="shared" si="1"/>
        <v>0</v>
      </c>
      <c r="H13" s="604">
        <f t="shared" si="9"/>
        <v>550210</v>
      </c>
      <c r="I13" s="161">
        <f t="shared" si="2"/>
        <v>0</v>
      </c>
      <c r="J13" s="604">
        <f t="shared" si="10"/>
        <v>401121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/>
      <c r="AB13" s="610">
        <f>'[2]EDl log'!AB30</f>
        <v>7642925</v>
      </c>
      <c r="AC13" s="610"/>
    </row>
    <row r="14" spans="1:32" ht="20.100000000000001" customHeight="1">
      <c r="A14" s="163">
        <f>ELEC!C14</f>
        <v>44631</v>
      </c>
      <c r="B14" s="604">
        <f t="shared" si="7"/>
        <v>1112469</v>
      </c>
      <c r="C14" s="254">
        <f t="shared" si="0"/>
        <v>0</v>
      </c>
      <c r="D14" s="295">
        <f t="shared" si="14"/>
        <v>0</v>
      </c>
      <c r="E14" s="295">
        <f t="shared" si="15"/>
        <v>1112469</v>
      </c>
      <c r="F14" s="604">
        <f t="shared" si="8"/>
        <v>161138</v>
      </c>
      <c r="G14" s="160">
        <f t="shared" si="1"/>
        <v>0</v>
      </c>
      <c r="H14" s="604">
        <f t="shared" si="9"/>
        <v>550210</v>
      </c>
      <c r="I14" s="161">
        <f t="shared" si="2"/>
        <v>0</v>
      </c>
      <c r="J14" s="604">
        <f t="shared" si="10"/>
        <v>401121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246"/>
      <c r="AB14" s="610"/>
      <c r="AC14" s="610"/>
    </row>
    <row r="15" spans="1:32" ht="20.100000000000001" customHeight="1">
      <c r="A15" s="163">
        <f>ELEC!C15</f>
        <v>44632</v>
      </c>
      <c r="B15" s="604">
        <f t="shared" si="7"/>
        <v>1112469</v>
      </c>
      <c r="C15" s="254">
        <f t="shared" si="0"/>
        <v>0</v>
      </c>
      <c r="D15" s="295">
        <f t="shared" si="14"/>
        <v>0</v>
      </c>
      <c r="E15" s="295">
        <f t="shared" si="15"/>
        <v>1112469</v>
      </c>
      <c r="F15" s="604">
        <f t="shared" si="8"/>
        <v>161138</v>
      </c>
      <c r="G15" s="160">
        <f t="shared" si="1"/>
        <v>0</v>
      </c>
      <c r="H15" s="604">
        <f t="shared" si="9"/>
        <v>550210</v>
      </c>
      <c r="I15" s="161">
        <f t="shared" si="2"/>
        <v>0</v>
      </c>
      <c r="J15" s="604">
        <f t="shared" si="10"/>
        <v>401121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/>
      <c r="AB15" s="610"/>
      <c r="AC15" s="610"/>
    </row>
    <row r="16" spans="1:32" ht="20.100000000000001" customHeight="1">
      <c r="A16" s="163">
        <f>ELEC!C16</f>
        <v>44633</v>
      </c>
      <c r="B16" s="604">
        <f t="shared" si="7"/>
        <v>1112469</v>
      </c>
      <c r="C16" s="254">
        <f t="shared" si="0"/>
        <v>0</v>
      </c>
      <c r="D16" s="295">
        <f t="shared" si="14"/>
        <v>0</v>
      </c>
      <c r="E16" s="295">
        <f t="shared" si="15"/>
        <v>1112469</v>
      </c>
      <c r="F16" s="604">
        <f t="shared" si="8"/>
        <v>161138</v>
      </c>
      <c r="G16" s="160">
        <f t="shared" si="1"/>
        <v>0</v>
      </c>
      <c r="H16" s="604">
        <f t="shared" si="9"/>
        <v>550210</v>
      </c>
      <c r="I16" s="161">
        <f t="shared" si="2"/>
        <v>0</v>
      </c>
      <c r="J16" s="604">
        <f t="shared" si="10"/>
        <v>401121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10">
        <f>'[2]EDl log'!AB33</f>
        <v>840721.75</v>
      </c>
      <c r="AC16" s="610">
        <f>'[2]EDl log'!AC33</f>
        <v>7234333</v>
      </c>
    </row>
    <row r="17" spans="1:32" ht="20.100000000000001" customHeight="1">
      <c r="A17" s="163">
        <f>ELEC!C17</f>
        <v>44634</v>
      </c>
      <c r="B17" s="604">
        <f t="shared" si="7"/>
        <v>1112469</v>
      </c>
      <c r="C17" s="254">
        <f t="shared" si="0"/>
        <v>0</v>
      </c>
      <c r="D17" s="295">
        <f t="shared" si="14"/>
        <v>0</v>
      </c>
      <c r="E17" s="295">
        <f t="shared" si="15"/>
        <v>1112469</v>
      </c>
      <c r="F17" s="604">
        <f t="shared" si="8"/>
        <v>161138</v>
      </c>
      <c r="G17" s="160">
        <f>F17-F16</f>
        <v>0</v>
      </c>
      <c r="H17" s="604">
        <f t="shared" si="9"/>
        <v>550210</v>
      </c>
      <c r="I17" s="161">
        <f t="shared" si="2"/>
        <v>0</v>
      </c>
      <c r="J17" s="604">
        <f t="shared" si="10"/>
        <v>401121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10">
        <f>'[2]EDl log'!AB34</f>
        <v>8483646.75</v>
      </c>
      <c r="AC17" s="610">
        <f>'[2]EDl log'!AC34</f>
        <v>0</v>
      </c>
    </row>
    <row r="18" spans="1:32" ht="20.100000000000001" customHeight="1" thickBot="1">
      <c r="A18" s="163">
        <f>ELEC!C18</f>
        <v>44635</v>
      </c>
      <c r="B18" s="604">
        <f t="shared" si="7"/>
        <v>1112469</v>
      </c>
      <c r="C18" s="254">
        <f>SUM(B18-B17)</f>
        <v>0</v>
      </c>
      <c r="D18" s="295">
        <f>SUM(G18+I18+K18)</f>
        <v>0</v>
      </c>
      <c r="E18" s="295">
        <f t="shared" si="15"/>
        <v>1112469</v>
      </c>
      <c r="F18" s="604">
        <f t="shared" si="8"/>
        <v>161138</v>
      </c>
      <c r="G18" s="160">
        <f t="shared" si="1"/>
        <v>0</v>
      </c>
      <c r="H18" s="604">
        <f t="shared" si="9"/>
        <v>550210</v>
      </c>
      <c r="I18" s="161">
        <f t="shared" si="2"/>
        <v>0</v>
      </c>
      <c r="J18" s="604">
        <f t="shared" si="10"/>
        <v>401121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10">
        <f>'[2]EDl log'!AB35</f>
        <v>0</v>
      </c>
      <c r="AC18" s="610">
        <f>'[2]EDl log'!AC35</f>
        <v>0</v>
      </c>
    </row>
    <row r="19" spans="1:32" ht="20.100000000000001" customHeight="1" thickBot="1">
      <c r="A19" s="163">
        <f>ELEC!C19</f>
        <v>44636</v>
      </c>
      <c r="B19" s="604">
        <f t="shared" si="7"/>
        <v>1112469</v>
      </c>
      <c r="C19" s="254">
        <f t="shared" si="0"/>
        <v>0</v>
      </c>
      <c r="D19" s="295">
        <f t="shared" si="14"/>
        <v>0</v>
      </c>
      <c r="E19" s="295">
        <f t="shared" si="15"/>
        <v>1112469</v>
      </c>
      <c r="F19" s="604">
        <f t="shared" si="8"/>
        <v>161138</v>
      </c>
      <c r="G19" s="160">
        <f t="shared" si="1"/>
        <v>0</v>
      </c>
      <c r="H19" s="604">
        <f t="shared" si="9"/>
        <v>550210</v>
      </c>
      <c r="I19" s="161">
        <f t="shared" si="2"/>
        <v>0</v>
      </c>
      <c r="J19" s="604">
        <f t="shared" si="10"/>
        <v>401121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9">
        <f>'[2]EDl log'!AB36</f>
        <v>5069.9336650082914</v>
      </c>
      <c r="AC19" s="610">
        <f>'[2]EDl log'!AC36</f>
        <v>0</v>
      </c>
    </row>
    <row r="20" spans="1:32" ht="20.100000000000001" customHeight="1" thickBot="1">
      <c r="A20" s="163">
        <f>ELEC!C20</f>
        <v>44637</v>
      </c>
      <c r="B20" s="604">
        <f t="shared" si="7"/>
        <v>1112469</v>
      </c>
      <c r="C20" s="254">
        <f t="shared" si="0"/>
        <v>0</v>
      </c>
      <c r="D20" s="295">
        <f t="shared" si="14"/>
        <v>0</v>
      </c>
      <c r="E20" s="295">
        <v>160188</v>
      </c>
      <c r="F20" s="604">
        <f t="shared" si="8"/>
        <v>161138</v>
      </c>
      <c r="G20" s="160">
        <f t="shared" si="1"/>
        <v>0</v>
      </c>
      <c r="H20" s="604">
        <f t="shared" si="9"/>
        <v>550210</v>
      </c>
      <c r="I20" s="161">
        <f t="shared" si="2"/>
        <v>0</v>
      </c>
      <c r="J20" s="604">
        <f t="shared" si="10"/>
        <v>401121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44638</v>
      </c>
      <c r="B21" s="604">
        <f t="shared" si="7"/>
        <v>1112469</v>
      </c>
      <c r="C21" s="254">
        <f t="shared" si="0"/>
        <v>0</v>
      </c>
      <c r="D21" s="295">
        <f t="shared" si="14"/>
        <v>0</v>
      </c>
      <c r="E21" s="295">
        <f t="shared" si="15"/>
        <v>1112469</v>
      </c>
      <c r="F21" s="604">
        <f t="shared" si="8"/>
        <v>161138</v>
      </c>
      <c r="G21" s="160">
        <f t="shared" si="1"/>
        <v>0</v>
      </c>
      <c r="H21" s="604">
        <f t="shared" si="9"/>
        <v>550210</v>
      </c>
      <c r="I21" s="161">
        <f t="shared" si="2"/>
        <v>0</v>
      </c>
      <c r="J21" s="604">
        <f t="shared" si="10"/>
        <v>401121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44642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44639</v>
      </c>
      <c r="B22" s="604">
        <f t="shared" si="7"/>
        <v>1112469</v>
      </c>
      <c r="C22" s="254">
        <f t="shared" si="0"/>
        <v>0</v>
      </c>
      <c r="D22" s="295">
        <f t="shared" si="14"/>
        <v>0</v>
      </c>
      <c r="E22" s="295">
        <f t="shared" si="15"/>
        <v>1112469</v>
      </c>
      <c r="F22" s="604">
        <f t="shared" si="8"/>
        <v>161138</v>
      </c>
      <c r="G22" s="160">
        <f t="shared" si="1"/>
        <v>0</v>
      </c>
      <c r="H22" s="604">
        <f t="shared" si="9"/>
        <v>550210</v>
      </c>
      <c r="I22" s="161">
        <f t="shared" si="2"/>
        <v>0</v>
      </c>
      <c r="J22" s="604">
        <f t="shared" si="10"/>
        <v>401121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44640</v>
      </c>
      <c r="B23" s="604">
        <f t="shared" si="7"/>
        <v>1112469</v>
      </c>
      <c r="C23" s="254">
        <f t="shared" si="0"/>
        <v>0</v>
      </c>
      <c r="D23" s="295">
        <f t="shared" si="14"/>
        <v>0</v>
      </c>
      <c r="E23" s="295">
        <f t="shared" si="15"/>
        <v>1112469</v>
      </c>
      <c r="F23" s="604">
        <f t="shared" si="8"/>
        <v>161138</v>
      </c>
      <c r="G23" s="160">
        <f t="shared" si="1"/>
        <v>0</v>
      </c>
      <c r="H23" s="604">
        <f t="shared" si="9"/>
        <v>550210</v>
      </c>
      <c r="I23" s="161">
        <f t="shared" si="2"/>
        <v>0</v>
      </c>
      <c r="J23" s="604">
        <f t="shared" si="10"/>
        <v>401121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44641</v>
      </c>
      <c r="B24" s="604">
        <f t="shared" si="7"/>
        <v>1112469</v>
      </c>
      <c r="C24" s="254">
        <f t="shared" si="0"/>
        <v>0</v>
      </c>
      <c r="D24" s="295">
        <f t="shared" si="14"/>
        <v>0</v>
      </c>
      <c r="E24" s="295">
        <f t="shared" si="15"/>
        <v>1112469</v>
      </c>
      <c r="F24" s="604">
        <f t="shared" si="8"/>
        <v>161138</v>
      </c>
      <c r="G24" s="160">
        <f t="shared" si="1"/>
        <v>0</v>
      </c>
      <c r="H24" s="604">
        <f t="shared" si="9"/>
        <v>550210</v>
      </c>
      <c r="I24" s="161">
        <f t="shared" si="2"/>
        <v>0</v>
      </c>
      <c r="J24" s="604">
        <f t="shared" si="10"/>
        <v>401121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44642</v>
      </c>
      <c r="B25" s="604">
        <f t="shared" si="7"/>
        <v>1112469</v>
      </c>
      <c r="C25" s="254">
        <f t="shared" si="0"/>
        <v>0</v>
      </c>
      <c r="D25" s="295">
        <f t="shared" si="14"/>
        <v>0</v>
      </c>
      <c r="E25" s="295">
        <f t="shared" si="15"/>
        <v>1112469</v>
      </c>
      <c r="F25" s="604">
        <f t="shared" si="8"/>
        <v>161138</v>
      </c>
      <c r="G25" s="160">
        <f t="shared" si="1"/>
        <v>0</v>
      </c>
      <c r="H25" s="604">
        <f t="shared" si="9"/>
        <v>550210</v>
      </c>
      <c r="I25" s="161">
        <f t="shared" si="2"/>
        <v>0</v>
      </c>
      <c r="J25" s="604">
        <f t="shared" si="10"/>
        <v>401121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44643</v>
      </c>
      <c r="B26" s="604">
        <f t="shared" si="7"/>
        <v>1112469</v>
      </c>
      <c r="C26" s="254">
        <f t="shared" si="0"/>
        <v>0</v>
      </c>
      <c r="D26" s="295">
        <f t="shared" si="14"/>
        <v>0</v>
      </c>
      <c r="E26" s="295">
        <f t="shared" si="15"/>
        <v>1112469</v>
      </c>
      <c r="F26" s="604">
        <f t="shared" si="8"/>
        <v>161138</v>
      </c>
      <c r="G26" s="160">
        <f t="shared" si="1"/>
        <v>0</v>
      </c>
      <c r="H26" s="604">
        <f t="shared" si="9"/>
        <v>550210</v>
      </c>
      <c r="I26" s="161">
        <f t="shared" si="2"/>
        <v>0</v>
      </c>
      <c r="J26" s="604">
        <f t="shared" si="10"/>
        <v>401121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400976</v>
      </c>
      <c r="W26" s="170">
        <f>J34</f>
        <v>401121</v>
      </c>
      <c r="X26" s="172" t="s">
        <v>199</v>
      </c>
      <c r="Y26" s="172">
        <v>80</v>
      </c>
      <c r="Z26" s="172">
        <v>1</v>
      </c>
      <c r="AA26" s="323">
        <f>(W26-V26)*Z26</f>
        <v>145</v>
      </c>
      <c r="AB26" s="323">
        <f>AA26*Y26</f>
        <v>11600</v>
      </c>
      <c r="AC26" s="244">
        <f>AC9</f>
        <v>1033333</v>
      </c>
      <c r="AD26" s="476">
        <f>SUM(K36)</f>
        <v>0.31659388646288211</v>
      </c>
    </row>
    <row r="27" spans="1:32" ht="20.100000000000001" customHeight="1">
      <c r="A27" s="163">
        <f>ELEC!C27</f>
        <v>44644</v>
      </c>
      <c r="B27" s="604">
        <f t="shared" si="7"/>
        <v>1112469</v>
      </c>
      <c r="C27" s="254">
        <f t="shared" si="0"/>
        <v>0</v>
      </c>
      <c r="D27" s="295">
        <f t="shared" si="14"/>
        <v>0</v>
      </c>
      <c r="E27" s="295">
        <f t="shared" si="15"/>
        <v>1112469</v>
      </c>
      <c r="F27" s="604">
        <f t="shared" si="8"/>
        <v>161138</v>
      </c>
      <c r="G27" s="160">
        <f t="shared" si="1"/>
        <v>0</v>
      </c>
      <c r="H27" s="604">
        <f t="shared" si="9"/>
        <v>550210</v>
      </c>
      <c r="I27" s="161">
        <f t="shared" si="2"/>
        <v>0</v>
      </c>
      <c r="J27" s="604">
        <f t="shared" si="10"/>
        <v>401121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550000</v>
      </c>
      <c r="W27" s="170">
        <f>H34</f>
        <v>550210</v>
      </c>
      <c r="X27" s="172" t="s">
        <v>212</v>
      </c>
      <c r="Y27" s="172">
        <v>112</v>
      </c>
      <c r="Z27" s="172">
        <v>1</v>
      </c>
      <c r="AA27" s="323">
        <f>(W27-V27)*Z27</f>
        <v>210</v>
      </c>
      <c r="AB27" s="323">
        <f>SUM(AA27*Y27)</f>
        <v>23520</v>
      </c>
      <c r="AC27" s="244">
        <f>AC10</f>
        <v>6200000</v>
      </c>
      <c r="AD27" s="476">
        <f>SUM(I36)</f>
        <v>0.45851528384279477</v>
      </c>
    </row>
    <row r="28" spans="1:32" ht="20.100000000000001" customHeight="1">
      <c r="A28" s="163">
        <f>ELEC!C28</f>
        <v>44645</v>
      </c>
      <c r="B28" s="604">
        <f t="shared" si="7"/>
        <v>1112469</v>
      </c>
      <c r="C28" s="254">
        <f t="shared" si="0"/>
        <v>0</v>
      </c>
      <c r="D28" s="295">
        <f t="shared" si="14"/>
        <v>0</v>
      </c>
      <c r="E28" s="295">
        <f>B27+D28</f>
        <v>1112469</v>
      </c>
      <c r="F28" s="604">
        <f t="shared" si="8"/>
        <v>161138</v>
      </c>
      <c r="G28" s="160">
        <f t="shared" si="1"/>
        <v>0</v>
      </c>
      <c r="H28" s="604">
        <f t="shared" si="9"/>
        <v>550210</v>
      </c>
      <c r="I28" s="161">
        <f t="shared" si="2"/>
        <v>0</v>
      </c>
      <c r="J28" s="604">
        <f t="shared" si="10"/>
        <v>401121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161035</v>
      </c>
      <c r="W28" s="170">
        <f>F34</f>
        <v>161138</v>
      </c>
      <c r="X28" s="172" t="s">
        <v>197</v>
      </c>
      <c r="Y28" s="172">
        <v>320</v>
      </c>
      <c r="Z28" s="172">
        <v>1</v>
      </c>
      <c r="AA28" s="323">
        <f>(W28-V28)*Z28</f>
        <v>103</v>
      </c>
      <c r="AB28" s="323">
        <f>SUM(AA28*Y28)</f>
        <v>32960</v>
      </c>
      <c r="AC28" s="244">
        <f>AC11</f>
        <v>1000</v>
      </c>
      <c r="AD28" s="476">
        <f>SUM(G36)</f>
        <v>0.22489082969432314</v>
      </c>
      <c r="AE28" s="40">
        <f>SUM(AB28*5%)</f>
        <v>1648</v>
      </c>
      <c r="AF28" s="82">
        <f>SUM(AE28/7)*31</f>
        <v>7298.2857142857138</v>
      </c>
    </row>
    <row r="29" spans="1:32" ht="20.100000000000001" customHeight="1">
      <c r="A29" s="163">
        <f>ELEC!C29</f>
        <v>44646</v>
      </c>
      <c r="B29" s="604">
        <f t="shared" si="7"/>
        <v>1112469</v>
      </c>
      <c r="C29" s="254">
        <f t="shared" si="0"/>
        <v>0</v>
      </c>
      <c r="D29" s="295">
        <f t="shared" si="14"/>
        <v>0</v>
      </c>
      <c r="E29" s="295">
        <f>B28+D29</f>
        <v>1112469</v>
      </c>
      <c r="F29" s="604">
        <f t="shared" si="8"/>
        <v>161138</v>
      </c>
      <c r="G29" s="160">
        <f t="shared" si="1"/>
        <v>0</v>
      </c>
      <c r="H29" s="604">
        <f t="shared" si="9"/>
        <v>550210</v>
      </c>
      <c r="I29" s="161">
        <f t="shared" si="2"/>
        <v>0</v>
      </c>
      <c r="J29" s="604">
        <f t="shared" si="10"/>
        <v>401121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458</v>
      </c>
      <c r="AB29" s="323">
        <f>SUM(AB26:AB28)</f>
        <v>68080</v>
      </c>
      <c r="AC29" s="244">
        <f>SUM(AC26:AC28)</f>
        <v>7234333</v>
      </c>
    </row>
    <row r="30" spans="1:32" ht="20.100000000000001" customHeight="1">
      <c r="A30" s="163">
        <f>ELEC!C30</f>
        <v>44647</v>
      </c>
      <c r="B30" s="604">
        <f t="shared" si="7"/>
        <v>1112469</v>
      </c>
      <c r="C30" s="254">
        <f t="shared" si="0"/>
        <v>0</v>
      </c>
      <c r="D30" s="295">
        <f t="shared" si="14"/>
        <v>0</v>
      </c>
      <c r="E30" s="295">
        <f t="shared" si="15"/>
        <v>1112469</v>
      </c>
      <c r="F30" s="604">
        <f t="shared" si="8"/>
        <v>161138</v>
      </c>
      <c r="G30" s="160">
        <f t="shared" si="1"/>
        <v>0</v>
      </c>
      <c r="H30" s="604">
        <f t="shared" si="9"/>
        <v>550210</v>
      </c>
      <c r="I30" s="161">
        <f t="shared" si="2"/>
        <v>0</v>
      </c>
      <c r="J30" s="604">
        <f t="shared" si="10"/>
        <v>401121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7302413</v>
      </c>
      <c r="AC30" s="244"/>
    </row>
    <row r="31" spans="1:32" ht="20.100000000000001" customHeight="1">
      <c r="A31" s="163">
        <f>ELEC!C31</f>
        <v>44648</v>
      </c>
      <c r="B31" s="604">
        <f t="shared" si="7"/>
        <v>1112469</v>
      </c>
      <c r="C31" s="254">
        <f>SUM(B31-B30)</f>
        <v>0</v>
      </c>
      <c r="D31" s="295">
        <f t="shared" si="14"/>
        <v>0</v>
      </c>
      <c r="E31" s="295">
        <f>B30+D31</f>
        <v>1112469</v>
      </c>
      <c r="F31" s="604">
        <f t="shared" si="8"/>
        <v>161138</v>
      </c>
      <c r="G31" s="160">
        <f>F31-F30</f>
        <v>0</v>
      </c>
      <c r="H31" s="604">
        <f t="shared" si="9"/>
        <v>550210</v>
      </c>
      <c r="I31" s="161">
        <f>H31-H30</f>
        <v>0</v>
      </c>
      <c r="J31" s="604">
        <f t="shared" si="10"/>
        <v>401121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44649</v>
      </c>
      <c r="B32" s="604">
        <f t="shared" si="7"/>
        <v>1112469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1112469</v>
      </c>
      <c r="F32" s="604">
        <f t="shared" si="8"/>
        <v>161138</v>
      </c>
      <c r="G32" s="160">
        <f t="shared" ref="G32:G34" si="23">F32-F31</f>
        <v>0</v>
      </c>
      <c r="H32" s="604">
        <f t="shared" si="9"/>
        <v>550210</v>
      </c>
      <c r="I32" s="161">
        <f t="shared" ref="I32:I34" si="24">H32-H31</f>
        <v>0</v>
      </c>
      <c r="J32" s="604">
        <f t="shared" si="10"/>
        <v>401121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46</v>
      </c>
      <c r="X32" s="222">
        <f>SUM(W32/A35)</f>
        <v>23</v>
      </c>
      <c r="Y32" s="250">
        <f>SUM(X32/1)</f>
        <v>23</v>
      </c>
      <c r="Z32" s="3"/>
      <c r="AA32" s="323"/>
      <c r="AB32" s="323"/>
      <c r="AC32" s="244"/>
    </row>
    <row r="33" spans="1:32" ht="20.100000000000001" customHeight="1">
      <c r="A33" s="163">
        <f>ELEC!C33</f>
        <v>44650</v>
      </c>
      <c r="B33" s="604">
        <f t="shared" si="7"/>
        <v>1112469</v>
      </c>
      <c r="C33" s="254">
        <f t="shared" si="20"/>
        <v>0</v>
      </c>
      <c r="D33" s="295">
        <f t="shared" si="21"/>
        <v>0</v>
      </c>
      <c r="E33" s="295">
        <f t="shared" si="22"/>
        <v>1112469</v>
      </c>
      <c r="F33" s="604">
        <f t="shared" si="8"/>
        <v>161138</v>
      </c>
      <c r="G33" s="160">
        <f t="shared" si="23"/>
        <v>0</v>
      </c>
      <c r="H33" s="604">
        <f t="shared" si="9"/>
        <v>550210</v>
      </c>
      <c r="I33" s="161">
        <f t="shared" si="24"/>
        <v>0</v>
      </c>
      <c r="J33" s="604">
        <f t="shared" si="10"/>
        <v>401121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803265.43</v>
      </c>
      <c r="AC33" s="244">
        <f>SUM(AC29)</f>
        <v>7234333</v>
      </c>
    </row>
    <row r="34" spans="1:32" ht="20.100000000000001" customHeight="1">
      <c r="A34" s="163">
        <f>ELEC!C34</f>
        <v>44651</v>
      </c>
      <c r="B34" s="604">
        <f t="shared" si="7"/>
        <v>1112469</v>
      </c>
      <c r="C34" s="254">
        <f t="shared" si="20"/>
        <v>0</v>
      </c>
      <c r="D34" s="295">
        <f t="shared" si="21"/>
        <v>0</v>
      </c>
      <c r="E34" s="295">
        <f t="shared" si="22"/>
        <v>1112469</v>
      </c>
      <c r="F34" s="604">
        <f t="shared" si="8"/>
        <v>161138</v>
      </c>
      <c r="G34" s="160">
        <f t="shared" si="23"/>
        <v>0</v>
      </c>
      <c r="H34" s="604">
        <f t="shared" si="9"/>
        <v>550210</v>
      </c>
      <c r="I34" s="161">
        <f t="shared" si="24"/>
        <v>0</v>
      </c>
      <c r="J34" s="604">
        <f t="shared" si="10"/>
        <v>401121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8105678.4299999997</v>
      </c>
      <c r="AC34" s="244">
        <f>SUM(AC30)</f>
        <v>0</v>
      </c>
    </row>
    <row r="35" spans="1:32" ht="15.75" thickBot="1">
      <c r="A35" s="501">
        <f>A37-COUNTIF(C4:C34,0)</f>
        <v>2</v>
      </c>
      <c r="C35" s="173">
        <f>SUM(C4:C34)/A35</f>
        <v>229</v>
      </c>
      <c r="D35" s="173"/>
      <c r="E35" s="173"/>
      <c r="F35" s="564"/>
      <c r="G35" s="564">
        <f>SUM(G4:G34)/A35</f>
        <v>51.5</v>
      </c>
      <c r="H35" s="173"/>
      <c r="I35" s="173">
        <f>SUM(I4:I34)/A35</f>
        <v>105</v>
      </c>
      <c r="K35" s="173">
        <f>SUM(K4:K34)/A35</f>
        <v>72.5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0.22489082969432314</v>
      </c>
      <c r="H36" s="212"/>
      <c r="I36" s="225">
        <f>SUM(I35/C35)</f>
        <v>0.45851528384279477</v>
      </c>
      <c r="J36" s="212"/>
      <c r="K36" s="225">
        <f>SUM(K35/C35)</f>
        <v>0.31659388646288211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4844.0550580431182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4844.0550580431182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9"/>
      <c r="AC45" s="669"/>
      <c r="AD45" s="542"/>
      <c r="AE45" s="17"/>
      <c r="AF45" s="17"/>
    </row>
    <row r="46" spans="1:32">
      <c r="V46" s="669"/>
      <c r="W46" s="669"/>
      <c r="X46" s="669"/>
      <c r="Y46" s="669"/>
      <c r="Z46" s="508"/>
      <c r="AA46" s="508"/>
      <c r="AB46" s="669"/>
      <c r="AC46" s="669"/>
      <c r="AD46" s="542"/>
      <c r="AE46" s="17"/>
      <c r="AF46" s="17"/>
    </row>
    <row r="47" spans="1:32">
      <c r="V47" s="669"/>
      <c r="W47" s="669"/>
      <c r="X47" s="669"/>
      <c r="Y47" s="669"/>
      <c r="Z47" s="669"/>
      <c r="AA47" s="669"/>
      <c r="AB47" s="669"/>
      <c r="AC47" s="669"/>
      <c r="AD47" s="542"/>
      <c r="AE47" s="17"/>
      <c r="AF47" s="17"/>
    </row>
    <row r="48" spans="1:32">
      <c r="V48" s="670"/>
      <c r="W48" s="670"/>
      <c r="X48" s="671"/>
      <c r="Y48" s="671"/>
      <c r="Z48" s="671"/>
      <c r="AA48" s="509"/>
      <c r="AB48" s="669"/>
      <c r="AC48" s="669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D30" sqref="D30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44621</v>
      </c>
      <c r="B5" s="37">
        <v>17</v>
      </c>
      <c r="C5" s="37">
        <v>14</v>
      </c>
      <c r="D5" s="26">
        <f t="shared" ref="D5:D11" si="0">(C5+B5)/2</f>
        <v>15.5</v>
      </c>
      <c r="E5" s="325">
        <v>0.74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44622</v>
      </c>
      <c r="B6" s="37">
        <v>24</v>
      </c>
      <c r="C6" s="37">
        <v>15</v>
      </c>
      <c r="D6" s="26">
        <f t="shared" si="0"/>
        <v>19.5</v>
      </c>
      <c r="E6" s="325">
        <v>0.62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44623</v>
      </c>
      <c r="B7" s="37">
        <v>20</v>
      </c>
      <c r="C7" s="37">
        <v>13</v>
      </c>
      <c r="D7" s="26">
        <f t="shared" si="0"/>
        <v>16.5</v>
      </c>
      <c r="E7" s="325">
        <v>0.62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44624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44625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44626</v>
      </c>
      <c r="B10" s="37">
        <v>22</v>
      </c>
      <c r="C10" s="37">
        <v>13</v>
      </c>
      <c r="D10" s="26">
        <f t="shared" si="0"/>
        <v>17.5</v>
      </c>
      <c r="E10" s="378">
        <v>0.67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44627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44628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44629</v>
      </c>
      <c r="B13" s="37"/>
      <c r="C13" s="37"/>
      <c r="D13" s="26">
        <f t="shared" ref="D13:D32" si="3">(C13+B13)/2</f>
        <v>0</v>
      </c>
      <c r="E13" s="325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44630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44631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44632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44633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44634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44635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44636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44637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44638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44639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44640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44641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44642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44643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44644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44645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44646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44647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44648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44649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44650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44651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34.5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6721</v>
      </c>
      <c r="D2" s="3">
        <f>C2-E2</f>
        <v>544.00000000032014</v>
      </c>
      <c r="E2" s="3">
        <f>ELEC!Q4</f>
        <v>6176.9999999996799</v>
      </c>
      <c r="F2" s="3">
        <f>GEN!Z2</f>
        <v>13</v>
      </c>
      <c r="G2" s="3">
        <f>WATER!C5+WATER!H5</f>
        <v>0</v>
      </c>
      <c r="H2" s="3">
        <f>WATER!L5</f>
        <v>5</v>
      </c>
      <c r="I2" s="15">
        <f>WATER!BC5+WATER!BD5+WATER!BE6-Sheet1!G2</f>
        <v>-16.699999999999989</v>
      </c>
      <c r="J2" s="9">
        <f>'B5'!A4</f>
        <v>44620</v>
      </c>
    </row>
    <row r="3" spans="1:10">
      <c r="A3" s="3">
        <f>ELEC!T5+ELEC!X3+ELEC!AB5</f>
        <v>0</v>
      </c>
      <c r="B3" s="3">
        <f>ELEC!AF5</f>
        <v>0</v>
      </c>
      <c r="C3" s="3">
        <f>ELEC!N5</f>
        <v>5888</v>
      </c>
      <c r="D3" s="3">
        <f t="shared" ref="D3:D30" si="0">C3-E3</f>
        <v>-68.000000001949957</v>
      </c>
      <c r="E3" s="3">
        <f>ELEC!Q5</f>
        <v>5956.00000000195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-18.900000000000006</v>
      </c>
      <c r="J3" s="9">
        <f>'B5'!A5</f>
        <v>44621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5727</v>
      </c>
      <c r="D4" s="3">
        <f t="shared" si="0"/>
        <v>140.00000000046566</v>
      </c>
      <c r="E4" s="3">
        <f>ELEC!Q6</f>
        <v>5586.9999999995343</v>
      </c>
      <c r="F4" s="3">
        <f>GEN!Z4</f>
        <v>12</v>
      </c>
      <c r="G4" s="3">
        <f>WATER!C7+WATER!H7</f>
        <v>0</v>
      </c>
      <c r="H4" s="3">
        <f>WATER!L7</f>
        <v>0</v>
      </c>
      <c r="I4" s="15">
        <f>WATER!BC7+WATER!BD7+WATER!BE8-Sheet1!G4</f>
        <v>-18.900000000000006</v>
      </c>
      <c r="J4" s="9">
        <f>'B5'!A6</f>
        <v>44622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-6.8999999999999488</v>
      </c>
      <c r="J5" s="9">
        <f>'B5'!A7</f>
        <v>44623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44624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6030</v>
      </c>
      <c r="D7" s="3">
        <f t="shared" si="0"/>
        <v>145.00000000160071</v>
      </c>
      <c r="E7" s="3">
        <f>ELEC!Q9</f>
        <v>5884.9999999983993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-10.900000000000048</v>
      </c>
      <c r="J7" s="9">
        <f>'B5'!A9</f>
        <v>44625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11</v>
      </c>
      <c r="G8" s="3">
        <f>WATER!C11+WATER!H11</f>
        <v>0</v>
      </c>
      <c r="H8" s="3">
        <f>WATER!L11</f>
        <v>1</v>
      </c>
      <c r="I8" s="15">
        <f>WATER!BC11+WATER!BD11+WATER!BE12-Sheet1!G8</f>
        <v>-10.900000000000048</v>
      </c>
      <c r="J8" s="9">
        <f>'B5'!A10</f>
        <v>44626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44627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44628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44629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44630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44631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44632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44633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44634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44635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44636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44637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44638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44639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44640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44641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44642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44643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44644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44645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44646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44647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44648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4"/>
      <c r="B1" s="682" t="s">
        <v>119</v>
      </c>
      <c r="C1" s="682" t="s">
        <v>118</v>
      </c>
      <c r="D1" s="686" t="s">
        <v>113</v>
      </c>
      <c r="E1" s="686" t="s">
        <v>114</v>
      </c>
      <c r="F1" s="687" t="s">
        <v>120</v>
      </c>
      <c r="G1" s="688" t="s">
        <v>75</v>
      </c>
      <c r="H1" s="679" t="s">
        <v>115</v>
      </c>
      <c r="I1" s="680" t="s">
        <v>116</v>
      </c>
      <c r="J1" s="679" t="s">
        <v>117</v>
      </c>
      <c r="K1" s="678" t="s">
        <v>121</v>
      </c>
      <c r="L1" s="678" t="s">
        <v>122</v>
      </c>
      <c r="M1" s="678" t="s">
        <v>123</v>
      </c>
      <c r="N1" s="678" t="s">
        <v>124</v>
      </c>
    </row>
    <row r="2" spans="1:14">
      <c r="A2" s="685"/>
      <c r="B2" s="683"/>
      <c r="C2" s="683"/>
      <c r="D2" s="686"/>
      <c r="E2" s="686"/>
      <c r="F2" s="687"/>
      <c r="G2" s="688"/>
      <c r="H2" s="679"/>
      <c r="I2" s="681"/>
      <c r="J2" s="679"/>
      <c r="K2" s="678"/>
      <c r="L2" s="678"/>
      <c r="M2" s="678"/>
      <c r="N2" s="67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44621</v>
      </c>
      <c r="B5" s="76">
        <f>'B5'!V5</f>
        <v>343</v>
      </c>
      <c r="C5" s="76">
        <f>'B5'!AH5</f>
        <v>0</v>
      </c>
      <c r="D5" s="76">
        <f>GEN!AI3</f>
        <v>1589.8607594935886</v>
      </c>
      <c r="E5" s="239">
        <f t="shared" ref="E5:E33" si="0">B5+C5+D5</f>
        <v>1932.8607594935886</v>
      </c>
      <c r="F5" s="75">
        <f>WATER!L5</f>
        <v>5</v>
      </c>
      <c r="G5" s="78">
        <f>WATER!BG5</f>
        <v>-9.8000000000000398</v>
      </c>
      <c r="H5" s="79">
        <f>ELEC!AF4</f>
        <v>0</v>
      </c>
      <c r="I5" s="79">
        <f>ELEC!Q4</f>
        <v>6176.9999999996799</v>
      </c>
      <c r="J5" s="79">
        <f>ELEC!R4</f>
        <v>544.00000000032014</v>
      </c>
      <c r="K5" s="80"/>
      <c r="L5" s="3"/>
      <c r="M5" s="3"/>
      <c r="N5" s="3"/>
    </row>
    <row r="6" spans="1:14">
      <c r="A6" s="63">
        <f>'B5'!A6</f>
        <v>44622</v>
      </c>
      <c r="B6" s="76">
        <f>'B5'!V6</f>
        <v>425</v>
      </c>
      <c r="C6" s="76">
        <f>'B5'!AH6</f>
        <v>0</v>
      </c>
      <c r="D6" s="76">
        <f>GEN!AI4</f>
        <v>1532.9789029540884</v>
      </c>
      <c r="E6" s="239">
        <f t="shared" si="0"/>
        <v>1957.9789029540884</v>
      </c>
      <c r="F6" s="75">
        <f>WATER!L6</f>
        <v>0</v>
      </c>
      <c r="G6" s="78">
        <f>WATER!BG6</f>
        <v>-6.8999999999999488</v>
      </c>
      <c r="H6" s="79">
        <f>ELEC!AF5</f>
        <v>0</v>
      </c>
      <c r="I6" s="79">
        <f>ELEC!Q5</f>
        <v>5956.00000000195</v>
      </c>
      <c r="J6" s="79">
        <f>ELEC!R5</f>
        <v>-68.000000001949957</v>
      </c>
      <c r="K6" s="3"/>
      <c r="L6" s="3"/>
      <c r="M6" s="3"/>
      <c r="N6" s="3"/>
    </row>
    <row r="7" spans="1:14">
      <c r="A7" s="63">
        <f>'B5'!A7</f>
        <v>44623</v>
      </c>
      <c r="B7" s="76">
        <f>'B5'!V7</f>
        <v>337</v>
      </c>
      <c r="C7" s="76">
        <f>'B5'!AH7</f>
        <v>0</v>
      </c>
      <c r="D7" s="76">
        <f>GEN!AI5</f>
        <v>1438.0042194091629</v>
      </c>
      <c r="E7" s="239">
        <f t="shared" si="0"/>
        <v>1775.0042194091629</v>
      </c>
      <c r="F7" s="75">
        <f>WATER!L7</f>
        <v>0</v>
      </c>
      <c r="G7" s="78">
        <f>WATER!BG7</f>
        <v>-12.000000000000057</v>
      </c>
      <c r="H7" s="79">
        <f>ELEC!AF6</f>
        <v>0</v>
      </c>
      <c r="I7" s="79">
        <f>ELEC!Q6</f>
        <v>5586.9999999995343</v>
      </c>
      <c r="J7" s="79">
        <f>ELEC!R6</f>
        <v>140.00000000046566</v>
      </c>
      <c r="K7" s="3"/>
      <c r="L7" s="3"/>
      <c r="M7" s="3"/>
      <c r="N7" s="3"/>
    </row>
    <row r="8" spans="1:14">
      <c r="A8" s="63">
        <f>'B5'!A8</f>
        <v>44624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-6.8999999999999488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44625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44626</v>
      </c>
      <c r="B10" s="76">
        <f>'B5'!V10</f>
        <v>528</v>
      </c>
      <c r="C10" s="76">
        <f>'B5'!AH10</f>
        <v>0</v>
      </c>
      <c r="D10" s="76">
        <f>GEN!AI8</f>
        <v>1514.7046413497992</v>
      </c>
      <c r="E10" s="239">
        <f t="shared" si="0"/>
        <v>2042.7046413497992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5884.9999999983993</v>
      </c>
      <c r="J10" s="79">
        <f>ELEC!R9</f>
        <v>145.00000000160071</v>
      </c>
      <c r="K10" s="3"/>
      <c r="L10" s="3"/>
      <c r="M10" s="3"/>
      <c r="N10" s="3"/>
    </row>
    <row r="11" spans="1:14">
      <c r="A11" s="63">
        <f>'B5'!A11</f>
        <v>44627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1</v>
      </c>
      <c r="G11" s="78">
        <f>WATER!BG11</f>
        <v>-10.900000000000048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44628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44629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44630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44631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44632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44633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44634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44635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44636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44637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44638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44639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44640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44641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44642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44643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44644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44645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44646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44647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44648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2" sqref="H12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3">
        <f>'[2]Swimming Pool quality check '!$A$33</f>
        <v>44620</v>
      </c>
      <c r="B5" s="624">
        <f>'[2]Swimming Pool quality check '!B33</f>
        <v>4</v>
      </c>
      <c r="C5" s="624">
        <f>'[2]Swimming Pool quality check '!C33</f>
        <v>7.8</v>
      </c>
      <c r="D5" s="624">
        <f>'[2]Swimming Pool quality check '!D33</f>
        <v>0</v>
      </c>
      <c r="E5" s="624">
        <f>'[2]Swimming Pool quality check '!E33</f>
        <v>0</v>
      </c>
      <c r="F5" s="624">
        <f>'[2]Swimming Pool quality check '!F33</f>
        <v>0</v>
      </c>
      <c r="G5" s="624">
        <f>'[2]Swimming Pool quality check '!G33</f>
        <v>0</v>
      </c>
      <c r="H5" s="624">
        <f>'[2]Swimming Pool quality check '!H33</f>
        <v>7020</v>
      </c>
      <c r="I5" s="625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44620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4">
        <f>ELEC!C4</f>
        <v>44621</v>
      </c>
      <c r="B6" s="612">
        <v>3</v>
      </c>
      <c r="C6" s="461">
        <v>7.8</v>
      </c>
      <c r="D6" s="613">
        <v>0</v>
      </c>
      <c r="E6" s="613">
        <v>0</v>
      </c>
      <c r="F6" s="613">
        <v>0</v>
      </c>
      <c r="G6" s="606">
        <v>0</v>
      </c>
      <c r="H6" s="612">
        <v>7021</v>
      </c>
      <c r="I6" s="622">
        <f>H6-H5</f>
        <v>1</v>
      </c>
      <c r="J6" s="597">
        <v>0.29166666666666669</v>
      </c>
      <c r="L6" s="99">
        <f t="shared" ref="L6:L33" si="0">A6</f>
        <v>44621</v>
      </c>
      <c r="M6" s="3">
        <f>M5</f>
        <v>6541</v>
      </c>
      <c r="N6" s="477"/>
      <c r="O6" s="477">
        <f>M6+N6</f>
        <v>6541</v>
      </c>
    </row>
    <row r="7" spans="1:18">
      <c r="A7" s="615">
        <f>ELEC!C5</f>
        <v>44622</v>
      </c>
      <c r="B7" s="246">
        <v>3</v>
      </c>
      <c r="C7" s="604">
        <v>7.8</v>
      </c>
      <c r="D7" s="170">
        <v>0</v>
      </c>
      <c r="E7" s="170">
        <v>0</v>
      </c>
      <c r="F7" s="170">
        <v>0</v>
      </c>
      <c r="G7" s="607">
        <v>0</v>
      </c>
      <c r="H7" s="246">
        <f t="shared" ref="H7:H36" si="1">H6</f>
        <v>7021</v>
      </c>
      <c r="I7" s="477">
        <f>H7-H6</f>
        <v>0</v>
      </c>
      <c r="J7" s="462">
        <v>0.29166666666666669</v>
      </c>
      <c r="L7" s="99">
        <f t="shared" si="0"/>
        <v>44622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5">
        <f>ELEC!C6</f>
        <v>44623</v>
      </c>
      <c r="B8" s="611">
        <v>2.5</v>
      </c>
      <c r="C8" s="461">
        <v>7.8</v>
      </c>
      <c r="D8" s="461">
        <v>0</v>
      </c>
      <c r="E8" s="461">
        <v>0</v>
      </c>
      <c r="F8" s="461">
        <v>0</v>
      </c>
      <c r="G8" s="617">
        <v>0</v>
      </c>
      <c r="H8" s="246">
        <f t="shared" si="1"/>
        <v>7021</v>
      </c>
      <c r="I8" s="477">
        <f t="shared" ref="I8:I33" si="4">H8-H7</f>
        <v>0</v>
      </c>
      <c r="J8" s="462">
        <v>0.29166666666666669</v>
      </c>
      <c r="L8" s="99">
        <f t="shared" si="0"/>
        <v>44623</v>
      </c>
      <c r="M8" s="3">
        <f t="shared" si="2"/>
        <v>6541</v>
      </c>
      <c r="N8" s="477"/>
      <c r="O8" s="477">
        <f t="shared" si="3"/>
        <v>6541</v>
      </c>
    </row>
    <row r="9" spans="1:18">
      <c r="A9" s="615">
        <f>ELEC!C7</f>
        <v>44624</v>
      </c>
      <c r="B9" s="593"/>
      <c r="C9" s="604"/>
      <c r="D9" s="604">
        <v>0</v>
      </c>
      <c r="E9" s="604">
        <v>0</v>
      </c>
      <c r="F9" s="604">
        <v>0</v>
      </c>
      <c r="G9" s="605">
        <v>0</v>
      </c>
      <c r="H9" s="246">
        <f t="shared" si="1"/>
        <v>7021</v>
      </c>
      <c r="I9" s="477">
        <f t="shared" si="4"/>
        <v>0</v>
      </c>
      <c r="J9" s="462">
        <v>0.25</v>
      </c>
      <c r="L9" s="99">
        <f t="shared" si="0"/>
        <v>44624</v>
      </c>
      <c r="M9" s="3">
        <f t="shared" si="2"/>
        <v>6541</v>
      </c>
      <c r="N9" s="477"/>
      <c r="O9" s="477">
        <f t="shared" si="3"/>
        <v>6541</v>
      </c>
    </row>
    <row r="10" spans="1:18">
      <c r="A10" s="615">
        <f>ELEC!C8</f>
        <v>44625</v>
      </c>
      <c r="B10" s="593"/>
      <c r="C10" s="604"/>
      <c r="D10" s="604">
        <v>0</v>
      </c>
      <c r="E10" s="604">
        <v>0</v>
      </c>
      <c r="F10" s="604">
        <v>0</v>
      </c>
      <c r="G10" s="605">
        <v>0</v>
      </c>
      <c r="H10" s="246">
        <f t="shared" si="1"/>
        <v>7021</v>
      </c>
      <c r="I10" s="477">
        <f t="shared" si="4"/>
        <v>0</v>
      </c>
      <c r="J10" s="462">
        <v>0.29166666666666669</v>
      </c>
      <c r="L10" s="99">
        <f t="shared" si="0"/>
        <v>44625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5">
        <f>ELEC!C9</f>
        <v>44626</v>
      </c>
      <c r="B11" s="593">
        <v>2.5</v>
      </c>
      <c r="C11" s="604">
        <v>7.8</v>
      </c>
      <c r="D11" s="604">
        <v>0</v>
      </c>
      <c r="E11" s="604">
        <v>0</v>
      </c>
      <c r="F11" s="604">
        <v>0</v>
      </c>
      <c r="G11" s="605">
        <v>0</v>
      </c>
      <c r="H11" s="246">
        <v>7022</v>
      </c>
      <c r="I11" s="477">
        <f t="shared" si="4"/>
        <v>1</v>
      </c>
      <c r="J11" s="462">
        <v>0.29166666666666669</v>
      </c>
      <c r="L11" s="99">
        <f t="shared" si="0"/>
        <v>44626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5">
        <f>ELEC!C10</f>
        <v>44627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246">
        <f t="shared" si="1"/>
        <v>7022</v>
      </c>
      <c r="I12" s="477">
        <f t="shared" si="4"/>
        <v>0</v>
      </c>
      <c r="J12" s="462">
        <v>0.29166666666666669</v>
      </c>
      <c r="L12" s="99">
        <f t="shared" si="0"/>
        <v>44627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5">
        <f>ELEC!C11</f>
        <v>44628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246">
        <f t="shared" si="1"/>
        <v>7022</v>
      </c>
      <c r="I13" s="477">
        <f t="shared" si="4"/>
        <v>0</v>
      </c>
      <c r="J13" s="462">
        <v>0.29166666666666669</v>
      </c>
      <c r="L13" s="99">
        <f t="shared" si="0"/>
        <v>44628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5">
        <f>ELEC!C12</f>
        <v>44629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246">
        <f t="shared" si="1"/>
        <v>7022</v>
      </c>
      <c r="I14" s="477">
        <f t="shared" si="4"/>
        <v>0</v>
      </c>
      <c r="J14" s="462">
        <v>0.29166666666666669</v>
      </c>
      <c r="L14" s="99">
        <f t="shared" si="0"/>
        <v>44629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5">
        <f>ELEC!C13</f>
        <v>44630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246">
        <f t="shared" si="1"/>
        <v>7022</v>
      </c>
      <c r="I15" s="477">
        <f t="shared" si="4"/>
        <v>0</v>
      </c>
      <c r="J15" s="462">
        <v>0.29166666666666669</v>
      </c>
      <c r="L15" s="99">
        <f t="shared" si="0"/>
        <v>44630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5">
        <f>ELEC!C14</f>
        <v>44631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246">
        <f t="shared" si="1"/>
        <v>7022</v>
      </c>
      <c r="I16" s="477">
        <f t="shared" si="4"/>
        <v>0</v>
      </c>
      <c r="J16" s="462">
        <v>0.29166666666666669</v>
      </c>
      <c r="L16" s="99">
        <f t="shared" si="0"/>
        <v>44631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5">
        <f>ELEC!C15</f>
        <v>44632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246">
        <f t="shared" si="1"/>
        <v>7022</v>
      </c>
      <c r="I17" s="477">
        <f t="shared" si="4"/>
        <v>0</v>
      </c>
      <c r="J17" s="462">
        <v>0.29166666666666669</v>
      </c>
      <c r="L17" s="99">
        <f t="shared" si="0"/>
        <v>44632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5">
        <f>ELEC!C16</f>
        <v>44633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246">
        <f t="shared" si="1"/>
        <v>7022</v>
      </c>
      <c r="I18" s="477">
        <f t="shared" si="4"/>
        <v>0</v>
      </c>
      <c r="J18" s="462">
        <v>0.29166666666666669</v>
      </c>
      <c r="L18" s="99">
        <f t="shared" si="0"/>
        <v>44633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5">
        <f>ELEC!C17</f>
        <v>44634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246">
        <f t="shared" si="1"/>
        <v>7022</v>
      </c>
      <c r="I19" s="477">
        <f t="shared" si="4"/>
        <v>0</v>
      </c>
      <c r="J19" s="462">
        <v>0.29166666666666669</v>
      </c>
      <c r="L19" s="99">
        <f t="shared" si="0"/>
        <v>44634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5">
        <f>ELEC!C18</f>
        <v>44635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246">
        <f t="shared" si="1"/>
        <v>7022</v>
      </c>
      <c r="I20" s="477">
        <f t="shared" si="4"/>
        <v>0</v>
      </c>
      <c r="J20" s="462">
        <v>0.29166666666666669</v>
      </c>
      <c r="L20" s="99">
        <f t="shared" si="0"/>
        <v>44635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5">
        <f>ELEC!C19</f>
        <v>44636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246">
        <f t="shared" si="1"/>
        <v>7022</v>
      </c>
      <c r="I21" s="477">
        <f t="shared" si="4"/>
        <v>0</v>
      </c>
      <c r="J21" s="535" t="s">
        <v>409</v>
      </c>
      <c r="L21" s="99">
        <f t="shared" si="0"/>
        <v>44636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5">
        <f>ELEC!C20</f>
        <v>44637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246">
        <f t="shared" si="1"/>
        <v>7022</v>
      </c>
      <c r="I22" s="477">
        <f t="shared" si="4"/>
        <v>0</v>
      </c>
      <c r="J22" s="462">
        <v>0.29166666666666669</v>
      </c>
      <c r="L22" s="99">
        <f t="shared" si="0"/>
        <v>44637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5">
        <f>ELEC!C21</f>
        <v>44638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246">
        <f t="shared" si="1"/>
        <v>7022</v>
      </c>
      <c r="I23" s="477">
        <f t="shared" si="4"/>
        <v>0</v>
      </c>
      <c r="J23" s="462">
        <v>0.29166666666666669</v>
      </c>
      <c r="L23" s="99">
        <f t="shared" si="0"/>
        <v>44638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5">
        <f>ELEC!C22</f>
        <v>44639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246">
        <f t="shared" si="1"/>
        <v>7022</v>
      </c>
      <c r="I24" s="477">
        <f t="shared" si="4"/>
        <v>0</v>
      </c>
      <c r="J24" s="462">
        <v>0.29166666666666702</v>
      </c>
      <c r="L24" s="99">
        <f t="shared" si="0"/>
        <v>44639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5">
        <f>ELEC!C23</f>
        <v>44640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246">
        <f t="shared" si="1"/>
        <v>7022</v>
      </c>
      <c r="I25" s="477">
        <f t="shared" si="4"/>
        <v>0</v>
      </c>
      <c r="J25" s="462">
        <v>0.29166666666666702</v>
      </c>
      <c r="L25" s="99">
        <f t="shared" si="0"/>
        <v>44640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5">
        <f>ELEC!C24</f>
        <v>44641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246">
        <f t="shared" si="1"/>
        <v>7022</v>
      </c>
      <c r="I26" s="477">
        <f t="shared" si="4"/>
        <v>0</v>
      </c>
      <c r="J26" s="462">
        <v>0.29166666666666702</v>
      </c>
      <c r="L26" s="99">
        <f t="shared" si="0"/>
        <v>44641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5">
        <f>ELEC!C25</f>
        <v>44642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246">
        <f t="shared" si="1"/>
        <v>7022</v>
      </c>
      <c r="I27" s="477">
        <f t="shared" si="4"/>
        <v>0</v>
      </c>
      <c r="J27" s="462">
        <v>0.29166666666666702</v>
      </c>
      <c r="L27" s="99">
        <f t="shared" si="0"/>
        <v>44642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5">
        <f>ELEC!C26</f>
        <v>44643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246">
        <f t="shared" si="1"/>
        <v>7022</v>
      </c>
      <c r="I28" s="477">
        <f t="shared" si="4"/>
        <v>0</v>
      </c>
      <c r="J28" s="463">
        <v>0.29166666666666702</v>
      </c>
      <c r="L28" s="99">
        <f t="shared" si="0"/>
        <v>44643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5">
        <f>ELEC!C27</f>
        <v>44644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246">
        <f t="shared" si="1"/>
        <v>7022</v>
      </c>
      <c r="I29" s="477">
        <f t="shared" si="4"/>
        <v>0</v>
      </c>
      <c r="J29" s="462">
        <v>0.29166666666666702</v>
      </c>
      <c r="L29" s="99">
        <f t="shared" si="0"/>
        <v>44644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5">
        <f>ELEC!C28</f>
        <v>44645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246">
        <f t="shared" si="1"/>
        <v>7022</v>
      </c>
      <c r="I30" s="477">
        <f t="shared" si="4"/>
        <v>0</v>
      </c>
      <c r="J30" s="462">
        <v>0.29166666666666702</v>
      </c>
      <c r="L30" s="99">
        <f t="shared" si="0"/>
        <v>44645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5">
        <f>ELEC!C29</f>
        <v>44646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246">
        <f t="shared" si="1"/>
        <v>7022</v>
      </c>
      <c r="I31" s="477">
        <f t="shared" si="4"/>
        <v>0</v>
      </c>
      <c r="J31" s="462">
        <v>0.29166666666666702</v>
      </c>
      <c r="L31" s="99">
        <f t="shared" si="0"/>
        <v>44646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5">
        <f>ELEC!C30</f>
        <v>44647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246">
        <f t="shared" si="1"/>
        <v>7022</v>
      </c>
      <c r="I32" s="477">
        <f t="shared" si="4"/>
        <v>0</v>
      </c>
      <c r="J32" s="462">
        <v>0.29166666666666702</v>
      </c>
      <c r="L32" s="99">
        <f t="shared" si="0"/>
        <v>44647</v>
      </c>
      <c r="M32" s="3">
        <f t="shared" si="2"/>
        <v>6541</v>
      </c>
      <c r="N32" s="477"/>
      <c r="O32" s="477">
        <v>6879</v>
      </c>
    </row>
    <row r="33" spans="1:15">
      <c r="A33" s="615">
        <f>ELEC!C31</f>
        <v>44648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246">
        <f t="shared" si="1"/>
        <v>7022</v>
      </c>
      <c r="I33" s="477">
        <f t="shared" si="4"/>
        <v>0</v>
      </c>
      <c r="J33" s="462">
        <v>0.29166666666666702</v>
      </c>
      <c r="L33" s="99">
        <f t="shared" si="0"/>
        <v>44648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5">
        <f>ELEC!C32</f>
        <v>44649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246">
        <f t="shared" si="1"/>
        <v>7022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44649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5">
        <f>ELEC!C33</f>
        <v>44650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246">
        <f t="shared" si="1"/>
        <v>7022</v>
      </c>
      <c r="I35" s="477">
        <f t="shared" si="5"/>
        <v>0</v>
      </c>
      <c r="J35" s="462">
        <v>0.375</v>
      </c>
      <c r="L35" s="99">
        <f t="shared" si="6"/>
        <v>44650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6">
        <f>ELEC!C34</f>
        <v>44651</v>
      </c>
      <c r="B36" s="595"/>
      <c r="C36" s="596"/>
      <c r="D36" s="596">
        <v>0</v>
      </c>
      <c r="E36" s="596">
        <v>0</v>
      </c>
      <c r="F36" s="596">
        <v>0</v>
      </c>
      <c r="G36" s="618">
        <v>0</v>
      </c>
      <c r="H36" s="619">
        <f t="shared" si="1"/>
        <v>7022</v>
      </c>
      <c r="I36" s="620">
        <f t="shared" si="5"/>
        <v>0</v>
      </c>
      <c r="J36" s="621">
        <v>0.41666666666666702</v>
      </c>
      <c r="L36" s="99">
        <f t="shared" si="6"/>
        <v>44651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10" sqref="J1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7" t="s">
        <v>161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</row>
    <row r="2" spans="1:28" ht="19.5">
      <c r="A2" s="718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</row>
    <row r="3" spans="1:28" ht="19.5">
      <c r="A3" s="718" t="s">
        <v>162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8" t="s">
        <v>404</v>
      </c>
      <c r="B5" s="718"/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718"/>
      <c r="P5" s="718"/>
      <c r="Q5" s="718"/>
      <c r="R5" s="718"/>
      <c r="S5" s="718"/>
      <c r="T5" s="718"/>
      <c r="U5" s="718"/>
      <c r="V5" s="718"/>
      <c r="W5" s="718"/>
      <c r="X5" s="718"/>
    </row>
    <row r="6" spans="1:28" ht="15.75" thickBot="1">
      <c r="A6" s="719"/>
      <c r="B6" s="719"/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19"/>
      <c r="U6" s="719"/>
      <c r="V6" s="719"/>
      <c r="W6" s="719"/>
      <c r="X6" s="719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14</v>
      </c>
      <c r="D10" s="261">
        <f>'[10]Degree Days 2020'!D10</f>
        <v>-0.80000000000000071</v>
      </c>
      <c r="E10" s="498">
        <v>1</v>
      </c>
      <c r="F10" s="261">
        <f>'[2]Degree Days 2022'!F10</f>
        <v>17</v>
      </c>
      <c r="G10" s="261">
        <f>'[2]Degree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'General information '!B5</f>
        <v>17</v>
      </c>
      <c r="K10" s="261">
        <f>'General information '!C5</f>
        <v>14</v>
      </c>
      <c r="L10" s="261">
        <f>'[10]Degree Days 2020'!L10</f>
        <v>-2.3000000000000007</v>
      </c>
      <c r="M10" s="498">
        <f>'[11]Degree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15</v>
      </c>
      <c r="D11" s="261">
        <f>'[10]Degree Days 2020'!D11</f>
        <v>-0.30000000000000071</v>
      </c>
      <c r="E11" s="498">
        <v>2</v>
      </c>
      <c r="F11" s="261">
        <f>'[2]Degree Days 2022'!F11</f>
        <v>19</v>
      </c>
      <c r="G11" s="261">
        <f>'[2]Degree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'General information '!B6</f>
        <v>24</v>
      </c>
      <c r="K11" s="261">
        <f>'General information '!C6</f>
        <v>15</v>
      </c>
      <c r="L11" s="261">
        <f>'[10]Degree Days 2020'!L11</f>
        <v>-2.8000000000000007</v>
      </c>
      <c r="M11" s="498">
        <f>'[11]Degree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13</v>
      </c>
      <c r="D12" s="261">
        <f>'[10]Degree Days 2020'!D12</f>
        <v>0.19999999999999929</v>
      </c>
      <c r="E12" s="498">
        <v>3</v>
      </c>
      <c r="F12" s="261">
        <f>'[2]Degree Days 2022'!F12</f>
        <v>19</v>
      </c>
      <c r="G12" s="261">
        <f>'[2]Degree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'General information '!B7</f>
        <v>20</v>
      </c>
      <c r="K12" s="261">
        <f>'General information '!C7</f>
        <v>13</v>
      </c>
      <c r="L12" s="261">
        <f>'[10]Degree Days 2020'!L12</f>
        <v>-2.8000000000000007</v>
      </c>
      <c r="M12" s="498">
        <f>'[11]Degree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'[10]Degree Days 2020'!D13</f>
        <v>0.19999999999999929</v>
      </c>
      <c r="E13" s="498">
        <f>'[10]Degree Days 2020'!E13</f>
        <v>4</v>
      </c>
      <c r="F13" s="261">
        <f>'[2]Degree Days 2022'!F13</f>
        <v>0</v>
      </c>
      <c r="G13" s="261">
        <f>'[2]Degree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'General information '!B8</f>
        <v>0</v>
      </c>
      <c r="K13" s="261">
        <f>'General information '!C8</f>
        <v>0</v>
      </c>
      <c r="L13" s="261">
        <f>'[10]Degree Days 2020'!L13</f>
        <v>-2.8000000000000007</v>
      </c>
      <c r="M13" s="498">
        <f>'[11]Degree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0</v>
      </c>
      <c r="D14" s="261">
        <f>'[10]Degree Days 2020'!D14</f>
        <v>0.69999999999999929</v>
      </c>
      <c r="E14" s="498">
        <f>'[10]Degree Days 2020'!E14</f>
        <v>5</v>
      </c>
      <c r="F14" s="261">
        <f>'[2]Degree Days 2022'!F14</f>
        <v>0</v>
      </c>
      <c r="G14" s="261">
        <f>'[2]Degree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'General information '!B9</f>
        <v>0</v>
      </c>
      <c r="K14" s="261">
        <f>'General information '!C9</f>
        <v>0</v>
      </c>
      <c r="L14" s="261">
        <f>'[10]Degree Days 2020'!L14</f>
        <v>-2.8000000000000007</v>
      </c>
      <c r="M14" s="498">
        <f>'[11]Degree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13</v>
      </c>
      <c r="D15" s="261">
        <f>'[10]Degree Days 2020'!D15</f>
        <v>0.19999999999999929</v>
      </c>
      <c r="E15" s="498">
        <f>'[10]Degree Days 2020'!E15</f>
        <v>6</v>
      </c>
      <c r="F15" s="261">
        <f>'[2]Degree Days 2022'!F15</f>
        <v>17</v>
      </c>
      <c r="G15" s="261">
        <f>'[2]Degree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'General information '!B10</f>
        <v>22</v>
      </c>
      <c r="K15" s="261">
        <f>'General information '!C10</f>
        <v>13</v>
      </c>
      <c r="L15" s="261">
        <f>'[10]Degree Days 2020'!L15</f>
        <v>-2.3000000000000007</v>
      </c>
      <c r="M15" s="498">
        <f>'[11]Degree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'[2]Degree Days 2022'!F16</f>
        <v>17</v>
      </c>
      <c r="G16" s="261">
        <f>'[2]Degree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'General information '!B11</f>
        <v>0</v>
      </c>
      <c r="K16" s="261">
        <f>'General information '!C11</f>
        <v>0</v>
      </c>
      <c r="L16" s="261">
        <f>'[10]Degree Days 2020'!L16</f>
        <v>-1.8000000000000007</v>
      </c>
      <c r="M16" s="498">
        <f>'[11]Degree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'[2]Degree Days 2022'!F17</f>
        <v>0</v>
      </c>
      <c r="G17" s="261">
        <f>'[2]Degree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'General information '!B12</f>
        <v>0</v>
      </c>
      <c r="K17" s="261">
        <f>'General information '!C12</f>
        <v>0</v>
      </c>
      <c r="L17" s="261">
        <f>'[10]Degree Days 2020'!L17</f>
        <v>-0.30000000000000071</v>
      </c>
      <c r="M17" s="498">
        <f>'[11]Degree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'[2]Degree Days 2022'!F18</f>
        <v>21</v>
      </c>
      <c r="G18" s="261">
        <f>'[2]Degree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'General information '!B13</f>
        <v>0</v>
      </c>
      <c r="K18" s="261">
        <f>'General information '!C13</f>
        <v>0</v>
      </c>
      <c r="L18" s="261">
        <f>'[10]Degree Days 2020'!L18</f>
        <v>1.6999999999999993</v>
      </c>
      <c r="M18" s="498">
        <f>'[11]Degree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'[10]Degree Days 2020'!D19</f>
        <v>0.19999999999999929</v>
      </c>
      <c r="E19" s="498">
        <f>'[10]Degree Days 2020'!E19</f>
        <v>10</v>
      </c>
      <c r="F19" s="261">
        <f>'[2]Degree Days 2022'!F19</f>
        <v>0</v>
      </c>
      <c r="G19" s="261">
        <f>'[2]Degree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'General information '!B14</f>
        <v>0</v>
      </c>
      <c r="K19" s="261">
        <f>'General information '!C14</f>
        <v>0</v>
      </c>
      <c r="L19" s="261">
        <f>'[10]Degree Days 2020'!L19</f>
        <v>-2.3000000000000007</v>
      </c>
      <c r="M19" s="498">
        <f>'[11]Degree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'[10]Degree Days 2020'!D20</f>
        <v>0.69999999999999929</v>
      </c>
      <c r="E20" s="498">
        <f>'[10]Degree Days 2020'!E20</f>
        <v>11</v>
      </c>
      <c r="F20" s="261">
        <f>'[2]Degree Days 2022'!F20</f>
        <v>0</v>
      </c>
      <c r="G20" s="261">
        <f>'[2]Degree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'General information '!B15</f>
        <v>0</v>
      </c>
      <c r="K20" s="261">
        <f>'General information '!C15</f>
        <v>0</v>
      </c>
      <c r="L20" s="261">
        <f>'[10]Degree Days 2020'!L20</f>
        <v>-3.8000000000000007</v>
      </c>
      <c r="M20" s="498">
        <f>'[11]Degree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'[2]Degree Days 2022'!F21</f>
        <v>0</v>
      </c>
      <c r="G21" s="261">
        <f>'[2]Degree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'General information '!B16</f>
        <v>0</v>
      </c>
      <c r="K21" s="261">
        <f>'General information '!C16</f>
        <v>0</v>
      </c>
      <c r="L21" s="261">
        <f>'[10]Degree Days 2020'!L21</f>
        <v>-2.8000000000000007</v>
      </c>
      <c r="M21" s="498">
        <f>'[11]Degree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'[2]Degree Days 2022'!F22</f>
        <v>17</v>
      </c>
      <c r="G22" s="261">
        <f>'[2]Degree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'General information '!B17</f>
        <v>0</v>
      </c>
      <c r="K22" s="261">
        <f>'General information '!C17</f>
        <v>0</v>
      </c>
      <c r="L22" s="261">
        <f>'[10]Degree Days 2020'!L22</f>
        <v>-1.3000000000000007</v>
      </c>
      <c r="M22" s="498">
        <f>'[11]Degree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'[2]Degree Days 2022'!F23</f>
        <v>18</v>
      </c>
      <c r="G23" s="261">
        <f>'[2]Degree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'General information '!B18</f>
        <v>0</v>
      </c>
      <c r="K23" s="261">
        <f>'General information '!C18</f>
        <v>0</v>
      </c>
      <c r="L23" s="261">
        <f>'[10]Degree Days 2020'!L23</f>
        <v>-1.3000000000000007</v>
      </c>
      <c r="M23" s="498">
        <f>'[11]Degree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'[2]Degree Days 2022'!F24</f>
        <v>17</v>
      </c>
      <c r="G24" s="261">
        <f>'[2]Degree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'General information '!B19</f>
        <v>0</v>
      </c>
      <c r="K24" s="261">
        <f>'General information '!C19</f>
        <v>0</v>
      </c>
      <c r="L24" s="261">
        <f>'[10]Degree Days 2020'!L24</f>
        <v>-1.3000000000000007</v>
      </c>
      <c r="M24" s="498">
        <f>'[11]Degree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'[2]Degree Days 2022'!F25</f>
        <v>17</v>
      </c>
      <c r="G25" s="261">
        <f>'[2]Degree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'General information '!B20</f>
        <v>0</v>
      </c>
      <c r="K25" s="261">
        <f>'General information '!C20</f>
        <v>0</v>
      </c>
      <c r="L25" s="261">
        <f>'[10]Degree Days 2020'!L25</f>
        <v>-1.8000000000000007</v>
      </c>
      <c r="M25" s="498">
        <f>'[11]Degree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'[2]Degree Days 2022'!F26</f>
        <v>18</v>
      </c>
      <c r="G26" s="261">
        <f>'[2]Degree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'General information '!B21</f>
        <v>0</v>
      </c>
      <c r="K26" s="261">
        <f>'General information '!C21</f>
        <v>0</v>
      </c>
      <c r="L26" s="261">
        <f>'[10]Degree Days 2020'!L26</f>
        <v>-0.80000000000000071</v>
      </c>
      <c r="M26" s="498">
        <f>'[11]Degree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'[2]Degree Days 2022'!F27</f>
        <v>0</v>
      </c>
      <c r="G27" s="261">
        <f>'[2]Degree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'General information '!B22</f>
        <v>0</v>
      </c>
      <c r="K27" s="261">
        <f>'General information '!C22</f>
        <v>0</v>
      </c>
      <c r="L27" s="261">
        <f>'[10]Degree Days 2020'!L27</f>
        <v>-0.80000000000000071</v>
      </c>
      <c r="M27" s="498">
        <f>'[11]Degree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'[2]Degree Days 2022'!F28</f>
        <v>0</v>
      </c>
      <c r="G28" s="261">
        <f>'[2]Degree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'General information '!B23</f>
        <v>0</v>
      </c>
      <c r="K28" s="261">
        <f>'General information '!C23</f>
        <v>0</v>
      </c>
      <c r="L28" s="261">
        <f>'[10]Degree Days 2020'!L28</f>
        <v>-0.30000000000000071</v>
      </c>
      <c r="M28" s="498">
        <f>'[11]Degree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'[2]Degree Days 2022'!F29</f>
        <v>18</v>
      </c>
      <c r="G29" s="261">
        <f>'[2]Degree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'General information '!B24</f>
        <v>0</v>
      </c>
      <c r="K29" s="261">
        <f>'General information '!C24</f>
        <v>0</v>
      </c>
      <c r="L29" s="261">
        <f>'[10]Degree Days 2020'!L29</f>
        <v>1.1999999999999993</v>
      </c>
      <c r="M29" s="498">
        <f>'[11]Degree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'[2]Degree Days 2022'!F30</f>
        <v>19</v>
      </c>
      <c r="G30" s="261">
        <f>'[2]Degree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'General information '!B25</f>
        <v>0</v>
      </c>
      <c r="K30" s="261">
        <f>'General information '!C25</f>
        <v>0</v>
      </c>
      <c r="L30" s="261">
        <f>'[10]Degree Days 2020'!L30</f>
        <v>0.19999999999999929</v>
      </c>
      <c r="M30" s="498">
        <f>'[11]Degree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'[2]Degree Days 2022'!F31</f>
        <v>23</v>
      </c>
      <c r="G31" s="261">
        <f>'[2]Degree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'General information '!B26</f>
        <v>0</v>
      </c>
      <c r="K31" s="261">
        <f>'General information '!C26</f>
        <v>0</v>
      </c>
      <c r="L31" s="261">
        <f>'[10]Degree Days 2020'!L31</f>
        <v>1.6999999999999993</v>
      </c>
      <c r="M31" s="498">
        <f>'[11]Degree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'[2]Degree Days 2022'!F32</f>
        <v>25</v>
      </c>
      <c r="G32" s="261">
        <f>'[2]Degree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'General information '!B27</f>
        <v>0</v>
      </c>
      <c r="K32" s="261">
        <f>'General information '!C27</f>
        <v>0</v>
      </c>
      <c r="L32" s="261">
        <f>'[10]Degree Days 2020'!L32</f>
        <v>6.6999999999999993</v>
      </c>
      <c r="M32" s="498">
        <f>'[11]Degree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'[2]Degree Days 2022'!F33</f>
        <v>26</v>
      </c>
      <c r="G33" s="261">
        <f>'[2]Degree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'General information '!B28</f>
        <v>0</v>
      </c>
      <c r="K33" s="261">
        <f>'General information '!C28</f>
        <v>0</v>
      </c>
      <c r="L33" s="261">
        <f>'[10]Degree Days 2020'!L33</f>
        <v>-4.8000000000000007</v>
      </c>
      <c r="M33" s="498">
        <f>'[11]Degree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'[2]Degree Days 2022'!F34</f>
        <v>0</v>
      </c>
      <c r="G34" s="261">
        <f>'[2]Degree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'General information '!B29</f>
        <v>0</v>
      </c>
      <c r="K34" s="261">
        <f>'General information '!C29</f>
        <v>0</v>
      </c>
      <c r="L34" s="261">
        <f>'[10]Degree Days 2020'!L34</f>
        <v>-4.8000000000000007</v>
      </c>
      <c r="M34" s="498">
        <f>'[11]Degree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'[2]Degree Days 2022'!F35</f>
        <v>0</v>
      </c>
      <c r="G35" s="261">
        <f>'[2]Degree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'General information '!B30</f>
        <v>0</v>
      </c>
      <c r="K35" s="261">
        <f>'General information '!C30</f>
        <v>0</v>
      </c>
      <c r="L35" s="261">
        <f>'[10]Degree Days 2020'!L35</f>
        <v>-5.3000000000000007</v>
      </c>
      <c r="M35" s="498">
        <f>'[11]Degree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'[2]Degree Days 2022'!F36</f>
        <v>18</v>
      </c>
      <c r="G36" s="261">
        <f>'[2]Degree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'General information '!B31</f>
        <v>0</v>
      </c>
      <c r="K36" s="261">
        <f>'General information '!C31</f>
        <v>0</v>
      </c>
      <c r="L36" s="261">
        <f>'[10]Degree Days 2020'!L36</f>
        <v>-4.3000000000000007</v>
      </c>
      <c r="M36" s="498">
        <f>'[11]Degree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'[2]Degree Days 2022'!F37</f>
        <v>17</v>
      </c>
      <c r="G37" s="261">
        <f>'[2]Degree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'General information '!B32</f>
        <v>0</v>
      </c>
      <c r="K37" s="261">
        <f>'General information '!C32</f>
        <v>0</v>
      </c>
      <c r="L37" s="261">
        <f>'[10]Degree Days 2020'!L37</f>
        <v>-3.3000000000000007</v>
      </c>
      <c r="M37" s="498">
        <f>'[11]Degree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'General information '!B33</f>
        <v>0</v>
      </c>
      <c r="K38" s="261">
        <f>'General information '!C33</f>
        <v>0</v>
      </c>
      <c r="L38" s="261">
        <f>'[10]Degree Days 2020'!L38</f>
        <v>-2.8000000000000007</v>
      </c>
      <c r="M38" s="498">
        <f>'[11]Degree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'General information '!B34</f>
        <v>0</v>
      </c>
      <c r="K39" s="261">
        <f>'General information '!C34</f>
        <v>0</v>
      </c>
      <c r="L39" s="261">
        <f>'[10]Degree Days 2020'!L39</f>
        <v>-2.3000000000000007</v>
      </c>
      <c r="M39" s="498">
        <f>'[11]Degree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'General information '!B35</f>
        <v>0</v>
      </c>
      <c r="K40" s="261">
        <f>'General information '!C35</f>
        <v>0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I22" sqref="I22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44621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6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9258</v>
      </c>
      <c r="C8" s="466">
        <f>SUM(tanks!AU37)</f>
        <v>0.75700000000000001</v>
      </c>
      <c r="D8" s="191">
        <f>SUM(B8*C8)*D4</f>
        <v>10565021.295</v>
      </c>
      <c r="E8" s="192">
        <f>SUM(D8/D4/F4)</f>
        <v>226.07438709677419</v>
      </c>
      <c r="F8" s="192">
        <f>SUM(E8*F4)</f>
        <v>7008.3059999999996</v>
      </c>
      <c r="G8" s="570">
        <f>E8*$G$4</f>
        <v>1356.4463225806451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458</v>
      </c>
      <c r="C10" s="181"/>
      <c r="D10" s="183">
        <f>'EDl log'!AB30</f>
        <v>7302413</v>
      </c>
      <c r="E10" s="182">
        <f>SUM(D10/D4/F4)</f>
        <v>156.25984058203608</v>
      </c>
      <c r="F10" s="182">
        <f>SUM(E10*F4)</f>
        <v>4844.0550580431182</v>
      </c>
      <c r="G10" s="478">
        <f>E10*$G$4</f>
        <v>937.55904349221646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646.85035671106834</v>
      </c>
      <c r="F12" s="180">
        <f>SUM(F6:F10)</f>
        <v>20052.36105804312</v>
      </c>
      <c r="G12" s="179">
        <f>SUM(G6:G10)</f>
        <v>10494.005366072861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'!$B$14</f>
        <v>11.499999999999996</v>
      </c>
      <c r="D14" s="170"/>
      <c r="E14" s="416">
        <f>B14-C14</f>
        <v>-11.499999999999996</v>
      </c>
      <c r="F14" s="477">
        <v>0</v>
      </c>
      <c r="G14" s="405"/>
      <c r="H14" s="406">
        <f>SUM(G12-H12)</f>
        <v>-69634.894633927135</v>
      </c>
      <c r="I14" s="406">
        <f>SUM(G12-I12)</f>
        <v>-40749.91435435725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'!$B$15</f>
        <v>-64.799999999999983</v>
      </c>
      <c r="D15" s="170"/>
      <c r="E15" s="416">
        <f>B15-C15</f>
        <v>-484.20000000000016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34.5</v>
      </c>
      <c r="C16" s="415">
        <f>'[13]Utility Cost '!$B$16</f>
        <v>15.064516129032258</v>
      </c>
      <c r="D16" s="415"/>
      <c r="E16" s="576">
        <f>B16-C16</f>
        <v>19.435483870967744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'[13]Utility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46</v>
      </c>
      <c r="C18" s="416">
        <f>'[13]Utility Cost '!$B$18</f>
        <v>229</v>
      </c>
      <c r="D18" s="413">
        <f>'[14]Other Fuel Calculation 2021'!$G$116</f>
        <v>202.66666666666666</v>
      </c>
      <c r="E18" s="492">
        <f>B18-C18</f>
        <v>-183</v>
      </c>
      <c r="F18" s="495">
        <f>B18-D18</f>
        <v>-156.66666666666666</v>
      </c>
    </row>
    <row r="19" spans="1:10">
      <c r="A19" s="489" t="s">
        <v>412</v>
      </c>
      <c r="B19" s="493">
        <f>GEN!AL34</f>
        <v>4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11.5</v>
      </c>
      <c r="C20" s="603">
        <f>'[13]Utility Cost '!$B$19</f>
        <v>7.387096774193548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2022-03-07T09:02:47Z</dcterms:modified>
</cp:coreProperties>
</file>