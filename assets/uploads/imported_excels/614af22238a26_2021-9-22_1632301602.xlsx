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L:\Four Season Resort at Jimbaran Bay\4. Energy\4.3 Utilities\HEP\2021\9. September 2021\"/>
    </mc:Choice>
  </mc:AlternateContent>
  <bookViews>
    <workbookView xWindow="0" yWindow="0" windowWidth="7470" windowHeight="7635" tabRatio="762"/>
  </bookViews>
  <sheets>
    <sheet name="TOTAL" sheetId="11" r:id="rId1"/>
    <sheet name="FS Jimbaran September 2021" sheetId="14" r:id="rId2"/>
    <sheet name="RNs &amp; Covers September 2021" sheetId="10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46" i="14" l="1"/>
  <c r="AA12" i="14" l="1"/>
  <c r="AA13" i="14"/>
  <c r="AA14" i="14"/>
  <c r="AA15" i="14"/>
  <c r="AA16" i="14"/>
  <c r="AA17" i="14"/>
  <c r="AA18" i="14"/>
  <c r="AA19" i="14"/>
  <c r="AA20" i="14"/>
  <c r="AA21" i="14"/>
  <c r="AA22" i="14"/>
  <c r="AA23" i="14"/>
  <c r="AA24" i="14"/>
  <c r="AA25" i="14"/>
  <c r="AA26" i="14"/>
  <c r="AA27" i="14"/>
  <c r="AA28" i="14"/>
  <c r="AA29" i="14"/>
  <c r="AA30" i="14"/>
  <c r="AA31" i="14"/>
  <c r="AG12" i="14" l="1"/>
  <c r="AG13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B37" i="10" l="1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2" i="11"/>
  <c r="AG41" i="14" l="1"/>
  <c r="AG32" i="14"/>
  <c r="AG33" i="14"/>
  <c r="AG34" i="14"/>
  <c r="AG35" i="14"/>
  <c r="AG36" i="14"/>
  <c r="AG37" i="14"/>
  <c r="AG38" i="14"/>
  <c r="AG39" i="14"/>
  <c r="AG40" i="14"/>
  <c r="N32" i="14" l="1"/>
  <c r="N33" i="14"/>
  <c r="N34" i="14"/>
  <c r="N35" i="14"/>
  <c r="N36" i="14"/>
  <c r="N37" i="14"/>
  <c r="N38" i="14"/>
  <c r="N39" i="14"/>
  <c r="N40" i="14"/>
  <c r="N41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12" i="14"/>
  <c r="C37" i="10" l="1"/>
  <c r="AI40" i="14"/>
  <c r="AL40" i="14"/>
  <c r="AL41" i="14"/>
  <c r="AI41" i="14"/>
  <c r="AA40" i="14"/>
  <c r="AB40" i="14" s="1"/>
  <c r="AA41" i="14"/>
  <c r="AB41" i="14" s="1"/>
  <c r="V40" i="14"/>
  <c r="V41" i="14"/>
  <c r="P40" i="14"/>
  <c r="P41" i="14"/>
  <c r="I40" i="14"/>
  <c r="I41" i="14"/>
  <c r="O41" i="14" l="1"/>
  <c r="F31" i="11" s="1"/>
  <c r="O40" i="14"/>
  <c r="F30" i="11" s="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V33" i="14" l="1"/>
  <c r="V34" i="14"/>
  <c r="V35" i="14"/>
  <c r="V36" i="14"/>
  <c r="V37" i="14"/>
  <c r="V38" i="14"/>
  <c r="V39" i="14"/>
  <c r="V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 l="1"/>
  <c r="AL32" i="14"/>
  <c r="AL33" i="14"/>
  <c r="AL34" i="14"/>
  <c r="AL35" i="14"/>
  <c r="AL36" i="14"/>
  <c r="AL37" i="14"/>
  <c r="AL38" i="14"/>
  <c r="AL39" i="14"/>
  <c r="AI31" i="14"/>
  <c r="AI32" i="14"/>
  <c r="AI33" i="14"/>
  <c r="AI34" i="14"/>
  <c r="AI35" i="14"/>
  <c r="AI36" i="14"/>
  <c r="AI37" i="14"/>
  <c r="AI38" i="14"/>
  <c r="AI39" i="14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AA32" i="14"/>
  <c r="AA33" i="14"/>
  <c r="AA34" i="14"/>
  <c r="AA35" i="14"/>
  <c r="AA36" i="14"/>
  <c r="AA37" i="14"/>
  <c r="AA38" i="14"/>
  <c r="AA39" i="14"/>
  <c r="V31" i="14"/>
  <c r="K21" i="11" s="1"/>
  <c r="V32" i="14"/>
  <c r="K22" i="11" s="1"/>
  <c r="K23" i="11"/>
  <c r="K24" i="11"/>
  <c r="K25" i="11"/>
  <c r="K26" i="11"/>
  <c r="K27" i="11"/>
  <c r="K28" i="11"/>
  <c r="K29" i="11"/>
  <c r="I39" i="14"/>
  <c r="I38" i="14"/>
  <c r="I37" i="14"/>
  <c r="O37" i="14" s="1"/>
  <c r="I36" i="14"/>
  <c r="I35" i="14"/>
  <c r="O35" i="14" s="1"/>
  <c r="I34" i="14"/>
  <c r="I33" i="14"/>
  <c r="I32" i="14"/>
  <c r="I31" i="14"/>
  <c r="O32" i="14" l="1"/>
  <c r="O39" i="14"/>
  <c r="O33" i="14"/>
  <c r="O34" i="14"/>
  <c r="O36" i="14"/>
  <c r="O38" i="14"/>
  <c r="O31" i="14"/>
  <c r="L29" i="11"/>
  <c r="AB39" i="14"/>
  <c r="L27" i="11"/>
  <c r="AB37" i="14"/>
  <c r="L25" i="11"/>
  <c r="AB35" i="14"/>
  <c r="L23" i="11"/>
  <c r="AB33" i="14"/>
  <c r="L21" i="11"/>
  <c r="AB31" i="14"/>
  <c r="P31" i="14"/>
  <c r="P32" i="14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AB38" i="14"/>
  <c r="L26" i="11"/>
  <c r="AB36" i="14"/>
  <c r="L24" i="11"/>
  <c r="AB34" i="14"/>
  <c r="L22" i="11"/>
  <c r="AB32" i="14"/>
  <c r="E21" i="11" l="1"/>
  <c r="E22" i="11"/>
  <c r="F28" i="11"/>
  <c r="F26" i="11"/>
  <c r="F24" i="11"/>
  <c r="F22" i="11"/>
  <c r="F29" i="11"/>
  <c r="F27" i="11"/>
  <c r="F25" i="11"/>
  <c r="F23" i="11"/>
  <c r="F21" i="11"/>
  <c r="V30" i="14" l="1"/>
  <c r="V29" i="14"/>
  <c r="V28" i="14"/>
  <c r="V27" i="14"/>
  <c r="V26" i="14"/>
  <c r="V25" i="14"/>
  <c r="V23" i="14"/>
  <c r="V22" i="14"/>
  <c r="V21" i="14"/>
  <c r="V20" i="14"/>
  <c r="V19" i="14"/>
  <c r="V18" i="14"/>
  <c r="V17" i="14"/>
  <c r="V16" i="14"/>
  <c r="V15" i="14"/>
  <c r="V14" i="14"/>
  <c r="V13" i="14"/>
  <c r="V12" i="14"/>
  <c r="AJ46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6" i="14"/>
  <c r="D46" i="14"/>
  <c r="C46" i="14"/>
  <c r="AE46" i="14"/>
  <c r="J20" i="11"/>
  <c r="I30" i="14"/>
  <c r="AL29" i="14"/>
  <c r="I29" i="14"/>
  <c r="AL28" i="14"/>
  <c r="I28" i="14"/>
  <c r="I27" i="14"/>
  <c r="AL26" i="14"/>
  <c r="AI26" i="14"/>
  <c r="I26" i="14"/>
  <c r="AL25" i="14"/>
  <c r="I15" i="11"/>
  <c r="P25" i="14"/>
  <c r="AL24" i="14"/>
  <c r="K14" i="11"/>
  <c r="I24" i="14"/>
  <c r="AL23" i="14"/>
  <c r="P23" i="14"/>
  <c r="I22" i="14"/>
  <c r="P21" i="14"/>
  <c r="AL20" i="14"/>
  <c r="AB20" i="14"/>
  <c r="I20" i="14"/>
  <c r="I9" i="11"/>
  <c r="AB19" i="14"/>
  <c r="AL18" i="14"/>
  <c r="P18" i="14"/>
  <c r="I18" i="14"/>
  <c r="AL17" i="14"/>
  <c r="I7" i="11"/>
  <c r="P17" i="14"/>
  <c r="AL16" i="14"/>
  <c r="K6" i="11"/>
  <c r="I16" i="14"/>
  <c r="AL15" i="14"/>
  <c r="P15" i="14"/>
  <c r="AL13" i="14"/>
  <c r="K2" i="11"/>
  <c r="I12" i="14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AI22" i="14"/>
  <c r="H12" i="11"/>
  <c r="AI24" i="14"/>
  <c r="H14" i="11"/>
  <c r="AI25" i="14"/>
  <c r="H15" i="11"/>
  <c r="G16" i="11"/>
  <c r="H16" i="11"/>
  <c r="AI28" i="14"/>
  <c r="H18" i="11"/>
  <c r="AI29" i="14"/>
  <c r="H19" i="11"/>
  <c r="AI30" i="14"/>
  <c r="H20" i="11"/>
  <c r="AI14" i="14"/>
  <c r="H4" i="11"/>
  <c r="AI16" i="14"/>
  <c r="H6" i="11"/>
  <c r="AI20" i="14"/>
  <c r="H10" i="11"/>
  <c r="AI27" i="14"/>
  <c r="H17" i="11"/>
  <c r="O29" i="14"/>
  <c r="O27" i="14"/>
  <c r="G20" i="11"/>
  <c r="O20" i="14"/>
  <c r="O30" i="14"/>
  <c r="G15" i="11"/>
  <c r="G14" i="11"/>
  <c r="O28" i="14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J46" i="14"/>
  <c r="G46" i="14"/>
  <c r="W46" i="14"/>
  <c r="O24" i="14"/>
  <c r="P27" i="14"/>
  <c r="P29" i="14"/>
  <c r="P30" i="14"/>
  <c r="J16" i="11"/>
  <c r="J8" i="11"/>
  <c r="K3" i="11"/>
  <c r="G6" i="11"/>
  <c r="I12" i="11"/>
  <c r="I4" i="11"/>
  <c r="J15" i="11"/>
  <c r="I19" i="14"/>
  <c r="O19" i="14" s="1"/>
  <c r="G12" i="11"/>
  <c r="G4" i="11"/>
  <c r="I18" i="11"/>
  <c r="K16" i="11"/>
  <c r="K8" i="11"/>
  <c r="L46" i="14"/>
  <c r="P14" i="14"/>
  <c r="P20" i="14"/>
  <c r="P22" i="14"/>
  <c r="G19" i="11"/>
  <c r="I17" i="11"/>
  <c r="K15" i="11"/>
  <c r="K7" i="11"/>
  <c r="L10" i="11"/>
  <c r="P13" i="14"/>
  <c r="AF46" i="14"/>
  <c r="I10" i="11"/>
  <c r="M46" i="14"/>
  <c r="P16" i="14"/>
  <c r="I17" i="14"/>
  <c r="O18" i="14"/>
  <c r="I21" i="14"/>
  <c r="O21" i="14" s="1"/>
  <c r="G18" i="11"/>
  <c r="G10" i="11"/>
  <c r="I16" i="11"/>
  <c r="I8" i="11"/>
  <c r="J19" i="11"/>
  <c r="J3" i="11"/>
  <c r="L9" i="11"/>
  <c r="K46" i="14"/>
  <c r="O22" i="14"/>
  <c r="P26" i="14"/>
  <c r="E46" i="14"/>
  <c r="I13" i="14"/>
  <c r="O13" i="14" s="1"/>
  <c r="I15" i="14"/>
  <c r="O15" i="14" s="1"/>
  <c r="O16" i="14"/>
  <c r="P19" i="14"/>
  <c r="I23" i="14"/>
  <c r="O23" i="14" s="1"/>
  <c r="P28" i="14"/>
  <c r="G17" i="11"/>
  <c r="J18" i="11"/>
  <c r="J10" i="11"/>
  <c r="K13" i="11"/>
  <c r="K5" i="11"/>
  <c r="F46" i="14"/>
  <c r="V46" i="14"/>
  <c r="I14" i="14"/>
  <c r="O14" i="14" s="1"/>
  <c r="P24" i="14"/>
  <c r="I25" i="14"/>
  <c r="O25" i="14" s="1"/>
  <c r="O26" i="14"/>
  <c r="I14" i="11"/>
  <c r="I6" i="11"/>
  <c r="K12" i="11"/>
  <c r="K4" i="11"/>
  <c r="L2" i="11"/>
  <c r="H2" i="11"/>
  <c r="H46" i="14"/>
  <c r="P12" i="14"/>
  <c r="J2" i="11"/>
  <c r="AC46" i="14"/>
  <c r="F5" i="11" l="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I46" i="14"/>
  <c r="AI18" i="14"/>
  <c r="AI19" i="14"/>
  <c r="AB24" i="14"/>
  <c r="L14" i="11"/>
  <c r="AB22" i="14"/>
  <c r="L12" i="11"/>
  <c r="AI13" i="14"/>
  <c r="AI15" i="14"/>
  <c r="O17" i="14"/>
  <c r="AB28" i="14"/>
  <c r="L18" i="11"/>
  <c r="AB14" i="14"/>
  <c r="L4" i="11"/>
  <c r="AB30" i="14"/>
  <c r="L20" i="11"/>
  <c r="AB29" i="14"/>
  <c r="L19" i="11"/>
  <c r="X46" i="14"/>
  <c r="AB18" i="14"/>
  <c r="L8" i="11"/>
  <c r="AB25" i="14"/>
  <c r="L15" i="11"/>
  <c r="AB23" i="14"/>
  <c r="L13" i="11"/>
  <c r="AI21" i="14"/>
  <c r="AB26" i="14"/>
  <c r="L16" i="11"/>
  <c r="AB17" i="14"/>
  <c r="L7" i="11"/>
  <c r="Y46" i="14"/>
  <c r="AB27" i="14"/>
  <c r="L17" i="11"/>
  <c r="AB15" i="14"/>
  <c r="L5" i="11"/>
  <c r="AI23" i="14"/>
  <c r="AI17" i="14"/>
  <c r="AB21" i="14"/>
  <c r="L11" i="11"/>
  <c r="AG46" i="14"/>
  <c r="AL19" i="14"/>
  <c r="J9" i="11"/>
  <c r="AB13" i="14"/>
  <c r="L3" i="11"/>
  <c r="AK46" i="14"/>
  <c r="AL46" i="14" s="1"/>
  <c r="AL12" i="14"/>
  <c r="AA46" i="14"/>
  <c r="AB46" i="14" s="1"/>
  <c r="AH46" i="14"/>
  <c r="AI46" i="14" s="1"/>
  <c r="AI12" i="14"/>
  <c r="N46" i="14"/>
  <c r="O12" i="14"/>
  <c r="P46" i="14"/>
  <c r="Z46" i="14"/>
  <c r="AB12" i="14"/>
  <c r="F7" i="11" l="1"/>
  <c r="F2" i="11"/>
  <c r="AB16" i="14"/>
  <c r="L6" i="11"/>
  <c r="O46" i="14"/>
  <c r="T46" i="14" l="1"/>
  <c r="U46" i="14" s="1"/>
  <c r="U47" i="14" s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</calcChain>
</file>

<file path=xl/sharedStrings.xml><?xml version="1.0" encoding="utf-8"?>
<sst xmlns="http://schemas.openxmlformats.org/spreadsheetml/2006/main" count="100" uniqueCount="55">
  <si>
    <t>Municipal Water (m3)</t>
  </si>
  <si>
    <t>Date</t>
  </si>
  <si>
    <t>Room Nights</t>
  </si>
  <si>
    <t>Food Covers</t>
  </si>
  <si>
    <t>Water (m3)</t>
  </si>
  <si>
    <t>Electricity - Sundara</t>
  </si>
  <si>
    <t>Cost (IDR)</t>
  </si>
  <si>
    <t>LPG Bulk (m3)</t>
  </si>
  <si>
    <t>Water consumption (m3)</t>
  </si>
  <si>
    <t>12 Kg (tube)</t>
  </si>
  <si>
    <t>Deepwell Consumption (m3)</t>
  </si>
  <si>
    <t>Sundara 50 kg (tube)</t>
  </si>
  <si>
    <t>Sub Total (Resort &amp; Sundara) Cost  (IDR)</t>
  </si>
  <si>
    <t>TOTAL  Electricity consumption (KWh)</t>
  </si>
  <si>
    <t>Resort Cost  (IDR)</t>
  </si>
  <si>
    <t>Sundara Cost  (IDR)</t>
  </si>
  <si>
    <t>IDR</t>
  </si>
  <si>
    <t>USD</t>
  </si>
  <si>
    <t>TOTAL  Electricity cost</t>
  </si>
  <si>
    <t>WATER</t>
  </si>
  <si>
    <t>Diesel</t>
  </si>
  <si>
    <t>Residences- Electricity cost (IDR)</t>
  </si>
  <si>
    <t xml:space="preserve">LPG </t>
  </si>
  <si>
    <t>Used (liters)</t>
  </si>
  <si>
    <t>GAS</t>
  </si>
  <si>
    <t>Total kg</t>
  </si>
  <si>
    <t>Municipal Water cost (IDR)</t>
  </si>
  <si>
    <t xml:space="preserve">Total Water Cost </t>
  </si>
  <si>
    <t>Four Seasons Resort Bali at Jimbaran Bay</t>
  </si>
  <si>
    <t>kWh rate</t>
  </si>
  <si>
    <t>Deepwell water Cost (IDR)</t>
  </si>
  <si>
    <t>50 Kg (tube) IVD &amp; TW</t>
  </si>
  <si>
    <t>Sub Total (Resort &amp; Sundara), KWh</t>
  </si>
  <si>
    <t>Electricity Resort</t>
  </si>
  <si>
    <t>ELECTRICITY Resort, Sundara &amp; Residences</t>
  </si>
  <si>
    <t>BASED LOAD KWh (from 10 pm - 6 pm)</t>
  </si>
  <si>
    <t>PEAK LOAD KWh (from 6 pm - 10 pm)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</si>
  <si>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</si>
  <si>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</si>
  <si>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</si>
  <si>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</si>
  <si>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</si>
  <si>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</si>
  <si>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</si>
  <si>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</si>
  <si>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</si>
  <si>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</si>
  <si>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 xml:space="preserve">LPG (Kg) </t>
  </si>
  <si>
    <t>LPG $/Kg</t>
  </si>
  <si>
    <t>Bali Jimbaran</t>
  </si>
  <si>
    <t xml:space="preserve">Total Fuel Oil  (Liters) </t>
  </si>
  <si>
    <t>Fuel Oil  $/Liter</t>
  </si>
  <si>
    <t>Residences- Electricity KWh</t>
  </si>
  <si>
    <t>m3/RNs</t>
  </si>
  <si>
    <t>SEPTEMBER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</si>
</sst>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\-* #,##0.00_-;_-* &quot;-&quot;??_-;_-@_-"/>
    <numFmt numFmtId="164" formatCode="&quot;$&quot;#,##0.00_);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_-;\-* #,##0_-;_-* &quot;-&quot;??_-;_-@_-"/>
    <numFmt numFmtId="169" formatCode="_(* #,##0_);_(* \(#,##0\);_(* &quot;-&quot;??_);_(@_)"/>
    <numFmt numFmtId="170" formatCode="&quot;$&quot;#,##0"/>
    <numFmt numFmtId="171" formatCode="_-* #,##0.0_-;\-* #,##0.0_-;_-* &quot;-&quot;??_-;_-@_-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65" fontId="16" fillId="0" borderId="0" applyFont="0" applyFill="0" applyBorder="0" applyAlignment="0" applyProtection="0"/>
    <xf numFmtId="0" fontId="16" fillId="0" borderId="0"/>
    <xf numFmtId="167" fontId="2" fillId="0" borderId="0" applyFont="0" applyFill="0" applyBorder="0" applyAlignment="0" applyProtection="0"/>
  </cellStyleXfs>
  <cellXfs count="264">
    <xf numFmtId="0" fontId="0" fillId="0" borderId="0" xfId="0"/>
    <xf numFmtId="0" fontId="0" fillId="0" borderId="0" xfId="0" applyBorder="1"/>
    <xf numFmtId="0" fontId="0" fillId="0" borderId="8" xfId="0" applyBorder="1"/>
    <xf numFmtId="168" fontId="0" fillId="0" borderId="8" xfId="2" applyNumberFormat="1" applyFont="1" applyBorder="1"/>
    <xf numFmtId="168" fontId="0" fillId="0" borderId="0" xfId="2" applyNumberFormat="1" applyFont="1"/>
    <xf numFmtId="168" fontId="0" fillId="0" borderId="0" xfId="2" applyNumberFormat="1" applyFont="1" applyBorder="1"/>
    <xf numFmtId="168" fontId="1" fillId="0" borderId="0" xfId="2" applyNumberFormat="1" applyFont="1"/>
    <xf numFmtId="168" fontId="0" fillId="3" borderId="0" xfId="2" applyNumberFormat="1" applyFont="1" applyFill="1" applyBorder="1"/>
    <xf numFmtId="0" fontId="0" fillId="3" borderId="0" xfId="0" applyFill="1"/>
    <xf numFmtId="43" fontId="4" fillId="0" borderId="0" xfId="2" applyFont="1" applyBorder="1"/>
    <xf numFmtId="43" fontId="4" fillId="0" borderId="0" xfId="0" applyNumberFormat="1" applyFont="1" applyBorder="1"/>
    <xf numFmtId="168" fontId="0" fillId="0" borderId="0" xfId="0" applyNumberFormat="1" applyBorder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Border="1" applyAlignment="1">
      <alignment horizontal="right"/>
    </xf>
    <xf numFmtId="0" fontId="0" fillId="3" borderId="0" xfId="0" applyFill="1" applyBorder="1"/>
    <xf numFmtId="43" fontId="0" fillId="3" borderId="0" xfId="0" applyNumberFormat="1" applyFill="1" applyBorder="1"/>
    <xf numFmtId="168" fontId="4" fillId="0" borderId="0" xfId="2" applyNumberFormat="1" applyFont="1" applyBorder="1"/>
    <xf numFmtId="0" fontId="0" fillId="0" borderId="9" xfId="0" applyBorder="1"/>
    <xf numFmtId="168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8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8" fontId="0" fillId="3" borderId="0" xfId="0" applyNumberFormat="1" applyFill="1" applyBorder="1"/>
    <xf numFmtId="0" fontId="6" fillId="3" borderId="0" xfId="0" applyFont="1" applyFill="1" applyBorder="1" applyAlignment="1"/>
    <xf numFmtId="0" fontId="1" fillId="3" borderId="0" xfId="0" applyFont="1" applyFill="1" applyBorder="1" applyAlignment="1"/>
    <xf numFmtId="0" fontId="0" fillId="3" borderId="0" xfId="0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/>
    <xf numFmtId="0" fontId="9" fillId="3" borderId="0" xfId="0" applyFont="1" applyFill="1" applyBorder="1" applyAlignment="1"/>
    <xf numFmtId="168" fontId="0" fillId="0" borderId="9" xfId="0" applyNumberFormat="1" applyBorder="1"/>
    <xf numFmtId="0" fontId="0" fillId="3" borderId="5" xfId="0" applyFill="1" applyBorder="1"/>
    <xf numFmtId="168" fontId="0" fillId="3" borderId="0" xfId="2" applyNumberFormat="1" applyFont="1" applyFill="1" applyBorder="1" applyAlignment="1">
      <alignment horizontal="right"/>
    </xf>
    <xf numFmtId="168" fontId="6" fillId="3" borderId="0" xfId="2" applyNumberFormat="1" applyFont="1" applyFill="1" applyBorder="1" applyAlignment="1"/>
    <xf numFmtId="169" fontId="0" fillId="0" borderId="8" xfId="2" applyNumberFormat="1" applyFont="1" applyBorder="1"/>
    <xf numFmtId="170" fontId="6" fillId="3" borderId="0" xfId="0" applyNumberFormat="1" applyFont="1" applyFill="1" applyBorder="1" applyAlignment="1"/>
    <xf numFmtId="170" fontId="0" fillId="0" borderId="21" xfId="2" applyNumberFormat="1" applyFont="1" applyBorder="1"/>
    <xf numFmtId="170" fontId="0" fillId="3" borderId="5" xfId="0" applyNumberFormat="1" applyFill="1" applyBorder="1"/>
    <xf numFmtId="170" fontId="0" fillId="0" borderId="0" xfId="0" applyNumberFormat="1"/>
    <xf numFmtId="0" fontId="0" fillId="0" borderId="13" xfId="0" applyBorder="1" applyAlignment="1">
      <alignment horizontal="center" vertical="center" wrapText="1"/>
    </xf>
    <xf numFmtId="170" fontId="0" fillId="0" borderId="9" xfId="2" applyNumberFormat="1" applyFont="1" applyBorder="1"/>
    <xf numFmtId="43" fontId="0" fillId="3" borderId="23" xfId="0" applyNumberFormat="1" applyFill="1" applyBorder="1"/>
    <xf numFmtId="168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68" fontId="0" fillId="0" borderId="42" xfId="2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70" fontId="0" fillId="0" borderId="26" xfId="0" applyNumberFormat="1" applyBorder="1" applyAlignment="1">
      <alignment horizontal="center" vertical="center" wrapText="1"/>
    </xf>
    <xf numFmtId="170" fontId="0" fillId="0" borderId="43" xfId="0" applyNumberFormat="1" applyBorder="1" applyAlignment="1">
      <alignment horizontal="center" vertical="center" wrapText="1"/>
    </xf>
    <xf numFmtId="168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11" fillId="11" borderId="44" xfId="0" applyFont="1" applyFill="1" applyBorder="1" applyAlignment="1">
      <alignment horizontal="center" vertical="center" shrinkToFit="1"/>
    </xf>
    <xf numFmtId="0" fontId="11" fillId="11" borderId="45" xfId="0" applyFont="1" applyFill="1" applyBorder="1" applyAlignment="1">
      <alignment horizontal="center" vertical="center" shrinkToFit="1"/>
    </xf>
    <xf numFmtId="43" fontId="9" fillId="3" borderId="0" xfId="2" applyFont="1" applyFill="1" applyBorder="1" applyAlignment="1"/>
    <xf numFmtId="43" fontId="8" fillId="0" borderId="16" xfId="2" applyFont="1" applyBorder="1" applyAlignment="1">
      <alignment horizontal="center" vertical="center" wrapText="1"/>
    </xf>
    <xf numFmtId="43" fontId="8" fillId="0" borderId="28" xfId="2" applyFont="1" applyBorder="1" applyAlignment="1">
      <alignment horizontal="center" vertical="center" wrapText="1"/>
    </xf>
    <xf numFmtId="43" fontId="8" fillId="3" borderId="0" xfId="2" applyFont="1" applyFill="1" applyBorder="1"/>
    <xf numFmtId="43" fontId="12" fillId="0" borderId="0" xfId="2" applyFont="1" applyBorder="1"/>
    <xf numFmtId="43" fontId="8" fillId="0" borderId="0" xfId="2" applyFont="1"/>
    <xf numFmtId="168" fontId="9" fillId="3" borderId="0" xfId="2" applyNumberFormat="1" applyFont="1" applyFill="1" applyBorder="1" applyAlignment="1"/>
    <xf numFmtId="168" fontId="8" fillId="3" borderId="0" xfId="2" applyNumberFormat="1" applyFont="1" applyFill="1" applyBorder="1"/>
    <xf numFmtId="168" fontId="12" fillId="0" borderId="0" xfId="2" applyNumberFormat="1" applyFont="1" applyBorder="1"/>
    <xf numFmtId="168" fontId="8" fillId="0" borderId="0" xfId="2" applyNumberFormat="1" applyFont="1"/>
    <xf numFmtId="168" fontId="0" fillId="3" borderId="39" xfId="0" applyNumberFormat="1" applyFill="1" applyBorder="1"/>
    <xf numFmtId="168" fontId="1" fillId="0" borderId="39" xfId="0" applyNumberFormat="1" applyFont="1" applyBorder="1"/>
    <xf numFmtId="0" fontId="0" fillId="3" borderId="47" xfId="0" applyFill="1" applyBorder="1"/>
    <xf numFmtId="168" fontId="0" fillId="3" borderId="47" xfId="2" applyNumberFormat="1" applyFont="1" applyFill="1" applyBorder="1"/>
    <xf numFmtId="43" fontId="8" fillId="3" borderId="47" xfId="2" applyFont="1" applyFill="1" applyBorder="1"/>
    <xf numFmtId="168" fontId="8" fillId="3" borderId="47" xfId="2" applyNumberFormat="1" applyFont="1" applyFill="1" applyBorder="1"/>
    <xf numFmtId="43" fontId="0" fillId="3" borderId="47" xfId="0" applyNumberFormat="1" applyFill="1" applyBorder="1"/>
    <xf numFmtId="0" fontId="0" fillId="3" borderId="49" xfId="0" applyFill="1" applyBorder="1"/>
    <xf numFmtId="167" fontId="0" fillId="3" borderId="47" xfId="0" applyNumberFormat="1" applyFill="1" applyBorder="1"/>
    <xf numFmtId="168" fontId="0" fillId="3" borderId="47" xfId="0" applyNumberFormat="1" applyFill="1" applyBorder="1"/>
    <xf numFmtId="168" fontId="0" fillId="0" borderId="47" xfId="2" applyNumberFormat="1" applyFont="1" applyBorder="1"/>
    <xf numFmtId="170" fontId="0" fillId="3" borderId="49" xfId="0" applyNumberFormat="1" applyFill="1" applyBorder="1"/>
    <xf numFmtId="168" fontId="0" fillId="0" borderId="0" xfId="2" applyNumberFormat="1" applyFont="1" applyBorder="1" applyAlignment="1">
      <alignment horizontal="right"/>
    </xf>
    <xf numFmtId="168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1" fontId="6" fillId="3" borderId="0" xfId="2" applyNumberFormat="1" applyFont="1" applyFill="1" applyBorder="1" applyAlignment="1"/>
    <xf numFmtId="171" fontId="0" fillId="3" borderId="0" xfId="2" applyNumberFormat="1" applyFont="1" applyFill="1" applyBorder="1"/>
    <xf numFmtId="171" fontId="0" fillId="3" borderId="47" xfId="2" applyNumberFormat="1" applyFont="1" applyFill="1" applyBorder="1"/>
    <xf numFmtId="171" fontId="0" fillId="0" borderId="0" xfId="2" applyNumberFormat="1" applyFont="1" applyBorder="1"/>
    <xf numFmtId="171" fontId="0" fillId="0" borderId="0" xfId="2" applyNumberFormat="1" applyFont="1"/>
    <xf numFmtId="168" fontId="0" fillId="0" borderId="19" xfId="2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8" fontId="9" fillId="0" borderId="53" xfId="2" applyNumberFormat="1" applyFont="1" applyBorder="1" applyAlignment="1">
      <alignment horizontal="center" vertical="center" wrapText="1"/>
    </xf>
    <xf numFmtId="168" fontId="8" fillId="0" borderId="54" xfId="2" applyNumberFormat="1" applyFont="1" applyBorder="1" applyAlignment="1">
      <alignment horizontal="center" vertical="center" wrapText="1"/>
    </xf>
    <xf numFmtId="168" fontId="8" fillId="0" borderId="21" xfId="2" applyNumberFormat="1" applyFont="1" applyBorder="1"/>
    <xf numFmtId="0" fontId="0" fillId="0" borderId="29" xfId="0" applyBorder="1"/>
    <xf numFmtId="168" fontId="0" fillId="0" borderId="29" xfId="2" applyNumberFormat="1" applyFont="1" applyBorder="1"/>
    <xf numFmtId="43" fontId="8" fillId="0" borderId="29" xfId="2" applyFont="1" applyBorder="1"/>
    <xf numFmtId="168" fontId="8" fillId="0" borderId="32" xfId="2" applyNumberFormat="1" applyFont="1" applyBorder="1"/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168" fontId="0" fillId="0" borderId="18" xfId="2" applyNumberFormat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43" fontId="0" fillId="0" borderId="21" xfId="0" applyNumberFormat="1" applyBorder="1"/>
    <xf numFmtId="168" fontId="0" fillId="0" borderId="56" xfId="2" applyNumberFormat="1" applyFont="1" applyBorder="1"/>
    <xf numFmtId="0" fontId="0" fillId="0" borderId="32" xfId="0" applyBorder="1"/>
    <xf numFmtId="168" fontId="0" fillId="0" borderId="10" xfId="2" applyNumberFormat="1" applyFont="1" applyBorder="1"/>
    <xf numFmtId="0" fontId="0" fillId="0" borderId="57" xfId="0" applyBorder="1"/>
    <xf numFmtId="43" fontId="0" fillId="0" borderId="45" xfId="2" applyFont="1" applyBorder="1"/>
    <xf numFmtId="43" fontId="0" fillId="0" borderId="58" xfId="2" applyFont="1" applyBorder="1"/>
    <xf numFmtId="168" fontId="8" fillId="0" borderId="44" xfId="2" applyNumberFormat="1" applyFont="1" applyBorder="1" applyAlignment="1">
      <alignment horizontal="center" vertical="center" wrapText="1"/>
    </xf>
    <xf numFmtId="168" fontId="8" fillId="0" borderId="45" xfId="2" applyNumberFormat="1" applyFont="1" applyBorder="1"/>
    <xf numFmtId="168" fontId="8" fillId="0" borderId="58" xfId="2" applyNumberFormat="1" applyFont="1" applyBorder="1"/>
    <xf numFmtId="171" fontId="0" fillId="0" borderId="35" xfId="2" applyNumberFormat="1" applyFont="1" applyBorder="1" applyAlignment="1">
      <alignment horizontal="center" vertical="center" wrapText="1"/>
    </xf>
    <xf numFmtId="171" fontId="4" fillId="0" borderId="0" xfId="2" applyNumberFormat="1" applyFont="1" applyBorder="1"/>
    <xf numFmtId="168" fontId="9" fillId="6" borderId="23" xfId="0" applyNumberFormat="1" applyFont="1" applyFill="1" applyBorder="1"/>
    <xf numFmtId="168" fontId="0" fillId="3" borderId="14" xfId="2" applyNumberFormat="1" applyFont="1" applyFill="1" applyBorder="1"/>
    <xf numFmtId="0" fontId="0" fillId="3" borderId="60" xfId="0" applyFill="1" applyBorder="1"/>
    <xf numFmtId="0" fontId="0" fillId="3" borderId="15" xfId="0" applyFill="1" applyBorder="1"/>
    <xf numFmtId="0" fontId="0" fillId="3" borderId="61" xfId="0" applyFill="1" applyBorder="1"/>
    <xf numFmtId="0" fontId="0" fillId="3" borderId="62" xfId="0" applyFill="1" applyBorder="1"/>
    <xf numFmtId="168" fontId="0" fillId="3" borderId="48" xfId="2" applyNumberFormat="1" applyFont="1" applyFill="1" applyBorder="1"/>
    <xf numFmtId="0" fontId="11" fillId="11" borderId="58" xfId="0" applyFont="1" applyFill="1" applyBorder="1" applyAlignment="1">
      <alignment horizontal="center" vertical="center" shrinkToFit="1"/>
    </xf>
    <xf numFmtId="168" fontId="1" fillId="0" borderId="23" xfId="2" applyNumberFormat="1" applyFont="1" applyBorder="1"/>
    <xf numFmtId="170" fontId="1" fillId="3" borderId="7" xfId="0" applyNumberFormat="1" applyFont="1" applyFill="1" applyBorder="1"/>
    <xf numFmtId="0" fontId="0" fillId="0" borderId="6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8" fontId="0" fillId="0" borderId="21" xfId="0" applyNumberFormat="1" applyBorder="1"/>
    <xf numFmtId="0" fontId="0" fillId="0" borderId="21" xfId="0" applyBorder="1"/>
    <xf numFmtId="0" fontId="0" fillId="3" borderId="50" xfId="0" applyFill="1" applyBorder="1"/>
    <xf numFmtId="167" fontId="0" fillId="3" borderId="5" xfId="0" applyNumberFormat="1" applyFill="1" applyBorder="1"/>
    <xf numFmtId="0" fontId="0" fillId="3" borderId="64" xfId="0" applyFill="1" applyBorder="1"/>
    <xf numFmtId="168" fontId="1" fillId="0" borderId="12" xfId="2" applyNumberFormat="1" applyFont="1" applyBorder="1" applyAlignment="1">
      <alignment horizontal="center" vertical="center" wrapText="1"/>
    </xf>
    <xf numFmtId="168" fontId="14" fillId="3" borderId="8" xfId="2" applyNumberFormat="1" applyFont="1" applyFill="1" applyBorder="1" applyProtection="1">
      <protection locked="0"/>
    </xf>
    <xf numFmtId="0" fontId="0" fillId="3" borderId="52" xfId="0" applyFill="1" applyBorder="1" applyAlignment="1">
      <alignment wrapText="1"/>
    </xf>
    <xf numFmtId="168" fontId="1" fillId="12" borderId="6" xfId="0" applyNumberFormat="1" applyFont="1" applyFill="1" applyBorder="1"/>
    <xf numFmtId="166" fontId="9" fillId="12" borderId="7" xfId="1" applyFont="1" applyFill="1" applyBorder="1"/>
    <xf numFmtId="168" fontId="0" fillId="3" borderId="23" xfId="2" applyNumberFormat="1" applyFont="1" applyFill="1" applyBorder="1"/>
    <xf numFmtId="167" fontId="0" fillId="0" borderId="0" xfId="0" applyNumberFormat="1" applyBorder="1"/>
    <xf numFmtId="171" fontId="0" fillId="0" borderId="41" xfId="2" applyNumberFormat="1" applyFont="1" applyBorder="1" applyAlignment="1">
      <alignment horizontal="center" vertical="center" wrapText="1"/>
    </xf>
    <xf numFmtId="171" fontId="0" fillId="0" borderId="25" xfId="2" applyNumberFormat="1" applyFont="1" applyBorder="1" applyAlignment="1">
      <alignment horizontal="center" vertical="center" wrapText="1"/>
    </xf>
    <xf numFmtId="171" fontId="0" fillId="0" borderId="22" xfId="2" applyNumberFormat="1" applyFont="1" applyBorder="1"/>
    <xf numFmtId="171" fontId="0" fillId="0" borderId="47" xfId="2" applyNumberFormat="1" applyFont="1" applyBorder="1"/>
    <xf numFmtId="168" fontId="1" fillId="12" borderId="6" xfId="2" applyNumberFormat="1" applyFont="1" applyFill="1" applyBorder="1"/>
    <xf numFmtId="170" fontId="1" fillId="12" borderId="7" xfId="0" applyNumberFormat="1" applyFont="1" applyFill="1" applyBorder="1"/>
    <xf numFmtId="168" fontId="1" fillId="12" borderId="31" xfId="2" applyNumberFormat="1" applyFont="1" applyFill="1" applyBorder="1"/>
    <xf numFmtId="170" fontId="1" fillId="12" borderId="33" xfId="2" applyNumberFormat="1" applyFont="1" applyFill="1" applyBorder="1"/>
    <xf numFmtId="43" fontId="5" fillId="0" borderId="0" xfId="2" applyFont="1" applyBorder="1"/>
    <xf numFmtId="168" fontId="14" fillId="3" borderId="65" xfId="2" applyNumberFormat="1" applyFont="1" applyFill="1" applyBorder="1" applyProtection="1">
      <protection locked="0"/>
    </xf>
    <xf numFmtId="169" fontId="0" fillId="0" borderId="55" xfId="2" applyNumberFormat="1" applyFont="1" applyBorder="1"/>
    <xf numFmtId="168" fontId="14" fillId="3" borderId="45" xfId="2" applyNumberFormat="1" applyFont="1" applyFill="1" applyBorder="1" applyProtection="1">
      <protection locked="0"/>
    </xf>
    <xf numFmtId="168" fontId="0" fillId="0" borderId="58" xfId="2" applyNumberFormat="1" applyFont="1" applyBorder="1"/>
    <xf numFmtId="164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/>
    </xf>
    <xf numFmtId="9" fontId="8" fillId="0" borderId="0" xfId="5" applyFont="1"/>
    <xf numFmtId="9" fontId="0" fillId="0" borderId="0" xfId="0" applyNumberFormat="1"/>
    <xf numFmtId="0" fontId="7" fillId="0" borderId="66" xfId="4" quotePrefix="1" applyBorder="1"/>
    <xf numFmtId="168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8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8" fontId="2" fillId="0" borderId="8" xfId="2" applyNumberFormat="1" applyFont="1" applyBorder="1"/>
    <xf numFmtId="43" fontId="2" fillId="0" borderId="8" xfId="2" applyFont="1" applyBorder="1"/>
    <xf numFmtId="168" fontId="1" fillId="0" borderId="10" xfId="2" applyNumberFormat="1" applyFont="1" applyBorder="1"/>
    <xf numFmtId="43" fontId="0" fillId="3" borderId="49" xfId="0" applyNumberFormat="1" applyFill="1" applyBorder="1"/>
    <xf numFmtId="43" fontId="1" fillId="6" borderId="23" xfId="2" applyNumberFormat="1" applyFont="1" applyFill="1" applyBorder="1"/>
    <xf numFmtId="0" fontId="0" fillId="3" borderId="60" xfId="0" applyFill="1" applyBorder="1" applyAlignment="1">
      <alignment wrapText="1"/>
    </xf>
    <xf numFmtId="0" fontId="7" fillId="3" borderId="60" xfId="4" quotePrefix="1" applyFill="1" applyBorder="1" applyAlignment="1"/>
    <xf numFmtId="168" fontId="19" fillId="0" borderId="0" xfId="2" applyNumberFormat="1" applyFont="1" applyBorder="1"/>
    <xf numFmtId="0" fontId="17" fillId="3" borderId="0" xfId="0" applyFont="1" applyFill="1" applyBorder="1"/>
    <xf numFmtId="168" fontId="17" fillId="0" borderId="0" xfId="2" applyNumberFormat="1" applyFont="1"/>
    <xf numFmtId="0" fontId="17" fillId="0" borderId="0" xfId="0" applyFont="1"/>
    <xf numFmtId="43" fontId="18" fillId="0" borderId="0" xfId="2" applyFont="1"/>
    <xf numFmtId="168" fontId="18" fillId="0" borderId="0" xfId="2" applyNumberFormat="1" applyFont="1"/>
    <xf numFmtId="171" fontId="17" fillId="0" borderId="0" xfId="2" applyNumberFormat="1" applyFont="1"/>
    <xf numFmtId="170" fontId="17" fillId="0" borderId="0" xfId="0" applyNumberFormat="1" applyFont="1"/>
    <xf numFmtId="171" fontId="0" fillId="0" borderId="16" xfId="2" applyNumberFormat="1" applyFont="1" applyBorder="1"/>
    <xf numFmtId="171" fontId="0" fillId="0" borderId="14" xfId="2" applyNumberFormat="1" applyFont="1" applyBorder="1"/>
    <xf numFmtId="171" fontId="7" fillId="3" borderId="14" xfId="2" applyNumberFormat="1" applyFont="1" applyFill="1" applyBorder="1" applyAlignment="1">
      <alignment vertical="top" wrapText="1"/>
    </xf>
    <xf numFmtId="0" fontId="0" fillId="3" borderId="50" xfId="0" applyFill="1" applyBorder="1" applyAlignment="1">
      <alignment wrapText="1"/>
    </xf>
    <xf numFmtId="0" fontId="7" fillId="3" borderId="50" xfId="4" quotePrefix="1" applyFill="1" applyBorder="1" applyAlignment="1"/>
    <xf numFmtId="171" fontId="17" fillId="3" borderId="14" xfId="2" applyNumberFormat="1" applyFont="1" applyFill="1" applyBorder="1" applyAlignment="1">
      <alignment vertical="top" wrapText="1"/>
    </xf>
    <xf numFmtId="171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0" fontId="7" fillId="0" borderId="33" xfId="4" quotePrefix="1" applyBorder="1"/>
    <xf numFmtId="43" fontId="0" fillId="3" borderId="68" xfId="2" applyFont="1" applyFill="1" applyBorder="1"/>
    <xf numFmtId="43" fontId="0" fillId="3" borderId="7" xfId="2" applyFont="1" applyFill="1" applyBorder="1"/>
    <xf numFmtId="43" fontId="0" fillId="3" borderId="46" xfId="2" applyFont="1" applyFill="1" applyBorder="1"/>
    <xf numFmtId="171" fontId="0" fillId="13" borderId="6" xfId="2" applyNumberFormat="1" applyFont="1" applyFill="1" applyBorder="1"/>
    <xf numFmtId="168" fontId="13" fillId="3" borderId="23" xfId="0" applyNumberFormat="1" applyFont="1" applyFill="1" applyBorder="1"/>
    <xf numFmtId="43" fontId="0" fillId="3" borderId="45" xfId="2" applyFont="1" applyFill="1" applyBorder="1"/>
    <xf numFmtId="43" fontId="0" fillId="3" borderId="58" xfId="2" applyFont="1" applyFill="1" applyBorder="1"/>
    <xf numFmtId="43" fontId="17" fillId="0" borderId="0" xfId="0" applyNumberFormat="1" applyFont="1"/>
    <xf numFmtId="43" fontId="0" fillId="0" borderId="0" xfId="0" applyNumberFormat="1" applyBorder="1"/>
    <xf numFmtId="43" fontId="0" fillId="0" borderId="0" xfId="2" applyNumberFormat="1" applyFont="1" applyBorder="1"/>
    <xf numFmtId="43" fontId="0" fillId="0" borderId="0" xfId="2" applyNumberFormat="1" applyFont="1" applyBorder="1" applyAlignment="1">
      <alignment horizontal="right"/>
    </xf>
    <xf numFmtId="0" fontId="1" fillId="0" borderId="67" xfId="0" applyFont="1" applyBorder="1" applyAlignment="1">
      <alignment horizontal="center" vertical="center" wrapText="1"/>
    </xf>
    <xf numFmtId="0" fontId="1" fillId="0" borderId="66" xfId="0" applyFont="1" applyBorder="1" applyAlignment="1">
      <alignment horizontal="center" vertical="center" wrapText="1"/>
    </xf>
    <xf numFmtId="171" fontId="1" fillId="4" borderId="1" xfId="2" applyNumberFormat="1" applyFont="1" applyFill="1" applyBorder="1" applyAlignment="1">
      <alignment horizontal="center" vertical="center"/>
    </xf>
    <xf numFmtId="171" fontId="1" fillId="4" borderId="40" xfId="2" applyNumberFormat="1" applyFont="1" applyFill="1" applyBorder="1" applyAlignment="1">
      <alignment horizontal="center" vertical="center"/>
    </xf>
    <xf numFmtId="171" fontId="1" fillId="4" borderId="2" xfId="2" applyNumberFormat="1" applyFont="1" applyFill="1" applyBorder="1" applyAlignment="1">
      <alignment horizontal="center" vertical="center"/>
    </xf>
    <xf numFmtId="171" fontId="1" fillId="0" borderId="35" xfId="2" applyNumberFormat="1" applyFont="1" applyBorder="1" applyAlignment="1">
      <alignment horizontal="center" vertical="center" wrapText="1"/>
    </xf>
    <xf numFmtId="171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0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8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43" fontId="0" fillId="0" borderId="27" xfId="2" applyFont="1" applyBorder="1" applyAlignment="1">
      <alignment horizontal="center" vertical="center" wrapText="1"/>
    </xf>
    <xf numFmtId="43" fontId="0" fillId="0" borderId="38" xfId="2" applyFont="1" applyBorder="1" applyAlignment="1">
      <alignment horizontal="center" vertical="center" wrapText="1"/>
    </xf>
    <xf numFmtId="43" fontId="0" fillId="0" borderId="39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8" fontId="9" fillId="0" borderId="27" xfId="2" applyNumberFormat="1" applyFont="1" applyBorder="1" applyAlignment="1">
      <alignment horizontal="center" vertical="center" wrapText="1"/>
    </xf>
    <xf numFmtId="168" fontId="9" fillId="0" borderId="39" xfId="2" applyNumberFormat="1" applyFont="1" applyBorder="1" applyAlignment="1">
      <alignment horizontal="center" vertical="center" wrapText="1"/>
    </xf>
    <xf numFmtId="17" fontId="6" fillId="3" borderId="59" xfId="0" applyNumberFormat="1" applyFont="1" applyFill="1" applyBorder="1" applyAlignment="1">
      <alignment horizontal="center"/>
    </xf>
    <xf numFmtId="0" fontId="6" fillId="3" borderId="59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</cellXfs>
  <cellStyles count="11">
    <cellStyle name="Comma" xfId="2" builtinId="3"/>
    <cellStyle name="Comma [0] 2" xfId="8"/>
    <cellStyle name="Comma 10" xfId="3"/>
    <cellStyle name="Comma 2" xfId="6"/>
    <cellStyle name="Comma 3" xfId="10"/>
    <cellStyle name="Currency" xfId="1" builtinId="4"/>
    <cellStyle name="Hyperlink" xfId="4" builtinId="8"/>
    <cellStyle name="Hyperlink 2" xfId="7"/>
    <cellStyle name="Normal" xfId="0" builtinId="0"/>
    <cellStyle name="Normal 2" xfId="9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1"/>
  <sheetViews>
    <sheetView tabSelected="1" workbookViewId="0">
      <selection activeCell="C21" sqref="C21"/>
    </sheetView>
  </sheetViews>
  <sheetFormatPr defaultColWidth="11.5703125" defaultRowHeight="15" x14ac:dyDescent="0.25"/>
  <cols>
    <col min="1" max="1" width="18.42578125" style="166" customWidth="1"/>
    <col min="2" max="2" width="11.5703125" style="167"/>
    <col min="3" max="3" width="11.5703125" style="168"/>
    <col min="4" max="4" width="13.42578125" style="167" customWidth="1"/>
    <col min="5" max="5" width="12.5703125" style="165" customWidth="1"/>
    <col min="6" max="6" width="12.5703125" style="169" customWidth="1"/>
    <col min="7" max="7" width="11.5703125" style="165"/>
    <col min="8" max="8" width="11.5703125" style="169"/>
    <col min="9" max="9" width="11.5703125" style="170"/>
    <col min="10" max="10" width="11.5703125" style="171"/>
    <col min="11" max="11" width="11.5703125" style="165"/>
    <col min="12" max="12" width="11.5703125" style="171"/>
    <col min="13" max="26" width="11.5703125" style="165"/>
  </cols>
  <sheetData>
    <row r="1" spans="1:15" s="159" customFormat="1" ht="43.15" x14ac:dyDescent="0.3">
      <c r="A1" s="155" t="s">
        <v>37</v>
      </c>
      <c r="B1" s="155" t="s">
        <v>38</v>
      </c>
      <c r="C1" s="156" t="s">
        <v>39</v>
      </c>
      <c r="D1" s="155" t="s">
        <v>40</v>
      </c>
      <c r="E1" s="154" t="s">
        <v>41</v>
      </c>
      <c r="F1" s="157" t="s">
        <v>42</v>
      </c>
      <c r="G1" s="154" t="s">
        <v>47</v>
      </c>
      <c r="H1" s="157" t="s">
        <v>48</v>
      </c>
      <c r="I1" s="173" t="s">
        <v>50</v>
      </c>
      <c r="J1" s="157" t="s">
        <v>51</v>
      </c>
      <c r="K1" s="154" t="s">
        <v>43</v>
      </c>
      <c r="L1" s="158" t="s">
        <v>44</v>
      </c>
      <c r="M1" s="154" t="s">
        <v>45</v>
      </c>
      <c r="N1" s="154" t="s">
        <v>3</v>
      </c>
    </row>
    <row r="2" spans="1:15" ht="14.45" x14ac:dyDescent="0.3">
      <c r="A2" s="160" t="s">
        <v>49</v>
      </c>
      <c r="B2" s="161">
        <v>1</v>
      </c>
      <c r="C2" s="162">
        <v>9</v>
      </c>
      <c r="D2" s="161">
        <v>2021</v>
      </c>
      <c r="E2" s="163">
        <f>'FS Jimbaran September 2021'!P12</f>
        <v>13599.999999999667</v>
      </c>
      <c r="F2" s="172">
        <f>'FS Jimbaran September 2021'!O12/'FS Jimbaran September 2021'!P12</f>
        <v>1181.931604411767</v>
      </c>
      <c r="G2" s="163">
        <f>'FS Jimbaran September 2021'!AG12</f>
        <v>50</v>
      </c>
      <c r="H2" s="172">
        <f>'FS Jimbaran September 2021'!AH12/'FS Jimbaran September 2021'!AG12</f>
        <v>13400</v>
      </c>
      <c r="I2" s="163">
        <f>'FS Jimbaran September 2021'!AJ12</f>
        <v>366.06999999999971</v>
      </c>
      <c r="J2" s="164">
        <f>'FS Jimbaran September 2021'!AK12/'FS Jimbaran September 2021'!AJ12</f>
        <v>9900</v>
      </c>
      <c r="K2" s="163">
        <f>'FS Jimbaran September 2021'!V12</f>
        <v>355</v>
      </c>
      <c r="L2" s="172">
        <f>'FS Jimbaran September 2021'!AA12/'FS Jimbaran September 2021'!V12</f>
        <v>8682.1333151920408</v>
      </c>
      <c r="M2" s="163">
        <f>+'RNs &amp; Covers September 2021'!B6</f>
        <v>3</v>
      </c>
      <c r="N2" s="174">
        <f>+'RNs &amp; Covers September 2021'!C6</f>
        <v>48</v>
      </c>
    </row>
    <row r="3" spans="1:15" ht="14.45" x14ac:dyDescent="0.3">
      <c r="A3" s="160" t="s">
        <v>49</v>
      </c>
      <c r="B3" s="161">
        <f>B2+1</f>
        <v>2</v>
      </c>
      <c r="C3" s="162">
        <v>9</v>
      </c>
      <c r="D3" s="161">
        <v>2021</v>
      </c>
      <c r="E3" s="174">
        <f>'FS Jimbaran September 2021'!P13</f>
        <v>13260.000000000304</v>
      </c>
      <c r="F3" s="172">
        <f>'FS Jimbaran September 2021'!O13/'FS Jimbaran September 2021'!P13</f>
        <v>1181.8905950226192</v>
      </c>
      <c r="G3" s="174">
        <f>'FS Jimbaran September 2021'!AG13</f>
        <v>50</v>
      </c>
      <c r="H3" s="172">
        <f>'FS Jimbaran September 2021'!AH13/'FS Jimbaran September 2021'!AG13</f>
        <v>13400</v>
      </c>
      <c r="I3" s="174">
        <f>'FS Jimbaran September 2021'!AJ13</f>
        <v>254.29000000000087</v>
      </c>
      <c r="J3" s="164">
        <f>'FS Jimbaran September 2021'!AK13/'FS Jimbaran September 2021'!AJ13</f>
        <v>9900</v>
      </c>
      <c r="K3" s="174">
        <f>'FS Jimbaran September 2021'!V13</f>
        <v>734</v>
      </c>
      <c r="L3" s="172">
        <f>'FS Jimbaran September 2021'!AA13/'FS Jimbaran September 2021'!V13</f>
        <v>7037.3924255631637</v>
      </c>
      <c r="M3" s="174">
        <f>+'RNs &amp; Covers September 2021'!B7</f>
        <v>5</v>
      </c>
      <c r="N3" s="174">
        <f>+'RNs &amp; Covers September 2021'!C7</f>
        <v>43</v>
      </c>
    </row>
    <row r="4" spans="1:15" ht="14.45" x14ac:dyDescent="0.3">
      <c r="A4" s="160" t="s">
        <v>49</v>
      </c>
      <c r="B4" s="161">
        <f t="shared" ref="B4:B31" si="0">B3+1</f>
        <v>3</v>
      </c>
      <c r="C4" s="162">
        <v>9</v>
      </c>
      <c r="D4" s="161">
        <v>2021</v>
      </c>
      <c r="E4" s="174">
        <f>'FS Jimbaran September 2021'!P14</f>
        <v>13679.999999999807</v>
      </c>
      <c r="F4" s="172">
        <f>'FS Jimbaran September 2021'!O14/'FS Jimbaran September 2021'!P14</f>
        <v>1192.5098684210548</v>
      </c>
      <c r="G4" s="174">
        <f>'FS Jimbaran September 2021'!AG14</f>
        <v>112</v>
      </c>
      <c r="H4" s="172">
        <f>'FS Jimbaran September 2021'!AH14/'FS Jimbaran September 2021'!AG14</f>
        <v>13191.964285714286</v>
      </c>
      <c r="I4" s="174">
        <f>'FS Jimbaran September 2021'!AJ14</f>
        <v>341.29999999999563</v>
      </c>
      <c r="J4" s="164">
        <f>'FS Jimbaran September 2021'!AK14/'FS Jimbaran September 2021'!AJ14</f>
        <v>9900</v>
      </c>
      <c r="K4" s="174">
        <f>'FS Jimbaran September 2021'!V14</f>
        <v>626</v>
      </c>
      <c r="L4" s="172">
        <f>'FS Jimbaran September 2021'!AA14/'FS Jimbaran September 2021'!V14</f>
        <v>6610.803362569367</v>
      </c>
      <c r="M4" s="174">
        <f>+'RNs &amp; Covers September 2021'!B8</f>
        <v>6</v>
      </c>
      <c r="N4" s="174">
        <f>+'RNs &amp; Covers September 2021'!C8</f>
        <v>84</v>
      </c>
    </row>
    <row r="5" spans="1:15" ht="14.45" x14ac:dyDescent="0.3">
      <c r="A5" s="160" t="s">
        <v>49</v>
      </c>
      <c r="B5" s="161">
        <f t="shared" si="0"/>
        <v>4</v>
      </c>
      <c r="C5" s="162">
        <v>9</v>
      </c>
      <c r="D5" s="161">
        <v>2021</v>
      </c>
      <c r="E5" s="174">
        <f>'FS Jimbaran September 2021'!P15</f>
        <v>13820.000000000051</v>
      </c>
      <c r="F5" s="172">
        <f>'FS Jimbaran September 2021'!O15/'FS Jimbaran September 2021'!P15</f>
        <v>1179.6424971056449</v>
      </c>
      <c r="G5" s="174">
        <f>'FS Jimbaran September 2021'!AG15</f>
        <v>112</v>
      </c>
      <c r="H5" s="172">
        <f>'FS Jimbaran September 2021'!AH15/'FS Jimbaran September 2021'!AG15</f>
        <v>13191.964285714286</v>
      </c>
      <c r="I5" s="174">
        <f>'FS Jimbaran September 2021'!AJ15</f>
        <v>322.18000000002212</v>
      </c>
      <c r="J5" s="164">
        <f>'FS Jimbaran September 2021'!AK15/'FS Jimbaran September 2021'!AJ15</f>
        <v>9900</v>
      </c>
      <c r="K5" s="174">
        <f>'FS Jimbaran September 2021'!V15</f>
        <v>560</v>
      </c>
      <c r="L5" s="172">
        <f>'FS Jimbaran September 2021'!AA15/'FS Jimbaran September 2021'!V15</f>
        <v>6950.923883882363</v>
      </c>
      <c r="M5" s="174">
        <f>+'RNs &amp; Covers September 2021'!B9</f>
        <v>5</v>
      </c>
      <c r="N5" s="174">
        <f>+'RNs &amp; Covers September 2021'!C9</f>
        <v>67</v>
      </c>
    </row>
    <row r="6" spans="1:15" ht="14.45" x14ac:dyDescent="0.3">
      <c r="A6" s="160" t="s">
        <v>49</v>
      </c>
      <c r="B6" s="161">
        <f t="shared" si="0"/>
        <v>5</v>
      </c>
      <c r="C6" s="162">
        <v>9</v>
      </c>
      <c r="D6" s="161">
        <v>2021</v>
      </c>
      <c r="E6" s="174">
        <f>'FS Jimbaran September 2021'!P16</f>
        <v>13659.999999999798</v>
      </c>
      <c r="F6" s="172">
        <f>'FS Jimbaran September 2021'!O16/'FS Jimbaran September 2021'!P16</f>
        <v>1188.6826625183016</v>
      </c>
      <c r="G6" s="174">
        <f>'FS Jimbaran September 2021'!AG16</f>
        <v>112</v>
      </c>
      <c r="H6" s="172">
        <f>'FS Jimbaran September 2021'!AH16/'FS Jimbaran September 2021'!AG16</f>
        <v>13191.964285714286</v>
      </c>
      <c r="I6" s="174">
        <f>'FS Jimbaran September 2021'!AJ16</f>
        <v>287.83000000000175</v>
      </c>
      <c r="J6" s="164">
        <f>'FS Jimbaran September 2021'!AK16/'FS Jimbaran September 2021'!AJ16</f>
        <v>9900</v>
      </c>
      <c r="K6" s="174">
        <f>'FS Jimbaran September 2021'!V16</f>
        <v>455</v>
      </c>
      <c r="L6" s="172">
        <f>'FS Jimbaran September 2021'!AA16/'FS Jimbaran September 2021'!V16</f>
        <v>8307.8842345904523</v>
      </c>
      <c r="M6" s="174">
        <f>+'RNs &amp; Covers September 2021'!B10</f>
        <v>5</v>
      </c>
      <c r="N6" s="174">
        <f>+'RNs &amp; Covers September 2021'!C10</f>
        <v>84</v>
      </c>
    </row>
    <row r="7" spans="1:15" ht="14.45" x14ac:dyDescent="0.3">
      <c r="A7" s="160" t="s">
        <v>49</v>
      </c>
      <c r="B7" s="161">
        <f t="shared" si="0"/>
        <v>6</v>
      </c>
      <c r="C7" s="162">
        <v>9</v>
      </c>
      <c r="D7" s="161">
        <v>2021</v>
      </c>
      <c r="E7" s="174">
        <f>'FS Jimbaran September 2021'!P17</f>
        <v>13600.000000000207</v>
      </c>
      <c r="F7" s="172">
        <f>'FS Jimbaran September 2021'!O17/'FS Jimbaran September 2021'!P17</f>
        <v>1179.5325551470605</v>
      </c>
      <c r="G7" s="174">
        <f>'FS Jimbaran September 2021'!AG17</f>
        <v>112</v>
      </c>
      <c r="H7" s="172">
        <f>'FS Jimbaran September 2021'!AH17/'FS Jimbaran September 2021'!AG17</f>
        <v>13191.964285714286</v>
      </c>
      <c r="I7" s="174">
        <f>'FS Jimbaran September 2021'!AJ17</f>
        <v>321.56999999999971</v>
      </c>
      <c r="J7" s="164">
        <f>'FS Jimbaran September 2021'!AK17/'FS Jimbaran September 2021'!AJ17</f>
        <v>9900</v>
      </c>
      <c r="K7" s="174">
        <f>'FS Jimbaran September 2021'!V17</f>
        <v>627</v>
      </c>
      <c r="L7" s="172">
        <f>'FS Jimbaran September 2021'!AA17/'FS Jimbaran September 2021'!V17</f>
        <v>7874.9956000627444</v>
      </c>
      <c r="M7" s="174">
        <f>+'RNs &amp; Covers September 2021'!B11</f>
        <v>4</v>
      </c>
      <c r="N7" s="174">
        <f>+'RNs &amp; Covers September 2021'!C11</f>
        <v>65</v>
      </c>
    </row>
    <row r="8" spans="1:15" ht="14.45" x14ac:dyDescent="0.3">
      <c r="A8" s="160" t="s">
        <v>49</v>
      </c>
      <c r="B8" s="161">
        <f t="shared" si="0"/>
        <v>7</v>
      </c>
      <c r="C8" s="162">
        <v>9</v>
      </c>
      <c r="D8" s="161">
        <v>2021</v>
      </c>
      <c r="E8" s="174">
        <f>'FS Jimbaran September 2021'!P18</f>
        <v>13899.999999999822</v>
      </c>
      <c r="F8" s="172">
        <f>'FS Jimbaran September 2021'!O18/'FS Jimbaran September 2021'!P18</f>
        <v>1180.6774251798554</v>
      </c>
      <c r="G8" s="174">
        <f>'FS Jimbaran September 2021'!AG18</f>
        <v>112</v>
      </c>
      <c r="H8" s="172">
        <f>'FS Jimbaran September 2021'!AH18/'FS Jimbaran September 2021'!AG18</f>
        <v>13191.964285714286</v>
      </c>
      <c r="I8" s="174">
        <f>'FS Jimbaran September 2021'!AJ18</f>
        <v>287.50999999999476</v>
      </c>
      <c r="J8" s="164">
        <f>'FS Jimbaran September 2021'!AK18/'FS Jimbaran September 2021'!AJ18</f>
        <v>9900</v>
      </c>
      <c r="K8" s="174">
        <f>'FS Jimbaran September 2021'!V18</f>
        <v>519</v>
      </c>
      <c r="L8" s="172">
        <f>'FS Jimbaran September 2021'!AA18/'FS Jimbaran September 2021'!V18</f>
        <v>7636.8166725362353</v>
      </c>
      <c r="M8" s="174">
        <f>+'RNs &amp; Covers September 2021'!B12</f>
        <v>4</v>
      </c>
      <c r="N8" s="174">
        <f>+'RNs &amp; Covers September 2021'!C12</f>
        <v>56</v>
      </c>
    </row>
    <row r="9" spans="1:15" ht="14.45" x14ac:dyDescent="0.3">
      <c r="A9" s="160" t="s">
        <v>49</v>
      </c>
      <c r="B9" s="161">
        <f t="shared" si="0"/>
        <v>8</v>
      </c>
      <c r="C9" s="162">
        <v>9</v>
      </c>
      <c r="D9" s="161">
        <v>2021</v>
      </c>
      <c r="E9" s="174">
        <f>'FS Jimbaran September 2021'!P19</f>
        <v>13940.000000000382</v>
      </c>
      <c r="F9" s="172">
        <f>'FS Jimbaran September 2021'!O19/'FS Jimbaran September 2021'!P19</f>
        <v>1182.7507919655657</v>
      </c>
      <c r="G9" s="174">
        <f>'FS Jimbaran September 2021'!AG19</f>
        <v>112</v>
      </c>
      <c r="H9" s="172">
        <f>'FS Jimbaran September 2021'!AH19/'FS Jimbaran September 2021'!AG19</f>
        <v>13191.964285714286</v>
      </c>
      <c r="I9" s="174">
        <f>'FS Jimbaran September 2021'!AJ19</f>
        <v>359.20999999999913</v>
      </c>
      <c r="J9" s="164">
        <f>'FS Jimbaran September 2021'!AK19/'FS Jimbaran September 2021'!AJ19</f>
        <v>9900</v>
      </c>
      <c r="K9" s="174">
        <f>'FS Jimbaran September 2021'!V19</f>
        <v>526</v>
      </c>
      <c r="L9" s="172">
        <f>'FS Jimbaran September 2021'!AA19/'FS Jimbaran September 2021'!V19</f>
        <v>7296.0047702228412</v>
      </c>
      <c r="M9" s="174">
        <f>+'RNs &amp; Covers September 2021'!B13</f>
        <v>3</v>
      </c>
      <c r="N9" s="174">
        <f>+'RNs &amp; Covers September 2021'!C13</f>
        <v>58</v>
      </c>
      <c r="O9" s="165" t="s">
        <v>46</v>
      </c>
    </row>
    <row r="10" spans="1:15" ht="14.45" x14ac:dyDescent="0.3">
      <c r="A10" s="160" t="s">
        <v>49</v>
      </c>
      <c r="B10" s="161">
        <f t="shared" si="0"/>
        <v>9</v>
      </c>
      <c r="C10" s="162">
        <v>9</v>
      </c>
      <c r="D10" s="161">
        <v>2021</v>
      </c>
      <c r="E10" s="174">
        <f>'FS Jimbaran September 2021'!P20</f>
        <v>13719.999999999913</v>
      </c>
      <c r="F10" s="172">
        <f>'FS Jimbaran September 2021'!O20/'FS Jimbaran September 2021'!P20</f>
        <v>1179.5208979591819</v>
      </c>
      <c r="G10" s="174">
        <f>'FS Jimbaran September 2021'!AG20</f>
        <v>112</v>
      </c>
      <c r="H10" s="172">
        <f>'FS Jimbaran September 2021'!AH20/'FS Jimbaran September 2021'!AG20</f>
        <v>13191.964285714286</v>
      </c>
      <c r="I10" s="174">
        <f>'FS Jimbaran September 2021'!AJ20</f>
        <v>206.70000000000437</v>
      </c>
      <c r="J10" s="164">
        <f>'FS Jimbaran September 2021'!AK20/'FS Jimbaran September 2021'!AJ20</f>
        <v>9900</v>
      </c>
      <c r="K10" s="174">
        <f>'FS Jimbaran September 2021'!V20</f>
        <v>665</v>
      </c>
      <c r="L10" s="172">
        <f>'FS Jimbaran September 2021'!AA20/'FS Jimbaran September 2021'!V20</f>
        <v>7277.0002881797909</v>
      </c>
      <c r="M10" s="174">
        <f>+'RNs &amp; Covers September 2021'!B14</f>
        <v>2</v>
      </c>
      <c r="N10" s="174">
        <f>+'RNs &amp; Covers September 2021'!C14</f>
        <v>61</v>
      </c>
    </row>
    <row r="11" spans="1:15" ht="14.45" x14ac:dyDescent="0.3">
      <c r="A11" s="160" t="s">
        <v>49</v>
      </c>
      <c r="B11" s="161">
        <f t="shared" si="0"/>
        <v>10</v>
      </c>
      <c r="C11" s="162">
        <v>9</v>
      </c>
      <c r="D11" s="161">
        <v>2021</v>
      </c>
      <c r="E11" s="174">
        <f>'FS Jimbaran September 2021'!P21</f>
        <v>13979.999999999876</v>
      </c>
      <c r="F11" s="172">
        <f>'FS Jimbaran September 2021'!O21/'FS Jimbaran September 2021'!P21</f>
        <v>1181.7005085836913</v>
      </c>
      <c r="G11" s="174">
        <f>'FS Jimbaran September 2021'!AG21</f>
        <v>112</v>
      </c>
      <c r="H11" s="172">
        <f>'FS Jimbaran September 2021'!AH21/'FS Jimbaran September 2021'!AG21</f>
        <v>13191.964285714286</v>
      </c>
      <c r="I11" s="174">
        <f>'FS Jimbaran September 2021'!AJ21</f>
        <v>318.40999999999622</v>
      </c>
      <c r="J11" s="164">
        <f>'FS Jimbaran September 2021'!AK21/'FS Jimbaran September 2021'!AJ21</f>
        <v>9900</v>
      </c>
      <c r="K11" s="174">
        <f>'FS Jimbaran September 2021'!V21</f>
        <v>476</v>
      </c>
      <c r="L11" s="172">
        <f>'FS Jimbaran September 2021'!AA21/'FS Jimbaran September 2021'!V21</f>
        <v>8289.0524240144678</v>
      </c>
      <c r="M11" s="174">
        <f>+'RNs &amp; Covers September 2021'!B15</f>
        <v>2</v>
      </c>
      <c r="N11" s="174">
        <f>+'RNs &amp; Covers September 2021'!C15</f>
        <v>88</v>
      </c>
    </row>
    <row r="12" spans="1:15" ht="14.45" x14ac:dyDescent="0.3">
      <c r="A12" s="160" t="s">
        <v>49</v>
      </c>
      <c r="B12" s="161">
        <f t="shared" si="0"/>
        <v>11</v>
      </c>
      <c r="C12" s="162">
        <v>9</v>
      </c>
      <c r="D12" s="161">
        <v>2021</v>
      </c>
      <c r="E12" s="174">
        <f>'FS Jimbaran September 2021'!P22</f>
        <v>13360.000000000156</v>
      </c>
      <c r="F12" s="172">
        <f>'FS Jimbaran September 2021'!O22/'FS Jimbaran September 2021'!P22</f>
        <v>1177.9284004491008</v>
      </c>
      <c r="G12" s="174">
        <f>'FS Jimbaran September 2021'!AG22</f>
        <v>112</v>
      </c>
      <c r="H12" s="172">
        <f>'FS Jimbaran September 2021'!AH22/'FS Jimbaran September 2021'!AG22</f>
        <v>13191.964285714286</v>
      </c>
      <c r="I12" s="174">
        <f>'FS Jimbaran September 2021'!AJ22</f>
        <v>118.94000000000233</v>
      </c>
      <c r="J12" s="164">
        <f>'FS Jimbaran September 2021'!AK22/'FS Jimbaran September 2021'!AJ22</f>
        <v>9900</v>
      </c>
      <c r="K12" s="174">
        <f>'FS Jimbaran September 2021'!V22</f>
        <v>387</v>
      </c>
      <c r="L12" s="172">
        <f>'FS Jimbaran September 2021'!AA22/'FS Jimbaran September 2021'!V22</f>
        <v>9107.9729722470438</v>
      </c>
      <c r="M12" s="174">
        <f>+'RNs &amp; Covers September 2021'!B16</f>
        <v>1</v>
      </c>
      <c r="N12" s="174">
        <f>+'RNs &amp; Covers September 2021'!C16</f>
        <v>55</v>
      </c>
    </row>
    <row r="13" spans="1:15" ht="14.45" x14ac:dyDescent="0.3">
      <c r="A13" s="160" t="s">
        <v>49</v>
      </c>
      <c r="B13" s="161">
        <f t="shared" si="0"/>
        <v>12</v>
      </c>
      <c r="C13" s="162">
        <v>9</v>
      </c>
      <c r="D13" s="161">
        <v>2021</v>
      </c>
      <c r="E13" s="174">
        <f>'FS Jimbaran September 2021'!P23</f>
        <v>12799.999999999683</v>
      </c>
      <c r="F13" s="172">
        <f>'FS Jimbaran September 2021'!O23/'FS Jimbaran September 2021'!P23</f>
        <v>1179.3326343750041</v>
      </c>
      <c r="G13" s="174">
        <f>'FS Jimbaran September 2021'!AG23</f>
        <v>62</v>
      </c>
      <c r="H13" s="172">
        <f>'FS Jimbaran September 2021'!AH23/'FS Jimbaran September 2021'!AG23</f>
        <v>13024.193548387097</v>
      </c>
      <c r="I13" s="174">
        <f>'FS Jimbaran September 2021'!AJ23</f>
        <v>119.33000000000175</v>
      </c>
      <c r="J13" s="164">
        <f>'FS Jimbaran September 2021'!AK23/'FS Jimbaran September 2021'!AJ23</f>
        <v>9900</v>
      </c>
      <c r="K13" s="174">
        <f>'FS Jimbaran September 2021'!V23</f>
        <v>567</v>
      </c>
      <c r="L13" s="172">
        <f>'FS Jimbaran September 2021'!AA23/'FS Jimbaran September 2021'!V23</f>
        <v>7717.5460738746297</v>
      </c>
      <c r="M13" s="174">
        <f>+'RNs &amp; Covers September 2021'!B17</f>
        <v>2</v>
      </c>
      <c r="N13" s="174">
        <f>+'RNs &amp; Covers September 2021'!C17</f>
        <v>63</v>
      </c>
    </row>
    <row r="14" spans="1:15" ht="14.45" x14ac:dyDescent="0.3">
      <c r="A14" s="160" t="s">
        <v>49</v>
      </c>
      <c r="B14" s="161">
        <f t="shared" si="0"/>
        <v>13</v>
      </c>
      <c r="C14" s="162">
        <v>9</v>
      </c>
      <c r="D14" s="161">
        <v>2021</v>
      </c>
      <c r="E14" s="174">
        <f>'FS Jimbaran September 2021'!P24</f>
        <v>13100.000000000307</v>
      </c>
      <c r="F14" s="172">
        <f>'FS Jimbaran September 2021'!O24/'FS Jimbaran September 2021'!P24</f>
        <v>1178.8915877862569</v>
      </c>
      <c r="G14" s="174">
        <f>'FS Jimbaran September 2021'!AG24</f>
        <v>50</v>
      </c>
      <c r="H14" s="172">
        <f>'FS Jimbaran September 2021'!AH24/'FS Jimbaran September 2021'!AG24</f>
        <v>13400</v>
      </c>
      <c r="I14" s="174">
        <f>'FS Jimbaran September 2021'!AJ24</f>
        <v>387.80999999999767</v>
      </c>
      <c r="J14" s="164">
        <f>'FS Jimbaran September 2021'!AK24/'FS Jimbaran September 2021'!AJ24</f>
        <v>9900</v>
      </c>
      <c r="K14" s="174">
        <f>'FS Jimbaran September 2021'!V24</f>
        <v>471</v>
      </c>
      <c r="L14" s="172">
        <f>'FS Jimbaran September 2021'!AA24/'FS Jimbaran September 2021'!V24</f>
        <v>8298.7391206338452</v>
      </c>
      <c r="M14" s="174">
        <f>+'RNs &amp; Covers September 2021'!B18</f>
        <v>1</v>
      </c>
      <c r="N14" s="174">
        <f>+'RNs &amp; Covers September 2021'!C18</f>
        <v>24</v>
      </c>
    </row>
    <row r="15" spans="1:15" ht="14.45" x14ac:dyDescent="0.3">
      <c r="A15" s="160" t="s">
        <v>49</v>
      </c>
      <c r="B15" s="161">
        <f t="shared" si="0"/>
        <v>14</v>
      </c>
      <c r="C15" s="162">
        <v>9</v>
      </c>
      <c r="D15" s="161">
        <v>2021</v>
      </c>
      <c r="E15" s="174">
        <f>'FS Jimbaran September 2021'!P25</f>
        <v>13279.99999999966</v>
      </c>
      <c r="F15" s="172">
        <f>'FS Jimbaran September 2021'!O25/'FS Jimbaran September 2021'!P25</f>
        <v>1178.4727341867492</v>
      </c>
      <c r="G15" s="174">
        <f>'FS Jimbaran September 2021'!AG25</f>
        <v>112</v>
      </c>
      <c r="H15" s="172">
        <f>'FS Jimbaran September 2021'!AH25/'FS Jimbaran September 2021'!AG25</f>
        <v>13191.964285714286</v>
      </c>
      <c r="I15" s="174">
        <f>'FS Jimbaran September 2021'!AJ25</f>
        <v>299.70999999999913</v>
      </c>
      <c r="J15" s="164">
        <f>'FS Jimbaran September 2021'!AK25/'FS Jimbaran September 2021'!AJ25</f>
        <v>9900</v>
      </c>
      <c r="K15" s="174">
        <f>'FS Jimbaran September 2021'!V25</f>
        <v>541</v>
      </c>
      <c r="L15" s="172">
        <f>'FS Jimbaran September 2021'!AA25/'FS Jimbaran September 2021'!V25</f>
        <v>7836.7377130955956</v>
      </c>
      <c r="M15" s="174">
        <f>+'RNs &amp; Covers September 2021'!B19</f>
        <v>13</v>
      </c>
      <c r="N15" s="174">
        <f>+'RNs &amp; Covers September 2021'!C19</f>
        <v>50</v>
      </c>
    </row>
    <row r="16" spans="1:15" ht="14.45" x14ac:dyDescent="0.3">
      <c r="A16" s="160" t="s">
        <v>49</v>
      </c>
      <c r="B16" s="161">
        <f t="shared" si="0"/>
        <v>15</v>
      </c>
      <c r="C16" s="162">
        <v>9</v>
      </c>
      <c r="D16" s="161">
        <v>2021</v>
      </c>
      <c r="E16" s="174">
        <f>'FS Jimbaran September 2021'!P26</f>
        <v>13740.000000000293</v>
      </c>
      <c r="F16" s="172">
        <f>'FS Jimbaran September 2021'!O26/'FS Jimbaran September 2021'!P26</f>
        <v>1180.9701222707386</v>
      </c>
      <c r="G16" s="174">
        <f>'FS Jimbaran September 2021'!AG26</f>
        <v>112</v>
      </c>
      <c r="H16" s="172">
        <f>'FS Jimbaran September 2021'!AH26/'FS Jimbaran September 2021'!AG26</f>
        <v>13191.964285714286</v>
      </c>
      <c r="I16" s="174">
        <f>'FS Jimbaran September 2021'!AJ26</f>
        <v>184.90000000000146</v>
      </c>
      <c r="J16" s="164">
        <f>'FS Jimbaran September 2021'!AK26/'FS Jimbaran September 2021'!AJ26</f>
        <v>9900</v>
      </c>
      <c r="K16" s="174">
        <f>'FS Jimbaran September 2021'!V26</f>
        <v>522</v>
      </c>
      <c r="L16" s="172">
        <f>'FS Jimbaran September 2021'!AA26/'FS Jimbaran September 2021'!V26</f>
        <v>7949.8863336774184</v>
      </c>
      <c r="M16" s="174">
        <f>+'RNs &amp; Covers September 2021'!B20</f>
        <v>7</v>
      </c>
      <c r="N16" s="174">
        <f>+'RNs &amp; Covers September 2021'!C20</f>
        <v>52</v>
      </c>
    </row>
    <row r="17" spans="1:14" ht="14.45" x14ac:dyDescent="0.3">
      <c r="A17" s="160" t="s">
        <v>49</v>
      </c>
      <c r="B17" s="161">
        <f t="shared" si="0"/>
        <v>16</v>
      </c>
      <c r="C17" s="162">
        <v>9</v>
      </c>
      <c r="D17" s="161">
        <v>2021</v>
      </c>
      <c r="E17" s="174">
        <f>'FS Jimbaran September 2021'!P27</f>
        <v>13460.000000000036</v>
      </c>
      <c r="F17" s="172">
        <f>'FS Jimbaran September 2021'!O27/'FS Jimbaran September 2021'!P27</f>
        <v>1178.8730839524535</v>
      </c>
      <c r="G17" s="174">
        <f>'FS Jimbaran September 2021'!AG27</f>
        <v>62</v>
      </c>
      <c r="H17" s="172">
        <f>'FS Jimbaran September 2021'!AH27/'FS Jimbaran September 2021'!AG27</f>
        <v>13024.193548387097</v>
      </c>
      <c r="I17" s="174">
        <f>'FS Jimbaran September 2021'!AJ27</f>
        <v>173.80000000000291</v>
      </c>
      <c r="J17" s="164">
        <f>'FS Jimbaran September 2021'!AK27/'FS Jimbaran September 2021'!AJ27</f>
        <v>9900</v>
      </c>
      <c r="K17" s="174">
        <f>'FS Jimbaran September 2021'!V27</f>
        <v>393</v>
      </c>
      <c r="L17" s="172">
        <f>'FS Jimbaran September 2021'!AA27/'FS Jimbaran September 2021'!V27</f>
        <v>8872.6294547365687</v>
      </c>
      <c r="M17" s="174">
        <f>+'RNs &amp; Covers September 2021'!B21</f>
        <v>4</v>
      </c>
      <c r="N17" s="174">
        <f>+'RNs &amp; Covers September 2021'!C21</f>
        <v>36</v>
      </c>
    </row>
    <row r="18" spans="1:14" ht="14.45" x14ac:dyDescent="0.3">
      <c r="A18" s="160" t="s">
        <v>49</v>
      </c>
      <c r="B18" s="161">
        <f t="shared" si="0"/>
        <v>17</v>
      </c>
      <c r="C18" s="162">
        <v>9</v>
      </c>
      <c r="D18" s="161">
        <v>2021</v>
      </c>
      <c r="E18" s="174">
        <f>'FS Jimbaran September 2021'!P28</f>
        <v>13639.999999999858</v>
      </c>
      <c r="F18" s="172">
        <f>'FS Jimbaran September 2021'!O28/'FS Jimbaran September 2021'!P28</f>
        <v>1178.4655293255125</v>
      </c>
      <c r="G18" s="174">
        <f>'FS Jimbaran September 2021'!AG28</f>
        <v>62</v>
      </c>
      <c r="H18" s="172">
        <f>'FS Jimbaran September 2021'!AH28/'FS Jimbaran September 2021'!AG28</f>
        <v>13024.193548387097</v>
      </c>
      <c r="I18" s="174">
        <f>'FS Jimbaran September 2021'!AJ28</f>
        <v>174.61000000000058</v>
      </c>
      <c r="J18" s="164">
        <f>'FS Jimbaran September 2021'!AK28/'FS Jimbaran September 2021'!AJ28</f>
        <v>9900</v>
      </c>
      <c r="K18" s="174">
        <f>'FS Jimbaran September 2021'!V28</f>
        <v>531</v>
      </c>
      <c r="L18" s="172">
        <f>'FS Jimbaran September 2021'!AA28/'FS Jimbaran September 2021'!V28</f>
        <v>7945.1566741279275</v>
      </c>
      <c r="M18" s="174">
        <f>+'RNs &amp; Covers September 2021'!B22</f>
        <v>5</v>
      </c>
      <c r="N18" s="174">
        <f>+'RNs &amp; Covers September 2021'!C22</f>
        <v>50</v>
      </c>
    </row>
    <row r="19" spans="1:14" ht="14.45" x14ac:dyDescent="0.3">
      <c r="A19" s="160" t="s">
        <v>49</v>
      </c>
      <c r="B19" s="161">
        <f t="shared" si="0"/>
        <v>18</v>
      </c>
      <c r="C19" s="162">
        <v>9</v>
      </c>
      <c r="D19" s="161">
        <v>2021</v>
      </c>
      <c r="E19" s="174">
        <f>'FS Jimbaran September 2021'!P29</f>
        <v>14120.000000000076</v>
      </c>
      <c r="F19" s="172">
        <f>'FS Jimbaran September 2021'!O29/'FS Jimbaran September 2021'!P29</f>
        <v>1177.6862613314438</v>
      </c>
      <c r="G19" s="174">
        <f>'FS Jimbaran September 2021'!AG29</f>
        <v>162</v>
      </c>
      <c r="H19" s="172">
        <f>'FS Jimbaran September 2021'!AH29/'FS Jimbaran September 2021'!AG29</f>
        <v>13256.172839506173</v>
      </c>
      <c r="I19" s="174">
        <f>'FS Jimbaran September 2021'!AJ29</f>
        <v>126.99999999999272</v>
      </c>
      <c r="J19" s="164">
        <f>'FS Jimbaran September 2021'!AK29/'FS Jimbaran September 2021'!AJ29</f>
        <v>9900</v>
      </c>
      <c r="K19" s="174">
        <f>'FS Jimbaran September 2021'!V29</f>
        <v>484</v>
      </c>
      <c r="L19" s="172">
        <f>'FS Jimbaran September 2021'!AA29/'FS Jimbaran September 2021'!V29</f>
        <v>8202.8342829946341</v>
      </c>
      <c r="M19" s="174">
        <f>+'RNs &amp; Covers September 2021'!B23</f>
        <v>6</v>
      </c>
      <c r="N19" s="174">
        <f>+'RNs &amp; Covers September 2021'!C23</f>
        <v>102</v>
      </c>
    </row>
    <row r="20" spans="1:14" ht="14.45" x14ac:dyDescent="0.3">
      <c r="A20" s="160" t="s">
        <v>49</v>
      </c>
      <c r="B20" s="161">
        <f t="shared" si="0"/>
        <v>19</v>
      </c>
      <c r="C20" s="162">
        <v>9</v>
      </c>
      <c r="D20" s="161">
        <v>2021</v>
      </c>
      <c r="E20" s="174">
        <f>'FS Jimbaran September 2021'!P30</f>
        <v>13799.999999999982</v>
      </c>
      <c r="F20" s="172">
        <f>'FS Jimbaran September 2021'!O30/'FS Jimbaran September 2021'!P30</f>
        <v>1181.3521239130469</v>
      </c>
      <c r="G20" s="174">
        <f>'FS Jimbaran September 2021'!AG30</f>
        <v>112</v>
      </c>
      <c r="H20" s="172">
        <f>'FS Jimbaran September 2021'!AH30/'FS Jimbaran September 2021'!AG30</f>
        <v>13191.964285714286</v>
      </c>
      <c r="I20" s="174">
        <f>'FS Jimbaran September 2021'!AJ30</f>
        <v>137.34999999999854</v>
      </c>
      <c r="J20" s="164">
        <f>'FS Jimbaran September 2021'!AK30/'FS Jimbaran September 2021'!AJ30</f>
        <v>9900</v>
      </c>
      <c r="K20" s="174">
        <f>'FS Jimbaran September 2021'!V30</f>
        <v>486</v>
      </c>
      <c r="L20" s="172">
        <f>'FS Jimbaran September 2021'!AA30/'FS Jimbaran September 2021'!V30</f>
        <v>8161.2877832380136</v>
      </c>
      <c r="M20" s="174">
        <f>+'RNs &amp; Covers September 2021'!B24</f>
        <v>3</v>
      </c>
      <c r="N20" s="174">
        <f>+'RNs &amp; Covers September 2021'!C24</f>
        <v>91</v>
      </c>
    </row>
    <row r="21" spans="1:14" ht="14.45" x14ac:dyDescent="0.3">
      <c r="A21" s="160" t="s">
        <v>49</v>
      </c>
      <c r="B21" s="161">
        <f t="shared" si="0"/>
        <v>20</v>
      </c>
      <c r="C21" s="162">
        <v>9</v>
      </c>
      <c r="D21" s="161">
        <v>2021</v>
      </c>
      <c r="E21" s="174">
        <f>'FS Jimbaran September 2021'!P31</f>
        <v>13359.999999999744</v>
      </c>
      <c r="F21" s="172">
        <f>'FS Jimbaran September 2021'!O31/'FS Jimbaran September 2021'!P31</f>
        <v>1181.9986437125769</v>
      </c>
      <c r="G21" s="174">
        <f>'FS Jimbaran September 2021'!AG31</f>
        <v>62</v>
      </c>
      <c r="H21" s="172">
        <f>'FS Jimbaran September 2021'!AH31/'FS Jimbaran September 2021'!AG31</f>
        <v>13024.193548387097</v>
      </c>
      <c r="I21" s="174">
        <f>'FS Jimbaran September 2021'!AJ31</f>
        <v>197.77999999999884</v>
      </c>
      <c r="J21" s="164">
        <f>'FS Jimbaran September 2021'!AK31/'FS Jimbaran September 2021'!AJ31</f>
        <v>9900</v>
      </c>
      <c r="K21" s="174">
        <f>'FS Jimbaran September 2021'!V31</f>
        <v>462</v>
      </c>
      <c r="L21" s="172">
        <f>'FS Jimbaran September 2021'!AA31/'FS Jimbaran September 2021'!V31</f>
        <v>8396.9592173975143</v>
      </c>
      <c r="M21" s="174">
        <f>+'RNs &amp; Covers September 2021'!B25</f>
        <v>8</v>
      </c>
      <c r="N21" s="174">
        <f>+'RNs &amp; Covers September 2021'!C25</f>
        <v>42</v>
      </c>
    </row>
    <row r="22" spans="1:14" x14ac:dyDescent="0.25">
      <c r="A22" s="160" t="s">
        <v>49</v>
      </c>
      <c r="B22" s="161">
        <f t="shared" si="0"/>
        <v>21</v>
      </c>
      <c r="C22" s="162">
        <v>9</v>
      </c>
      <c r="D22" s="161">
        <v>2021</v>
      </c>
      <c r="E22" s="174">
        <f>'FS Jimbaran September 2021'!P32</f>
        <v>0</v>
      </c>
      <c r="F22" s="172" t="e">
        <f>'FS Jimbaran September 2021'!O32/'FS Jimbaran September 2021'!P32</f>
        <v>#DIV/0!</v>
      </c>
      <c r="G22" s="174">
        <f>'FS Jimbaran September 2021'!AG32</f>
        <v>0</v>
      </c>
      <c r="H22" s="172" t="e">
        <f>'FS Jimbaran September 2021'!AH32/'FS Jimbaran September 2021'!AG32</f>
        <v>#DIV/0!</v>
      </c>
      <c r="I22" s="174">
        <f>'FS Jimbaran September 2021'!AJ32</f>
        <v>0</v>
      </c>
      <c r="J22" s="164" t="e">
        <f>'FS Jimbaran September 2021'!AK32/'FS Jimbaran September 2021'!AJ32</f>
        <v>#DIV/0!</v>
      </c>
      <c r="K22" s="174">
        <f>'FS Jimbaran September 2021'!V32</f>
        <v>0</v>
      </c>
      <c r="L22" s="172" t="e">
        <f>'FS Jimbaran September 2021'!AA32/'FS Jimbaran September 2021'!V32</f>
        <v>#DIV/0!</v>
      </c>
      <c r="M22" s="174">
        <f>+'RNs &amp; Covers September 2021'!B26</f>
        <v>0</v>
      </c>
      <c r="N22" s="174">
        <f>+'RNs &amp; Covers September 2021'!C26</f>
        <v>0</v>
      </c>
    </row>
    <row r="23" spans="1:14" x14ac:dyDescent="0.25">
      <c r="A23" s="160" t="s">
        <v>49</v>
      </c>
      <c r="B23" s="161">
        <f t="shared" si="0"/>
        <v>22</v>
      </c>
      <c r="C23" s="162">
        <v>9</v>
      </c>
      <c r="D23" s="161">
        <v>2021</v>
      </c>
      <c r="E23" s="174">
        <f>'FS Jimbaran September 2021'!P33</f>
        <v>0</v>
      </c>
      <c r="F23" s="172" t="e">
        <f>'FS Jimbaran September 2021'!O33/'FS Jimbaran September 2021'!P33</f>
        <v>#DIV/0!</v>
      </c>
      <c r="G23" s="174">
        <f>'FS Jimbaran September 2021'!AG33</f>
        <v>0</v>
      </c>
      <c r="H23" s="172" t="e">
        <f>'FS Jimbaran September 2021'!AH33/'FS Jimbaran September 2021'!AG33</f>
        <v>#DIV/0!</v>
      </c>
      <c r="I23" s="174">
        <f>'FS Jimbaran September 2021'!AJ33</f>
        <v>0</v>
      </c>
      <c r="J23" s="164" t="e">
        <f>'FS Jimbaran September 2021'!AK33/'FS Jimbaran September 2021'!AJ33</f>
        <v>#DIV/0!</v>
      </c>
      <c r="K23" s="174">
        <f>'FS Jimbaran September 2021'!V33</f>
        <v>0</v>
      </c>
      <c r="L23" s="172" t="e">
        <f>'FS Jimbaran September 2021'!AA33/'FS Jimbaran September 2021'!V33</f>
        <v>#DIV/0!</v>
      </c>
      <c r="M23" s="174">
        <f>+'RNs &amp; Covers September 2021'!B27</f>
        <v>0</v>
      </c>
      <c r="N23" s="174">
        <f>+'RNs &amp; Covers September 2021'!C27</f>
        <v>0</v>
      </c>
    </row>
    <row r="24" spans="1:14" x14ac:dyDescent="0.25">
      <c r="A24" s="160" t="s">
        <v>49</v>
      </c>
      <c r="B24" s="161">
        <f t="shared" si="0"/>
        <v>23</v>
      </c>
      <c r="C24" s="162">
        <v>9</v>
      </c>
      <c r="D24" s="161">
        <v>2021</v>
      </c>
      <c r="E24" s="174">
        <f>'FS Jimbaran September 2021'!P34</f>
        <v>0</v>
      </c>
      <c r="F24" s="172" t="e">
        <f>'FS Jimbaran September 2021'!O34/'FS Jimbaran September 2021'!P34</f>
        <v>#DIV/0!</v>
      </c>
      <c r="G24" s="174">
        <f>'FS Jimbaran September 2021'!AG34</f>
        <v>0</v>
      </c>
      <c r="H24" s="172" t="e">
        <f>'FS Jimbaran September 2021'!AH34/'FS Jimbaran September 2021'!AG34</f>
        <v>#DIV/0!</v>
      </c>
      <c r="I24" s="174">
        <f>'FS Jimbaran September 2021'!AJ34</f>
        <v>0</v>
      </c>
      <c r="J24" s="164" t="e">
        <f>'FS Jimbaran September 2021'!AK34/'FS Jimbaran September 2021'!AJ34</f>
        <v>#DIV/0!</v>
      </c>
      <c r="K24" s="174">
        <f>'FS Jimbaran September 2021'!V34</f>
        <v>0</v>
      </c>
      <c r="L24" s="172" t="e">
        <f>'FS Jimbaran September 2021'!AA34/'FS Jimbaran September 2021'!V34</f>
        <v>#DIV/0!</v>
      </c>
      <c r="M24" s="174">
        <f>+'RNs &amp; Covers September 2021'!B28</f>
        <v>0</v>
      </c>
      <c r="N24" s="174">
        <f>+'RNs &amp; Covers September 2021'!C28</f>
        <v>0</v>
      </c>
    </row>
    <row r="25" spans="1:14" x14ac:dyDescent="0.25">
      <c r="A25" s="160" t="s">
        <v>49</v>
      </c>
      <c r="B25" s="161">
        <f t="shared" si="0"/>
        <v>24</v>
      </c>
      <c r="C25" s="162">
        <v>9</v>
      </c>
      <c r="D25" s="161">
        <v>2021</v>
      </c>
      <c r="E25" s="174">
        <f>'FS Jimbaran September 2021'!P35</f>
        <v>0</v>
      </c>
      <c r="F25" s="172" t="e">
        <f>'FS Jimbaran September 2021'!O35/'FS Jimbaran September 2021'!P35</f>
        <v>#DIV/0!</v>
      </c>
      <c r="G25" s="174">
        <f>'FS Jimbaran September 2021'!AG35</f>
        <v>0</v>
      </c>
      <c r="H25" s="172" t="e">
        <f>'FS Jimbaran September 2021'!AH35/'FS Jimbaran September 2021'!AG35</f>
        <v>#DIV/0!</v>
      </c>
      <c r="I25" s="174">
        <f>'FS Jimbaran September 2021'!AJ35</f>
        <v>0</v>
      </c>
      <c r="J25" s="164" t="e">
        <f>'FS Jimbaran September 2021'!AK35/'FS Jimbaran September 2021'!AJ35</f>
        <v>#DIV/0!</v>
      </c>
      <c r="K25" s="174">
        <f>'FS Jimbaran September 2021'!V35</f>
        <v>0</v>
      </c>
      <c r="L25" s="172" t="e">
        <f>'FS Jimbaran September 2021'!AA35/'FS Jimbaran September 2021'!V35</f>
        <v>#DIV/0!</v>
      </c>
      <c r="M25" s="174">
        <f>+'RNs &amp; Covers September 2021'!B29</f>
        <v>0</v>
      </c>
      <c r="N25" s="174">
        <f>+'RNs &amp; Covers September 2021'!C29</f>
        <v>0</v>
      </c>
    </row>
    <row r="26" spans="1:14" x14ac:dyDescent="0.25">
      <c r="A26" s="160" t="s">
        <v>49</v>
      </c>
      <c r="B26" s="161">
        <f>B25+1</f>
        <v>25</v>
      </c>
      <c r="C26" s="162">
        <v>9</v>
      </c>
      <c r="D26" s="161">
        <v>2021</v>
      </c>
      <c r="E26" s="174">
        <f>'FS Jimbaran September 2021'!P36</f>
        <v>0</v>
      </c>
      <c r="F26" s="172" t="e">
        <f>'FS Jimbaran September 2021'!O36/'FS Jimbaran September 2021'!P36</f>
        <v>#DIV/0!</v>
      </c>
      <c r="G26" s="174">
        <f>'FS Jimbaran September 2021'!AG36</f>
        <v>0</v>
      </c>
      <c r="H26" s="172" t="e">
        <f>'FS Jimbaran September 2021'!AH36/'FS Jimbaran September 2021'!AG36</f>
        <v>#DIV/0!</v>
      </c>
      <c r="I26" s="174">
        <f>'FS Jimbaran September 2021'!AJ36</f>
        <v>0</v>
      </c>
      <c r="J26" s="164" t="e">
        <f>'FS Jimbaran September 2021'!AK36/'FS Jimbaran September 2021'!AJ36</f>
        <v>#DIV/0!</v>
      </c>
      <c r="K26" s="174">
        <f>'FS Jimbaran September 2021'!V36</f>
        <v>0</v>
      </c>
      <c r="L26" s="172" t="e">
        <f>'FS Jimbaran September 2021'!AA36/'FS Jimbaran September 2021'!V36</f>
        <v>#DIV/0!</v>
      </c>
      <c r="M26" s="174">
        <f>+'RNs &amp; Covers September 2021'!B30</f>
        <v>0</v>
      </c>
      <c r="N26" s="174">
        <f>+'RNs &amp; Covers September 2021'!C30</f>
        <v>0</v>
      </c>
    </row>
    <row r="27" spans="1:14" x14ac:dyDescent="0.25">
      <c r="A27" s="160" t="s">
        <v>49</v>
      </c>
      <c r="B27" s="161">
        <f t="shared" si="0"/>
        <v>26</v>
      </c>
      <c r="C27" s="162">
        <v>9</v>
      </c>
      <c r="D27" s="161">
        <v>2021</v>
      </c>
      <c r="E27" s="174">
        <f>'FS Jimbaran September 2021'!P37</f>
        <v>0</v>
      </c>
      <c r="F27" s="172" t="e">
        <f>'FS Jimbaran September 2021'!O37/'FS Jimbaran September 2021'!P37</f>
        <v>#DIV/0!</v>
      </c>
      <c r="G27" s="174">
        <f>'FS Jimbaran September 2021'!AG37</f>
        <v>0</v>
      </c>
      <c r="H27" s="172" t="e">
        <f>'FS Jimbaran September 2021'!AH37/'FS Jimbaran September 2021'!AG37</f>
        <v>#DIV/0!</v>
      </c>
      <c r="I27" s="174">
        <f>'FS Jimbaran September 2021'!AJ37</f>
        <v>0</v>
      </c>
      <c r="J27" s="164" t="e">
        <f>'FS Jimbaran September 2021'!AK37/'FS Jimbaran September 2021'!AJ37</f>
        <v>#DIV/0!</v>
      </c>
      <c r="K27" s="174">
        <f>'FS Jimbaran September 2021'!V37</f>
        <v>0</v>
      </c>
      <c r="L27" s="172" t="e">
        <f>'FS Jimbaran September 2021'!AA37/'FS Jimbaran September 2021'!V37</f>
        <v>#DIV/0!</v>
      </c>
      <c r="M27" s="174">
        <f>+'RNs &amp; Covers September 2021'!B31</f>
        <v>0</v>
      </c>
      <c r="N27" s="174">
        <f>+'RNs &amp; Covers September 2021'!C31</f>
        <v>0</v>
      </c>
    </row>
    <row r="28" spans="1:14" x14ac:dyDescent="0.25">
      <c r="A28" s="160" t="s">
        <v>49</v>
      </c>
      <c r="B28" s="161">
        <f t="shared" si="0"/>
        <v>27</v>
      </c>
      <c r="C28" s="162">
        <v>9</v>
      </c>
      <c r="D28" s="161">
        <v>2021</v>
      </c>
      <c r="E28" s="174">
        <f>'FS Jimbaran September 2021'!P38</f>
        <v>0</v>
      </c>
      <c r="F28" s="172" t="e">
        <f>'FS Jimbaran September 2021'!O38/'FS Jimbaran September 2021'!P38</f>
        <v>#DIV/0!</v>
      </c>
      <c r="G28" s="174">
        <f>'FS Jimbaran September 2021'!AG38</f>
        <v>0</v>
      </c>
      <c r="H28" s="172" t="e">
        <f>'FS Jimbaran September 2021'!AH38/'FS Jimbaran September 2021'!AG38</f>
        <v>#DIV/0!</v>
      </c>
      <c r="I28" s="174">
        <f>'FS Jimbaran September 2021'!AJ38</f>
        <v>0</v>
      </c>
      <c r="J28" s="164" t="e">
        <f>'FS Jimbaran September 2021'!AK38/'FS Jimbaran September 2021'!AJ38</f>
        <v>#DIV/0!</v>
      </c>
      <c r="K28" s="174">
        <f>'FS Jimbaran September 2021'!V38</f>
        <v>0</v>
      </c>
      <c r="L28" s="172" t="e">
        <f>'FS Jimbaran September 2021'!AA38/'FS Jimbaran September 2021'!V38</f>
        <v>#DIV/0!</v>
      </c>
      <c r="M28" s="174">
        <f>+'RNs &amp; Covers September 2021'!B32</f>
        <v>0</v>
      </c>
      <c r="N28" s="174">
        <f>+'RNs &amp; Covers September 2021'!C32</f>
        <v>0</v>
      </c>
    </row>
    <row r="29" spans="1:14" x14ac:dyDescent="0.25">
      <c r="A29" s="160" t="s">
        <v>49</v>
      </c>
      <c r="B29" s="161">
        <f t="shared" si="0"/>
        <v>28</v>
      </c>
      <c r="C29" s="162">
        <v>9</v>
      </c>
      <c r="D29" s="161">
        <v>2021</v>
      </c>
      <c r="E29" s="174">
        <f>'FS Jimbaran September 2021'!P39</f>
        <v>0</v>
      </c>
      <c r="F29" s="172" t="e">
        <f>'FS Jimbaran September 2021'!O39/'FS Jimbaran September 2021'!P39</f>
        <v>#DIV/0!</v>
      </c>
      <c r="G29" s="174">
        <f>'FS Jimbaran September 2021'!AG39</f>
        <v>0</v>
      </c>
      <c r="H29" s="172" t="e">
        <f>'FS Jimbaran September 2021'!AH39/'FS Jimbaran September 2021'!AG39</f>
        <v>#DIV/0!</v>
      </c>
      <c r="I29" s="174">
        <f>'FS Jimbaran September 2021'!AJ39</f>
        <v>0</v>
      </c>
      <c r="J29" s="164" t="e">
        <f>'FS Jimbaran September 2021'!AK39/'FS Jimbaran September 2021'!AJ39</f>
        <v>#DIV/0!</v>
      </c>
      <c r="K29" s="174">
        <f>'FS Jimbaran September 2021'!V39</f>
        <v>0</v>
      </c>
      <c r="L29" s="172" t="e">
        <f>'FS Jimbaran September 2021'!AA39/'FS Jimbaran September 2021'!V39</f>
        <v>#DIV/0!</v>
      </c>
      <c r="M29" s="174">
        <f>+'RNs &amp; Covers September 2021'!B33</f>
        <v>0</v>
      </c>
      <c r="N29" s="174">
        <f>+'RNs &amp; Covers September 2021'!C33</f>
        <v>0</v>
      </c>
    </row>
    <row r="30" spans="1:14" x14ac:dyDescent="0.25">
      <c r="A30" s="160" t="s">
        <v>49</v>
      </c>
      <c r="B30" s="161">
        <f t="shared" si="0"/>
        <v>29</v>
      </c>
      <c r="C30" s="162">
        <v>9</v>
      </c>
      <c r="D30" s="161">
        <v>2021</v>
      </c>
      <c r="E30" s="174">
        <f>'FS Jimbaran September 2021'!P40</f>
        <v>0</v>
      </c>
      <c r="F30" s="172" t="e">
        <f>'FS Jimbaran September 2021'!O40/'FS Jimbaran September 2021'!P40</f>
        <v>#DIV/0!</v>
      </c>
      <c r="G30" s="174">
        <f>'FS Jimbaran September 2021'!AG40</f>
        <v>0</v>
      </c>
      <c r="H30" s="172" t="e">
        <f>'FS Jimbaran September 2021'!AH40/'FS Jimbaran September 2021'!AG40</f>
        <v>#DIV/0!</v>
      </c>
      <c r="I30" s="174">
        <f>'FS Jimbaran September 2021'!AJ40</f>
        <v>0</v>
      </c>
      <c r="J30" s="164" t="e">
        <f>'FS Jimbaran September 2021'!AK40/'FS Jimbaran September 2021'!AJ40</f>
        <v>#DIV/0!</v>
      </c>
      <c r="K30" s="174">
        <f>'FS Jimbaran September 2021'!V40</f>
        <v>0</v>
      </c>
      <c r="L30" s="172" t="e">
        <f>'FS Jimbaran September 2021'!AA40/'FS Jimbaran September 2021'!V40</f>
        <v>#DIV/0!</v>
      </c>
      <c r="M30" s="174">
        <f>+'RNs &amp; Covers September 2021'!B34</f>
        <v>0</v>
      </c>
      <c r="N30" s="174">
        <f>+'RNs &amp; Covers September 2021'!C34</f>
        <v>0</v>
      </c>
    </row>
    <row r="31" spans="1:14" x14ac:dyDescent="0.25">
      <c r="A31" s="160" t="s">
        <v>49</v>
      </c>
      <c r="B31" s="161">
        <f t="shared" si="0"/>
        <v>30</v>
      </c>
      <c r="C31" s="162">
        <v>9</v>
      </c>
      <c r="D31" s="161">
        <v>2021</v>
      </c>
      <c r="E31" s="174">
        <f>'FS Jimbaran September 2021'!P41</f>
        <v>0</v>
      </c>
      <c r="F31" s="172" t="e">
        <f>'FS Jimbaran September 2021'!O41/'FS Jimbaran September 2021'!P41</f>
        <v>#DIV/0!</v>
      </c>
      <c r="G31" s="174">
        <f>'FS Jimbaran September 2021'!AG41</f>
        <v>0</v>
      </c>
      <c r="H31" s="172" t="e">
        <f>'FS Jimbaran September 2021'!AH41/'FS Jimbaran September 2021'!AG41</f>
        <v>#DIV/0!</v>
      </c>
      <c r="I31" s="174">
        <f>'FS Jimbaran September 2021'!AJ41</f>
        <v>0</v>
      </c>
      <c r="J31" s="164" t="e">
        <f>'FS Jimbaran September 2021'!AK41/'FS Jimbaran September 2021'!AJ41</f>
        <v>#DIV/0!</v>
      </c>
      <c r="K31" s="174">
        <f>'FS Jimbaran September 2021'!V41</f>
        <v>0</v>
      </c>
      <c r="L31" s="172" t="e">
        <f>'FS Jimbaran September 2021'!AA41/'FS Jimbaran September 2021'!V41</f>
        <v>#DIV/0!</v>
      </c>
      <c r="M31" s="174">
        <f>+'RNs &amp; Covers September 2021'!B35</f>
        <v>0</v>
      </c>
      <c r="N31" s="174">
        <f>+'RNs &amp; Covers September 2021'!C35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M69"/>
  <sheetViews>
    <sheetView zoomScale="62" zoomScaleNormal="62" workbookViewId="0">
      <pane xSplit="4" ySplit="10" topLeftCell="E11" activePane="bottomRight" state="frozen"/>
      <selection pane="topRight" activeCell="E1" sqref="E1"/>
      <selection pane="bottomLeft" activeCell="A11" sqref="A11"/>
      <selection pane="bottomRight" activeCell="C12" sqref="C12:D31"/>
    </sheetView>
  </sheetViews>
  <sheetFormatPr defaultRowHeight="15.75" x14ac:dyDescent="0.25"/>
  <cols>
    <col min="1" max="1" width="3.7109375" style="15" customWidth="1"/>
    <col min="2" max="2" width="8.7109375" style="15" customWidth="1"/>
    <col min="3" max="3" width="8.7109375" style="4" customWidth="1"/>
    <col min="4" max="4" width="9.140625" customWidth="1"/>
    <col min="5" max="5" width="14.7109375" style="4" customWidth="1"/>
    <col min="6" max="6" width="17.7109375" style="4" customWidth="1"/>
    <col min="7" max="7" width="14.85546875" customWidth="1"/>
    <col min="8" max="8" width="17.140625" style="4" customWidth="1"/>
    <col min="9" max="9" width="17" customWidth="1"/>
    <col min="10" max="10" width="14" customWidth="1"/>
    <col min="11" max="11" width="17.42578125" customWidth="1"/>
    <col min="12" max="12" width="14.140625" style="4" customWidth="1"/>
    <col min="13" max="13" width="18.28515625" style="64" bestFit="1" customWidth="1"/>
    <col min="14" max="14" width="20.42578125" style="68" customWidth="1"/>
    <col min="15" max="15" width="18.85546875" customWidth="1"/>
    <col min="16" max="16" width="15.140625" style="68" customWidth="1"/>
    <col min="17" max="17" width="19.7109375" customWidth="1"/>
    <col min="18" max="18" width="18.140625" style="89" customWidth="1"/>
    <col min="19" max="19" width="24.28515625" customWidth="1"/>
    <col min="20" max="20" width="21.140625" bestFit="1" customWidth="1"/>
    <col min="21" max="21" width="18.85546875" customWidth="1"/>
    <col min="22" max="22" width="19.7109375" customWidth="1"/>
    <col min="23" max="24" width="21.140625" bestFit="1" customWidth="1"/>
    <col min="25" max="25" width="19.7109375" bestFit="1" customWidth="1"/>
    <col min="26" max="26" width="21.28515625" bestFit="1" customWidth="1"/>
    <col min="27" max="27" width="17.85546875" bestFit="1" customWidth="1"/>
    <col min="28" max="28" width="9.85546875" customWidth="1"/>
    <col min="29" max="29" width="15.85546875" bestFit="1" customWidth="1"/>
    <col min="30" max="30" width="12.85546875" style="4" bestFit="1" customWidth="1"/>
    <col min="31" max="31" width="14.85546875" customWidth="1"/>
    <col min="32" max="32" width="12.28515625" bestFit="1" customWidth="1"/>
    <col min="33" max="33" width="10" bestFit="1" customWidth="1"/>
    <col min="34" max="34" width="19" style="4" customWidth="1"/>
    <col min="35" max="35" width="10.5703125" customWidth="1"/>
    <col min="36" max="36" width="13.28515625" style="89" bestFit="1" customWidth="1"/>
    <col min="37" max="37" width="20.7109375" bestFit="1" customWidth="1"/>
    <col min="38" max="38" width="9.42578125" style="41" bestFit="1" customWidth="1"/>
    <col min="39" max="39" width="2.28515625" style="15" customWidth="1"/>
  </cols>
  <sheetData>
    <row r="5" spans="1:39" x14ac:dyDescent="0.25">
      <c r="N5" s="175"/>
      <c r="X5" s="176"/>
    </row>
    <row r="6" spans="1:39" s="27" customFormat="1" ht="19.5" thickBot="1" x14ac:dyDescent="0.35">
      <c r="B6" s="27" t="s">
        <v>28</v>
      </c>
      <c r="C6" s="36"/>
      <c r="E6" s="36"/>
      <c r="F6" s="36"/>
      <c r="H6" s="36"/>
      <c r="L6" s="36"/>
      <c r="M6" s="59"/>
      <c r="N6" s="65"/>
      <c r="P6" s="65"/>
      <c r="R6" s="85"/>
      <c r="AD6" s="36"/>
      <c r="AH6" s="36"/>
      <c r="AJ6" s="85"/>
      <c r="AL6" s="38"/>
    </row>
    <row r="7" spans="1:39" s="12" customFormat="1" ht="16.5" thickBot="1" x14ac:dyDescent="0.3">
      <c r="A7" s="32"/>
      <c r="B7" s="234" t="s">
        <v>54</v>
      </c>
      <c r="C7" s="235"/>
      <c r="D7" s="235"/>
      <c r="E7" s="235"/>
      <c r="F7" s="235"/>
      <c r="G7" s="235"/>
      <c r="H7" s="235"/>
      <c r="I7" s="235"/>
      <c r="J7" s="235"/>
      <c r="K7" s="235"/>
      <c r="L7" s="235"/>
      <c r="M7" s="235"/>
      <c r="N7" s="235"/>
      <c r="O7" s="235"/>
      <c r="P7" s="235"/>
      <c r="Q7" s="235"/>
      <c r="R7" s="235"/>
      <c r="S7" s="235"/>
      <c r="T7" s="235"/>
      <c r="U7" s="235"/>
      <c r="V7" s="235"/>
      <c r="W7" s="235"/>
      <c r="X7" s="235"/>
      <c r="Y7" s="235"/>
      <c r="Z7" s="235"/>
      <c r="AA7" s="235"/>
      <c r="AB7" s="235"/>
      <c r="AC7" s="235"/>
      <c r="AD7" s="235"/>
      <c r="AE7" s="235"/>
      <c r="AF7" s="235"/>
      <c r="AG7" s="235"/>
      <c r="AH7" s="235"/>
      <c r="AI7" s="235"/>
      <c r="AJ7" s="235"/>
      <c r="AK7" s="235"/>
      <c r="AL7" s="236"/>
      <c r="AM7" s="32"/>
    </row>
    <row r="8" spans="1:39" s="8" customFormat="1" ht="15.75" customHeight="1" thickBot="1" x14ac:dyDescent="0.3">
      <c r="A8" s="28"/>
      <c r="B8" s="237" t="s">
        <v>1</v>
      </c>
      <c r="C8" s="240" t="s">
        <v>2</v>
      </c>
      <c r="D8" s="243" t="s">
        <v>3</v>
      </c>
      <c r="E8" s="246" t="s">
        <v>34</v>
      </c>
      <c r="F8" s="246"/>
      <c r="G8" s="246"/>
      <c r="H8" s="246"/>
      <c r="I8" s="246"/>
      <c r="J8" s="246"/>
      <c r="K8" s="246"/>
      <c r="L8" s="246"/>
      <c r="M8" s="246"/>
      <c r="N8" s="246"/>
      <c r="O8" s="246"/>
      <c r="P8" s="246"/>
      <c r="Q8" s="246"/>
      <c r="R8" s="246"/>
      <c r="S8" s="246"/>
      <c r="T8" s="246"/>
      <c r="U8" s="247"/>
      <c r="V8" s="248" t="s">
        <v>19</v>
      </c>
      <c r="W8" s="249"/>
      <c r="X8" s="249"/>
      <c r="Y8" s="249"/>
      <c r="Z8" s="249"/>
      <c r="AA8" s="249"/>
      <c r="AB8" s="250"/>
      <c r="AC8" s="251" t="s">
        <v>24</v>
      </c>
      <c r="AD8" s="251"/>
      <c r="AE8" s="251"/>
      <c r="AF8" s="251"/>
      <c r="AG8" s="251"/>
      <c r="AH8" s="251"/>
      <c r="AI8" s="251"/>
      <c r="AJ8" s="251"/>
      <c r="AK8" s="251"/>
      <c r="AL8" s="252"/>
      <c r="AM8" s="30"/>
    </row>
    <row r="9" spans="1:39" ht="15" customHeight="1" thickBot="1" x14ac:dyDescent="0.3">
      <c r="A9" s="31"/>
      <c r="B9" s="238"/>
      <c r="C9" s="241"/>
      <c r="D9" s="244"/>
      <c r="E9" s="253" t="s">
        <v>33</v>
      </c>
      <c r="F9" s="254"/>
      <c r="G9" s="254"/>
      <c r="H9" s="254"/>
      <c r="I9" s="255"/>
      <c r="J9" s="256" t="s">
        <v>5</v>
      </c>
      <c r="K9" s="256"/>
      <c r="L9" s="256"/>
      <c r="M9" s="256"/>
      <c r="N9" s="257"/>
      <c r="O9" s="243" t="s">
        <v>12</v>
      </c>
      <c r="P9" s="258" t="s">
        <v>32</v>
      </c>
      <c r="Q9" s="221" t="s">
        <v>52</v>
      </c>
      <c r="R9" s="226" t="s">
        <v>21</v>
      </c>
      <c r="S9" s="228" t="s">
        <v>13</v>
      </c>
      <c r="T9" s="230" t="s">
        <v>18</v>
      </c>
      <c r="U9" s="231"/>
      <c r="V9" s="53"/>
      <c r="W9" s="53" t="s">
        <v>4</v>
      </c>
      <c r="X9" s="53"/>
      <c r="Y9" s="54"/>
      <c r="Z9" s="179"/>
      <c r="AA9" s="232" t="s">
        <v>27</v>
      </c>
      <c r="AB9" s="233"/>
      <c r="AC9" s="251" t="s">
        <v>22</v>
      </c>
      <c r="AD9" s="251"/>
      <c r="AE9" s="251"/>
      <c r="AF9" s="251"/>
      <c r="AG9" s="251"/>
      <c r="AH9" s="251"/>
      <c r="AI9" s="252"/>
      <c r="AJ9" s="223" t="s">
        <v>20</v>
      </c>
      <c r="AK9" s="224"/>
      <c r="AL9" s="225"/>
      <c r="AM9" s="31"/>
    </row>
    <row r="10" spans="1:39" ht="61.5" customHeight="1" thickBot="1" x14ac:dyDescent="0.3">
      <c r="A10" s="29"/>
      <c r="B10" s="239"/>
      <c r="C10" s="242"/>
      <c r="D10" s="245"/>
      <c r="E10" s="99" t="s">
        <v>35</v>
      </c>
      <c r="F10" s="83" t="s">
        <v>6</v>
      </c>
      <c r="G10" s="133" t="s">
        <v>36</v>
      </c>
      <c r="H10" s="19" t="s">
        <v>6</v>
      </c>
      <c r="I10" s="100" t="s">
        <v>14</v>
      </c>
      <c r="J10" s="99" t="s">
        <v>35</v>
      </c>
      <c r="K10" s="84" t="s">
        <v>6</v>
      </c>
      <c r="L10" s="133" t="s">
        <v>36</v>
      </c>
      <c r="M10" s="60" t="s">
        <v>6</v>
      </c>
      <c r="N10" s="92" t="s">
        <v>15</v>
      </c>
      <c r="O10" s="245"/>
      <c r="P10" s="259"/>
      <c r="Q10" s="222"/>
      <c r="R10" s="227"/>
      <c r="S10" s="229"/>
      <c r="T10" s="180" t="s">
        <v>16</v>
      </c>
      <c r="U10" s="24" t="s">
        <v>17</v>
      </c>
      <c r="V10" s="181" t="s">
        <v>8</v>
      </c>
      <c r="W10" s="55" t="s">
        <v>0</v>
      </c>
      <c r="X10" s="55" t="s">
        <v>26</v>
      </c>
      <c r="Y10" s="23" t="s">
        <v>10</v>
      </c>
      <c r="Z10" s="23" t="s">
        <v>30</v>
      </c>
      <c r="AA10" s="23" t="s">
        <v>16</v>
      </c>
      <c r="AB10" s="13" t="s">
        <v>17</v>
      </c>
      <c r="AC10" s="125" t="s">
        <v>7</v>
      </c>
      <c r="AD10" s="48" t="s">
        <v>31</v>
      </c>
      <c r="AE10" s="47" t="s">
        <v>11</v>
      </c>
      <c r="AF10" s="47" t="s">
        <v>9</v>
      </c>
      <c r="AG10" s="47" t="s">
        <v>25</v>
      </c>
      <c r="AH10" s="48" t="s">
        <v>16</v>
      </c>
      <c r="AI10" s="49" t="s">
        <v>17</v>
      </c>
      <c r="AJ10" s="140" t="s">
        <v>23</v>
      </c>
      <c r="AK10" s="47" t="s">
        <v>16</v>
      </c>
      <c r="AL10" s="51" t="s">
        <v>17</v>
      </c>
      <c r="AM10" s="29"/>
    </row>
    <row r="11" spans="1:39" x14ac:dyDescent="0.25">
      <c r="A11" s="29"/>
      <c r="B11" s="57"/>
      <c r="C11" s="101"/>
      <c r="D11" s="182"/>
      <c r="E11" s="183"/>
      <c r="F11" s="90"/>
      <c r="G11" s="20"/>
      <c r="H11" s="21"/>
      <c r="I11" s="102"/>
      <c r="J11" s="91"/>
      <c r="K11" s="20"/>
      <c r="L11" s="21"/>
      <c r="M11" s="61"/>
      <c r="N11" s="93"/>
      <c r="O11" s="56"/>
      <c r="P11" s="110"/>
      <c r="Q11" s="184"/>
      <c r="R11" s="113"/>
      <c r="S11" s="185"/>
      <c r="T11" s="185"/>
      <c r="U11" s="25"/>
      <c r="V11" s="91"/>
      <c r="W11" s="20"/>
      <c r="X11" s="20"/>
      <c r="Y11" s="22"/>
      <c r="Z11" s="22"/>
      <c r="AA11" s="22"/>
      <c r="AB11" s="102"/>
      <c r="AC11" s="126"/>
      <c r="AD11" s="45"/>
      <c r="AE11" s="42"/>
      <c r="AF11" s="42"/>
      <c r="AG11" s="42"/>
      <c r="AH11" s="45"/>
      <c r="AI11" s="46"/>
      <c r="AJ11" s="141"/>
      <c r="AK11" s="42"/>
      <c r="AL11" s="50"/>
      <c r="AM11" s="29"/>
    </row>
    <row r="12" spans="1:39" x14ac:dyDescent="0.25">
      <c r="A12" s="35"/>
      <c r="B12" s="58">
        <v>1</v>
      </c>
      <c r="C12" s="149">
        <v>3</v>
      </c>
      <c r="D12" s="151">
        <v>48</v>
      </c>
      <c r="E12" s="106">
        <v>9879.9999999996544</v>
      </c>
      <c r="F12" s="3">
        <v>10745181.719999623</v>
      </c>
      <c r="G12" s="37">
        <v>2000</v>
      </c>
      <c r="H12" s="3">
        <v>3262707</v>
      </c>
      <c r="I12" s="103">
        <f>F12+H12</f>
        <v>14007888.719999623</v>
      </c>
      <c r="J12" s="106">
        <v>1360.0000000000136</v>
      </c>
      <c r="K12" s="3">
        <v>1479093.8400000148</v>
      </c>
      <c r="L12" s="186">
        <v>359.99999999999943</v>
      </c>
      <c r="M12" s="187">
        <v>587287.25999999908</v>
      </c>
      <c r="N12" s="94">
        <f>+K12+M12</f>
        <v>2066381.1000000138</v>
      </c>
      <c r="O12" s="108">
        <f>N12+I12</f>
        <v>16074269.819999637</v>
      </c>
      <c r="P12" s="111">
        <f>L12+J12+G12+E12</f>
        <v>13599.999999999667</v>
      </c>
      <c r="Q12" s="135"/>
      <c r="R12" s="201"/>
      <c r="S12" s="215"/>
      <c r="T12" s="212"/>
      <c r="U12" s="210">
        <v>0</v>
      </c>
      <c r="V12" s="188">
        <f>Y12+W12</f>
        <v>355</v>
      </c>
      <c r="W12" s="3">
        <v>106</v>
      </c>
      <c r="X12" s="3">
        <v>1904853.3945420643</v>
      </c>
      <c r="Y12" s="33">
        <v>249</v>
      </c>
      <c r="Z12" s="33">
        <v>1177303.9323511103</v>
      </c>
      <c r="AA12" s="33">
        <f t="shared" ref="AA12:AA39" si="0">Z12+X12</f>
        <v>3082157.3268931746</v>
      </c>
      <c r="AB12" s="128">
        <f t="shared" ref="AB12:AB41" si="1">AA12/$AL$47</f>
        <v>237.52589007113656</v>
      </c>
      <c r="AC12" s="134">
        <v>0</v>
      </c>
      <c r="AD12" s="3">
        <v>0</v>
      </c>
      <c r="AE12" s="3">
        <v>50</v>
      </c>
      <c r="AF12" s="3">
        <v>0</v>
      </c>
      <c r="AG12" s="3">
        <f t="shared" ref="AG12:AG31" si="2">+AE12+AF12</f>
        <v>50</v>
      </c>
      <c r="AH12" s="3">
        <v>670000</v>
      </c>
      <c r="AI12" s="43">
        <f t="shared" ref="AI12:AI41" si="3">AH12/$AL$47</f>
        <v>51.633427326721687</v>
      </c>
      <c r="AJ12" s="142">
        <v>366.06999999999971</v>
      </c>
      <c r="AK12" s="3">
        <v>3624092.9999999972</v>
      </c>
      <c r="AL12" s="39">
        <f t="shared" ref="AL12:AL41" si="4">AK12/$AL$47</f>
        <v>279.29006349370241</v>
      </c>
      <c r="AM12" s="7"/>
    </row>
    <row r="13" spans="1:39" x14ac:dyDescent="0.25">
      <c r="A13" s="35"/>
      <c r="B13" s="58">
        <v>2</v>
      </c>
      <c r="C13" s="149">
        <v>5</v>
      </c>
      <c r="D13" s="151">
        <v>43</v>
      </c>
      <c r="E13" s="106">
        <v>9600.0000000003638</v>
      </c>
      <c r="F13" s="3">
        <v>10440662.400000395</v>
      </c>
      <c r="G13" s="37">
        <v>1959.9999999999227</v>
      </c>
      <c r="H13" s="3">
        <v>3197452.8599998741</v>
      </c>
      <c r="I13" s="103">
        <f t="shared" ref="I13:I41" si="5">F13+H13</f>
        <v>13638115.26000027</v>
      </c>
      <c r="J13" s="106">
        <v>1360.0000000000136</v>
      </c>
      <c r="K13" s="3">
        <v>1479093.8400000148</v>
      </c>
      <c r="L13" s="186">
        <v>340.00000000000341</v>
      </c>
      <c r="M13" s="187">
        <v>554660.19000000553</v>
      </c>
      <c r="N13" s="94">
        <f t="shared" ref="N13:N41" si="6">+K13+M13</f>
        <v>2033754.0300000203</v>
      </c>
      <c r="O13" s="108">
        <f t="shared" ref="O13:O39" si="7">N13+I13</f>
        <v>15671869.29000029</v>
      </c>
      <c r="P13" s="111">
        <f t="shared" ref="P13:P39" si="8">L13+J13+G13+E13</f>
        <v>13260.000000000304</v>
      </c>
      <c r="Q13" s="191"/>
      <c r="R13" s="202"/>
      <c r="S13" s="215"/>
      <c r="T13" s="212"/>
      <c r="U13" s="210">
        <v>0</v>
      </c>
      <c r="V13" s="188">
        <f t="shared" ref="V13:V41" si="9">Y13+W13</f>
        <v>734</v>
      </c>
      <c r="W13" s="3">
        <v>128</v>
      </c>
      <c r="X13" s="3">
        <v>2300200.3254847568</v>
      </c>
      <c r="Y13" s="33">
        <v>606</v>
      </c>
      <c r="Z13" s="33">
        <v>2865245.7148786057</v>
      </c>
      <c r="AA13" s="33">
        <f t="shared" si="0"/>
        <v>5165446.0403633621</v>
      </c>
      <c r="AB13" s="128">
        <f t="shared" si="1"/>
        <v>398.07415333612528</v>
      </c>
      <c r="AC13" s="134">
        <v>0</v>
      </c>
      <c r="AD13" s="3">
        <v>0</v>
      </c>
      <c r="AE13" s="3">
        <v>50</v>
      </c>
      <c r="AF13" s="3">
        <v>0</v>
      </c>
      <c r="AG13" s="3">
        <f t="shared" si="2"/>
        <v>50</v>
      </c>
      <c r="AH13" s="3">
        <v>670000</v>
      </c>
      <c r="AI13" s="43">
        <f t="shared" si="3"/>
        <v>51.633427326721687</v>
      </c>
      <c r="AJ13" s="142">
        <v>254.29000000000087</v>
      </c>
      <c r="AK13" s="3">
        <v>2517471.0000000088</v>
      </c>
      <c r="AL13" s="39">
        <f t="shared" si="4"/>
        <v>194.00844168004451</v>
      </c>
      <c r="AM13" s="7"/>
    </row>
    <row r="14" spans="1:39" x14ac:dyDescent="0.25">
      <c r="A14" s="35"/>
      <c r="B14" s="58">
        <v>3</v>
      </c>
      <c r="C14" s="149">
        <v>6</v>
      </c>
      <c r="D14" s="151">
        <v>84</v>
      </c>
      <c r="E14" s="106">
        <v>9679.9999999998363</v>
      </c>
      <c r="F14" s="3">
        <v>10527667.919999823</v>
      </c>
      <c r="G14" s="37">
        <v>2240.0000000000091</v>
      </c>
      <c r="H14" s="3">
        <v>3654231.8400000152</v>
      </c>
      <c r="I14" s="103">
        <f t="shared" si="5"/>
        <v>14181899.759999838</v>
      </c>
      <c r="J14" s="106">
        <v>1359.9999999999568</v>
      </c>
      <c r="K14" s="3">
        <v>1479093.8399999528</v>
      </c>
      <c r="L14" s="186">
        <v>400.00000000000568</v>
      </c>
      <c r="M14" s="187">
        <v>652541.40000000934</v>
      </c>
      <c r="N14" s="94">
        <f t="shared" si="6"/>
        <v>2131635.239999962</v>
      </c>
      <c r="O14" s="108">
        <f t="shared" si="7"/>
        <v>16313534.999999799</v>
      </c>
      <c r="P14" s="111">
        <f t="shared" si="8"/>
        <v>13679.999999999807</v>
      </c>
      <c r="Q14" s="191"/>
      <c r="R14" s="202"/>
      <c r="S14" s="215"/>
      <c r="T14" s="212"/>
      <c r="U14" s="210">
        <v>0</v>
      </c>
      <c r="V14" s="188">
        <f t="shared" si="9"/>
        <v>626</v>
      </c>
      <c r="W14" s="3">
        <v>89</v>
      </c>
      <c r="X14" s="3">
        <v>1599358.0388136201</v>
      </c>
      <c r="Y14" s="33">
        <v>537</v>
      </c>
      <c r="Z14" s="33">
        <v>2539004.8661548039</v>
      </c>
      <c r="AA14" s="33">
        <f t="shared" si="0"/>
        <v>4138362.9049684238</v>
      </c>
      <c r="AB14" s="128">
        <f t="shared" si="1"/>
        <v>318.92217956013127</v>
      </c>
      <c r="AC14" s="134">
        <v>0</v>
      </c>
      <c r="AD14" s="3">
        <v>0</v>
      </c>
      <c r="AE14" s="3">
        <v>100</v>
      </c>
      <c r="AF14" s="3">
        <v>12</v>
      </c>
      <c r="AG14" s="3">
        <f t="shared" si="2"/>
        <v>112</v>
      </c>
      <c r="AH14" s="3">
        <v>1477500</v>
      </c>
      <c r="AI14" s="43">
        <f t="shared" si="3"/>
        <v>113.86326697795715</v>
      </c>
      <c r="AJ14" s="142">
        <v>341.29999999999563</v>
      </c>
      <c r="AK14" s="3">
        <v>3378869.9999999567</v>
      </c>
      <c r="AL14" s="39">
        <f t="shared" si="4"/>
        <v>260.39199789766843</v>
      </c>
      <c r="AM14" s="7"/>
    </row>
    <row r="15" spans="1:39" x14ac:dyDescent="0.25">
      <c r="A15" s="35"/>
      <c r="B15" s="58">
        <v>4</v>
      </c>
      <c r="C15" s="149">
        <v>5</v>
      </c>
      <c r="D15" s="151">
        <v>67</v>
      </c>
      <c r="E15" s="106">
        <v>10000</v>
      </c>
      <c r="F15" s="3">
        <v>10875690</v>
      </c>
      <c r="G15" s="37">
        <v>1960.0000000000364</v>
      </c>
      <c r="H15" s="3">
        <v>3197452.8600000595</v>
      </c>
      <c r="I15" s="103">
        <f t="shared" si="5"/>
        <v>14073142.860000059</v>
      </c>
      <c r="J15" s="106">
        <v>1480.0000000000182</v>
      </c>
      <c r="K15" s="3">
        <v>1609602.1200000197</v>
      </c>
      <c r="L15" s="186">
        <v>379.99999999999545</v>
      </c>
      <c r="M15" s="187">
        <v>619914.32999999262</v>
      </c>
      <c r="N15" s="94">
        <f t="shared" si="6"/>
        <v>2229516.4500000123</v>
      </c>
      <c r="O15" s="108">
        <f t="shared" si="7"/>
        <v>16302659.310000071</v>
      </c>
      <c r="P15" s="111">
        <f t="shared" si="8"/>
        <v>13820.000000000051</v>
      </c>
      <c r="Q15" s="191"/>
      <c r="R15" s="202"/>
      <c r="S15" s="215"/>
      <c r="T15" s="212"/>
      <c r="U15" s="210">
        <v>0</v>
      </c>
      <c r="V15" s="188">
        <f t="shared" si="9"/>
        <v>560</v>
      </c>
      <c r="W15" s="3">
        <v>94</v>
      </c>
      <c r="X15" s="3">
        <v>1689209.6140278683</v>
      </c>
      <c r="Y15" s="33">
        <v>466</v>
      </c>
      <c r="Z15" s="33">
        <v>2203307.7609462547</v>
      </c>
      <c r="AA15" s="33">
        <f t="shared" si="0"/>
        <v>3892517.3749741232</v>
      </c>
      <c r="AB15" s="128">
        <f t="shared" si="1"/>
        <v>299.97613880407141</v>
      </c>
      <c r="AC15" s="134">
        <v>0</v>
      </c>
      <c r="AD15" s="3">
        <v>0</v>
      </c>
      <c r="AE15" s="3">
        <v>100</v>
      </c>
      <c r="AF15" s="3">
        <v>12</v>
      </c>
      <c r="AG15" s="3">
        <f t="shared" si="2"/>
        <v>112</v>
      </c>
      <c r="AH15" s="3">
        <v>1477500</v>
      </c>
      <c r="AI15" s="43">
        <f t="shared" si="3"/>
        <v>113.86326697795715</v>
      </c>
      <c r="AJ15" s="142">
        <v>322.18000000002212</v>
      </c>
      <c r="AK15" s="3">
        <v>3189582.0000002189</v>
      </c>
      <c r="AL15" s="39">
        <f t="shared" si="4"/>
        <v>245.80455283527002</v>
      </c>
      <c r="AM15" s="7"/>
    </row>
    <row r="16" spans="1:39" x14ac:dyDescent="0.25">
      <c r="A16" s="35"/>
      <c r="B16" s="58">
        <v>5</v>
      </c>
      <c r="C16" s="149">
        <v>5</v>
      </c>
      <c r="D16" s="151">
        <v>84</v>
      </c>
      <c r="E16" s="106">
        <v>9679.9999999998363</v>
      </c>
      <c r="F16" s="3">
        <v>10527667.919999823</v>
      </c>
      <c r="G16" s="37">
        <v>2159.9999999999682</v>
      </c>
      <c r="H16" s="3">
        <v>3523723.5599999484</v>
      </c>
      <c r="I16" s="103">
        <f t="shared" si="5"/>
        <v>14051391.479999771</v>
      </c>
      <c r="J16" s="106">
        <v>1439.9999999999977</v>
      </c>
      <c r="K16" s="3">
        <v>1566099.3599999975</v>
      </c>
      <c r="L16" s="186">
        <v>379.99999999999545</v>
      </c>
      <c r="M16" s="187">
        <v>619914.32999999262</v>
      </c>
      <c r="N16" s="94">
        <f t="shared" si="6"/>
        <v>2186013.6899999902</v>
      </c>
      <c r="O16" s="108">
        <f t="shared" si="7"/>
        <v>16237405.169999762</v>
      </c>
      <c r="P16" s="111">
        <f t="shared" si="8"/>
        <v>13659.999999999798</v>
      </c>
      <c r="Q16" s="191"/>
      <c r="R16" s="202"/>
      <c r="S16" s="215"/>
      <c r="T16" s="212"/>
      <c r="U16" s="210">
        <v>0</v>
      </c>
      <c r="V16" s="188">
        <f t="shared" si="9"/>
        <v>455</v>
      </c>
      <c r="W16" s="3">
        <v>123</v>
      </c>
      <c r="X16" s="3">
        <v>2210348.7502705087</v>
      </c>
      <c r="Y16" s="33">
        <v>332</v>
      </c>
      <c r="Z16" s="33">
        <v>1569738.5764681469</v>
      </c>
      <c r="AA16" s="33">
        <f t="shared" si="0"/>
        <v>3780087.3267386556</v>
      </c>
      <c r="AB16" s="128">
        <f t="shared" si="1"/>
        <v>291.31173772212242</v>
      </c>
      <c r="AC16" s="134">
        <v>0</v>
      </c>
      <c r="AD16" s="3">
        <v>0</v>
      </c>
      <c r="AE16" s="3">
        <v>100</v>
      </c>
      <c r="AF16" s="3">
        <v>12</v>
      </c>
      <c r="AG16" s="3">
        <f t="shared" si="2"/>
        <v>112</v>
      </c>
      <c r="AH16" s="3">
        <v>1477500</v>
      </c>
      <c r="AI16" s="43">
        <f t="shared" si="3"/>
        <v>113.86326697795715</v>
      </c>
      <c r="AJ16" s="142">
        <v>287.83000000000175</v>
      </c>
      <c r="AK16" s="3">
        <v>2849517.0000000172</v>
      </c>
      <c r="AL16" s="39">
        <f t="shared" si="4"/>
        <v>219.597505874267</v>
      </c>
      <c r="AM16" s="7"/>
    </row>
    <row r="17" spans="1:39" x14ac:dyDescent="0.25">
      <c r="A17" s="35"/>
      <c r="B17" s="58">
        <v>6</v>
      </c>
      <c r="C17" s="149">
        <v>4</v>
      </c>
      <c r="D17" s="151">
        <v>65</v>
      </c>
      <c r="E17" s="106">
        <v>9880.0000000001091</v>
      </c>
      <c r="F17" s="3">
        <v>10745181.720000118</v>
      </c>
      <c r="G17" s="37">
        <v>1920.0000000000728</v>
      </c>
      <c r="H17" s="3">
        <v>3132198.7200001189</v>
      </c>
      <c r="I17" s="103">
        <f t="shared" si="5"/>
        <v>13877380.440000236</v>
      </c>
      <c r="J17" s="106">
        <v>1420.0000000000159</v>
      </c>
      <c r="K17" s="3">
        <v>1544347.9800000172</v>
      </c>
      <c r="L17" s="186">
        <v>380.00000000000966</v>
      </c>
      <c r="M17" s="187">
        <v>619914.33000001579</v>
      </c>
      <c r="N17" s="94">
        <f t="shared" si="6"/>
        <v>2164262.3100000331</v>
      </c>
      <c r="O17" s="108">
        <f t="shared" si="7"/>
        <v>16041642.750000268</v>
      </c>
      <c r="P17" s="111">
        <f t="shared" si="8"/>
        <v>13600.000000000207</v>
      </c>
      <c r="Q17" s="191"/>
      <c r="R17" s="202"/>
      <c r="S17" s="215"/>
      <c r="T17" s="212"/>
      <c r="U17" s="210">
        <v>0</v>
      </c>
      <c r="V17" s="188">
        <f t="shared" si="9"/>
        <v>627</v>
      </c>
      <c r="W17" s="3">
        <v>149</v>
      </c>
      <c r="X17" s="3">
        <v>2677576.9413845995</v>
      </c>
      <c r="Y17" s="33">
        <v>478</v>
      </c>
      <c r="Z17" s="33">
        <v>2260045.2998547419</v>
      </c>
      <c r="AA17" s="33">
        <f t="shared" si="0"/>
        <v>4937622.241239341</v>
      </c>
      <c r="AB17" s="128">
        <f t="shared" si="1"/>
        <v>380.5169539699047</v>
      </c>
      <c r="AC17" s="134">
        <v>0</v>
      </c>
      <c r="AD17" s="3">
        <v>0</v>
      </c>
      <c r="AE17" s="3">
        <v>100</v>
      </c>
      <c r="AF17" s="3">
        <v>12</v>
      </c>
      <c r="AG17" s="3">
        <f t="shared" si="2"/>
        <v>112</v>
      </c>
      <c r="AH17" s="3">
        <v>1477500</v>
      </c>
      <c r="AI17" s="43">
        <f t="shared" si="3"/>
        <v>113.86326697795715</v>
      </c>
      <c r="AJ17" s="142">
        <v>321.56999999999971</v>
      </c>
      <c r="AK17" s="3">
        <v>3183542.9999999972</v>
      </c>
      <c r="AL17" s="39">
        <f t="shared" si="4"/>
        <v>245.33915840596029</v>
      </c>
      <c r="AM17" s="7"/>
    </row>
    <row r="18" spans="1:39" x14ac:dyDescent="0.25">
      <c r="A18" s="35"/>
      <c r="B18" s="58">
        <v>7</v>
      </c>
      <c r="C18" s="149">
        <v>4</v>
      </c>
      <c r="D18" s="151">
        <v>56</v>
      </c>
      <c r="E18" s="106">
        <v>10119.999999999891</v>
      </c>
      <c r="F18" s="3">
        <v>11006198.27999988</v>
      </c>
      <c r="G18" s="37">
        <v>2039.9999999999636</v>
      </c>
      <c r="H18" s="3">
        <v>3327961.139999941</v>
      </c>
      <c r="I18" s="103">
        <f t="shared" si="5"/>
        <v>14334159.419999821</v>
      </c>
      <c r="J18" s="106">
        <v>1399.9999999999773</v>
      </c>
      <c r="K18" s="3">
        <v>1522596.5999999754</v>
      </c>
      <c r="L18" s="186">
        <v>339.9999999999892</v>
      </c>
      <c r="M18" s="187">
        <v>554660.18999998248</v>
      </c>
      <c r="N18" s="94">
        <f t="shared" si="6"/>
        <v>2077256.7899999579</v>
      </c>
      <c r="O18" s="108">
        <f t="shared" si="7"/>
        <v>16411416.209999779</v>
      </c>
      <c r="P18" s="111">
        <f t="shared" si="8"/>
        <v>13899.999999999822</v>
      </c>
      <c r="Q18" s="191"/>
      <c r="R18" s="202"/>
      <c r="S18" s="215"/>
      <c r="T18" s="212"/>
      <c r="U18" s="210">
        <v>0</v>
      </c>
      <c r="V18" s="188">
        <f t="shared" si="9"/>
        <v>519</v>
      </c>
      <c r="W18" s="3">
        <v>114</v>
      </c>
      <c r="X18" s="3">
        <v>2048615.9148848616</v>
      </c>
      <c r="Y18" s="33">
        <v>405</v>
      </c>
      <c r="Z18" s="33">
        <v>1914891.9381614444</v>
      </c>
      <c r="AA18" s="33">
        <f t="shared" si="0"/>
        <v>3963507.8530463059</v>
      </c>
      <c r="AB18" s="128">
        <f t="shared" si="1"/>
        <v>305.44700699874198</v>
      </c>
      <c r="AC18" s="134">
        <v>0</v>
      </c>
      <c r="AD18" s="3">
        <v>0</v>
      </c>
      <c r="AE18" s="3">
        <v>100</v>
      </c>
      <c r="AF18" s="3">
        <v>12</v>
      </c>
      <c r="AG18" s="3">
        <f t="shared" si="2"/>
        <v>112</v>
      </c>
      <c r="AH18" s="3">
        <v>1477500</v>
      </c>
      <c r="AI18" s="43">
        <f t="shared" si="3"/>
        <v>113.86326697795715</v>
      </c>
      <c r="AJ18" s="142">
        <v>287.50999999999476</v>
      </c>
      <c r="AK18" s="3">
        <v>2846348.9999999483</v>
      </c>
      <c r="AL18" s="39">
        <f t="shared" si="4"/>
        <v>219.35336453430489</v>
      </c>
      <c r="AM18" s="7"/>
    </row>
    <row r="19" spans="1:39" x14ac:dyDescent="0.25">
      <c r="A19" s="35"/>
      <c r="B19" s="58">
        <v>8</v>
      </c>
      <c r="C19" s="149">
        <v>3</v>
      </c>
      <c r="D19" s="151">
        <v>58</v>
      </c>
      <c r="E19" s="106">
        <v>10160.000000000309</v>
      </c>
      <c r="F19" s="3">
        <v>11049701.040000336</v>
      </c>
      <c r="G19" s="37">
        <v>2080.0000000000409</v>
      </c>
      <c r="H19" s="3">
        <v>3393215.2800000673</v>
      </c>
      <c r="I19" s="103">
        <f t="shared" si="5"/>
        <v>14442916.320000403</v>
      </c>
      <c r="J19" s="106">
        <v>1340.0000000000318</v>
      </c>
      <c r="K19" s="3">
        <v>1457342.4600000347</v>
      </c>
      <c r="L19" s="186">
        <v>359.99999999999943</v>
      </c>
      <c r="M19" s="187">
        <v>587287.25999999908</v>
      </c>
      <c r="N19" s="94">
        <f t="shared" si="6"/>
        <v>2044629.7200000337</v>
      </c>
      <c r="O19" s="108">
        <f t="shared" si="7"/>
        <v>16487546.040000437</v>
      </c>
      <c r="P19" s="111">
        <f t="shared" si="8"/>
        <v>13940.000000000382</v>
      </c>
      <c r="Q19" s="191"/>
      <c r="R19" s="202"/>
      <c r="S19" s="215"/>
      <c r="T19" s="212"/>
      <c r="U19" s="210">
        <v>0</v>
      </c>
      <c r="V19" s="188">
        <f t="shared" si="9"/>
        <v>526</v>
      </c>
      <c r="W19" s="3">
        <v>102</v>
      </c>
      <c r="X19" s="3">
        <v>1832972.1343706655</v>
      </c>
      <c r="Y19" s="33">
        <v>424</v>
      </c>
      <c r="Z19" s="33">
        <v>2004726.3747665491</v>
      </c>
      <c r="AA19" s="33">
        <f t="shared" si="0"/>
        <v>3837698.5091372146</v>
      </c>
      <c r="AB19" s="128">
        <f t="shared" si="1"/>
        <v>295.75153294537989</v>
      </c>
      <c r="AC19" s="134">
        <v>0</v>
      </c>
      <c r="AD19" s="3">
        <v>0</v>
      </c>
      <c r="AE19" s="3">
        <v>100</v>
      </c>
      <c r="AF19" s="3">
        <v>12</v>
      </c>
      <c r="AG19" s="3">
        <f t="shared" si="2"/>
        <v>112</v>
      </c>
      <c r="AH19" s="3">
        <v>1477500</v>
      </c>
      <c r="AI19" s="43">
        <f t="shared" si="3"/>
        <v>113.86326697795715</v>
      </c>
      <c r="AJ19" s="142">
        <v>359.20999999999913</v>
      </c>
      <c r="AK19" s="3">
        <v>3556178.9999999912</v>
      </c>
      <c r="AL19" s="39">
        <f t="shared" si="4"/>
        <v>274.05628351837811</v>
      </c>
      <c r="AM19" s="7"/>
    </row>
    <row r="20" spans="1:39" x14ac:dyDescent="0.25">
      <c r="A20" s="35"/>
      <c r="B20" s="58">
        <v>9</v>
      </c>
      <c r="C20" s="149">
        <v>2</v>
      </c>
      <c r="D20" s="151">
        <v>61</v>
      </c>
      <c r="E20" s="106">
        <v>10000</v>
      </c>
      <c r="F20" s="3">
        <v>10875690</v>
      </c>
      <c r="G20" s="37">
        <v>1959.9999999999227</v>
      </c>
      <c r="H20" s="3">
        <v>3197452.8599998741</v>
      </c>
      <c r="I20" s="103">
        <f t="shared" si="5"/>
        <v>14073142.859999875</v>
      </c>
      <c r="J20" s="106">
        <v>1399.9999999999773</v>
      </c>
      <c r="K20" s="3">
        <v>1522596.5999999754</v>
      </c>
      <c r="L20" s="186">
        <v>360.00000000001364</v>
      </c>
      <c r="M20" s="187">
        <v>587287.26000002236</v>
      </c>
      <c r="N20" s="94">
        <f t="shared" si="6"/>
        <v>2109883.8599999975</v>
      </c>
      <c r="O20" s="108">
        <f t="shared" si="7"/>
        <v>16183026.719999872</v>
      </c>
      <c r="P20" s="111">
        <f t="shared" si="8"/>
        <v>13719.999999999913</v>
      </c>
      <c r="Q20" s="191"/>
      <c r="R20" s="202"/>
      <c r="S20" s="215"/>
      <c r="T20" s="212"/>
      <c r="U20" s="210">
        <v>0</v>
      </c>
      <c r="V20" s="188">
        <f t="shared" si="9"/>
        <v>665</v>
      </c>
      <c r="W20" s="3">
        <v>128</v>
      </c>
      <c r="X20" s="3">
        <v>2300200.3254847568</v>
      </c>
      <c r="Y20" s="33">
        <v>537</v>
      </c>
      <c r="Z20" s="33">
        <v>2539004.8661548039</v>
      </c>
      <c r="AA20" s="33">
        <f t="shared" si="0"/>
        <v>4839205.1916395612</v>
      </c>
      <c r="AB20" s="128">
        <f t="shared" si="1"/>
        <v>372.93246206211279</v>
      </c>
      <c r="AC20" s="134">
        <v>0</v>
      </c>
      <c r="AD20" s="3">
        <v>0</v>
      </c>
      <c r="AE20" s="3">
        <v>100</v>
      </c>
      <c r="AF20" s="3">
        <v>12</v>
      </c>
      <c r="AG20" s="3">
        <f t="shared" si="2"/>
        <v>112</v>
      </c>
      <c r="AH20" s="3">
        <v>1477500</v>
      </c>
      <c r="AI20" s="43">
        <f t="shared" si="3"/>
        <v>113.86326697795715</v>
      </c>
      <c r="AJ20" s="142">
        <v>206.70000000000437</v>
      </c>
      <c r="AK20" s="3">
        <v>2046330.0000000433</v>
      </c>
      <c r="AL20" s="39">
        <f t="shared" si="4"/>
        <v>157.7000467783472</v>
      </c>
      <c r="AM20" s="7"/>
    </row>
    <row r="21" spans="1:39" x14ac:dyDescent="0.25">
      <c r="A21" s="35"/>
      <c r="B21" s="58">
        <v>10</v>
      </c>
      <c r="C21" s="149">
        <v>2</v>
      </c>
      <c r="D21" s="151">
        <v>88</v>
      </c>
      <c r="E21" s="106">
        <v>10159.999999999854</v>
      </c>
      <c r="F21" s="3">
        <v>11049701.039999843</v>
      </c>
      <c r="G21" s="37">
        <v>2000</v>
      </c>
      <c r="H21" s="3">
        <v>3262707</v>
      </c>
      <c r="I21" s="103">
        <f t="shared" si="5"/>
        <v>14312408.039999843</v>
      </c>
      <c r="J21" s="106">
        <v>1400.0000000000341</v>
      </c>
      <c r="K21" s="3">
        <v>1522596.6000000371</v>
      </c>
      <c r="L21" s="186">
        <v>419.99999999998749</v>
      </c>
      <c r="M21" s="187">
        <v>685168.4699999796</v>
      </c>
      <c r="N21" s="94">
        <f t="shared" si="6"/>
        <v>2207765.0700000166</v>
      </c>
      <c r="O21" s="108">
        <f t="shared" si="7"/>
        <v>16520173.10999986</v>
      </c>
      <c r="P21" s="111">
        <f t="shared" si="8"/>
        <v>13979.999999999876</v>
      </c>
      <c r="Q21" s="191"/>
      <c r="R21" s="202"/>
      <c r="S21" s="215"/>
      <c r="T21" s="212"/>
      <c r="U21" s="210">
        <v>0</v>
      </c>
      <c r="V21" s="188">
        <f t="shared" si="9"/>
        <v>476</v>
      </c>
      <c r="W21" s="3">
        <v>128</v>
      </c>
      <c r="X21" s="3">
        <v>2300200.3254847568</v>
      </c>
      <c r="Y21" s="33">
        <v>348</v>
      </c>
      <c r="Z21" s="33">
        <v>1645388.62834613</v>
      </c>
      <c r="AA21" s="33">
        <f t="shared" si="0"/>
        <v>3945588.9538308866</v>
      </c>
      <c r="AB21" s="128">
        <f t="shared" si="1"/>
        <v>304.06609031155659</v>
      </c>
      <c r="AC21" s="134">
        <v>0</v>
      </c>
      <c r="AD21" s="3">
        <v>0</v>
      </c>
      <c r="AE21" s="3">
        <v>100</v>
      </c>
      <c r="AF21" s="3">
        <v>12</v>
      </c>
      <c r="AG21" s="3">
        <f t="shared" si="2"/>
        <v>112</v>
      </c>
      <c r="AH21" s="3">
        <v>1477500</v>
      </c>
      <c r="AI21" s="43">
        <f t="shared" si="3"/>
        <v>113.86326697795715</v>
      </c>
      <c r="AJ21" s="142">
        <v>318.40999999999622</v>
      </c>
      <c r="AK21" s="3">
        <v>3152258.9999999627</v>
      </c>
      <c r="AL21" s="39">
        <f t="shared" si="4"/>
        <v>242.92826267388426</v>
      </c>
      <c r="AM21" s="7"/>
    </row>
    <row r="22" spans="1:39" x14ac:dyDescent="0.25">
      <c r="A22" s="35"/>
      <c r="B22" s="58">
        <v>11</v>
      </c>
      <c r="C22" s="149">
        <v>1</v>
      </c>
      <c r="D22" s="151">
        <v>55</v>
      </c>
      <c r="E22" s="106">
        <v>9800.0000000001819</v>
      </c>
      <c r="F22" s="3">
        <v>10658176.200000199</v>
      </c>
      <c r="G22" s="37">
        <v>1879.9999999999955</v>
      </c>
      <c r="H22" s="3">
        <v>3066944.5799999931</v>
      </c>
      <c r="I22" s="103">
        <f t="shared" si="5"/>
        <v>13725120.780000191</v>
      </c>
      <c r="J22" s="106">
        <v>1339.999999999975</v>
      </c>
      <c r="K22" s="3">
        <v>1457342.459999973</v>
      </c>
      <c r="L22" s="186">
        <v>340.00000000000341</v>
      </c>
      <c r="M22" s="187">
        <v>554660.19000000553</v>
      </c>
      <c r="N22" s="94">
        <f t="shared" si="6"/>
        <v>2012002.6499999785</v>
      </c>
      <c r="O22" s="108">
        <f t="shared" si="7"/>
        <v>15737123.430000169</v>
      </c>
      <c r="P22" s="111">
        <f t="shared" si="8"/>
        <v>13360.000000000156</v>
      </c>
      <c r="Q22" s="191"/>
      <c r="R22" s="202"/>
      <c r="S22" s="215"/>
      <c r="T22" s="212"/>
      <c r="U22" s="210">
        <v>0</v>
      </c>
      <c r="V22" s="188">
        <f t="shared" si="9"/>
        <v>387</v>
      </c>
      <c r="W22" s="3">
        <v>128</v>
      </c>
      <c r="X22" s="3">
        <v>2300200.3254847568</v>
      </c>
      <c r="Y22" s="33">
        <v>259</v>
      </c>
      <c r="Z22" s="33">
        <v>1224585.2147748496</v>
      </c>
      <c r="AA22" s="33">
        <f t="shared" si="0"/>
        <v>3524785.5402596062</v>
      </c>
      <c r="AB22" s="128">
        <f t="shared" si="1"/>
        <v>271.63695229145344</v>
      </c>
      <c r="AC22" s="134">
        <v>0</v>
      </c>
      <c r="AD22" s="3">
        <v>0</v>
      </c>
      <c r="AE22" s="3">
        <v>100</v>
      </c>
      <c r="AF22" s="3">
        <v>12</v>
      </c>
      <c r="AG22" s="3">
        <f t="shared" si="2"/>
        <v>112</v>
      </c>
      <c r="AH22" s="3">
        <v>1477500</v>
      </c>
      <c r="AI22" s="43">
        <f t="shared" si="3"/>
        <v>113.86326697795715</v>
      </c>
      <c r="AJ22" s="142">
        <v>118.94000000000233</v>
      </c>
      <c r="AK22" s="3">
        <v>1177506.0000000231</v>
      </c>
      <c r="AL22" s="39">
        <f t="shared" si="4"/>
        <v>90.744284295193935</v>
      </c>
      <c r="AM22" s="7"/>
    </row>
    <row r="23" spans="1:39" x14ac:dyDescent="0.25">
      <c r="A23" s="35"/>
      <c r="B23" s="58">
        <v>12</v>
      </c>
      <c r="C23" s="149">
        <v>2</v>
      </c>
      <c r="D23" s="151">
        <v>63</v>
      </c>
      <c r="E23" s="106">
        <v>9359.9999999996726</v>
      </c>
      <c r="F23" s="3">
        <v>10179645.839999644</v>
      </c>
      <c r="G23" s="37">
        <v>1840.0000000000318</v>
      </c>
      <c r="H23" s="3">
        <v>3001690.4400000521</v>
      </c>
      <c r="I23" s="103">
        <f t="shared" si="5"/>
        <v>13181336.279999696</v>
      </c>
      <c r="J23" s="106">
        <v>1279.9999999999727</v>
      </c>
      <c r="K23" s="3">
        <v>1392088.3199999705</v>
      </c>
      <c r="L23" s="186">
        <v>320.00000000000739</v>
      </c>
      <c r="M23" s="187">
        <v>522033.1200000121</v>
      </c>
      <c r="N23" s="94">
        <f t="shared" si="6"/>
        <v>1914121.4399999827</v>
      </c>
      <c r="O23" s="108">
        <f t="shared" si="7"/>
        <v>15095457.719999678</v>
      </c>
      <c r="P23" s="111">
        <f t="shared" si="8"/>
        <v>12799.999999999683</v>
      </c>
      <c r="Q23" s="191"/>
      <c r="R23" s="202"/>
      <c r="S23" s="215"/>
      <c r="T23" s="212"/>
      <c r="U23" s="210">
        <v>0</v>
      </c>
      <c r="V23" s="188">
        <f t="shared" si="9"/>
        <v>567</v>
      </c>
      <c r="W23" s="3">
        <v>128</v>
      </c>
      <c r="X23" s="3">
        <v>2300200.3254847568</v>
      </c>
      <c r="Y23" s="33">
        <v>439</v>
      </c>
      <c r="Z23" s="33">
        <v>2075648.2984021583</v>
      </c>
      <c r="AA23" s="33">
        <f t="shared" si="0"/>
        <v>4375848.6238869149</v>
      </c>
      <c r="AB23" s="128">
        <f t="shared" si="1"/>
        <v>337.22397300626881</v>
      </c>
      <c r="AC23" s="134">
        <v>0</v>
      </c>
      <c r="AD23" s="3">
        <v>0</v>
      </c>
      <c r="AE23" s="3">
        <v>50</v>
      </c>
      <c r="AF23" s="3">
        <v>12</v>
      </c>
      <c r="AG23" s="3">
        <f t="shared" si="2"/>
        <v>62</v>
      </c>
      <c r="AH23" s="3">
        <v>807500</v>
      </c>
      <c r="AI23" s="43">
        <f t="shared" si="3"/>
        <v>62.229839651235466</v>
      </c>
      <c r="AJ23" s="142">
        <v>119.33000000000175</v>
      </c>
      <c r="AK23" s="3">
        <v>1181367.0000000172</v>
      </c>
      <c r="AL23" s="39">
        <f t="shared" si="4"/>
        <v>91.041831553265837</v>
      </c>
      <c r="AM23" s="7"/>
    </row>
    <row r="24" spans="1:39" x14ac:dyDescent="0.25">
      <c r="A24" s="35"/>
      <c r="B24" s="58">
        <v>13</v>
      </c>
      <c r="C24" s="149">
        <v>1</v>
      </c>
      <c r="D24" s="151">
        <v>24</v>
      </c>
      <c r="E24" s="106">
        <v>9680.000000000291</v>
      </c>
      <c r="F24" s="3">
        <v>10527667.920000317</v>
      </c>
      <c r="G24" s="37">
        <v>1879.9999999999955</v>
      </c>
      <c r="H24" s="3">
        <v>3066944.5799999931</v>
      </c>
      <c r="I24" s="103">
        <f t="shared" si="5"/>
        <v>13594612.500000309</v>
      </c>
      <c r="J24" s="106">
        <v>1220.0000000000273</v>
      </c>
      <c r="K24" s="3">
        <v>1326834.1800000297</v>
      </c>
      <c r="L24" s="186">
        <v>319.99999999999318</v>
      </c>
      <c r="M24" s="187">
        <v>522033.11999998894</v>
      </c>
      <c r="N24" s="94">
        <f t="shared" si="6"/>
        <v>1848867.3000000187</v>
      </c>
      <c r="O24" s="108">
        <f t="shared" si="7"/>
        <v>15443479.800000329</v>
      </c>
      <c r="P24" s="111">
        <f t="shared" si="8"/>
        <v>13100.000000000307</v>
      </c>
      <c r="Q24" s="191"/>
      <c r="R24" s="202"/>
      <c r="S24" s="215"/>
      <c r="T24" s="212"/>
      <c r="U24" s="210">
        <v>0</v>
      </c>
      <c r="V24" s="188">
        <f>Y24+W24</f>
        <v>471</v>
      </c>
      <c r="W24" s="3">
        <v>127</v>
      </c>
      <c r="X24" s="3">
        <v>2282230.0104419072</v>
      </c>
      <c r="Y24" s="33">
        <v>344</v>
      </c>
      <c r="Z24" s="33">
        <v>1626476.1153766343</v>
      </c>
      <c r="AA24" s="33">
        <f t="shared" si="0"/>
        <v>3908706.1258185413</v>
      </c>
      <c r="AB24" s="128">
        <f t="shared" si="1"/>
        <v>301.22372192382613</v>
      </c>
      <c r="AC24" s="134">
        <v>0</v>
      </c>
      <c r="AD24" s="3">
        <v>0</v>
      </c>
      <c r="AE24" s="3">
        <v>50</v>
      </c>
      <c r="AF24" s="3">
        <v>0</v>
      </c>
      <c r="AG24" s="3">
        <f t="shared" si="2"/>
        <v>50</v>
      </c>
      <c r="AH24" s="3">
        <v>670000</v>
      </c>
      <c r="AI24" s="43">
        <f t="shared" si="3"/>
        <v>51.633427326721687</v>
      </c>
      <c r="AJ24" s="142">
        <v>387.80999999999767</v>
      </c>
      <c r="AK24" s="3">
        <v>3839318.9999999767</v>
      </c>
      <c r="AL24" s="39">
        <f t="shared" si="4"/>
        <v>295.87641577701578</v>
      </c>
      <c r="AM24" s="7"/>
    </row>
    <row r="25" spans="1:39" x14ac:dyDescent="0.25">
      <c r="A25" s="35"/>
      <c r="B25" s="58">
        <v>14</v>
      </c>
      <c r="C25" s="149">
        <v>13</v>
      </c>
      <c r="D25" s="151">
        <v>50</v>
      </c>
      <c r="E25" s="106">
        <v>9879.9999999996544</v>
      </c>
      <c r="F25" s="3">
        <v>10745181.719999623</v>
      </c>
      <c r="G25" s="37">
        <v>1879.9999999999955</v>
      </c>
      <c r="H25" s="3">
        <v>3066944.5799999931</v>
      </c>
      <c r="I25" s="103">
        <f t="shared" si="5"/>
        <v>13812126.299999615</v>
      </c>
      <c r="J25" s="106">
        <v>1180.0000000000068</v>
      </c>
      <c r="K25" s="3">
        <v>1283331.4200000076</v>
      </c>
      <c r="L25" s="186">
        <v>340.00000000000341</v>
      </c>
      <c r="M25" s="187">
        <v>554660.19000000553</v>
      </c>
      <c r="N25" s="94">
        <f t="shared" si="6"/>
        <v>1837991.6100000131</v>
      </c>
      <c r="O25" s="108">
        <f t="shared" si="7"/>
        <v>15650117.909999628</v>
      </c>
      <c r="P25" s="111">
        <f t="shared" si="8"/>
        <v>13279.99999999966</v>
      </c>
      <c r="Q25" s="191"/>
      <c r="R25" s="202"/>
      <c r="S25" s="215"/>
      <c r="T25" s="212"/>
      <c r="U25" s="210">
        <v>0</v>
      </c>
      <c r="V25" s="188">
        <f t="shared" si="9"/>
        <v>541</v>
      </c>
      <c r="W25" s="3">
        <v>127</v>
      </c>
      <c r="X25" s="3">
        <v>2282230.0104419072</v>
      </c>
      <c r="Y25" s="33">
        <v>414</v>
      </c>
      <c r="Z25" s="33">
        <v>1957445.0923428098</v>
      </c>
      <c r="AA25" s="33">
        <f t="shared" si="0"/>
        <v>4239675.1027847175</v>
      </c>
      <c r="AB25" s="128">
        <f t="shared" si="1"/>
        <v>326.72978553514326</v>
      </c>
      <c r="AC25" s="134">
        <v>0</v>
      </c>
      <c r="AD25" s="3">
        <v>0</v>
      </c>
      <c r="AE25" s="3">
        <v>100</v>
      </c>
      <c r="AF25" s="3">
        <v>12</v>
      </c>
      <c r="AG25" s="3">
        <f t="shared" si="2"/>
        <v>112</v>
      </c>
      <c r="AH25" s="3">
        <v>1477500</v>
      </c>
      <c r="AI25" s="43">
        <f t="shared" si="3"/>
        <v>113.86326697795715</v>
      </c>
      <c r="AJ25" s="142">
        <v>299.70999999999913</v>
      </c>
      <c r="AK25" s="3">
        <v>2967128.9999999912</v>
      </c>
      <c r="AL25" s="39">
        <f t="shared" si="4"/>
        <v>228.66125312016109</v>
      </c>
      <c r="AM25" s="7"/>
    </row>
    <row r="26" spans="1:39" x14ac:dyDescent="0.25">
      <c r="A26" s="35"/>
      <c r="B26" s="58">
        <v>15</v>
      </c>
      <c r="C26" s="149">
        <v>7</v>
      </c>
      <c r="D26" s="151">
        <v>52</v>
      </c>
      <c r="E26" s="106">
        <v>10120.000000000346</v>
      </c>
      <c r="F26" s="3">
        <v>11006198.280000376</v>
      </c>
      <c r="G26" s="37">
        <v>2039.9999999999636</v>
      </c>
      <c r="H26" s="3">
        <v>3327961.139999941</v>
      </c>
      <c r="I26" s="103">
        <f t="shared" si="5"/>
        <v>14334159.420000317</v>
      </c>
      <c r="J26" s="106">
        <v>1259.9999999999909</v>
      </c>
      <c r="K26" s="3">
        <v>1370336.9399999902</v>
      </c>
      <c r="L26" s="186">
        <v>319.99999999999318</v>
      </c>
      <c r="M26" s="187">
        <v>522033.11999998894</v>
      </c>
      <c r="N26" s="94">
        <f t="shared" si="6"/>
        <v>1892370.0599999791</v>
      </c>
      <c r="O26" s="108">
        <f t="shared" si="7"/>
        <v>16226529.480000295</v>
      </c>
      <c r="P26" s="111">
        <f t="shared" si="8"/>
        <v>13740.000000000293</v>
      </c>
      <c r="Q26" s="191"/>
      <c r="R26" s="202"/>
      <c r="S26" s="215"/>
      <c r="T26" s="212"/>
      <c r="U26" s="210">
        <v>0</v>
      </c>
      <c r="V26" s="188">
        <f t="shared" si="9"/>
        <v>522</v>
      </c>
      <c r="W26" s="3">
        <v>127</v>
      </c>
      <c r="X26" s="3">
        <v>2282230.0104419072</v>
      </c>
      <c r="Y26" s="33">
        <v>395</v>
      </c>
      <c r="Z26" s="33">
        <v>1867610.6557377051</v>
      </c>
      <c r="AA26" s="33">
        <f t="shared" si="0"/>
        <v>4149840.6661796123</v>
      </c>
      <c r="AB26" s="128">
        <f t="shared" si="1"/>
        <v>319.80671112635719</v>
      </c>
      <c r="AC26" s="134">
        <v>0</v>
      </c>
      <c r="AD26" s="3">
        <v>0</v>
      </c>
      <c r="AE26" s="3">
        <v>100</v>
      </c>
      <c r="AF26" s="3">
        <v>12</v>
      </c>
      <c r="AG26" s="3">
        <f t="shared" si="2"/>
        <v>112</v>
      </c>
      <c r="AH26" s="3">
        <v>1477500</v>
      </c>
      <c r="AI26" s="43">
        <f t="shared" si="3"/>
        <v>113.86326697795715</v>
      </c>
      <c r="AJ26" s="142">
        <v>184.90000000000146</v>
      </c>
      <c r="AK26" s="3">
        <v>1830510.0000000144</v>
      </c>
      <c r="AL26" s="39">
        <f t="shared" si="4"/>
        <v>141.06791799378814</v>
      </c>
      <c r="AM26" s="7"/>
    </row>
    <row r="27" spans="1:39" x14ac:dyDescent="0.25">
      <c r="A27" s="35"/>
      <c r="B27" s="58">
        <v>16</v>
      </c>
      <c r="C27" s="149">
        <v>4</v>
      </c>
      <c r="D27" s="151">
        <v>36</v>
      </c>
      <c r="E27" s="106">
        <v>10039.999999999964</v>
      </c>
      <c r="F27" s="3">
        <v>10919192.759999961</v>
      </c>
      <c r="G27" s="37">
        <v>1960.0000000000364</v>
      </c>
      <c r="H27" s="3">
        <v>3197452.8600000595</v>
      </c>
      <c r="I27" s="103">
        <f t="shared" si="5"/>
        <v>14116645.62000002</v>
      </c>
      <c r="J27" s="106">
        <v>1160.000000000025</v>
      </c>
      <c r="K27" s="3">
        <v>1261580.0400000273</v>
      </c>
      <c r="L27" s="186">
        <v>300.00000000001137</v>
      </c>
      <c r="M27" s="187">
        <v>489406.05000001861</v>
      </c>
      <c r="N27" s="94">
        <f t="shared" si="6"/>
        <v>1750986.090000046</v>
      </c>
      <c r="O27" s="108">
        <f t="shared" si="7"/>
        <v>15867631.710000066</v>
      </c>
      <c r="P27" s="111">
        <f t="shared" si="8"/>
        <v>13460.000000000036</v>
      </c>
      <c r="Q27" s="191"/>
      <c r="R27" s="202"/>
      <c r="S27" s="215"/>
      <c r="T27" s="212"/>
      <c r="U27" s="210">
        <v>0</v>
      </c>
      <c r="V27" s="188">
        <f t="shared" si="9"/>
        <v>393</v>
      </c>
      <c r="W27" s="3">
        <v>123</v>
      </c>
      <c r="X27" s="3">
        <v>2210348.7502705087</v>
      </c>
      <c r="Y27" s="33">
        <v>270</v>
      </c>
      <c r="Z27" s="33">
        <v>1276594.6254409628</v>
      </c>
      <c r="AA27" s="33">
        <f t="shared" si="0"/>
        <v>3486943.3757114718</v>
      </c>
      <c r="AB27" s="128">
        <f t="shared" si="1"/>
        <v>268.72065280924159</v>
      </c>
      <c r="AC27" s="134">
        <v>0</v>
      </c>
      <c r="AD27" s="3">
        <v>0</v>
      </c>
      <c r="AE27" s="3">
        <v>50</v>
      </c>
      <c r="AF27" s="3">
        <v>12</v>
      </c>
      <c r="AG27" s="3">
        <f t="shared" si="2"/>
        <v>62</v>
      </c>
      <c r="AH27" s="3">
        <v>807500</v>
      </c>
      <c r="AI27" s="43">
        <f t="shared" si="3"/>
        <v>62.229839651235466</v>
      </c>
      <c r="AJ27" s="142">
        <v>173.80000000000291</v>
      </c>
      <c r="AK27" s="3">
        <v>1720620.0000000289</v>
      </c>
      <c r="AL27" s="39">
        <f t="shared" si="4"/>
        <v>132.59926526403785</v>
      </c>
      <c r="AM27" s="7"/>
    </row>
    <row r="28" spans="1:39" x14ac:dyDescent="0.25">
      <c r="A28" s="35"/>
      <c r="B28" s="58">
        <v>17</v>
      </c>
      <c r="C28" s="149">
        <v>5</v>
      </c>
      <c r="D28" s="151">
        <v>50</v>
      </c>
      <c r="E28" s="106">
        <v>10079.999999999927</v>
      </c>
      <c r="F28" s="3">
        <v>10962695.519999921</v>
      </c>
      <c r="G28" s="37">
        <v>1919.9999999999591</v>
      </c>
      <c r="H28" s="3">
        <v>3132198.7199999336</v>
      </c>
      <c r="I28" s="103">
        <f t="shared" si="5"/>
        <v>14094894.239999855</v>
      </c>
      <c r="J28" s="106">
        <v>1279.9999999999727</v>
      </c>
      <c r="K28" s="3">
        <v>1392088.3199999705</v>
      </c>
      <c r="L28" s="186">
        <v>359.99999999999943</v>
      </c>
      <c r="M28" s="187">
        <v>587287.25999999908</v>
      </c>
      <c r="N28" s="94">
        <f t="shared" si="6"/>
        <v>1979375.5799999696</v>
      </c>
      <c r="O28" s="108">
        <f t="shared" si="7"/>
        <v>16074269.819999825</v>
      </c>
      <c r="P28" s="111">
        <f t="shared" si="8"/>
        <v>13639.999999999858</v>
      </c>
      <c r="Q28" s="191"/>
      <c r="R28" s="204"/>
      <c r="S28" s="215"/>
      <c r="T28" s="212"/>
      <c r="U28" s="210">
        <v>0</v>
      </c>
      <c r="V28" s="188">
        <f t="shared" si="9"/>
        <v>531</v>
      </c>
      <c r="W28" s="3">
        <v>129</v>
      </c>
      <c r="X28" s="3">
        <v>2318170.6405276065</v>
      </c>
      <c r="Y28" s="33">
        <v>402</v>
      </c>
      <c r="Z28" s="33">
        <v>1900707.5534343226</v>
      </c>
      <c r="AA28" s="33">
        <f t="shared" si="0"/>
        <v>4218878.1939619295</v>
      </c>
      <c r="AB28" s="128">
        <f t="shared" si="1"/>
        <v>325.12707556451363</v>
      </c>
      <c r="AC28" s="134">
        <v>0</v>
      </c>
      <c r="AD28" s="3">
        <v>0</v>
      </c>
      <c r="AE28" s="3">
        <v>50</v>
      </c>
      <c r="AF28" s="3">
        <v>12</v>
      </c>
      <c r="AG28" s="3">
        <f t="shared" si="2"/>
        <v>62</v>
      </c>
      <c r="AH28" s="3">
        <v>807500</v>
      </c>
      <c r="AI28" s="43">
        <f t="shared" si="3"/>
        <v>62.229839651235466</v>
      </c>
      <c r="AJ28" s="142">
        <v>174.61000000000058</v>
      </c>
      <c r="AK28" s="3">
        <v>1728639.0000000058</v>
      </c>
      <c r="AL28" s="39">
        <f t="shared" si="4"/>
        <v>133.21724803080173</v>
      </c>
      <c r="AM28" s="7"/>
    </row>
    <row r="29" spans="1:39" x14ac:dyDescent="0.25">
      <c r="A29" s="35"/>
      <c r="B29" s="58">
        <v>18</v>
      </c>
      <c r="C29" s="149">
        <v>6</v>
      </c>
      <c r="D29" s="151">
        <v>102</v>
      </c>
      <c r="E29" s="106">
        <v>10400.000000000091</v>
      </c>
      <c r="F29" s="3">
        <v>11310717.600000098</v>
      </c>
      <c r="G29" s="37">
        <v>2000</v>
      </c>
      <c r="H29" s="3">
        <v>3262707</v>
      </c>
      <c r="I29" s="103">
        <f t="shared" si="5"/>
        <v>14573424.600000098</v>
      </c>
      <c r="J29" s="106">
        <v>1379.9999999999955</v>
      </c>
      <c r="K29" s="3">
        <v>1500845.2199999951</v>
      </c>
      <c r="L29" s="186">
        <v>339.9999999999892</v>
      </c>
      <c r="M29" s="187">
        <v>554660.18999998248</v>
      </c>
      <c r="N29" s="94">
        <f t="shared" si="6"/>
        <v>2055505.4099999776</v>
      </c>
      <c r="O29" s="108">
        <f t="shared" si="7"/>
        <v>16628930.010000076</v>
      </c>
      <c r="P29" s="111">
        <f t="shared" si="8"/>
        <v>14120.000000000076</v>
      </c>
      <c r="Q29" s="192"/>
      <c r="R29" s="205"/>
      <c r="S29" s="215"/>
      <c r="T29" s="212"/>
      <c r="U29" s="210">
        <v>0</v>
      </c>
      <c r="V29" s="188">
        <f t="shared" si="9"/>
        <v>484</v>
      </c>
      <c r="W29" s="3">
        <v>127</v>
      </c>
      <c r="X29" s="3">
        <v>2282230.0104419072</v>
      </c>
      <c r="Y29" s="33">
        <v>357</v>
      </c>
      <c r="Z29" s="33">
        <v>1687941.7825274954</v>
      </c>
      <c r="AA29" s="33">
        <f t="shared" si="0"/>
        <v>3970171.7929694029</v>
      </c>
      <c r="AB29" s="128">
        <f t="shared" si="1"/>
        <v>305.96056230878509</v>
      </c>
      <c r="AC29" s="134">
        <v>0</v>
      </c>
      <c r="AD29" s="3">
        <v>0</v>
      </c>
      <c r="AE29" s="3">
        <v>150</v>
      </c>
      <c r="AF29" s="3">
        <v>12</v>
      </c>
      <c r="AG29" s="3">
        <f t="shared" si="2"/>
        <v>162</v>
      </c>
      <c r="AH29" s="3">
        <v>2147500</v>
      </c>
      <c r="AI29" s="43">
        <f t="shared" si="3"/>
        <v>165.49669430467884</v>
      </c>
      <c r="AJ29" s="142">
        <v>126.99999999999272</v>
      </c>
      <c r="AK29" s="3">
        <v>1257299.9999999281</v>
      </c>
      <c r="AL29" s="39">
        <f t="shared" si="4"/>
        <v>96.89359429534845</v>
      </c>
      <c r="AM29" s="7"/>
    </row>
    <row r="30" spans="1:39" x14ac:dyDescent="0.25">
      <c r="A30" s="35"/>
      <c r="B30" s="58">
        <v>19</v>
      </c>
      <c r="C30" s="149">
        <v>3</v>
      </c>
      <c r="D30" s="151">
        <v>91</v>
      </c>
      <c r="E30" s="106">
        <v>10119.999999999891</v>
      </c>
      <c r="F30" s="3">
        <v>11006198.27999988</v>
      </c>
      <c r="G30" s="37">
        <v>2040.0000000000773</v>
      </c>
      <c r="H30" s="3">
        <v>3327961.1400001268</v>
      </c>
      <c r="I30" s="103">
        <f t="shared" si="5"/>
        <v>14334159.420000007</v>
      </c>
      <c r="J30" s="106">
        <v>1300.0000000000114</v>
      </c>
      <c r="K30" s="3">
        <v>1413839.7000000123</v>
      </c>
      <c r="L30" s="186">
        <v>340.00000000000341</v>
      </c>
      <c r="M30" s="187">
        <v>554660.19000000553</v>
      </c>
      <c r="N30" s="94">
        <f t="shared" si="6"/>
        <v>1968499.8900000178</v>
      </c>
      <c r="O30" s="108">
        <f t="shared" si="7"/>
        <v>16302659.310000025</v>
      </c>
      <c r="P30" s="111">
        <f t="shared" si="8"/>
        <v>13799.999999999982</v>
      </c>
      <c r="Q30" s="191"/>
      <c r="R30" s="191"/>
      <c r="S30" s="215"/>
      <c r="T30" s="212"/>
      <c r="U30" s="210">
        <v>0</v>
      </c>
      <c r="V30" s="188">
        <f t="shared" si="9"/>
        <v>486</v>
      </c>
      <c r="W30" s="3">
        <v>126</v>
      </c>
      <c r="X30" s="3">
        <v>2264259.6953990576</v>
      </c>
      <c r="Y30" s="33">
        <v>360</v>
      </c>
      <c r="Z30" s="33">
        <v>1702126.1672546172</v>
      </c>
      <c r="AA30" s="33">
        <f t="shared" si="0"/>
        <v>3966385.8626536746</v>
      </c>
      <c r="AB30" s="128">
        <f t="shared" si="1"/>
        <v>305.66880028218628</v>
      </c>
      <c r="AC30" s="134">
        <v>0</v>
      </c>
      <c r="AD30" s="3">
        <v>0</v>
      </c>
      <c r="AE30" s="3">
        <v>100</v>
      </c>
      <c r="AF30" s="3">
        <v>12</v>
      </c>
      <c r="AG30" s="3">
        <f t="shared" si="2"/>
        <v>112</v>
      </c>
      <c r="AH30" s="3">
        <v>1477500</v>
      </c>
      <c r="AI30" s="43">
        <f t="shared" si="3"/>
        <v>113.86326697795715</v>
      </c>
      <c r="AJ30" s="142">
        <v>137.34999999999854</v>
      </c>
      <c r="AK30" s="3">
        <v>1359764.9999999856</v>
      </c>
      <c r="AL30" s="39">
        <f t="shared" si="4"/>
        <v>104.79004075958055</v>
      </c>
      <c r="AM30" s="7"/>
    </row>
    <row r="31" spans="1:39" x14ac:dyDescent="0.25">
      <c r="A31" s="35"/>
      <c r="B31" s="58">
        <v>20</v>
      </c>
      <c r="C31" s="149">
        <v>8</v>
      </c>
      <c r="D31" s="151">
        <v>42</v>
      </c>
      <c r="E31" s="106">
        <v>9799.9999999997272</v>
      </c>
      <c r="F31" s="3">
        <v>10658176.199999703</v>
      </c>
      <c r="G31" s="37">
        <v>2000</v>
      </c>
      <c r="H31" s="3">
        <v>3262707</v>
      </c>
      <c r="I31" s="103">
        <f t="shared" si="5"/>
        <v>13920883.199999703</v>
      </c>
      <c r="J31" s="106">
        <v>1240.0000000000091</v>
      </c>
      <c r="K31" s="3">
        <v>1348585.5600000101</v>
      </c>
      <c r="L31" s="186">
        <v>320.00000000000739</v>
      </c>
      <c r="M31" s="187">
        <v>522033.1200000121</v>
      </c>
      <c r="N31" s="94">
        <f t="shared" si="6"/>
        <v>1870618.6800000221</v>
      </c>
      <c r="O31" s="108">
        <f t="shared" si="7"/>
        <v>15791501.879999725</v>
      </c>
      <c r="P31" s="111">
        <f t="shared" si="8"/>
        <v>13359.999999999744</v>
      </c>
      <c r="Q31" s="192"/>
      <c r="R31" s="192"/>
      <c r="S31" s="215"/>
      <c r="T31" s="212"/>
      <c r="U31" s="210">
        <v>0</v>
      </c>
      <c r="V31" s="188">
        <f t="shared" si="9"/>
        <v>462</v>
      </c>
      <c r="W31" s="3">
        <v>128</v>
      </c>
      <c r="X31" s="3">
        <v>2300200.3254847568</v>
      </c>
      <c r="Y31" s="33">
        <v>334</v>
      </c>
      <c r="Z31" s="33">
        <v>1579194.832952895</v>
      </c>
      <c r="AA31" s="33">
        <f t="shared" si="0"/>
        <v>3879395.1584376516</v>
      </c>
      <c r="AB31" s="128">
        <f t="shared" si="1"/>
        <v>298.96487758929322</v>
      </c>
      <c r="AC31" s="134">
        <v>0</v>
      </c>
      <c r="AD31" s="3">
        <v>0</v>
      </c>
      <c r="AE31" s="3">
        <v>50</v>
      </c>
      <c r="AF31" s="3">
        <v>12</v>
      </c>
      <c r="AG31" s="3">
        <f t="shared" si="2"/>
        <v>62</v>
      </c>
      <c r="AH31" s="3">
        <v>807500</v>
      </c>
      <c r="AI31" s="43">
        <f t="shared" si="3"/>
        <v>62.229839651235466</v>
      </c>
      <c r="AJ31" s="142">
        <v>197.77999999999884</v>
      </c>
      <c r="AK31" s="3">
        <v>1958021.9999999884</v>
      </c>
      <c r="AL31" s="39">
        <f t="shared" si="4"/>
        <v>150.89460692704722</v>
      </c>
      <c r="AM31" s="7"/>
    </row>
    <row r="32" spans="1:39" x14ac:dyDescent="0.25">
      <c r="A32" s="35"/>
      <c r="B32" s="58">
        <v>21</v>
      </c>
      <c r="C32" s="149"/>
      <c r="D32" s="151"/>
      <c r="E32" s="106"/>
      <c r="F32" s="3"/>
      <c r="G32" s="37"/>
      <c r="H32" s="3"/>
      <c r="I32" s="103">
        <f t="shared" si="5"/>
        <v>0</v>
      </c>
      <c r="J32" s="106"/>
      <c r="K32" s="3"/>
      <c r="L32" s="186"/>
      <c r="M32" s="187"/>
      <c r="N32" s="94">
        <f>+K32+M32</f>
        <v>0</v>
      </c>
      <c r="O32" s="108">
        <f t="shared" si="7"/>
        <v>0</v>
      </c>
      <c r="P32" s="111">
        <f t="shared" si="8"/>
        <v>0</v>
      </c>
      <c r="Q32" s="191"/>
      <c r="R32" s="203"/>
      <c r="S32" s="215"/>
      <c r="T32" s="212"/>
      <c r="U32" s="210">
        <v>0</v>
      </c>
      <c r="V32" s="188">
        <f t="shared" si="9"/>
        <v>0</v>
      </c>
      <c r="W32" s="3"/>
      <c r="X32" s="3"/>
      <c r="Y32" s="33"/>
      <c r="Z32" s="33"/>
      <c r="AA32" s="33">
        <f t="shared" si="0"/>
        <v>0</v>
      </c>
      <c r="AB32" s="128">
        <f t="shared" si="1"/>
        <v>0</v>
      </c>
      <c r="AC32" s="134">
        <v>0</v>
      </c>
      <c r="AD32" s="3">
        <v>0</v>
      </c>
      <c r="AE32" s="3"/>
      <c r="AF32" s="3"/>
      <c r="AG32" s="3">
        <f t="shared" ref="AG32:AG40" si="10">+AE32+AF32</f>
        <v>0</v>
      </c>
      <c r="AH32" s="3"/>
      <c r="AI32" s="43">
        <f t="shared" si="3"/>
        <v>0</v>
      </c>
      <c r="AJ32" s="142"/>
      <c r="AK32" s="3"/>
      <c r="AL32" s="39">
        <f t="shared" si="4"/>
        <v>0</v>
      </c>
      <c r="AM32" s="7"/>
    </row>
    <row r="33" spans="1:39" x14ac:dyDescent="0.25">
      <c r="A33" s="35"/>
      <c r="B33" s="58">
        <v>22</v>
      </c>
      <c r="C33" s="149"/>
      <c r="D33" s="151"/>
      <c r="E33" s="106"/>
      <c r="F33" s="3"/>
      <c r="G33" s="37"/>
      <c r="H33" s="3"/>
      <c r="I33" s="103">
        <f t="shared" si="5"/>
        <v>0</v>
      </c>
      <c r="J33" s="106"/>
      <c r="K33" s="3"/>
      <c r="L33" s="186"/>
      <c r="M33" s="187"/>
      <c r="N33" s="94">
        <f t="shared" si="6"/>
        <v>0</v>
      </c>
      <c r="O33" s="108">
        <f t="shared" si="7"/>
        <v>0</v>
      </c>
      <c r="P33" s="111">
        <f t="shared" si="8"/>
        <v>0</v>
      </c>
      <c r="Q33" s="191"/>
      <c r="R33" s="204"/>
      <c r="S33" s="215"/>
      <c r="T33" s="212"/>
      <c r="U33" s="210">
        <v>0</v>
      </c>
      <c r="V33" s="188">
        <f t="shared" si="9"/>
        <v>0</v>
      </c>
      <c r="W33" s="3"/>
      <c r="X33" s="3"/>
      <c r="Y33" s="33"/>
      <c r="Z33" s="33"/>
      <c r="AA33" s="33">
        <f t="shared" si="0"/>
        <v>0</v>
      </c>
      <c r="AB33" s="128">
        <f t="shared" si="1"/>
        <v>0</v>
      </c>
      <c r="AC33" s="134">
        <v>0</v>
      </c>
      <c r="AD33" s="3">
        <v>0</v>
      </c>
      <c r="AE33" s="3"/>
      <c r="AF33" s="3"/>
      <c r="AG33" s="3">
        <f t="shared" si="10"/>
        <v>0</v>
      </c>
      <c r="AH33" s="3"/>
      <c r="AI33" s="43">
        <f t="shared" si="3"/>
        <v>0</v>
      </c>
      <c r="AJ33" s="142"/>
      <c r="AK33" s="3"/>
      <c r="AL33" s="39">
        <f t="shared" si="4"/>
        <v>0</v>
      </c>
      <c r="AM33" s="7"/>
    </row>
    <row r="34" spans="1:39" x14ac:dyDescent="0.25">
      <c r="A34" s="35"/>
      <c r="B34" s="58">
        <v>23</v>
      </c>
      <c r="C34" s="149"/>
      <c r="D34" s="151"/>
      <c r="E34" s="106"/>
      <c r="F34" s="3"/>
      <c r="G34" s="37"/>
      <c r="H34" s="3"/>
      <c r="I34" s="103">
        <f t="shared" si="5"/>
        <v>0</v>
      </c>
      <c r="J34" s="106"/>
      <c r="K34" s="3"/>
      <c r="L34" s="186"/>
      <c r="M34" s="187"/>
      <c r="N34" s="94">
        <f t="shared" si="6"/>
        <v>0</v>
      </c>
      <c r="O34" s="108">
        <f t="shared" si="7"/>
        <v>0</v>
      </c>
      <c r="P34" s="111">
        <f t="shared" si="8"/>
        <v>0</v>
      </c>
      <c r="Q34" s="192"/>
      <c r="R34" s="205"/>
      <c r="S34" s="215"/>
      <c r="T34" s="212"/>
      <c r="U34" s="210">
        <v>0</v>
      </c>
      <c r="V34" s="188">
        <f t="shared" si="9"/>
        <v>0</v>
      </c>
      <c r="W34" s="3"/>
      <c r="X34" s="3"/>
      <c r="Y34" s="33"/>
      <c r="Z34" s="33"/>
      <c r="AA34" s="33">
        <f t="shared" si="0"/>
        <v>0</v>
      </c>
      <c r="AB34" s="128">
        <f t="shared" si="1"/>
        <v>0</v>
      </c>
      <c r="AC34" s="134">
        <v>0</v>
      </c>
      <c r="AD34" s="3">
        <v>0</v>
      </c>
      <c r="AE34" s="3"/>
      <c r="AF34" s="3"/>
      <c r="AG34" s="3">
        <f t="shared" si="10"/>
        <v>0</v>
      </c>
      <c r="AH34" s="3"/>
      <c r="AI34" s="43">
        <f t="shared" si="3"/>
        <v>0</v>
      </c>
      <c r="AJ34" s="142"/>
      <c r="AK34" s="3"/>
      <c r="AL34" s="39">
        <f t="shared" si="4"/>
        <v>0</v>
      </c>
      <c r="AM34" s="7"/>
    </row>
    <row r="35" spans="1:39" x14ac:dyDescent="0.25">
      <c r="A35" s="35"/>
      <c r="B35" s="58">
        <v>24</v>
      </c>
      <c r="C35" s="149"/>
      <c r="D35" s="151"/>
      <c r="E35" s="106"/>
      <c r="F35" s="3"/>
      <c r="G35" s="37"/>
      <c r="H35" s="3"/>
      <c r="I35" s="103">
        <f t="shared" si="5"/>
        <v>0</v>
      </c>
      <c r="J35" s="106"/>
      <c r="K35" s="3"/>
      <c r="L35" s="186"/>
      <c r="M35" s="187"/>
      <c r="N35" s="94">
        <f t="shared" si="6"/>
        <v>0</v>
      </c>
      <c r="O35" s="108">
        <f t="shared" si="7"/>
        <v>0</v>
      </c>
      <c r="P35" s="111">
        <f t="shared" si="8"/>
        <v>0</v>
      </c>
      <c r="Q35" s="191"/>
      <c r="R35" s="203"/>
      <c r="S35" s="215"/>
      <c r="T35" s="212"/>
      <c r="U35" s="210">
        <v>0</v>
      </c>
      <c r="V35" s="188">
        <f t="shared" si="9"/>
        <v>0</v>
      </c>
      <c r="W35" s="3"/>
      <c r="X35" s="3"/>
      <c r="Y35" s="33"/>
      <c r="Z35" s="33"/>
      <c r="AA35" s="33">
        <f t="shared" si="0"/>
        <v>0</v>
      </c>
      <c r="AB35" s="128">
        <f t="shared" si="1"/>
        <v>0</v>
      </c>
      <c r="AC35" s="134">
        <v>0</v>
      </c>
      <c r="AD35" s="3">
        <v>0</v>
      </c>
      <c r="AE35" s="3"/>
      <c r="AF35" s="3"/>
      <c r="AG35" s="3">
        <f t="shared" si="10"/>
        <v>0</v>
      </c>
      <c r="AH35" s="3"/>
      <c r="AI35" s="43">
        <f t="shared" si="3"/>
        <v>0</v>
      </c>
      <c r="AJ35" s="142"/>
      <c r="AK35" s="3"/>
      <c r="AL35" s="39">
        <f t="shared" si="4"/>
        <v>0</v>
      </c>
      <c r="AM35" s="7"/>
    </row>
    <row r="36" spans="1:39" x14ac:dyDescent="0.25">
      <c r="A36" s="35"/>
      <c r="B36" s="58">
        <v>25</v>
      </c>
      <c r="C36" s="149"/>
      <c r="D36" s="151"/>
      <c r="E36" s="106"/>
      <c r="F36" s="3"/>
      <c r="G36" s="37"/>
      <c r="H36" s="3"/>
      <c r="I36" s="103">
        <f t="shared" si="5"/>
        <v>0</v>
      </c>
      <c r="J36" s="106"/>
      <c r="K36" s="3"/>
      <c r="L36" s="186"/>
      <c r="M36" s="187"/>
      <c r="N36" s="94">
        <f t="shared" si="6"/>
        <v>0</v>
      </c>
      <c r="O36" s="108">
        <f t="shared" si="7"/>
        <v>0</v>
      </c>
      <c r="P36" s="111">
        <f t="shared" si="8"/>
        <v>0</v>
      </c>
      <c r="Q36" s="191"/>
      <c r="R36" s="203"/>
      <c r="S36" s="215"/>
      <c r="T36" s="212"/>
      <c r="U36" s="210">
        <v>0</v>
      </c>
      <c r="V36" s="188">
        <f t="shared" si="9"/>
        <v>0</v>
      </c>
      <c r="W36" s="3"/>
      <c r="X36" s="3"/>
      <c r="Y36" s="33"/>
      <c r="Z36" s="33"/>
      <c r="AA36" s="33">
        <f t="shared" si="0"/>
        <v>0</v>
      </c>
      <c r="AB36" s="128">
        <f t="shared" si="1"/>
        <v>0</v>
      </c>
      <c r="AC36" s="134">
        <v>0</v>
      </c>
      <c r="AD36" s="3">
        <v>0</v>
      </c>
      <c r="AE36" s="3"/>
      <c r="AF36" s="3"/>
      <c r="AG36" s="3">
        <f t="shared" si="10"/>
        <v>0</v>
      </c>
      <c r="AH36" s="3"/>
      <c r="AI36" s="43">
        <f t="shared" si="3"/>
        <v>0</v>
      </c>
      <c r="AJ36" s="142"/>
      <c r="AK36" s="3"/>
      <c r="AL36" s="39">
        <f t="shared" si="4"/>
        <v>0</v>
      </c>
      <c r="AM36" s="7"/>
    </row>
    <row r="37" spans="1:39" x14ac:dyDescent="0.25">
      <c r="A37" s="35"/>
      <c r="B37" s="58">
        <v>26</v>
      </c>
      <c r="C37" s="149"/>
      <c r="D37" s="151"/>
      <c r="E37" s="106"/>
      <c r="F37" s="3"/>
      <c r="G37" s="37"/>
      <c r="H37" s="3"/>
      <c r="I37" s="103">
        <f t="shared" si="5"/>
        <v>0</v>
      </c>
      <c r="J37" s="106"/>
      <c r="K37" s="3"/>
      <c r="L37" s="186"/>
      <c r="M37" s="187"/>
      <c r="N37" s="94">
        <f t="shared" si="6"/>
        <v>0</v>
      </c>
      <c r="O37" s="108">
        <f t="shared" si="7"/>
        <v>0</v>
      </c>
      <c r="P37" s="111">
        <f t="shared" si="8"/>
        <v>0</v>
      </c>
      <c r="Q37" s="191"/>
      <c r="R37" s="203"/>
      <c r="S37" s="215"/>
      <c r="T37" s="212"/>
      <c r="U37" s="210">
        <v>0</v>
      </c>
      <c r="V37" s="188">
        <f t="shared" si="9"/>
        <v>0</v>
      </c>
      <c r="W37" s="3"/>
      <c r="X37" s="3"/>
      <c r="Y37" s="33"/>
      <c r="Z37" s="33"/>
      <c r="AA37" s="33">
        <f t="shared" si="0"/>
        <v>0</v>
      </c>
      <c r="AB37" s="128">
        <f t="shared" si="1"/>
        <v>0</v>
      </c>
      <c r="AC37" s="134">
        <v>0</v>
      </c>
      <c r="AD37" s="3">
        <v>0</v>
      </c>
      <c r="AE37" s="3"/>
      <c r="AF37" s="3"/>
      <c r="AG37" s="3">
        <f t="shared" si="10"/>
        <v>0</v>
      </c>
      <c r="AH37" s="3"/>
      <c r="AI37" s="43">
        <f t="shared" si="3"/>
        <v>0</v>
      </c>
      <c r="AJ37" s="142"/>
      <c r="AK37" s="3"/>
      <c r="AL37" s="39">
        <f t="shared" si="4"/>
        <v>0</v>
      </c>
      <c r="AM37" s="7"/>
    </row>
    <row r="38" spans="1:39" x14ac:dyDescent="0.25">
      <c r="A38" s="35"/>
      <c r="B38" s="58">
        <v>27</v>
      </c>
      <c r="C38" s="149"/>
      <c r="D38" s="151"/>
      <c r="E38" s="106"/>
      <c r="F38" s="3"/>
      <c r="G38" s="37"/>
      <c r="H38" s="3"/>
      <c r="I38" s="103">
        <f t="shared" si="5"/>
        <v>0</v>
      </c>
      <c r="J38" s="106"/>
      <c r="K38" s="3"/>
      <c r="L38" s="186"/>
      <c r="M38" s="187"/>
      <c r="N38" s="94">
        <f t="shared" si="6"/>
        <v>0</v>
      </c>
      <c r="O38" s="108">
        <f t="shared" si="7"/>
        <v>0</v>
      </c>
      <c r="P38" s="111">
        <f t="shared" si="8"/>
        <v>0</v>
      </c>
      <c r="Q38" s="191"/>
      <c r="R38" s="203"/>
      <c r="S38" s="215"/>
      <c r="T38" s="212"/>
      <c r="U38" s="210">
        <v>0</v>
      </c>
      <c r="V38" s="188">
        <f t="shared" si="9"/>
        <v>0</v>
      </c>
      <c r="W38" s="3"/>
      <c r="X38" s="3"/>
      <c r="Y38" s="33"/>
      <c r="Z38" s="33"/>
      <c r="AA38" s="33">
        <f t="shared" si="0"/>
        <v>0</v>
      </c>
      <c r="AB38" s="128">
        <f t="shared" si="1"/>
        <v>0</v>
      </c>
      <c r="AC38" s="134">
        <v>0</v>
      </c>
      <c r="AD38" s="3">
        <v>0</v>
      </c>
      <c r="AE38" s="3"/>
      <c r="AF38" s="3"/>
      <c r="AG38" s="3">
        <f t="shared" si="10"/>
        <v>0</v>
      </c>
      <c r="AH38" s="3"/>
      <c r="AI38" s="43">
        <f t="shared" si="3"/>
        <v>0</v>
      </c>
      <c r="AJ38" s="142"/>
      <c r="AK38" s="3"/>
      <c r="AL38" s="39">
        <f t="shared" si="4"/>
        <v>0</v>
      </c>
      <c r="AM38" s="7"/>
    </row>
    <row r="39" spans="1:39" x14ac:dyDescent="0.25">
      <c r="A39" s="35"/>
      <c r="B39" s="58">
        <v>28</v>
      </c>
      <c r="C39" s="149"/>
      <c r="D39" s="151"/>
      <c r="E39" s="106"/>
      <c r="F39" s="3"/>
      <c r="G39" s="37"/>
      <c r="H39" s="3"/>
      <c r="I39" s="103">
        <f t="shared" si="5"/>
        <v>0</v>
      </c>
      <c r="J39" s="106"/>
      <c r="K39" s="3"/>
      <c r="L39" s="186"/>
      <c r="M39" s="187"/>
      <c r="N39" s="94">
        <f t="shared" si="6"/>
        <v>0</v>
      </c>
      <c r="O39" s="108">
        <f t="shared" si="7"/>
        <v>0</v>
      </c>
      <c r="P39" s="111">
        <f t="shared" si="8"/>
        <v>0</v>
      </c>
      <c r="Q39" s="191"/>
      <c r="R39" s="206"/>
      <c r="S39" s="215"/>
      <c r="T39" s="212"/>
      <c r="U39" s="210">
        <v>0</v>
      </c>
      <c r="V39" s="188">
        <f t="shared" si="9"/>
        <v>0</v>
      </c>
      <c r="W39" s="3"/>
      <c r="X39" s="3"/>
      <c r="Y39" s="33"/>
      <c r="Z39" s="33"/>
      <c r="AA39" s="33">
        <f t="shared" si="0"/>
        <v>0</v>
      </c>
      <c r="AB39" s="128">
        <f t="shared" si="1"/>
        <v>0</v>
      </c>
      <c r="AC39" s="134">
        <v>0</v>
      </c>
      <c r="AD39" s="3">
        <v>0</v>
      </c>
      <c r="AE39" s="3"/>
      <c r="AF39" s="3"/>
      <c r="AG39" s="3">
        <f t="shared" si="10"/>
        <v>0</v>
      </c>
      <c r="AH39" s="3"/>
      <c r="AI39" s="43">
        <f t="shared" si="3"/>
        <v>0</v>
      </c>
      <c r="AJ39" s="142"/>
      <c r="AK39" s="3"/>
      <c r="AL39" s="39">
        <f t="shared" si="4"/>
        <v>0</v>
      </c>
      <c r="AM39" s="7"/>
    </row>
    <row r="40" spans="1:39" x14ac:dyDescent="0.25">
      <c r="A40" s="35"/>
      <c r="B40" s="58">
        <v>29</v>
      </c>
      <c r="C40" s="149"/>
      <c r="D40" s="151"/>
      <c r="E40" s="106"/>
      <c r="F40" s="3"/>
      <c r="G40" s="37"/>
      <c r="H40" s="3"/>
      <c r="I40" s="103">
        <f t="shared" si="5"/>
        <v>0</v>
      </c>
      <c r="J40" s="106"/>
      <c r="K40" s="3"/>
      <c r="L40" s="186"/>
      <c r="M40" s="187"/>
      <c r="N40" s="94">
        <f t="shared" si="6"/>
        <v>0</v>
      </c>
      <c r="O40" s="108">
        <f t="shared" ref="O40:O41" si="11">N40+I40</f>
        <v>0</v>
      </c>
      <c r="P40" s="111">
        <f t="shared" ref="P40:P41" si="12">L40+J40+G40+E40</f>
        <v>0</v>
      </c>
      <c r="Q40" s="192"/>
      <c r="R40" s="207"/>
      <c r="S40" s="215"/>
      <c r="T40" s="212"/>
      <c r="U40" s="210">
        <v>0</v>
      </c>
      <c r="V40" s="188">
        <f t="shared" si="9"/>
        <v>0</v>
      </c>
      <c r="W40" s="3"/>
      <c r="X40" s="3"/>
      <c r="Y40" s="33"/>
      <c r="Z40" s="33"/>
      <c r="AA40" s="33">
        <f t="shared" ref="AA40:AA41" si="13">Z40+X40</f>
        <v>0</v>
      </c>
      <c r="AB40" s="128">
        <f t="shared" si="1"/>
        <v>0</v>
      </c>
      <c r="AC40" s="134">
        <v>0</v>
      </c>
      <c r="AD40" s="3">
        <v>0</v>
      </c>
      <c r="AE40" s="3"/>
      <c r="AF40" s="3"/>
      <c r="AG40" s="3">
        <f t="shared" si="10"/>
        <v>0</v>
      </c>
      <c r="AH40" s="3"/>
      <c r="AI40" s="43">
        <f t="shared" si="3"/>
        <v>0</v>
      </c>
      <c r="AJ40" s="142"/>
      <c r="AK40" s="3"/>
      <c r="AL40" s="39">
        <f t="shared" si="4"/>
        <v>0</v>
      </c>
      <c r="AM40" s="7"/>
    </row>
    <row r="41" spans="1:39" ht="17.25" customHeight="1" x14ac:dyDescent="0.25">
      <c r="A41" s="35"/>
      <c r="B41" s="58">
        <v>30</v>
      </c>
      <c r="C41" s="149"/>
      <c r="D41" s="151"/>
      <c r="E41" s="106"/>
      <c r="F41" s="3"/>
      <c r="G41" s="37"/>
      <c r="H41" s="3"/>
      <c r="I41" s="103">
        <f t="shared" si="5"/>
        <v>0</v>
      </c>
      <c r="J41" s="106"/>
      <c r="K41" s="3"/>
      <c r="L41" s="186"/>
      <c r="M41" s="187"/>
      <c r="N41" s="94">
        <f t="shared" si="6"/>
        <v>0</v>
      </c>
      <c r="O41" s="108">
        <f t="shared" si="11"/>
        <v>0</v>
      </c>
      <c r="P41" s="111">
        <f t="shared" si="12"/>
        <v>0</v>
      </c>
      <c r="Q41" s="191"/>
      <c r="R41" s="208"/>
      <c r="S41" s="215"/>
      <c r="T41" s="212"/>
      <c r="U41" s="210">
        <v>0</v>
      </c>
      <c r="V41" s="188">
        <f t="shared" si="9"/>
        <v>0</v>
      </c>
      <c r="W41" s="3"/>
      <c r="X41" s="3"/>
      <c r="Y41" s="33"/>
      <c r="Z41" s="33"/>
      <c r="AA41" s="33">
        <f t="shared" si="13"/>
        <v>0</v>
      </c>
      <c r="AB41" s="128">
        <f t="shared" si="1"/>
        <v>0</v>
      </c>
      <c r="AC41" s="134">
        <v>0</v>
      </c>
      <c r="AD41" s="3">
        <v>0</v>
      </c>
      <c r="AE41" s="3"/>
      <c r="AF41" s="3"/>
      <c r="AG41" s="3">
        <f>+AE41+AF41</f>
        <v>0</v>
      </c>
      <c r="AH41" s="3"/>
      <c r="AI41" s="43">
        <f t="shared" si="3"/>
        <v>0</v>
      </c>
      <c r="AJ41" s="142"/>
      <c r="AK41" s="3"/>
      <c r="AL41" s="39">
        <f t="shared" si="4"/>
        <v>0</v>
      </c>
      <c r="AM41" s="7"/>
    </row>
    <row r="42" spans="1:39" ht="16.5" thickBot="1" x14ac:dyDescent="0.3">
      <c r="A42" s="35"/>
      <c r="B42" s="122"/>
      <c r="C42" s="150"/>
      <c r="D42" s="152"/>
      <c r="E42" s="104"/>
      <c r="F42" s="104"/>
      <c r="G42" s="95"/>
      <c r="H42" s="96"/>
      <c r="I42" s="105"/>
      <c r="J42" s="107"/>
      <c r="K42" s="95"/>
      <c r="L42" s="96"/>
      <c r="M42" s="97"/>
      <c r="N42" s="98"/>
      <c r="O42" s="109"/>
      <c r="P42" s="112"/>
      <c r="Q42" s="177"/>
      <c r="R42" s="209"/>
      <c r="S42" s="216"/>
      <c r="T42" s="216"/>
      <c r="U42" s="211"/>
      <c r="V42" s="188"/>
      <c r="W42" s="3"/>
      <c r="X42" s="3"/>
      <c r="Y42" s="33"/>
      <c r="Z42" s="33"/>
      <c r="AA42" s="18"/>
      <c r="AB42" s="129"/>
      <c r="AC42" s="127"/>
      <c r="AD42" s="3"/>
      <c r="AE42" s="2"/>
      <c r="AF42" s="2"/>
      <c r="AG42" s="2"/>
      <c r="AH42" s="3"/>
      <c r="AI42" s="43"/>
      <c r="AJ42" s="142"/>
      <c r="AK42" s="3"/>
      <c r="AL42" s="39"/>
      <c r="AM42" s="7"/>
    </row>
    <row r="43" spans="1:39" s="8" customFormat="1" ht="4.5" customHeight="1" x14ac:dyDescent="0.25">
      <c r="A43" s="15"/>
      <c r="B43" s="117"/>
      <c r="C43" s="118"/>
      <c r="D43" s="118"/>
      <c r="E43" s="116"/>
      <c r="F43" s="7"/>
      <c r="G43" s="15"/>
      <c r="H43" s="7"/>
      <c r="I43" s="15"/>
      <c r="J43" s="15"/>
      <c r="K43" s="15"/>
      <c r="L43" s="7"/>
      <c r="M43" s="62"/>
      <c r="N43" s="66"/>
      <c r="O43" s="15"/>
      <c r="P43" s="66"/>
      <c r="Q43" s="15"/>
      <c r="R43" s="86"/>
      <c r="S43" s="7"/>
      <c r="T43" s="15"/>
      <c r="U43" s="34"/>
      <c r="V43" s="130"/>
      <c r="W43" s="15"/>
      <c r="X43" s="15"/>
      <c r="Y43" s="15"/>
      <c r="Z43" s="15"/>
      <c r="AA43" s="15"/>
      <c r="AB43" s="34"/>
      <c r="AC43" s="15"/>
      <c r="AD43" s="7"/>
      <c r="AE43" s="15"/>
      <c r="AF43" s="15"/>
      <c r="AG43" s="15"/>
      <c r="AH43" s="15"/>
      <c r="AI43" s="15"/>
      <c r="AJ43" s="86"/>
      <c r="AK43" s="15"/>
      <c r="AL43" s="34"/>
      <c r="AM43" s="15"/>
    </row>
    <row r="44" spans="1:39" s="8" customFormat="1" ht="6" customHeight="1" x14ac:dyDescent="0.25">
      <c r="A44" s="15"/>
      <c r="B44" s="117"/>
      <c r="C44" s="118"/>
      <c r="D44" s="118"/>
      <c r="E44" s="116"/>
      <c r="F44" s="7"/>
      <c r="G44" s="15"/>
      <c r="H44" s="7"/>
      <c r="I44" s="15"/>
      <c r="J44" s="15"/>
      <c r="K44" s="15"/>
      <c r="L44" s="7"/>
      <c r="M44" s="62"/>
      <c r="N44" s="66"/>
      <c r="O44" s="15"/>
      <c r="P44" s="66"/>
      <c r="Q44" s="15"/>
      <c r="R44" s="86"/>
      <c r="S44" s="16"/>
      <c r="T44" s="16"/>
      <c r="U44" s="34"/>
      <c r="V44" s="130"/>
      <c r="W44" s="15"/>
      <c r="X44" s="15"/>
      <c r="Y44" s="15"/>
      <c r="Z44" s="15"/>
      <c r="AA44" s="15"/>
      <c r="AB44" s="131"/>
      <c r="AC44" s="15"/>
      <c r="AD44" s="7"/>
      <c r="AE44" s="15"/>
      <c r="AF44" s="15"/>
      <c r="AG44" s="15"/>
      <c r="AH44" s="7"/>
      <c r="AI44" s="15"/>
      <c r="AJ44" s="88"/>
      <c r="AK44" s="5"/>
      <c r="AL44" s="40"/>
      <c r="AM44" s="15"/>
    </row>
    <row r="45" spans="1:39" s="8" customFormat="1" ht="16.5" thickBot="1" x14ac:dyDescent="0.3">
      <c r="A45" s="15"/>
      <c r="B45" s="119"/>
      <c r="C45" s="120"/>
      <c r="D45" s="120"/>
      <c r="E45" s="121"/>
      <c r="F45" s="72"/>
      <c r="G45" s="71"/>
      <c r="H45" s="72"/>
      <c r="I45" s="71"/>
      <c r="J45" s="71"/>
      <c r="K45" s="71"/>
      <c r="L45" s="72"/>
      <c r="M45" s="73"/>
      <c r="N45" s="74"/>
      <c r="O45" s="71"/>
      <c r="P45" s="74"/>
      <c r="Q45" s="71"/>
      <c r="R45" s="87"/>
      <c r="S45" s="75"/>
      <c r="T45" s="71"/>
      <c r="U45" s="189"/>
      <c r="V45" s="132"/>
      <c r="W45" s="77"/>
      <c r="X45" s="71"/>
      <c r="Y45" s="71"/>
      <c r="Z45" s="71"/>
      <c r="AA45" s="71"/>
      <c r="AB45" s="76"/>
      <c r="AC45" s="78"/>
      <c r="AD45" s="72"/>
      <c r="AE45" s="78"/>
      <c r="AF45" s="78"/>
      <c r="AG45" s="78"/>
      <c r="AH45" s="72"/>
      <c r="AI45" s="71"/>
      <c r="AJ45" s="143"/>
      <c r="AK45" s="79"/>
      <c r="AL45" s="80"/>
      <c r="AM45" s="15"/>
    </row>
    <row r="46" spans="1:39" ht="17.25" thickTop="1" thickBot="1" x14ac:dyDescent="0.3">
      <c r="A46" s="26"/>
      <c r="B46" s="69"/>
      <c r="C46" s="70">
        <f t="shared" ref="C46:P46" si="14">SUM(C12:C42)</f>
        <v>89</v>
      </c>
      <c r="D46" s="70">
        <f t="shared" si="14"/>
        <v>1219</v>
      </c>
      <c r="E46" s="70">
        <f t="shared" si="14"/>
        <v>198439.99999999959</v>
      </c>
      <c r="F46" s="70">
        <f t="shared" si="14"/>
        <v>215817192.35999957</v>
      </c>
      <c r="G46" s="70">
        <f t="shared" si="14"/>
        <v>39760</v>
      </c>
      <c r="H46" s="70">
        <f t="shared" si="14"/>
        <v>64862615.159999982</v>
      </c>
      <c r="I46" s="70">
        <f t="shared" si="14"/>
        <v>280679807.51999956</v>
      </c>
      <c r="J46" s="70">
        <f t="shared" si="14"/>
        <v>26600.000000000029</v>
      </c>
      <c r="K46" s="70">
        <f t="shared" si="14"/>
        <v>28929335.400000028</v>
      </c>
      <c r="L46" s="70">
        <f t="shared" si="14"/>
        <v>7020.00000000001</v>
      </c>
      <c r="M46" s="70">
        <f t="shared" si="14"/>
        <v>11452101.570000017</v>
      </c>
      <c r="N46" s="70">
        <f t="shared" si="14"/>
        <v>40381436.970000036</v>
      </c>
      <c r="O46" s="70">
        <f t="shared" si="14"/>
        <v>321061244.48999953</v>
      </c>
      <c r="P46" s="82">
        <f t="shared" si="14"/>
        <v>271819.99999999959</v>
      </c>
      <c r="Q46" s="190"/>
      <c r="R46" s="123"/>
      <c r="S46" s="115">
        <f>Q46+P46</f>
        <v>271819.99999999959</v>
      </c>
      <c r="T46" s="115">
        <f>R46+O46</f>
        <v>321061244.48999953</v>
      </c>
      <c r="U46" s="137">
        <f>T46/AL47</f>
        <v>24742.526022091362</v>
      </c>
      <c r="V46" s="178">
        <f t="shared" ref="V46:AA46" si="15">SUM(V12:V41)</f>
        <v>10387</v>
      </c>
      <c r="W46" s="52">
        <f t="shared" si="15"/>
        <v>2431</v>
      </c>
      <c r="X46" s="52">
        <f t="shared" si="15"/>
        <v>43685835.869167536</v>
      </c>
      <c r="Y46" s="52">
        <f t="shared" si="15"/>
        <v>7956</v>
      </c>
      <c r="Z46" s="52">
        <f t="shared" si="15"/>
        <v>37616988.29632704</v>
      </c>
      <c r="AA46" s="136">
        <f t="shared" si="15"/>
        <v>81302824.165494561</v>
      </c>
      <c r="AB46" s="124">
        <f>AA46/$AL$47</f>
        <v>6265.5872582183511</v>
      </c>
      <c r="AC46" s="44">
        <f>SUM(AC12:AC41)</f>
        <v>0</v>
      </c>
      <c r="AD46" s="138">
        <f>SUM(AD12:AD41)</f>
        <v>0</v>
      </c>
      <c r="AE46" s="44">
        <f>SUM(AE12:AE41)</f>
        <v>1700</v>
      </c>
      <c r="AF46" s="44">
        <f>SUM(AF12:AF41)</f>
        <v>204</v>
      </c>
      <c r="AG46" s="214">
        <f>SUM(AG12:AG41)</f>
        <v>1904</v>
      </c>
      <c r="AH46" s="146">
        <f>SUM(AH12:AH42)</f>
        <v>25117500</v>
      </c>
      <c r="AI46" s="147">
        <f>AH46/$AL$47</f>
        <v>1935.6755386252714</v>
      </c>
      <c r="AJ46" s="213">
        <f>SUM(AJ12:AJ42)</f>
        <v>4986.3000000000102</v>
      </c>
      <c r="AK46" s="144">
        <f>SUM(AK12:AK42)</f>
        <v>49364370.000000104</v>
      </c>
      <c r="AL46" s="145">
        <f>AK46/AL47</f>
        <v>3804.2561357080681</v>
      </c>
      <c r="AM46" s="26"/>
    </row>
    <row r="47" spans="1:39" s="1" customFormat="1" x14ac:dyDescent="0.25">
      <c r="A47" s="26"/>
      <c r="B47" s="26"/>
      <c r="C47" s="5"/>
      <c r="D47" s="11"/>
      <c r="E47" s="5"/>
      <c r="F47" s="5"/>
      <c r="G47" s="11"/>
      <c r="H47" s="5"/>
      <c r="I47" s="9"/>
      <c r="J47" s="9"/>
      <c r="K47" s="9"/>
      <c r="L47" s="17"/>
      <c r="M47" s="63"/>
      <c r="N47" s="67"/>
      <c r="O47" s="10"/>
      <c r="P47" s="67"/>
      <c r="Q47" s="10"/>
      <c r="R47" s="114"/>
      <c r="S47" s="14"/>
      <c r="T47" s="81" t="s">
        <v>29</v>
      </c>
      <c r="U47" s="153">
        <f>U46/S46</f>
        <v>9.1025406600292097E-2</v>
      </c>
      <c r="V47" s="193" t="s">
        <v>53</v>
      </c>
      <c r="W47" s="11"/>
      <c r="X47" s="11"/>
      <c r="Y47" s="139"/>
      <c r="Z47" s="11"/>
      <c r="AA47" s="11"/>
      <c r="AB47" s="11"/>
      <c r="AC47" s="16"/>
      <c r="AD47" s="7"/>
      <c r="AE47" s="16"/>
      <c r="AF47" s="16"/>
      <c r="AG47" s="7"/>
      <c r="AH47" s="5"/>
      <c r="AI47" s="11"/>
      <c r="AJ47" s="88"/>
      <c r="AK47" s="11"/>
      <c r="AL47" s="148">
        <v>12976.09</v>
      </c>
      <c r="AM47" s="26"/>
    </row>
    <row r="48" spans="1:39" s="1" customFormat="1" x14ac:dyDescent="0.25">
      <c r="A48" s="26"/>
      <c r="B48" s="26"/>
      <c r="C48" s="5"/>
      <c r="D48" s="11"/>
      <c r="E48" s="5"/>
      <c r="F48" s="5"/>
      <c r="G48" s="11"/>
      <c r="H48" s="5"/>
      <c r="I48" s="9"/>
      <c r="J48" s="9"/>
      <c r="K48" s="9"/>
      <c r="L48" s="17"/>
      <c r="M48" s="63"/>
      <c r="N48" s="67"/>
      <c r="O48" s="10"/>
      <c r="P48" s="67"/>
      <c r="Q48" s="10"/>
      <c r="R48" s="114"/>
      <c r="S48" s="14"/>
      <c r="T48" s="220"/>
      <c r="U48" s="153"/>
      <c r="V48" s="193"/>
      <c r="W48" s="11"/>
      <c r="X48" s="218"/>
      <c r="Y48" s="139"/>
      <c r="Z48" s="218"/>
      <c r="AA48" s="11"/>
      <c r="AB48" s="11"/>
      <c r="AC48" s="16"/>
      <c r="AD48" s="7"/>
      <c r="AE48" s="16"/>
      <c r="AF48" s="16"/>
      <c r="AG48" s="7"/>
      <c r="AH48" s="219"/>
      <c r="AI48" s="11"/>
      <c r="AJ48" s="88"/>
      <c r="AK48" s="11"/>
      <c r="AL48" s="148"/>
      <c r="AM48" s="26"/>
    </row>
    <row r="49" spans="1:39" s="1" customFormat="1" x14ac:dyDescent="0.25">
      <c r="A49" s="26"/>
      <c r="B49" s="26"/>
      <c r="C49" s="5"/>
      <c r="D49" s="11"/>
      <c r="E49" s="5"/>
      <c r="F49" s="5"/>
      <c r="G49" s="11"/>
      <c r="H49" s="5"/>
      <c r="I49" s="9"/>
      <c r="J49" s="9"/>
      <c r="K49" s="9"/>
      <c r="L49" s="17"/>
      <c r="M49" s="63"/>
      <c r="N49" s="67"/>
      <c r="O49" s="10"/>
      <c r="P49" s="67"/>
      <c r="Q49" s="10"/>
      <c r="R49" s="114"/>
      <c r="S49" s="14"/>
      <c r="T49" s="81"/>
      <c r="U49" s="153"/>
      <c r="V49" s="193"/>
      <c r="W49" s="11"/>
      <c r="X49" s="11"/>
      <c r="Y49" s="139"/>
      <c r="Z49" s="218"/>
      <c r="AA49" s="11"/>
      <c r="AB49" s="11"/>
      <c r="AC49" s="16"/>
      <c r="AD49" s="7"/>
      <c r="AE49" s="16"/>
      <c r="AF49" s="16"/>
      <c r="AG49" s="7"/>
      <c r="AH49" s="219"/>
      <c r="AI49" s="11"/>
      <c r="AJ49" s="88"/>
      <c r="AK49" s="11"/>
      <c r="AL49" s="148"/>
      <c r="AM49" s="26"/>
    </row>
    <row r="50" spans="1:39" s="196" customFormat="1" x14ac:dyDescent="0.25">
      <c r="A50" s="194"/>
      <c r="B50" s="194"/>
      <c r="C50" s="195"/>
      <c r="E50" s="195"/>
      <c r="F50" s="195"/>
      <c r="H50" s="195"/>
      <c r="L50" s="195"/>
      <c r="M50" s="197"/>
      <c r="N50" s="198"/>
      <c r="P50" s="198"/>
      <c r="R50" s="199"/>
      <c r="T50" s="217"/>
      <c r="AD50" s="195"/>
      <c r="AH50" s="195"/>
      <c r="AJ50" s="199"/>
      <c r="AL50" s="200"/>
      <c r="AM50" s="194"/>
    </row>
    <row r="51" spans="1:39" s="196" customFormat="1" x14ac:dyDescent="0.25">
      <c r="A51" s="194"/>
      <c r="B51" s="194"/>
      <c r="C51" s="195"/>
      <c r="E51" s="195"/>
      <c r="F51" s="195"/>
      <c r="H51" s="195"/>
      <c r="L51" s="195"/>
      <c r="M51" s="197"/>
      <c r="N51" s="198"/>
      <c r="P51" s="198"/>
      <c r="R51" s="199"/>
      <c r="AD51" s="195"/>
      <c r="AH51" s="195"/>
      <c r="AJ51" s="199"/>
      <c r="AL51" s="200"/>
      <c r="AM51" s="194"/>
    </row>
    <row r="52" spans="1:39" s="196" customFormat="1" x14ac:dyDescent="0.25">
      <c r="A52" s="194"/>
      <c r="B52" s="194"/>
      <c r="C52" s="195"/>
      <c r="E52" s="195"/>
      <c r="F52" s="195"/>
      <c r="H52" s="195"/>
      <c r="L52" s="195"/>
      <c r="M52" s="197"/>
      <c r="N52" s="198"/>
      <c r="P52" s="198"/>
      <c r="R52" s="199"/>
      <c r="AD52" s="195"/>
      <c r="AH52" s="195"/>
      <c r="AJ52" s="199"/>
      <c r="AL52" s="200"/>
      <c r="AM52" s="194"/>
    </row>
    <row r="53" spans="1:39" s="196" customFormat="1" x14ac:dyDescent="0.25">
      <c r="A53" s="194"/>
      <c r="B53" s="194"/>
      <c r="C53" s="195"/>
      <c r="E53" s="195"/>
      <c r="F53" s="195"/>
      <c r="H53" s="195"/>
      <c r="L53" s="195"/>
      <c r="M53" s="197"/>
      <c r="N53" s="198"/>
      <c r="P53" s="198"/>
      <c r="R53" s="199"/>
      <c r="AD53" s="195"/>
      <c r="AH53" s="195"/>
      <c r="AJ53" s="199"/>
      <c r="AL53" s="200"/>
      <c r="AM53" s="194"/>
    </row>
    <row r="54" spans="1:39" s="196" customFormat="1" x14ac:dyDescent="0.25">
      <c r="A54" s="194"/>
      <c r="B54" s="194"/>
      <c r="C54" s="195"/>
      <c r="E54" s="195"/>
      <c r="F54" s="195"/>
      <c r="H54" s="195"/>
      <c r="L54" s="195"/>
      <c r="M54" s="197"/>
      <c r="N54" s="198"/>
      <c r="P54" s="198"/>
      <c r="R54" s="199"/>
      <c r="AD54" s="195"/>
      <c r="AH54" s="195"/>
      <c r="AJ54" s="199"/>
      <c r="AL54" s="200"/>
      <c r="AM54" s="194"/>
    </row>
    <row r="55" spans="1:39" s="196" customFormat="1" x14ac:dyDescent="0.25">
      <c r="A55" s="194"/>
      <c r="B55" s="194"/>
      <c r="C55" s="195"/>
      <c r="E55" s="195"/>
      <c r="F55" s="195"/>
      <c r="H55" s="195"/>
      <c r="L55" s="195"/>
      <c r="M55" s="197"/>
      <c r="N55" s="198"/>
      <c r="P55" s="198"/>
      <c r="R55" s="199"/>
      <c r="AD55" s="195"/>
      <c r="AH55" s="195"/>
      <c r="AJ55" s="199"/>
      <c r="AL55" s="200"/>
      <c r="AM55" s="194"/>
    </row>
    <row r="56" spans="1:39" s="196" customFormat="1" x14ac:dyDescent="0.25">
      <c r="A56" s="194"/>
      <c r="B56" s="194"/>
      <c r="C56" s="195"/>
      <c r="E56" s="195"/>
      <c r="F56" s="195"/>
      <c r="H56" s="195"/>
      <c r="L56" s="195"/>
      <c r="M56" s="197"/>
      <c r="N56" s="198"/>
      <c r="P56" s="198"/>
      <c r="R56" s="199"/>
      <c r="AD56" s="195"/>
      <c r="AH56" s="195"/>
      <c r="AJ56" s="199"/>
      <c r="AL56" s="200"/>
      <c r="AM56" s="194"/>
    </row>
    <row r="57" spans="1:39" s="196" customFormat="1" x14ac:dyDescent="0.25">
      <c r="A57" s="194"/>
      <c r="B57" s="194"/>
      <c r="C57" s="195"/>
      <c r="E57" s="195"/>
      <c r="F57" s="195"/>
      <c r="H57" s="195"/>
      <c r="L57" s="195"/>
      <c r="M57" s="197"/>
      <c r="N57" s="198"/>
      <c r="P57" s="198"/>
      <c r="R57" s="199"/>
      <c r="AD57" s="195"/>
      <c r="AH57" s="195"/>
      <c r="AJ57" s="199"/>
      <c r="AL57" s="200"/>
      <c r="AM57" s="194"/>
    </row>
    <row r="58" spans="1:39" s="196" customFormat="1" x14ac:dyDescent="0.25">
      <c r="A58" s="194"/>
      <c r="B58" s="194"/>
      <c r="C58" s="195"/>
      <c r="E58" s="195"/>
      <c r="F58" s="195"/>
      <c r="H58" s="195"/>
      <c r="L58" s="195"/>
      <c r="M58" s="197"/>
      <c r="N58" s="198"/>
      <c r="P58" s="198"/>
      <c r="R58" s="199"/>
      <c r="AD58" s="195"/>
      <c r="AH58" s="195"/>
      <c r="AJ58" s="199"/>
      <c r="AL58" s="200"/>
      <c r="AM58" s="194"/>
    </row>
    <row r="59" spans="1:39" s="196" customFormat="1" x14ac:dyDescent="0.25">
      <c r="A59" s="194"/>
      <c r="B59" s="194"/>
      <c r="C59" s="195"/>
      <c r="E59" s="195"/>
      <c r="F59" s="195"/>
      <c r="H59" s="195"/>
      <c r="L59" s="195"/>
      <c r="M59" s="197"/>
      <c r="N59" s="198"/>
      <c r="P59" s="198"/>
      <c r="R59" s="199"/>
      <c r="AD59" s="195"/>
      <c r="AH59" s="195"/>
      <c r="AJ59" s="199"/>
      <c r="AL59" s="200"/>
      <c r="AM59" s="194"/>
    </row>
    <row r="60" spans="1:39" s="196" customFormat="1" x14ac:dyDescent="0.25">
      <c r="A60" s="194"/>
      <c r="B60" s="194"/>
      <c r="C60" s="195"/>
      <c r="E60" s="195"/>
      <c r="F60" s="195"/>
      <c r="H60" s="195"/>
      <c r="L60" s="195"/>
      <c r="M60" s="197"/>
      <c r="N60" s="198"/>
      <c r="P60" s="198"/>
      <c r="R60" s="199"/>
      <c r="AD60" s="195"/>
      <c r="AH60" s="195"/>
      <c r="AJ60" s="199"/>
      <c r="AL60" s="200"/>
      <c r="AM60" s="194"/>
    </row>
    <row r="61" spans="1:39" s="196" customFormat="1" x14ac:dyDescent="0.25">
      <c r="A61" s="194"/>
      <c r="B61" s="194"/>
      <c r="C61" s="195"/>
      <c r="E61" s="195"/>
      <c r="F61" s="195"/>
      <c r="H61" s="195"/>
      <c r="L61" s="195"/>
      <c r="M61" s="197"/>
      <c r="N61" s="198"/>
      <c r="P61" s="198"/>
      <c r="R61" s="199"/>
      <c r="AD61" s="195"/>
      <c r="AH61" s="195"/>
      <c r="AJ61" s="199"/>
      <c r="AL61" s="200"/>
      <c r="AM61" s="194"/>
    </row>
    <row r="62" spans="1:39" s="196" customFormat="1" x14ac:dyDescent="0.25">
      <c r="A62" s="194"/>
      <c r="B62" s="194"/>
      <c r="C62" s="195"/>
      <c r="E62" s="195"/>
      <c r="F62" s="195"/>
      <c r="H62" s="195"/>
      <c r="L62" s="195"/>
      <c r="M62" s="197"/>
      <c r="N62" s="198"/>
      <c r="P62" s="198"/>
      <c r="R62" s="199"/>
      <c r="AD62" s="195"/>
      <c r="AH62" s="195"/>
      <c r="AJ62" s="199"/>
      <c r="AL62" s="200"/>
      <c r="AM62" s="194"/>
    </row>
    <row r="63" spans="1:39" s="196" customFormat="1" x14ac:dyDescent="0.25">
      <c r="A63" s="194"/>
      <c r="B63" s="194"/>
      <c r="C63" s="195"/>
      <c r="E63" s="195"/>
      <c r="F63" s="195"/>
      <c r="H63" s="195"/>
      <c r="L63" s="195"/>
      <c r="M63" s="197"/>
      <c r="N63" s="198"/>
      <c r="P63" s="198"/>
      <c r="R63" s="199"/>
      <c r="AD63" s="195"/>
      <c r="AH63" s="195"/>
      <c r="AJ63" s="199"/>
      <c r="AL63" s="200"/>
      <c r="AM63" s="194"/>
    </row>
    <row r="64" spans="1:39" s="196" customFormat="1" x14ac:dyDescent="0.25">
      <c r="A64" s="194"/>
      <c r="B64" s="194"/>
      <c r="C64" s="195"/>
      <c r="E64" s="195"/>
      <c r="F64" s="195"/>
      <c r="H64" s="195"/>
      <c r="L64" s="195"/>
      <c r="M64" s="197"/>
      <c r="N64" s="198"/>
      <c r="P64" s="198"/>
      <c r="R64" s="199"/>
      <c r="AD64" s="195"/>
      <c r="AH64" s="195"/>
      <c r="AJ64" s="199"/>
      <c r="AL64" s="200"/>
      <c r="AM64" s="194"/>
    </row>
    <row r="65" spans="1:39" s="196" customFormat="1" x14ac:dyDescent="0.25">
      <c r="A65" s="194"/>
      <c r="B65" s="194"/>
      <c r="C65" s="195"/>
      <c r="E65" s="195"/>
      <c r="F65" s="195"/>
      <c r="H65" s="195"/>
      <c r="L65" s="195"/>
      <c r="M65" s="197"/>
      <c r="N65" s="198"/>
      <c r="P65" s="198"/>
      <c r="R65" s="199"/>
      <c r="AD65" s="195"/>
      <c r="AH65" s="195"/>
      <c r="AJ65" s="199"/>
      <c r="AL65" s="200"/>
      <c r="AM65" s="194"/>
    </row>
    <row r="66" spans="1:39" s="196" customFormat="1" x14ac:dyDescent="0.25">
      <c r="A66" s="194"/>
      <c r="B66" s="194"/>
      <c r="C66" s="195"/>
      <c r="E66" s="195"/>
      <c r="F66" s="195"/>
      <c r="H66" s="195"/>
      <c r="L66" s="195"/>
      <c r="M66" s="197"/>
      <c r="N66" s="198"/>
      <c r="P66" s="198"/>
      <c r="R66" s="199"/>
      <c r="AD66" s="195"/>
      <c r="AH66" s="195"/>
      <c r="AJ66" s="199"/>
      <c r="AL66" s="200"/>
      <c r="AM66" s="194"/>
    </row>
    <row r="67" spans="1:39" s="196" customFormat="1" x14ac:dyDescent="0.25">
      <c r="A67" s="194"/>
      <c r="B67" s="194"/>
      <c r="C67" s="195"/>
      <c r="E67" s="195"/>
      <c r="F67" s="195"/>
      <c r="H67" s="195"/>
      <c r="L67" s="195"/>
      <c r="M67" s="197"/>
      <c r="N67" s="198"/>
      <c r="P67" s="198"/>
      <c r="R67" s="199"/>
      <c r="AD67" s="195"/>
      <c r="AH67" s="195"/>
      <c r="AJ67" s="199"/>
      <c r="AL67" s="200"/>
      <c r="AM67" s="194"/>
    </row>
    <row r="68" spans="1:39" s="196" customFormat="1" x14ac:dyDescent="0.25">
      <c r="A68" s="194"/>
      <c r="B68" s="194"/>
      <c r="C68" s="195"/>
      <c r="E68" s="195"/>
      <c r="F68" s="195"/>
      <c r="H68" s="195"/>
      <c r="L68" s="195"/>
      <c r="M68" s="197"/>
      <c r="N68" s="198"/>
      <c r="P68" s="198"/>
      <c r="R68" s="199"/>
      <c r="AD68" s="195"/>
      <c r="AH68" s="195"/>
      <c r="AJ68" s="199"/>
      <c r="AL68" s="200"/>
      <c r="AM68" s="194"/>
    </row>
    <row r="69" spans="1:39" s="196" customFormat="1" x14ac:dyDescent="0.25">
      <c r="A69" s="194"/>
      <c r="B69" s="194"/>
      <c r="C69" s="195"/>
      <c r="E69" s="195"/>
      <c r="F69" s="195"/>
      <c r="H69" s="195"/>
      <c r="L69" s="195"/>
      <c r="M69" s="197"/>
      <c r="N69" s="198"/>
      <c r="P69" s="198"/>
      <c r="R69" s="199"/>
      <c r="AD69" s="195"/>
      <c r="AH69" s="195"/>
      <c r="AJ69" s="199"/>
      <c r="AL69" s="200"/>
      <c r="AM69" s="194"/>
    </row>
  </sheetData>
  <mergeCells count="18"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  <mergeCell ref="Q9:Q10"/>
    <mergeCell ref="AJ9:AL9"/>
    <mergeCell ref="R9:R10"/>
    <mergeCell ref="S9:S10"/>
    <mergeCell ref="T9:U9"/>
    <mergeCell ref="AA9:AB9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:C25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 x14ac:dyDescent="0.35">
      <c r="A1" s="27" t="s">
        <v>28</v>
      </c>
    </row>
    <row r="2" spans="1:3" ht="18" x14ac:dyDescent="0.35">
      <c r="A2" s="260">
        <v>44440</v>
      </c>
      <c r="B2" s="261"/>
      <c r="C2" s="261"/>
    </row>
    <row r="3" spans="1:3" x14ac:dyDescent="0.25">
      <c r="A3" s="263" t="s">
        <v>1</v>
      </c>
      <c r="B3" s="262" t="s">
        <v>2</v>
      </c>
      <c r="C3" s="262" t="s">
        <v>3</v>
      </c>
    </row>
    <row r="4" spans="1:3" x14ac:dyDescent="0.25">
      <c r="A4" s="263"/>
      <c r="B4" s="262"/>
      <c r="C4" s="262"/>
    </row>
    <row r="5" spans="1:3" x14ac:dyDescent="0.25">
      <c r="A5" s="263"/>
      <c r="B5" s="262"/>
      <c r="C5" s="262"/>
    </row>
    <row r="6" spans="1:3" x14ac:dyDescent="0.25">
      <c r="A6" s="2">
        <v>1</v>
      </c>
      <c r="B6" s="2">
        <v>3</v>
      </c>
      <c r="C6" s="2">
        <v>48</v>
      </c>
    </row>
    <row r="7" spans="1:3" x14ac:dyDescent="0.25">
      <c r="A7" s="2">
        <v>2</v>
      </c>
      <c r="B7" s="2">
        <v>5</v>
      </c>
      <c r="C7" s="2">
        <v>43</v>
      </c>
    </row>
    <row r="8" spans="1:3" x14ac:dyDescent="0.25">
      <c r="A8" s="2">
        <f>A7+1</f>
        <v>3</v>
      </c>
      <c r="B8" s="2">
        <v>6</v>
      </c>
      <c r="C8" s="2">
        <v>84</v>
      </c>
    </row>
    <row r="9" spans="1:3" x14ac:dyDescent="0.25">
      <c r="A9" s="2">
        <f>A8+1</f>
        <v>4</v>
      </c>
      <c r="B9" s="2">
        <v>5</v>
      </c>
      <c r="C9" s="2">
        <v>67</v>
      </c>
    </row>
    <row r="10" spans="1:3" x14ac:dyDescent="0.25">
      <c r="A10" s="2">
        <f t="shared" ref="A10:A35" si="0">A9+1</f>
        <v>5</v>
      </c>
      <c r="B10" s="2">
        <v>5</v>
      </c>
      <c r="C10" s="2">
        <v>84</v>
      </c>
    </row>
    <row r="11" spans="1:3" x14ac:dyDescent="0.25">
      <c r="A11" s="2">
        <f t="shared" si="0"/>
        <v>6</v>
      </c>
      <c r="B11" s="2">
        <v>4</v>
      </c>
      <c r="C11" s="2">
        <v>65</v>
      </c>
    </row>
    <row r="12" spans="1:3" x14ac:dyDescent="0.25">
      <c r="A12" s="2">
        <f t="shared" si="0"/>
        <v>7</v>
      </c>
      <c r="B12" s="2">
        <v>4</v>
      </c>
      <c r="C12" s="2">
        <v>56</v>
      </c>
    </row>
    <row r="13" spans="1:3" x14ac:dyDescent="0.25">
      <c r="A13" s="2">
        <f t="shared" si="0"/>
        <v>8</v>
      </c>
      <c r="B13" s="2">
        <v>3</v>
      </c>
      <c r="C13" s="2">
        <v>58</v>
      </c>
    </row>
    <row r="14" spans="1:3" x14ac:dyDescent="0.25">
      <c r="A14" s="2">
        <f t="shared" si="0"/>
        <v>9</v>
      </c>
      <c r="B14" s="2">
        <v>2</v>
      </c>
      <c r="C14" s="2">
        <v>61</v>
      </c>
    </row>
    <row r="15" spans="1:3" x14ac:dyDescent="0.25">
      <c r="A15" s="2">
        <f t="shared" si="0"/>
        <v>10</v>
      </c>
      <c r="B15" s="2">
        <v>2</v>
      </c>
      <c r="C15" s="2">
        <v>88</v>
      </c>
    </row>
    <row r="16" spans="1:3" x14ac:dyDescent="0.25">
      <c r="A16" s="2">
        <f t="shared" si="0"/>
        <v>11</v>
      </c>
      <c r="B16" s="2">
        <v>1</v>
      </c>
      <c r="C16" s="2">
        <v>55</v>
      </c>
    </row>
    <row r="17" spans="1:3" x14ac:dyDescent="0.25">
      <c r="A17" s="2">
        <f t="shared" si="0"/>
        <v>12</v>
      </c>
      <c r="B17" s="2">
        <v>2</v>
      </c>
      <c r="C17" s="2">
        <v>63</v>
      </c>
    </row>
    <row r="18" spans="1:3" x14ac:dyDescent="0.25">
      <c r="A18" s="2">
        <f t="shared" si="0"/>
        <v>13</v>
      </c>
      <c r="B18" s="2">
        <v>1</v>
      </c>
      <c r="C18" s="2">
        <v>24</v>
      </c>
    </row>
    <row r="19" spans="1:3" x14ac:dyDescent="0.25">
      <c r="A19" s="2">
        <f t="shared" si="0"/>
        <v>14</v>
      </c>
      <c r="B19" s="2">
        <v>13</v>
      </c>
      <c r="C19" s="2">
        <v>50</v>
      </c>
    </row>
    <row r="20" spans="1:3" x14ac:dyDescent="0.25">
      <c r="A20" s="2">
        <f t="shared" si="0"/>
        <v>15</v>
      </c>
      <c r="B20" s="2">
        <v>7</v>
      </c>
      <c r="C20" s="2">
        <v>52</v>
      </c>
    </row>
    <row r="21" spans="1:3" x14ac:dyDescent="0.25">
      <c r="A21" s="2">
        <f t="shared" si="0"/>
        <v>16</v>
      </c>
      <c r="B21" s="2">
        <v>4</v>
      </c>
      <c r="C21" s="2">
        <v>36</v>
      </c>
    </row>
    <row r="22" spans="1:3" x14ac:dyDescent="0.25">
      <c r="A22" s="2">
        <f t="shared" si="0"/>
        <v>17</v>
      </c>
      <c r="B22" s="2">
        <v>5</v>
      </c>
      <c r="C22" s="2">
        <v>50</v>
      </c>
    </row>
    <row r="23" spans="1:3" x14ac:dyDescent="0.25">
      <c r="A23" s="2">
        <f t="shared" si="0"/>
        <v>18</v>
      </c>
      <c r="B23" s="2">
        <v>6</v>
      </c>
      <c r="C23" s="2">
        <v>102</v>
      </c>
    </row>
    <row r="24" spans="1:3" x14ac:dyDescent="0.25">
      <c r="A24" s="2">
        <f t="shared" si="0"/>
        <v>19</v>
      </c>
      <c r="B24" s="2">
        <v>3</v>
      </c>
      <c r="C24" s="2">
        <v>91</v>
      </c>
    </row>
    <row r="25" spans="1:3" x14ac:dyDescent="0.25">
      <c r="A25" s="2">
        <f t="shared" si="0"/>
        <v>20</v>
      </c>
      <c r="B25" s="2">
        <v>8</v>
      </c>
      <c r="C25" s="2">
        <v>42</v>
      </c>
    </row>
    <row r="26" spans="1:3" x14ac:dyDescent="0.25">
      <c r="A26" s="2">
        <f t="shared" si="0"/>
        <v>21</v>
      </c>
      <c r="B26" s="2"/>
      <c r="C26" s="2"/>
    </row>
    <row r="27" spans="1:3" x14ac:dyDescent="0.25">
      <c r="A27" s="2">
        <f t="shared" si="0"/>
        <v>22</v>
      </c>
      <c r="B27" s="2"/>
      <c r="C27" s="2"/>
    </row>
    <row r="28" spans="1:3" x14ac:dyDescent="0.25">
      <c r="A28" s="2">
        <f t="shared" si="0"/>
        <v>23</v>
      </c>
      <c r="B28" s="2"/>
      <c r="C28" s="2"/>
    </row>
    <row r="29" spans="1:3" x14ac:dyDescent="0.25">
      <c r="A29" s="2">
        <f t="shared" si="0"/>
        <v>24</v>
      </c>
      <c r="B29" s="2"/>
      <c r="C29" s="2"/>
    </row>
    <row r="30" spans="1:3" x14ac:dyDescent="0.25">
      <c r="A30" s="2">
        <f t="shared" si="0"/>
        <v>25</v>
      </c>
      <c r="B30" s="2"/>
      <c r="C30" s="2"/>
    </row>
    <row r="31" spans="1:3" x14ac:dyDescent="0.25">
      <c r="A31" s="2">
        <f t="shared" si="0"/>
        <v>26</v>
      </c>
      <c r="B31" s="2"/>
      <c r="C31" s="2"/>
    </row>
    <row r="32" spans="1:3" x14ac:dyDescent="0.25">
      <c r="A32" s="2">
        <f t="shared" si="0"/>
        <v>27</v>
      </c>
      <c r="B32" s="2"/>
      <c r="C32" s="2"/>
    </row>
    <row r="33" spans="1:3" x14ac:dyDescent="0.25">
      <c r="A33" s="2">
        <f t="shared" si="0"/>
        <v>28</v>
      </c>
      <c r="B33" s="2"/>
      <c r="C33" s="2"/>
    </row>
    <row r="34" spans="1:3" x14ac:dyDescent="0.25">
      <c r="A34" s="2">
        <f t="shared" si="0"/>
        <v>29</v>
      </c>
      <c r="B34" s="2"/>
      <c r="C34" s="2"/>
    </row>
    <row r="35" spans="1:3" x14ac:dyDescent="0.25">
      <c r="A35" s="2">
        <f t="shared" si="0"/>
        <v>30</v>
      </c>
      <c r="B35" s="2"/>
      <c r="C35" s="2"/>
    </row>
    <row r="37" spans="1:3" x14ac:dyDescent="0.25">
      <c r="B37" s="6">
        <f>SUM(B6:B35)</f>
        <v>89</v>
      </c>
      <c r="C37" s="6">
        <f>SUM(C6:C35)</f>
        <v>1219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0f442fd14c8c2f27e599873b8aa4e1da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e4c8dcf7dcd090c9b8489b6930ce9acf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C324EC-38EF-4CFC-9AFF-4A199CEAD0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F63AC17-9EFD-48DA-BB12-4FD1F7102A5E}">
  <ds:schemaRefs>
    <ds:schemaRef ds:uri="ed2f2222-2bff-489f-89bb-9539c67e7b9c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77842aba-bda6-4832-96cd-e75cb5324294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FS Jimbaran September 2021</vt:lpstr>
      <vt:lpstr>RNs &amp; Covers September 2021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Mirah Candradewi</cp:lastModifiedBy>
  <cp:lastPrinted>2020-11-17T04:34:44Z</cp:lastPrinted>
  <dcterms:created xsi:type="dcterms:W3CDTF">2020-09-16T08:52:25Z</dcterms:created>
  <dcterms:modified xsi:type="dcterms:W3CDTF">2021-09-22T09:04:54Z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0x010100E0047CC794813E498F4E0E4373AD9880</vt:lpwstr>
  </property>
</Properties>
</file>