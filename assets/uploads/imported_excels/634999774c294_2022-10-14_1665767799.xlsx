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T14" i="7" l="1"/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<sst xmlns="http://schemas.openxmlformats.org/spreadsheetml/2006/main" count="315" uniqueCount="148">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</sst>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33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108.0585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12099.999999999667</v>
      </c>
      <c r="F9" s="11">
        <f t="shared" si="0"/>
        <v>0.58765030286592534</v>
      </c>
      <c r="G9" s="12">
        <f>(Submetering!AX9+Submetering!AY9+Submetering!AZ9+Submetering!BA9+Submetering!BB9)</f>
        <v>14.651999999999999</v>
      </c>
      <c r="H9" s="11">
        <f t="shared" si="1"/>
        <v>0.99</v>
      </c>
      <c r="I9" s="12">
        <f>'FS Desroches Daily'!CM11</f>
        <v>136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12799.999999999067</v>
      </c>
      <c r="F10" s="11">
        <f t="shared" si="0"/>
        <v>0.58765030286592534</v>
      </c>
      <c r="G10" s="12">
        <f>(Submetering!AX10+Submetering!AY10+Submetering!AZ10+Submetering!BA10+Submetering!BB10)</f>
        <v>12.820499999999999</v>
      </c>
      <c r="H10" s="11">
        <f t="shared" si="1"/>
        <v>0.99</v>
      </c>
      <c r="I10" s="12">
        <f>'FS Desroches Daily'!CM12</f>
        <v>110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12700.000000000347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172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12500.000000000067</v>
      </c>
      <c r="F12" s="11">
        <f t="shared" si="0"/>
        <v>0.58765030286592534</v>
      </c>
      <c r="G12" s="12">
        <f>(Submetering!AX12+Submetering!AY12+Submetering!AZ12+Submetering!BA12+Submetering!BB12)</f>
        <v>21.977999999999998</v>
      </c>
      <c r="H12" s="11">
        <f t="shared" si="1"/>
        <v>0.99</v>
      </c>
      <c r="I12" s="12">
        <f>'FS Desroches Daily'!CM14</f>
        <v>133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12399.999999999856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121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13100.000000000002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127</v>
      </c>
      <c r="J14" s="11">
        <f t="shared" si="2"/>
        <v>10.487297712684205</v>
      </c>
      <c r="K14" s="13">
        <f>'FS Desroches Daily'!CN16</f>
        <v>43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 t="e">
        <f>Submetering!E15+Submetering!F15+Submetering!G15+Submetering!H15+Submetering!J15-Submetering!AV15</f>
        <v>#VALUE!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 t="e">
        <f>'FS Desroches Daily'!CM17</f>
        <v>#VALUE!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33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>
        <f>IF(LPG!F16-LPG!F14&lt;0,"0",(LPG!F16-LPG!F14)*1.8315)</f>
        <v>0</v>
      </c>
      <c r="AY8" s="31">
        <f>IF(LPG!H16-LPG!H14&lt;0,"0",(LPG!H16-LPG!H14)*1.8315)</f>
        <v>100.7325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2600.0000000001578</v>
      </c>
      <c r="F9" s="32">
        <f>'FS Desroches Daily'!F11</f>
        <v>3299.9999999994143</v>
      </c>
      <c r="G9" s="31">
        <f>'FS Desroches Daily'!H11</f>
        <v>3800.0000000000255</v>
      </c>
      <c r="H9" s="32">
        <f>'FS Desroches Daily'!J11</f>
        <v>1600.0000000002678</v>
      </c>
      <c r="I9" s="31">
        <f>'FS Desroches Daily'!L11</f>
        <v>2200.0000000002019</v>
      </c>
      <c r="J9" s="32">
        <f>'FS Desroches Daily'!N11</f>
        <v>1799.9999999998017</v>
      </c>
      <c r="K9" s="13">
        <f>'FS Desroches Daily'!P11</f>
        <v>33</v>
      </c>
      <c r="L9" s="31">
        <f>'FS Desroches Daily'!R11</f>
        <v>5</v>
      </c>
      <c r="M9" s="31">
        <f>'FS Desroches Daily'!T11</f>
        <v>1400.0000000000909</v>
      </c>
      <c r="N9" s="31">
        <f>'FS Desroches Daily'!V11</f>
        <v>404.80000000004657</v>
      </c>
      <c r="O9" s="31">
        <f>'FS Desroches Daily'!X11</f>
        <v>370.00000000000455</v>
      </c>
      <c r="P9" s="31">
        <f>'FS Desroches Daily'!Z11</f>
        <v>2900.0000000003465</v>
      </c>
      <c r="Q9" s="31">
        <f>'FS Desroches Daily'!AB11</f>
        <v>389.99999999998636</v>
      </c>
      <c r="R9" s="31">
        <f>'FS Desroches Daily'!AD11</f>
        <v>500</v>
      </c>
      <c r="S9" s="31">
        <f>'FS Desroches Daily'!AF11</f>
        <v>909.99999999996817</v>
      </c>
      <c r="T9" s="31">
        <f>'FS Desroches Daily'!AH11</f>
        <v>41</v>
      </c>
      <c r="U9" s="35">
        <f>'FS Desroches Daily'!AJ11</f>
        <v>849.99999999990905</v>
      </c>
      <c r="V9" s="35">
        <f>'FS Desroches Daily'!AL11</f>
        <v>209.99999999997954</v>
      </c>
      <c r="W9" s="35">
        <f>'FS Desroches Daily'!AN11</f>
        <v>200.00000000004547</v>
      </c>
      <c r="X9" s="35">
        <f>'FS Desroches Daily'!AP11</f>
        <v>220.00000000002728</v>
      </c>
      <c r="Y9" s="35">
        <f>'FS Desroches Daily'!AR11</f>
        <v>230.00000000001819</v>
      </c>
      <c r="Z9" s="35">
        <f>'FS Desroches Daily'!AT11</f>
        <v>139.99999999998636</v>
      </c>
      <c r="AA9" s="35">
        <f>'FS Desroches Daily'!AT11</f>
        <v>139.99999999998636</v>
      </c>
      <c r="AB9" s="35">
        <f>'FS Desroches Daily'!AV11</f>
        <v>209.99999999997954</v>
      </c>
      <c r="AC9" s="35">
        <f>'FS Desroches Daily'!AZ11</f>
        <v>110.00000000001364</v>
      </c>
      <c r="AD9" s="35">
        <f>'FS Desroches Daily'!BB11</f>
        <v>79.999999999984084</v>
      </c>
      <c r="AE9" s="35">
        <f>'FS Desroches Daily'!BD11</f>
        <v>50.000000000011369</v>
      </c>
      <c r="AF9" s="31" t="str">
        <f>'FS Desroches Daily'!BF11</f>
        <v/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35</v>
      </c>
      <c r="AM9" s="32">
        <f>'FS Desroches Daily'!BT11</f>
        <v>30.000000000001137</v>
      </c>
      <c r="AN9" s="32">
        <f>'FS Desroches Daily'!BV11</f>
        <v>34</v>
      </c>
      <c r="AO9" s="32">
        <f>'FS Desroches Daily'!BX11</f>
        <v>39.999999999992042</v>
      </c>
      <c r="AP9" s="32">
        <f>'FS Desroches Daily'!BZ11</f>
        <v>43</v>
      </c>
      <c r="AQ9" s="31">
        <f>'FS Desroches Daily'!CB11</f>
        <v>60.100000000005821</v>
      </c>
      <c r="AR9" s="31">
        <f>'FS Desroches Daily'!CD11</f>
        <v>12.900000000001455</v>
      </c>
      <c r="AS9" s="31" t="str">
        <f>'FS Desroches Daily'!CF11</f>
        <v/>
      </c>
      <c r="AT9" s="31">
        <f>'FS Desroches Daily'!CH11</f>
        <v>64.299999999988358</v>
      </c>
      <c r="AU9" s="31">
        <f>'FS Desroches Daily'!CJ11</f>
        <v>290</v>
      </c>
      <c r="AV9" s="31">
        <f>'FS Desroches Daily'!CL11</f>
        <v>1000</v>
      </c>
      <c r="AW9" s="31">
        <f>'FS Desroches Daily'!CM11</f>
        <v>136</v>
      </c>
      <c r="AX9" s="31">
        <f>IF(LPG!F17-LPG!F15&lt;0,"0",(LPG!F17-LPG!F15)*1.8315)</f>
        <v>0</v>
      </c>
      <c r="AY9" s="31">
        <f>IF(LPG!H17-LPG!H15&lt;0,"0",(LPG!H17-LPG!H15)*1.8315)</f>
        <v>10.988999999999999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2899.9999999999027</v>
      </c>
      <c r="F10" s="32">
        <f>'FS Desroches Daily'!F12</f>
        <v>3400.0000000000696</v>
      </c>
      <c r="G10" s="31">
        <f>'FS Desroches Daily'!H12</f>
        <v>3999.9999999995593</v>
      </c>
      <c r="H10" s="32">
        <f>'FS Desroches Daily'!J12</f>
        <v>1499.9999999996128</v>
      </c>
      <c r="I10" s="31">
        <f>'FS Desroches Daily'!L12</f>
        <v>2099.9999999999909</v>
      </c>
      <c r="J10" s="32">
        <f>'FS Desroches Daily'!N12</f>
        <v>1900.0000000000127</v>
      </c>
      <c r="K10" s="13">
        <f>'FS Desroches Daily'!P12</f>
        <v>32</v>
      </c>
      <c r="L10" s="31">
        <f>'FS Desroches Daily'!R12</f>
        <v>5</v>
      </c>
      <c r="M10" s="31">
        <f>'FS Desroches Daily'!T12</f>
        <v>1500</v>
      </c>
      <c r="N10" s="31">
        <f>'FS Desroches Daily'!V12</f>
        <v>493.80000000004657</v>
      </c>
      <c r="O10" s="31">
        <f>'FS Desroches Daily'!X12</f>
        <v>389.99999999998636</v>
      </c>
      <c r="P10" s="31">
        <f>'FS Desroches Daily'!Z12</f>
        <v>3000.0000000001137</v>
      </c>
      <c r="Q10" s="31">
        <f>'FS Desroches Daily'!AB12</f>
        <v>340.00000000003183</v>
      </c>
      <c r="R10" s="31">
        <f>'FS Desroches Daily'!AD12</f>
        <v>509.99999999999091</v>
      </c>
      <c r="S10" s="31">
        <f>'FS Desroches Daily'!AF12</f>
        <v>879.99999999999545</v>
      </c>
      <c r="T10" s="31">
        <f>'FS Desroches Daily'!AH12</f>
        <v>44</v>
      </c>
      <c r="U10" s="35">
        <f>'FS Desroches Daily'!AJ12</f>
        <v>1019.9999999999818</v>
      </c>
      <c r="V10" s="35">
        <f>'FS Desroches Daily'!AL12</f>
        <v>269.99999999998181</v>
      </c>
      <c r="W10" s="35">
        <f>'FS Desroches Daily'!AN12</f>
        <v>209.99999999997954</v>
      </c>
      <c r="X10" s="35">
        <f>'FS Desroches Daily'!AP12</f>
        <v>219.99999999997044</v>
      </c>
      <c r="Y10" s="35">
        <f>'FS Desroches Daily'!AR12</f>
        <v>229.99999999996135</v>
      </c>
      <c r="Z10" s="35">
        <f>'FS Desroches Daily'!AT12</f>
        <v>120.00000000000455</v>
      </c>
      <c r="AA10" s="35">
        <f>'FS Desroches Daily'!AT12</f>
        <v>120.00000000000455</v>
      </c>
      <c r="AB10" s="35">
        <f>'FS Desroches Daily'!AV12</f>
        <v>170.00000000001592</v>
      </c>
      <c r="AC10" s="35">
        <f>'FS Desroches Daily'!AZ12</f>
        <v>120.00000000000455</v>
      </c>
      <c r="AD10" s="35">
        <f>'FS Desroches Daily'!BB12</f>
        <v>140.0000000000432</v>
      </c>
      <c r="AE10" s="35">
        <f>'FS Desroches Daily'!BD12</f>
        <v>60.000000000002274</v>
      </c>
      <c r="AF10" s="31">
        <f>'FS Desroches Daily'!BF12</f>
        <v>0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40.000000000020464</v>
      </c>
      <c r="AL10" s="32">
        <f>'FS Desroches Daily'!BR12</f>
        <v>44</v>
      </c>
      <c r="AM10" s="32">
        <f>'FS Desroches Daily'!BT12</f>
        <v>29.999999999972715</v>
      </c>
      <c r="AN10" s="32">
        <f>'FS Desroches Daily'!BV12</f>
        <v>43</v>
      </c>
      <c r="AO10" s="32">
        <f>'FS Desroches Daily'!BX12</f>
        <v>50.000000000011369</v>
      </c>
      <c r="AP10" s="32">
        <f>'FS Desroches Daily'!BZ12</f>
        <v>46</v>
      </c>
      <c r="AQ10" s="31">
        <f>'FS Desroches Daily'!CB12</f>
        <v>62.799999999995634</v>
      </c>
      <c r="AR10" s="31">
        <f>'FS Desroches Daily'!CD12</f>
        <v>11.299999999999272</v>
      </c>
      <c r="AS10" s="31">
        <f>'FS Desroches Daily'!CF12</f>
        <v>0</v>
      </c>
      <c r="AT10" s="31">
        <f>'FS Desroches Daily'!CH12</f>
        <v>71.400000000008731</v>
      </c>
      <c r="AU10" s="31">
        <f>'FS Desroches Daily'!CJ12</f>
        <v>288</v>
      </c>
      <c r="AV10" s="31">
        <f>'FS Desroches Daily'!CL12</f>
        <v>900.00000000009095</v>
      </c>
      <c r="AW10" s="31">
        <f>'FS Desroches Daily'!CM12</f>
        <v>110</v>
      </c>
      <c r="AX10" s="31">
        <f>IF(LPG!F18-LPG!F16&lt;0,"0",(LPG!F18-LPG!F16)*1.8315)</f>
        <v>0</v>
      </c>
      <c r="AY10" s="31" t="str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12.820499999999999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3099.9999999998809</v>
      </c>
      <c r="F11" s="32">
        <f>'FS Desroches Daily'!F13</f>
        <v>3499.9999999998367</v>
      </c>
      <c r="G11" s="31">
        <f>'FS Desroches Daily'!H13</f>
        <v>3700.0000000002588</v>
      </c>
      <c r="H11" s="32">
        <f>'FS Desroches Daily'!J13</f>
        <v>1600.0000000002678</v>
      </c>
      <c r="I11" s="31">
        <f>'FS Desroches Daily'!L13</f>
        <v>1999.9999999997797</v>
      </c>
      <c r="J11" s="32">
        <f>'FS Desroches Daily'!N13</f>
        <v>1900.0000000000127</v>
      </c>
      <c r="K11" s="13">
        <f>'FS Desroches Daily'!P13</f>
        <v>32</v>
      </c>
      <c r="L11" s="31">
        <f>'FS Desroches Daily'!R13</f>
        <v>5</v>
      </c>
      <c r="M11" s="31">
        <f>'FS Desroches Daily'!T13</f>
        <v>1099.9999999999091</v>
      </c>
      <c r="N11" s="31">
        <f>'FS Desroches Daily'!V13</f>
        <v>410.79999999993015</v>
      </c>
      <c r="O11" s="31">
        <f>'FS Desroches Daily'!X13</f>
        <v>379.99999999999545</v>
      </c>
      <c r="P11" s="31">
        <f>'FS Desroches Daily'!Z13</f>
        <v>2999.9999999992256</v>
      </c>
      <c r="Q11" s="31">
        <f>'FS Desroches Daily'!AB13</f>
        <v>389.99999999998636</v>
      </c>
      <c r="R11" s="31">
        <f>'FS Desroches Daily'!AD13</f>
        <v>500</v>
      </c>
      <c r="S11" s="31">
        <f>'FS Desroches Daily'!AF13</f>
        <v>830.00000000004093</v>
      </c>
      <c r="T11" s="31">
        <f>'FS Desroches Daily'!AH13</f>
        <v>37</v>
      </c>
      <c r="U11" s="35">
        <f>'FS Desroches Daily'!AJ13</f>
        <v>1110.0000000000136</v>
      </c>
      <c r="V11" s="35">
        <f>'FS Desroches Daily'!AL13</f>
        <v>260.00000000004775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230.00000000001819</v>
      </c>
      <c r="Z11" s="35">
        <f>'FS Desroches Daily'!AT13</f>
        <v>139.99999999998636</v>
      </c>
      <c r="AA11" s="35">
        <f>'FS Desroches Daily'!AT13</f>
        <v>139.99999999998636</v>
      </c>
      <c r="AB11" s="35">
        <f>'FS Desroches Daily'!AV13</f>
        <v>189.99999999999773</v>
      </c>
      <c r="AC11" s="35">
        <f>'FS Desroches Daily'!AZ13</f>
        <v>139.99999999998636</v>
      </c>
      <c r="AD11" s="35">
        <f>'FS Desroches Daily'!BB13</f>
        <v>129.99999999999545</v>
      </c>
      <c r="AE11" s="35">
        <f>'FS Desroches Daily'!BD13</f>
        <v>69.999999999993179</v>
      </c>
      <c r="AF11" s="31">
        <f>'FS Desroches Daily'!BF13</f>
        <v>0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29.999999999972715</v>
      </c>
      <c r="AL11" s="32">
        <f>'FS Desroches Daily'!BR13</f>
        <v>44</v>
      </c>
      <c r="AM11" s="32">
        <f>'FS Desroches Daily'!BT13</f>
        <v>50.000000000011369</v>
      </c>
      <c r="AN11" s="32">
        <f>'FS Desroches Daily'!BV13</f>
        <v>39</v>
      </c>
      <c r="AO11" s="32">
        <f>'FS Desroches Daily'!BX13</f>
        <v>30.000000000001137</v>
      </c>
      <c r="AP11" s="32">
        <f>'FS Desroches Daily'!BZ13</f>
        <v>44</v>
      </c>
      <c r="AQ11" s="31">
        <f>'FS Desroches Daily'!CB13</f>
        <v>65.5</v>
      </c>
      <c r="AR11" s="31">
        <f>'FS Desroches Daily'!CD13</f>
        <v>10.799999999999272</v>
      </c>
      <c r="AS11" s="31">
        <f>'FS Desroches Daily'!CF13</f>
        <v>0</v>
      </c>
      <c r="AT11" s="31">
        <f>'FS Desroches Daily'!CH13</f>
        <v>62.599999999991269</v>
      </c>
      <c r="AU11" s="31">
        <f>'FS Desroches Daily'!CJ13</f>
        <v>300</v>
      </c>
      <c r="AV11" s="31">
        <f>'FS Desroches Daily'!CL13</f>
        <v>1099.9999999999091</v>
      </c>
      <c r="AW11" s="31">
        <f>'FS Desroches Daily'!CM13</f>
        <v>172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3000.0000000001137</v>
      </c>
      <c r="F12" s="32">
        <f>'FS Desroches Daily'!F14</f>
        <v>3300.0000000003029</v>
      </c>
      <c r="G12" s="31">
        <f>'FS Desroches Daily'!H14</f>
        <v>3899.9999999997926</v>
      </c>
      <c r="H12" s="32">
        <f>'FS Desroches Daily'!J14</f>
        <v>1599.9999999998238</v>
      </c>
      <c r="I12" s="31">
        <f>'FS Desroches Daily'!L14</f>
        <v>2200.0000000002019</v>
      </c>
      <c r="J12" s="32">
        <f>'FS Desroches Daily'!N14</f>
        <v>1700.0000000000348</v>
      </c>
      <c r="K12" s="13">
        <f>'FS Desroches Daily'!P14</f>
        <v>32</v>
      </c>
      <c r="L12" s="31">
        <f>'FS Desroches Daily'!R14</f>
        <v>5</v>
      </c>
      <c r="M12" s="31">
        <f>'FS Desroches Daily'!T14</f>
        <v>1700.0000000000455</v>
      </c>
      <c r="N12" s="31">
        <f>'FS Desroches Daily'!V14</f>
        <v>454.59999999997672</v>
      </c>
      <c r="O12" s="31">
        <f>'FS Desroches Daily'!X14</f>
        <v>350.00000000002274</v>
      </c>
      <c r="P12" s="31">
        <f>'FS Desroches Daily'!Z14</f>
        <v>3000.0000000001137</v>
      </c>
      <c r="Q12" s="31">
        <f>'FS Desroches Daily'!AB14</f>
        <v>240.00000000000909</v>
      </c>
      <c r="R12" s="31">
        <f>'FS Desroches Daily'!AD14</f>
        <v>549.99999999995453</v>
      </c>
      <c r="S12" s="31">
        <f>'FS Desroches Daily'!AF14</f>
        <v>830.00000000004093</v>
      </c>
      <c r="T12" s="31">
        <f>'FS Desroches Daily'!AH14</f>
        <v>37</v>
      </c>
      <c r="U12" s="35">
        <f>'FS Desroches Daily'!AJ14</f>
        <v>1030.0000000000864</v>
      </c>
      <c r="V12" s="35">
        <f>'FS Desroches Daily'!AL14</f>
        <v>269.99999999998181</v>
      </c>
      <c r="W12" s="35">
        <f>'FS Desroches Daily'!AN14</f>
        <v>250</v>
      </c>
      <c r="X12" s="35">
        <f>'FS Desroches Daily'!AP14</f>
        <v>190.00000000005457</v>
      </c>
      <c r="Y12" s="35">
        <f>'FS Desroches Daily'!AR14</f>
        <v>209.99999999997954</v>
      </c>
      <c r="Z12" s="35">
        <f>'FS Desroches Daily'!AT14</f>
        <v>120.00000000000455</v>
      </c>
      <c r="AA12" s="35">
        <f>'FS Desroches Daily'!AT14</f>
        <v>120.00000000000455</v>
      </c>
      <c r="AB12" s="35">
        <f>'FS Desroches Daily'!AV14</f>
        <v>209.99999999997954</v>
      </c>
      <c r="AC12" s="35">
        <f>'FS Desroches Daily'!AZ14</f>
        <v>140.0000000000432</v>
      </c>
      <c r="AD12" s="35">
        <f>'FS Desroches Daily'!BB14</f>
        <v>120.00000000000455</v>
      </c>
      <c r="AE12" s="35">
        <f>'FS Desroches Daily'!BD14</f>
        <v>50.000000000011369</v>
      </c>
      <c r="AF12" s="31">
        <f>'FS Desroches Daily'!BF14</f>
        <v>0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40.000000000020464</v>
      </c>
      <c r="AK12" s="32">
        <f>'FS Desroches Daily'!BP14</f>
        <v>40.000000000020464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39</v>
      </c>
      <c r="AO12" s="32">
        <f>'FS Desroches Daily'!BX14</f>
        <v>49.999999999982947</v>
      </c>
      <c r="AP12" s="32">
        <f>'FS Desroches Daily'!BZ14</f>
        <v>44</v>
      </c>
      <c r="AQ12" s="31">
        <f>'FS Desroches Daily'!CB14</f>
        <v>73</v>
      </c>
      <c r="AR12" s="31">
        <f>'FS Desroches Daily'!CD14</f>
        <v>10.799999999999272</v>
      </c>
      <c r="AS12" s="31">
        <f>'FS Desroches Daily'!CF14</f>
        <v>0</v>
      </c>
      <c r="AT12" s="31">
        <f>'FS Desroches Daily'!CH14</f>
        <v>61.200000000011642</v>
      </c>
      <c r="AU12" s="31">
        <f>'FS Desroches Daily'!CJ14</f>
        <v>287</v>
      </c>
      <c r="AV12" s="31">
        <f>'FS Desroches Daily'!CL14</f>
        <v>1000</v>
      </c>
      <c r="AW12" s="31">
        <f>'FS Desroches Daily'!CM14</f>
        <v>133</v>
      </c>
      <c r="AX12" s="31">
        <f>IF(LPG!F19-LPG!F18&lt;0,"0",(LPG!F19-LPG!F18)*1.8315)</f>
        <v>0</v>
      </c>
      <c r="AY12" s="31">
        <f>IF(LPG!H19-LPG!H18&lt;0,"0",(LPG!H19-LPG!H18)*1.8315)</f>
        <v>10.988999999999999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3099.9999999998809</v>
      </c>
      <c r="F13" s="32">
        <f>'FS Desroches Daily'!F15</f>
        <v>3099.9999999998809</v>
      </c>
      <c r="G13" s="31">
        <f>'FS Desroches Daily'!H15</f>
        <v>3800.0000000000255</v>
      </c>
      <c r="H13" s="32">
        <f>'FS Desroches Daily'!J15</f>
        <v>1500.0000000000568</v>
      </c>
      <c r="I13" s="31">
        <f>'FS Desroches Daily'!L15</f>
        <v>2099.9999999999909</v>
      </c>
      <c r="J13" s="32">
        <f>'FS Desroches Daily'!N15</f>
        <v>1900.0000000000127</v>
      </c>
      <c r="K13" s="13">
        <f>'FS Desroches Daily'!P15</f>
        <v>30</v>
      </c>
      <c r="L13" s="31">
        <f>'FS Desroches Daily'!R15</f>
        <v>5</v>
      </c>
      <c r="M13" s="31">
        <f>'FS Desroches Daily'!T15</f>
        <v>1299.9999999999545</v>
      </c>
      <c r="N13" s="31">
        <f>'FS Desroches Daily'!V15</f>
        <v>435.90000000002328</v>
      </c>
      <c r="O13" s="31">
        <f>'FS Desroches Daily'!X15</f>
        <v>370.00000000000455</v>
      </c>
      <c r="P13" s="31">
        <f>'FS Desroches Daily'!Z15</f>
        <v>2699.9999999999245</v>
      </c>
      <c r="Q13" s="31">
        <f>'FS Desroches Daily'!AB15</f>
        <v>399.99999999997726</v>
      </c>
      <c r="R13" s="31">
        <f>'FS Desroches Daily'!AD15</f>
        <v>460.00000000003638</v>
      </c>
      <c r="S13" s="31">
        <f>'FS Desroches Daily'!AF15</f>
        <v>899.99999999997726</v>
      </c>
      <c r="T13" s="31">
        <f>'FS Desroches Daily'!AH15</f>
        <v>39</v>
      </c>
      <c r="U13" s="35">
        <f>'FS Desroches Daily'!AJ15</f>
        <v>1079.9999999999272</v>
      </c>
      <c r="V13" s="35">
        <f>'FS Desroches Daily'!AL15</f>
        <v>269.99999999998181</v>
      </c>
      <c r="W13" s="35">
        <f>'FS Desroches Daily'!AN15</f>
        <v>229.99999999996135</v>
      </c>
      <c r="X13" s="35">
        <f>'FS Desroches Daily'!AP15</f>
        <v>209.99999999997954</v>
      </c>
      <c r="Y13" s="35">
        <f>'FS Desroches Daily'!AR15</f>
        <v>200.00000000004547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240.00000000000909</v>
      </c>
      <c r="AC13" s="35">
        <f>'FS Desroches Daily'!AZ15</f>
        <v>169.99999999995907</v>
      </c>
      <c r="AD13" s="35">
        <f>'FS Desroches Daily'!BB15</f>
        <v>149.99999999997726</v>
      </c>
      <c r="AE13" s="35">
        <f>'FS Desroches Daily'!BD15</f>
        <v>110.00000000001364</v>
      </c>
      <c r="AF13" s="31">
        <f>'FS Desroches Daily'!BF15</f>
        <v>56225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49.999999999954525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45</v>
      </c>
      <c r="AM13" s="32">
        <f>'FS Desroches Daily'!BT15</f>
        <v>50.000000000011369</v>
      </c>
      <c r="AN13" s="32">
        <f>'FS Desroches Daily'!BV15</f>
        <v>40</v>
      </c>
      <c r="AO13" s="32">
        <f>'FS Desroches Daily'!BX15</f>
        <v>60.000000000002274</v>
      </c>
      <c r="AP13" s="32">
        <f>'FS Desroches Daily'!BZ15</f>
        <v>48</v>
      </c>
      <c r="AQ13" s="31">
        <f>'FS Desroches Daily'!CB15</f>
        <v>68.400000000001455</v>
      </c>
      <c r="AR13" s="31">
        <f>'FS Desroches Daily'!CD15</f>
        <v>8.9000000000014552</v>
      </c>
      <c r="AS13" s="31">
        <f>'FS Desroches Daily'!CF15</f>
        <v>8704.1</v>
      </c>
      <c r="AT13" s="31">
        <f>'FS Desroches Daily'!CH15</f>
        <v>65.599999999991269</v>
      </c>
      <c r="AU13" s="31">
        <f>'FS Desroches Daily'!CJ15</f>
        <v>293</v>
      </c>
      <c r="AV13" s="31">
        <f>'FS Desroches Daily'!CL15</f>
        <v>1000</v>
      </c>
      <c r="AW13" s="31">
        <f>'FS Desroches Daily'!CM15</f>
        <v>121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3200.0000000000919</v>
      </c>
      <c r="F14" s="32">
        <f>'FS Desroches Daily'!F16</f>
        <v>3499.9999999998367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2099.9999999999909</v>
      </c>
      <c r="J14" s="32">
        <f>'FS Desroches Daily'!N16</f>
        <v>1800.0000000002458</v>
      </c>
      <c r="K14" s="13">
        <f>'FS Desroches Daily'!P16</f>
        <v>32</v>
      </c>
      <c r="L14" s="31">
        <f>'FS Desroches Daily'!R16</f>
        <v>5</v>
      </c>
      <c r="M14" s="31">
        <f>'FS Desroches Daily'!T16</f>
        <v>1400.0000000000909</v>
      </c>
      <c r="N14" s="31">
        <f>'FS Desroches Daily'!V16</f>
        <v>464.70000000006985</v>
      </c>
      <c r="O14" s="31">
        <f>'FS Desroches Daily'!X16</f>
        <v>379.99999999999545</v>
      </c>
      <c r="P14" s="31">
        <f>'FS Desroches Daily'!Z16</f>
        <v>3099.9999999998809</v>
      </c>
      <c r="Q14" s="31">
        <f>'FS Desroches Daily'!AB16</f>
        <v>379.99999999999545</v>
      </c>
      <c r="R14" s="31">
        <f>'FS Desroches Daily'!AD16</f>
        <v>460.00000000003638</v>
      </c>
      <c r="S14" s="31">
        <f>'FS Desroches Daily'!AF16</f>
        <v>759.99999999999091</v>
      </c>
      <c r="T14" s="31">
        <f>'FS Desroches Daily'!AH16</f>
        <v>43</v>
      </c>
      <c r="U14" s="35">
        <f>'FS Desroches Daily'!AJ16</f>
        <v>1070.00000000005</v>
      </c>
      <c r="V14" s="35">
        <f>'FS Desroches Daily'!AL16</f>
        <v>270.00000000003865</v>
      </c>
      <c r="W14" s="35">
        <f>'FS Desroches Daily'!AN16</f>
        <v>220.00000000002728</v>
      </c>
      <c r="X14" s="35">
        <f>'FS Desroches Daily'!AP16</f>
        <v>209.99999999997954</v>
      </c>
      <c r="Y14" s="35">
        <f>'FS Desroches Daily'!AR16</f>
        <v>180.00000000000682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150.00000000003411</v>
      </c>
      <c r="AD14" s="35">
        <f>'FS Desroches Daily'!BB16</f>
        <v>110.00000000001364</v>
      </c>
      <c r="AE14" s="35">
        <f>'FS Desroches Daily'!BD16</f>
        <v>99.999999999965894</v>
      </c>
      <c r="AF14" s="31">
        <f>'FS Desroches Daily'!BF16</f>
        <v>35</v>
      </c>
      <c r="AG14" s="32">
        <f>'FS Desroches Daily'!BH16</f>
        <v>40.000000000020464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46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50.000000000011369</v>
      </c>
      <c r="AP14" s="32">
        <f>'FS Desroches Daily'!BZ16</f>
        <v>44</v>
      </c>
      <c r="AQ14" s="31">
        <f>'FS Desroches Daily'!CB16</f>
        <v>66.19999999999709</v>
      </c>
      <c r="AR14" s="31">
        <f>'FS Desroches Daily'!CD16</f>
        <v>14</v>
      </c>
      <c r="AS14" s="31">
        <f>'FS Desroches Daily'!CF16</f>
        <v>3.1000000000003638</v>
      </c>
      <c r="AT14" s="31">
        <f>'FS Desroches Daily'!CH16</f>
        <v>61.19999999999709</v>
      </c>
      <c r="AU14" s="31">
        <f>'FS Desroches Daily'!CJ16</f>
        <v>312</v>
      </c>
      <c r="AV14" s="31">
        <f>'FS Desroches Daily'!CL16</f>
        <v>1000</v>
      </c>
      <c r="AW14" s="31">
        <f>'FS Desroches Daily'!CM16</f>
        <v>127</v>
      </c>
      <c r="AX14" s="31" t="str">
        <f>IF(LPG!F21-LPG!F20&lt;0,"0",(LPG!F21-LPG!F20)*1.8315)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43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e">
        <f>'FS Desroches Daily'!T17</f>
        <v>#VALUE!</v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35200.000000000116</v>
      </c>
      <c r="F33" s="17">
        <f t="shared" ref="F33:BC33" si="0">SUM(F2:F32)</f>
        <v>42699.999999999971</v>
      </c>
      <c r="G33" s="17">
        <f t="shared" si="0"/>
        <v>48899.999999999724</v>
      </c>
      <c r="H33" s="17">
        <f t="shared" si="0"/>
        <v>20299.999999999764</v>
      </c>
      <c r="I33" s="17">
        <f t="shared" si="0"/>
        <v>27000.000000000138</v>
      </c>
      <c r="J33" s="17">
        <f t="shared" si="0"/>
        <v>23700.000000000284</v>
      </c>
      <c r="K33" s="17">
        <f t="shared" si="0"/>
        <v>435</v>
      </c>
      <c r="L33" s="17">
        <f t="shared" si="0"/>
        <v>60</v>
      </c>
      <c r="M33" s="17" t="e">
        <f t="shared" si="0"/>
        <v>#VALUE!</v>
      </c>
      <c r="N33" s="17">
        <f t="shared" si="0"/>
        <v>5886.8000000000466</v>
      </c>
      <c r="O33" s="17">
        <f t="shared" si="0"/>
        <v>4789.9999999999636</v>
      </c>
      <c r="P33" s="17">
        <f t="shared" si="0"/>
        <v>37899.9999999996</v>
      </c>
      <c r="Q33" s="17">
        <f t="shared" si="0"/>
        <v>4500</v>
      </c>
      <c r="R33" s="17">
        <f t="shared" si="0"/>
        <v>6290.0000000000773</v>
      </c>
      <c r="S33" s="17">
        <f t="shared" si="0"/>
        <v>11450.000000000045</v>
      </c>
      <c r="T33" s="17">
        <f t="shared" si="0"/>
        <v>522</v>
      </c>
      <c r="U33" s="35">
        <f t="shared" si="0"/>
        <v>11220.000000000029</v>
      </c>
      <c r="V33" s="35">
        <f t="shared" si="0"/>
        <v>3120.0000000000045</v>
      </c>
      <c r="W33" s="35">
        <f t="shared" si="0"/>
        <v>2629.9999999999955</v>
      </c>
      <c r="X33" s="35">
        <f t="shared" si="0"/>
        <v>2740.0000000000091</v>
      </c>
      <c r="Y33" s="35">
        <f t="shared" si="0"/>
        <v>2380.0000000000523</v>
      </c>
      <c r="Z33" s="35">
        <f t="shared" si="0"/>
        <v>1759.9999999999909</v>
      </c>
      <c r="AA33" s="35">
        <f t="shared" si="0"/>
        <v>1759.9999999999909</v>
      </c>
      <c r="AB33" s="35">
        <f t="shared" si="0"/>
        <v>2200.0000000000455</v>
      </c>
      <c r="AC33" s="35">
        <f t="shared" si="0"/>
        <v>1650.0000000000341</v>
      </c>
      <c r="AD33" s="35">
        <f t="shared" si="0"/>
        <v>1530.0000000000296</v>
      </c>
      <c r="AE33" s="35">
        <f t="shared" si="0"/>
        <v>829.99999999998408</v>
      </c>
      <c r="AF33" s="17">
        <f t="shared" si="0"/>
        <v>56534</v>
      </c>
      <c r="AG33" s="32">
        <f t="shared" si="0"/>
        <v>480.00000000001819</v>
      </c>
      <c r="AH33" s="32">
        <f t="shared" si="0"/>
        <v>439.99999999999773</v>
      </c>
      <c r="AI33" s="32">
        <f t="shared" si="0"/>
        <v>709.99999999997954</v>
      </c>
      <c r="AJ33" s="32">
        <f t="shared" si="0"/>
        <v>490.00000000000909</v>
      </c>
      <c r="AK33" s="32">
        <f t="shared" si="0"/>
        <v>479.99999999996135</v>
      </c>
      <c r="AL33" s="32">
        <f t="shared" si="0"/>
        <v>536</v>
      </c>
      <c r="AM33" s="32">
        <f t="shared" si="0"/>
        <v>460.00000000000796</v>
      </c>
      <c r="AN33" s="32">
        <f t="shared" si="0"/>
        <v>490</v>
      </c>
      <c r="AO33" s="32">
        <f t="shared" si="0"/>
        <v>560.00000000000227</v>
      </c>
      <c r="AP33" s="32">
        <f t="shared" si="0"/>
        <v>569</v>
      </c>
      <c r="AQ33" s="17">
        <f t="shared" si="0"/>
        <v>766.89999999999418</v>
      </c>
      <c r="AR33" s="17">
        <f t="shared" si="0"/>
        <v>163.29999999999927</v>
      </c>
      <c r="AS33" s="17">
        <f t="shared" si="0"/>
        <v>8734.7000000000007</v>
      </c>
      <c r="AT33" s="17">
        <f t="shared" si="0"/>
        <v>846.69999999999709</v>
      </c>
      <c r="AU33" s="17">
        <f t="shared" si="0"/>
        <v>3791</v>
      </c>
      <c r="AV33" s="17">
        <f t="shared" si="0"/>
        <v>12500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67.765499999999989</v>
      </c>
      <c r="BC33" s="17">
        <f t="shared" si="0"/>
        <v>297</v>
      </c>
    </row>
    <row r="35" spans="5:55" x14ac:dyDescent="0.25">
      <c r="E35" s="38">
        <f>E33/E37</f>
        <v>0.21736714051056669</v>
      </c>
      <c r="G35" s="29" t="e">
        <f>G33-M36</f>
        <v>#VALUE!</v>
      </c>
      <c r="AE35" s="35">
        <f>SUM(U33:AE33)</f>
        <v>31820.000000000164</v>
      </c>
      <c r="AG35" s="32">
        <f>SUM(AG33:AP33)</f>
        <v>5214.9999999999764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161937.99999999985</v>
      </c>
      <c r="G37" s="37" t="e">
        <f>M36/E37</f>
        <v>#VALUE!</v>
      </c>
      <c r="M37" s="35">
        <f>AE35</f>
        <v>31820.000000000164</v>
      </c>
    </row>
    <row r="38" spans="5:55" x14ac:dyDescent="0.25">
      <c r="L38" s="27">
        <f>M38/E37</f>
        <v>3.2203682890982854E-2</v>
      </c>
      <c r="M38" s="29">
        <f>AG35</f>
        <v>5214.9999999999764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2" activePane="bottomLeft" state="frozen"/>
      <selection pane="bottomLeft" activeCell="CO16" sqref="CO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147</v>
      </c>
      <c r="T1" s="81"/>
      <c r="U1" s="80" t="s">
        <v>117</v>
      </c>
      <c r="V1" s="81"/>
      <c r="W1" s="85" t="s">
        <v>118</v>
      </c>
      <c r="X1" s="86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137</v>
      </c>
      <c r="CQ1" s="84"/>
      <c r="CR1" s="82" t="s">
        <v>138</v>
      </c>
      <c r="CS1" s="82"/>
      <c r="CT1" s="83" t="s">
        <v>141</v>
      </c>
      <c r="CU1" s="84"/>
      <c r="CV1" s="82" t="s">
        <v>142</v>
      </c>
      <c r="CW1" s="82"/>
      <c r="CX1" s="80" t="s">
        <v>146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44</v>
      </c>
      <c r="CO3" s="62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62">
        <v>32</v>
      </c>
      <c r="CO4" s="62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62">
        <v>32</v>
      </c>
      <c r="CO5" s="62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62">
        <v>24</v>
      </c>
      <c r="CO6" s="62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62">
        <v>24</v>
      </c>
      <c r="CO7" s="62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62">
        <v>33</v>
      </c>
      <c r="CO8" s="62">
        <v>70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62">
        <v>33</v>
      </c>
      <c r="CO9" s="62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62">
        <v>39</v>
      </c>
      <c r="CO10" s="62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>
        <v>3.5379</v>
      </c>
      <c r="D11" s="64">
        <f t="shared" si="49"/>
        <v>2600.0000000001578</v>
      </c>
      <c r="E11" s="58">
        <v>4.7405999999999997</v>
      </c>
      <c r="F11" s="64">
        <f t="shared" si="50"/>
        <v>3299.9999999994143</v>
      </c>
      <c r="G11" s="58">
        <v>4.7259000000000002</v>
      </c>
      <c r="H11" s="64">
        <f t="shared" si="51"/>
        <v>3800.0000000000255</v>
      </c>
      <c r="I11" s="58">
        <v>2.3532000000000002</v>
      </c>
      <c r="J11" s="64">
        <f t="shared" si="52"/>
        <v>1600.0000000002678</v>
      </c>
      <c r="K11" s="58">
        <v>3.6328</v>
      </c>
      <c r="L11" s="64">
        <f t="shared" si="53"/>
        <v>2200.0000000002019</v>
      </c>
      <c r="M11" s="58">
        <v>2.1511999999999998</v>
      </c>
      <c r="N11" s="64">
        <f t="shared" si="54"/>
        <v>1799.9999999998017</v>
      </c>
      <c r="O11" s="58">
        <v>24341</v>
      </c>
      <c r="P11" s="67">
        <f t="shared" si="55"/>
        <v>33</v>
      </c>
      <c r="Q11" s="58">
        <v>3001</v>
      </c>
      <c r="R11" s="67">
        <f t="shared" si="56"/>
        <v>5</v>
      </c>
      <c r="S11" s="58">
        <v>1516.4</v>
      </c>
      <c r="T11" s="67">
        <f t="shared" si="98"/>
        <v>1400.0000000000909</v>
      </c>
      <c r="U11" s="58">
        <v>605207.5</v>
      </c>
      <c r="V11" s="67">
        <f t="shared" si="57"/>
        <v>404.80000000004657</v>
      </c>
      <c r="W11" s="58">
        <v>552.39</v>
      </c>
      <c r="X11" s="65">
        <f t="shared" si="58"/>
        <v>370.00000000000455</v>
      </c>
      <c r="Y11" s="58">
        <v>4.1786000000000003</v>
      </c>
      <c r="Z11" s="65">
        <f t="shared" si="59"/>
        <v>2900.0000000003465</v>
      </c>
      <c r="AA11" s="58">
        <v>560.91</v>
      </c>
      <c r="AB11" s="65">
        <f t="shared" si="60"/>
        <v>389.99999999998636</v>
      </c>
      <c r="AC11" s="58">
        <v>556.22</v>
      </c>
      <c r="AD11" s="65">
        <f t="shared" si="61"/>
        <v>500</v>
      </c>
      <c r="AE11" s="58">
        <v>861.42</v>
      </c>
      <c r="AF11" s="65">
        <f t="shared" si="62"/>
        <v>909.99999999996817</v>
      </c>
      <c r="AG11" s="58">
        <v>22075</v>
      </c>
      <c r="AH11" s="67">
        <f t="shared" si="63"/>
        <v>41</v>
      </c>
      <c r="AI11" s="58">
        <v>945.04</v>
      </c>
      <c r="AJ11" s="65">
        <f t="shared" si="64"/>
        <v>849.99999999990905</v>
      </c>
      <c r="AK11" s="58">
        <v>314.01</v>
      </c>
      <c r="AL11" s="65">
        <f t="shared" si="65"/>
        <v>209.99999999997954</v>
      </c>
      <c r="AM11" s="58">
        <v>290.48</v>
      </c>
      <c r="AN11" s="65">
        <f t="shared" si="66"/>
        <v>200.00000000004547</v>
      </c>
      <c r="AO11" s="58">
        <v>280.61</v>
      </c>
      <c r="AP11" s="65">
        <f t="shared" si="67"/>
        <v>220.00000000002728</v>
      </c>
      <c r="AQ11" s="58">
        <v>333.36</v>
      </c>
      <c r="AR11" s="65">
        <f t="shared" si="68"/>
        <v>230.00000000001819</v>
      </c>
      <c r="AS11" s="58">
        <v>457.88</v>
      </c>
      <c r="AT11" s="65">
        <f t="shared" si="69"/>
        <v>139.99999999998636</v>
      </c>
      <c r="AU11" s="58">
        <v>365.18</v>
      </c>
      <c r="AV11" s="65">
        <f t="shared" si="70"/>
        <v>209.99999999997954</v>
      </c>
      <c r="AW11" s="58">
        <v>394.9</v>
      </c>
      <c r="AX11" s="65">
        <f t="shared" si="71"/>
        <v>139.99999999998636</v>
      </c>
      <c r="AY11" s="58">
        <v>430.2</v>
      </c>
      <c r="AZ11" s="65">
        <f t="shared" si="72"/>
        <v>110.00000000001364</v>
      </c>
      <c r="BA11" s="58">
        <v>446.83</v>
      </c>
      <c r="BB11" s="65">
        <f t="shared" si="73"/>
        <v>79.999999999984084</v>
      </c>
      <c r="BC11" s="58">
        <v>286.18</v>
      </c>
      <c r="BD11" s="65">
        <f t="shared" si="74"/>
        <v>50.000000000011369</v>
      </c>
      <c r="BE11" s="59"/>
      <c r="BF11" s="67" t="str">
        <f t="shared" si="75"/>
        <v/>
      </c>
      <c r="BG11" s="60">
        <v>252.92</v>
      </c>
      <c r="BH11" s="65">
        <f t="shared" si="76"/>
        <v>39.999999999992042</v>
      </c>
      <c r="BI11" s="60">
        <v>307.38</v>
      </c>
      <c r="BJ11" s="65">
        <f t="shared" si="77"/>
        <v>40.000000000020464</v>
      </c>
      <c r="BK11" s="60">
        <v>257.94</v>
      </c>
      <c r="BL11" s="65">
        <f t="shared" si="78"/>
        <v>60.000000000002274</v>
      </c>
      <c r="BM11" s="60">
        <v>242.74</v>
      </c>
      <c r="BN11" s="65">
        <f t="shared" si="79"/>
        <v>30.000000000001137</v>
      </c>
      <c r="BO11" s="60">
        <v>311.45999999999998</v>
      </c>
      <c r="BP11" s="65">
        <f t="shared" si="80"/>
        <v>29.999999999972715</v>
      </c>
      <c r="BQ11" s="60">
        <v>61010</v>
      </c>
      <c r="BR11" s="65">
        <f t="shared" si="81"/>
        <v>35</v>
      </c>
      <c r="BS11" s="60">
        <v>220.86</v>
      </c>
      <c r="BT11" s="65">
        <f t="shared" si="82"/>
        <v>30.000000000001137</v>
      </c>
      <c r="BU11" s="60">
        <v>58999</v>
      </c>
      <c r="BV11" s="65">
        <f t="shared" si="83"/>
        <v>34</v>
      </c>
      <c r="BW11" s="60">
        <v>249</v>
      </c>
      <c r="BX11" s="65">
        <f t="shared" si="84"/>
        <v>39.999999999992042</v>
      </c>
      <c r="BY11" s="60">
        <v>79468</v>
      </c>
      <c r="BZ11" s="67">
        <f t="shared" si="85"/>
        <v>43</v>
      </c>
      <c r="CA11" s="60">
        <v>55605.8</v>
      </c>
      <c r="CB11" s="67">
        <f t="shared" si="86"/>
        <v>60.100000000005821</v>
      </c>
      <c r="CC11" s="60">
        <v>17315.400000000001</v>
      </c>
      <c r="CD11" s="67">
        <f t="shared" si="87"/>
        <v>12.900000000001455</v>
      </c>
      <c r="CE11" s="60"/>
      <c r="CF11" s="67" t="str">
        <f t="shared" si="88"/>
        <v/>
      </c>
      <c r="CG11" s="60">
        <v>81738.399999999994</v>
      </c>
      <c r="CH11" s="67">
        <f t="shared" si="89"/>
        <v>64.299999999988358</v>
      </c>
      <c r="CI11" s="60">
        <v>1086507</v>
      </c>
      <c r="CJ11" s="67">
        <f t="shared" si="90"/>
        <v>290</v>
      </c>
      <c r="CK11" s="60">
        <v>1115.0999999999999</v>
      </c>
      <c r="CL11" s="64">
        <f t="shared" si="91"/>
        <v>1000</v>
      </c>
      <c r="CM11" s="65">
        <f t="shared" si="92"/>
        <v>136</v>
      </c>
      <c r="CN11" s="62"/>
      <c r="CO11" s="62"/>
      <c r="CP11" s="68">
        <v>42965</v>
      </c>
      <c r="CQ11" s="67">
        <f t="shared" si="93"/>
        <v>117</v>
      </c>
      <c r="CR11" s="68">
        <v>24422</v>
      </c>
      <c r="CS11" s="67">
        <f t="shared" si="94"/>
        <v>19</v>
      </c>
      <c r="CT11" s="75">
        <v>11605</v>
      </c>
      <c r="CU11" s="67">
        <f t="shared" si="95"/>
        <v>8</v>
      </c>
      <c r="CV11" s="68">
        <v>28137</v>
      </c>
      <c r="CW11" s="67">
        <f t="shared" si="96"/>
        <v>91</v>
      </c>
      <c r="CX11" s="58">
        <v>4548.2</v>
      </c>
      <c r="CY11" s="67">
        <f t="shared" si="97"/>
        <v>11.899999999999636</v>
      </c>
    </row>
    <row r="12" spans="1:103" ht="25.5" customHeight="1" thickBot="1" x14ac:dyDescent="0.45">
      <c r="A12" s="63">
        <v>44843</v>
      </c>
      <c r="B12" s="44"/>
      <c r="C12" s="58">
        <v>3.5407999999999999</v>
      </c>
      <c r="D12" s="64">
        <f t="shared" si="49"/>
        <v>2899.9999999999027</v>
      </c>
      <c r="E12" s="58">
        <v>4.7439999999999998</v>
      </c>
      <c r="F12" s="64">
        <f t="shared" si="50"/>
        <v>3400.0000000000696</v>
      </c>
      <c r="G12" s="58">
        <v>4.7298999999999998</v>
      </c>
      <c r="H12" s="64">
        <f t="shared" si="51"/>
        <v>3999.9999999995593</v>
      </c>
      <c r="I12" s="58">
        <v>2.3546999999999998</v>
      </c>
      <c r="J12" s="64">
        <f t="shared" si="52"/>
        <v>1499.9999999996128</v>
      </c>
      <c r="K12" s="58">
        <v>3.6349</v>
      </c>
      <c r="L12" s="64">
        <f t="shared" si="53"/>
        <v>2099.9999999999909</v>
      </c>
      <c r="M12" s="58">
        <v>2.1530999999999998</v>
      </c>
      <c r="N12" s="64">
        <f t="shared" si="54"/>
        <v>1900.0000000000127</v>
      </c>
      <c r="O12" s="58">
        <v>24373</v>
      </c>
      <c r="P12" s="67">
        <f t="shared" si="55"/>
        <v>32</v>
      </c>
      <c r="Q12" s="58">
        <v>3006</v>
      </c>
      <c r="R12" s="67">
        <f t="shared" si="56"/>
        <v>5</v>
      </c>
      <c r="S12" s="58">
        <v>1517.9</v>
      </c>
      <c r="T12" s="67">
        <f t="shared" si="98"/>
        <v>1500</v>
      </c>
      <c r="U12" s="58">
        <v>605701.30000000005</v>
      </c>
      <c r="V12" s="67">
        <f t="shared" si="57"/>
        <v>493.80000000004657</v>
      </c>
      <c r="W12" s="58">
        <v>552.78</v>
      </c>
      <c r="X12" s="65">
        <f t="shared" si="58"/>
        <v>389.99999999998636</v>
      </c>
      <c r="Y12" s="58">
        <v>4.1816000000000004</v>
      </c>
      <c r="Z12" s="65">
        <f t="shared" si="59"/>
        <v>3000.0000000001137</v>
      </c>
      <c r="AA12" s="58">
        <v>561.25</v>
      </c>
      <c r="AB12" s="65">
        <f t="shared" si="60"/>
        <v>340.00000000003183</v>
      </c>
      <c r="AC12" s="58">
        <v>556.73</v>
      </c>
      <c r="AD12" s="65">
        <f t="shared" si="61"/>
        <v>509.99999999999091</v>
      </c>
      <c r="AE12" s="58">
        <v>862.3</v>
      </c>
      <c r="AF12" s="65">
        <f t="shared" si="62"/>
        <v>879.99999999999545</v>
      </c>
      <c r="AG12" s="58">
        <v>22119</v>
      </c>
      <c r="AH12" s="67">
        <f t="shared" si="63"/>
        <v>44</v>
      </c>
      <c r="AI12" s="58">
        <v>946.06</v>
      </c>
      <c r="AJ12" s="65">
        <f t="shared" si="64"/>
        <v>1019.9999999999818</v>
      </c>
      <c r="AK12" s="58">
        <v>314.27999999999997</v>
      </c>
      <c r="AL12" s="65">
        <f t="shared" si="65"/>
        <v>269.99999999998181</v>
      </c>
      <c r="AM12" s="58">
        <v>290.69</v>
      </c>
      <c r="AN12" s="65">
        <f t="shared" si="66"/>
        <v>209.99999999997954</v>
      </c>
      <c r="AO12" s="58">
        <v>280.83</v>
      </c>
      <c r="AP12" s="65">
        <f t="shared" si="67"/>
        <v>219.99999999997044</v>
      </c>
      <c r="AQ12" s="58">
        <v>333.59</v>
      </c>
      <c r="AR12" s="65">
        <f t="shared" si="68"/>
        <v>229.99999999996135</v>
      </c>
      <c r="AS12" s="58">
        <v>458</v>
      </c>
      <c r="AT12" s="65">
        <f t="shared" si="69"/>
        <v>120.00000000000455</v>
      </c>
      <c r="AU12" s="58">
        <v>365.35</v>
      </c>
      <c r="AV12" s="65">
        <f t="shared" si="70"/>
        <v>170.00000000001592</v>
      </c>
      <c r="AW12" s="58">
        <v>395.05</v>
      </c>
      <c r="AX12" s="65">
        <f t="shared" si="71"/>
        <v>150.00000000003411</v>
      </c>
      <c r="AY12" s="58">
        <v>430.32</v>
      </c>
      <c r="AZ12" s="65">
        <f t="shared" si="72"/>
        <v>120.00000000000455</v>
      </c>
      <c r="BA12" s="58">
        <v>446.97</v>
      </c>
      <c r="BB12" s="65">
        <f t="shared" si="73"/>
        <v>140.0000000000432</v>
      </c>
      <c r="BC12" s="58">
        <v>286.24</v>
      </c>
      <c r="BD12" s="65">
        <f t="shared" si="74"/>
        <v>60.000000000002274</v>
      </c>
      <c r="BE12" s="59"/>
      <c r="BF12" s="67">
        <f t="shared" si="75"/>
        <v>0</v>
      </c>
      <c r="BG12" s="60">
        <v>252.96</v>
      </c>
      <c r="BH12" s="65">
        <f t="shared" si="76"/>
        <v>40.000000000020464</v>
      </c>
      <c r="BI12" s="60">
        <v>307.42</v>
      </c>
      <c r="BJ12" s="65">
        <f t="shared" si="77"/>
        <v>40.000000000020464</v>
      </c>
      <c r="BK12" s="60">
        <v>257.99</v>
      </c>
      <c r="BL12" s="65">
        <f t="shared" si="78"/>
        <v>50.000000000011369</v>
      </c>
      <c r="BM12" s="60">
        <v>242.78</v>
      </c>
      <c r="BN12" s="65">
        <f t="shared" si="79"/>
        <v>39.999999999992042</v>
      </c>
      <c r="BO12" s="60">
        <v>311.5</v>
      </c>
      <c r="BP12" s="65">
        <f t="shared" si="80"/>
        <v>40.000000000020464</v>
      </c>
      <c r="BQ12" s="60">
        <v>61054</v>
      </c>
      <c r="BR12" s="65">
        <f t="shared" si="81"/>
        <v>44</v>
      </c>
      <c r="BS12" s="60">
        <v>220.89</v>
      </c>
      <c r="BT12" s="65">
        <f t="shared" si="82"/>
        <v>29.999999999972715</v>
      </c>
      <c r="BU12" s="60">
        <v>59042</v>
      </c>
      <c r="BV12" s="65">
        <f t="shared" si="83"/>
        <v>43</v>
      </c>
      <c r="BW12" s="60">
        <v>249.05</v>
      </c>
      <c r="BX12" s="65">
        <f t="shared" si="84"/>
        <v>50.000000000011369</v>
      </c>
      <c r="BY12" s="60">
        <v>79514</v>
      </c>
      <c r="BZ12" s="67">
        <f t="shared" si="85"/>
        <v>46</v>
      </c>
      <c r="CA12" s="60">
        <v>55668.6</v>
      </c>
      <c r="CB12" s="67">
        <f t="shared" si="86"/>
        <v>62.799999999995634</v>
      </c>
      <c r="CC12" s="60">
        <v>17326.7</v>
      </c>
      <c r="CD12" s="67">
        <f t="shared" si="87"/>
        <v>11.299999999999272</v>
      </c>
      <c r="CE12" s="60"/>
      <c r="CF12" s="67">
        <f t="shared" si="88"/>
        <v>0</v>
      </c>
      <c r="CG12" s="60">
        <v>81809.8</v>
      </c>
      <c r="CH12" s="67">
        <f t="shared" si="89"/>
        <v>71.400000000008731</v>
      </c>
      <c r="CI12" s="60">
        <v>1086795</v>
      </c>
      <c r="CJ12" s="67">
        <f t="shared" si="90"/>
        <v>288</v>
      </c>
      <c r="CK12" s="60">
        <v>1116</v>
      </c>
      <c r="CL12" s="64">
        <f t="shared" si="91"/>
        <v>900.00000000009095</v>
      </c>
      <c r="CM12" s="65">
        <f t="shared" si="92"/>
        <v>110</v>
      </c>
      <c r="CN12" s="62"/>
      <c r="CO12" s="62"/>
      <c r="CP12" s="68">
        <v>43062</v>
      </c>
      <c r="CQ12" s="67">
        <f t="shared" si="93"/>
        <v>97</v>
      </c>
      <c r="CR12" s="68">
        <v>24409</v>
      </c>
      <c r="CS12" s="67">
        <v>13</v>
      </c>
      <c r="CT12" s="75">
        <v>11615</v>
      </c>
      <c r="CU12" s="67">
        <f t="shared" si="95"/>
        <v>10</v>
      </c>
      <c r="CV12" s="68">
        <v>28199</v>
      </c>
      <c r="CW12" s="67">
        <f t="shared" si="96"/>
        <v>62</v>
      </c>
      <c r="CX12" s="58">
        <v>4560.6000000000004</v>
      </c>
      <c r="CY12" s="67">
        <f t="shared" si="97"/>
        <v>12.400000000000546</v>
      </c>
    </row>
    <row r="13" spans="1:103" ht="25.5" customHeight="1" thickBot="1" x14ac:dyDescent="0.45">
      <c r="A13" s="63">
        <v>44844</v>
      </c>
      <c r="B13" s="44"/>
      <c r="C13" s="58">
        <v>3.5438999999999998</v>
      </c>
      <c r="D13" s="64">
        <f t="shared" si="49"/>
        <v>3099.9999999998809</v>
      </c>
      <c r="E13" s="58">
        <v>4.7474999999999996</v>
      </c>
      <c r="F13" s="64">
        <f t="shared" si="50"/>
        <v>3499.9999999998367</v>
      </c>
      <c r="G13" s="58">
        <v>4.7336</v>
      </c>
      <c r="H13" s="64">
        <f t="shared" si="51"/>
        <v>3700.0000000002588</v>
      </c>
      <c r="I13" s="58">
        <v>2.3563000000000001</v>
      </c>
      <c r="J13" s="64">
        <f t="shared" si="52"/>
        <v>1600.0000000002678</v>
      </c>
      <c r="K13" s="58">
        <v>3.6368999999999998</v>
      </c>
      <c r="L13" s="64">
        <f t="shared" si="53"/>
        <v>1999.9999999997797</v>
      </c>
      <c r="M13" s="58">
        <v>2.1549999999999998</v>
      </c>
      <c r="N13" s="64">
        <f t="shared" si="54"/>
        <v>1900.0000000000127</v>
      </c>
      <c r="O13" s="58">
        <v>24405</v>
      </c>
      <c r="P13" s="67">
        <f t="shared" si="55"/>
        <v>32</v>
      </c>
      <c r="Q13" s="58">
        <v>3011</v>
      </c>
      <c r="R13" s="67">
        <f t="shared" si="56"/>
        <v>5</v>
      </c>
      <c r="S13" s="58">
        <v>1519</v>
      </c>
      <c r="T13" s="67">
        <f t="shared" si="98"/>
        <v>1099.9999999999091</v>
      </c>
      <c r="U13" s="58">
        <v>606112.1</v>
      </c>
      <c r="V13" s="67">
        <f t="shared" si="57"/>
        <v>410.79999999993015</v>
      </c>
      <c r="W13" s="58">
        <v>553.16</v>
      </c>
      <c r="X13" s="65">
        <f t="shared" si="58"/>
        <v>379.99999999999545</v>
      </c>
      <c r="Y13" s="58">
        <v>4.1845999999999997</v>
      </c>
      <c r="Z13" s="65">
        <f t="shared" si="59"/>
        <v>2999.9999999992256</v>
      </c>
      <c r="AA13" s="58">
        <v>561.64</v>
      </c>
      <c r="AB13" s="65">
        <f t="shared" si="60"/>
        <v>389.99999999998636</v>
      </c>
      <c r="AC13" s="58">
        <v>557.23</v>
      </c>
      <c r="AD13" s="65">
        <f t="shared" si="61"/>
        <v>500</v>
      </c>
      <c r="AE13" s="58">
        <v>863.13</v>
      </c>
      <c r="AF13" s="65">
        <f t="shared" si="62"/>
        <v>830.00000000004093</v>
      </c>
      <c r="AG13" s="58">
        <v>22156</v>
      </c>
      <c r="AH13" s="67">
        <v>37</v>
      </c>
      <c r="AI13" s="58">
        <v>947.17</v>
      </c>
      <c r="AJ13" s="65">
        <f t="shared" si="64"/>
        <v>1110.0000000000136</v>
      </c>
      <c r="AK13" s="58">
        <v>314.54000000000002</v>
      </c>
      <c r="AL13" s="65">
        <f t="shared" si="65"/>
        <v>260.00000000004775</v>
      </c>
      <c r="AM13" s="58">
        <v>290.86</v>
      </c>
      <c r="AN13" s="65">
        <f t="shared" si="66"/>
        <v>170.00000000001592</v>
      </c>
      <c r="AO13" s="58">
        <v>281.02999999999997</v>
      </c>
      <c r="AP13" s="65">
        <f t="shared" si="67"/>
        <v>199.99999999998863</v>
      </c>
      <c r="AQ13" s="58">
        <v>333.82</v>
      </c>
      <c r="AR13" s="65">
        <f t="shared" si="68"/>
        <v>230.00000000001819</v>
      </c>
      <c r="AS13" s="58">
        <v>458.14</v>
      </c>
      <c r="AT13" s="65">
        <f t="shared" si="69"/>
        <v>139.99999999998636</v>
      </c>
      <c r="AU13" s="58">
        <v>365.54</v>
      </c>
      <c r="AV13" s="65">
        <f t="shared" si="70"/>
        <v>189.99999999999773</v>
      </c>
      <c r="AW13" s="58">
        <v>395.21</v>
      </c>
      <c r="AX13" s="65">
        <f t="shared" si="71"/>
        <v>159.99999999996817</v>
      </c>
      <c r="AY13" s="58">
        <v>430.46</v>
      </c>
      <c r="AZ13" s="65">
        <f t="shared" si="72"/>
        <v>139.99999999998636</v>
      </c>
      <c r="BA13" s="58">
        <v>447.1</v>
      </c>
      <c r="BB13" s="65">
        <f t="shared" si="73"/>
        <v>129.99999999999545</v>
      </c>
      <c r="BC13" s="58">
        <v>286.31</v>
      </c>
      <c r="BD13" s="65">
        <f t="shared" si="74"/>
        <v>69.999999999993179</v>
      </c>
      <c r="BE13" s="59"/>
      <c r="BF13" s="67">
        <f t="shared" si="75"/>
        <v>0</v>
      </c>
      <c r="BG13" s="60">
        <v>252.99</v>
      </c>
      <c r="BH13" s="65">
        <f t="shared" si="76"/>
        <v>30.000000000001137</v>
      </c>
      <c r="BI13" s="60">
        <v>307.45</v>
      </c>
      <c r="BJ13" s="65">
        <f t="shared" si="77"/>
        <v>29.999999999972715</v>
      </c>
      <c r="BK13" s="60">
        <v>258.05</v>
      </c>
      <c r="BL13" s="65">
        <f t="shared" si="78"/>
        <v>60.000000000002274</v>
      </c>
      <c r="BM13" s="60">
        <v>242.82</v>
      </c>
      <c r="BN13" s="65">
        <f t="shared" si="79"/>
        <v>39.999999999992042</v>
      </c>
      <c r="BO13" s="60">
        <v>311.52999999999997</v>
      </c>
      <c r="BP13" s="65">
        <f t="shared" si="80"/>
        <v>29.999999999972715</v>
      </c>
      <c r="BQ13" s="60">
        <v>61098</v>
      </c>
      <c r="BR13" s="65">
        <f t="shared" si="81"/>
        <v>44</v>
      </c>
      <c r="BS13" s="60">
        <v>220.94</v>
      </c>
      <c r="BT13" s="65">
        <f t="shared" si="82"/>
        <v>50.000000000011369</v>
      </c>
      <c r="BU13" s="60">
        <v>59081</v>
      </c>
      <c r="BV13" s="65">
        <f t="shared" si="83"/>
        <v>39</v>
      </c>
      <c r="BW13" s="60">
        <v>249.08</v>
      </c>
      <c r="BX13" s="65">
        <f t="shared" si="84"/>
        <v>30.000000000001137</v>
      </c>
      <c r="BY13" s="60">
        <v>79558</v>
      </c>
      <c r="BZ13" s="67">
        <f t="shared" si="85"/>
        <v>44</v>
      </c>
      <c r="CA13" s="60">
        <v>55734.1</v>
      </c>
      <c r="CB13" s="67">
        <f t="shared" si="86"/>
        <v>65.5</v>
      </c>
      <c r="CC13" s="60">
        <v>17337.5</v>
      </c>
      <c r="CD13" s="67">
        <f t="shared" si="87"/>
        <v>10.799999999999272</v>
      </c>
      <c r="CE13" s="60"/>
      <c r="CF13" s="67">
        <f t="shared" si="88"/>
        <v>0</v>
      </c>
      <c r="CG13" s="60">
        <v>81872.399999999994</v>
      </c>
      <c r="CH13" s="67">
        <f t="shared" si="89"/>
        <v>62.599999999991269</v>
      </c>
      <c r="CI13" s="60">
        <v>1087095</v>
      </c>
      <c r="CJ13" s="67">
        <f t="shared" si="90"/>
        <v>300</v>
      </c>
      <c r="CK13" s="60">
        <v>1117.0999999999999</v>
      </c>
      <c r="CL13" s="64">
        <f t="shared" si="91"/>
        <v>1099.9999999999091</v>
      </c>
      <c r="CM13" s="65">
        <f t="shared" si="92"/>
        <v>172</v>
      </c>
      <c r="CN13" s="62"/>
      <c r="CO13" s="62"/>
      <c r="CP13" s="68">
        <v>43171</v>
      </c>
      <c r="CQ13" s="67">
        <f t="shared" si="93"/>
        <v>109</v>
      </c>
      <c r="CR13" s="68">
        <v>24472</v>
      </c>
      <c r="CS13" s="67">
        <f t="shared" si="94"/>
        <v>63</v>
      </c>
      <c r="CT13" s="75">
        <v>11624</v>
      </c>
      <c r="CU13" s="67">
        <f t="shared" si="95"/>
        <v>9</v>
      </c>
      <c r="CV13" s="68">
        <v>28257</v>
      </c>
      <c r="CW13" s="67">
        <f t="shared" si="96"/>
        <v>58</v>
      </c>
      <c r="CX13" s="58">
        <v>4573.2</v>
      </c>
      <c r="CY13" s="67">
        <f t="shared" si="97"/>
        <v>12.599999999999454</v>
      </c>
    </row>
    <row r="14" spans="1:103" ht="25.5" customHeight="1" thickBot="1" x14ac:dyDescent="0.45">
      <c r="A14" s="63">
        <v>44845</v>
      </c>
      <c r="B14" s="44"/>
      <c r="C14" s="58">
        <v>3.5468999999999999</v>
      </c>
      <c r="D14" s="64">
        <f t="shared" si="49"/>
        <v>3000.0000000001137</v>
      </c>
      <c r="E14" s="58">
        <v>4.7507999999999999</v>
      </c>
      <c r="F14" s="64">
        <f t="shared" si="50"/>
        <v>3300.0000000003029</v>
      </c>
      <c r="G14" s="58">
        <v>4.7374999999999998</v>
      </c>
      <c r="H14" s="64">
        <f t="shared" si="51"/>
        <v>3899.9999999997926</v>
      </c>
      <c r="I14" s="58">
        <v>2.3578999999999999</v>
      </c>
      <c r="J14" s="64">
        <f t="shared" si="52"/>
        <v>1599.9999999998238</v>
      </c>
      <c r="K14" s="58">
        <v>3.6391</v>
      </c>
      <c r="L14" s="64">
        <f t="shared" si="53"/>
        <v>2200.0000000002019</v>
      </c>
      <c r="M14" s="58">
        <v>2.1566999999999998</v>
      </c>
      <c r="N14" s="64">
        <f t="shared" si="54"/>
        <v>1700.0000000000348</v>
      </c>
      <c r="O14" s="58">
        <v>24437</v>
      </c>
      <c r="P14" s="67">
        <f t="shared" si="55"/>
        <v>32</v>
      </c>
      <c r="Q14" s="58">
        <v>3016</v>
      </c>
      <c r="R14" s="67">
        <f t="shared" si="56"/>
        <v>5</v>
      </c>
      <c r="S14" s="58">
        <v>1520.7</v>
      </c>
      <c r="T14" s="67">
        <f t="shared" si="98"/>
        <v>1700.0000000000455</v>
      </c>
      <c r="U14" s="58">
        <v>606566.69999999995</v>
      </c>
      <c r="V14" s="67">
        <f t="shared" si="57"/>
        <v>454.59999999997672</v>
      </c>
      <c r="W14" s="58">
        <v>553.51</v>
      </c>
      <c r="X14" s="65">
        <f t="shared" si="58"/>
        <v>350.00000000002274</v>
      </c>
      <c r="Y14" s="58">
        <v>4.1875999999999998</v>
      </c>
      <c r="Z14" s="65">
        <f t="shared" si="59"/>
        <v>3000.0000000001137</v>
      </c>
      <c r="AA14" s="58">
        <v>561.88</v>
      </c>
      <c r="AB14" s="65">
        <f t="shared" si="60"/>
        <v>240.00000000000909</v>
      </c>
      <c r="AC14" s="58">
        <v>557.78</v>
      </c>
      <c r="AD14" s="65">
        <f t="shared" si="61"/>
        <v>549.99999999995453</v>
      </c>
      <c r="AE14" s="58">
        <v>863.96</v>
      </c>
      <c r="AF14" s="65">
        <f t="shared" si="62"/>
        <v>830.00000000004093</v>
      </c>
      <c r="AG14" s="58">
        <v>22193</v>
      </c>
      <c r="AH14" s="67">
        <f t="shared" si="63"/>
        <v>37</v>
      </c>
      <c r="AI14" s="58">
        <v>948.2</v>
      </c>
      <c r="AJ14" s="65">
        <f t="shared" si="64"/>
        <v>1030.0000000000864</v>
      </c>
      <c r="AK14" s="58">
        <v>314.81</v>
      </c>
      <c r="AL14" s="65">
        <f t="shared" si="65"/>
        <v>269.99999999998181</v>
      </c>
      <c r="AM14" s="58">
        <v>291.11</v>
      </c>
      <c r="AN14" s="65">
        <f t="shared" si="66"/>
        <v>250</v>
      </c>
      <c r="AO14" s="58">
        <v>281.22000000000003</v>
      </c>
      <c r="AP14" s="65">
        <f t="shared" si="67"/>
        <v>190.00000000005457</v>
      </c>
      <c r="AQ14" s="58">
        <v>334.03</v>
      </c>
      <c r="AR14" s="65">
        <f t="shared" si="68"/>
        <v>209.99999999997954</v>
      </c>
      <c r="AS14" s="58">
        <v>458.26</v>
      </c>
      <c r="AT14" s="65">
        <f t="shared" si="69"/>
        <v>120.00000000000455</v>
      </c>
      <c r="AU14" s="58">
        <v>365.75</v>
      </c>
      <c r="AV14" s="65">
        <f t="shared" si="70"/>
        <v>209.99999999997954</v>
      </c>
      <c r="AW14" s="58">
        <v>395.35</v>
      </c>
      <c r="AX14" s="65">
        <f t="shared" si="71"/>
        <v>140.0000000000432</v>
      </c>
      <c r="AY14" s="58">
        <v>430.6</v>
      </c>
      <c r="AZ14" s="65">
        <f t="shared" si="72"/>
        <v>140.0000000000432</v>
      </c>
      <c r="BA14" s="58">
        <v>447.22</v>
      </c>
      <c r="BB14" s="65">
        <f t="shared" si="73"/>
        <v>120.00000000000455</v>
      </c>
      <c r="BC14" s="58">
        <v>286.36</v>
      </c>
      <c r="BD14" s="65">
        <f t="shared" si="74"/>
        <v>50.000000000011369</v>
      </c>
      <c r="BE14" s="59"/>
      <c r="BF14" s="67">
        <f t="shared" si="75"/>
        <v>0</v>
      </c>
      <c r="BG14" s="60">
        <v>253.03</v>
      </c>
      <c r="BH14" s="65">
        <f t="shared" si="76"/>
        <v>39.999999999992042</v>
      </c>
      <c r="BI14" s="60">
        <v>307.48</v>
      </c>
      <c r="BJ14" s="65">
        <f t="shared" si="77"/>
        <v>30.000000000029559</v>
      </c>
      <c r="BK14" s="60">
        <v>258.10000000000002</v>
      </c>
      <c r="BL14" s="65">
        <f t="shared" si="78"/>
        <v>50.000000000011369</v>
      </c>
      <c r="BM14" s="60">
        <v>242.86</v>
      </c>
      <c r="BN14" s="65">
        <f t="shared" si="79"/>
        <v>40.000000000020464</v>
      </c>
      <c r="BO14" s="60">
        <v>311.57</v>
      </c>
      <c r="BP14" s="65">
        <f t="shared" si="80"/>
        <v>40.000000000020464</v>
      </c>
      <c r="BQ14" s="60">
        <v>61132</v>
      </c>
      <c r="BR14" s="65">
        <f t="shared" si="81"/>
        <v>34</v>
      </c>
      <c r="BS14" s="60">
        <v>220.97</v>
      </c>
      <c r="BT14" s="65">
        <f t="shared" si="82"/>
        <v>30.000000000001137</v>
      </c>
      <c r="BU14" s="60">
        <v>59120</v>
      </c>
      <c r="BV14" s="65">
        <f t="shared" si="83"/>
        <v>39</v>
      </c>
      <c r="BW14" s="60">
        <v>249.13</v>
      </c>
      <c r="BX14" s="65">
        <f t="shared" si="84"/>
        <v>49.999999999982947</v>
      </c>
      <c r="BY14" s="60">
        <v>79602</v>
      </c>
      <c r="BZ14" s="67">
        <f t="shared" si="85"/>
        <v>44</v>
      </c>
      <c r="CA14" s="60">
        <v>55807.1</v>
      </c>
      <c r="CB14" s="67">
        <f t="shared" si="86"/>
        <v>73</v>
      </c>
      <c r="CC14" s="60">
        <v>17348.3</v>
      </c>
      <c r="CD14" s="67">
        <f t="shared" si="87"/>
        <v>10.799999999999272</v>
      </c>
      <c r="CE14" s="60"/>
      <c r="CF14" s="67">
        <f t="shared" si="88"/>
        <v>0</v>
      </c>
      <c r="CG14" s="60">
        <v>81933.600000000006</v>
      </c>
      <c r="CH14" s="67">
        <f t="shared" si="89"/>
        <v>61.200000000011642</v>
      </c>
      <c r="CI14" s="60">
        <v>1087382</v>
      </c>
      <c r="CJ14" s="67">
        <f t="shared" si="90"/>
        <v>287</v>
      </c>
      <c r="CK14" s="60">
        <v>1118.0999999999999</v>
      </c>
      <c r="CL14" s="64">
        <f t="shared" si="91"/>
        <v>1000</v>
      </c>
      <c r="CM14" s="65">
        <f t="shared" si="92"/>
        <v>133</v>
      </c>
      <c r="CN14" s="62"/>
      <c r="CO14" s="62"/>
      <c r="CP14" s="68">
        <v>43276</v>
      </c>
      <c r="CQ14" s="67">
        <f t="shared" si="93"/>
        <v>105</v>
      </c>
      <c r="CR14" s="68">
        <v>24500</v>
      </c>
      <c r="CS14" s="67">
        <f t="shared" si="94"/>
        <v>28</v>
      </c>
      <c r="CT14" s="75">
        <v>11633</v>
      </c>
      <c r="CU14" s="67">
        <f t="shared" si="95"/>
        <v>9</v>
      </c>
      <c r="CV14" s="68">
        <v>28312</v>
      </c>
      <c r="CW14" s="67">
        <f t="shared" si="96"/>
        <v>55</v>
      </c>
      <c r="CX14" s="58">
        <v>4585.7</v>
      </c>
      <c r="CY14" s="67">
        <f t="shared" si="97"/>
        <v>12.5</v>
      </c>
    </row>
    <row r="15" spans="1:103" ht="25.5" customHeight="1" thickBot="1" x14ac:dyDescent="0.45">
      <c r="A15" s="63">
        <v>44846</v>
      </c>
      <c r="B15" s="44"/>
      <c r="C15" s="58">
        <v>3.55</v>
      </c>
      <c r="D15" s="64">
        <f t="shared" si="49"/>
        <v>3099.9999999998809</v>
      </c>
      <c r="E15" s="58">
        <v>4.7538999999999998</v>
      </c>
      <c r="F15" s="64">
        <f t="shared" si="50"/>
        <v>3099.9999999998809</v>
      </c>
      <c r="G15" s="58">
        <v>4.7412999999999998</v>
      </c>
      <c r="H15" s="64">
        <f t="shared" si="51"/>
        <v>3800.0000000000255</v>
      </c>
      <c r="I15" s="58">
        <v>2.3593999999999999</v>
      </c>
      <c r="J15" s="64">
        <f t="shared" si="52"/>
        <v>1500.0000000000568</v>
      </c>
      <c r="K15" s="58">
        <v>3.6412</v>
      </c>
      <c r="L15" s="64">
        <f t="shared" si="53"/>
        <v>2099.9999999999909</v>
      </c>
      <c r="M15" s="58">
        <v>2.1585999999999999</v>
      </c>
      <c r="N15" s="64">
        <f t="shared" si="54"/>
        <v>1900.0000000000127</v>
      </c>
      <c r="O15" s="58">
        <v>24467</v>
      </c>
      <c r="P15" s="67">
        <f t="shared" si="55"/>
        <v>30</v>
      </c>
      <c r="Q15" s="58">
        <v>3021</v>
      </c>
      <c r="R15" s="67">
        <f>IF((Q15-Q14&lt;0), "",Q15-Q14)</f>
        <v>5</v>
      </c>
      <c r="S15" s="58">
        <v>1522</v>
      </c>
      <c r="T15" s="67">
        <f t="shared" si="98"/>
        <v>1299.9999999999545</v>
      </c>
      <c r="U15" s="58">
        <v>607002.6</v>
      </c>
      <c r="V15" s="67">
        <f t="shared" si="57"/>
        <v>435.90000000002328</v>
      </c>
      <c r="W15" s="58">
        <v>553.88</v>
      </c>
      <c r="X15" s="65">
        <f t="shared" si="58"/>
        <v>370.00000000000455</v>
      </c>
      <c r="Y15" s="58">
        <v>4.1902999999999997</v>
      </c>
      <c r="Z15" s="65">
        <f t="shared" si="59"/>
        <v>2699.9999999999245</v>
      </c>
      <c r="AA15" s="58">
        <v>562.28</v>
      </c>
      <c r="AB15" s="65">
        <f t="shared" si="60"/>
        <v>399.99999999997726</v>
      </c>
      <c r="AC15" s="58">
        <v>558.24</v>
      </c>
      <c r="AD15" s="65">
        <f t="shared" si="61"/>
        <v>460.00000000003638</v>
      </c>
      <c r="AE15" s="58">
        <v>864.86</v>
      </c>
      <c r="AF15" s="65">
        <f t="shared" si="62"/>
        <v>899.99999999997726</v>
      </c>
      <c r="AG15" s="58">
        <v>22232</v>
      </c>
      <c r="AH15" s="67">
        <f t="shared" si="63"/>
        <v>39</v>
      </c>
      <c r="AI15" s="58">
        <v>949.28</v>
      </c>
      <c r="AJ15" s="65">
        <f t="shared" si="64"/>
        <v>1079.9999999999272</v>
      </c>
      <c r="AK15" s="58">
        <v>315.08</v>
      </c>
      <c r="AL15" s="65">
        <f t="shared" si="65"/>
        <v>269.99999999998181</v>
      </c>
      <c r="AM15" s="58">
        <v>291.33999999999997</v>
      </c>
      <c r="AN15" s="65">
        <f t="shared" si="66"/>
        <v>229.99999999996135</v>
      </c>
      <c r="AO15" s="58">
        <v>281.43</v>
      </c>
      <c r="AP15" s="65">
        <f t="shared" si="67"/>
        <v>209.99999999997954</v>
      </c>
      <c r="AQ15" s="58">
        <v>334.23</v>
      </c>
      <c r="AR15" s="65">
        <f t="shared" si="68"/>
        <v>200.00000000004547</v>
      </c>
      <c r="AS15" s="58">
        <v>458.42</v>
      </c>
      <c r="AT15" s="65">
        <f t="shared" si="69"/>
        <v>160.00000000002501</v>
      </c>
      <c r="AU15" s="58">
        <v>365.99</v>
      </c>
      <c r="AV15" s="65">
        <f t="shared" si="70"/>
        <v>240.00000000000909</v>
      </c>
      <c r="AW15" s="58">
        <v>395.49</v>
      </c>
      <c r="AX15" s="65">
        <f t="shared" si="71"/>
        <v>139.99999999998636</v>
      </c>
      <c r="AY15" s="58">
        <v>430.77</v>
      </c>
      <c r="AZ15" s="65">
        <f t="shared" si="72"/>
        <v>169.99999999995907</v>
      </c>
      <c r="BA15" s="58">
        <v>447.37</v>
      </c>
      <c r="BB15" s="65">
        <f t="shared" si="73"/>
        <v>149.99999999997726</v>
      </c>
      <c r="BC15" s="58">
        <v>286.47000000000003</v>
      </c>
      <c r="BD15" s="65">
        <f t="shared" si="74"/>
        <v>110.00000000001364</v>
      </c>
      <c r="BE15" s="59">
        <v>56225</v>
      </c>
      <c r="BF15" s="67">
        <f t="shared" si="75"/>
        <v>56225</v>
      </c>
      <c r="BG15" s="60">
        <v>253.07</v>
      </c>
      <c r="BH15" s="65">
        <f t="shared" si="76"/>
        <v>39.999999999992042</v>
      </c>
      <c r="BI15" s="60">
        <v>307.52</v>
      </c>
      <c r="BJ15" s="65">
        <f t="shared" si="77"/>
        <v>39.99999999996362</v>
      </c>
      <c r="BK15" s="60">
        <v>258.14999999999998</v>
      </c>
      <c r="BL15" s="65">
        <f t="shared" si="78"/>
        <v>49.999999999954525</v>
      </c>
      <c r="BM15" s="60">
        <v>242.9</v>
      </c>
      <c r="BN15" s="65">
        <f t="shared" si="79"/>
        <v>39.999999999992042</v>
      </c>
      <c r="BO15" s="60">
        <v>311.61</v>
      </c>
      <c r="BP15" s="65">
        <f t="shared" si="80"/>
        <v>40.000000000020464</v>
      </c>
      <c r="BQ15" s="60">
        <v>61177</v>
      </c>
      <c r="BR15" s="65">
        <f t="shared" si="81"/>
        <v>45</v>
      </c>
      <c r="BS15" s="60">
        <v>221.02</v>
      </c>
      <c r="BT15" s="65">
        <f t="shared" si="82"/>
        <v>50.000000000011369</v>
      </c>
      <c r="BU15" s="60">
        <v>59160</v>
      </c>
      <c r="BV15" s="65">
        <f t="shared" si="83"/>
        <v>40</v>
      </c>
      <c r="BW15" s="60">
        <v>249.19</v>
      </c>
      <c r="BX15" s="65">
        <f t="shared" si="84"/>
        <v>60.000000000002274</v>
      </c>
      <c r="BY15" s="60">
        <v>79650</v>
      </c>
      <c r="BZ15" s="67">
        <f t="shared" si="85"/>
        <v>48</v>
      </c>
      <c r="CA15" s="60">
        <v>55875.5</v>
      </c>
      <c r="CB15" s="67">
        <f t="shared" si="86"/>
        <v>68.400000000001455</v>
      </c>
      <c r="CC15" s="60">
        <v>17357.2</v>
      </c>
      <c r="CD15" s="67">
        <f t="shared" si="87"/>
        <v>8.9000000000014552</v>
      </c>
      <c r="CE15" s="60">
        <v>8704.1</v>
      </c>
      <c r="CF15" s="67">
        <f t="shared" si="88"/>
        <v>8704.1</v>
      </c>
      <c r="CG15" s="60">
        <v>81999.199999999997</v>
      </c>
      <c r="CH15" s="67">
        <f t="shared" si="89"/>
        <v>65.599999999991269</v>
      </c>
      <c r="CI15" s="60">
        <v>1087675</v>
      </c>
      <c r="CJ15" s="67">
        <f t="shared" si="90"/>
        <v>293</v>
      </c>
      <c r="CK15" s="60">
        <v>1119.0999999999999</v>
      </c>
      <c r="CL15" s="64">
        <f t="shared" si="91"/>
        <v>1000</v>
      </c>
      <c r="CM15" s="65">
        <f t="shared" si="92"/>
        <v>121</v>
      </c>
      <c r="CN15" s="62">
        <v>37</v>
      </c>
      <c r="CO15" s="62">
        <v>88</v>
      </c>
      <c r="CP15" s="68">
        <v>43369</v>
      </c>
      <c r="CQ15" s="67">
        <f t="shared" si="93"/>
        <v>93</v>
      </c>
      <c r="CR15" s="68">
        <v>24528</v>
      </c>
      <c r="CS15" s="67">
        <f t="shared" si="94"/>
        <v>28</v>
      </c>
      <c r="CT15" s="75">
        <v>11643</v>
      </c>
      <c r="CU15" s="67">
        <f t="shared" si="95"/>
        <v>10</v>
      </c>
      <c r="CV15" s="68">
        <v>28339</v>
      </c>
      <c r="CW15" s="67">
        <f t="shared" si="96"/>
        <v>27</v>
      </c>
      <c r="CX15" s="58">
        <v>4598</v>
      </c>
      <c r="CY15" s="67">
        <f t="shared" si="97"/>
        <v>12.300000000000182</v>
      </c>
    </row>
    <row r="16" spans="1:103" ht="25.5" customHeight="1" thickBot="1" x14ac:dyDescent="0.45">
      <c r="A16" s="63">
        <v>44847</v>
      </c>
      <c r="B16" s="44"/>
      <c r="C16" s="58">
        <v>3.5531999999999999</v>
      </c>
      <c r="D16" s="64">
        <f t="shared" si="49"/>
        <v>3200.0000000000919</v>
      </c>
      <c r="E16" s="58">
        <v>4.7573999999999996</v>
      </c>
      <c r="F16" s="64">
        <f t="shared" si="50"/>
        <v>3499.9999999998367</v>
      </c>
      <c r="G16" s="58">
        <v>4.7451999999999996</v>
      </c>
      <c r="H16" s="64">
        <f t="shared" si="51"/>
        <v>3899.9999999997926</v>
      </c>
      <c r="I16" s="58">
        <v>2.3611</v>
      </c>
      <c r="J16" s="64">
        <f>IF((I16-I15&lt;0), "0",(I16-I15)*1000000)</f>
        <v>1700.0000000000348</v>
      </c>
      <c r="K16" s="58">
        <v>3.6433</v>
      </c>
      <c r="L16" s="64">
        <f t="shared" si="53"/>
        <v>2099.9999999999909</v>
      </c>
      <c r="M16" s="58">
        <v>2.1604000000000001</v>
      </c>
      <c r="N16" s="64">
        <f t="shared" si="54"/>
        <v>1800.0000000002458</v>
      </c>
      <c r="O16" s="58">
        <v>24499</v>
      </c>
      <c r="P16" s="67">
        <f t="shared" si="55"/>
        <v>32</v>
      </c>
      <c r="Q16" s="58">
        <v>3026</v>
      </c>
      <c r="R16" s="67">
        <f t="shared" si="56"/>
        <v>5</v>
      </c>
      <c r="S16" s="58">
        <v>1523.4</v>
      </c>
      <c r="T16" s="67">
        <f t="shared" si="98"/>
        <v>1400.0000000000909</v>
      </c>
      <c r="U16" s="58">
        <v>607467.30000000005</v>
      </c>
      <c r="V16" s="67">
        <f t="shared" si="57"/>
        <v>464.70000000006985</v>
      </c>
      <c r="W16" s="58">
        <v>554.26</v>
      </c>
      <c r="X16" s="65">
        <f t="shared" si="58"/>
        <v>379.99999999999545</v>
      </c>
      <c r="Y16" s="58">
        <v>4.1933999999999996</v>
      </c>
      <c r="Z16" s="65">
        <f t="shared" si="59"/>
        <v>3099.9999999998809</v>
      </c>
      <c r="AA16" s="58">
        <v>562.66</v>
      </c>
      <c r="AB16" s="65">
        <f t="shared" si="60"/>
        <v>379.99999999999545</v>
      </c>
      <c r="AC16" s="58">
        <v>558.70000000000005</v>
      </c>
      <c r="AD16" s="65">
        <f t="shared" si="61"/>
        <v>460.00000000003638</v>
      </c>
      <c r="AE16" s="58">
        <v>865.62</v>
      </c>
      <c r="AF16" s="65">
        <f t="shared" si="62"/>
        <v>759.99999999999091</v>
      </c>
      <c r="AG16" s="58">
        <v>22275</v>
      </c>
      <c r="AH16" s="67">
        <f t="shared" si="63"/>
        <v>43</v>
      </c>
      <c r="AI16" s="58">
        <v>950.35</v>
      </c>
      <c r="AJ16" s="65">
        <f t="shared" si="64"/>
        <v>1070.00000000005</v>
      </c>
      <c r="AK16" s="58">
        <v>315.35000000000002</v>
      </c>
      <c r="AL16" s="65">
        <f t="shared" si="65"/>
        <v>270.00000000003865</v>
      </c>
      <c r="AM16" s="58">
        <v>291.56</v>
      </c>
      <c r="AN16" s="65">
        <f t="shared" si="66"/>
        <v>220.00000000002728</v>
      </c>
      <c r="AO16" s="58">
        <v>281.64</v>
      </c>
      <c r="AP16" s="65">
        <f t="shared" si="67"/>
        <v>209.99999999997954</v>
      </c>
      <c r="AQ16" s="58">
        <v>334.41</v>
      </c>
      <c r="AR16" s="65">
        <f t="shared" si="68"/>
        <v>180.00000000000682</v>
      </c>
      <c r="AS16" s="58">
        <v>458.62</v>
      </c>
      <c r="AT16" s="65">
        <f t="shared" si="69"/>
        <v>199.99999999998863</v>
      </c>
      <c r="AU16" s="58">
        <v>366.16</v>
      </c>
      <c r="AV16" s="65">
        <f t="shared" si="70"/>
        <v>170.00000000001592</v>
      </c>
      <c r="AW16" s="58">
        <v>395.68</v>
      </c>
      <c r="AX16" s="65">
        <f t="shared" si="71"/>
        <v>189.99999999999773</v>
      </c>
      <c r="AY16" s="58">
        <v>430.92</v>
      </c>
      <c r="AZ16" s="65">
        <f t="shared" si="72"/>
        <v>150.00000000003411</v>
      </c>
      <c r="BA16" s="58">
        <v>447.48</v>
      </c>
      <c r="BB16" s="65">
        <f t="shared" si="73"/>
        <v>110.00000000001364</v>
      </c>
      <c r="BC16" s="58">
        <v>286.57</v>
      </c>
      <c r="BD16" s="65">
        <f t="shared" si="74"/>
        <v>99.999999999965894</v>
      </c>
      <c r="BE16" s="59">
        <v>56260</v>
      </c>
      <c r="BF16" s="67">
        <f t="shared" si="75"/>
        <v>35</v>
      </c>
      <c r="BG16" s="60">
        <v>253.11</v>
      </c>
      <c r="BH16" s="65">
        <f t="shared" si="76"/>
        <v>40.000000000020464</v>
      </c>
      <c r="BI16" s="60">
        <v>307.55</v>
      </c>
      <c r="BJ16" s="65">
        <f t="shared" si="77"/>
        <v>30.000000000029559</v>
      </c>
      <c r="BK16" s="60">
        <v>258.2</v>
      </c>
      <c r="BL16" s="65">
        <f t="shared" si="78"/>
        <v>50.000000000011369</v>
      </c>
      <c r="BM16" s="60">
        <v>242.94</v>
      </c>
      <c r="BN16" s="65">
        <f t="shared" si="79"/>
        <v>39.999999999992042</v>
      </c>
      <c r="BO16" s="60">
        <v>311.64999999999998</v>
      </c>
      <c r="BP16" s="65">
        <f t="shared" si="80"/>
        <v>39.99999999996362</v>
      </c>
      <c r="BQ16" s="60">
        <v>61223</v>
      </c>
      <c r="BR16" s="65">
        <f t="shared" si="81"/>
        <v>46</v>
      </c>
      <c r="BS16" s="60">
        <v>221.05</v>
      </c>
      <c r="BT16" s="65">
        <f t="shared" si="82"/>
        <v>30.000000000001137</v>
      </c>
      <c r="BU16" s="60">
        <v>59192</v>
      </c>
      <c r="BV16" s="65">
        <f t="shared" si="83"/>
        <v>32</v>
      </c>
      <c r="BW16" s="60">
        <v>249.24</v>
      </c>
      <c r="BX16" s="65">
        <f t="shared" si="84"/>
        <v>50.000000000011369</v>
      </c>
      <c r="BY16" s="60">
        <v>79694</v>
      </c>
      <c r="BZ16" s="67">
        <f t="shared" si="85"/>
        <v>44</v>
      </c>
      <c r="CA16" s="60">
        <v>55941.7</v>
      </c>
      <c r="CB16" s="67">
        <f t="shared" si="86"/>
        <v>66.19999999999709</v>
      </c>
      <c r="CC16" s="60">
        <v>17371.2</v>
      </c>
      <c r="CD16" s="67">
        <f t="shared" si="87"/>
        <v>14</v>
      </c>
      <c r="CE16" s="60">
        <v>8707.2000000000007</v>
      </c>
      <c r="CF16" s="67">
        <f t="shared" si="88"/>
        <v>3.1000000000003638</v>
      </c>
      <c r="CG16" s="60">
        <v>82060.399999999994</v>
      </c>
      <c r="CH16" s="67">
        <f t="shared" si="89"/>
        <v>61.19999999999709</v>
      </c>
      <c r="CI16" s="60">
        <v>1087987</v>
      </c>
      <c r="CJ16" s="67">
        <f t="shared" si="90"/>
        <v>312</v>
      </c>
      <c r="CK16" s="60">
        <v>1120.0999999999999</v>
      </c>
      <c r="CL16" s="64">
        <f t="shared" si="91"/>
        <v>1000</v>
      </c>
      <c r="CM16" s="65">
        <f t="shared" si="92"/>
        <v>127</v>
      </c>
      <c r="CN16" s="62">
        <v>43</v>
      </c>
      <c r="CO16" s="62">
        <v>94</v>
      </c>
      <c r="CP16" s="68">
        <v>43473</v>
      </c>
      <c r="CQ16" s="67">
        <f t="shared" si="93"/>
        <v>104</v>
      </c>
      <c r="CR16" s="68">
        <v>24551</v>
      </c>
      <c r="CS16" s="67">
        <f t="shared" si="94"/>
        <v>23</v>
      </c>
      <c r="CT16" s="75">
        <v>11652</v>
      </c>
      <c r="CU16" s="67">
        <f t="shared" si="95"/>
        <v>9</v>
      </c>
      <c r="CV16" s="68">
        <v>28364</v>
      </c>
      <c r="CW16" s="67">
        <f t="shared" si="96"/>
        <v>25</v>
      </c>
      <c r="CX16" s="58">
        <v>4610.8999999999996</v>
      </c>
      <c r="CY16" s="67">
        <f t="shared" si="97"/>
        <v>12.899999999999636</v>
      </c>
    </row>
    <row r="17" spans="1:103" ht="25.5" customHeight="1" thickBot="1" x14ac:dyDescent="0.45">
      <c r="A17" s="63">
        <v>44848</v>
      </c>
      <c r="B17" s="44"/>
      <c r="C17" s="58"/>
      <c r="D17" s="64" t="str">
        <f t="shared" si="49"/>
        <v>0</v>
      </c>
      <c r="E17" s="58"/>
      <c r="F17" s="64" t="str">
        <f t="shared" si="50"/>
        <v>0</v>
      </c>
      <c r="G17" s="58"/>
      <c r="H17" s="64" t="str">
        <f t="shared" si="51"/>
        <v>0</v>
      </c>
      <c r="I17" s="58"/>
      <c r="J17" s="64" t="str">
        <f t="shared" si="52"/>
        <v>0</v>
      </c>
      <c r="K17" s="58"/>
      <c r="L17" s="64" t="str">
        <f t="shared" si="53"/>
        <v>0</v>
      </c>
      <c r="M17" s="58"/>
      <c r="N17" s="64" t="str">
        <f t="shared" si="54"/>
        <v/>
      </c>
      <c r="O17" s="58"/>
      <c r="P17" s="67" t="str">
        <f t="shared" si="55"/>
        <v/>
      </c>
      <c r="Q17" s="58"/>
      <c r="R17" s="67" t="str">
        <f t="shared" si="56"/>
        <v/>
      </c>
      <c r="S17" s="58"/>
      <c r="T17" s="67" t="e">
        <f t="shared" si="98"/>
        <v>#VALUE!</v>
      </c>
      <c r="U17" s="58"/>
      <c r="V17" s="67" t="str">
        <f t="shared" si="57"/>
        <v/>
      </c>
      <c r="W17" s="58"/>
      <c r="X17" s="65" t="str">
        <f t="shared" si="58"/>
        <v/>
      </c>
      <c r="Y17" s="58"/>
      <c r="Z17" s="65" t="str">
        <f t="shared" si="59"/>
        <v/>
      </c>
      <c r="AA17" s="58"/>
      <c r="AB17" s="65" t="str">
        <f t="shared" si="60"/>
        <v/>
      </c>
      <c r="AC17" s="58"/>
      <c r="AD17" s="65" t="str">
        <f t="shared" si="61"/>
        <v/>
      </c>
      <c r="AE17" s="58"/>
      <c r="AF17" s="65" t="str">
        <f t="shared" si="62"/>
        <v/>
      </c>
      <c r="AG17" s="58"/>
      <c r="AH17" s="67" t="str">
        <f t="shared" si="63"/>
        <v/>
      </c>
      <c r="AI17" s="58"/>
      <c r="AJ17" s="65" t="str">
        <f t="shared" si="64"/>
        <v/>
      </c>
      <c r="AK17" s="58"/>
      <c r="AL17" s="65" t="str">
        <f t="shared" si="65"/>
        <v/>
      </c>
      <c r="AM17" s="58"/>
      <c r="AN17" s="65" t="str">
        <f t="shared" si="66"/>
        <v/>
      </c>
      <c r="AO17" s="58"/>
      <c r="AP17" s="65" t="str">
        <f t="shared" si="67"/>
        <v/>
      </c>
      <c r="AQ17" s="58"/>
      <c r="AR17" s="65" t="str">
        <f t="shared" si="68"/>
        <v/>
      </c>
      <c r="AS17" s="58"/>
      <c r="AT17" s="65" t="str">
        <f t="shared" si="69"/>
        <v/>
      </c>
      <c r="AU17" s="58"/>
      <c r="AV17" s="65" t="str">
        <f t="shared" si="70"/>
        <v/>
      </c>
      <c r="AW17" s="58"/>
      <c r="AX17" s="65" t="str">
        <f t="shared" si="71"/>
        <v/>
      </c>
      <c r="AY17" s="58"/>
      <c r="AZ17" s="65" t="str">
        <f t="shared" si="72"/>
        <v/>
      </c>
      <c r="BA17" s="58"/>
      <c r="BB17" s="65" t="str">
        <f t="shared" si="73"/>
        <v/>
      </c>
      <c r="BC17" s="58"/>
      <c r="BD17" s="65" t="str">
        <f t="shared" si="74"/>
        <v/>
      </c>
      <c r="BE17" s="59"/>
      <c r="BF17" s="67" t="str">
        <f t="shared" si="75"/>
        <v/>
      </c>
      <c r="BG17" s="60"/>
      <c r="BH17" s="65" t="str">
        <f t="shared" si="76"/>
        <v/>
      </c>
      <c r="BI17" s="60"/>
      <c r="BJ17" s="65" t="str">
        <f t="shared" si="77"/>
        <v/>
      </c>
      <c r="BK17" s="60"/>
      <c r="BL17" s="65" t="str">
        <f t="shared" si="78"/>
        <v/>
      </c>
      <c r="BM17" s="60"/>
      <c r="BN17" s="65" t="str">
        <f t="shared" si="79"/>
        <v/>
      </c>
      <c r="BO17" s="60"/>
      <c r="BP17" s="65" t="str">
        <f t="shared" si="80"/>
        <v/>
      </c>
      <c r="BQ17" s="60"/>
      <c r="BR17" s="65" t="str">
        <f t="shared" si="81"/>
        <v/>
      </c>
      <c r="BS17" s="60"/>
      <c r="BT17" s="65" t="str">
        <f t="shared" si="82"/>
        <v/>
      </c>
      <c r="BU17" s="60"/>
      <c r="BV17" s="65" t="str">
        <f t="shared" si="83"/>
        <v/>
      </c>
      <c r="BW17" s="60"/>
      <c r="BX17" s="65" t="str">
        <f t="shared" si="84"/>
        <v/>
      </c>
      <c r="BY17" s="60"/>
      <c r="BZ17" s="67" t="str">
        <f t="shared" si="85"/>
        <v/>
      </c>
      <c r="CA17" s="60"/>
      <c r="CB17" s="67" t="str">
        <f t="shared" si="86"/>
        <v/>
      </c>
      <c r="CC17" s="60"/>
      <c r="CD17" s="67" t="str">
        <f t="shared" si="87"/>
        <v/>
      </c>
      <c r="CE17" s="60"/>
      <c r="CF17" s="67" t="str">
        <f t="shared" si="88"/>
        <v/>
      </c>
      <c r="CG17" s="60"/>
      <c r="CH17" s="67" t="str">
        <f t="shared" si="89"/>
        <v/>
      </c>
      <c r="CI17" s="60"/>
      <c r="CJ17" s="67" t="str">
        <f t="shared" si="90"/>
        <v/>
      </c>
      <c r="CK17" s="60"/>
      <c r="CL17" s="64" t="str">
        <f t="shared" si="91"/>
        <v/>
      </c>
      <c r="CM17" s="65" t="e">
        <f t="shared" si="92"/>
        <v>#VALUE!</v>
      </c>
      <c r="CN17" s="62"/>
      <c r="CO17" s="62"/>
      <c r="CP17" s="68"/>
      <c r="CQ17" s="67" t="str">
        <f t="shared" si="93"/>
        <v/>
      </c>
      <c r="CR17" s="68"/>
      <c r="CS17" s="67" t="str">
        <f t="shared" si="94"/>
        <v/>
      </c>
      <c r="CT17" s="75"/>
      <c r="CU17" s="67" t="str">
        <f t="shared" si="95"/>
        <v/>
      </c>
      <c r="CV17" s="68"/>
      <c r="CW17" s="67" t="str">
        <f t="shared" si="96"/>
        <v/>
      </c>
      <c r="CX17" s="58"/>
      <c r="CY17" s="67" t="str">
        <f t="shared" si="97"/>
        <v/>
      </c>
    </row>
    <row r="18" spans="1:103" ht="25.5" customHeight="1" thickBot="1" x14ac:dyDescent="0.45">
      <c r="A18" s="63">
        <v>44849</v>
      </c>
      <c r="B18" s="44"/>
      <c r="C18" s="58"/>
      <c r="D18" s="64">
        <f t="shared" si="49"/>
        <v>0</v>
      </c>
      <c r="E18" s="58"/>
      <c r="F18" s="64">
        <f t="shared" si="50"/>
        <v>0</v>
      </c>
      <c r="G18" s="58"/>
      <c r="H18" s="64">
        <f t="shared" si="51"/>
        <v>0</v>
      </c>
      <c r="I18" s="58"/>
      <c r="J18" s="64">
        <f t="shared" si="52"/>
        <v>0</v>
      </c>
      <c r="K18" s="58"/>
      <c r="L18" s="64">
        <f t="shared" si="53"/>
        <v>0</v>
      </c>
      <c r="M18" s="58"/>
      <c r="N18" s="64">
        <f t="shared" si="54"/>
        <v>0</v>
      </c>
      <c r="O18" s="58"/>
      <c r="P18" s="67">
        <f t="shared" si="55"/>
        <v>0</v>
      </c>
      <c r="Q18" s="58"/>
      <c r="R18" s="67">
        <f t="shared" si="56"/>
        <v>0</v>
      </c>
      <c r="S18" s="58"/>
      <c r="T18" s="67">
        <f t="shared" si="98"/>
        <v>0</v>
      </c>
      <c r="U18" s="58"/>
      <c r="V18" s="67">
        <f t="shared" si="57"/>
        <v>0</v>
      </c>
      <c r="W18" s="58"/>
      <c r="X18" s="65">
        <f t="shared" si="58"/>
        <v>0</v>
      </c>
      <c r="Y18" s="58"/>
      <c r="Z18" s="65">
        <f t="shared" si="59"/>
        <v>0</v>
      </c>
      <c r="AA18" s="58"/>
      <c r="AB18" s="65">
        <f t="shared" si="60"/>
        <v>0</v>
      </c>
      <c r="AC18" s="58"/>
      <c r="AD18" s="65">
        <f t="shared" si="61"/>
        <v>0</v>
      </c>
      <c r="AE18" s="58"/>
      <c r="AF18" s="65">
        <f t="shared" si="62"/>
        <v>0</v>
      </c>
      <c r="AG18" s="58"/>
      <c r="AH18" s="67">
        <f t="shared" si="63"/>
        <v>0</v>
      </c>
      <c r="AI18" s="58"/>
      <c r="AJ18" s="65">
        <f t="shared" si="64"/>
        <v>0</v>
      </c>
      <c r="AK18" s="58"/>
      <c r="AL18" s="65">
        <f t="shared" si="65"/>
        <v>0</v>
      </c>
      <c r="AM18" s="58"/>
      <c r="AN18" s="65">
        <f t="shared" si="66"/>
        <v>0</v>
      </c>
      <c r="AO18" s="58"/>
      <c r="AP18" s="65">
        <f t="shared" si="67"/>
        <v>0</v>
      </c>
      <c r="AQ18" s="58"/>
      <c r="AR18" s="65">
        <f t="shared" si="68"/>
        <v>0</v>
      </c>
      <c r="AS18" s="58"/>
      <c r="AT18" s="65">
        <f t="shared" si="69"/>
        <v>0</v>
      </c>
      <c r="AU18" s="58"/>
      <c r="AV18" s="65">
        <f t="shared" si="70"/>
        <v>0</v>
      </c>
      <c r="AW18" s="58"/>
      <c r="AX18" s="65">
        <f t="shared" si="71"/>
        <v>0</v>
      </c>
      <c r="AY18" s="58"/>
      <c r="AZ18" s="65">
        <f t="shared" si="72"/>
        <v>0</v>
      </c>
      <c r="BA18" s="58"/>
      <c r="BB18" s="65">
        <f t="shared" si="73"/>
        <v>0</v>
      </c>
      <c r="BC18" s="58"/>
      <c r="BD18" s="65">
        <f t="shared" si="74"/>
        <v>0</v>
      </c>
      <c r="BE18" s="59"/>
      <c r="BF18" s="67">
        <f t="shared" si="75"/>
        <v>0</v>
      </c>
      <c r="BG18" s="60"/>
      <c r="BH18" s="65">
        <f t="shared" si="76"/>
        <v>0</v>
      </c>
      <c r="BI18" s="60"/>
      <c r="BJ18" s="65">
        <f t="shared" si="77"/>
        <v>0</v>
      </c>
      <c r="BK18" s="60"/>
      <c r="BL18" s="65">
        <f t="shared" si="78"/>
        <v>0</v>
      </c>
      <c r="BM18" s="60"/>
      <c r="BN18" s="65">
        <f t="shared" si="79"/>
        <v>0</v>
      </c>
      <c r="BO18" s="60"/>
      <c r="BP18" s="65">
        <f t="shared" si="80"/>
        <v>0</v>
      </c>
      <c r="BQ18" s="60"/>
      <c r="BR18" s="65">
        <f t="shared" si="81"/>
        <v>0</v>
      </c>
      <c r="BS18" s="60"/>
      <c r="BT18" s="65">
        <f t="shared" si="82"/>
        <v>0</v>
      </c>
      <c r="BU18" s="60"/>
      <c r="BV18" s="65">
        <f t="shared" si="83"/>
        <v>0</v>
      </c>
      <c r="BW18" s="60"/>
      <c r="BX18" s="65">
        <f t="shared" si="84"/>
        <v>0</v>
      </c>
      <c r="BY18" s="60"/>
      <c r="BZ18" s="67">
        <f t="shared" si="85"/>
        <v>0</v>
      </c>
      <c r="CA18" s="60"/>
      <c r="CB18" s="67">
        <f t="shared" si="86"/>
        <v>0</v>
      </c>
      <c r="CC18" s="60"/>
      <c r="CD18" s="67">
        <f t="shared" si="87"/>
        <v>0</v>
      </c>
      <c r="CE18" s="60"/>
      <c r="CF18" s="67">
        <f t="shared" si="88"/>
        <v>0</v>
      </c>
      <c r="CG18" s="60"/>
      <c r="CH18" s="67">
        <f t="shared" si="89"/>
        <v>0</v>
      </c>
      <c r="CI18" s="60"/>
      <c r="CJ18" s="67">
        <f t="shared" si="90"/>
        <v>0</v>
      </c>
      <c r="CK18" s="60"/>
      <c r="CL18" s="64">
        <f t="shared" si="91"/>
        <v>0</v>
      </c>
      <c r="CM18" s="65">
        <f t="shared" si="92"/>
        <v>0</v>
      </c>
      <c r="CN18" s="62"/>
      <c r="CO18" s="62"/>
      <c r="CP18" s="68"/>
      <c r="CQ18" s="67">
        <f t="shared" si="93"/>
        <v>0</v>
      </c>
      <c r="CR18" s="68"/>
      <c r="CS18" s="67">
        <f t="shared" si="94"/>
        <v>0</v>
      </c>
      <c r="CT18" s="75"/>
      <c r="CU18" s="67">
        <f t="shared" si="95"/>
        <v>0</v>
      </c>
      <c r="CV18" s="68"/>
      <c r="CW18" s="67">
        <f t="shared" si="96"/>
        <v>0</v>
      </c>
      <c r="CX18" s="58"/>
      <c r="CY18" s="67">
        <f t="shared" si="97"/>
        <v>0</v>
      </c>
    </row>
    <row r="19" spans="1:103" ht="25.5" customHeight="1" thickBot="1" x14ac:dyDescent="0.45">
      <c r="A19" s="63">
        <v>44850</v>
      </c>
      <c r="B19" s="44"/>
      <c r="C19" s="58"/>
      <c r="D19" s="64">
        <f t="shared" si="49"/>
        <v>0</v>
      </c>
      <c r="E19" s="58"/>
      <c r="F19" s="64">
        <f t="shared" si="50"/>
        <v>0</v>
      </c>
      <c r="G19" s="58"/>
      <c r="H19" s="64">
        <f t="shared" si="51"/>
        <v>0</v>
      </c>
      <c r="I19" s="58"/>
      <c r="J19" s="64">
        <f t="shared" si="52"/>
        <v>0</v>
      </c>
      <c r="K19" s="58"/>
      <c r="L19" s="64">
        <f t="shared" si="53"/>
        <v>0</v>
      </c>
      <c r="M19" s="58"/>
      <c r="N19" s="64">
        <f t="shared" si="54"/>
        <v>0</v>
      </c>
      <c r="O19" s="58"/>
      <c r="P19" s="67">
        <f t="shared" si="55"/>
        <v>0</v>
      </c>
      <c r="Q19" s="58"/>
      <c r="R19" s="67">
        <f t="shared" si="56"/>
        <v>0</v>
      </c>
      <c r="S19" s="58"/>
      <c r="T19" s="67">
        <f t="shared" si="98"/>
        <v>0</v>
      </c>
      <c r="U19" s="58"/>
      <c r="V19" s="67">
        <f t="shared" si="57"/>
        <v>0</v>
      </c>
      <c r="W19" s="58"/>
      <c r="X19" s="65">
        <f t="shared" si="58"/>
        <v>0</v>
      </c>
      <c r="Y19" s="58"/>
      <c r="Z19" s="65">
        <f t="shared" si="59"/>
        <v>0</v>
      </c>
      <c r="AA19" s="58"/>
      <c r="AB19" s="65">
        <f t="shared" si="60"/>
        <v>0</v>
      </c>
      <c r="AC19" s="58"/>
      <c r="AD19" s="65">
        <f t="shared" si="61"/>
        <v>0</v>
      </c>
      <c r="AE19" s="58"/>
      <c r="AF19" s="65">
        <f t="shared" si="62"/>
        <v>0</v>
      </c>
      <c r="AG19" s="58"/>
      <c r="AH19" s="67">
        <f t="shared" si="63"/>
        <v>0</v>
      </c>
      <c r="AI19" s="58"/>
      <c r="AJ19" s="65">
        <f t="shared" si="64"/>
        <v>0</v>
      </c>
      <c r="AK19" s="58"/>
      <c r="AL19" s="65">
        <f t="shared" si="65"/>
        <v>0</v>
      </c>
      <c r="AM19" s="58"/>
      <c r="AN19" s="65">
        <f t="shared" si="66"/>
        <v>0</v>
      </c>
      <c r="AO19" s="58"/>
      <c r="AP19" s="65">
        <f t="shared" si="67"/>
        <v>0</v>
      </c>
      <c r="AQ19" s="58"/>
      <c r="AR19" s="65">
        <f t="shared" si="68"/>
        <v>0</v>
      </c>
      <c r="AS19" s="58"/>
      <c r="AT19" s="65">
        <f t="shared" si="69"/>
        <v>0</v>
      </c>
      <c r="AU19" s="58"/>
      <c r="AV19" s="65">
        <f t="shared" si="70"/>
        <v>0</v>
      </c>
      <c r="AW19" s="58"/>
      <c r="AX19" s="65">
        <f t="shared" si="71"/>
        <v>0</v>
      </c>
      <c r="AY19" s="58"/>
      <c r="AZ19" s="65">
        <f t="shared" si="72"/>
        <v>0</v>
      </c>
      <c r="BA19" s="58"/>
      <c r="BB19" s="65">
        <f t="shared" si="73"/>
        <v>0</v>
      </c>
      <c r="BC19" s="58"/>
      <c r="BD19" s="65">
        <f t="shared" si="74"/>
        <v>0</v>
      </c>
      <c r="BE19" s="59"/>
      <c r="BF19" s="67">
        <f t="shared" si="75"/>
        <v>0</v>
      </c>
      <c r="BG19" s="60"/>
      <c r="BH19" s="65">
        <f t="shared" si="76"/>
        <v>0</v>
      </c>
      <c r="BI19" s="60"/>
      <c r="BJ19" s="65">
        <f t="shared" si="77"/>
        <v>0</v>
      </c>
      <c r="BK19" s="60"/>
      <c r="BL19" s="65">
        <f t="shared" si="78"/>
        <v>0</v>
      </c>
      <c r="BM19" s="60"/>
      <c r="BN19" s="65">
        <f t="shared" si="79"/>
        <v>0</v>
      </c>
      <c r="BO19" s="60"/>
      <c r="BP19" s="65">
        <f t="shared" si="80"/>
        <v>0</v>
      </c>
      <c r="BQ19" s="60"/>
      <c r="BR19" s="65">
        <f t="shared" si="81"/>
        <v>0</v>
      </c>
      <c r="BS19" s="60"/>
      <c r="BT19" s="65">
        <f t="shared" si="82"/>
        <v>0</v>
      </c>
      <c r="BU19" s="60"/>
      <c r="BV19" s="65">
        <f t="shared" si="83"/>
        <v>0</v>
      </c>
      <c r="BW19" s="60"/>
      <c r="BX19" s="65">
        <f t="shared" si="84"/>
        <v>0</v>
      </c>
      <c r="BY19" s="60"/>
      <c r="BZ19" s="67">
        <f t="shared" si="85"/>
        <v>0</v>
      </c>
      <c r="CA19" s="60"/>
      <c r="CB19" s="67">
        <f t="shared" si="86"/>
        <v>0</v>
      </c>
      <c r="CC19" s="60"/>
      <c r="CD19" s="67">
        <f t="shared" si="87"/>
        <v>0</v>
      </c>
      <c r="CE19" s="60"/>
      <c r="CF19" s="67">
        <f t="shared" si="88"/>
        <v>0</v>
      </c>
      <c r="CG19" s="60"/>
      <c r="CH19" s="67">
        <f t="shared" si="89"/>
        <v>0</v>
      </c>
      <c r="CI19" s="60"/>
      <c r="CJ19" s="67">
        <f t="shared" si="90"/>
        <v>0</v>
      </c>
      <c r="CK19" s="60"/>
      <c r="CL19" s="64">
        <f t="shared" si="91"/>
        <v>0</v>
      </c>
      <c r="CM19" s="65">
        <f t="shared" si="92"/>
        <v>0</v>
      </c>
      <c r="CN19" s="62"/>
      <c r="CO19" s="62"/>
      <c r="CP19" s="68"/>
      <c r="CQ19" s="67">
        <f t="shared" si="93"/>
        <v>0</v>
      </c>
      <c r="CR19" s="68"/>
      <c r="CS19" s="67">
        <f t="shared" si="94"/>
        <v>0</v>
      </c>
      <c r="CT19" s="75"/>
      <c r="CU19" s="67">
        <f t="shared" si="95"/>
        <v>0</v>
      </c>
      <c r="CV19" s="68"/>
      <c r="CW19" s="67">
        <f t="shared" si="96"/>
        <v>0</v>
      </c>
      <c r="CX19" s="58"/>
      <c r="CY19" s="67">
        <f t="shared" si="97"/>
        <v>0</v>
      </c>
    </row>
    <row r="20" spans="1:103" ht="25.5" customHeight="1" thickBot="1" x14ac:dyDescent="0.45">
      <c r="A20" s="63">
        <v>44851</v>
      </c>
      <c r="B20" s="44"/>
      <c r="C20" s="58"/>
      <c r="D20" s="64">
        <f t="shared" si="49"/>
        <v>0</v>
      </c>
      <c r="E20" s="58"/>
      <c r="F20" s="64">
        <f t="shared" si="50"/>
        <v>0</v>
      </c>
      <c r="G20" s="58"/>
      <c r="H20" s="64">
        <f t="shared" si="51"/>
        <v>0</v>
      </c>
      <c r="I20" s="58"/>
      <c r="J20" s="64">
        <f t="shared" si="52"/>
        <v>0</v>
      </c>
      <c r="K20" s="58"/>
      <c r="L20" s="64">
        <f t="shared" si="53"/>
        <v>0</v>
      </c>
      <c r="M20" s="58"/>
      <c r="N20" s="64">
        <f t="shared" si="54"/>
        <v>0</v>
      </c>
      <c r="O20" s="58"/>
      <c r="P20" s="67">
        <f t="shared" si="55"/>
        <v>0</v>
      </c>
      <c r="Q20" s="58"/>
      <c r="R20" s="67">
        <f t="shared" si="56"/>
        <v>0</v>
      </c>
      <c r="S20" s="58"/>
      <c r="T20" s="67">
        <f t="shared" si="98"/>
        <v>0</v>
      </c>
      <c r="U20" s="58"/>
      <c r="V20" s="67">
        <f t="shared" si="57"/>
        <v>0</v>
      </c>
      <c r="W20" s="58"/>
      <c r="X20" s="65">
        <f t="shared" si="58"/>
        <v>0</v>
      </c>
      <c r="Y20" s="58"/>
      <c r="Z20" s="65">
        <f t="shared" si="59"/>
        <v>0</v>
      </c>
      <c r="AA20" s="58"/>
      <c r="AB20" s="65">
        <f t="shared" si="60"/>
        <v>0</v>
      </c>
      <c r="AC20" s="58"/>
      <c r="AD20" s="65">
        <f t="shared" si="61"/>
        <v>0</v>
      </c>
      <c r="AE20" s="58"/>
      <c r="AF20" s="65">
        <f t="shared" si="62"/>
        <v>0</v>
      </c>
      <c r="AG20" s="58"/>
      <c r="AH20" s="67">
        <f t="shared" si="63"/>
        <v>0</v>
      </c>
      <c r="AI20" s="58"/>
      <c r="AJ20" s="65">
        <f t="shared" si="64"/>
        <v>0</v>
      </c>
      <c r="AK20" s="58"/>
      <c r="AL20" s="65">
        <f t="shared" si="65"/>
        <v>0</v>
      </c>
      <c r="AM20" s="58"/>
      <c r="AN20" s="65">
        <f t="shared" si="66"/>
        <v>0</v>
      </c>
      <c r="AO20" s="58"/>
      <c r="AP20" s="65">
        <f t="shared" si="67"/>
        <v>0</v>
      </c>
      <c r="AQ20" s="58"/>
      <c r="AR20" s="65">
        <f t="shared" si="68"/>
        <v>0</v>
      </c>
      <c r="AS20" s="58"/>
      <c r="AT20" s="65">
        <f t="shared" si="69"/>
        <v>0</v>
      </c>
      <c r="AU20" s="58"/>
      <c r="AV20" s="65">
        <f t="shared" si="70"/>
        <v>0</v>
      </c>
      <c r="AW20" s="58"/>
      <c r="AX20" s="65">
        <f t="shared" si="71"/>
        <v>0</v>
      </c>
      <c r="AY20" s="58"/>
      <c r="AZ20" s="65">
        <f t="shared" si="72"/>
        <v>0</v>
      </c>
      <c r="BA20" s="58"/>
      <c r="BB20" s="65">
        <f t="shared" si="73"/>
        <v>0</v>
      </c>
      <c r="BC20" s="58"/>
      <c r="BD20" s="65">
        <f t="shared" si="74"/>
        <v>0</v>
      </c>
      <c r="BE20" s="59"/>
      <c r="BF20" s="67">
        <f t="shared" si="75"/>
        <v>0</v>
      </c>
      <c r="BG20" s="60"/>
      <c r="BH20" s="65">
        <f t="shared" si="76"/>
        <v>0</v>
      </c>
      <c r="BI20" s="60"/>
      <c r="BJ20" s="65">
        <f t="shared" si="77"/>
        <v>0</v>
      </c>
      <c r="BK20" s="60"/>
      <c r="BL20" s="65">
        <f t="shared" si="78"/>
        <v>0</v>
      </c>
      <c r="BM20" s="60"/>
      <c r="BN20" s="65">
        <f t="shared" si="79"/>
        <v>0</v>
      </c>
      <c r="BO20" s="60"/>
      <c r="BP20" s="65">
        <f t="shared" si="80"/>
        <v>0</v>
      </c>
      <c r="BQ20" s="60"/>
      <c r="BR20" s="65">
        <f t="shared" si="81"/>
        <v>0</v>
      </c>
      <c r="BS20" s="60"/>
      <c r="BT20" s="65">
        <f t="shared" si="82"/>
        <v>0</v>
      </c>
      <c r="BU20" s="60"/>
      <c r="BV20" s="65">
        <f t="shared" si="83"/>
        <v>0</v>
      </c>
      <c r="BW20" s="60"/>
      <c r="BX20" s="65">
        <f t="shared" si="84"/>
        <v>0</v>
      </c>
      <c r="BY20" s="60"/>
      <c r="BZ20" s="67">
        <f t="shared" si="85"/>
        <v>0</v>
      </c>
      <c r="CA20" s="60"/>
      <c r="CB20" s="67">
        <f t="shared" si="86"/>
        <v>0</v>
      </c>
      <c r="CC20" s="60"/>
      <c r="CD20" s="67">
        <f t="shared" si="87"/>
        <v>0</v>
      </c>
      <c r="CE20" s="60"/>
      <c r="CF20" s="67">
        <f t="shared" si="88"/>
        <v>0</v>
      </c>
      <c r="CG20" s="60"/>
      <c r="CH20" s="67">
        <f t="shared" si="89"/>
        <v>0</v>
      </c>
      <c r="CI20" s="60"/>
      <c r="CJ20" s="67">
        <f t="shared" si="90"/>
        <v>0</v>
      </c>
      <c r="CK20" s="60"/>
      <c r="CL20" s="64">
        <f t="shared" si="91"/>
        <v>0</v>
      </c>
      <c r="CM20" s="65">
        <f t="shared" si="92"/>
        <v>0</v>
      </c>
      <c r="CN20" s="62"/>
      <c r="CO20" s="62"/>
      <c r="CP20" s="68"/>
      <c r="CQ20" s="67">
        <f t="shared" si="93"/>
        <v>0</v>
      </c>
      <c r="CR20" s="68"/>
      <c r="CS20" s="67">
        <f t="shared" si="94"/>
        <v>0</v>
      </c>
      <c r="CT20" s="75"/>
      <c r="CU20" s="67">
        <f t="shared" si="95"/>
        <v>0</v>
      </c>
      <c r="CV20" s="68"/>
      <c r="CW20" s="67">
        <f t="shared" si="96"/>
        <v>0</v>
      </c>
      <c r="CX20" s="58"/>
      <c r="CY20" s="67">
        <f t="shared" si="97"/>
        <v>0</v>
      </c>
    </row>
    <row r="21" spans="1:103" ht="25.5" customHeight="1" thickBot="1" x14ac:dyDescent="0.45">
      <c r="A21" s="63">
        <v>44852</v>
      </c>
      <c r="B21" s="44"/>
      <c r="C21" s="58"/>
      <c r="D21" s="64">
        <f t="shared" si="49"/>
        <v>0</v>
      </c>
      <c r="E21" s="58"/>
      <c r="F21" s="64">
        <f t="shared" si="50"/>
        <v>0</v>
      </c>
      <c r="G21" s="58"/>
      <c r="H21" s="64">
        <f t="shared" si="51"/>
        <v>0</v>
      </c>
      <c r="I21" s="58"/>
      <c r="J21" s="64">
        <f t="shared" si="52"/>
        <v>0</v>
      </c>
      <c r="K21" s="58"/>
      <c r="L21" s="64">
        <f t="shared" si="53"/>
        <v>0</v>
      </c>
      <c r="M21" s="58"/>
      <c r="N21" s="64">
        <f t="shared" si="54"/>
        <v>0</v>
      </c>
      <c r="O21" s="58"/>
      <c r="P21" s="67">
        <f t="shared" si="55"/>
        <v>0</v>
      </c>
      <c r="Q21" s="58"/>
      <c r="R21" s="67">
        <f t="shared" si="56"/>
        <v>0</v>
      </c>
      <c r="S21" s="58"/>
      <c r="T21" s="67">
        <f t="shared" si="98"/>
        <v>0</v>
      </c>
      <c r="U21" s="58"/>
      <c r="V21" s="67">
        <f t="shared" si="57"/>
        <v>0</v>
      </c>
      <c r="W21" s="58"/>
      <c r="X21" s="65">
        <f t="shared" si="58"/>
        <v>0</v>
      </c>
      <c r="Y21" s="58"/>
      <c r="Z21" s="65">
        <f t="shared" si="59"/>
        <v>0</v>
      </c>
      <c r="AA21" s="58"/>
      <c r="AB21" s="65">
        <f t="shared" si="60"/>
        <v>0</v>
      </c>
      <c r="AC21" s="58"/>
      <c r="AD21" s="65">
        <f t="shared" si="61"/>
        <v>0</v>
      </c>
      <c r="AE21" s="58"/>
      <c r="AF21" s="65">
        <f t="shared" si="62"/>
        <v>0</v>
      </c>
      <c r="AG21" s="58"/>
      <c r="AH21" s="67">
        <f t="shared" si="63"/>
        <v>0</v>
      </c>
      <c r="AI21" s="58"/>
      <c r="AJ21" s="65">
        <f t="shared" si="64"/>
        <v>0</v>
      </c>
      <c r="AK21" s="58"/>
      <c r="AL21" s="65">
        <f t="shared" si="65"/>
        <v>0</v>
      </c>
      <c r="AM21" s="58"/>
      <c r="AN21" s="65">
        <f t="shared" si="66"/>
        <v>0</v>
      </c>
      <c r="AO21" s="58"/>
      <c r="AP21" s="65">
        <f t="shared" si="67"/>
        <v>0</v>
      </c>
      <c r="AQ21" s="58"/>
      <c r="AR21" s="65">
        <f t="shared" si="68"/>
        <v>0</v>
      </c>
      <c r="AS21" s="58"/>
      <c r="AT21" s="65">
        <f t="shared" si="69"/>
        <v>0</v>
      </c>
      <c r="AU21" s="58"/>
      <c r="AV21" s="65">
        <f t="shared" si="70"/>
        <v>0</v>
      </c>
      <c r="AW21" s="58"/>
      <c r="AX21" s="65">
        <f t="shared" si="71"/>
        <v>0</v>
      </c>
      <c r="AY21" s="58"/>
      <c r="AZ21" s="65">
        <f t="shared" si="72"/>
        <v>0</v>
      </c>
      <c r="BA21" s="58"/>
      <c r="BB21" s="65">
        <f t="shared" si="73"/>
        <v>0</v>
      </c>
      <c r="BC21" s="58"/>
      <c r="BD21" s="65">
        <f t="shared" si="74"/>
        <v>0</v>
      </c>
      <c r="BE21" s="59"/>
      <c r="BF21" s="67">
        <f t="shared" si="75"/>
        <v>0</v>
      </c>
      <c r="BG21" s="60"/>
      <c r="BH21" s="65">
        <f t="shared" si="76"/>
        <v>0</v>
      </c>
      <c r="BI21" s="60"/>
      <c r="BJ21" s="65">
        <f t="shared" si="77"/>
        <v>0</v>
      </c>
      <c r="BK21" s="60"/>
      <c r="BL21" s="65">
        <f t="shared" si="78"/>
        <v>0</v>
      </c>
      <c r="BM21" s="60"/>
      <c r="BN21" s="65">
        <f t="shared" si="79"/>
        <v>0</v>
      </c>
      <c r="BO21" s="60"/>
      <c r="BP21" s="65">
        <f t="shared" si="80"/>
        <v>0</v>
      </c>
      <c r="BQ21" s="60"/>
      <c r="BR21" s="65">
        <f t="shared" si="81"/>
        <v>0</v>
      </c>
      <c r="BS21" s="60"/>
      <c r="BT21" s="65">
        <f t="shared" si="82"/>
        <v>0</v>
      </c>
      <c r="BU21" s="60"/>
      <c r="BV21" s="65">
        <f t="shared" si="83"/>
        <v>0</v>
      </c>
      <c r="BW21" s="60"/>
      <c r="BX21" s="65">
        <f t="shared" si="84"/>
        <v>0</v>
      </c>
      <c r="BY21" s="60"/>
      <c r="BZ21" s="67">
        <f t="shared" si="85"/>
        <v>0</v>
      </c>
      <c r="CA21" s="60"/>
      <c r="CB21" s="67">
        <f t="shared" si="86"/>
        <v>0</v>
      </c>
      <c r="CC21" s="60"/>
      <c r="CD21" s="67">
        <f t="shared" si="87"/>
        <v>0</v>
      </c>
      <c r="CE21" s="60"/>
      <c r="CF21" s="67">
        <f t="shared" si="88"/>
        <v>0</v>
      </c>
      <c r="CG21" s="60"/>
      <c r="CH21" s="67">
        <f t="shared" si="89"/>
        <v>0</v>
      </c>
      <c r="CI21" s="60"/>
      <c r="CJ21" s="67">
        <f t="shared" si="90"/>
        <v>0</v>
      </c>
      <c r="CK21" s="60"/>
      <c r="CL21" s="64">
        <f t="shared" si="91"/>
        <v>0</v>
      </c>
      <c r="CM21" s="65">
        <f t="shared" si="92"/>
        <v>0</v>
      </c>
      <c r="CN21" s="62"/>
      <c r="CO21" s="62"/>
      <c r="CP21" s="68"/>
      <c r="CQ21" s="67">
        <f t="shared" si="93"/>
        <v>0</v>
      </c>
      <c r="CR21" s="68"/>
      <c r="CS21" s="67">
        <f t="shared" si="94"/>
        <v>0</v>
      </c>
      <c r="CT21" s="75"/>
      <c r="CU21" s="67">
        <f t="shared" si="95"/>
        <v>0</v>
      </c>
      <c r="CV21" s="68"/>
      <c r="CW21" s="67">
        <f t="shared" si="96"/>
        <v>0</v>
      </c>
      <c r="CX21" s="58"/>
      <c r="CY21" s="67">
        <f t="shared" si="97"/>
        <v>0</v>
      </c>
    </row>
    <row r="22" spans="1:103" ht="25.5" customHeight="1" thickBot="1" x14ac:dyDescent="0.45">
      <c r="A22" s="63">
        <v>44853</v>
      </c>
      <c r="B22" s="44"/>
      <c r="C22" s="58"/>
      <c r="D22" s="64">
        <f t="shared" si="49"/>
        <v>0</v>
      </c>
      <c r="E22" s="58"/>
      <c r="F22" s="64">
        <f t="shared" si="50"/>
        <v>0</v>
      </c>
      <c r="G22" s="58"/>
      <c r="H22" s="64">
        <f t="shared" si="51"/>
        <v>0</v>
      </c>
      <c r="I22" s="58"/>
      <c r="J22" s="64">
        <f t="shared" si="52"/>
        <v>0</v>
      </c>
      <c r="K22" s="58"/>
      <c r="L22" s="64">
        <f t="shared" si="53"/>
        <v>0</v>
      </c>
      <c r="M22" s="58"/>
      <c r="N22" s="64">
        <f t="shared" si="54"/>
        <v>0</v>
      </c>
      <c r="O22" s="58"/>
      <c r="P22" s="67">
        <f t="shared" si="55"/>
        <v>0</v>
      </c>
      <c r="Q22" s="58"/>
      <c r="R22" s="67">
        <f t="shared" si="56"/>
        <v>0</v>
      </c>
      <c r="S22" s="58"/>
      <c r="T22" s="67">
        <f t="shared" si="98"/>
        <v>0</v>
      </c>
      <c r="U22" s="58"/>
      <c r="V22" s="67">
        <f t="shared" si="57"/>
        <v>0</v>
      </c>
      <c r="W22" s="58"/>
      <c r="X22" s="65">
        <f t="shared" si="58"/>
        <v>0</v>
      </c>
      <c r="Y22" s="58"/>
      <c r="Z22" s="65">
        <f t="shared" si="59"/>
        <v>0</v>
      </c>
      <c r="AA22" s="58"/>
      <c r="AB22" s="65">
        <f t="shared" si="60"/>
        <v>0</v>
      </c>
      <c r="AC22" s="58"/>
      <c r="AD22" s="65">
        <f t="shared" si="61"/>
        <v>0</v>
      </c>
      <c r="AE22" s="58"/>
      <c r="AF22" s="65">
        <f t="shared" si="62"/>
        <v>0</v>
      </c>
      <c r="AG22" s="58"/>
      <c r="AH22" s="67">
        <f t="shared" si="63"/>
        <v>0</v>
      </c>
      <c r="AI22" s="58"/>
      <c r="AJ22" s="65">
        <f t="shared" si="64"/>
        <v>0</v>
      </c>
      <c r="AK22" s="58"/>
      <c r="AL22" s="65">
        <f t="shared" si="65"/>
        <v>0</v>
      </c>
      <c r="AM22" s="58"/>
      <c r="AN22" s="65">
        <f t="shared" si="66"/>
        <v>0</v>
      </c>
      <c r="AO22" s="58"/>
      <c r="AP22" s="65">
        <f t="shared" si="67"/>
        <v>0</v>
      </c>
      <c r="AQ22" s="58"/>
      <c r="AR22" s="65">
        <f t="shared" si="68"/>
        <v>0</v>
      </c>
      <c r="AS22" s="58"/>
      <c r="AT22" s="65">
        <f t="shared" si="69"/>
        <v>0</v>
      </c>
      <c r="AU22" s="58"/>
      <c r="AV22" s="65">
        <f t="shared" si="70"/>
        <v>0</v>
      </c>
      <c r="AW22" s="58"/>
      <c r="AX22" s="65">
        <f t="shared" si="71"/>
        <v>0</v>
      </c>
      <c r="AY22" s="58"/>
      <c r="AZ22" s="65">
        <f t="shared" si="72"/>
        <v>0</v>
      </c>
      <c r="BA22" s="58"/>
      <c r="BB22" s="65">
        <f t="shared" si="73"/>
        <v>0</v>
      </c>
      <c r="BC22" s="58"/>
      <c r="BD22" s="65">
        <f t="shared" si="74"/>
        <v>0</v>
      </c>
      <c r="BE22" s="59"/>
      <c r="BF22" s="67">
        <f t="shared" si="75"/>
        <v>0</v>
      </c>
      <c r="BG22" s="60"/>
      <c r="BH22" s="65">
        <f t="shared" si="76"/>
        <v>0</v>
      </c>
      <c r="BI22" s="60"/>
      <c r="BJ22" s="65">
        <f t="shared" si="77"/>
        <v>0</v>
      </c>
      <c r="BK22" s="60"/>
      <c r="BL22" s="65">
        <f t="shared" si="78"/>
        <v>0</v>
      </c>
      <c r="BM22" s="60"/>
      <c r="BN22" s="65">
        <f t="shared" si="79"/>
        <v>0</v>
      </c>
      <c r="BO22" s="60"/>
      <c r="BP22" s="65">
        <f t="shared" si="80"/>
        <v>0</v>
      </c>
      <c r="BQ22" s="60"/>
      <c r="BR22" s="65">
        <f t="shared" si="81"/>
        <v>0</v>
      </c>
      <c r="BS22" s="60"/>
      <c r="BT22" s="65">
        <f t="shared" si="82"/>
        <v>0</v>
      </c>
      <c r="BU22" s="60"/>
      <c r="BV22" s="65">
        <f t="shared" si="83"/>
        <v>0</v>
      </c>
      <c r="BW22" s="60"/>
      <c r="BX22" s="65">
        <f t="shared" si="84"/>
        <v>0</v>
      </c>
      <c r="BY22" s="60"/>
      <c r="BZ22" s="67">
        <f t="shared" si="85"/>
        <v>0</v>
      </c>
      <c r="CA22" s="60"/>
      <c r="CB22" s="67">
        <f t="shared" si="86"/>
        <v>0</v>
      </c>
      <c r="CC22" s="60"/>
      <c r="CD22" s="67">
        <f t="shared" si="87"/>
        <v>0</v>
      </c>
      <c r="CE22" s="60"/>
      <c r="CF22" s="67">
        <f t="shared" si="88"/>
        <v>0</v>
      </c>
      <c r="CG22" s="60"/>
      <c r="CH22" s="67">
        <f t="shared" si="89"/>
        <v>0</v>
      </c>
      <c r="CI22" s="60"/>
      <c r="CJ22" s="67">
        <f t="shared" si="90"/>
        <v>0</v>
      </c>
      <c r="CK22" s="60"/>
      <c r="CL22" s="64">
        <f t="shared" si="91"/>
        <v>0</v>
      </c>
      <c r="CM22" s="65">
        <f t="shared" si="92"/>
        <v>0</v>
      </c>
      <c r="CN22" s="62"/>
      <c r="CO22" s="62"/>
      <c r="CP22" s="68"/>
      <c r="CQ22" s="67">
        <f t="shared" si="93"/>
        <v>0</v>
      </c>
      <c r="CR22" s="68"/>
      <c r="CS22" s="67">
        <f t="shared" si="94"/>
        <v>0</v>
      </c>
      <c r="CT22" s="75"/>
      <c r="CU22" s="67">
        <f t="shared" si="95"/>
        <v>0</v>
      </c>
      <c r="CV22" s="68"/>
      <c r="CW22" s="67">
        <f t="shared" si="96"/>
        <v>0</v>
      </c>
      <c r="CX22" s="58"/>
      <c r="CY22" s="67">
        <f t="shared" si="97"/>
        <v>0</v>
      </c>
    </row>
    <row r="23" spans="1:103" ht="25.5" customHeight="1" thickBot="1" x14ac:dyDescent="0.45">
      <c r="A23" s="63">
        <v>44854</v>
      </c>
      <c r="B23" s="44"/>
      <c r="C23" s="58"/>
      <c r="D23" s="64">
        <f t="shared" si="49"/>
        <v>0</v>
      </c>
      <c r="E23" s="58"/>
      <c r="F23" s="64">
        <f t="shared" si="50"/>
        <v>0</v>
      </c>
      <c r="G23" s="58"/>
      <c r="H23" s="64">
        <f t="shared" si="51"/>
        <v>0</v>
      </c>
      <c r="I23" s="58"/>
      <c r="J23" s="64">
        <f t="shared" si="52"/>
        <v>0</v>
      </c>
      <c r="K23" s="58"/>
      <c r="L23" s="64">
        <f t="shared" si="53"/>
        <v>0</v>
      </c>
      <c r="M23" s="58"/>
      <c r="N23" s="64">
        <f t="shared" si="54"/>
        <v>0</v>
      </c>
      <c r="O23" s="58"/>
      <c r="P23" s="67">
        <f t="shared" si="55"/>
        <v>0</v>
      </c>
      <c r="Q23" s="58"/>
      <c r="R23" s="67">
        <f t="shared" si="56"/>
        <v>0</v>
      </c>
      <c r="S23" s="58"/>
      <c r="T23" s="67">
        <f t="shared" si="98"/>
        <v>0</v>
      </c>
      <c r="U23" s="58"/>
      <c r="V23" s="67">
        <f t="shared" si="57"/>
        <v>0</v>
      </c>
      <c r="W23" s="58"/>
      <c r="X23" s="65">
        <f t="shared" si="58"/>
        <v>0</v>
      </c>
      <c r="Y23" s="58"/>
      <c r="Z23" s="65">
        <f t="shared" si="59"/>
        <v>0</v>
      </c>
      <c r="AA23" s="58"/>
      <c r="AB23" s="65">
        <f t="shared" si="60"/>
        <v>0</v>
      </c>
      <c r="AC23" s="58"/>
      <c r="AD23" s="65">
        <f t="shared" si="61"/>
        <v>0</v>
      </c>
      <c r="AE23" s="58"/>
      <c r="AF23" s="65">
        <f t="shared" si="62"/>
        <v>0</v>
      </c>
      <c r="AG23" s="58"/>
      <c r="AH23" s="67">
        <f t="shared" si="63"/>
        <v>0</v>
      </c>
      <c r="AI23" s="58"/>
      <c r="AJ23" s="65">
        <f t="shared" si="64"/>
        <v>0</v>
      </c>
      <c r="AK23" s="58"/>
      <c r="AL23" s="65">
        <f t="shared" si="65"/>
        <v>0</v>
      </c>
      <c r="AM23" s="58"/>
      <c r="AN23" s="65">
        <f t="shared" si="66"/>
        <v>0</v>
      </c>
      <c r="AO23" s="58"/>
      <c r="AP23" s="65">
        <f t="shared" si="67"/>
        <v>0</v>
      </c>
      <c r="AQ23" s="58"/>
      <c r="AR23" s="65">
        <f t="shared" si="68"/>
        <v>0</v>
      </c>
      <c r="AS23" s="58"/>
      <c r="AT23" s="65">
        <f t="shared" si="69"/>
        <v>0</v>
      </c>
      <c r="AU23" s="58"/>
      <c r="AV23" s="65">
        <f t="shared" si="70"/>
        <v>0</v>
      </c>
      <c r="AW23" s="58"/>
      <c r="AX23" s="65">
        <f t="shared" si="71"/>
        <v>0</v>
      </c>
      <c r="AY23" s="58"/>
      <c r="AZ23" s="65">
        <f t="shared" si="72"/>
        <v>0</v>
      </c>
      <c r="BA23" s="58"/>
      <c r="BB23" s="65">
        <f t="shared" si="73"/>
        <v>0</v>
      </c>
      <c r="BC23" s="58"/>
      <c r="BD23" s="65">
        <f t="shared" si="74"/>
        <v>0</v>
      </c>
      <c r="BE23" s="59"/>
      <c r="BF23" s="67">
        <f t="shared" si="75"/>
        <v>0</v>
      </c>
      <c r="BG23" s="60"/>
      <c r="BH23" s="65">
        <f t="shared" si="76"/>
        <v>0</v>
      </c>
      <c r="BI23" s="60"/>
      <c r="BJ23" s="65">
        <f t="shared" si="77"/>
        <v>0</v>
      </c>
      <c r="BK23" s="60"/>
      <c r="BL23" s="65">
        <f t="shared" si="78"/>
        <v>0</v>
      </c>
      <c r="BM23" s="60"/>
      <c r="BN23" s="65">
        <f t="shared" si="79"/>
        <v>0</v>
      </c>
      <c r="BO23" s="60"/>
      <c r="BP23" s="65">
        <f t="shared" si="80"/>
        <v>0</v>
      </c>
      <c r="BQ23" s="60"/>
      <c r="BR23" s="65">
        <f t="shared" si="81"/>
        <v>0</v>
      </c>
      <c r="BS23" s="60"/>
      <c r="BT23" s="65">
        <f t="shared" si="82"/>
        <v>0</v>
      </c>
      <c r="BU23" s="60"/>
      <c r="BV23" s="65">
        <f t="shared" si="83"/>
        <v>0</v>
      </c>
      <c r="BW23" s="60"/>
      <c r="BX23" s="65">
        <f t="shared" si="84"/>
        <v>0</v>
      </c>
      <c r="BY23" s="60"/>
      <c r="BZ23" s="67">
        <f t="shared" si="85"/>
        <v>0</v>
      </c>
      <c r="CA23" s="60"/>
      <c r="CB23" s="67">
        <f t="shared" si="86"/>
        <v>0</v>
      </c>
      <c r="CC23" s="60"/>
      <c r="CD23" s="67">
        <f t="shared" si="87"/>
        <v>0</v>
      </c>
      <c r="CE23" s="60"/>
      <c r="CF23" s="67">
        <f t="shared" si="88"/>
        <v>0</v>
      </c>
      <c r="CG23" s="60"/>
      <c r="CH23" s="67">
        <f t="shared" si="89"/>
        <v>0</v>
      </c>
      <c r="CI23" s="60"/>
      <c r="CJ23" s="67">
        <f t="shared" si="90"/>
        <v>0</v>
      </c>
      <c r="CK23" s="60"/>
      <c r="CL23" s="64">
        <f t="shared" si="91"/>
        <v>0</v>
      </c>
      <c r="CM23" s="65">
        <f>CQ23+CS23</f>
        <v>0</v>
      </c>
      <c r="CN23" s="62"/>
      <c r="CO23" s="62"/>
      <c r="CP23" s="68"/>
      <c r="CQ23" s="67">
        <f t="shared" si="93"/>
        <v>0</v>
      </c>
      <c r="CR23" s="68"/>
      <c r="CS23" s="67">
        <f t="shared" si="94"/>
        <v>0</v>
      </c>
      <c r="CT23" s="75"/>
      <c r="CU23" s="67">
        <f t="shared" si="95"/>
        <v>0</v>
      </c>
      <c r="CV23" s="68"/>
      <c r="CW23" s="67">
        <f t="shared" si="96"/>
        <v>0</v>
      </c>
      <c r="CX23" s="58"/>
      <c r="CY23" s="67">
        <f t="shared" si="97"/>
        <v>0</v>
      </c>
    </row>
    <row r="24" spans="1:103" ht="25.5" customHeight="1" thickBot="1" x14ac:dyDescent="0.45">
      <c r="A24" s="63">
        <v>44855</v>
      </c>
      <c r="B24" s="44"/>
      <c r="C24" s="58"/>
      <c r="D24" s="64">
        <f t="shared" si="49"/>
        <v>0</v>
      </c>
      <c r="E24" s="58"/>
      <c r="F24" s="64">
        <f t="shared" si="50"/>
        <v>0</v>
      </c>
      <c r="G24" s="58"/>
      <c r="H24" s="64">
        <f t="shared" si="51"/>
        <v>0</v>
      </c>
      <c r="I24" s="58"/>
      <c r="J24" s="64">
        <f t="shared" si="52"/>
        <v>0</v>
      </c>
      <c r="K24" s="58"/>
      <c r="L24" s="64">
        <f t="shared" si="53"/>
        <v>0</v>
      </c>
      <c r="M24" s="58"/>
      <c r="N24" s="64">
        <f t="shared" si="54"/>
        <v>0</v>
      </c>
      <c r="O24" s="58"/>
      <c r="P24" s="67">
        <f t="shared" si="55"/>
        <v>0</v>
      </c>
      <c r="Q24" s="58"/>
      <c r="R24" s="67">
        <f t="shared" si="56"/>
        <v>0</v>
      </c>
      <c r="S24" s="58"/>
      <c r="T24" s="67">
        <f t="shared" si="98"/>
        <v>0</v>
      </c>
      <c r="U24" s="58"/>
      <c r="V24" s="67">
        <f t="shared" si="57"/>
        <v>0</v>
      </c>
      <c r="W24" s="58"/>
      <c r="X24" s="65">
        <f t="shared" si="58"/>
        <v>0</v>
      </c>
      <c r="Y24" s="58"/>
      <c r="Z24" s="65">
        <f t="shared" si="59"/>
        <v>0</v>
      </c>
      <c r="AA24" s="58"/>
      <c r="AB24" s="65">
        <f t="shared" si="60"/>
        <v>0</v>
      </c>
      <c r="AC24" s="58"/>
      <c r="AD24" s="65">
        <f t="shared" si="61"/>
        <v>0</v>
      </c>
      <c r="AE24" s="58"/>
      <c r="AF24" s="65">
        <f t="shared" si="62"/>
        <v>0</v>
      </c>
      <c r="AG24" s="58"/>
      <c r="AH24" s="67">
        <f t="shared" si="63"/>
        <v>0</v>
      </c>
      <c r="AI24" s="58"/>
      <c r="AJ24" s="65">
        <f t="shared" si="64"/>
        <v>0</v>
      </c>
      <c r="AK24" s="58"/>
      <c r="AL24" s="65">
        <f t="shared" si="65"/>
        <v>0</v>
      </c>
      <c r="AM24" s="58"/>
      <c r="AN24" s="65">
        <f t="shared" si="66"/>
        <v>0</v>
      </c>
      <c r="AO24" s="58"/>
      <c r="AP24" s="65">
        <f t="shared" si="67"/>
        <v>0</v>
      </c>
      <c r="AQ24" s="58"/>
      <c r="AR24" s="65">
        <f t="shared" si="68"/>
        <v>0</v>
      </c>
      <c r="AS24" s="58"/>
      <c r="AT24" s="65">
        <f t="shared" si="69"/>
        <v>0</v>
      </c>
      <c r="AU24" s="58"/>
      <c r="AV24" s="65">
        <f t="shared" si="70"/>
        <v>0</v>
      </c>
      <c r="AW24" s="58"/>
      <c r="AX24" s="65">
        <f t="shared" si="71"/>
        <v>0</v>
      </c>
      <c r="AY24" s="58"/>
      <c r="AZ24" s="65">
        <f t="shared" si="72"/>
        <v>0</v>
      </c>
      <c r="BA24" s="58"/>
      <c r="BB24" s="65">
        <f t="shared" si="73"/>
        <v>0</v>
      </c>
      <c r="BC24" s="58"/>
      <c r="BD24" s="65">
        <f t="shared" si="74"/>
        <v>0</v>
      </c>
      <c r="BE24" s="59"/>
      <c r="BF24" s="67">
        <f t="shared" si="75"/>
        <v>0</v>
      </c>
      <c r="BG24" s="60"/>
      <c r="BH24" s="65">
        <f t="shared" si="76"/>
        <v>0</v>
      </c>
      <c r="BI24" s="60"/>
      <c r="BJ24" s="65">
        <f t="shared" si="77"/>
        <v>0</v>
      </c>
      <c r="BK24" s="60"/>
      <c r="BL24" s="65">
        <f t="shared" si="78"/>
        <v>0</v>
      </c>
      <c r="BM24" s="60"/>
      <c r="BN24" s="65">
        <f t="shared" si="79"/>
        <v>0</v>
      </c>
      <c r="BO24" s="60"/>
      <c r="BP24" s="65">
        <f t="shared" si="80"/>
        <v>0</v>
      </c>
      <c r="BQ24" s="60"/>
      <c r="BR24" s="65">
        <f t="shared" si="81"/>
        <v>0</v>
      </c>
      <c r="BS24" s="60"/>
      <c r="BT24" s="65">
        <f t="shared" si="82"/>
        <v>0</v>
      </c>
      <c r="BU24" s="60"/>
      <c r="BV24" s="65">
        <f t="shared" si="83"/>
        <v>0</v>
      </c>
      <c r="BW24" s="60"/>
      <c r="BX24" s="65">
        <f t="shared" si="84"/>
        <v>0</v>
      </c>
      <c r="BY24" s="60"/>
      <c r="BZ24" s="67">
        <f t="shared" si="85"/>
        <v>0</v>
      </c>
      <c r="CA24" s="60"/>
      <c r="CB24" s="67">
        <f t="shared" si="86"/>
        <v>0</v>
      </c>
      <c r="CC24" s="60"/>
      <c r="CD24" s="67">
        <f t="shared" si="87"/>
        <v>0</v>
      </c>
      <c r="CE24" s="60"/>
      <c r="CF24" s="67">
        <f t="shared" si="88"/>
        <v>0</v>
      </c>
      <c r="CG24" s="60"/>
      <c r="CH24" s="67">
        <f t="shared" si="89"/>
        <v>0</v>
      </c>
      <c r="CI24" s="60"/>
      <c r="CJ24" s="67">
        <f t="shared" si="90"/>
        <v>0</v>
      </c>
      <c r="CK24" s="60"/>
      <c r="CL24" s="64">
        <f t="shared" si="91"/>
        <v>0</v>
      </c>
      <c r="CM24" s="65">
        <f t="shared" si="92"/>
        <v>0</v>
      </c>
      <c r="CN24" s="62"/>
      <c r="CO24" s="62"/>
      <c r="CP24" s="68"/>
      <c r="CQ24" s="67">
        <f t="shared" si="93"/>
        <v>0</v>
      </c>
      <c r="CR24" s="68"/>
      <c r="CS24" s="67">
        <f t="shared" si="94"/>
        <v>0</v>
      </c>
      <c r="CT24" s="75"/>
      <c r="CU24" s="67">
        <f t="shared" si="95"/>
        <v>0</v>
      </c>
      <c r="CV24" s="68"/>
      <c r="CW24" s="67">
        <f t="shared" si="96"/>
        <v>0</v>
      </c>
      <c r="CX24" s="58"/>
      <c r="CY24" s="67">
        <f t="shared" si="97"/>
        <v>0</v>
      </c>
    </row>
    <row r="25" spans="1:103" ht="25.5" customHeight="1" thickBot="1" x14ac:dyDescent="0.45">
      <c r="A25" s="63">
        <v>44856</v>
      </c>
      <c r="B25" s="44"/>
      <c r="C25" s="58"/>
      <c r="D25" s="64">
        <f t="shared" si="49"/>
        <v>0</v>
      </c>
      <c r="E25" s="58"/>
      <c r="F25" s="64">
        <f t="shared" si="50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98"/>
        <v>0</v>
      </c>
      <c r="U25" s="58"/>
      <c r="V25" s="67">
        <f t="shared" si="57"/>
        <v>0</v>
      </c>
      <c r="W25" s="58"/>
      <c r="X25" s="65">
        <f t="shared" si="58"/>
        <v>0</v>
      </c>
      <c r="Y25" s="58"/>
      <c r="Z25" s="65">
        <f t="shared" si="59"/>
        <v>0</v>
      </c>
      <c r="AA25" s="58"/>
      <c r="AB25" s="65">
        <f t="shared" si="60"/>
        <v>0</v>
      </c>
      <c r="AC25" s="58"/>
      <c r="AD25" s="65">
        <f t="shared" si="61"/>
        <v>0</v>
      </c>
      <c r="AE25" s="58"/>
      <c r="AF25" s="65">
        <f t="shared" si="62"/>
        <v>0</v>
      </c>
      <c r="AG25" s="58"/>
      <c r="AH25" s="67">
        <f t="shared" si="63"/>
        <v>0</v>
      </c>
      <c r="AI25" s="58"/>
      <c r="AJ25" s="65">
        <f t="shared" si="64"/>
        <v>0</v>
      </c>
      <c r="AK25" s="58"/>
      <c r="AL25" s="65">
        <f t="shared" si="65"/>
        <v>0</v>
      </c>
      <c r="AM25" s="58"/>
      <c r="AN25" s="65">
        <f t="shared" si="66"/>
        <v>0</v>
      </c>
      <c r="AO25" s="58"/>
      <c r="AP25" s="65">
        <f t="shared" si="67"/>
        <v>0</v>
      </c>
      <c r="AQ25" s="58"/>
      <c r="AR25" s="65">
        <f t="shared" si="68"/>
        <v>0</v>
      </c>
      <c r="AS25" s="58"/>
      <c r="AT25" s="65">
        <f t="shared" si="69"/>
        <v>0</v>
      </c>
      <c r="AU25" s="58"/>
      <c r="AV25" s="65">
        <f t="shared" si="70"/>
        <v>0</v>
      </c>
      <c r="AW25" s="58"/>
      <c r="AX25" s="65">
        <f t="shared" si="71"/>
        <v>0</v>
      </c>
      <c r="AY25" s="58"/>
      <c r="AZ25" s="65">
        <f t="shared" si="72"/>
        <v>0</v>
      </c>
      <c r="BA25" s="58"/>
      <c r="BB25" s="65">
        <f t="shared" si="73"/>
        <v>0</v>
      </c>
      <c r="BC25" s="58"/>
      <c r="BD25" s="65">
        <f t="shared" si="74"/>
        <v>0</v>
      </c>
      <c r="BE25" s="59"/>
      <c r="BF25" s="67">
        <f t="shared" si="75"/>
        <v>0</v>
      </c>
      <c r="BG25" s="60"/>
      <c r="BH25" s="65">
        <f t="shared" si="76"/>
        <v>0</v>
      </c>
      <c r="BI25" s="60"/>
      <c r="BJ25" s="65">
        <f t="shared" si="77"/>
        <v>0</v>
      </c>
      <c r="BK25" s="60"/>
      <c r="BL25" s="65">
        <f t="shared" si="78"/>
        <v>0</v>
      </c>
      <c r="BM25" s="60"/>
      <c r="BN25" s="65">
        <f t="shared" si="79"/>
        <v>0</v>
      </c>
      <c r="BO25" s="60"/>
      <c r="BP25" s="65">
        <f t="shared" si="80"/>
        <v>0</v>
      </c>
      <c r="BQ25" s="60"/>
      <c r="BR25" s="65">
        <f t="shared" si="81"/>
        <v>0</v>
      </c>
      <c r="BS25" s="60"/>
      <c r="BT25" s="65">
        <f t="shared" si="82"/>
        <v>0</v>
      </c>
      <c r="BU25" s="60"/>
      <c r="BV25" s="65">
        <f t="shared" si="83"/>
        <v>0</v>
      </c>
      <c r="BW25" s="60"/>
      <c r="BX25" s="65">
        <f t="shared" si="84"/>
        <v>0</v>
      </c>
      <c r="BY25" s="60"/>
      <c r="BZ25" s="67">
        <f t="shared" si="85"/>
        <v>0</v>
      </c>
      <c r="CA25" s="60"/>
      <c r="CB25" s="67">
        <f t="shared" si="86"/>
        <v>0</v>
      </c>
      <c r="CC25" s="60"/>
      <c r="CD25" s="67">
        <f t="shared" si="87"/>
        <v>0</v>
      </c>
      <c r="CE25" s="60"/>
      <c r="CF25" s="67">
        <f t="shared" si="88"/>
        <v>0</v>
      </c>
      <c r="CG25" s="60"/>
      <c r="CH25" s="67">
        <f t="shared" si="89"/>
        <v>0</v>
      </c>
      <c r="CI25" s="60"/>
      <c r="CJ25" s="67">
        <f t="shared" si="90"/>
        <v>0</v>
      </c>
      <c r="CK25" s="60"/>
      <c r="CL25" s="64">
        <f t="shared" si="91"/>
        <v>0</v>
      </c>
      <c r="CM25" s="65">
        <f t="shared" si="92"/>
        <v>0</v>
      </c>
      <c r="CN25" s="62"/>
      <c r="CO25" s="62"/>
      <c r="CP25" s="68"/>
      <c r="CQ25" s="67">
        <f t="shared" si="93"/>
        <v>0</v>
      </c>
      <c r="CR25" s="68"/>
      <c r="CS25" s="67">
        <f t="shared" si="94"/>
        <v>0</v>
      </c>
      <c r="CT25" s="75"/>
      <c r="CU25" s="67">
        <f t="shared" si="95"/>
        <v>0</v>
      </c>
      <c r="CV25" s="68"/>
      <c r="CW25" s="67">
        <f t="shared" si="96"/>
        <v>0</v>
      </c>
      <c r="CX25" s="58"/>
      <c r="CY25" s="67">
        <f t="shared" si="97"/>
        <v>0</v>
      </c>
    </row>
    <row r="26" spans="1:103" ht="25.5" customHeight="1" thickBot="1" x14ac:dyDescent="0.45">
      <c r="A26" s="63">
        <v>44857</v>
      </c>
      <c r="B26" s="44"/>
      <c r="C26" s="58"/>
      <c r="D26" s="64">
        <f t="shared" si="49"/>
        <v>0</v>
      </c>
      <c r="E26" s="58"/>
      <c r="F26" s="64">
        <f t="shared" si="50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98"/>
        <v>0</v>
      </c>
      <c r="U26" s="58"/>
      <c r="V26" s="67">
        <f t="shared" si="57"/>
        <v>0</v>
      </c>
      <c r="W26" s="58"/>
      <c r="X26" s="65">
        <f t="shared" si="58"/>
        <v>0</v>
      </c>
      <c r="Y26" s="58"/>
      <c r="Z26" s="65">
        <f t="shared" si="59"/>
        <v>0</v>
      </c>
      <c r="AA26" s="58"/>
      <c r="AB26" s="65">
        <f t="shared" si="60"/>
        <v>0</v>
      </c>
      <c r="AC26" s="58"/>
      <c r="AD26" s="65">
        <f t="shared" si="61"/>
        <v>0</v>
      </c>
      <c r="AE26" s="58"/>
      <c r="AF26" s="65">
        <f t="shared" si="62"/>
        <v>0</v>
      </c>
      <c r="AG26" s="58"/>
      <c r="AH26" s="67">
        <f t="shared" si="63"/>
        <v>0</v>
      </c>
      <c r="AI26" s="58"/>
      <c r="AJ26" s="65">
        <f t="shared" si="64"/>
        <v>0</v>
      </c>
      <c r="AK26" s="58"/>
      <c r="AL26" s="65">
        <f t="shared" si="65"/>
        <v>0</v>
      </c>
      <c r="AM26" s="58"/>
      <c r="AN26" s="65">
        <f t="shared" si="66"/>
        <v>0</v>
      </c>
      <c r="AO26" s="58"/>
      <c r="AP26" s="65">
        <f t="shared" si="67"/>
        <v>0</v>
      </c>
      <c r="AQ26" s="58"/>
      <c r="AR26" s="65">
        <f t="shared" si="68"/>
        <v>0</v>
      </c>
      <c r="AS26" s="58"/>
      <c r="AT26" s="65">
        <f t="shared" si="69"/>
        <v>0</v>
      </c>
      <c r="AU26" s="58"/>
      <c r="AV26" s="65">
        <f t="shared" si="70"/>
        <v>0</v>
      </c>
      <c r="AW26" s="58"/>
      <c r="AX26" s="65">
        <f t="shared" si="71"/>
        <v>0</v>
      </c>
      <c r="AY26" s="58"/>
      <c r="AZ26" s="65">
        <f t="shared" si="72"/>
        <v>0</v>
      </c>
      <c r="BA26" s="58"/>
      <c r="BB26" s="65">
        <f t="shared" si="73"/>
        <v>0</v>
      </c>
      <c r="BC26" s="58"/>
      <c r="BD26" s="65">
        <f t="shared" si="74"/>
        <v>0</v>
      </c>
      <c r="BE26" s="59"/>
      <c r="BF26" s="67">
        <f t="shared" si="75"/>
        <v>0</v>
      </c>
      <c r="BG26" s="60"/>
      <c r="BH26" s="65">
        <f t="shared" si="76"/>
        <v>0</v>
      </c>
      <c r="BI26" s="60"/>
      <c r="BJ26" s="65">
        <f t="shared" si="77"/>
        <v>0</v>
      </c>
      <c r="BK26" s="60"/>
      <c r="BL26" s="65">
        <f t="shared" si="78"/>
        <v>0</v>
      </c>
      <c r="BM26" s="60"/>
      <c r="BN26" s="65">
        <f t="shared" si="79"/>
        <v>0</v>
      </c>
      <c r="BO26" s="60"/>
      <c r="BP26" s="65">
        <f t="shared" si="80"/>
        <v>0</v>
      </c>
      <c r="BQ26" s="60"/>
      <c r="BR26" s="65">
        <f t="shared" si="81"/>
        <v>0</v>
      </c>
      <c r="BS26" s="60"/>
      <c r="BT26" s="65">
        <f t="shared" si="82"/>
        <v>0</v>
      </c>
      <c r="BU26" s="60"/>
      <c r="BV26" s="65">
        <f t="shared" si="83"/>
        <v>0</v>
      </c>
      <c r="BW26" s="60"/>
      <c r="BX26" s="65">
        <f t="shared" si="84"/>
        <v>0</v>
      </c>
      <c r="BY26" s="60"/>
      <c r="BZ26" s="67">
        <f t="shared" si="85"/>
        <v>0</v>
      </c>
      <c r="CA26" s="60"/>
      <c r="CB26" s="67">
        <f t="shared" si="86"/>
        <v>0</v>
      </c>
      <c r="CC26" s="60"/>
      <c r="CD26" s="67">
        <f t="shared" si="87"/>
        <v>0</v>
      </c>
      <c r="CE26" s="60"/>
      <c r="CF26" s="67">
        <f t="shared" si="88"/>
        <v>0</v>
      </c>
      <c r="CG26" s="60"/>
      <c r="CH26" s="67">
        <f t="shared" si="89"/>
        <v>0</v>
      </c>
      <c r="CI26" s="60"/>
      <c r="CJ26" s="67">
        <f t="shared" si="90"/>
        <v>0</v>
      </c>
      <c r="CK26" s="60"/>
      <c r="CL26" s="64">
        <f t="shared" si="91"/>
        <v>0</v>
      </c>
      <c r="CM26" s="65">
        <f t="shared" si="92"/>
        <v>0</v>
      </c>
      <c r="CN26" s="62"/>
      <c r="CO26" s="62"/>
      <c r="CP26" s="68"/>
      <c r="CQ26" s="67">
        <f t="shared" si="93"/>
        <v>0</v>
      </c>
      <c r="CR26" s="68"/>
      <c r="CS26" s="67">
        <f t="shared" si="94"/>
        <v>0</v>
      </c>
      <c r="CT26" s="75"/>
      <c r="CU26" s="67">
        <f t="shared" si="95"/>
        <v>0</v>
      </c>
      <c r="CV26" s="68"/>
      <c r="CW26" s="67">
        <f t="shared" si="96"/>
        <v>0</v>
      </c>
      <c r="CX26" s="58"/>
      <c r="CY26" s="67">
        <f t="shared" si="97"/>
        <v>0</v>
      </c>
    </row>
    <row r="27" spans="1:103" ht="25.5" customHeight="1" thickBot="1" x14ac:dyDescent="0.45">
      <c r="A27" s="63">
        <v>44858</v>
      </c>
      <c r="B27" s="44"/>
      <c r="C27" s="58"/>
      <c r="D27" s="64">
        <f t="shared" si="49"/>
        <v>0</v>
      </c>
      <c r="E27" s="58"/>
      <c r="F27" s="64">
        <f t="shared" si="50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98"/>
        <v>0</v>
      </c>
      <c r="U27" s="58"/>
      <c r="V27" s="67">
        <f t="shared" si="57"/>
        <v>0</v>
      </c>
      <c r="W27" s="58"/>
      <c r="X27" s="65">
        <f t="shared" si="58"/>
        <v>0</v>
      </c>
      <c r="Y27" s="58"/>
      <c r="Z27" s="65">
        <f t="shared" si="59"/>
        <v>0</v>
      </c>
      <c r="AA27" s="58"/>
      <c r="AB27" s="65">
        <f t="shared" si="60"/>
        <v>0</v>
      </c>
      <c r="AC27" s="58"/>
      <c r="AD27" s="65">
        <f t="shared" si="61"/>
        <v>0</v>
      </c>
      <c r="AE27" s="58"/>
      <c r="AF27" s="65">
        <f t="shared" si="62"/>
        <v>0</v>
      </c>
      <c r="AG27" s="58"/>
      <c r="AH27" s="67">
        <f t="shared" si="63"/>
        <v>0</v>
      </c>
      <c r="AI27" s="58"/>
      <c r="AJ27" s="65">
        <f t="shared" si="64"/>
        <v>0</v>
      </c>
      <c r="AK27" s="58"/>
      <c r="AL27" s="65">
        <f t="shared" si="65"/>
        <v>0</v>
      </c>
      <c r="AM27" s="58"/>
      <c r="AN27" s="65">
        <f t="shared" si="66"/>
        <v>0</v>
      </c>
      <c r="AO27" s="58"/>
      <c r="AP27" s="65">
        <f t="shared" si="67"/>
        <v>0</v>
      </c>
      <c r="AQ27" s="58"/>
      <c r="AR27" s="65">
        <f t="shared" si="68"/>
        <v>0</v>
      </c>
      <c r="AS27" s="58"/>
      <c r="AT27" s="65">
        <f t="shared" si="69"/>
        <v>0</v>
      </c>
      <c r="AU27" s="58"/>
      <c r="AV27" s="65">
        <f t="shared" si="70"/>
        <v>0</v>
      </c>
      <c r="AW27" s="58"/>
      <c r="AX27" s="65">
        <f t="shared" si="71"/>
        <v>0</v>
      </c>
      <c r="AY27" s="58"/>
      <c r="AZ27" s="65">
        <f t="shared" si="72"/>
        <v>0</v>
      </c>
      <c r="BA27" s="58"/>
      <c r="BB27" s="65">
        <f t="shared" si="73"/>
        <v>0</v>
      </c>
      <c r="BC27" s="58"/>
      <c r="BD27" s="65">
        <f t="shared" si="74"/>
        <v>0</v>
      </c>
      <c r="BE27" s="59"/>
      <c r="BF27" s="67">
        <f t="shared" si="75"/>
        <v>0</v>
      </c>
      <c r="BG27" s="60"/>
      <c r="BH27" s="65">
        <f t="shared" si="76"/>
        <v>0</v>
      </c>
      <c r="BI27" s="60"/>
      <c r="BJ27" s="65">
        <f t="shared" si="77"/>
        <v>0</v>
      </c>
      <c r="BK27" s="60"/>
      <c r="BL27" s="65">
        <f t="shared" si="78"/>
        <v>0</v>
      </c>
      <c r="BM27" s="60"/>
      <c r="BN27" s="65">
        <f t="shared" si="79"/>
        <v>0</v>
      </c>
      <c r="BO27" s="60"/>
      <c r="BP27" s="65">
        <f t="shared" si="80"/>
        <v>0</v>
      </c>
      <c r="BQ27" s="60"/>
      <c r="BR27" s="65">
        <f t="shared" si="81"/>
        <v>0</v>
      </c>
      <c r="BS27" s="60"/>
      <c r="BT27" s="65">
        <f t="shared" si="82"/>
        <v>0</v>
      </c>
      <c r="BU27" s="60"/>
      <c r="BV27" s="65">
        <f t="shared" si="83"/>
        <v>0</v>
      </c>
      <c r="BW27" s="60"/>
      <c r="BX27" s="65">
        <f t="shared" si="84"/>
        <v>0</v>
      </c>
      <c r="BY27" s="60"/>
      <c r="BZ27" s="67">
        <f t="shared" si="85"/>
        <v>0</v>
      </c>
      <c r="CA27" s="60"/>
      <c r="CB27" s="67">
        <f t="shared" si="86"/>
        <v>0</v>
      </c>
      <c r="CC27" s="60"/>
      <c r="CD27" s="67">
        <f t="shared" si="87"/>
        <v>0</v>
      </c>
      <c r="CE27" s="60"/>
      <c r="CF27" s="67">
        <f t="shared" si="88"/>
        <v>0</v>
      </c>
      <c r="CG27" s="60"/>
      <c r="CH27" s="67">
        <f t="shared" si="89"/>
        <v>0</v>
      </c>
      <c r="CI27" s="60"/>
      <c r="CJ27" s="67">
        <f t="shared" si="90"/>
        <v>0</v>
      </c>
      <c r="CK27" s="60"/>
      <c r="CL27" s="64">
        <f t="shared" si="91"/>
        <v>0</v>
      </c>
      <c r="CM27" s="65">
        <f t="shared" si="92"/>
        <v>0</v>
      </c>
      <c r="CN27" s="62"/>
      <c r="CO27" s="62"/>
      <c r="CP27" s="68"/>
      <c r="CQ27" s="67">
        <f t="shared" si="93"/>
        <v>0</v>
      </c>
      <c r="CR27" s="68"/>
      <c r="CS27" s="67">
        <f t="shared" si="94"/>
        <v>0</v>
      </c>
      <c r="CT27" s="75"/>
      <c r="CU27" s="67">
        <f t="shared" si="95"/>
        <v>0</v>
      </c>
      <c r="CV27" s="68"/>
      <c r="CW27" s="67">
        <f t="shared" si="96"/>
        <v>0</v>
      </c>
      <c r="CX27" s="58"/>
      <c r="CY27" s="67">
        <f t="shared" si="97"/>
        <v>0</v>
      </c>
    </row>
    <row r="28" spans="1:103" ht="25.5" customHeight="1" thickBot="1" x14ac:dyDescent="0.45">
      <c r="A28" s="63">
        <v>44859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98"/>
        <v>0</v>
      </c>
      <c r="U28" s="58"/>
      <c r="V28" s="67">
        <f t="shared" si="57"/>
        <v>0</v>
      </c>
      <c r="W28" s="58"/>
      <c r="X28" s="65">
        <f t="shared" si="58"/>
        <v>0</v>
      </c>
      <c r="Y28" s="58"/>
      <c r="Z28" s="65">
        <f t="shared" si="59"/>
        <v>0</v>
      </c>
      <c r="AA28" s="58"/>
      <c r="AB28" s="65">
        <f t="shared" si="60"/>
        <v>0</v>
      </c>
      <c r="AC28" s="58"/>
      <c r="AD28" s="65">
        <f t="shared" si="61"/>
        <v>0</v>
      </c>
      <c r="AE28" s="58"/>
      <c r="AF28" s="65">
        <f t="shared" si="62"/>
        <v>0</v>
      </c>
      <c r="AG28" s="58"/>
      <c r="AH28" s="67">
        <f t="shared" si="63"/>
        <v>0</v>
      </c>
      <c r="AI28" s="58"/>
      <c r="AJ28" s="65">
        <f t="shared" si="64"/>
        <v>0</v>
      </c>
      <c r="AK28" s="58"/>
      <c r="AL28" s="65">
        <f t="shared" si="65"/>
        <v>0</v>
      </c>
      <c r="AM28" s="58"/>
      <c r="AN28" s="65">
        <f t="shared" si="66"/>
        <v>0</v>
      </c>
      <c r="AO28" s="58"/>
      <c r="AP28" s="65">
        <f t="shared" si="67"/>
        <v>0</v>
      </c>
      <c r="AQ28" s="58"/>
      <c r="AR28" s="65">
        <f t="shared" si="68"/>
        <v>0</v>
      </c>
      <c r="AS28" s="58"/>
      <c r="AT28" s="65">
        <f t="shared" si="69"/>
        <v>0</v>
      </c>
      <c r="AU28" s="58"/>
      <c r="AV28" s="65">
        <f t="shared" si="70"/>
        <v>0</v>
      </c>
      <c r="AW28" s="58"/>
      <c r="AX28" s="65">
        <f t="shared" si="71"/>
        <v>0</v>
      </c>
      <c r="AY28" s="58"/>
      <c r="AZ28" s="65">
        <f t="shared" si="72"/>
        <v>0</v>
      </c>
      <c r="BA28" s="58"/>
      <c r="BB28" s="65">
        <f t="shared" si="73"/>
        <v>0</v>
      </c>
      <c r="BC28" s="58"/>
      <c r="BD28" s="65">
        <f t="shared" si="74"/>
        <v>0</v>
      </c>
      <c r="BE28" s="59"/>
      <c r="BF28" s="67">
        <f t="shared" si="75"/>
        <v>0</v>
      </c>
      <c r="BG28" s="60"/>
      <c r="BH28" s="65">
        <f t="shared" si="76"/>
        <v>0</v>
      </c>
      <c r="BI28" s="60"/>
      <c r="BJ28" s="65">
        <f t="shared" si="77"/>
        <v>0</v>
      </c>
      <c r="BK28" s="60"/>
      <c r="BL28" s="65">
        <f t="shared" si="78"/>
        <v>0</v>
      </c>
      <c r="BM28" s="60"/>
      <c r="BN28" s="65">
        <f t="shared" si="79"/>
        <v>0</v>
      </c>
      <c r="BO28" s="60"/>
      <c r="BP28" s="65">
        <f t="shared" si="80"/>
        <v>0</v>
      </c>
      <c r="BQ28" s="60"/>
      <c r="BR28" s="65">
        <f t="shared" si="81"/>
        <v>0</v>
      </c>
      <c r="BS28" s="60"/>
      <c r="BT28" s="65">
        <f t="shared" si="82"/>
        <v>0</v>
      </c>
      <c r="BU28" s="60"/>
      <c r="BV28" s="65">
        <f t="shared" si="83"/>
        <v>0</v>
      </c>
      <c r="BW28" s="60"/>
      <c r="BX28" s="65">
        <f t="shared" si="84"/>
        <v>0</v>
      </c>
      <c r="BY28" s="60"/>
      <c r="BZ28" s="67">
        <f t="shared" si="85"/>
        <v>0</v>
      </c>
      <c r="CA28" s="60"/>
      <c r="CB28" s="67">
        <f t="shared" si="86"/>
        <v>0</v>
      </c>
      <c r="CC28" s="60"/>
      <c r="CD28" s="67">
        <f t="shared" si="87"/>
        <v>0</v>
      </c>
      <c r="CE28" s="60"/>
      <c r="CF28" s="67">
        <f t="shared" si="88"/>
        <v>0</v>
      </c>
      <c r="CG28" s="60"/>
      <c r="CH28" s="67">
        <f t="shared" si="89"/>
        <v>0</v>
      </c>
      <c r="CI28" s="60"/>
      <c r="CJ28" s="67">
        <f t="shared" si="90"/>
        <v>0</v>
      </c>
      <c r="CK28" s="60"/>
      <c r="CL28" s="64">
        <f t="shared" si="91"/>
        <v>0</v>
      </c>
      <c r="CM28" s="65">
        <f t="shared" si="92"/>
        <v>0</v>
      </c>
      <c r="CN28" s="62"/>
      <c r="CO28" s="62"/>
      <c r="CP28" s="68"/>
      <c r="CQ28" s="67">
        <f t="shared" si="93"/>
        <v>0</v>
      </c>
      <c r="CR28" s="68"/>
      <c r="CS28" s="67">
        <f t="shared" si="94"/>
        <v>0</v>
      </c>
      <c r="CT28" s="75"/>
      <c r="CU28" s="67">
        <f t="shared" si="95"/>
        <v>0</v>
      </c>
      <c r="CV28" s="68"/>
      <c r="CW28" s="67">
        <f t="shared" si="96"/>
        <v>0</v>
      </c>
      <c r="CX28" s="58"/>
      <c r="CY28" s="67">
        <f t="shared" si="97"/>
        <v>0</v>
      </c>
    </row>
    <row r="29" spans="1:103" ht="25.5" customHeight="1" thickBot="1" x14ac:dyDescent="0.45">
      <c r="A29" s="63">
        <v>44860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98"/>
        <v>0</v>
      </c>
      <c r="U29" s="58"/>
      <c r="V29" s="67">
        <f t="shared" si="57"/>
        <v>0</v>
      </c>
      <c r="W29" s="58"/>
      <c r="X29" s="65">
        <f t="shared" si="58"/>
        <v>0</v>
      </c>
      <c r="Y29" s="58"/>
      <c r="Z29" s="65">
        <f t="shared" si="59"/>
        <v>0</v>
      </c>
      <c r="AA29" s="58"/>
      <c r="AB29" s="65">
        <f t="shared" si="60"/>
        <v>0</v>
      </c>
      <c r="AC29" s="58"/>
      <c r="AD29" s="65">
        <f t="shared" si="61"/>
        <v>0</v>
      </c>
      <c r="AE29" s="58"/>
      <c r="AF29" s="65">
        <f t="shared" si="62"/>
        <v>0</v>
      </c>
      <c r="AG29" s="58"/>
      <c r="AH29" s="67">
        <f t="shared" si="63"/>
        <v>0</v>
      </c>
      <c r="AI29" s="58"/>
      <c r="AJ29" s="65">
        <f t="shared" si="64"/>
        <v>0</v>
      </c>
      <c r="AK29" s="58"/>
      <c r="AL29" s="65">
        <f t="shared" si="65"/>
        <v>0</v>
      </c>
      <c r="AM29" s="58"/>
      <c r="AN29" s="65">
        <f t="shared" si="66"/>
        <v>0</v>
      </c>
      <c r="AO29" s="58"/>
      <c r="AP29" s="65">
        <f t="shared" si="67"/>
        <v>0</v>
      </c>
      <c r="AQ29" s="58"/>
      <c r="AR29" s="65">
        <f t="shared" si="68"/>
        <v>0</v>
      </c>
      <c r="AS29" s="58"/>
      <c r="AT29" s="65">
        <f t="shared" si="69"/>
        <v>0</v>
      </c>
      <c r="AU29" s="58"/>
      <c r="AV29" s="65">
        <f t="shared" si="70"/>
        <v>0</v>
      </c>
      <c r="AW29" s="58"/>
      <c r="AX29" s="65">
        <f t="shared" si="71"/>
        <v>0</v>
      </c>
      <c r="AY29" s="58"/>
      <c r="AZ29" s="65">
        <f t="shared" si="72"/>
        <v>0</v>
      </c>
      <c r="BA29" s="58"/>
      <c r="BB29" s="65">
        <f t="shared" si="73"/>
        <v>0</v>
      </c>
      <c r="BC29" s="58"/>
      <c r="BD29" s="65">
        <f t="shared" si="74"/>
        <v>0</v>
      </c>
      <c r="BE29" s="59"/>
      <c r="BF29" s="67">
        <f t="shared" si="75"/>
        <v>0</v>
      </c>
      <c r="BG29" s="60"/>
      <c r="BH29" s="65">
        <f t="shared" si="76"/>
        <v>0</v>
      </c>
      <c r="BI29" s="60"/>
      <c r="BJ29" s="65">
        <f t="shared" si="77"/>
        <v>0</v>
      </c>
      <c r="BK29" s="60"/>
      <c r="BL29" s="65">
        <f t="shared" si="78"/>
        <v>0</v>
      </c>
      <c r="BM29" s="60"/>
      <c r="BN29" s="65">
        <f t="shared" si="79"/>
        <v>0</v>
      </c>
      <c r="BO29" s="60"/>
      <c r="BP29" s="65">
        <f t="shared" si="80"/>
        <v>0</v>
      </c>
      <c r="BQ29" s="60"/>
      <c r="BR29" s="65">
        <f t="shared" si="81"/>
        <v>0</v>
      </c>
      <c r="BS29" s="60"/>
      <c r="BT29" s="65">
        <f t="shared" si="82"/>
        <v>0</v>
      </c>
      <c r="BU29" s="60"/>
      <c r="BV29" s="65">
        <f t="shared" si="83"/>
        <v>0</v>
      </c>
      <c r="BW29" s="60"/>
      <c r="BX29" s="65">
        <f t="shared" si="84"/>
        <v>0</v>
      </c>
      <c r="BY29" s="60"/>
      <c r="BZ29" s="67">
        <f t="shared" si="85"/>
        <v>0</v>
      </c>
      <c r="CA29" s="60"/>
      <c r="CB29" s="67">
        <f t="shared" si="86"/>
        <v>0</v>
      </c>
      <c r="CC29" s="60"/>
      <c r="CD29" s="67">
        <f t="shared" si="87"/>
        <v>0</v>
      </c>
      <c r="CE29" s="60"/>
      <c r="CF29" s="67">
        <f t="shared" si="88"/>
        <v>0</v>
      </c>
      <c r="CG29" s="60"/>
      <c r="CH29" s="67">
        <f t="shared" si="89"/>
        <v>0</v>
      </c>
      <c r="CI29" s="60"/>
      <c r="CJ29" s="67">
        <f t="shared" si="90"/>
        <v>0</v>
      </c>
      <c r="CK29" s="60"/>
      <c r="CL29" s="64">
        <f t="shared" si="91"/>
        <v>0</v>
      </c>
      <c r="CM29" s="65">
        <f t="shared" si="92"/>
        <v>0</v>
      </c>
      <c r="CN29" s="62"/>
      <c r="CO29" s="62"/>
      <c r="CP29" s="68"/>
      <c r="CQ29" s="67">
        <f t="shared" si="93"/>
        <v>0</v>
      </c>
      <c r="CR29" s="68"/>
      <c r="CS29" s="67">
        <f t="shared" si="94"/>
        <v>0</v>
      </c>
      <c r="CT29" s="75"/>
      <c r="CU29" s="67">
        <f t="shared" si="95"/>
        <v>0</v>
      </c>
      <c r="CV29" s="68"/>
      <c r="CW29" s="67">
        <f t="shared" si="96"/>
        <v>0</v>
      </c>
      <c r="CX29" s="58"/>
      <c r="CY29" s="67">
        <f t="shared" si="97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98"/>
        <v>0</v>
      </c>
      <c r="U30" s="58"/>
      <c r="V30" s="67">
        <f t="shared" si="57"/>
        <v>0</v>
      </c>
      <c r="W30" s="58"/>
      <c r="X30" s="65">
        <f t="shared" si="58"/>
        <v>0</v>
      </c>
      <c r="Y30" s="58"/>
      <c r="Z30" s="65">
        <f t="shared" si="59"/>
        <v>0</v>
      </c>
      <c r="AA30" s="58"/>
      <c r="AB30" s="65">
        <f t="shared" si="60"/>
        <v>0</v>
      </c>
      <c r="AC30" s="58"/>
      <c r="AD30" s="65">
        <f t="shared" si="61"/>
        <v>0</v>
      </c>
      <c r="AE30" s="58"/>
      <c r="AF30" s="65">
        <f t="shared" si="62"/>
        <v>0</v>
      </c>
      <c r="AG30" s="58"/>
      <c r="AH30" s="67">
        <f t="shared" si="63"/>
        <v>0</v>
      </c>
      <c r="AI30" s="58"/>
      <c r="AJ30" s="65">
        <f t="shared" si="64"/>
        <v>0</v>
      </c>
      <c r="AK30" s="58"/>
      <c r="AL30" s="65">
        <f t="shared" si="65"/>
        <v>0</v>
      </c>
      <c r="AM30" s="58"/>
      <c r="AN30" s="65">
        <f t="shared" si="66"/>
        <v>0</v>
      </c>
      <c r="AO30" s="58"/>
      <c r="AP30" s="65">
        <f t="shared" si="67"/>
        <v>0</v>
      </c>
      <c r="AQ30" s="58"/>
      <c r="AR30" s="65">
        <f t="shared" si="68"/>
        <v>0</v>
      </c>
      <c r="AS30" s="58"/>
      <c r="AT30" s="65">
        <f t="shared" si="69"/>
        <v>0</v>
      </c>
      <c r="AU30" s="58"/>
      <c r="AV30" s="65">
        <f t="shared" si="70"/>
        <v>0</v>
      </c>
      <c r="AW30" s="58"/>
      <c r="AX30" s="65">
        <f t="shared" si="71"/>
        <v>0</v>
      </c>
      <c r="AY30" s="58"/>
      <c r="AZ30" s="65">
        <f t="shared" si="72"/>
        <v>0</v>
      </c>
      <c r="BA30" s="58"/>
      <c r="BB30" s="65">
        <f t="shared" si="73"/>
        <v>0</v>
      </c>
      <c r="BC30" s="58"/>
      <c r="BD30" s="65">
        <f t="shared" si="74"/>
        <v>0</v>
      </c>
      <c r="BE30" s="59"/>
      <c r="BF30" s="67">
        <f t="shared" si="75"/>
        <v>0</v>
      </c>
      <c r="BG30" s="60"/>
      <c r="BH30" s="65">
        <f t="shared" si="76"/>
        <v>0</v>
      </c>
      <c r="BI30" s="60"/>
      <c r="BJ30" s="65">
        <f t="shared" si="77"/>
        <v>0</v>
      </c>
      <c r="BK30" s="60"/>
      <c r="BL30" s="65">
        <f t="shared" si="78"/>
        <v>0</v>
      </c>
      <c r="BM30" s="60"/>
      <c r="BN30" s="65">
        <f t="shared" si="79"/>
        <v>0</v>
      </c>
      <c r="BO30" s="60"/>
      <c r="BP30" s="65">
        <f t="shared" si="80"/>
        <v>0</v>
      </c>
      <c r="BQ30" s="60"/>
      <c r="BR30" s="65">
        <f t="shared" si="81"/>
        <v>0</v>
      </c>
      <c r="BS30" s="60"/>
      <c r="BT30" s="65">
        <f t="shared" si="82"/>
        <v>0</v>
      </c>
      <c r="BU30" s="60"/>
      <c r="BV30" s="65">
        <f t="shared" si="83"/>
        <v>0</v>
      </c>
      <c r="BW30" s="60"/>
      <c r="BX30" s="65">
        <f t="shared" si="84"/>
        <v>0</v>
      </c>
      <c r="BY30" s="60"/>
      <c r="BZ30" s="67">
        <f t="shared" si="85"/>
        <v>0</v>
      </c>
      <c r="CA30" s="60"/>
      <c r="CB30" s="67">
        <f t="shared" si="86"/>
        <v>0</v>
      </c>
      <c r="CC30" s="60"/>
      <c r="CD30" s="67">
        <f t="shared" si="87"/>
        <v>0</v>
      </c>
      <c r="CE30" s="60"/>
      <c r="CF30" s="67">
        <f t="shared" si="88"/>
        <v>0</v>
      </c>
      <c r="CG30" s="60"/>
      <c r="CH30" s="67">
        <f t="shared" si="89"/>
        <v>0</v>
      </c>
      <c r="CI30" s="60"/>
      <c r="CJ30" s="67">
        <f t="shared" si="90"/>
        <v>0</v>
      </c>
      <c r="CK30" s="60"/>
      <c r="CL30" s="64">
        <f t="shared" si="91"/>
        <v>0</v>
      </c>
      <c r="CM30" s="65">
        <f t="shared" si="92"/>
        <v>0</v>
      </c>
      <c r="CN30" s="62"/>
      <c r="CO30" s="62"/>
      <c r="CP30" s="68"/>
      <c r="CQ30" s="67">
        <f t="shared" si="93"/>
        <v>0</v>
      </c>
      <c r="CR30" s="68"/>
      <c r="CS30" s="67">
        <f t="shared" si="94"/>
        <v>0</v>
      </c>
      <c r="CT30" s="75"/>
      <c r="CU30" s="67">
        <f t="shared" si="95"/>
        <v>0</v>
      </c>
      <c r="CV30" s="68"/>
      <c r="CW30" s="67">
        <f t="shared" si="96"/>
        <v>0</v>
      </c>
      <c r="CX30" s="58"/>
      <c r="CY30" s="67">
        <f t="shared" si="97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98"/>
        <v>0</v>
      </c>
      <c r="U31" s="58"/>
      <c r="V31" s="67">
        <f t="shared" si="57"/>
        <v>0</v>
      </c>
      <c r="W31" s="58"/>
      <c r="X31" s="65">
        <f t="shared" si="58"/>
        <v>0</v>
      </c>
      <c r="Y31" s="58"/>
      <c r="Z31" s="65">
        <f t="shared" si="59"/>
        <v>0</v>
      </c>
      <c r="AA31" s="58"/>
      <c r="AB31" s="65">
        <f t="shared" si="60"/>
        <v>0</v>
      </c>
      <c r="AC31" s="58"/>
      <c r="AD31" s="65">
        <f t="shared" si="61"/>
        <v>0</v>
      </c>
      <c r="AE31" s="58"/>
      <c r="AF31" s="65">
        <f t="shared" si="62"/>
        <v>0</v>
      </c>
      <c r="AG31" s="58"/>
      <c r="AH31" s="67">
        <f t="shared" si="63"/>
        <v>0</v>
      </c>
      <c r="AI31" s="58"/>
      <c r="AJ31" s="65">
        <f t="shared" si="64"/>
        <v>0</v>
      </c>
      <c r="AK31" s="58"/>
      <c r="AL31" s="65">
        <f t="shared" si="65"/>
        <v>0</v>
      </c>
      <c r="AM31" s="58"/>
      <c r="AN31" s="65">
        <f t="shared" si="66"/>
        <v>0</v>
      </c>
      <c r="AO31" s="58"/>
      <c r="AP31" s="65">
        <f t="shared" si="67"/>
        <v>0</v>
      </c>
      <c r="AQ31" s="58"/>
      <c r="AR31" s="65">
        <f t="shared" si="68"/>
        <v>0</v>
      </c>
      <c r="AS31" s="58"/>
      <c r="AT31" s="65">
        <f t="shared" si="69"/>
        <v>0</v>
      </c>
      <c r="AU31" s="58"/>
      <c r="AV31" s="65">
        <f t="shared" si="70"/>
        <v>0</v>
      </c>
      <c r="AW31" s="58"/>
      <c r="AX31" s="65">
        <f t="shared" si="71"/>
        <v>0</v>
      </c>
      <c r="AY31" s="58"/>
      <c r="AZ31" s="65">
        <f t="shared" si="72"/>
        <v>0</v>
      </c>
      <c r="BA31" s="58"/>
      <c r="BB31" s="65">
        <f t="shared" si="73"/>
        <v>0</v>
      </c>
      <c r="BC31" s="58"/>
      <c r="BD31" s="65">
        <f t="shared" si="74"/>
        <v>0</v>
      </c>
      <c r="BE31" s="59"/>
      <c r="BF31" s="67">
        <f t="shared" si="75"/>
        <v>0</v>
      </c>
      <c r="BG31" s="60"/>
      <c r="BH31" s="65">
        <f t="shared" si="76"/>
        <v>0</v>
      </c>
      <c r="BI31" s="60"/>
      <c r="BJ31" s="65">
        <f t="shared" si="77"/>
        <v>0</v>
      </c>
      <c r="BK31" s="60"/>
      <c r="BL31" s="65">
        <f t="shared" si="78"/>
        <v>0</v>
      </c>
      <c r="BM31" s="60"/>
      <c r="BN31" s="65">
        <f t="shared" si="79"/>
        <v>0</v>
      </c>
      <c r="BO31" s="60"/>
      <c r="BP31" s="65">
        <f t="shared" si="80"/>
        <v>0</v>
      </c>
      <c r="BQ31" s="60"/>
      <c r="BR31" s="65">
        <f t="shared" si="81"/>
        <v>0</v>
      </c>
      <c r="BS31" s="60"/>
      <c r="BT31" s="65">
        <f t="shared" si="82"/>
        <v>0</v>
      </c>
      <c r="BU31" s="60"/>
      <c r="BV31" s="65">
        <f t="shared" si="83"/>
        <v>0</v>
      </c>
      <c r="BW31" s="60"/>
      <c r="BX31" s="65">
        <f t="shared" si="84"/>
        <v>0</v>
      </c>
      <c r="BY31" s="60"/>
      <c r="BZ31" s="67">
        <f t="shared" si="85"/>
        <v>0</v>
      </c>
      <c r="CA31" s="60"/>
      <c r="CB31" s="67">
        <f t="shared" si="86"/>
        <v>0</v>
      </c>
      <c r="CC31" s="60"/>
      <c r="CD31" s="67">
        <f t="shared" si="87"/>
        <v>0</v>
      </c>
      <c r="CE31" s="60"/>
      <c r="CF31" s="67">
        <f t="shared" si="88"/>
        <v>0</v>
      </c>
      <c r="CG31" s="60"/>
      <c r="CH31" s="67">
        <f t="shared" si="89"/>
        <v>0</v>
      </c>
      <c r="CI31" s="60"/>
      <c r="CJ31" s="67">
        <f t="shared" si="90"/>
        <v>0</v>
      </c>
      <c r="CK31" s="60"/>
      <c r="CL31" s="64">
        <f t="shared" si="91"/>
        <v>0</v>
      </c>
      <c r="CM31" s="65">
        <f t="shared" si="92"/>
        <v>0</v>
      </c>
      <c r="CN31" s="62"/>
      <c r="CO31" s="62"/>
      <c r="CP31" s="68"/>
      <c r="CQ31" s="67">
        <f t="shared" si="93"/>
        <v>0</v>
      </c>
      <c r="CR31" s="68"/>
      <c r="CS31" s="67">
        <f t="shared" si="94"/>
        <v>0</v>
      </c>
      <c r="CT31" s="75"/>
      <c r="CU31" s="67">
        <f t="shared" si="95"/>
        <v>0</v>
      </c>
      <c r="CV31" s="68"/>
      <c r="CW31" s="67">
        <f t="shared" si="96"/>
        <v>0</v>
      </c>
      <c r="CX31" s="58"/>
      <c r="CY31" s="67">
        <f t="shared" si="97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20" sqref="E20:Q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/>
      <c r="C12" s="40"/>
      <c r="D12" s="40"/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/>
      <c r="C13" s="40"/>
      <c r="D13" s="40"/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/>
      <c r="C14" s="40"/>
      <c r="D14" s="40"/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/>
      <c r="C15" s="40"/>
      <c r="D15" s="40"/>
      <c r="E15" s="41">
        <v>0</v>
      </c>
      <c r="F15" s="41">
        <v>6834</v>
      </c>
      <c r="G15" s="41">
        <v>30</v>
      </c>
      <c r="H15" s="41">
        <v>1026</v>
      </c>
      <c r="I15" s="41">
        <v>75</v>
      </c>
      <c r="J15" s="41">
        <v>2212</v>
      </c>
      <c r="K15" s="42">
        <v>82</v>
      </c>
      <c r="L15" s="42">
        <v>65</v>
      </c>
      <c r="M15" s="42">
        <v>1914</v>
      </c>
      <c r="N15" s="39">
        <v>85</v>
      </c>
      <c r="O15" s="39">
        <v>85</v>
      </c>
      <c r="P15" s="39">
        <v>45</v>
      </c>
      <c r="Q15" s="39">
        <v>5477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44843</v>
      </c>
      <c r="B16" s="40"/>
      <c r="C16" s="40"/>
      <c r="D16" s="40"/>
      <c r="E16" s="41">
        <v>0</v>
      </c>
      <c r="F16" s="41">
        <v>6834</v>
      </c>
      <c r="G16" s="41">
        <v>20</v>
      </c>
      <c r="H16" s="41">
        <v>1079</v>
      </c>
      <c r="I16" s="41">
        <v>75</v>
      </c>
      <c r="J16" s="41">
        <v>2212</v>
      </c>
      <c r="K16" s="42">
        <v>82</v>
      </c>
      <c r="L16" s="42">
        <v>65</v>
      </c>
      <c r="M16" s="42">
        <v>1914</v>
      </c>
      <c r="N16" s="39">
        <v>85</v>
      </c>
      <c r="O16" s="39">
        <v>85</v>
      </c>
      <c r="P16" s="39">
        <v>45</v>
      </c>
      <c r="Q16" s="39">
        <v>5479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44844</v>
      </c>
      <c r="B17" s="40"/>
      <c r="C17" s="40"/>
      <c r="D17" s="40"/>
      <c r="E17" s="41">
        <v>0</v>
      </c>
      <c r="F17" s="41">
        <v>6834</v>
      </c>
      <c r="G17" s="41">
        <v>10</v>
      </c>
      <c r="H17" s="41">
        <v>1032</v>
      </c>
      <c r="I17" s="41">
        <v>74</v>
      </c>
      <c r="J17" s="41">
        <v>2212</v>
      </c>
      <c r="K17" s="42">
        <v>82</v>
      </c>
      <c r="L17" s="42">
        <v>65</v>
      </c>
      <c r="M17" s="42">
        <v>1914</v>
      </c>
      <c r="N17" s="39">
        <v>85</v>
      </c>
      <c r="O17" s="39">
        <v>85</v>
      </c>
      <c r="P17" s="39">
        <v>40</v>
      </c>
      <c r="Q17" s="39">
        <v>5486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44845</v>
      </c>
      <c r="B18" s="40"/>
      <c r="C18" s="40"/>
      <c r="D18" s="40"/>
      <c r="E18" s="41">
        <v>0</v>
      </c>
      <c r="F18" s="41">
        <v>6834</v>
      </c>
      <c r="G18" s="41">
        <v>0</v>
      </c>
      <c r="H18" s="41">
        <v>1032</v>
      </c>
      <c r="I18" s="41">
        <v>75</v>
      </c>
      <c r="J18" s="41">
        <v>2212</v>
      </c>
      <c r="K18" s="42">
        <v>82</v>
      </c>
      <c r="L18" s="42">
        <v>65</v>
      </c>
      <c r="M18" s="42">
        <v>1914</v>
      </c>
      <c r="N18" s="39">
        <v>85</v>
      </c>
      <c r="O18" s="39">
        <v>85</v>
      </c>
      <c r="P18" s="39">
        <v>35</v>
      </c>
      <c r="Q18" s="39">
        <v>5484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44846</v>
      </c>
      <c r="B19" s="40"/>
      <c r="C19" s="40"/>
      <c r="D19" s="40"/>
      <c r="E19" s="41">
        <v>0</v>
      </c>
      <c r="F19" s="41">
        <v>6834</v>
      </c>
      <c r="G19" s="41">
        <v>0</v>
      </c>
      <c r="H19" s="41">
        <v>1038</v>
      </c>
      <c r="I19" s="41">
        <v>60</v>
      </c>
      <c r="J19" s="41">
        <v>2212</v>
      </c>
      <c r="K19" s="42">
        <v>82</v>
      </c>
      <c r="L19" s="42">
        <v>60</v>
      </c>
      <c r="M19" s="42">
        <v>1914</v>
      </c>
      <c r="N19" s="39">
        <v>85</v>
      </c>
      <c r="O19" s="39">
        <v>85</v>
      </c>
      <c r="P19" s="39">
        <v>30</v>
      </c>
      <c r="Q19" s="39">
        <v>5487</v>
      </c>
      <c r="R19" s="77">
        <v>60</v>
      </c>
      <c r="S19" s="77">
        <v>233</v>
      </c>
      <c r="T19">
        <f t="shared" si="1"/>
        <v>1</v>
      </c>
    </row>
    <row r="20" spans="1:20" x14ac:dyDescent="0.25">
      <c r="A20" s="73">
        <v>44847</v>
      </c>
      <c r="B20" s="40"/>
      <c r="C20" s="40"/>
      <c r="D20" s="40"/>
      <c r="E20" s="41">
        <v>0</v>
      </c>
      <c r="F20" s="41">
        <v>6834</v>
      </c>
      <c r="G20" s="41">
        <v>0</v>
      </c>
      <c r="H20" s="41">
        <v>1040</v>
      </c>
      <c r="I20" s="41">
        <v>50</v>
      </c>
      <c r="J20" s="41">
        <v>2212</v>
      </c>
      <c r="K20" s="42">
        <v>82</v>
      </c>
      <c r="L20" s="42">
        <v>60</v>
      </c>
      <c r="M20" s="42">
        <v>1914</v>
      </c>
      <c r="N20" s="39">
        <v>85</v>
      </c>
      <c r="O20" s="39">
        <v>85</v>
      </c>
      <c r="P20" s="39">
        <v>30</v>
      </c>
      <c r="Q20" s="39">
        <v>5490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44848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-233</v>
      </c>
    </row>
    <row r="22" spans="1:20" x14ac:dyDescent="0.25">
      <c r="A22" s="73">
        <v>44849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44850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44851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44852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44853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44854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44855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44856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44857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44858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2022-10-14T17:15:04Z</dcterms:modified>
</cp:coreProperties>
</file>