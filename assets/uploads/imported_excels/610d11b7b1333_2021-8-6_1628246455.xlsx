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BB7CDD0E-E7DC-460C-82B7-C73FD7802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externalReferences>
    <externalReference r:id="rId5"/>
  </externalReference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G31" i="4"/>
  <c r="J31" i="4"/>
  <c r="N31" i="4"/>
  <c r="O31" i="4"/>
  <c r="C34" i="2"/>
  <c r="L31" i="4" s="1"/>
  <c r="M35" i="1"/>
  <c r="N35" i="1" s="1"/>
  <c r="O35" i="1" s="1"/>
  <c r="I31" i="4" s="1"/>
  <c r="K35" i="1"/>
  <c r="H35" i="1"/>
  <c r="J35" i="1" s="1"/>
  <c r="L35" i="1"/>
  <c r="E31" i="4" l="1"/>
  <c r="C35" i="2"/>
  <c r="G41" i="2" l="1"/>
  <c r="C24" i="2" l="1"/>
  <c r="C22" i="2"/>
  <c r="C21" i="2"/>
  <c r="C27" i="2"/>
  <c r="C11" i="2"/>
  <c r="C5" i="2"/>
  <c r="C6" i="2"/>
  <c r="C32" i="2"/>
  <c r="C29" i="2"/>
  <c r="C16" i="2"/>
  <c r="C13" i="2"/>
  <c r="C7" i="2"/>
  <c r="C28" i="2"/>
  <c r="C25" i="2"/>
  <c r="C12" i="2"/>
  <c r="C9" i="2"/>
  <c r="C33" i="2"/>
  <c r="C23" i="2"/>
  <c r="C20" i="2"/>
  <c r="C18" i="2"/>
  <c r="C17" i="2"/>
  <c r="C19" i="2"/>
  <c r="C14" i="2"/>
  <c r="C30" i="2"/>
  <c r="C31" i="2"/>
  <c r="C26" i="2"/>
  <c r="C15" i="2"/>
  <c r="C10" i="2"/>
  <c r="C8" i="2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2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L36" i="1" l="1"/>
  <c r="K36" i="1"/>
  <c r="H36" i="1"/>
  <c r="J36" i="1" s="1"/>
  <c r="M36" i="1" l="1"/>
  <c r="N36" i="1" s="1"/>
  <c r="O36" i="1" s="1"/>
  <c r="E32" i="4" l="1"/>
  <c r="F32" i="4"/>
  <c r="G32" i="4"/>
  <c r="I32" i="4"/>
  <c r="J32" i="4"/>
  <c r="L32" i="4"/>
  <c r="D37" i="3" l="1"/>
  <c r="C37" i="3"/>
  <c r="G37" i="1" l="1"/>
  <c r="F30" i="4" l="1"/>
  <c r="G30" i="4"/>
  <c r="J30" i="4"/>
  <c r="K34" i="1"/>
  <c r="L34" i="1"/>
  <c r="H34" i="1"/>
  <c r="E30" i="4" s="1"/>
  <c r="L30" i="4"/>
  <c r="M34" i="1" l="1"/>
  <c r="N34" i="1" s="1"/>
  <c r="J34" i="1"/>
  <c r="O34" i="1"/>
  <c r="I30" i="4" s="1"/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s="1"/>
  <c r="O37" i="1" l="1"/>
  <c r="I2" i="4"/>
  <c r="G47" i="2"/>
</calcChain>
</file>

<file path=xl/sharedStrings.xml><?xml version="1.0" encoding="utf-8"?>
<sst xmlns="http://schemas.openxmlformats.org/spreadsheetml/2006/main" count="140" uniqueCount="66">
  <si>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</si>
  <si>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</si>
  <si>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</si>
  <si>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</si>
  <si>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</si>
  <si>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</si>
  <si>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</si>
  <si>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</si>
  <si>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</si>
  <si>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</si>
  <si>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</si>
  <si>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</si>
  <si>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</si>
  <si>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</si>
  <si>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</si>
  <si>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</si>
  <si>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</si>
  <si>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</si>
  <si>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</si>
  <si>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</si>
  <si>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</si>
  <si>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</si>
  <si>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</si>
  <si>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</si>
  <si>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</si>
  <si>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</si>
  <si>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</si>
  <si>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</si>
  <si>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</si>
  <si>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</si>
  <si>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</si>
  <si>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</si>
  <si>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</si>
  <si>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</si>
  <si>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</si>
  <si>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</si>
  <si>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</si>
  <si>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</si>
  <si>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</si>
  <si>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</si>
  <si>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</si>
  <si>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</si>
  <si>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</si>
  <si>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</si>
  <si>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</si>
  <si>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</si>
  <si>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</si>
  <si>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</si>
  <si>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</si>
  <si>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</si>
  <si>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</si>
  <si>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</si>
  <si>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</si>
  <si>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</si>
  <si>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</si>
  <si>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</si>
  <si>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</si>
  <si>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</si>
  <si>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</si>
  <si>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</si>
  <si>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</si>
  <si>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</si>
  <si>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</si>
  <si>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</si>
  <si>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$/m3</t>
  </si>
  <si>
    <t>Water Utility Supply (m3)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</si>
</sst>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1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4" borderId="7" applyNumberFormat="0" applyAlignment="0" applyProtection="0"/>
    <xf numFmtId="0" fontId="9" fillId="0" borderId="0"/>
  </cellStyleXfs>
  <cellXfs count="20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21" fillId="2" borderId="14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1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5" fillId="2" borderId="20" xfId="2" applyFill="1" applyBorder="1" applyAlignment="1">
      <alignment vertical="center"/>
    </xf>
    <xf numFmtId="0" fontId="6" fillId="2" borderId="20" xfId="2" applyFont="1" applyFill="1" applyBorder="1" applyAlignment="1">
      <alignment horizontal="left" vertical="center"/>
    </xf>
    <xf numFmtId="0" fontId="5" fillId="2" borderId="21" xfId="2" applyFill="1" applyBorder="1" applyAlignment="1">
      <alignment vertical="center"/>
    </xf>
    <xf numFmtId="0" fontId="6" fillId="2" borderId="20" xfId="2" applyFont="1" applyFill="1" applyBorder="1" applyAlignment="1">
      <alignment horizontal="center" vertical="center"/>
    </xf>
    <xf numFmtId="0" fontId="5" fillId="2" borderId="20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6" fillId="2" borderId="0" xfId="0" applyFont="1" applyFill="1"/>
    <xf numFmtId="0" fontId="26" fillId="0" borderId="0" xfId="0" applyFont="1"/>
    <xf numFmtId="0" fontId="22" fillId="3" borderId="5" xfId="0" applyFont="1" applyFill="1" applyBorder="1" applyAlignment="1">
      <alignment horizontal="center" vertical="center"/>
    </xf>
    <xf numFmtId="0" fontId="22" fillId="3" borderId="5" xfId="0" quotePrefix="1" applyFont="1" applyFill="1" applyBorder="1" applyAlignment="1">
      <alignment horizontal="center" vertical="center"/>
    </xf>
    <xf numFmtId="0" fontId="9" fillId="0" borderId="0" xfId="10"/>
    <xf numFmtId="1" fontId="9" fillId="0" borderId="0" xfId="10" applyNumberFormat="1" applyAlignment="1">
      <alignment horizontal="center"/>
    </xf>
    <xf numFmtId="0" fontId="9" fillId="0" borderId="0" xfId="10" applyAlignment="1">
      <alignment horizontal="center"/>
    </xf>
    <xf numFmtId="1" fontId="27" fillId="0" borderId="0" xfId="10" applyNumberFormat="1" applyFont="1" applyAlignment="1">
      <alignment horizontal="center"/>
    </xf>
    <xf numFmtId="0" fontId="27" fillId="0" borderId="0" xfId="10" applyFont="1" applyAlignment="1">
      <alignment horizontal="center"/>
    </xf>
    <xf numFmtId="2" fontId="9" fillId="0" borderId="0" xfId="10" applyNumberFormat="1" applyAlignment="1">
      <alignment horizontal="center"/>
    </xf>
    <xf numFmtId="0" fontId="28" fillId="0" borderId="0" xfId="10" applyFont="1" applyAlignment="1">
      <alignment horizontal="center"/>
    </xf>
    <xf numFmtId="2" fontId="9" fillId="0" borderId="0" xfId="10" applyNumberFormat="1"/>
    <xf numFmtId="0" fontId="6" fillId="0" borderId="0" xfId="10" applyFont="1"/>
    <xf numFmtId="0" fontId="6" fillId="0" borderId="0" xfId="10" applyFont="1" applyAlignment="1">
      <alignment wrapText="1"/>
    </xf>
    <xf numFmtId="1" fontId="6" fillId="0" borderId="25" xfId="10" applyNumberFormat="1" applyFont="1" applyBorder="1" applyAlignment="1">
      <alignment horizontal="center" wrapText="1"/>
    </xf>
    <xf numFmtId="0" fontId="6" fillId="0" borderId="25" xfId="10" applyFont="1" applyBorder="1" applyAlignment="1">
      <alignment horizontal="center" wrapText="1"/>
    </xf>
    <xf numFmtId="1" fontId="29" fillId="0" borderId="25" xfId="10" applyNumberFormat="1" applyFont="1" applyBorder="1" applyAlignment="1">
      <alignment horizontal="center"/>
    </xf>
    <xf numFmtId="0" fontId="29" fillId="0" borderId="25" xfId="10" applyFont="1" applyBorder="1" applyAlignment="1">
      <alignment horizontal="center"/>
    </xf>
    <xf numFmtId="0" fontId="6" fillId="0" borderId="25" xfId="10" applyFont="1" applyBorder="1" applyAlignment="1">
      <alignment horizont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7" borderId="28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5" xfId="10" applyNumberFormat="1" applyFont="1" applyBorder="1" applyAlignment="1">
      <alignment horizontal="center" wrapText="1"/>
    </xf>
    <xf numFmtId="170" fontId="9" fillId="0" borderId="0" xfId="10" applyNumberFormat="1" applyAlignment="1">
      <alignment horizontal="center"/>
    </xf>
    <xf numFmtId="1" fontId="30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30" fillId="2" borderId="5" xfId="0" applyNumberFormat="1" applyFont="1" applyFill="1" applyBorder="1" applyAlignment="1">
      <alignment horizontal="center"/>
    </xf>
    <xf numFmtId="1" fontId="30" fillId="2" borderId="5" xfId="0" applyNumberFormat="1" applyFont="1" applyFill="1" applyBorder="1" applyAlignment="1">
      <alignment horizontal="center" vertical="center" wrapText="1"/>
    </xf>
    <xf numFmtId="1" fontId="10" fillId="6" borderId="4" xfId="2" applyNumberFormat="1" applyFont="1" applyFill="1" applyBorder="1" applyAlignment="1">
      <alignment horizontal="center" vertical="center" wrapText="1"/>
    </xf>
    <xf numFmtId="1" fontId="20" fillId="5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31" fillId="4" borderId="7" xfId="9" applyNumberFormat="1" applyFont="1" applyBorder="1" applyAlignment="1">
      <alignment horizontal="center" vertical="center"/>
    </xf>
    <xf numFmtId="1" fontId="20" fillId="5" borderId="30" xfId="2" applyNumberFormat="1" applyFont="1" applyFill="1" applyBorder="1" applyAlignment="1">
      <alignment horizontal="center" vertical="center" wrapText="1"/>
    </xf>
    <xf numFmtId="1" fontId="31" fillId="4" borderId="31" xfId="9" applyNumberFormat="1" applyFon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32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2" fillId="0" borderId="5" xfId="0" applyNumberFormat="1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1" fontId="0" fillId="0" borderId="0" xfId="10" applyNumberFormat="1" applyFont="1" applyBorder="1" applyAlignment="1">
      <alignment horizontal="center"/>
    </xf>
    <xf numFmtId="1" fontId="32" fillId="0" borderId="10" xfId="0" applyNumberFormat="1" applyFont="1" applyBorder="1" applyAlignment="1">
      <alignment horizontal="center" vertical="center"/>
    </xf>
    <xf numFmtId="1" fontId="31" fillId="4" borderId="33" xfId="9" applyNumberFormat="1" applyFont="1" applyBorder="1" applyAlignment="1">
      <alignment horizontal="center" vertical="center"/>
    </xf>
    <xf numFmtId="1" fontId="5" fillId="0" borderId="10" xfId="3" applyNumberForma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5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1" xfId="0" applyNumberFormat="1" applyFont="1" applyFill="1" applyBorder="1" applyAlignment="1">
      <alignment horizontal="right"/>
    </xf>
    <xf numFmtId="1" fontId="0" fillId="3" borderId="11" xfId="0" applyNumberFormat="1" applyFill="1" applyBorder="1" applyAlignment="1">
      <alignment horizontal="center"/>
    </xf>
    <xf numFmtId="1" fontId="24" fillId="3" borderId="11" xfId="0" applyNumberFormat="1" applyFont="1" applyFill="1" applyBorder="1" applyAlignment="1">
      <alignment horizontal="center"/>
    </xf>
    <xf numFmtId="1" fontId="0" fillId="3" borderId="11" xfId="0" applyNumberFormat="1" applyFill="1" applyBorder="1" applyAlignment="1">
      <alignment horizontal="right"/>
    </xf>
    <xf numFmtId="1" fontId="18" fillId="3" borderId="11" xfId="0" applyNumberFormat="1" applyFont="1" applyFill="1" applyBorder="1" applyAlignment="1">
      <alignment horizontal="center"/>
    </xf>
    <xf numFmtId="1" fontId="0" fillId="0" borderId="0" xfId="0" applyNumberFormat="1" applyFont="1"/>
    <xf numFmtId="1" fontId="20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7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3" fillId="3" borderId="17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1" fontId="0" fillId="8" borderId="10" xfId="1" applyNumberFormat="1" applyFont="1" applyFill="1" applyBorder="1" applyAlignment="1">
      <alignment horizontal="center" vertical="center"/>
    </xf>
    <xf numFmtId="1" fontId="1" fillId="8" borderId="10" xfId="1" applyNumberFormat="1" applyFont="1" applyFill="1" applyBorder="1" applyAlignment="1">
      <alignment horizontal="center" vertical="center"/>
    </xf>
    <xf numFmtId="1" fontId="0" fillId="8" borderId="29" xfId="1" applyNumberFormat="1" applyFont="1" applyFill="1" applyBorder="1" applyAlignment="1">
      <alignment horizontal="center" vertical="center"/>
    </xf>
    <xf numFmtId="1" fontId="1" fillId="8" borderId="29" xfId="1" applyNumberFormat="1" applyFont="1" applyFill="1" applyBorder="1" applyAlignment="1">
      <alignment horizontal="center" vertical="center"/>
    </xf>
    <xf numFmtId="1" fontId="5" fillId="8" borderId="10" xfId="3" applyNumberFormat="1" applyFill="1" applyBorder="1" applyAlignment="1">
      <alignment horizontal="center" vertical="center"/>
    </xf>
    <xf numFmtId="1" fontId="5" fillId="8" borderId="29" xfId="3" applyNumberFormat="1" applyFill="1" applyBorder="1" applyAlignment="1">
      <alignment horizontal="center" vertical="center"/>
    </xf>
    <xf numFmtId="41" fontId="6" fillId="2" borderId="0" xfId="1" applyFont="1" applyFill="1" applyAlignment="1">
      <alignment vertical="center"/>
    </xf>
    <xf numFmtId="0" fontId="7" fillId="0" borderId="10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8" fillId="3" borderId="24" xfId="2" applyFont="1" applyFill="1" applyBorder="1" applyAlignment="1">
      <alignment horizontal="center" vertical="center" wrapText="1"/>
    </xf>
    <xf numFmtId="0" fontId="21" fillId="2" borderId="8" xfId="2" applyFont="1" applyFill="1" applyBorder="1" applyAlignment="1">
      <alignment horizontal="center" vertical="center" wrapText="1"/>
    </xf>
    <xf numFmtId="0" fontId="21" fillId="2" borderId="9" xfId="2" applyFont="1" applyFill="1" applyBorder="1" applyAlignment="1">
      <alignment horizontal="center" vertical="center" wrapText="1"/>
    </xf>
    <xf numFmtId="0" fontId="21" fillId="2" borderId="11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/>
    </xf>
    <xf numFmtId="0" fontId="22" fillId="3" borderId="11" xfId="0" quotePrefix="1" applyFont="1" applyFill="1" applyBorder="1" applyAlignment="1">
      <alignment horizontal="center" vertical="center"/>
    </xf>
    <xf numFmtId="0" fontId="22" fillId="3" borderId="9" xfId="0" quotePrefix="1" applyFont="1" applyFill="1" applyBorder="1" applyAlignment="1">
      <alignment horizontal="center" vertical="center"/>
    </xf>
    <xf numFmtId="0" fontId="22" fillId="3" borderId="8" xfId="0" quotePrefix="1" applyFont="1" applyFill="1" applyBorder="1" applyAlignment="1">
      <alignment horizontal="center" vertical="center" wrapText="1"/>
    </xf>
    <xf numFmtId="0" fontId="22" fillId="3" borderId="9" xfId="0" quotePrefix="1" applyFont="1" applyFill="1" applyBorder="1" applyAlignment="1">
      <alignment horizontal="center" vertical="center" wrapText="1"/>
    </xf>
  </cellXfs>
  <cellStyles count="11">
    <cellStyle name="Calculation" xfId="9" builtinId="22"/>
    <cellStyle name="Comma" xfId="7" builtinId="3"/>
    <cellStyle name="Comma [0]" xfId="1" builtinId="6"/>
    <cellStyle name="Comma [0] 2 4" xfId="5" xr:uid="{00000000-0005-0000-0000-000003000000}"/>
    <cellStyle name="Comma [0] 5" xfId="4" xr:uid="{00000000-0005-0000-0000-000004000000}"/>
    <cellStyle name="Normal" xfId="0" builtinId="0"/>
    <cellStyle name="Normal 2" xfId="6" xr:uid="{00000000-0005-0000-0000-000006000000}"/>
    <cellStyle name="Normal 2 4" xfId="3" xr:uid="{00000000-0005-0000-0000-000007000000}"/>
    <cellStyle name="Normal 4" xfId="10" xr:uid="{00000000-0005-0000-0000-000008000000}"/>
    <cellStyle name="Normal 5" xfId="2" xr:uid="{00000000-0005-0000-0000-000009000000}"/>
    <cellStyle name="Percent" xfId="8" builtinId="5"/>
  </cellStyles>
  <dxfs count="15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port\Utilities-Send%20to%20Finance%20&amp;%20JLL\finance\2021\Electric_Water%20Meter\7.%20Jul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"/>
      <sheetName val="Water"/>
      <sheetName val="Gas"/>
    </sheetNames>
    <sheetDataSet>
      <sheetData sheetId="0"/>
      <sheetData sheetId="1">
        <row r="41">
          <cell r="G41">
            <v>3299.4400000000069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F4" sqref="F4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7" t="s">
        <v>62</v>
      </c>
      <c r="I1" s="98" t="s">
        <v>58</v>
      </c>
      <c r="J1" s="97" t="s">
        <v>63</v>
      </c>
      <c r="K1" s="108" t="s">
        <v>47</v>
      </c>
      <c r="L1" s="108" t="s">
        <v>65</v>
      </c>
      <c r="M1" s="108" t="s">
        <v>64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7</v>
      </c>
      <c r="D2" s="90">
        <v>2021</v>
      </c>
      <c r="E2" s="88">
        <f>Electricity!H6</f>
        <v>17984</v>
      </c>
      <c r="F2" s="88">
        <f>+Electricity!F6</f>
        <v>3160</v>
      </c>
      <c r="G2" s="88">
        <f>+Electricity!G6</f>
        <v>14824</v>
      </c>
      <c r="H2" s="126" t="s">
        <v>59</v>
      </c>
      <c r="I2" s="127">
        <f>+Electricity!O6</f>
        <v>20871919.917599998</v>
      </c>
      <c r="J2" s="88">
        <f>Gas!D5</f>
        <v>98.63</v>
      </c>
      <c r="K2" s="88">
        <v>5362</v>
      </c>
      <c r="L2" s="88">
        <f>Water!C5</f>
        <v>236.58000000000393</v>
      </c>
      <c r="M2" s="127">
        <v>12500</v>
      </c>
      <c r="N2" s="88">
        <f>Electricity!C6</f>
        <v>32</v>
      </c>
      <c r="O2" s="88">
        <f>Electricity!D6</f>
        <v>232</v>
      </c>
      <c r="P2" s="94" t="e">
        <f>E2*H2+J2*K2+#REF!*#REF!+L2*M2</f>
        <v>#REF!</v>
      </c>
    </row>
    <row r="3" spans="1:16" x14ac:dyDescent="0.25">
      <c r="A3" s="93" t="s">
        <v>53</v>
      </c>
      <c r="B3" s="90">
        <f t="shared" ref="B3:B29" si="0">B2+1</f>
        <v>2</v>
      </c>
      <c r="C3" s="90">
        <v>7</v>
      </c>
      <c r="D3" s="90">
        <v>2021</v>
      </c>
      <c r="E3" s="88">
        <f>Electricity!H7</f>
        <v>17792</v>
      </c>
      <c r="F3" s="88">
        <f>+Electricity!F7</f>
        <v>3162</v>
      </c>
      <c r="G3" s="88">
        <f>+Electricity!G7</f>
        <v>14630</v>
      </c>
      <c r="H3" s="126" t="s">
        <v>59</v>
      </c>
      <c r="I3" s="127">
        <f>+Electricity!O7</f>
        <v>20668150.918200001</v>
      </c>
      <c r="J3" s="88">
        <f>Gas!D6</f>
        <v>104.4</v>
      </c>
      <c r="K3" s="88">
        <v>5362</v>
      </c>
      <c r="L3" s="88">
        <f>Water!C6</f>
        <v>109.6999999999949</v>
      </c>
      <c r="M3" s="127">
        <v>12500</v>
      </c>
      <c r="N3" s="88">
        <f>Electricity!C7</f>
        <v>42</v>
      </c>
      <c r="O3" s="88">
        <f>Electricity!D7</f>
        <v>231</v>
      </c>
      <c r="P3" s="94" t="e">
        <f>E3*H3+J3*K3+#REF!*#REF!+L3*M3</f>
        <v>#REF!</v>
      </c>
    </row>
    <row r="4" spans="1:16" x14ac:dyDescent="0.25">
      <c r="A4" s="93" t="s">
        <v>53</v>
      </c>
      <c r="B4" s="90">
        <f t="shared" si="0"/>
        <v>3</v>
      </c>
      <c r="C4" s="90">
        <v>7</v>
      </c>
      <c r="D4" s="90">
        <v>2021</v>
      </c>
      <c r="E4" s="88">
        <f>Electricity!H8</f>
        <v>17762</v>
      </c>
      <c r="F4" s="88">
        <f>+Electricity!F8</f>
        <v>3122</v>
      </c>
      <c r="G4" s="88">
        <f>+Electricity!G8</f>
        <v>14640</v>
      </c>
      <c r="H4" s="126" t="s">
        <v>59</v>
      </c>
      <c r="I4" s="127">
        <f>+Electricity!O8</f>
        <v>20614808.248199999</v>
      </c>
      <c r="J4" s="88">
        <f>Gas!D7</f>
        <v>116.23</v>
      </c>
      <c r="K4" s="88">
        <v>5362</v>
      </c>
      <c r="L4" s="88">
        <f>Water!C7</f>
        <v>124.72000000000625</v>
      </c>
      <c r="M4" s="127">
        <v>12500</v>
      </c>
      <c r="N4" s="88">
        <f>Electricity!C8</f>
        <v>48</v>
      </c>
      <c r="O4" s="88">
        <f>Electricity!D8</f>
        <v>235</v>
      </c>
      <c r="P4" s="94" t="e">
        <f>E4*H4+J4*K4+#REF!*#REF!+L4*M4</f>
        <v>#REF!</v>
      </c>
    </row>
    <row r="5" spans="1:16" x14ac:dyDescent="0.25">
      <c r="A5" s="93" t="s">
        <v>53</v>
      </c>
      <c r="B5" s="90">
        <f t="shared" si="0"/>
        <v>4</v>
      </c>
      <c r="C5" s="90">
        <v>7</v>
      </c>
      <c r="D5" s="90">
        <v>2021</v>
      </c>
      <c r="E5" s="88">
        <f>Electricity!H9</f>
        <v>18758</v>
      </c>
      <c r="F5" s="88">
        <f>+Electricity!F9</f>
        <v>3148</v>
      </c>
      <c r="G5" s="88">
        <f>+Electricity!G9</f>
        <v>15610</v>
      </c>
      <c r="H5" s="126" t="s">
        <v>59</v>
      </c>
      <c r="I5" s="127">
        <f>+Electricity!O9</f>
        <v>21691263.3288</v>
      </c>
      <c r="J5" s="88">
        <f>Gas!D8</f>
        <v>117.36</v>
      </c>
      <c r="K5" s="88">
        <v>5362</v>
      </c>
      <c r="L5" s="88">
        <f>Water!C8</f>
        <v>121.11999999999315</v>
      </c>
      <c r="M5" s="127">
        <v>12500</v>
      </c>
      <c r="N5" s="88">
        <f>Electricity!C9</f>
        <v>46</v>
      </c>
      <c r="O5" s="88">
        <f>Electricity!D9</f>
        <v>276</v>
      </c>
      <c r="P5" s="94" t="e">
        <f>E5*H5+J5*K5+#REF!*#REF!+L5*M5</f>
        <v>#REF!</v>
      </c>
    </row>
    <row r="6" spans="1:16" x14ac:dyDescent="0.25">
      <c r="A6" s="93" t="s">
        <v>53</v>
      </c>
      <c r="B6" s="90">
        <f t="shared" si="0"/>
        <v>5</v>
      </c>
      <c r="C6" s="90">
        <v>7</v>
      </c>
      <c r="D6" s="90">
        <v>2021</v>
      </c>
      <c r="E6" s="88">
        <f>Electricity!H10</f>
        <v>17518</v>
      </c>
      <c r="F6" s="88">
        <f>+Electricity!F10</f>
        <v>2938</v>
      </c>
      <c r="G6" s="88">
        <f>+Electricity!G10</f>
        <v>14580</v>
      </c>
      <c r="H6" s="126" t="s">
        <v>59</v>
      </c>
      <c r="I6" s="127">
        <f>+Electricity!O10</f>
        <v>20256345.505799998</v>
      </c>
      <c r="J6" s="88">
        <f>Gas!D9</f>
        <v>85.48</v>
      </c>
      <c r="K6" s="88">
        <v>5362</v>
      </c>
      <c r="L6" s="88">
        <f>Water!C9</f>
        <v>117.82000000000407</v>
      </c>
      <c r="M6" s="127">
        <v>12500</v>
      </c>
      <c r="N6" s="88">
        <f>Electricity!C10</f>
        <v>27</v>
      </c>
      <c r="O6" s="88">
        <f>Electricity!D10</f>
        <v>293</v>
      </c>
      <c r="P6" s="94" t="e">
        <f>E6*H6+J6*K6+#REF!*#REF!+L6*M6</f>
        <v>#REF!</v>
      </c>
    </row>
    <row r="7" spans="1:16" x14ac:dyDescent="0.25">
      <c r="A7" s="93" t="s">
        <v>53</v>
      </c>
      <c r="B7" s="90">
        <f t="shared" si="0"/>
        <v>6</v>
      </c>
      <c r="C7" s="90">
        <v>7</v>
      </c>
      <c r="D7" s="90">
        <v>2021</v>
      </c>
      <c r="E7" s="88">
        <f>Electricity!H11</f>
        <v>18132</v>
      </c>
      <c r="F7" s="88">
        <f>+Electricity!F11</f>
        <v>2902</v>
      </c>
      <c r="G7" s="88">
        <f>+Electricity!G11</f>
        <v>15230</v>
      </c>
      <c r="H7" s="126" t="s">
        <v>59</v>
      </c>
      <c r="I7" s="127">
        <f>+Electricity!O11</f>
        <v>20892190.132200003</v>
      </c>
      <c r="J7" s="88">
        <f>Gas!D10</f>
        <v>97.76</v>
      </c>
      <c r="K7" s="88">
        <v>5362</v>
      </c>
      <c r="L7" s="88">
        <f>Water!C10</f>
        <v>102.80000000000146</v>
      </c>
      <c r="M7" s="127">
        <v>12500</v>
      </c>
      <c r="N7" s="88">
        <f>Electricity!C11</f>
        <v>27</v>
      </c>
      <c r="O7" s="88">
        <f>Electricity!D11</f>
        <v>140</v>
      </c>
      <c r="P7" s="94" t="e">
        <f>E7*H7+J7*K7+#REF!*#REF!+L7*M7</f>
        <v>#REF!</v>
      </c>
    </row>
    <row r="8" spans="1:16" x14ac:dyDescent="0.25">
      <c r="A8" s="93" t="s">
        <v>53</v>
      </c>
      <c r="B8" s="90">
        <f t="shared" si="0"/>
        <v>7</v>
      </c>
      <c r="C8" s="90">
        <v>7</v>
      </c>
      <c r="D8" s="90">
        <v>2021</v>
      </c>
      <c r="E8" s="88">
        <f>Electricity!H12</f>
        <v>16268</v>
      </c>
      <c r="F8" s="88">
        <f>+Electricity!F12</f>
        <v>2670</v>
      </c>
      <c r="G8" s="88">
        <f>+Electricity!G12</f>
        <v>13598</v>
      </c>
      <c r="H8" s="126" t="s">
        <v>59</v>
      </c>
      <c r="I8" s="127">
        <f>+Electricity!O12</f>
        <v>18779820.400199998</v>
      </c>
      <c r="J8" s="88">
        <f>Gas!D11</f>
        <v>49.18</v>
      </c>
      <c r="K8" s="88">
        <v>5362</v>
      </c>
      <c r="L8" s="88">
        <f>Water!C11</f>
        <v>82.679999999995928</v>
      </c>
      <c r="M8" s="127">
        <v>12500</v>
      </c>
      <c r="N8" s="88">
        <f>Electricity!C12</f>
        <v>23</v>
      </c>
      <c r="O8" s="88">
        <f>Electricity!D12</f>
        <v>139</v>
      </c>
      <c r="P8" s="94" t="e">
        <f>E8*H8+J8*K8+#REF!*#REF!+L8*M8</f>
        <v>#REF!</v>
      </c>
    </row>
    <row r="9" spans="1:16" x14ac:dyDescent="0.25">
      <c r="A9" s="93" t="s">
        <v>53</v>
      </c>
      <c r="B9" s="90">
        <f t="shared" si="0"/>
        <v>8</v>
      </c>
      <c r="C9" s="90">
        <v>7</v>
      </c>
      <c r="D9" s="90">
        <v>2021</v>
      </c>
      <c r="E9" s="88">
        <f>Electricity!H13</f>
        <v>15782</v>
      </c>
      <c r="F9" s="88">
        <f>+Electricity!F13</f>
        <v>2712</v>
      </c>
      <c r="G9" s="88">
        <f>+Electricity!G13</f>
        <v>13070</v>
      </c>
      <c r="H9" s="126" t="s">
        <v>59</v>
      </c>
      <c r="I9" s="127">
        <f>+Electricity!O13</f>
        <v>18283733.569200002</v>
      </c>
      <c r="J9" s="88">
        <f>Gas!D12</f>
        <v>61.11</v>
      </c>
      <c r="K9" s="88">
        <v>5362</v>
      </c>
      <c r="L9" s="88">
        <f>Water!C12</f>
        <v>99.560000000003498</v>
      </c>
      <c r="M9" s="127">
        <v>12500</v>
      </c>
      <c r="N9" s="88">
        <f>Electricity!C13</f>
        <v>22</v>
      </c>
      <c r="O9" s="88">
        <f>Electricity!D13</f>
        <v>122</v>
      </c>
      <c r="P9" s="94" t="e">
        <f>E9*H9+J9*K9+#REF!*#REF!+L9*M9</f>
        <v>#REF!</v>
      </c>
    </row>
    <row r="10" spans="1:16" x14ac:dyDescent="0.25">
      <c r="A10" s="93" t="s">
        <v>53</v>
      </c>
      <c r="B10" s="90">
        <f t="shared" si="0"/>
        <v>9</v>
      </c>
      <c r="C10" s="90">
        <v>7</v>
      </c>
      <c r="D10" s="90">
        <v>2021</v>
      </c>
      <c r="E10" s="88">
        <f>Electricity!H14</f>
        <v>16292</v>
      </c>
      <c r="F10" s="88">
        <f>+Electricity!F14</f>
        <v>2842</v>
      </c>
      <c r="G10" s="88">
        <f>+Electricity!G14</f>
        <v>13450</v>
      </c>
      <c r="H10" s="126" t="s">
        <v>59</v>
      </c>
      <c r="I10" s="127">
        <f>+Electricity!O14</f>
        <v>18897174.2742</v>
      </c>
      <c r="J10" s="88">
        <f>Gas!D13</f>
        <v>57.09</v>
      </c>
      <c r="K10" s="88">
        <v>5362</v>
      </c>
      <c r="L10" s="88">
        <f>Water!C13</f>
        <v>80.580000000000297</v>
      </c>
      <c r="M10" s="127">
        <v>12500</v>
      </c>
      <c r="N10" s="88">
        <f>Electricity!C14</f>
        <v>29</v>
      </c>
      <c r="O10" s="88">
        <f>Electricity!D14</f>
        <v>162</v>
      </c>
      <c r="P10" s="94" t="e">
        <f>E10*H10+J10*K10+#REF!*#REF!+L10*M10</f>
        <v>#REF!</v>
      </c>
    </row>
    <row r="11" spans="1:16" x14ac:dyDescent="0.25">
      <c r="A11" s="93" t="s">
        <v>53</v>
      </c>
      <c r="B11" s="90">
        <f t="shared" si="0"/>
        <v>10</v>
      </c>
      <c r="C11" s="90">
        <v>7</v>
      </c>
      <c r="D11" s="90">
        <v>2021</v>
      </c>
      <c r="E11" s="88">
        <f>Electricity!H15</f>
        <v>17038</v>
      </c>
      <c r="F11" s="88">
        <f>+Electricity!F15</f>
        <v>3000</v>
      </c>
      <c r="G11" s="88">
        <f>+Electricity!G15</f>
        <v>14038</v>
      </c>
      <c r="H11" s="126" t="s">
        <v>59</v>
      </c>
      <c r="I11" s="127">
        <f>+Electricity!O15</f>
        <v>19777328.3292</v>
      </c>
      <c r="J11" s="88">
        <f>Gas!D14</f>
        <v>63.06</v>
      </c>
      <c r="K11" s="88">
        <v>5362</v>
      </c>
      <c r="L11" s="88">
        <f>Water!C14</f>
        <v>118.95999999999621</v>
      </c>
      <c r="M11" s="127">
        <v>12500</v>
      </c>
      <c r="N11" s="88">
        <f>Electricity!C15</f>
        <v>38</v>
      </c>
      <c r="O11" s="88">
        <f>Electricity!D15</f>
        <v>187</v>
      </c>
      <c r="P11" s="94" t="e">
        <f>E11*H11+J11*K11+#REF!*#REF!+L11*M11</f>
        <v>#REF!</v>
      </c>
    </row>
    <row r="12" spans="1:16" x14ac:dyDescent="0.25">
      <c r="A12" s="93" t="s">
        <v>53</v>
      </c>
      <c r="B12" s="90">
        <f t="shared" si="0"/>
        <v>11</v>
      </c>
      <c r="C12" s="90">
        <v>7</v>
      </c>
      <c r="D12" s="90">
        <v>2021</v>
      </c>
      <c r="E12" s="88">
        <f>Electricity!H16</f>
        <v>17482</v>
      </c>
      <c r="F12" s="88">
        <f>+Electricity!F16</f>
        <v>2910</v>
      </c>
      <c r="G12" s="88">
        <f>+Electricity!G16</f>
        <v>14572</v>
      </c>
      <c r="H12" s="126" t="s">
        <v>59</v>
      </c>
      <c r="I12" s="127">
        <f>+Electricity!O16</f>
        <v>20203002.8358</v>
      </c>
      <c r="J12" s="88">
        <f>Gas!D15</f>
        <v>80.22</v>
      </c>
      <c r="K12" s="88">
        <v>5362</v>
      </c>
      <c r="L12" s="88">
        <f>Water!C15</f>
        <v>127.5400000000067</v>
      </c>
      <c r="M12" s="127">
        <v>12500</v>
      </c>
      <c r="N12" s="88">
        <f>Electricity!C16</f>
        <v>13</v>
      </c>
      <c r="O12" s="88">
        <f>Electricity!D16</f>
        <v>150</v>
      </c>
      <c r="P12" s="94" t="e">
        <f>E12*H12+J12*K12+#REF!*#REF!+L12*M12</f>
        <v>#REF!</v>
      </c>
    </row>
    <row r="13" spans="1:16" x14ac:dyDescent="0.25">
      <c r="A13" s="93" t="s">
        <v>53</v>
      </c>
      <c r="B13" s="90">
        <f t="shared" si="0"/>
        <v>12</v>
      </c>
      <c r="C13" s="90">
        <v>7</v>
      </c>
      <c r="D13" s="90">
        <v>2021</v>
      </c>
      <c r="E13" s="88">
        <f>Electricity!H17</f>
        <v>16656</v>
      </c>
      <c r="F13" s="88">
        <f>+Electricity!F17</f>
        <v>2798</v>
      </c>
      <c r="G13" s="88">
        <f>+Electricity!G17</f>
        <v>13858</v>
      </c>
      <c r="H13" s="126" t="s">
        <v>59</v>
      </c>
      <c r="I13" s="127">
        <f>+Electricity!O17</f>
        <v>19262038.136999998</v>
      </c>
      <c r="J13" s="88">
        <f>Gas!D16</f>
        <v>60.51</v>
      </c>
      <c r="K13" s="88">
        <v>5362</v>
      </c>
      <c r="L13" s="88">
        <f>Water!C16</f>
        <v>90.00000000000145</v>
      </c>
      <c r="M13" s="127">
        <v>12500</v>
      </c>
      <c r="N13" s="88">
        <f>Electricity!C17</f>
        <v>22</v>
      </c>
      <c r="O13" s="88">
        <f>Electricity!D17</f>
        <v>94</v>
      </c>
      <c r="P13" s="94" t="e">
        <f>E13*H13+J13*K13+#REF!*#REF!+L13*M13</f>
        <v>#REF!</v>
      </c>
    </row>
    <row r="14" spans="1:16" x14ac:dyDescent="0.25">
      <c r="A14" s="93" t="s">
        <v>53</v>
      </c>
      <c r="B14" s="90">
        <f t="shared" si="0"/>
        <v>13</v>
      </c>
      <c r="C14" s="90">
        <v>7</v>
      </c>
      <c r="D14" s="90">
        <v>2021</v>
      </c>
      <c r="E14" s="88">
        <f>Electricity!H18</f>
        <v>15878</v>
      </c>
      <c r="F14" s="88">
        <f>+Electricity!F18</f>
        <v>2780</v>
      </c>
      <c r="G14" s="88">
        <f>+Electricity!G18</f>
        <v>13098</v>
      </c>
      <c r="H14" s="126" t="s">
        <v>59</v>
      </c>
      <c r="I14" s="127">
        <f>+Electricity!O18</f>
        <v>18422424.5112</v>
      </c>
      <c r="J14" s="88">
        <f>Gas!D17</f>
        <v>52.63</v>
      </c>
      <c r="K14" s="88">
        <v>5362</v>
      </c>
      <c r="L14" s="88">
        <f>Water!C17</f>
        <v>122.33999999998632</v>
      </c>
      <c r="M14" s="127">
        <v>12500</v>
      </c>
      <c r="N14" s="88">
        <f>Electricity!C18</f>
        <v>17</v>
      </c>
      <c r="O14" s="88">
        <f>Electricity!D18</f>
        <v>100</v>
      </c>
      <c r="P14" s="94" t="e">
        <f>E14*H14+J14*K14+#REF!*#REF!+L14*M14</f>
        <v>#REF!</v>
      </c>
    </row>
    <row r="15" spans="1:16" x14ac:dyDescent="0.25">
      <c r="A15" s="93" t="s">
        <v>53</v>
      </c>
      <c r="B15" s="90">
        <f t="shared" si="0"/>
        <v>14</v>
      </c>
      <c r="C15" s="90">
        <v>7</v>
      </c>
      <c r="D15" s="90">
        <v>2021</v>
      </c>
      <c r="E15" s="88">
        <f>Electricity!H19</f>
        <v>16532</v>
      </c>
      <c r="F15" s="88">
        <f>+Electricity!F19</f>
        <v>2840</v>
      </c>
      <c r="G15" s="88">
        <f>+Electricity!G19</f>
        <v>13692</v>
      </c>
      <c r="H15" s="126" t="s">
        <v>59</v>
      </c>
      <c r="I15" s="127">
        <f>+Electricity!O19</f>
        <v>19152152.2368</v>
      </c>
      <c r="J15" s="88">
        <f>Gas!D18</f>
        <v>52.77</v>
      </c>
      <c r="K15" s="88">
        <v>5362</v>
      </c>
      <c r="L15" s="88">
        <f>Water!C18</f>
        <v>74.980000000006839</v>
      </c>
      <c r="M15" s="127">
        <v>12500</v>
      </c>
      <c r="N15" s="88">
        <f>Electricity!C19</f>
        <v>14</v>
      </c>
      <c r="O15" s="88">
        <f>Electricity!D19</f>
        <v>89</v>
      </c>
      <c r="P15" s="94" t="e">
        <f>E15*H15+J15*K15+#REF!*#REF!+L15*M15</f>
        <v>#REF!</v>
      </c>
    </row>
    <row r="16" spans="1:16" x14ac:dyDescent="0.25">
      <c r="A16" s="93" t="s">
        <v>53</v>
      </c>
      <c r="B16" s="90">
        <f t="shared" si="0"/>
        <v>15</v>
      </c>
      <c r="C16" s="90">
        <v>7</v>
      </c>
      <c r="D16" s="90">
        <v>2021</v>
      </c>
      <c r="E16" s="88">
        <f>Electricity!H20</f>
        <v>16404</v>
      </c>
      <c r="F16" s="88">
        <f>+Electricity!F20</f>
        <v>2750</v>
      </c>
      <c r="G16" s="88">
        <f>+Electricity!G20</f>
        <v>13654</v>
      </c>
      <c r="H16" s="126" t="s">
        <v>59</v>
      </c>
      <c r="I16" s="127">
        <f>+Electricity!O20</f>
        <v>18967586.598599996</v>
      </c>
      <c r="J16" s="88">
        <f>Gas!D19</f>
        <v>52.25</v>
      </c>
      <c r="K16" s="88">
        <v>5362</v>
      </c>
      <c r="L16" s="88">
        <f>Water!C19</f>
        <v>78.340000000005972</v>
      </c>
      <c r="M16" s="127">
        <v>12500</v>
      </c>
      <c r="N16" s="88">
        <f>Electricity!C20</f>
        <v>7</v>
      </c>
      <c r="O16" s="88">
        <f>Electricity!D20</f>
        <v>52</v>
      </c>
      <c r="P16" s="94" t="e">
        <f>E16*H16+J16*K16+#REF!*#REF!+L16*M16</f>
        <v>#REF!</v>
      </c>
    </row>
    <row r="17" spans="1:16" x14ac:dyDescent="0.25">
      <c r="A17" s="93" t="s">
        <v>53</v>
      </c>
      <c r="B17" s="90">
        <f t="shared" si="0"/>
        <v>16</v>
      </c>
      <c r="C17" s="90">
        <v>7</v>
      </c>
      <c r="D17" s="90">
        <v>2021</v>
      </c>
      <c r="E17" s="88">
        <f>Electricity!H21</f>
        <v>15868</v>
      </c>
      <c r="F17" s="88">
        <f>+Electricity!F21</f>
        <v>2660</v>
      </c>
      <c r="G17" s="88">
        <f>+Electricity!G21</f>
        <v>13208</v>
      </c>
      <c r="H17" s="126" t="s">
        <v>59</v>
      </c>
      <c r="I17" s="127">
        <f>+Electricity!O21</f>
        <v>18347744.773200002</v>
      </c>
      <c r="J17" s="88">
        <f>Gas!D20</f>
        <v>54</v>
      </c>
      <c r="K17" s="88">
        <v>5362</v>
      </c>
      <c r="L17" s="88">
        <f>Water!C20</f>
        <v>62.539999999992141</v>
      </c>
      <c r="M17" s="127">
        <v>12500</v>
      </c>
      <c r="N17" s="88">
        <f>Electricity!C21</f>
        <v>16</v>
      </c>
      <c r="O17" s="88">
        <f>Electricity!D21</f>
        <v>83</v>
      </c>
      <c r="P17" s="94" t="e">
        <f>E17*H17+J17*K17+#REF!*#REF!+L17*M17</f>
        <v>#REF!</v>
      </c>
    </row>
    <row r="18" spans="1:16" x14ac:dyDescent="0.25">
      <c r="A18" s="93" t="s">
        <v>53</v>
      </c>
      <c r="B18" s="90">
        <f t="shared" si="0"/>
        <v>17</v>
      </c>
      <c r="C18" s="90">
        <v>7</v>
      </c>
      <c r="D18" s="90">
        <v>2021</v>
      </c>
      <c r="E18" s="88">
        <f>Electricity!H22</f>
        <v>15878</v>
      </c>
      <c r="F18" s="88">
        <f>+Electricity!F22</f>
        <v>2780</v>
      </c>
      <c r="G18" s="88">
        <f>+Electricity!G22</f>
        <v>13098</v>
      </c>
      <c r="H18" s="126" t="s">
        <v>59</v>
      </c>
      <c r="I18" s="127">
        <f>+Electricity!O22</f>
        <v>18422424.5112</v>
      </c>
      <c r="J18" s="88">
        <f>Gas!D21</f>
        <v>52.51</v>
      </c>
      <c r="K18" s="88">
        <v>5362</v>
      </c>
      <c r="L18" s="88">
        <f>Water!C21</f>
        <v>88.100000000010908</v>
      </c>
      <c r="M18" s="127">
        <v>12500</v>
      </c>
      <c r="N18" s="88">
        <f>Electricity!C22</f>
        <v>22</v>
      </c>
      <c r="O18" s="88">
        <f>Electricity!D22</f>
        <v>127</v>
      </c>
      <c r="P18" s="94" t="e">
        <f>E18*H18+J18*K18+#REF!*#REF!+L18*M18</f>
        <v>#REF!</v>
      </c>
    </row>
    <row r="19" spans="1:16" x14ac:dyDescent="0.25">
      <c r="A19" s="93" t="s">
        <v>53</v>
      </c>
      <c r="B19" s="90">
        <f t="shared" si="0"/>
        <v>18</v>
      </c>
      <c r="C19" s="90">
        <v>7</v>
      </c>
      <c r="D19" s="90">
        <v>2021</v>
      </c>
      <c r="E19" s="88">
        <f>Electricity!H23</f>
        <v>16050</v>
      </c>
      <c r="F19" s="88">
        <f>+Electricity!F23</f>
        <v>2760</v>
      </c>
      <c r="G19" s="88">
        <f>+Electricity!G23</f>
        <v>13290</v>
      </c>
      <c r="H19" s="126" t="s">
        <v>59</v>
      </c>
      <c r="I19" s="127">
        <f>+Electricity!O23</f>
        <v>18595254.761999998</v>
      </c>
      <c r="J19" s="88">
        <f>Gas!D22</f>
        <v>65.88</v>
      </c>
      <c r="K19" s="88">
        <v>5362</v>
      </c>
      <c r="L19" s="88">
        <f>Water!C22</f>
        <v>192.79999999999782</v>
      </c>
      <c r="M19" s="127">
        <v>12500</v>
      </c>
      <c r="N19" s="88">
        <f>Electricity!C23</f>
        <v>14</v>
      </c>
      <c r="O19" s="88">
        <f>Electricity!D23</f>
        <v>91</v>
      </c>
      <c r="P19" s="94" t="e">
        <f>E19*H19+J19*K19+#REF!*#REF!+L19*M19</f>
        <v>#REF!</v>
      </c>
    </row>
    <row r="20" spans="1:16" x14ac:dyDescent="0.25">
      <c r="A20" s="93" t="s">
        <v>53</v>
      </c>
      <c r="B20" s="90">
        <f t="shared" si="0"/>
        <v>19</v>
      </c>
      <c r="C20" s="90">
        <v>7</v>
      </c>
      <c r="D20" s="90">
        <v>2021</v>
      </c>
      <c r="E20" s="88">
        <f>Electricity!H24</f>
        <v>16476</v>
      </c>
      <c r="F20" s="88">
        <f>+Electricity!F24</f>
        <v>2802</v>
      </c>
      <c r="G20" s="88">
        <f>+Electricity!G24</f>
        <v>13674</v>
      </c>
      <c r="H20" s="126" t="s">
        <v>59</v>
      </c>
      <c r="I20" s="127">
        <f>+Electricity!O24</f>
        <v>19072138.231799997</v>
      </c>
      <c r="J20" s="88">
        <f>Gas!D23</f>
        <v>17.98</v>
      </c>
      <c r="K20" s="88">
        <v>5362</v>
      </c>
      <c r="L20" s="88">
        <f>Water!C23</f>
        <v>89.899999999991266</v>
      </c>
      <c r="M20" s="127">
        <v>12500</v>
      </c>
      <c r="N20" s="88">
        <f>Electricity!C24</f>
        <v>16</v>
      </c>
      <c r="O20" s="88">
        <f>Electricity!D24</f>
        <v>77</v>
      </c>
      <c r="P20" s="94" t="e">
        <f>E20*H20+J20*K20+#REF!*#REF!+L20*M20</f>
        <v>#REF!</v>
      </c>
    </row>
    <row r="21" spans="1:16" x14ac:dyDescent="0.25">
      <c r="A21" s="93" t="s">
        <v>53</v>
      </c>
      <c r="B21" s="90">
        <f t="shared" si="0"/>
        <v>20</v>
      </c>
      <c r="C21" s="90">
        <v>7</v>
      </c>
      <c r="D21" s="90">
        <v>2021</v>
      </c>
      <c r="E21" s="88">
        <f>Electricity!H25</f>
        <v>16184</v>
      </c>
      <c r="F21" s="88">
        <f>+Electricity!F25</f>
        <v>2780</v>
      </c>
      <c r="G21" s="88">
        <f>+Electricity!G25</f>
        <v>13404</v>
      </c>
      <c r="H21" s="126" t="s">
        <v>59</v>
      </c>
      <c r="I21" s="127">
        <f>+Electricity!O25</f>
        <v>18748881.6516</v>
      </c>
      <c r="J21" s="88">
        <f>Gas!D24</f>
        <v>12.83</v>
      </c>
      <c r="K21" s="88">
        <v>5362</v>
      </c>
      <c r="L21" s="88">
        <f>Water!C24</f>
        <v>117.69999999999928</v>
      </c>
      <c r="M21" s="127">
        <v>12500</v>
      </c>
      <c r="N21" s="88">
        <f>Electricity!C25</f>
        <v>21</v>
      </c>
      <c r="O21" s="88">
        <f>Electricity!D25</f>
        <v>110</v>
      </c>
      <c r="P21" s="94" t="e">
        <f>E21*H21+J21*K21+#REF!*#REF!+L21*M21</f>
        <v>#REF!</v>
      </c>
    </row>
    <row r="22" spans="1:16" x14ac:dyDescent="0.25">
      <c r="A22" s="93" t="s">
        <v>53</v>
      </c>
      <c r="B22" s="90">
        <f t="shared" si="0"/>
        <v>21</v>
      </c>
      <c r="C22" s="90">
        <v>7</v>
      </c>
      <c r="D22" s="90">
        <v>2021</v>
      </c>
      <c r="E22" s="88">
        <f>Electricity!H26</f>
        <v>16122</v>
      </c>
      <c r="F22" s="88">
        <f>+Electricity!F26</f>
        <v>2708</v>
      </c>
      <c r="G22" s="88">
        <f>+Electricity!G26</f>
        <v>13414</v>
      </c>
      <c r="H22" s="126" t="s">
        <v>59</v>
      </c>
      <c r="I22" s="127">
        <f>+Electricity!O26</f>
        <v>18644330.018400002</v>
      </c>
      <c r="J22" s="88">
        <f>Gas!D25</f>
        <v>21.56</v>
      </c>
      <c r="K22" s="88">
        <v>5362</v>
      </c>
      <c r="L22" s="88">
        <f>Water!C25</f>
        <v>79.500000000005087</v>
      </c>
      <c r="M22" s="127">
        <v>12500</v>
      </c>
      <c r="N22" s="88">
        <f>Electricity!C26</f>
        <v>15</v>
      </c>
      <c r="O22" s="88">
        <f>Electricity!D26</f>
        <v>111</v>
      </c>
      <c r="P22" s="94" t="e">
        <f>E22*H22+J22*K22+#REF!*#REF!+L22*M22</f>
        <v>#REF!</v>
      </c>
    </row>
    <row r="23" spans="1:16" x14ac:dyDescent="0.25">
      <c r="A23" s="93" t="s">
        <v>53</v>
      </c>
      <c r="B23" s="90">
        <f t="shared" si="0"/>
        <v>22</v>
      </c>
      <c r="C23" s="90">
        <v>7</v>
      </c>
      <c r="D23" s="90">
        <v>2021</v>
      </c>
      <c r="E23" s="88">
        <f>Electricity!H27</f>
        <v>15884</v>
      </c>
      <c r="F23" s="88">
        <f>+Electricity!F27</f>
        <v>2762</v>
      </c>
      <c r="G23" s="88">
        <f>+Electricity!G27</f>
        <v>13122</v>
      </c>
      <c r="H23" s="126" t="s">
        <v>59</v>
      </c>
      <c r="I23" s="127">
        <f>+Electricity!O27</f>
        <v>18419223.950999998</v>
      </c>
      <c r="J23" s="88">
        <f>Gas!D26</f>
        <v>17.84</v>
      </c>
      <c r="K23" s="88">
        <v>5362</v>
      </c>
      <c r="L23" s="88">
        <f>Water!C26</f>
        <v>85.720000000005527</v>
      </c>
      <c r="M23" s="127">
        <v>12500</v>
      </c>
      <c r="N23" s="88">
        <f>Electricity!C27</f>
        <v>19</v>
      </c>
      <c r="O23" s="88">
        <f>Electricity!D27</f>
        <v>117</v>
      </c>
      <c r="P23" s="94" t="e">
        <f>E23*H23+J23*K23+#REF!*#REF!+L23*M23</f>
        <v>#REF!</v>
      </c>
    </row>
    <row r="24" spans="1:16" x14ac:dyDescent="0.25">
      <c r="A24" s="93" t="s">
        <v>53</v>
      </c>
      <c r="B24" s="90">
        <f t="shared" si="0"/>
        <v>23</v>
      </c>
      <c r="C24" s="90">
        <v>7</v>
      </c>
      <c r="D24" s="90">
        <v>2021</v>
      </c>
      <c r="E24" s="88">
        <f>Electricity!H28</f>
        <v>15598</v>
      </c>
      <c r="F24" s="88">
        <f>+Electricity!F28</f>
        <v>2628</v>
      </c>
      <c r="G24" s="88">
        <f>+Electricity!G28</f>
        <v>12970</v>
      </c>
      <c r="H24" s="126" t="s">
        <v>59</v>
      </c>
      <c r="I24" s="127">
        <f>+Electricity!O28</f>
        <v>18042624.700799998</v>
      </c>
      <c r="J24" s="88">
        <f>Gas!D27</f>
        <v>20.73</v>
      </c>
      <c r="K24" s="88">
        <v>5362</v>
      </c>
      <c r="L24" s="88">
        <f>Water!C27</f>
        <v>94.460000000000576</v>
      </c>
      <c r="M24" s="127">
        <v>12500</v>
      </c>
      <c r="N24" s="88">
        <f>Electricity!C28</f>
        <v>22</v>
      </c>
      <c r="O24" s="88">
        <f>Electricity!D28</f>
        <v>104</v>
      </c>
      <c r="P24" s="94" t="e">
        <f>E24*H24+J24*K24+#REF!*#REF!+L24*M24</f>
        <v>#REF!</v>
      </c>
    </row>
    <row r="25" spans="1:16" x14ac:dyDescent="0.25">
      <c r="A25" s="93" t="s">
        <v>53</v>
      </c>
      <c r="B25" s="90">
        <f t="shared" si="0"/>
        <v>24</v>
      </c>
      <c r="C25" s="90">
        <v>7</v>
      </c>
      <c r="D25" s="90">
        <v>2021</v>
      </c>
      <c r="E25" s="88">
        <f>Electricity!H29</f>
        <v>15842</v>
      </c>
      <c r="F25" s="88">
        <f>+Electricity!F29</f>
        <v>2738</v>
      </c>
      <c r="G25" s="88">
        <f>+Electricity!G29</f>
        <v>13104</v>
      </c>
      <c r="H25" s="126" t="s">
        <v>59</v>
      </c>
      <c r="I25" s="127">
        <f>+Electricity!O29</f>
        <v>18361613.867399998</v>
      </c>
      <c r="J25" s="88">
        <f>Gas!D28</f>
        <v>25.71</v>
      </c>
      <c r="K25" s="88">
        <v>5362</v>
      </c>
      <c r="L25" s="88">
        <f>Water!C28</f>
        <v>63.419999999989521</v>
      </c>
      <c r="M25" s="127">
        <v>12500</v>
      </c>
      <c r="N25" s="88">
        <f>Electricity!C29</f>
        <v>28</v>
      </c>
      <c r="O25" s="88">
        <f>Electricity!D29</f>
        <v>158</v>
      </c>
      <c r="P25" s="94" t="e">
        <f>E25*H25+J25*K25+#REF!*#REF!+L25*M25</f>
        <v>#REF!</v>
      </c>
    </row>
    <row r="26" spans="1:16" x14ac:dyDescent="0.25">
      <c r="A26" s="93" t="s">
        <v>53</v>
      </c>
      <c r="B26" s="90">
        <f t="shared" si="0"/>
        <v>25</v>
      </c>
      <c r="C26" s="90">
        <v>7</v>
      </c>
      <c r="D26" s="90">
        <v>2021</v>
      </c>
      <c r="E26" s="88">
        <f>Electricity!H30</f>
        <v>15256</v>
      </c>
      <c r="F26" s="88">
        <f>+Electricity!F30</f>
        <v>2572</v>
      </c>
      <c r="G26" s="88">
        <f>+Electricity!G30</f>
        <v>12684</v>
      </c>
      <c r="H26" s="126" t="s">
        <v>59</v>
      </c>
      <c r="I26" s="127">
        <f>+Electricity!O30</f>
        <v>17647888.942799997</v>
      </c>
      <c r="J26" s="88">
        <f>Gas!D29</f>
        <v>23.5</v>
      </c>
      <c r="K26" s="88">
        <v>5362</v>
      </c>
      <c r="L26" s="88">
        <f>Water!C29</f>
        <v>142.90000000000072</v>
      </c>
      <c r="M26" s="127">
        <v>12500</v>
      </c>
      <c r="N26" s="88">
        <f>Electricity!C30</f>
        <v>20</v>
      </c>
      <c r="O26" s="88">
        <f>Electricity!D30</f>
        <v>147</v>
      </c>
      <c r="P26" s="94" t="e">
        <f>E26*H26+J26*K26+#REF!*#REF!+L26*M26</f>
        <v>#REF!</v>
      </c>
    </row>
    <row r="27" spans="1:16" x14ac:dyDescent="0.25">
      <c r="A27" s="93" t="s">
        <v>53</v>
      </c>
      <c r="B27" s="90">
        <f t="shared" si="0"/>
        <v>26</v>
      </c>
      <c r="C27" s="90">
        <v>7</v>
      </c>
      <c r="D27" s="90">
        <v>2021</v>
      </c>
      <c r="E27" s="88">
        <f>Electricity!H31</f>
        <v>14952</v>
      </c>
      <c r="F27" s="88">
        <f>+Electricity!F31</f>
        <v>2594</v>
      </c>
      <c r="G27" s="88">
        <f>+Electricity!G31</f>
        <v>12358</v>
      </c>
      <c r="H27" s="126" t="s">
        <v>59</v>
      </c>
      <c r="I27" s="127">
        <f>+Electricity!O31</f>
        <v>17335300.896600001</v>
      </c>
      <c r="J27" s="88">
        <f>Gas!D30</f>
        <v>31.49</v>
      </c>
      <c r="K27" s="88">
        <v>5362</v>
      </c>
      <c r="L27" s="88">
        <f>Water!C30</f>
        <v>83.100000000010183</v>
      </c>
      <c r="M27" s="127">
        <v>12500</v>
      </c>
      <c r="N27" s="88">
        <f>Electricity!C31</f>
        <v>17</v>
      </c>
      <c r="O27" s="88">
        <f>Electricity!D31</f>
        <v>114</v>
      </c>
      <c r="P27" s="94" t="e">
        <f>E27*H27+J27*K27+#REF!*#REF!+L27*M27</f>
        <v>#REF!</v>
      </c>
    </row>
    <row r="28" spans="1:16" x14ac:dyDescent="0.25">
      <c r="A28" s="93" t="s">
        <v>53</v>
      </c>
      <c r="B28" s="90">
        <f t="shared" si="0"/>
        <v>27</v>
      </c>
      <c r="C28" s="90">
        <v>7</v>
      </c>
      <c r="D28" s="90">
        <v>2021</v>
      </c>
      <c r="E28" s="88">
        <f>Electricity!H32</f>
        <v>15928</v>
      </c>
      <c r="F28" s="88">
        <f>+Electricity!F32</f>
        <v>2622</v>
      </c>
      <c r="G28" s="88">
        <f>+Electricity!G32</f>
        <v>13306</v>
      </c>
      <c r="H28" s="126" t="s">
        <v>59</v>
      </c>
      <c r="I28" s="127">
        <f>+Electricity!O32</f>
        <v>18391485.762599997</v>
      </c>
      <c r="J28" s="88">
        <f>Gas!D31</f>
        <v>35.880000000000003</v>
      </c>
      <c r="K28" s="88">
        <v>5362</v>
      </c>
      <c r="L28" s="88">
        <f>Water!C31</f>
        <v>85.059999999985308</v>
      </c>
      <c r="M28" s="127">
        <v>12500</v>
      </c>
      <c r="N28" s="88">
        <f>Electricity!C32</f>
        <v>23</v>
      </c>
      <c r="O28" s="88">
        <f>Electricity!D32</f>
        <v>240</v>
      </c>
      <c r="P28" s="94" t="e">
        <f>E28*H28+J28*K28+#REF!*#REF!+L28*M28</f>
        <v>#REF!</v>
      </c>
    </row>
    <row r="29" spans="1:16" x14ac:dyDescent="0.25">
      <c r="A29" s="93" t="s">
        <v>53</v>
      </c>
      <c r="B29" s="90">
        <f t="shared" si="0"/>
        <v>28</v>
      </c>
      <c r="C29" s="90">
        <v>7</v>
      </c>
      <c r="D29" s="90">
        <v>2021</v>
      </c>
      <c r="E29" s="88">
        <f>Electricity!H33</f>
        <v>15190</v>
      </c>
      <c r="F29" s="88">
        <f>+Electricity!F33</f>
        <v>2590</v>
      </c>
      <c r="G29" s="88">
        <f>+Electricity!G33</f>
        <v>12600</v>
      </c>
      <c r="H29" s="126" t="s">
        <v>59</v>
      </c>
      <c r="I29" s="127">
        <f>+Electricity!O33</f>
        <v>17587078.299000002</v>
      </c>
      <c r="J29" s="88">
        <f>Gas!D32</f>
        <v>34.130000000000003</v>
      </c>
      <c r="K29" s="88">
        <v>5362</v>
      </c>
      <c r="L29" s="88">
        <f>Water!C32</f>
        <v>93.120000000007707</v>
      </c>
      <c r="M29" s="127">
        <v>12500</v>
      </c>
      <c r="N29" s="88">
        <f>Electricity!C33</f>
        <v>19</v>
      </c>
      <c r="O29" s="88">
        <f>Electricity!D33</f>
        <v>117</v>
      </c>
      <c r="P29" s="94" t="e">
        <f>E29*H29+J29*K29+#REF!*#REF!+L29*M29</f>
        <v>#REF!</v>
      </c>
    </row>
    <row r="30" spans="1:16" x14ac:dyDescent="0.25">
      <c r="A30" s="93" t="s">
        <v>53</v>
      </c>
      <c r="B30" s="90">
        <f>B29+1</f>
        <v>29</v>
      </c>
      <c r="C30" s="90">
        <v>7</v>
      </c>
      <c r="D30" s="90">
        <v>2021</v>
      </c>
      <c r="E30" s="88">
        <f>Electricity!H34</f>
        <v>14982</v>
      </c>
      <c r="F30" s="88">
        <f>+Electricity!F34</f>
        <v>2590</v>
      </c>
      <c r="G30" s="88">
        <f>+Electricity!G34</f>
        <v>12392</v>
      </c>
      <c r="H30" s="126" t="s">
        <v>59</v>
      </c>
      <c r="I30" s="127">
        <f>+Electricity!O34</f>
        <v>17365172.7918</v>
      </c>
      <c r="J30" s="88">
        <f>Gas!D33</f>
        <v>34.619999999999997</v>
      </c>
      <c r="K30" s="88">
        <v>5362</v>
      </c>
      <c r="L30" s="88">
        <f>Water!C33</f>
        <v>95.820000000006985</v>
      </c>
      <c r="M30" s="127">
        <v>12500</v>
      </c>
      <c r="N30" s="88">
        <f>Electricity!C34</f>
        <v>15</v>
      </c>
      <c r="O30" s="88">
        <f>Electricity!D34</f>
        <v>85</v>
      </c>
      <c r="P30" s="94" t="e">
        <f>E30*H30+J30*K30+#REF!*#REF!+L30*M30</f>
        <v>#REF!</v>
      </c>
    </row>
    <row r="31" spans="1:16" x14ac:dyDescent="0.25">
      <c r="A31" s="93" t="s">
        <v>53</v>
      </c>
      <c r="B31" s="90">
        <f t="shared" ref="B31:B32" si="1">B30+1</f>
        <v>30</v>
      </c>
      <c r="C31" s="90">
        <v>7</v>
      </c>
      <c r="D31" s="90">
        <v>2021</v>
      </c>
      <c r="E31" s="88">
        <f>Electricity!H35</f>
        <v>14712</v>
      </c>
      <c r="F31" s="88">
        <f>+Electricity!F35</f>
        <v>2610</v>
      </c>
      <c r="G31" s="88">
        <f>+Electricity!G35</f>
        <v>12102</v>
      </c>
      <c r="H31" s="126" t="s">
        <v>61</v>
      </c>
      <c r="I31" s="127">
        <f>+Electricity!O35</f>
        <v>17087790.9078</v>
      </c>
      <c r="J31" s="88">
        <f>Gas!D34</f>
        <v>34.1</v>
      </c>
      <c r="K31" s="88">
        <v>5363</v>
      </c>
      <c r="L31" s="88">
        <f>Water!C34</f>
        <v>137.57999999999737</v>
      </c>
      <c r="M31" s="127">
        <v>12500</v>
      </c>
      <c r="N31" s="88">
        <f>Electricity!C35</f>
        <v>24</v>
      </c>
      <c r="O31" s="88">
        <f>Electricity!D35</f>
        <v>121</v>
      </c>
      <c r="P31" s="94"/>
    </row>
    <row r="32" spans="1:16" x14ac:dyDescent="0.25">
      <c r="A32" s="93" t="s">
        <v>53</v>
      </c>
      <c r="B32" s="90">
        <f t="shared" si="1"/>
        <v>31</v>
      </c>
      <c r="C32" s="90">
        <v>7</v>
      </c>
      <c r="D32" s="90">
        <v>2021</v>
      </c>
      <c r="E32" s="88">
        <f>Electricity!H36</f>
        <v>15382</v>
      </c>
      <c r="F32" s="88">
        <f>+Electricity!F36</f>
        <v>2592</v>
      </c>
      <c r="G32" s="88">
        <f>+Electricity!G36</f>
        <v>12790</v>
      </c>
      <c r="H32" s="126" t="s">
        <v>59</v>
      </c>
      <c r="I32" s="127">
        <f>+Electricity!O36</f>
        <v>17792981.005199999</v>
      </c>
      <c r="J32" s="88">
        <f>Gas!D34</f>
        <v>34.1</v>
      </c>
      <c r="K32" s="88">
        <v>5362</v>
      </c>
      <c r="L32" s="88">
        <f>Water!C34</f>
        <v>137.57999999999737</v>
      </c>
      <c r="M32" s="127">
        <v>12500</v>
      </c>
      <c r="N32" s="88">
        <f>Electricity!C36</f>
        <v>32</v>
      </c>
      <c r="O32" s="88">
        <f>Electricity!D36</f>
        <v>172</v>
      </c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topLeftCell="E1" zoomScale="80" zoomScaleNormal="80" zoomScaleSheetLayoutView="80" workbookViewId="0">
      <pane ySplit="4" topLeftCell="A32" activePane="bottomLeft" state="frozen"/>
      <selection pane="bottomLeft" activeCell="F36" sqref="F36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8" t="s">
        <v>43</v>
      </c>
      <c r="C1" s="179"/>
      <c r="D1" s="179"/>
      <c r="E1" s="179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80" t="s">
        <v>0</v>
      </c>
      <c r="C2" s="102"/>
      <c r="D2" s="102"/>
      <c r="E2" s="183" t="s">
        <v>12</v>
      </c>
      <c r="F2" s="185" t="s">
        <v>16</v>
      </c>
      <c r="G2" s="186"/>
      <c r="H2" s="186"/>
      <c r="I2" s="186"/>
      <c r="J2" s="186"/>
      <c r="K2" s="186"/>
      <c r="L2" s="186"/>
      <c r="M2" s="186"/>
      <c r="N2" s="186"/>
      <c r="O2" s="187"/>
      <c r="P2" s="2"/>
      <c r="Q2" s="2"/>
      <c r="R2" s="1"/>
      <c r="S2" s="1"/>
      <c r="T2" s="1"/>
    </row>
    <row r="3" spans="2:20" s="57" customFormat="1" ht="25.5" customHeight="1" x14ac:dyDescent="0.25">
      <c r="B3" s="181"/>
      <c r="C3" s="103"/>
      <c r="D3" s="103"/>
      <c r="E3" s="175"/>
      <c r="F3" s="54" t="s">
        <v>10</v>
      </c>
      <c r="G3" s="58" t="s">
        <v>19</v>
      </c>
      <c r="H3" s="58" t="s">
        <v>24</v>
      </c>
      <c r="I3" s="188" t="s">
        <v>23</v>
      </c>
      <c r="J3" s="189"/>
      <c r="K3" s="188" t="s">
        <v>25</v>
      </c>
      <c r="L3" s="190"/>
      <c r="M3" s="189"/>
      <c r="N3" s="174" t="s">
        <v>17</v>
      </c>
      <c r="O3" s="176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82"/>
      <c r="C4" s="104"/>
      <c r="D4" s="104"/>
      <c r="E4" s="184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5"/>
      <c r="O4" s="177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44378</v>
      </c>
      <c r="C6" s="134">
        <v>32</v>
      </c>
      <c r="D6" s="134">
        <v>232</v>
      </c>
      <c r="E6" s="115">
        <v>1035.78</v>
      </c>
      <c r="F6" s="116">
        <v>3160</v>
      </c>
      <c r="G6" s="117">
        <v>14824</v>
      </c>
      <c r="H6" s="118">
        <f t="shared" ref="H6:H35" si="0">G6+F6</f>
        <v>17984</v>
      </c>
      <c r="I6" s="119">
        <v>7525</v>
      </c>
      <c r="J6" s="119">
        <f>+H6-I6</f>
        <v>10459</v>
      </c>
      <c r="K6" s="119">
        <f>F6*1.5*E6</f>
        <v>4909597.2</v>
      </c>
      <c r="L6" s="119">
        <f t="shared" ref="L6:L33" si="1">G6*E6</f>
        <v>15354402.719999999</v>
      </c>
      <c r="M6" s="119">
        <f t="shared" ref="M6:M33" si="2">L6+K6</f>
        <v>20263999.919999998</v>
      </c>
      <c r="N6" s="119">
        <f>M6*0.03</f>
        <v>607919.99759999989</v>
      </c>
      <c r="O6" s="131">
        <f>M6+N6</f>
        <v>20871919.917599998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44379</v>
      </c>
      <c r="C7" s="134">
        <v>42</v>
      </c>
      <c r="D7" s="134">
        <v>231</v>
      </c>
      <c r="E7" s="115">
        <v>1035.78</v>
      </c>
      <c r="F7" s="120">
        <v>3162</v>
      </c>
      <c r="G7" s="117">
        <v>14630</v>
      </c>
      <c r="H7" s="118">
        <f t="shared" si="0"/>
        <v>17792</v>
      </c>
      <c r="I7" s="119">
        <v>7360</v>
      </c>
      <c r="J7" s="119">
        <f t="shared" ref="J7:J33" si="3">+H7-I7</f>
        <v>10432</v>
      </c>
      <c r="K7" s="119">
        <f t="shared" ref="K7:K33" si="4">F7*1.5*E7</f>
        <v>4912704.54</v>
      </c>
      <c r="L7" s="119">
        <f t="shared" si="1"/>
        <v>15153461.4</v>
      </c>
      <c r="M7" s="119">
        <f t="shared" si="2"/>
        <v>20066165.940000001</v>
      </c>
      <c r="N7" s="119">
        <f>M7*0.03</f>
        <v>601984.97820000001</v>
      </c>
      <c r="O7" s="131">
        <f>M7+N7</f>
        <v>20668150.918200001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44380</v>
      </c>
      <c r="C8" s="134">
        <v>48</v>
      </c>
      <c r="D8" s="134">
        <v>235</v>
      </c>
      <c r="E8" s="115">
        <v>1035.78</v>
      </c>
      <c r="F8" s="120">
        <v>3122</v>
      </c>
      <c r="G8" s="117">
        <v>14640</v>
      </c>
      <c r="H8" s="118">
        <f t="shared" si="0"/>
        <v>17762</v>
      </c>
      <c r="I8" s="119">
        <v>7306</v>
      </c>
      <c r="J8" s="119">
        <f t="shared" si="3"/>
        <v>10456</v>
      </c>
      <c r="K8" s="119">
        <f t="shared" si="4"/>
        <v>4850557.74</v>
      </c>
      <c r="L8" s="119">
        <f t="shared" si="1"/>
        <v>15163819.199999999</v>
      </c>
      <c r="M8" s="119">
        <f t="shared" si="2"/>
        <v>20014376.939999998</v>
      </c>
      <c r="N8" s="119">
        <f t="shared" ref="N8:N33" si="5">M8*0.03</f>
        <v>600431.30819999985</v>
      </c>
      <c r="O8" s="131">
        <f t="shared" ref="O8:O33" si="6">M8+N8</f>
        <v>20614808.248199999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44381</v>
      </c>
      <c r="C9" s="134">
        <v>46</v>
      </c>
      <c r="D9" s="134">
        <v>276</v>
      </c>
      <c r="E9" s="115">
        <v>1035.78</v>
      </c>
      <c r="F9" s="120">
        <v>3148</v>
      </c>
      <c r="G9" s="117">
        <v>15610</v>
      </c>
      <c r="H9" s="118">
        <f t="shared" si="0"/>
        <v>18758</v>
      </c>
      <c r="I9" s="119">
        <v>7892</v>
      </c>
      <c r="J9" s="119">
        <f t="shared" si="3"/>
        <v>10866</v>
      </c>
      <c r="K9" s="119">
        <f t="shared" si="4"/>
        <v>4890953.16</v>
      </c>
      <c r="L9" s="119">
        <f t="shared" si="1"/>
        <v>16168525.799999999</v>
      </c>
      <c r="M9" s="119">
        <f t="shared" si="2"/>
        <v>21059478.960000001</v>
      </c>
      <c r="N9" s="119">
        <f t="shared" si="5"/>
        <v>631784.36880000005</v>
      </c>
      <c r="O9" s="131">
        <f t="shared" si="6"/>
        <v>21691263.3288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44382</v>
      </c>
      <c r="C10" s="134">
        <v>27</v>
      </c>
      <c r="D10" s="134">
        <v>293</v>
      </c>
      <c r="E10" s="115">
        <v>1035.78</v>
      </c>
      <c r="F10" s="120">
        <v>2938</v>
      </c>
      <c r="G10" s="117">
        <v>14580</v>
      </c>
      <c r="H10" s="118">
        <f t="shared" si="0"/>
        <v>17518</v>
      </c>
      <c r="I10" s="119">
        <v>7608</v>
      </c>
      <c r="J10" s="119">
        <f t="shared" si="3"/>
        <v>9910</v>
      </c>
      <c r="K10" s="119">
        <f t="shared" si="4"/>
        <v>4564682.46</v>
      </c>
      <c r="L10" s="119">
        <f t="shared" si="1"/>
        <v>15101672.4</v>
      </c>
      <c r="M10" s="119">
        <f t="shared" si="2"/>
        <v>19666354.859999999</v>
      </c>
      <c r="N10" s="119">
        <f t="shared" si="5"/>
        <v>589990.64579999994</v>
      </c>
      <c r="O10" s="131">
        <f t="shared" si="6"/>
        <v>20256345.505799998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44383</v>
      </c>
      <c r="C11" s="134">
        <v>27</v>
      </c>
      <c r="D11" s="134">
        <v>140</v>
      </c>
      <c r="E11" s="115">
        <v>1035.78</v>
      </c>
      <c r="F11" s="120">
        <v>2902</v>
      </c>
      <c r="G11" s="117">
        <v>15230</v>
      </c>
      <c r="H11" s="118">
        <f t="shared" si="0"/>
        <v>18132</v>
      </c>
      <c r="I11" s="119">
        <v>7698</v>
      </c>
      <c r="J11" s="119">
        <f t="shared" si="3"/>
        <v>10434</v>
      </c>
      <c r="K11" s="119">
        <f t="shared" si="4"/>
        <v>4508750.34</v>
      </c>
      <c r="L11" s="119">
        <f t="shared" si="1"/>
        <v>15774929.4</v>
      </c>
      <c r="M11" s="119">
        <f t="shared" si="2"/>
        <v>20283679.740000002</v>
      </c>
      <c r="N11" s="119">
        <f t="shared" si="5"/>
        <v>608510.3922</v>
      </c>
      <c r="O11" s="131">
        <f t="shared" si="6"/>
        <v>20892190.132200003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44384</v>
      </c>
      <c r="C12" s="134">
        <v>23</v>
      </c>
      <c r="D12" s="134">
        <v>139</v>
      </c>
      <c r="E12" s="115">
        <v>1035.78</v>
      </c>
      <c r="F12" s="120">
        <v>2670</v>
      </c>
      <c r="G12" s="117">
        <v>13598</v>
      </c>
      <c r="H12" s="118">
        <f t="shared" si="0"/>
        <v>16268</v>
      </c>
      <c r="I12" s="119">
        <v>6693</v>
      </c>
      <c r="J12" s="119">
        <f t="shared" si="3"/>
        <v>9575</v>
      </c>
      <c r="K12" s="119">
        <f t="shared" si="4"/>
        <v>4148298.9</v>
      </c>
      <c r="L12" s="119">
        <f t="shared" si="1"/>
        <v>14084536.439999999</v>
      </c>
      <c r="M12" s="119">
        <f t="shared" si="2"/>
        <v>18232835.34</v>
      </c>
      <c r="N12" s="119">
        <f t="shared" si="5"/>
        <v>546985.06019999995</v>
      </c>
      <c r="O12" s="131">
        <f t="shared" si="6"/>
        <v>18779820.400199998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44385</v>
      </c>
      <c r="C13" s="134">
        <v>22</v>
      </c>
      <c r="D13" s="134">
        <v>122</v>
      </c>
      <c r="E13" s="115">
        <v>1035.78</v>
      </c>
      <c r="F13" s="120">
        <v>2712</v>
      </c>
      <c r="G13" s="117">
        <v>13070</v>
      </c>
      <c r="H13" s="118">
        <f t="shared" si="0"/>
        <v>15782</v>
      </c>
      <c r="I13" s="119">
        <v>6433</v>
      </c>
      <c r="J13" s="119">
        <f t="shared" si="3"/>
        <v>9349</v>
      </c>
      <c r="K13" s="119">
        <f t="shared" si="4"/>
        <v>4213553.04</v>
      </c>
      <c r="L13" s="119">
        <f t="shared" si="1"/>
        <v>13537644.6</v>
      </c>
      <c r="M13" s="119">
        <f t="shared" si="2"/>
        <v>17751197.640000001</v>
      </c>
      <c r="N13" s="119">
        <f t="shared" si="5"/>
        <v>532535.92920000001</v>
      </c>
      <c r="O13" s="131">
        <f t="shared" si="6"/>
        <v>18283733.569200002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44386</v>
      </c>
      <c r="C14" s="134">
        <v>29</v>
      </c>
      <c r="D14" s="134">
        <v>162</v>
      </c>
      <c r="E14" s="115">
        <v>1035.78</v>
      </c>
      <c r="F14" s="120">
        <v>2842</v>
      </c>
      <c r="G14" s="117">
        <v>13450</v>
      </c>
      <c r="H14" s="118">
        <f t="shared" si="0"/>
        <v>16292</v>
      </c>
      <c r="I14" s="119">
        <v>6759</v>
      </c>
      <c r="J14" s="119">
        <f t="shared" si="3"/>
        <v>9533</v>
      </c>
      <c r="K14" s="119">
        <f t="shared" si="4"/>
        <v>4415530.1399999997</v>
      </c>
      <c r="L14" s="119">
        <f t="shared" si="1"/>
        <v>13931241</v>
      </c>
      <c r="M14" s="119">
        <f t="shared" si="2"/>
        <v>18346771.140000001</v>
      </c>
      <c r="N14" s="119">
        <f t="shared" si="5"/>
        <v>550403.13419999997</v>
      </c>
      <c r="O14" s="131">
        <f t="shared" si="6"/>
        <v>18897174.2742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44387</v>
      </c>
      <c r="C15" s="134">
        <v>38</v>
      </c>
      <c r="D15" s="134">
        <v>187</v>
      </c>
      <c r="E15" s="115">
        <v>1035.78</v>
      </c>
      <c r="F15" s="120">
        <v>3000</v>
      </c>
      <c r="G15" s="117">
        <v>14038</v>
      </c>
      <c r="H15" s="118">
        <f t="shared" si="0"/>
        <v>17038</v>
      </c>
      <c r="I15" s="119">
        <v>7189</v>
      </c>
      <c r="J15" s="119">
        <f t="shared" si="3"/>
        <v>9849</v>
      </c>
      <c r="K15" s="119">
        <f t="shared" si="4"/>
        <v>4661010</v>
      </c>
      <c r="L15" s="119">
        <f t="shared" si="1"/>
        <v>14540279.639999999</v>
      </c>
      <c r="M15" s="119">
        <f t="shared" si="2"/>
        <v>19201289.640000001</v>
      </c>
      <c r="N15" s="119">
        <f t="shared" si="5"/>
        <v>576038.68920000002</v>
      </c>
      <c r="O15" s="131">
        <f t="shared" si="6"/>
        <v>19777328.3292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44388</v>
      </c>
      <c r="C16" s="134">
        <v>13</v>
      </c>
      <c r="D16" s="134">
        <v>150</v>
      </c>
      <c r="E16" s="115">
        <v>1035.78</v>
      </c>
      <c r="F16" s="120">
        <v>2910</v>
      </c>
      <c r="G16" s="117">
        <v>14572</v>
      </c>
      <c r="H16" s="118">
        <f t="shared" si="0"/>
        <v>17482</v>
      </c>
      <c r="I16" s="119">
        <v>7385</v>
      </c>
      <c r="J16" s="119">
        <f t="shared" si="3"/>
        <v>10097</v>
      </c>
      <c r="K16" s="119">
        <f t="shared" si="4"/>
        <v>4521179.7</v>
      </c>
      <c r="L16" s="119">
        <f t="shared" si="1"/>
        <v>15093386.16</v>
      </c>
      <c r="M16" s="119">
        <f t="shared" si="2"/>
        <v>19614565.859999999</v>
      </c>
      <c r="N16" s="119">
        <f t="shared" si="5"/>
        <v>588436.97580000001</v>
      </c>
      <c r="O16" s="131">
        <f t="shared" si="6"/>
        <v>20203002.8358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44389</v>
      </c>
      <c r="C17" s="134">
        <v>22</v>
      </c>
      <c r="D17" s="134">
        <v>94</v>
      </c>
      <c r="E17" s="115">
        <v>1035.78</v>
      </c>
      <c r="F17" s="120">
        <v>2798</v>
      </c>
      <c r="G17" s="117">
        <v>13858</v>
      </c>
      <c r="H17" s="118">
        <f t="shared" si="0"/>
        <v>16656</v>
      </c>
      <c r="I17" s="119">
        <v>6984</v>
      </c>
      <c r="J17" s="119">
        <f t="shared" si="3"/>
        <v>9672</v>
      </c>
      <c r="K17" s="119">
        <f t="shared" si="4"/>
        <v>4347168.66</v>
      </c>
      <c r="L17" s="119">
        <f t="shared" si="1"/>
        <v>14353839.24</v>
      </c>
      <c r="M17" s="119">
        <f t="shared" si="2"/>
        <v>18701007.899999999</v>
      </c>
      <c r="N17" s="119">
        <f t="shared" si="5"/>
        <v>561030.23699999996</v>
      </c>
      <c r="O17" s="131">
        <f t="shared" si="6"/>
        <v>19262038.136999998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44390</v>
      </c>
      <c r="C18" s="134">
        <v>17</v>
      </c>
      <c r="D18" s="134">
        <v>100</v>
      </c>
      <c r="E18" s="115">
        <v>1035.78</v>
      </c>
      <c r="F18" s="120">
        <v>2780</v>
      </c>
      <c r="G18" s="117">
        <v>13098</v>
      </c>
      <c r="H18" s="118">
        <f t="shared" si="0"/>
        <v>15878</v>
      </c>
      <c r="I18" s="119">
        <v>6493</v>
      </c>
      <c r="J18" s="119">
        <f t="shared" si="3"/>
        <v>9385</v>
      </c>
      <c r="K18" s="119">
        <f t="shared" si="4"/>
        <v>4319202.5999999996</v>
      </c>
      <c r="L18" s="119">
        <f t="shared" si="1"/>
        <v>13566646.439999999</v>
      </c>
      <c r="M18" s="119">
        <f t="shared" si="2"/>
        <v>17885849.039999999</v>
      </c>
      <c r="N18" s="119">
        <f t="shared" si="5"/>
        <v>536575.47119999991</v>
      </c>
      <c r="O18" s="131">
        <f t="shared" si="6"/>
        <v>18422424.5112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44391</v>
      </c>
      <c r="C19" s="134">
        <v>14</v>
      </c>
      <c r="D19" s="134">
        <v>89</v>
      </c>
      <c r="E19" s="115">
        <v>1035.78</v>
      </c>
      <c r="F19" s="120">
        <v>2840</v>
      </c>
      <c r="G19" s="117">
        <v>13692</v>
      </c>
      <c r="H19" s="118">
        <f t="shared" si="0"/>
        <v>16532</v>
      </c>
      <c r="I19" s="119">
        <v>6679</v>
      </c>
      <c r="J19" s="119">
        <f t="shared" si="3"/>
        <v>9853</v>
      </c>
      <c r="K19" s="119">
        <f t="shared" si="4"/>
        <v>4412422.8</v>
      </c>
      <c r="L19" s="119">
        <f t="shared" si="1"/>
        <v>14181899.76</v>
      </c>
      <c r="M19" s="119">
        <f t="shared" si="2"/>
        <v>18594322.559999999</v>
      </c>
      <c r="N19" s="119">
        <f t="shared" si="5"/>
        <v>557829.6767999999</v>
      </c>
      <c r="O19" s="131">
        <f t="shared" si="6"/>
        <v>19152152.2368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44392</v>
      </c>
      <c r="C20" s="134">
        <v>7</v>
      </c>
      <c r="D20" s="134">
        <v>52</v>
      </c>
      <c r="E20" s="115">
        <v>1035.78</v>
      </c>
      <c r="F20" s="120">
        <v>2750</v>
      </c>
      <c r="G20" s="117">
        <v>13654</v>
      </c>
      <c r="H20" s="118">
        <f t="shared" si="0"/>
        <v>16404</v>
      </c>
      <c r="I20" s="119">
        <v>6663</v>
      </c>
      <c r="J20" s="119">
        <f t="shared" si="3"/>
        <v>9741</v>
      </c>
      <c r="K20" s="119">
        <f t="shared" si="4"/>
        <v>4272592.5</v>
      </c>
      <c r="L20" s="119">
        <f t="shared" si="1"/>
        <v>14142540.119999999</v>
      </c>
      <c r="M20" s="119">
        <f t="shared" si="2"/>
        <v>18415132.619999997</v>
      </c>
      <c r="N20" s="119">
        <f t="shared" si="5"/>
        <v>552453.97859999991</v>
      </c>
      <c r="O20" s="131">
        <f t="shared" si="6"/>
        <v>18967586.598599996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44393</v>
      </c>
      <c r="C21" s="134">
        <v>16</v>
      </c>
      <c r="D21" s="134">
        <v>83</v>
      </c>
      <c r="E21" s="115">
        <v>1035.78</v>
      </c>
      <c r="F21" s="120">
        <v>2660</v>
      </c>
      <c r="G21" s="117">
        <v>13208</v>
      </c>
      <c r="H21" s="118">
        <f t="shared" si="0"/>
        <v>15868</v>
      </c>
      <c r="I21" s="119">
        <v>6451</v>
      </c>
      <c r="J21" s="119">
        <f t="shared" si="3"/>
        <v>9417</v>
      </c>
      <c r="K21" s="119">
        <f t="shared" si="4"/>
        <v>4132762.1999999997</v>
      </c>
      <c r="L21" s="119">
        <f t="shared" si="1"/>
        <v>13680582.24</v>
      </c>
      <c r="M21" s="119">
        <f t="shared" si="2"/>
        <v>17813344.440000001</v>
      </c>
      <c r="N21" s="119">
        <f t="shared" si="5"/>
        <v>534400.33319999999</v>
      </c>
      <c r="O21" s="131">
        <f t="shared" si="6"/>
        <v>18347744.773200002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44394</v>
      </c>
      <c r="C22" s="134">
        <v>22</v>
      </c>
      <c r="D22" s="134">
        <v>127</v>
      </c>
      <c r="E22" s="115">
        <v>1035.78</v>
      </c>
      <c r="F22" s="120">
        <v>2780</v>
      </c>
      <c r="G22" s="117">
        <v>13098</v>
      </c>
      <c r="H22" s="118">
        <f t="shared" si="0"/>
        <v>15878</v>
      </c>
      <c r="I22" s="119">
        <v>6493</v>
      </c>
      <c r="J22" s="119">
        <f t="shared" si="3"/>
        <v>9385</v>
      </c>
      <c r="K22" s="119">
        <f t="shared" si="4"/>
        <v>4319202.5999999996</v>
      </c>
      <c r="L22" s="119">
        <f t="shared" si="1"/>
        <v>13566646.439999999</v>
      </c>
      <c r="M22" s="119">
        <f t="shared" si="2"/>
        <v>17885849.039999999</v>
      </c>
      <c r="N22" s="119">
        <f t="shared" si="5"/>
        <v>536575.47119999991</v>
      </c>
      <c r="O22" s="131">
        <f t="shared" si="6"/>
        <v>18422424.5112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44395</v>
      </c>
      <c r="C23" s="134">
        <v>14</v>
      </c>
      <c r="D23" s="134">
        <v>91</v>
      </c>
      <c r="E23" s="115">
        <v>1035.78</v>
      </c>
      <c r="F23" s="120">
        <v>2760</v>
      </c>
      <c r="G23" s="117">
        <v>13290</v>
      </c>
      <c r="H23" s="118">
        <f t="shared" si="0"/>
        <v>16050</v>
      </c>
      <c r="I23" s="119">
        <v>6655</v>
      </c>
      <c r="J23" s="119">
        <f t="shared" si="3"/>
        <v>9395</v>
      </c>
      <c r="K23" s="119">
        <f t="shared" si="4"/>
        <v>4288129.2</v>
      </c>
      <c r="L23" s="119">
        <f t="shared" si="1"/>
        <v>13765516.199999999</v>
      </c>
      <c r="M23" s="119">
        <f t="shared" si="2"/>
        <v>18053645.399999999</v>
      </c>
      <c r="N23" s="119">
        <f t="shared" si="5"/>
        <v>541609.36199999996</v>
      </c>
      <c r="O23" s="131">
        <f t="shared" si="6"/>
        <v>18595254.761999998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44396</v>
      </c>
      <c r="C24" s="134">
        <v>16</v>
      </c>
      <c r="D24" s="134">
        <v>77</v>
      </c>
      <c r="E24" s="115">
        <v>1035.78</v>
      </c>
      <c r="F24" s="120">
        <v>2802</v>
      </c>
      <c r="G24" s="117">
        <v>13674</v>
      </c>
      <c r="H24" s="118">
        <f t="shared" si="0"/>
        <v>16476</v>
      </c>
      <c r="I24" s="119">
        <v>6755</v>
      </c>
      <c r="J24" s="119">
        <f t="shared" si="3"/>
        <v>9721</v>
      </c>
      <c r="K24" s="119">
        <f t="shared" si="4"/>
        <v>4353383.34</v>
      </c>
      <c r="L24" s="119">
        <f t="shared" si="1"/>
        <v>14163255.719999999</v>
      </c>
      <c r="M24" s="119">
        <f t="shared" si="2"/>
        <v>18516639.059999999</v>
      </c>
      <c r="N24" s="119">
        <f t="shared" si="5"/>
        <v>555499.17179999989</v>
      </c>
      <c r="O24" s="131">
        <f t="shared" si="6"/>
        <v>19072138.231799997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44397</v>
      </c>
      <c r="C25" s="134">
        <v>21</v>
      </c>
      <c r="D25" s="134">
        <v>110</v>
      </c>
      <c r="E25" s="115">
        <v>1035.78</v>
      </c>
      <c r="F25" s="120">
        <v>2780</v>
      </c>
      <c r="G25" s="117">
        <v>13404</v>
      </c>
      <c r="H25" s="118">
        <f t="shared" si="0"/>
        <v>16184</v>
      </c>
      <c r="I25" s="119">
        <v>6595</v>
      </c>
      <c r="J25" s="119">
        <f t="shared" si="3"/>
        <v>9589</v>
      </c>
      <c r="K25" s="119">
        <f t="shared" si="4"/>
        <v>4319202.5999999996</v>
      </c>
      <c r="L25" s="119">
        <f t="shared" si="1"/>
        <v>13883595.119999999</v>
      </c>
      <c r="M25" s="119">
        <f t="shared" si="2"/>
        <v>18202797.719999999</v>
      </c>
      <c r="N25" s="119">
        <f t="shared" si="5"/>
        <v>546083.93159999989</v>
      </c>
      <c r="O25" s="131">
        <f t="shared" si="6"/>
        <v>18748881.6516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44398</v>
      </c>
      <c r="C26" s="134">
        <v>15</v>
      </c>
      <c r="D26" s="134">
        <v>111</v>
      </c>
      <c r="E26" s="115">
        <v>1035.78</v>
      </c>
      <c r="F26" s="120">
        <v>2708</v>
      </c>
      <c r="G26" s="117">
        <v>13414</v>
      </c>
      <c r="H26" s="118">
        <f t="shared" si="0"/>
        <v>16122</v>
      </c>
      <c r="I26" s="119">
        <v>6650</v>
      </c>
      <c r="J26" s="119">
        <f t="shared" si="3"/>
        <v>9472</v>
      </c>
      <c r="K26" s="119">
        <f t="shared" si="4"/>
        <v>4207338.3600000003</v>
      </c>
      <c r="L26" s="119">
        <f t="shared" si="1"/>
        <v>13893952.92</v>
      </c>
      <c r="M26" s="119">
        <f t="shared" si="2"/>
        <v>18101291.280000001</v>
      </c>
      <c r="N26" s="119">
        <f t="shared" si="5"/>
        <v>543038.73840000003</v>
      </c>
      <c r="O26" s="131">
        <f t="shared" si="6"/>
        <v>18644330.018400002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44399</v>
      </c>
      <c r="C27" s="134">
        <v>19</v>
      </c>
      <c r="D27" s="134">
        <v>117</v>
      </c>
      <c r="E27" s="115">
        <v>1035.78</v>
      </c>
      <c r="F27" s="120">
        <v>2762</v>
      </c>
      <c r="G27" s="117">
        <v>13122</v>
      </c>
      <c r="H27" s="121">
        <f t="shared" si="0"/>
        <v>15884</v>
      </c>
      <c r="I27" s="119">
        <v>6481</v>
      </c>
      <c r="J27" s="119">
        <f t="shared" si="3"/>
        <v>9403</v>
      </c>
      <c r="K27" s="119">
        <f t="shared" si="4"/>
        <v>4291236.54</v>
      </c>
      <c r="L27" s="119">
        <f t="shared" si="1"/>
        <v>13591505.16</v>
      </c>
      <c r="M27" s="119">
        <f t="shared" si="2"/>
        <v>17882741.699999999</v>
      </c>
      <c r="N27" s="119">
        <f t="shared" si="5"/>
        <v>536482.25099999993</v>
      </c>
      <c r="O27" s="131">
        <f t="shared" si="6"/>
        <v>18419223.950999998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44400</v>
      </c>
      <c r="C28" s="134">
        <v>22</v>
      </c>
      <c r="D28" s="134">
        <v>104</v>
      </c>
      <c r="E28" s="115">
        <v>1035.78</v>
      </c>
      <c r="F28" s="120">
        <v>2628</v>
      </c>
      <c r="G28" s="117">
        <v>12970</v>
      </c>
      <c r="H28" s="121">
        <f t="shared" si="0"/>
        <v>15598</v>
      </c>
      <c r="I28" s="119">
        <v>6111</v>
      </c>
      <c r="J28" s="119">
        <f t="shared" si="3"/>
        <v>9487</v>
      </c>
      <c r="K28" s="119">
        <f t="shared" si="4"/>
        <v>4083044.76</v>
      </c>
      <c r="L28" s="119">
        <f t="shared" si="1"/>
        <v>13434066.6</v>
      </c>
      <c r="M28" s="119">
        <f t="shared" si="2"/>
        <v>17517111.359999999</v>
      </c>
      <c r="N28" s="119">
        <f t="shared" si="5"/>
        <v>525513.34080000001</v>
      </c>
      <c r="O28" s="131">
        <f t="shared" si="6"/>
        <v>18042624.700799998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44401</v>
      </c>
      <c r="C29" s="134">
        <v>28</v>
      </c>
      <c r="D29" s="134">
        <v>158</v>
      </c>
      <c r="E29" s="115">
        <v>1035.78</v>
      </c>
      <c r="F29" s="120">
        <v>2738</v>
      </c>
      <c r="G29" s="117">
        <v>13104</v>
      </c>
      <c r="H29" s="121">
        <f t="shared" si="0"/>
        <v>15842</v>
      </c>
      <c r="I29" s="119">
        <v>6301</v>
      </c>
      <c r="J29" s="119">
        <f t="shared" si="3"/>
        <v>9541</v>
      </c>
      <c r="K29" s="119">
        <f t="shared" si="4"/>
        <v>4253948.46</v>
      </c>
      <c r="L29" s="119">
        <f t="shared" si="1"/>
        <v>13572861.119999999</v>
      </c>
      <c r="M29" s="119">
        <f t="shared" si="2"/>
        <v>17826809.579999998</v>
      </c>
      <c r="N29" s="119">
        <f t="shared" si="5"/>
        <v>534804.28739999991</v>
      </c>
      <c r="O29" s="131">
        <f t="shared" si="6"/>
        <v>18361613.867399998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44402</v>
      </c>
      <c r="C30" s="134">
        <v>20</v>
      </c>
      <c r="D30" s="134">
        <v>147</v>
      </c>
      <c r="E30" s="115">
        <v>1035.78</v>
      </c>
      <c r="F30" s="120">
        <v>2572</v>
      </c>
      <c r="G30" s="117">
        <v>12684</v>
      </c>
      <c r="H30" s="121">
        <f t="shared" si="0"/>
        <v>15256</v>
      </c>
      <c r="I30" s="119">
        <v>5813</v>
      </c>
      <c r="J30" s="119">
        <f t="shared" si="3"/>
        <v>9443</v>
      </c>
      <c r="K30" s="119">
        <f t="shared" si="4"/>
        <v>3996039.2399999998</v>
      </c>
      <c r="L30" s="119">
        <f t="shared" si="1"/>
        <v>13137833.52</v>
      </c>
      <c r="M30" s="119">
        <f t="shared" si="2"/>
        <v>17133872.759999998</v>
      </c>
      <c r="N30" s="119">
        <f t="shared" si="5"/>
        <v>514016.18279999989</v>
      </c>
      <c r="O30" s="131">
        <f t="shared" si="6"/>
        <v>17647888.942799997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44403</v>
      </c>
      <c r="C31" s="134">
        <v>17</v>
      </c>
      <c r="D31" s="134">
        <v>114</v>
      </c>
      <c r="E31" s="115">
        <v>1035.78</v>
      </c>
      <c r="F31" s="120">
        <v>2594</v>
      </c>
      <c r="G31" s="117">
        <v>12358</v>
      </c>
      <c r="H31" s="121">
        <f t="shared" si="0"/>
        <v>14952</v>
      </c>
      <c r="I31" s="119">
        <v>5425</v>
      </c>
      <c r="J31" s="119">
        <f t="shared" si="3"/>
        <v>9527</v>
      </c>
      <c r="K31" s="119">
        <f t="shared" si="4"/>
        <v>4030219.98</v>
      </c>
      <c r="L31" s="119">
        <f t="shared" si="1"/>
        <v>12800169.24</v>
      </c>
      <c r="M31" s="119">
        <f t="shared" si="2"/>
        <v>16830389.219999999</v>
      </c>
      <c r="N31" s="119">
        <f t="shared" si="5"/>
        <v>504911.67659999995</v>
      </c>
      <c r="O31" s="131">
        <f t="shared" si="6"/>
        <v>17335300.896600001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44404</v>
      </c>
      <c r="C32" s="134">
        <v>23</v>
      </c>
      <c r="D32" s="134">
        <v>240</v>
      </c>
      <c r="E32" s="115">
        <v>1035.78</v>
      </c>
      <c r="F32" s="120">
        <v>2622</v>
      </c>
      <c r="G32" s="117">
        <v>13306</v>
      </c>
      <c r="H32" s="121">
        <f t="shared" si="0"/>
        <v>15928</v>
      </c>
      <c r="I32" s="119">
        <v>5843</v>
      </c>
      <c r="J32" s="119">
        <f t="shared" si="3"/>
        <v>10085</v>
      </c>
      <c r="K32" s="119">
        <f t="shared" si="4"/>
        <v>4073722.7399999998</v>
      </c>
      <c r="L32" s="119">
        <f t="shared" si="1"/>
        <v>13782088.68</v>
      </c>
      <c r="M32" s="119">
        <f t="shared" si="2"/>
        <v>17855811.419999998</v>
      </c>
      <c r="N32" s="119">
        <f t="shared" si="5"/>
        <v>535674.34259999997</v>
      </c>
      <c r="O32" s="131">
        <f t="shared" si="6"/>
        <v>18391485.762599997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44405</v>
      </c>
      <c r="C33" s="134">
        <v>19</v>
      </c>
      <c r="D33" s="134">
        <v>117</v>
      </c>
      <c r="E33" s="115">
        <v>1035.78</v>
      </c>
      <c r="F33" s="120">
        <v>2590</v>
      </c>
      <c r="G33" s="117">
        <v>12600</v>
      </c>
      <c r="H33" s="121">
        <f t="shared" si="0"/>
        <v>15190</v>
      </c>
      <c r="I33" s="119">
        <v>5783</v>
      </c>
      <c r="J33" s="119">
        <f t="shared" si="3"/>
        <v>9407</v>
      </c>
      <c r="K33" s="119">
        <f t="shared" si="4"/>
        <v>4024005.3</v>
      </c>
      <c r="L33" s="119">
        <f t="shared" si="1"/>
        <v>13050828</v>
      </c>
      <c r="M33" s="119">
        <f t="shared" si="2"/>
        <v>17074833.300000001</v>
      </c>
      <c r="N33" s="119">
        <f t="shared" si="5"/>
        <v>512244.99900000001</v>
      </c>
      <c r="O33" s="131">
        <f t="shared" si="6"/>
        <v>17587078.299000002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44406</v>
      </c>
      <c r="C34" s="134">
        <v>15</v>
      </c>
      <c r="D34" s="134">
        <v>85</v>
      </c>
      <c r="E34" s="115">
        <v>1035.78</v>
      </c>
      <c r="F34" s="120">
        <v>2590</v>
      </c>
      <c r="G34" s="117">
        <v>12392</v>
      </c>
      <c r="H34" s="121">
        <f t="shared" si="0"/>
        <v>14982</v>
      </c>
      <c r="I34" s="119">
        <v>5850</v>
      </c>
      <c r="J34" s="119">
        <f t="shared" ref="J34:J35" si="7">+H34-I34</f>
        <v>9132</v>
      </c>
      <c r="K34" s="119">
        <f t="shared" ref="K34:K36" si="8">F34*1.5*E34</f>
        <v>4024005.3</v>
      </c>
      <c r="L34" s="119">
        <f t="shared" ref="L34:L36" si="9">G34*E34</f>
        <v>12835385.76</v>
      </c>
      <c r="M34" s="119">
        <f t="shared" ref="M34:M36" si="10">L34+K34</f>
        <v>16859391.059999999</v>
      </c>
      <c r="N34" s="119">
        <f t="shared" ref="N34:N36" si="11">M34*0.03</f>
        <v>505781.73179999995</v>
      </c>
      <c r="O34" s="131">
        <f t="shared" ref="O34:O36" si="12">M34+N34</f>
        <v>17365172.7918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44407</v>
      </c>
      <c r="C35" s="137">
        <v>24</v>
      </c>
      <c r="D35" s="137">
        <v>121</v>
      </c>
      <c r="E35" s="115">
        <v>1035.78</v>
      </c>
      <c r="F35" s="167">
        <v>2610</v>
      </c>
      <c r="G35" s="168">
        <v>12102</v>
      </c>
      <c r="H35" s="138">
        <f t="shared" si="0"/>
        <v>14712</v>
      </c>
      <c r="I35" s="171">
        <v>6437</v>
      </c>
      <c r="J35" s="139">
        <f t="shared" si="7"/>
        <v>8275</v>
      </c>
      <c r="K35" s="119">
        <f t="shared" si="8"/>
        <v>4055078.6999999997</v>
      </c>
      <c r="L35" s="139">
        <f t="shared" si="9"/>
        <v>12535009.560000001</v>
      </c>
      <c r="M35" s="119">
        <f t="shared" si="10"/>
        <v>16590088.26</v>
      </c>
      <c r="N35" s="119">
        <f t="shared" ref="N35" si="13">M35*0.03</f>
        <v>497702.64779999998</v>
      </c>
      <c r="O35" s="131">
        <f t="shared" ref="O35" si="14">M35+N35</f>
        <v>17087790.9078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44408</v>
      </c>
      <c r="C36" s="135">
        <v>32</v>
      </c>
      <c r="D36" s="135">
        <v>172</v>
      </c>
      <c r="E36" s="122">
        <v>1035.78</v>
      </c>
      <c r="F36" s="169">
        <v>2592</v>
      </c>
      <c r="G36" s="170">
        <v>12790</v>
      </c>
      <c r="H36" s="123">
        <f>G36+F36</f>
        <v>15382</v>
      </c>
      <c r="I36" s="172">
        <v>6297</v>
      </c>
      <c r="J36" s="124">
        <f>+H36-I36</f>
        <v>9085</v>
      </c>
      <c r="K36" s="124">
        <f t="shared" si="8"/>
        <v>4027112.6399999997</v>
      </c>
      <c r="L36" s="124">
        <f t="shared" si="9"/>
        <v>13247626.199999999</v>
      </c>
      <c r="M36" s="124">
        <f t="shared" si="10"/>
        <v>17274738.84</v>
      </c>
      <c r="N36" s="124">
        <f t="shared" si="11"/>
        <v>518242.16519999999</v>
      </c>
      <c r="O36" s="132">
        <f t="shared" si="12"/>
        <v>17792981.005199999</v>
      </c>
      <c r="P36" s="1"/>
      <c r="Q36" s="1"/>
      <c r="R36" s="1"/>
      <c r="S36" s="1"/>
      <c r="T36" s="1"/>
    </row>
    <row r="37" spans="2:20" s="1" customFormat="1" x14ac:dyDescent="0.25">
      <c r="B37" s="9"/>
      <c r="C37" s="9"/>
      <c r="D37" s="136">
        <f>SUM(D6:D36)</f>
        <v>4476</v>
      </c>
      <c r="E37" s="133" t="s">
        <v>2</v>
      </c>
      <c r="F37" s="125">
        <f t="shared" ref="F37:O37" si="15">SUM(F6:F36)</f>
        <v>86522</v>
      </c>
      <c r="G37" s="125">
        <f t="shared" si="15"/>
        <v>420060</v>
      </c>
      <c r="H37" s="125">
        <f t="shared" si="15"/>
        <v>506582</v>
      </c>
      <c r="I37" s="125">
        <f t="shared" si="15"/>
        <v>206607</v>
      </c>
      <c r="J37" s="125">
        <f t="shared" si="15"/>
        <v>299975</v>
      </c>
      <c r="K37" s="125">
        <f t="shared" si="15"/>
        <v>134426635.73999998</v>
      </c>
      <c r="L37" s="125">
        <f t="shared" si="15"/>
        <v>435089746.80000001</v>
      </c>
      <c r="M37" s="125">
        <f t="shared" si="15"/>
        <v>569516382.54000008</v>
      </c>
      <c r="N37" s="125">
        <f t="shared" si="15"/>
        <v>17085491.476199999</v>
      </c>
      <c r="O37" s="125">
        <f t="shared" si="15"/>
        <v>586601874.01619995</v>
      </c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  <c r="Q39" s="12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73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73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73"/>
      <c r="O45" s="22"/>
      <c r="P45" s="25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P47" s="48"/>
      <c r="Q47" s="12"/>
    </row>
    <row r="48" spans="2:20" s="1" customFormat="1" x14ac:dyDescent="0.25">
      <c r="E48" s="27"/>
      <c r="F48" s="75"/>
      <c r="G48" s="69"/>
      <c r="H48" s="67"/>
      <c r="I48" s="67"/>
      <c r="J48" s="67"/>
    </row>
    <row r="49" spans="6:15" s="1" customFormat="1" x14ac:dyDescent="0.25">
      <c r="F49" s="69"/>
      <c r="G49" s="69"/>
      <c r="H49" s="67"/>
      <c r="I49" s="67"/>
      <c r="J49" s="67"/>
      <c r="O49" s="28"/>
    </row>
    <row r="50" spans="6:15" s="1" customFormat="1" x14ac:dyDescent="0.25">
      <c r="F50" s="69"/>
      <c r="G50" s="69"/>
      <c r="H50" s="76"/>
      <c r="I50" s="76"/>
      <c r="J50" s="76"/>
      <c r="O50" s="28"/>
    </row>
    <row r="51" spans="6:15" s="29" customFormat="1" x14ac:dyDescent="0.25">
      <c r="F51" s="77"/>
      <c r="G51" s="77"/>
      <c r="H51" s="78"/>
      <c r="I51" s="78"/>
      <c r="J51" s="78"/>
      <c r="O51" s="30"/>
    </row>
    <row r="52" spans="6:15" s="29" customFormat="1" x14ac:dyDescent="0.25">
      <c r="F52" s="77"/>
      <c r="G52" s="77"/>
      <c r="H52" s="79"/>
      <c r="I52" s="79"/>
      <c r="J52" s="79"/>
    </row>
    <row r="53" spans="6:15" s="29" customFormat="1" x14ac:dyDescent="0.25">
      <c r="F53" s="77"/>
      <c r="G53" s="77"/>
      <c r="H53" s="77"/>
      <c r="I53" s="77"/>
      <c r="J53" s="77"/>
    </row>
    <row r="54" spans="6:15" s="29" customFormat="1" x14ac:dyDescent="0.25">
      <c r="F54" s="77"/>
      <c r="G54" s="77"/>
      <c r="H54" s="79"/>
      <c r="I54" s="79"/>
      <c r="J54" s="79"/>
    </row>
    <row r="55" spans="6:15" s="29" customFormat="1" x14ac:dyDescent="0.25">
      <c r="F55" s="77"/>
      <c r="G55" s="77"/>
      <c r="H55" s="77"/>
      <c r="I55" s="77"/>
      <c r="J55" s="77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4" priority="70" operator="greaterThan">
      <formula>$H$48</formula>
    </cfRule>
  </conditionalFormatting>
  <conditionalFormatting sqref="H6:H36">
    <cfRule type="cellIs" dxfId="13" priority="69" operator="greaterThan">
      <formula>$H$48</formula>
    </cfRule>
  </conditionalFormatting>
  <conditionalFormatting sqref="F6:F24">
    <cfRule type="cellIs" dxfId="12" priority="14" operator="greaterThan">
      <formula>$D$47</formula>
    </cfRule>
  </conditionalFormatting>
  <conditionalFormatting sqref="G6:G24">
    <cfRule type="cellIs" dxfId="11" priority="13" operator="greaterThan">
      <formula>$E$47</formula>
    </cfRule>
  </conditionalFormatting>
  <conditionalFormatting sqref="I6:I24">
    <cfRule type="cellIs" dxfId="10" priority="12" operator="greaterThan">
      <formula>$G$47</formula>
    </cfRule>
  </conditionalFormatting>
  <conditionalFormatting sqref="F25:F29 F34">
    <cfRule type="cellIs" dxfId="9" priority="11" operator="greaterThan">
      <formula>$D$47</formula>
    </cfRule>
  </conditionalFormatting>
  <conditionalFormatting sqref="G25:G29 G34">
    <cfRule type="cellIs" dxfId="8" priority="10" operator="greaterThan">
      <formula>$E$47</formula>
    </cfRule>
  </conditionalFormatting>
  <conditionalFormatting sqref="F30:F33">
    <cfRule type="cellIs" dxfId="7" priority="9" operator="greaterThan">
      <formula>$D$47</formula>
    </cfRule>
  </conditionalFormatting>
  <conditionalFormatting sqref="G30:G33">
    <cfRule type="cellIs" dxfId="6" priority="8" operator="greaterThan">
      <formula>$E$47</formula>
    </cfRule>
  </conditionalFormatting>
  <conditionalFormatting sqref="I25:I29 I34">
    <cfRule type="cellIs" dxfId="5" priority="7" operator="greaterThan">
      <formula>$G$47</formula>
    </cfRule>
  </conditionalFormatting>
  <conditionalFormatting sqref="I30:I33">
    <cfRule type="cellIs" dxfId="4" priority="6" operator="greaterThan">
      <formula>$G$47</formula>
    </cfRule>
  </conditionalFormatting>
  <conditionalFormatting sqref="F35:F36">
    <cfRule type="cellIs" dxfId="3" priority="5" operator="greaterThan">
      <formula>$D$47</formula>
    </cfRule>
  </conditionalFormatting>
  <conditionalFormatting sqref="G36">
    <cfRule type="cellIs" dxfId="2" priority="4" operator="greaterThan">
      <formula>$E$47</formula>
    </cfRule>
  </conditionalFormatting>
  <conditionalFormatting sqref="I35:I36">
    <cfRule type="cellIs" dxfId="1" priority="2" operator="greaterThan">
      <formula>$G$47</formula>
    </cfRule>
  </conditionalFormatting>
  <conditionalFormatting sqref="G35">
    <cfRule type="cellIs" dxfId="0" priority="1" operator="greaterThan">
      <formula>$E$47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topLeftCell="A13" zoomScale="90" zoomScaleNormal="90" workbookViewId="0">
      <selection activeCell="C6" sqref="C6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7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50"/>
  </cols>
  <sheetData>
    <row r="1" spans="1:43" ht="15" customHeight="1" x14ac:dyDescent="0.25">
      <c r="B1" s="191" t="s">
        <v>4</v>
      </c>
      <c r="C1" s="191"/>
      <c r="D1" s="191"/>
      <c r="E1" s="191"/>
      <c r="F1" s="191"/>
      <c r="G1" s="191"/>
    </row>
    <row r="2" spans="1:43" ht="15" customHeight="1" x14ac:dyDescent="0.25">
      <c r="B2" s="191"/>
      <c r="C2" s="191"/>
      <c r="D2" s="191"/>
      <c r="E2" s="191"/>
      <c r="F2" s="191"/>
      <c r="G2" s="191"/>
    </row>
    <row r="3" spans="1:43" s="153" customFormat="1" ht="27" customHeight="1" x14ac:dyDescent="0.3">
      <c r="A3" s="151"/>
      <c r="B3" s="192" t="s">
        <v>0</v>
      </c>
      <c r="C3" s="152" t="s">
        <v>32</v>
      </c>
      <c r="D3" s="193" t="s">
        <v>34</v>
      </c>
      <c r="E3" s="193"/>
      <c r="F3" s="193"/>
      <c r="G3" s="193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</row>
    <row r="4" spans="1:43" s="153" customFormat="1" ht="27" customHeight="1" x14ac:dyDescent="0.3">
      <c r="A4" s="151"/>
      <c r="B4" s="192"/>
      <c r="C4" s="152" t="s">
        <v>33</v>
      </c>
      <c r="D4" s="152" t="s">
        <v>31</v>
      </c>
      <c r="E4" s="154" t="s">
        <v>8</v>
      </c>
      <c r="F4" s="152" t="s">
        <v>42</v>
      </c>
      <c r="G4" s="152" t="s">
        <v>5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</row>
    <row r="5" spans="1:43" ht="15.75" x14ac:dyDescent="0.25">
      <c r="B5" s="33">
        <v>44378</v>
      </c>
      <c r="C5" s="110">
        <f>+SUM(D5:F5)</f>
        <v>236.58000000000393</v>
      </c>
      <c r="D5" s="112">
        <v>15.400000000001455</v>
      </c>
      <c r="E5" s="113">
        <v>207.50000000000364</v>
      </c>
      <c r="F5" s="113">
        <v>13.679999999998836</v>
      </c>
      <c r="G5" s="113">
        <v>68.399999999994179</v>
      </c>
    </row>
    <row r="6" spans="1:43" ht="15.75" x14ac:dyDescent="0.25">
      <c r="B6" s="33">
        <v>44379</v>
      </c>
      <c r="C6" s="110">
        <f>+SUM(D6:F6)</f>
        <v>109.6999999999949</v>
      </c>
      <c r="D6" s="112">
        <v>11</v>
      </c>
      <c r="E6" s="113">
        <v>85.599999999994907</v>
      </c>
      <c r="F6" s="113">
        <v>13.100000000000001</v>
      </c>
      <c r="G6" s="113">
        <v>65.5</v>
      </c>
    </row>
    <row r="7" spans="1:43" ht="15.75" x14ac:dyDescent="0.25">
      <c r="B7" s="33">
        <v>44380</v>
      </c>
      <c r="C7" s="110">
        <f>+SUM(D7:F7)</f>
        <v>124.72000000000625</v>
      </c>
      <c r="D7" s="112">
        <v>28</v>
      </c>
      <c r="E7" s="113">
        <v>82.900000000005093</v>
      </c>
      <c r="F7" s="113">
        <v>13.820000000001166</v>
      </c>
      <c r="G7" s="113">
        <v>69.100000000005821</v>
      </c>
    </row>
    <row r="8" spans="1:43" ht="15.75" x14ac:dyDescent="0.25">
      <c r="B8" s="33">
        <v>44381</v>
      </c>
      <c r="C8" s="110">
        <f>+SUM(D8:F8)</f>
        <v>121.11999999999315</v>
      </c>
      <c r="D8" s="112">
        <v>31</v>
      </c>
      <c r="E8" s="113">
        <v>77.099999999994907</v>
      </c>
      <c r="F8" s="113">
        <v>13.019999999998255</v>
      </c>
      <c r="G8" s="113">
        <v>65.099999999991269</v>
      </c>
    </row>
    <row r="9" spans="1:43" ht="15.75" x14ac:dyDescent="0.25">
      <c r="B9" s="33">
        <v>44382</v>
      </c>
      <c r="C9" s="110">
        <f t="shared" ref="C9:C33" si="0">+SUM(D9:F9)</f>
        <v>117.82000000000407</v>
      </c>
      <c r="D9" s="112">
        <v>23</v>
      </c>
      <c r="E9" s="113">
        <v>85.30000000000291</v>
      </c>
      <c r="F9" s="113">
        <v>9.5200000000011649</v>
      </c>
      <c r="G9" s="113">
        <v>47.600000000005821</v>
      </c>
    </row>
    <row r="10" spans="1:43" ht="15.75" x14ac:dyDescent="0.25">
      <c r="B10" s="33">
        <v>44383</v>
      </c>
      <c r="C10" s="110">
        <f t="shared" si="0"/>
        <v>102.80000000000146</v>
      </c>
      <c r="D10" s="112">
        <v>13</v>
      </c>
      <c r="E10" s="113">
        <v>80.900000000001455</v>
      </c>
      <c r="F10" s="113">
        <v>8.9</v>
      </c>
      <c r="G10" s="113">
        <v>44.5</v>
      </c>
    </row>
    <row r="11" spans="1:43" ht="15.75" x14ac:dyDescent="0.25">
      <c r="B11" s="33">
        <v>44384</v>
      </c>
      <c r="C11" s="110">
        <f t="shared" si="0"/>
        <v>82.679999999995928</v>
      </c>
      <c r="D11" s="112">
        <v>11</v>
      </c>
      <c r="E11" s="113">
        <v>61.69999999999709</v>
      </c>
      <c r="F11" s="113">
        <v>9.9799999999988369</v>
      </c>
      <c r="G11" s="113">
        <v>49.899999999994179</v>
      </c>
    </row>
    <row r="12" spans="1:43" ht="15.75" x14ac:dyDescent="0.25">
      <c r="B12" s="33">
        <v>44385</v>
      </c>
      <c r="C12" s="110">
        <f t="shared" si="0"/>
        <v>99.560000000003498</v>
      </c>
      <c r="D12" s="112">
        <v>12</v>
      </c>
      <c r="E12" s="113">
        <v>68</v>
      </c>
      <c r="F12" s="113">
        <v>19.560000000003495</v>
      </c>
      <c r="G12" s="113">
        <v>97.800000000017462</v>
      </c>
    </row>
    <row r="13" spans="1:43" ht="15.75" x14ac:dyDescent="0.25">
      <c r="B13" s="33">
        <v>44386</v>
      </c>
      <c r="C13" s="110">
        <f t="shared" si="0"/>
        <v>80.580000000000297</v>
      </c>
      <c r="D13" s="112">
        <v>12</v>
      </c>
      <c r="E13" s="113">
        <v>59.400000000001455</v>
      </c>
      <c r="F13" s="113">
        <v>9.1799999999988362</v>
      </c>
      <c r="G13" s="113">
        <v>45.899999999994179</v>
      </c>
    </row>
    <row r="14" spans="1:43" ht="15.75" x14ac:dyDescent="0.25">
      <c r="B14" s="33">
        <v>44387</v>
      </c>
      <c r="C14" s="110">
        <f t="shared" si="0"/>
        <v>118.95999999999621</v>
      </c>
      <c r="D14" s="112">
        <v>16</v>
      </c>
      <c r="E14" s="113">
        <v>76.099999999998545</v>
      </c>
      <c r="F14" s="113">
        <v>26.859999999997672</v>
      </c>
      <c r="G14" s="113">
        <v>134.29999999998836</v>
      </c>
    </row>
    <row r="15" spans="1:43" ht="15.75" x14ac:dyDescent="0.25">
      <c r="B15" s="33">
        <v>44388</v>
      </c>
      <c r="C15" s="110">
        <f t="shared" si="0"/>
        <v>127.5400000000067</v>
      </c>
      <c r="D15" s="112">
        <v>13</v>
      </c>
      <c r="E15" s="113">
        <v>101.70000000000437</v>
      </c>
      <c r="F15" s="113">
        <v>12.840000000002329</v>
      </c>
      <c r="G15" s="113">
        <v>64.200000000011642</v>
      </c>
    </row>
    <row r="16" spans="1:43" ht="15.75" x14ac:dyDescent="0.25">
      <c r="B16" s="33">
        <v>44389</v>
      </c>
      <c r="C16" s="110">
        <f t="shared" si="0"/>
        <v>90.00000000000145</v>
      </c>
      <c r="D16" s="112">
        <v>9</v>
      </c>
      <c r="E16" s="113">
        <v>74.900000000001455</v>
      </c>
      <c r="F16" s="113">
        <v>6.1000000000000005</v>
      </c>
      <c r="G16" s="113">
        <v>30.5</v>
      </c>
    </row>
    <row r="17" spans="2:7" ht="15.75" x14ac:dyDescent="0.25">
      <c r="B17" s="33">
        <v>44390</v>
      </c>
      <c r="C17" s="110">
        <f t="shared" si="0"/>
        <v>122.33999999998632</v>
      </c>
      <c r="D17" s="112">
        <v>11</v>
      </c>
      <c r="E17" s="113">
        <v>90.199999999989814</v>
      </c>
      <c r="F17" s="113">
        <v>21.139999999996508</v>
      </c>
      <c r="G17" s="113">
        <v>105.69999999998254</v>
      </c>
    </row>
    <row r="18" spans="2:7" ht="15.75" x14ac:dyDescent="0.25">
      <c r="B18" s="33">
        <v>44391</v>
      </c>
      <c r="C18" s="110">
        <f t="shared" si="0"/>
        <v>74.980000000006839</v>
      </c>
      <c r="D18" s="112">
        <v>9</v>
      </c>
      <c r="E18" s="113">
        <v>45.100000000002183</v>
      </c>
      <c r="F18" s="113">
        <v>20.880000000004657</v>
      </c>
      <c r="G18" s="113">
        <v>104.40000000002328</v>
      </c>
    </row>
    <row r="19" spans="2:7" ht="15.75" x14ac:dyDescent="0.25">
      <c r="B19" s="33">
        <v>44392</v>
      </c>
      <c r="C19" s="110">
        <f t="shared" si="0"/>
        <v>78.340000000005972</v>
      </c>
      <c r="D19" s="112">
        <v>10</v>
      </c>
      <c r="E19" s="113">
        <v>61.100000000009459</v>
      </c>
      <c r="F19" s="113">
        <v>7.2399999999965079</v>
      </c>
      <c r="G19" s="113">
        <v>36.199999999982538</v>
      </c>
    </row>
    <row r="20" spans="2:7" ht="15.75" x14ac:dyDescent="0.25">
      <c r="B20" s="33">
        <v>44393</v>
      </c>
      <c r="C20" s="110">
        <f t="shared" si="0"/>
        <v>62.539999999992141</v>
      </c>
      <c r="D20" s="112">
        <v>6</v>
      </c>
      <c r="E20" s="113">
        <v>50.199999999989814</v>
      </c>
      <c r="F20" s="113">
        <v>6.3400000000023287</v>
      </c>
      <c r="G20" s="113">
        <v>31.700000000011642</v>
      </c>
    </row>
    <row r="21" spans="2:7" ht="15.75" x14ac:dyDescent="0.25">
      <c r="B21" s="33">
        <v>44394</v>
      </c>
      <c r="C21" s="110">
        <f t="shared" si="0"/>
        <v>88.100000000010908</v>
      </c>
      <c r="D21" s="112">
        <v>11</v>
      </c>
      <c r="E21" s="113">
        <v>64.000000000010914</v>
      </c>
      <c r="F21" s="113">
        <v>13.100000000000001</v>
      </c>
      <c r="G21" s="113">
        <v>65.5</v>
      </c>
    </row>
    <row r="22" spans="2:7" ht="15.75" x14ac:dyDescent="0.25">
      <c r="B22" s="33">
        <v>44395</v>
      </c>
      <c r="C22" s="110">
        <f t="shared" si="0"/>
        <v>192.79999999999782</v>
      </c>
      <c r="D22" s="112">
        <v>14</v>
      </c>
      <c r="E22" s="113">
        <v>162.89999999999782</v>
      </c>
      <c r="F22" s="113">
        <v>15.9</v>
      </c>
      <c r="G22" s="113">
        <v>79.5</v>
      </c>
    </row>
    <row r="23" spans="2:7" ht="15.75" x14ac:dyDescent="0.25">
      <c r="B23" s="33">
        <v>44396</v>
      </c>
      <c r="C23" s="110">
        <f t="shared" si="0"/>
        <v>89.899999999991266</v>
      </c>
      <c r="D23" s="112">
        <v>10</v>
      </c>
      <c r="E23" s="113">
        <v>66.099999999991269</v>
      </c>
      <c r="F23" s="113">
        <v>13.8</v>
      </c>
      <c r="G23" s="113">
        <v>69</v>
      </c>
    </row>
    <row r="24" spans="2:7" ht="15.75" x14ac:dyDescent="0.25">
      <c r="B24" s="33">
        <v>44397</v>
      </c>
      <c r="C24" s="110">
        <f t="shared" si="0"/>
        <v>117.69999999999928</v>
      </c>
      <c r="D24" s="112">
        <v>3</v>
      </c>
      <c r="E24" s="113">
        <v>105.29999999999927</v>
      </c>
      <c r="F24" s="113">
        <v>9.4</v>
      </c>
      <c r="G24" s="113">
        <v>47</v>
      </c>
    </row>
    <row r="25" spans="2:7" ht="15.75" x14ac:dyDescent="0.25">
      <c r="B25" s="33">
        <v>44398</v>
      </c>
      <c r="C25" s="110">
        <f t="shared" si="0"/>
        <v>79.500000000005087</v>
      </c>
      <c r="D25" s="112">
        <v>13</v>
      </c>
      <c r="E25" s="113">
        <v>54.900000000005093</v>
      </c>
      <c r="F25" s="113">
        <v>11.600000000000001</v>
      </c>
      <c r="G25" s="113">
        <v>58</v>
      </c>
    </row>
    <row r="26" spans="2:7" ht="15.75" x14ac:dyDescent="0.25">
      <c r="B26" s="33">
        <v>44399</v>
      </c>
      <c r="C26" s="110">
        <f t="shared" si="0"/>
        <v>85.720000000005527</v>
      </c>
      <c r="D26" s="112">
        <v>7</v>
      </c>
      <c r="E26" s="113">
        <v>69.200000000004366</v>
      </c>
      <c r="F26" s="113">
        <v>9.5200000000011649</v>
      </c>
      <c r="G26" s="113">
        <v>47.600000000005821</v>
      </c>
    </row>
    <row r="27" spans="2:7" ht="15.75" x14ac:dyDescent="0.25">
      <c r="B27" s="33">
        <v>44400</v>
      </c>
      <c r="C27" s="110">
        <f t="shared" si="0"/>
        <v>94.460000000000576</v>
      </c>
      <c r="D27" s="112">
        <v>5</v>
      </c>
      <c r="E27" s="113">
        <v>83.30000000000291</v>
      </c>
      <c r="F27" s="113">
        <v>6.1599999999976722</v>
      </c>
      <c r="G27" s="113">
        <v>30.799999999988358</v>
      </c>
    </row>
    <row r="28" spans="2:7" ht="15.75" x14ac:dyDescent="0.25">
      <c r="B28" s="33">
        <v>44401</v>
      </c>
      <c r="C28" s="110">
        <f t="shared" si="0"/>
        <v>63.419999999989521</v>
      </c>
      <c r="D28" s="112">
        <v>5</v>
      </c>
      <c r="E28" s="113">
        <v>47.299999999988358</v>
      </c>
      <c r="F28" s="113">
        <v>11.120000000001165</v>
      </c>
      <c r="G28" s="113">
        <v>55.600000000005821</v>
      </c>
    </row>
    <row r="29" spans="2:7" ht="15.75" x14ac:dyDescent="0.25">
      <c r="B29" s="33">
        <v>44402</v>
      </c>
      <c r="C29" s="110">
        <f t="shared" si="0"/>
        <v>142.90000000000072</v>
      </c>
      <c r="D29" s="112">
        <v>53</v>
      </c>
      <c r="E29" s="113">
        <v>72.700000000000728</v>
      </c>
      <c r="F29" s="113">
        <v>17.2</v>
      </c>
      <c r="G29" s="113">
        <v>86</v>
      </c>
    </row>
    <row r="30" spans="2:7" ht="15.75" x14ac:dyDescent="0.25">
      <c r="B30" s="33">
        <v>44403</v>
      </c>
      <c r="C30" s="110">
        <f t="shared" si="0"/>
        <v>83.100000000010183</v>
      </c>
      <c r="D30" s="112">
        <v>14</v>
      </c>
      <c r="E30" s="113">
        <v>59.300000000010186</v>
      </c>
      <c r="F30" s="113">
        <v>9.8000000000000007</v>
      </c>
      <c r="G30" s="113">
        <v>49</v>
      </c>
    </row>
    <row r="31" spans="2:7" ht="15.75" x14ac:dyDescent="0.25">
      <c r="B31" s="33">
        <v>44404</v>
      </c>
      <c r="C31" s="110">
        <f t="shared" si="0"/>
        <v>85.059999999985308</v>
      </c>
      <c r="D31" s="112">
        <v>12</v>
      </c>
      <c r="E31" s="113">
        <v>62.599999999987631</v>
      </c>
      <c r="F31" s="113">
        <v>10.459999999997672</v>
      </c>
      <c r="G31" s="113">
        <v>52.299999999988358</v>
      </c>
    </row>
    <row r="32" spans="2:7" ht="15.75" x14ac:dyDescent="0.25">
      <c r="B32" s="33">
        <v>44405</v>
      </c>
      <c r="C32" s="110">
        <f t="shared" si="0"/>
        <v>93.120000000007707</v>
      </c>
      <c r="D32" s="112">
        <v>12</v>
      </c>
      <c r="E32" s="113">
        <v>70.800000000006548</v>
      </c>
      <c r="F32" s="113">
        <v>10.320000000001166</v>
      </c>
      <c r="G32" s="113">
        <v>51.600000000005821</v>
      </c>
    </row>
    <row r="33" spans="2:9" ht="15.75" x14ac:dyDescent="0.25">
      <c r="B33" s="33">
        <v>44406</v>
      </c>
      <c r="C33" s="110">
        <f t="shared" si="0"/>
        <v>95.820000000006985</v>
      </c>
      <c r="D33" s="112">
        <v>17</v>
      </c>
      <c r="E33" s="113">
        <v>69.600000000005821</v>
      </c>
      <c r="F33" s="113">
        <v>9.2200000000011642</v>
      </c>
      <c r="G33" s="113">
        <v>46.100000000005821</v>
      </c>
    </row>
    <row r="34" spans="2:9" ht="15.75" x14ac:dyDescent="0.25">
      <c r="B34" s="33">
        <v>44407</v>
      </c>
      <c r="C34" s="110">
        <f t="shared" ref="C34:C35" si="1">+SUM(D34:F34)</f>
        <v>137.57999999999737</v>
      </c>
      <c r="D34" s="112">
        <v>31</v>
      </c>
      <c r="E34" s="113">
        <v>97.599999999998545</v>
      </c>
      <c r="F34" s="113">
        <v>8.9799999999988369</v>
      </c>
      <c r="G34" s="113">
        <v>44.899999999994179</v>
      </c>
    </row>
    <row r="35" spans="2:9" ht="15.75" x14ac:dyDescent="0.25">
      <c r="B35" s="33">
        <v>44408</v>
      </c>
      <c r="C35" s="110">
        <f t="shared" si="1"/>
        <v>99.999999999999275</v>
      </c>
      <c r="D35" s="112">
        <v>27</v>
      </c>
      <c r="E35" s="113">
        <v>62.799999999999272</v>
      </c>
      <c r="F35" s="113">
        <v>10.200000000000001</v>
      </c>
      <c r="G35" s="113">
        <v>51</v>
      </c>
    </row>
    <row r="36" spans="2:9" x14ac:dyDescent="0.25">
      <c r="B36" s="155"/>
      <c r="C36" s="155"/>
      <c r="D36" s="140"/>
      <c r="E36" s="140"/>
      <c r="F36" s="140"/>
      <c r="G36" s="140"/>
    </row>
    <row r="37" spans="2:9" ht="21" x14ac:dyDescent="0.35">
      <c r="B37" s="156"/>
      <c r="C37" s="82">
        <f>+D37+E37+F37</f>
        <v>3299.4400000000069</v>
      </c>
      <c r="D37" s="38">
        <f>SUM(D5:D35)</f>
        <v>464.40000000000146</v>
      </c>
      <c r="E37" s="38">
        <f>SUM(E5:E35)</f>
        <v>2456.1000000000058</v>
      </c>
      <c r="F37" s="38">
        <f>SUM(F5:F35)</f>
        <v>378.93999999999949</v>
      </c>
      <c r="G37" s="38">
        <f>SUM(G5:G35)</f>
        <v>1894.6999999999971</v>
      </c>
    </row>
    <row r="38" spans="2:9" x14ac:dyDescent="0.25">
      <c r="I38" s="158"/>
    </row>
    <row r="39" spans="2:9" x14ac:dyDescent="0.25">
      <c r="I39" s="158"/>
    </row>
    <row r="40" spans="2:9" ht="15.75" thickBot="1" x14ac:dyDescent="0.3"/>
    <row r="41" spans="2:9" ht="21.75" thickBot="1" x14ac:dyDescent="0.4">
      <c r="B41" s="159" t="s">
        <v>35</v>
      </c>
      <c r="C41" s="159"/>
      <c r="D41" s="143"/>
      <c r="E41" s="144"/>
      <c r="F41" s="144"/>
      <c r="G41" s="160">
        <f>[1]Water!$G$41</f>
        <v>3299.4400000000069</v>
      </c>
      <c r="H41" s="161"/>
    </row>
    <row r="42" spans="2:9" x14ac:dyDescent="0.25">
      <c r="G42" s="162"/>
    </row>
    <row r="43" spans="2:9" x14ac:dyDescent="0.25">
      <c r="G43" s="162"/>
    </row>
    <row r="44" spans="2:9" ht="15.75" x14ac:dyDescent="0.25">
      <c r="B44" s="163" t="s">
        <v>6</v>
      </c>
      <c r="C44" s="163"/>
      <c r="E44" s="157" t="s">
        <v>36</v>
      </c>
      <c r="G44" s="164">
        <v>12500</v>
      </c>
      <c r="H44" s="161"/>
    </row>
    <row r="45" spans="2:9" ht="15.75" x14ac:dyDescent="0.25">
      <c r="B45" s="163"/>
      <c r="C45" s="163"/>
      <c r="G45" s="162"/>
      <c r="H45" s="161"/>
    </row>
    <row r="46" spans="2:9" ht="16.5" thickBot="1" x14ac:dyDescent="0.3">
      <c r="B46" s="163"/>
      <c r="C46" s="163"/>
      <c r="G46" s="162"/>
      <c r="H46" s="161"/>
    </row>
    <row r="47" spans="2:9" ht="27" thickBot="1" x14ac:dyDescent="0.3">
      <c r="B47" s="163" t="s">
        <v>7</v>
      </c>
      <c r="C47" s="163"/>
      <c r="G47" s="165">
        <f>+G41*G44</f>
        <v>41243000.000000089</v>
      </c>
      <c r="H47" s="166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6" workbookViewId="0">
      <selection activeCell="C37" sqref="C37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4" t="s">
        <v>60</v>
      </c>
      <c r="C1" s="194"/>
      <c r="D1" s="194"/>
      <c r="E1" s="194"/>
      <c r="F1" s="194"/>
      <c r="G1" s="194"/>
      <c r="H1" s="194"/>
    </row>
    <row r="2" spans="1:45" ht="15" customHeight="1" x14ac:dyDescent="0.25">
      <c r="B2" s="194"/>
      <c r="C2" s="194"/>
      <c r="D2" s="194"/>
      <c r="E2" s="194"/>
      <c r="F2" s="194"/>
      <c r="G2" s="194"/>
      <c r="H2" s="194"/>
    </row>
    <row r="3" spans="1:45" s="84" customFormat="1" ht="33" customHeight="1" x14ac:dyDescent="0.35">
      <c r="A3" s="83"/>
      <c r="B3" s="195" t="s">
        <v>0</v>
      </c>
      <c r="C3" s="199" t="s">
        <v>30</v>
      </c>
      <c r="D3" s="200"/>
      <c r="E3" s="196" t="s">
        <v>38</v>
      </c>
      <c r="F3" s="197"/>
      <c r="G3" s="197"/>
      <c r="H3" s="198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5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44378</v>
      </c>
      <c r="C5" s="128">
        <v>3.59</v>
      </c>
      <c r="D5" s="128">
        <v>98.63</v>
      </c>
      <c r="E5" s="34"/>
      <c r="F5" s="34"/>
      <c r="G5" s="34"/>
      <c r="H5" s="34"/>
      <c r="I5" s="35"/>
    </row>
    <row r="6" spans="1:45" ht="15.75" x14ac:dyDescent="0.25">
      <c r="B6" s="33">
        <v>44379</v>
      </c>
      <c r="C6" s="128">
        <v>3.8</v>
      </c>
      <c r="D6" s="128">
        <v>104.4</v>
      </c>
      <c r="E6" s="34"/>
      <c r="F6" s="34"/>
      <c r="G6" s="34"/>
      <c r="H6" s="34"/>
      <c r="I6" s="35"/>
    </row>
    <row r="7" spans="1:45" ht="15.75" x14ac:dyDescent="0.25">
      <c r="B7" s="33">
        <v>44380</v>
      </c>
      <c r="C7" s="128">
        <v>4.24</v>
      </c>
      <c r="D7" s="128">
        <v>116.23</v>
      </c>
      <c r="E7" s="34"/>
      <c r="F7" s="34"/>
      <c r="G7" s="34"/>
      <c r="H7" s="34"/>
      <c r="I7" s="35"/>
    </row>
    <row r="8" spans="1:45" ht="15.75" x14ac:dyDescent="0.25">
      <c r="B8" s="33">
        <v>44381</v>
      </c>
      <c r="C8" s="128">
        <v>4.28</v>
      </c>
      <c r="D8" s="128">
        <v>117.36</v>
      </c>
      <c r="E8" s="34"/>
      <c r="F8" s="34"/>
      <c r="G8" s="34"/>
      <c r="H8" s="34"/>
      <c r="I8" s="35"/>
    </row>
    <row r="9" spans="1:45" ht="15.75" x14ac:dyDescent="0.25">
      <c r="B9" s="33">
        <v>44382</v>
      </c>
      <c r="C9" s="128">
        <v>3.12</v>
      </c>
      <c r="D9" s="128">
        <v>85.48</v>
      </c>
      <c r="E9" s="34"/>
      <c r="F9" s="34"/>
      <c r="G9" s="34"/>
      <c r="H9" s="34"/>
      <c r="I9" s="35"/>
    </row>
    <row r="10" spans="1:45" ht="15.75" x14ac:dyDescent="0.25">
      <c r="B10" s="33">
        <v>44383</v>
      </c>
      <c r="C10" s="128">
        <v>3.56</v>
      </c>
      <c r="D10" s="128">
        <v>97.76</v>
      </c>
      <c r="E10" s="34"/>
      <c r="F10" s="34"/>
      <c r="G10" s="34"/>
      <c r="H10" s="34"/>
      <c r="I10" s="35"/>
    </row>
    <row r="11" spans="1:45" ht="15.75" x14ac:dyDescent="0.25">
      <c r="B11" s="33">
        <v>44384</v>
      </c>
      <c r="C11" s="128">
        <v>1.79</v>
      </c>
      <c r="D11" s="128">
        <v>49.18</v>
      </c>
      <c r="E11" s="34"/>
      <c r="F11" s="34"/>
      <c r="G11" s="34"/>
      <c r="H11" s="34"/>
      <c r="I11" s="35"/>
    </row>
    <row r="12" spans="1:45" ht="15.75" x14ac:dyDescent="0.25">
      <c r="B12" s="33">
        <v>44385</v>
      </c>
      <c r="C12" s="128">
        <v>2.23</v>
      </c>
      <c r="D12" s="128">
        <v>61.11</v>
      </c>
      <c r="E12" s="34"/>
      <c r="F12" s="34"/>
      <c r="G12" s="34"/>
      <c r="H12" s="34"/>
      <c r="I12" s="35"/>
    </row>
    <row r="13" spans="1:45" ht="15.75" x14ac:dyDescent="0.25">
      <c r="B13" s="33">
        <v>44386</v>
      </c>
      <c r="C13" s="128">
        <v>2.08</v>
      </c>
      <c r="D13" s="128">
        <v>57.09</v>
      </c>
      <c r="E13" s="34"/>
      <c r="F13" s="34"/>
      <c r="G13" s="34"/>
      <c r="H13" s="34"/>
      <c r="I13" s="35"/>
    </row>
    <row r="14" spans="1:45" ht="15.75" x14ac:dyDescent="0.25">
      <c r="B14" s="33">
        <v>44387</v>
      </c>
      <c r="C14" s="128">
        <v>2.2999999999999998</v>
      </c>
      <c r="D14" s="128">
        <v>63.06</v>
      </c>
      <c r="E14" s="34"/>
      <c r="F14" s="34"/>
      <c r="G14" s="34"/>
      <c r="H14" s="34"/>
      <c r="I14" s="35"/>
    </row>
    <row r="15" spans="1:45" ht="15.75" x14ac:dyDescent="0.25">
      <c r="B15" s="33">
        <v>44388</v>
      </c>
      <c r="C15" s="128">
        <v>2.92</v>
      </c>
      <c r="D15" s="128">
        <v>80.22</v>
      </c>
      <c r="E15" s="34"/>
      <c r="F15" s="34"/>
      <c r="G15" s="34"/>
      <c r="H15" s="34"/>
      <c r="I15" s="35"/>
    </row>
    <row r="16" spans="1:45" ht="15.75" x14ac:dyDescent="0.25">
      <c r="B16" s="33">
        <v>44389</v>
      </c>
      <c r="C16" s="128">
        <v>2.2000000000000002</v>
      </c>
      <c r="D16" s="128">
        <v>60.51</v>
      </c>
      <c r="E16" s="34"/>
      <c r="F16" s="34"/>
      <c r="G16" s="34"/>
      <c r="H16" s="34"/>
      <c r="I16" s="35"/>
    </row>
    <row r="17" spans="2:9" ht="15.75" x14ac:dyDescent="0.25">
      <c r="B17" s="33">
        <v>44390</v>
      </c>
      <c r="C17" s="128">
        <v>1.92</v>
      </c>
      <c r="D17" s="128">
        <v>52.63</v>
      </c>
      <c r="E17" s="34"/>
      <c r="F17" s="34"/>
      <c r="G17" s="34"/>
      <c r="H17" s="34"/>
      <c r="I17" s="35"/>
    </row>
    <row r="18" spans="2:9" ht="15.75" x14ac:dyDescent="0.25">
      <c r="B18" s="33">
        <v>44391</v>
      </c>
      <c r="C18" s="128">
        <v>1.93</v>
      </c>
      <c r="D18" s="128">
        <v>52.77</v>
      </c>
      <c r="E18" s="34"/>
      <c r="F18" s="34"/>
      <c r="G18" s="34"/>
      <c r="H18" s="34"/>
      <c r="I18" s="35"/>
    </row>
    <row r="19" spans="2:9" ht="15.75" x14ac:dyDescent="0.25">
      <c r="B19" s="33">
        <v>44392</v>
      </c>
      <c r="C19" s="128">
        <v>1.9</v>
      </c>
      <c r="D19" s="128">
        <v>52.25</v>
      </c>
      <c r="E19" s="34"/>
      <c r="F19" s="34"/>
      <c r="G19" s="34"/>
      <c r="H19" s="34"/>
      <c r="I19" s="35"/>
    </row>
    <row r="20" spans="2:9" ht="15.75" x14ac:dyDescent="0.25">
      <c r="B20" s="33">
        <v>44393</v>
      </c>
      <c r="C20" s="128">
        <v>1.97</v>
      </c>
      <c r="D20" s="128">
        <v>54</v>
      </c>
      <c r="E20" s="34"/>
      <c r="F20" s="34"/>
      <c r="G20" s="34"/>
      <c r="H20" s="34"/>
      <c r="I20" s="35"/>
    </row>
    <row r="21" spans="2:9" ht="15.75" x14ac:dyDescent="0.25">
      <c r="B21" s="33">
        <v>44394</v>
      </c>
      <c r="C21" s="128">
        <v>1.91</v>
      </c>
      <c r="D21" s="128">
        <v>52.51</v>
      </c>
      <c r="E21" s="34"/>
      <c r="F21" s="34"/>
      <c r="G21" s="34"/>
      <c r="H21" s="34"/>
      <c r="I21" s="35"/>
    </row>
    <row r="22" spans="2:9" ht="15.75" x14ac:dyDescent="0.25">
      <c r="B22" s="33">
        <v>44395</v>
      </c>
      <c r="C22" s="128">
        <v>2.4</v>
      </c>
      <c r="D22" s="128">
        <v>65.88</v>
      </c>
      <c r="E22" s="34"/>
      <c r="F22" s="34"/>
      <c r="G22" s="34"/>
      <c r="H22" s="34"/>
      <c r="I22" s="35"/>
    </row>
    <row r="23" spans="2:9" ht="15.75" x14ac:dyDescent="0.25">
      <c r="B23" s="33">
        <v>44396</v>
      </c>
      <c r="C23" s="129">
        <v>0.66</v>
      </c>
      <c r="D23" s="129">
        <v>17.98</v>
      </c>
      <c r="E23" s="34"/>
      <c r="F23" s="34"/>
      <c r="G23" s="34"/>
      <c r="H23" s="34"/>
      <c r="I23" s="35"/>
    </row>
    <row r="24" spans="2:9" ht="15.75" x14ac:dyDescent="0.25">
      <c r="B24" s="33">
        <v>44397</v>
      </c>
      <c r="C24" s="129">
        <v>0.47</v>
      </c>
      <c r="D24" s="129">
        <v>12.83</v>
      </c>
      <c r="E24" s="34"/>
      <c r="F24" s="34"/>
      <c r="G24" s="34"/>
      <c r="H24" s="34"/>
      <c r="I24" s="35"/>
    </row>
    <row r="25" spans="2:9" ht="15.75" x14ac:dyDescent="0.25">
      <c r="B25" s="33">
        <v>44398</v>
      </c>
      <c r="C25" s="130">
        <v>0.78</v>
      </c>
      <c r="D25" s="130">
        <v>21.56</v>
      </c>
      <c r="E25" s="34"/>
      <c r="F25" s="34"/>
      <c r="G25" s="34"/>
      <c r="H25" s="34"/>
      <c r="I25" s="35"/>
    </row>
    <row r="26" spans="2:9" ht="15.75" x14ac:dyDescent="0.25">
      <c r="B26" s="33">
        <v>44399</v>
      </c>
      <c r="C26" s="129">
        <v>0.65</v>
      </c>
      <c r="D26" s="129">
        <v>17.84</v>
      </c>
      <c r="E26" s="34"/>
      <c r="F26" s="34"/>
      <c r="G26" s="34"/>
      <c r="H26" s="34"/>
      <c r="I26" s="35"/>
    </row>
    <row r="27" spans="2:9" ht="15.75" x14ac:dyDescent="0.25">
      <c r="B27" s="33">
        <v>44400</v>
      </c>
      <c r="C27" s="129">
        <v>0.76</v>
      </c>
      <c r="D27" s="129">
        <v>20.73</v>
      </c>
      <c r="E27" s="34"/>
      <c r="F27" s="34"/>
      <c r="G27" s="34"/>
      <c r="H27" s="34"/>
      <c r="I27" s="35"/>
    </row>
    <row r="28" spans="2:9" ht="15.75" x14ac:dyDescent="0.25">
      <c r="B28" s="33">
        <v>44401</v>
      </c>
      <c r="C28" s="129">
        <v>0.94</v>
      </c>
      <c r="D28" s="129">
        <v>25.71</v>
      </c>
      <c r="E28" s="34"/>
      <c r="F28" s="34"/>
      <c r="G28" s="34"/>
      <c r="H28" s="34"/>
      <c r="I28" s="35"/>
    </row>
    <row r="29" spans="2:9" ht="15.75" x14ac:dyDescent="0.25">
      <c r="B29" s="33">
        <v>44402</v>
      </c>
      <c r="C29" s="129">
        <v>0.85</v>
      </c>
      <c r="D29" s="129">
        <v>23.5</v>
      </c>
      <c r="E29" s="34"/>
      <c r="F29" s="34"/>
      <c r="G29" s="34"/>
      <c r="H29" s="34"/>
      <c r="I29" s="35"/>
    </row>
    <row r="30" spans="2:9" ht="15.75" x14ac:dyDescent="0.25">
      <c r="B30" s="33">
        <v>44403</v>
      </c>
      <c r="C30" s="129">
        <v>1.1499999999999999</v>
      </c>
      <c r="D30" s="129">
        <v>31.49</v>
      </c>
      <c r="E30" s="34"/>
      <c r="F30" s="34"/>
      <c r="G30" s="34"/>
      <c r="H30" s="34"/>
      <c r="I30" s="35"/>
    </row>
    <row r="31" spans="2:9" ht="15.75" x14ac:dyDescent="0.25">
      <c r="B31" s="33">
        <v>44404</v>
      </c>
      <c r="C31" s="130">
        <v>1.31</v>
      </c>
      <c r="D31" s="130">
        <v>35.880000000000003</v>
      </c>
      <c r="E31" s="34"/>
      <c r="F31" s="34"/>
      <c r="G31" s="34"/>
      <c r="H31" s="34"/>
      <c r="I31" s="35"/>
    </row>
    <row r="32" spans="2:9" ht="15.75" x14ac:dyDescent="0.25">
      <c r="B32" s="33">
        <v>44405</v>
      </c>
      <c r="C32" s="130">
        <v>1.25</v>
      </c>
      <c r="D32" s="130">
        <v>34.130000000000003</v>
      </c>
      <c r="E32" s="34"/>
      <c r="F32" s="34"/>
      <c r="G32" s="34"/>
      <c r="H32" s="34"/>
      <c r="I32" s="35"/>
    </row>
    <row r="33" spans="2:12" ht="15.75" x14ac:dyDescent="0.25">
      <c r="B33" s="33">
        <v>44406</v>
      </c>
      <c r="C33" s="130">
        <v>1.32</v>
      </c>
      <c r="D33" s="130">
        <v>34.619999999999997</v>
      </c>
      <c r="E33" s="34"/>
      <c r="F33" s="34"/>
      <c r="G33" s="34"/>
      <c r="H33" s="34"/>
      <c r="I33" s="35"/>
    </row>
    <row r="34" spans="2:12" ht="15.75" x14ac:dyDescent="0.25">
      <c r="B34" s="33">
        <v>44407</v>
      </c>
      <c r="C34" s="129">
        <v>1.21</v>
      </c>
      <c r="D34" s="129">
        <v>34.1</v>
      </c>
      <c r="E34" s="34"/>
      <c r="F34" s="34"/>
      <c r="G34" s="34"/>
      <c r="H34" s="34"/>
      <c r="I34" s="35"/>
    </row>
    <row r="35" spans="2:12" ht="15.75" x14ac:dyDescent="0.25">
      <c r="B35" s="33">
        <v>44408</v>
      </c>
      <c r="C35" s="128">
        <v>1.42</v>
      </c>
      <c r="D35" s="128">
        <v>34.86</v>
      </c>
      <c r="E35" s="34"/>
      <c r="F35" s="34"/>
      <c r="G35" s="34"/>
      <c r="H35" s="34"/>
      <c r="I35" s="35"/>
    </row>
    <row r="36" spans="2:12" x14ac:dyDescent="0.25">
      <c r="B36" s="36"/>
      <c r="C36" s="140"/>
      <c r="D36" s="140"/>
      <c r="E36" s="140"/>
      <c r="F36" s="140"/>
      <c r="G36" s="140"/>
      <c r="H36" s="140"/>
    </row>
    <row r="37" spans="2:12" ht="18.75" x14ac:dyDescent="0.3">
      <c r="B37" s="37"/>
      <c r="C37" s="141">
        <f>SUM(C5:C35)</f>
        <v>60.909999999999989</v>
      </c>
      <c r="D37" s="141">
        <f>SUM(D5:D35)</f>
        <v>1666.3</v>
      </c>
      <c r="E37" s="141">
        <f t="shared" ref="E37:H37" si="0">SUM(E5:E35)</f>
        <v>0</v>
      </c>
      <c r="F37" s="141">
        <f t="shared" si="0"/>
        <v>0</v>
      </c>
      <c r="G37" s="141">
        <f t="shared" si="0"/>
        <v>0</v>
      </c>
      <c r="H37" s="141">
        <f t="shared" si="0"/>
        <v>0</v>
      </c>
      <c r="I37" s="35"/>
      <c r="L37" s="35"/>
    </row>
    <row r="38" spans="2:12" x14ac:dyDescent="0.25">
      <c r="C38" s="142"/>
      <c r="D38" s="142"/>
      <c r="E38" s="142"/>
      <c r="F38" s="142"/>
      <c r="G38" s="142"/>
      <c r="H38" s="142">
        <f>H37*80%</f>
        <v>0</v>
      </c>
      <c r="J38" s="35"/>
      <c r="K38" s="40"/>
    </row>
    <row r="39" spans="2:12" x14ac:dyDescent="0.25">
      <c r="C39" s="142"/>
      <c r="D39" s="142"/>
      <c r="E39" s="142"/>
      <c r="F39" s="142"/>
      <c r="G39" s="142"/>
      <c r="H39" s="142"/>
    </row>
    <row r="40" spans="2:12" ht="15.75" x14ac:dyDescent="0.25">
      <c r="B40" s="41"/>
      <c r="C40" s="143"/>
      <c r="D40" s="143"/>
      <c r="E40" s="144"/>
      <c r="F40" s="144"/>
      <c r="G40" s="144"/>
      <c r="H40" s="144"/>
      <c r="J40" s="42"/>
      <c r="K40" s="35"/>
    </row>
    <row r="41" spans="2:12" x14ac:dyDescent="0.25">
      <c r="C41" s="142"/>
      <c r="D41" s="142"/>
      <c r="E41" s="142"/>
      <c r="F41" s="142"/>
      <c r="G41" s="142"/>
      <c r="H41" s="142"/>
    </row>
    <row r="42" spans="2:12" x14ac:dyDescent="0.25">
      <c r="C42" s="142"/>
      <c r="D42" s="142"/>
      <c r="E42" s="142"/>
      <c r="F42" s="142"/>
      <c r="G42" s="142"/>
      <c r="H42" s="142"/>
    </row>
    <row r="43" spans="2:12" ht="21" x14ac:dyDescent="0.35">
      <c r="C43" s="145" t="s">
        <v>6</v>
      </c>
      <c r="D43" s="146" t="s">
        <v>40</v>
      </c>
      <c r="E43" s="147">
        <v>10.199999999999999</v>
      </c>
      <c r="F43" s="142"/>
      <c r="G43" s="142"/>
      <c r="H43" s="142"/>
      <c r="J43" s="43"/>
    </row>
    <row r="44" spans="2:12" ht="21" x14ac:dyDescent="0.35">
      <c r="C44" s="148" t="s">
        <v>41</v>
      </c>
      <c r="D44" s="146" t="s">
        <v>37</v>
      </c>
      <c r="E44" s="147">
        <v>350</v>
      </c>
      <c r="F44" s="142"/>
      <c r="G44" s="142"/>
      <c r="H44" s="142"/>
      <c r="J44" s="44"/>
    </row>
    <row r="45" spans="2:12" ht="21" x14ac:dyDescent="0.35">
      <c r="C45" s="148"/>
      <c r="D45" s="146"/>
      <c r="E45" s="147"/>
      <c r="F45" s="142"/>
      <c r="G45" s="142"/>
      <c r="H45" s="142"/>
    </row>
    <row r="46" spans="2:12" ht="21" x14ac:dyDescent="0.35">
      <c r="C46" s="145" t="s">
        <v>7</v>
      </c>
      <c r="D46" s="146" t="s">
        <v>40</v>
      </c>
      <c r="E46" s="149">
        <f>IF(C37&gt;E44,(C37*E43),(E44*E43))</f>
        <v>3569.9999999999995</v>
      </c>
      <c r="F46" s="142"/>
      <c r="G46" s="142"/>
      <c r="H46" s="142"/>
    </row>
    <row r="47" spans="2:12" x14ac:dyDescent="0.25">
      <c r="C47" s="142"/>
      <c r="D47" s="142"/>
      <c r="E47" s="142"/>
      <c r="F47" s="142"/>
      <c r="G47" s="142"/>
      <c r="H47" s="142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2021-08-06T10:32:51Z</dcterms:modified>
</cp:coreProperties>
</file>