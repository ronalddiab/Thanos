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5" l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C4" i="3" l="1"/>
  <c r="C6" i="3"/>
  <c r="K33" i="9" l="1"/>
  <c r="K34" i="9"/>
  <c r="K18" i="9"/>
  <c r="K19" i="9"/>
  <c r="K35" i="9"/>
  <c r="K36" i="9"/>
  <c r="K37" i="9"/>
  <c r="I31" i="9"/>
  <c r="I32" i="9"/>
  <c r="I33" i="9"/>
  <c r="I34" i="9"/>
  <c r="I35" i="9"/>
  <c r="I36" i="9"/>
  <c r="I37" i="9"/>
  <c r="G33" i="9"/>
  <c r="G34" i="9"/>
  <c r="G35" i="9"/>
  <c r="G36" i="9"/>
  <c r="G37" i="9"/>
  <c r="E33" i="9"/>
  <c r="E34" i="9"/>
  <c r="E35" i="9"/>
  <c r="E36" i="9"/>
  <c r="E37" i="9"/>
  <c r="B36" i="9"/>
  <c r="B37" i="9"/>
  <c r="B33" i="9"/>
  <c r="B34" i="9"/>
  <c r="B35" i="9"/>
  <c r="T6" i="2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5" i="2"/>
  <c r="P6" i="2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6" i="2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6" i="2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6" i="2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6" i="2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S33" i="2"/>
  <c r="AF6" i="1"/>
  <c r="AF7" i="1"/>
  <c r="AF8" i="1" s="1"/>
  <c r="AF9" i="1" s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6" i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5" i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" i="1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6" i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6" i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6" i="1"/>
  <c r="H7" i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C6" i="5"/>
  <c r="C10" i="5"/>
  <c r="J2" i="3"/>
  <c r="K2" i="3" s="1"/>
  <c r="U33" i="4"/>
  <c r="T33" i="4"/>
  <c r="B33" i="4"/>
  <c r="W13" i="4"/>
  <c r="W14" i="4"/>
  <c r="Z2" i="4"/>
  <c r="X2" i="4"/>
  <c r="I2" i="4"/>
  <c r="T2" i="1" l="1"/>
  <c r="Y2" i="4"/>
  <c r="E17" i="2"/>
  <c r="I17" i="2"/>
  <c r="K17" i="2"/>
  <c r="M17" i="2"/>
  <c r="C17" i="2"/>
  <c r="G17" i="2"/>
  <c r="O17" i="2"/>
  <c r="Q17" i="2"/>
  <c r="R17" i="2"/>
  <c r="S17" i="2"/>
  <c r="R6" i="2" l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 l="1"/>
  <c r="E3" i="2"/>
  <c r="S28" i="4" l="1"/>
  <c r="H19" i="4" l="1"/>
  <c r="H20" i="4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C33" i="2" l="1"/>
  <c r="E11" i="2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24" i="4" l="1"/>
  <c r="E16" i="2"/>
  <c r="U64" i="10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H33" i="4" l="1"/>
  <c r="E33" i="3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7" i="5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K33" i="4" l="1"/>
  <c r="W33" i="4"/>
  <c r="S33" i="4"/>
  <c r="Q33" i="4"/>
  <c r="O33" i="4"/>
  <c r="M33" i="4"/>
  <c r="F33" i="4"/>
  <c r="I33" i="4" s="1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3" i="4" l="1"/>
  <c r="X33" i="4"/>
  <c r="AA25" i="4"/>
  <c r="Y14" i="4"/>
  <c r="E20" i="2"/>
  <c r="AA5" i="4"/>
  <c r="AA4" i="4"/>
  <c r="Y4" i="4"/>
  <c r="Y33" i="4" s="1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3" i="4" l="1"/>
  <c r="E21" i="2"/>
  <c r="AE7" i="1"/>
  <c r="E22" i="2" l="1"/>
  <c r="AE8" i="1"/>
  <c r="AC6" i="8"/>
  <c r="E23" i="2" l="1"/>
  <c r="M3" i="2"/>
  <c r="M33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s="1"/>
  <c r="AE28" i="1" l="1"/>
  <c r="AA18" i="8"/>
  <c r="AE30" i="8" l="1"/>
  <c r="I30" i="9" s="1"/>
  <c r="AE31" i="8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33" i="1" s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G33" i="1" l="1"/>
  <c r="AA33" i="1"/>
  <c r="AE32" i="1"/>
  <c r="AE31" i="1"/>
  <c r="AE33" i="1" s="1"/>
  <c r="AA21" i="8"/>
  <c r="F3" i="8"/>
  <c r="E3" i="3"/>
  <c r="Y3" i="1"/>
  <c r="Y33" i="1" s="1"/>
  <c r="G29" i="9"/>
  <c r="J22" i="11" l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G3" i="2"/>
  <c r="G33" i="2" s="1"/>
  <c r="I3" i="2"/>
  <c r="I33" i="2" s="1"/>
  <c r="O3" i="2"/>
  <c r="O33" i="2" s="1"/>
  <c r="U3" i="2"/>
  <c r="U33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U4" i="8" l="1"/>
  <c r="O33" i="1"/>
  <c r="V4" i="8"/>
  <c r="L33" i="1"/>
  <c r="T4" i="8"/>
  <c r="I33" i="1"/>
  <c r="S4" i="8"/>
  <c r="F33" i="1"/>
  <c r="R4" i="8"/>
  <c r="C33" i="1"/>
  <c r="G6" i="1"/>
  <c r="S5" i="8"/>
  <c r="J6" i="1"/>
  <c r="T5" i="8"/>
  <c r="M6" i="1"/>
  <c r="V5" i="8"/>
  <c r="P6" i="1"/>
  <c r="U5" i="8"/>
  <c r="S6" i="1"/>
  <c r="W5" i="8"/>
  <c r="D6" i="1"/>
  <c r="R5" i="8"/>
  <c r="S5" i="1"/>
  <c r="S33" i="1" s="1"/>
  <c r="P5" i="1"/>
  <c r="P33" i="1" s="1"/>
  <c r="M5" i="1"/>
  <c r="J5" i="1"/>
  <c r="J33" i="1" s="1"/>
  <c r="G5" i="1"/>
  <c r="D5" i="1"/>
  <c r="G16" i="3"/>
  <c r="G17" i="3"/>
  <c r="G16" i="8" s="1"/>
  <c r="G18" i="3"/>
  <c r="G17" i="8" s="1"/>
  <c r="D33" i="1" l="1"/>
  <c r="M33" i="1"/>
  <c r="G33" i="1"/>
  <c r="G15" i="8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C33" i="3" l="1"/>
  <c r="J4" i="3"/>
  <c r="E3" i="8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I33" i="3" l="1"/>
  <c r="G33" i="3"/>
  <c r="G4" i="8"/>
  <c r="AC22" i="8"/>
  <c r="G18" i="8"/>
  <c r="H15" i="8"/>
  <c r="Z22" i="8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22" i="9" l="1"/>
  <c r="E8" i="9"/>
  <c r="E5" i="9"/>
  <c r="E16" i="9"/>
  <c r="E15" i="9"/>
  <c r="E17" i="9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Z10" i="8" l="1"/>
  <c r="E10" i="9" s="1"/>
  <c r="AE4" i="8"/>
  <c r="I4" i="9"/>
  <c r="Z11" i="8"/>
  <c r="E11" i="9" s="1"/>
  <c r="Z12" i="8"/>
  <c r="E12" i="9" s="1"/>
  <c r="T30" i="1" l="1"/>
  <c r="U30" i="1" s="1"/>
  <c r="E32" i="9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7" i="11" s="1"/>
  <c r="D7" i="11" l="1"/>
  <c r="C5" i="11"/>
  <c r="D5" i="11" s="1"/>
  <c r="C6" i="11"/>
  <c r="D6" i="11" s="1"/>
  <c r="K4" i="3" l="1"/>
  <c r="K33" i="3" s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 s="1"/>
  <c r="K30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<sst xmlns="http://schemas.openxmlformats.org/spreadsheetml/2006/main" count="518" uniqueCount="151">
  <si>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</si>
  <si>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</si>
  <si>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</si>
  <si>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</si>
  <si>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</si>
  <si>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</si>
  <si>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</si>
  <si>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</si>
  <si>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</si>
  <si>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</si>
  <si>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</si>
  <si>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</si>
  <si>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</si>
  <si>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</si>
  <si>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</si>
  <si>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</si>
  <si>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</si>
  <si>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</si>
  <si>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</si>
  <si>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</si>
  <si>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</si>
  <si>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</si>
  <si>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</si>
  <si>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</si>
  <si>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</si>
  <si>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</si>
  <si>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</si>
  <si>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</si>
  <si>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</si>
  <si>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</si>
  <si>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</si>
  <si>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</si>
  <si>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</si>
  <si>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</si>
  <si>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</si>
  <si>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</si>
  <si>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</si>
  <si>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</si>
  <si>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</si>
  <si>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</si>
  <si>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</si>
  <si>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</si>
  <si>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</si>
  <si>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</si>
  <si>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</si>
  <si>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</si>
  <si>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</si>
  <si>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</si>
  <si>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</si>
  <si>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</si>
  <si>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</si>
  <si>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</si>
  <si>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</si>
  <si>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</si>
  <si>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</si>
  <si>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</si>
  <si>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</si>
  <si>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</si>
  <si>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</si>
  <si>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</si>
  <si>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</si>
  <si>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</si>
  <si>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</si>
  <si>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</si>
  <si>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</si>
  <si>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</si>
  <si>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</si>
  <si>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</si>
  <si>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</si>
  <si>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</si>
  <si>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</si>
  <si>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</si>
  <si>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</si>
  <si>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</si>
  <si>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</si>
  <si>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</si>
  <si>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</si>
  <si>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</si>
  <si>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</si>
  <si>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</si>
  <si>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</si>
  <si>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</si>
  <si>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</si>
  <si>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</si>
  <si>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</si>
  <si>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</si>
  <si>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</si>
  <si>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</si>
  <si>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</si>
  <si>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</si>
  <si>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</si>
  <si>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</si>
  <si>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</si>
  <si>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</si>
  <si>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</si>
  <si>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</si>
  <si>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</si>
  <si>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</si>
  <si>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</si>
  <si>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</si>
  <si>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</si>
  <si>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</si>
  <si>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</si>
  <si>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</si>
  <si>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</si>
  <si>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</si>
  <si>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</si>
  <si>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</si>
  <si>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</si>
  <si>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</si>
  <si>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</si>
  <si>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</si>
  <si>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</si>
  <si>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</si>
  <si>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</si>
  <si>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</si>
  <si>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</si>
  <si>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</si>
  <si>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</si>
  <si>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</si>
  <si>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</si>
  <si>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</si>
  <si>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</si>
  <si>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</si>
  <si>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</si>
  <si>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</si>
  <si>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</si>
  <si>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</si>
  <si>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</si>
  <si>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</si>
  <si>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</si>
  <si>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</si>
  <si>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</si>
  <si>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</si>
  <si>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</si>
  <si>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</si>
  <si>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</si>
  <si>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</si>
  <si>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</si>
  <si>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</si>
  <si>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</si>
  <si>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</si>
  <si>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</si>
  <si>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</si>
  <si>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</si>
  <si>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</si>
  <si>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</si>
  <si>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</si>
  <si>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</si>
  <si>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</si>
  <si>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Saptember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</si>
</sst>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8" activePane="bottomLeft" state="frozen"/>
      <selection pane="bottomLeft" activeCell="K34" sqref="K34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87851.236915999994</v>
      </c>
      <c r="F2" s="138">
        <v>1.27</v>
      </c>
      <c r="G2" s="36">
        <f>Gas!C3*0.9147</f>
        <v>1918.1259</v>
      </c>
      <c r="H2" s="139">
        <v>3.65</v>
      </c>
      <c r="I2" s="140">
        <f>Submetering!H2+Submetering!AD2+Submetering!AE2</f>
        <v>906</v>
      </c>
      <c r="J2" s="141">
        <v>10.029999999999999</v>
      </c>
      <c r="K2" s="36">
        <f>ELECT.!B3</f>
        <v>238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77284.35796400001</v>
      </c>
      <c r="F3" s="138">
        <v>1.27</v>
      </c>
      <c r="G3" s="36">
        <f>Gas!C4*0.9147</f>
        <v>1607.1279</v>
      </c>
      <c r="H3" s="139">
        <v>3.65</v>
      </c>
      <c r="I3" s="141">
        <f>Submetering!H3+Submetering!AD3+Submetering!AE3</f>
        <v>946</v>
      </c>
      <c r="J3" s="141">
        <v>10.029999999999999</v>
      </c>
      <c r="K3" s="36">
        <f>ELECT.!B4</f>
        <v>207</v>
      </c>
    </row>
    <row r="4" spans="1:14" x14ac:dyDescent="0.2">
      <c r="A4" s="47" t="s">
        <v>53</v>
      </c>
      <c r="B4" s="52">
        <f t="shared" ref="B4:B37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58531.036028000002</v>
      </c>
      <c r="F4" s="138">
        <v>1.27</v>
      </c>
      <c r="G4" s="36">
        <f>Gas!C5*0.9147</f>
        <v>1646.46</v>
      </c>
      <c r="H4" s="139">
        <v>3.65</v>
      </c>
      <c r="I4" s="141">
        <f>Submetering!H4+Submetering!AD4+Submetering!AE4</f>
        <v>666</v>
      </c>
      <c r="J4" s="141">
        <v>10.029999999999999</v>
      </c>
      <c r="K4" s="36">
        <f>ELECT.!B5</f>
        <v>207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0</v>
      </c>
      <c r="F5" s="138">
        <v>1.27</v>
      </c>
      <c r="G5" s="36">
        <f>Gas!C6*0.9147</f>
        <v>0</v>
      </c>
      <c r="H5" s="139">
        <v>3.65</v>
      </c>
      <c r="I5" s="141">
        <f>Submetering!H5+Submetering!AD5+Submetering!AE5</f>
        <v>-194</v>
      </c>
      <c r="J5" s="141">
        <v>10.029999999999999</v>
      </c>
      <c r="K5" s="36">
        <f>ELECT.!B6</f>
        <v>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38">
        <v>1.27</v>
      </c>
      <c r="G6" s="36">
        <f>Gas!C7*0.9147</f>
        <v>0</v>
      </c>
      <c r="H6" s="139">
        <v>3.65</v>
      </c>
      <c r="I6" s="141">
        <f>Submetering!H6+Submetering!AD6+Submetering!AE6</f>
        <v>-194</v>
      </c>
      <c r="J6" s="141">
        <v>10.029999999999999</v>
      </c>
      <c r="K6" s="36">
        <f>ELECT.!B7</f>
        <v>0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38">
        <v>1.27</v>
      </c>
      <c r="G7" s="36">
        <f>Gas!C8*0.9147</f>
        <v>0</v>
      </c>
      <c r="H7" s="139">
        <v>3.65</v>
      </c>
      <c r="I7" s="141">
        <f>Submetering!H7+Submetering!AD7+Submetering!AE7</f>
        <v>-194</v>
      </c>
      <c r="J7" s="141">
        <v>10.029999999999999</v>
      </c>
      <c r="K7" s="36">
        <f>ELECT.!B8</f>
        <v>0</v>
      </c>
    </row>
    <row r="8" spans="1:14" x14ac:dyDescent="0.2">
      <c r="A8" s="47" t="s">
        <v>53</v>
      </c>
      <c r="B8" s="52">
        <v>1</v>
      </c>
      <c r="C8" s="52">
        <v>9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38">
        <v>1.27</v>
      </c>
      <c r="G8" s="36">
        <f>Gas!C9*0.9147</f>
        <v>0</v>
      </c>
      <c r="H8" s="139">
        <v>3.65</v>
      </c>
      <c r="I8" s="141">
        <f>Submetering!H8+Submetering!AD8+Submetering!AE8</f>
        <v>-194</v>
      </c>
      <c r="J8" s="141">
        <v>10.029999999999999</v>
      </c>
      <c r="K8" s="36">
        <f>ELECT.!B9</f>
        <v>0</v>
      </c>
    </row>
    <row r="9" spans="1:14" x14ac:dyDescent="0.2">
      <c r="A9" s="47" t="s">
        <v>53</v>
      </c>
      <c r="B9" s="52">
        <f t="shared" si="0"/>
        <v>2</v>
      </c>
      <c r="C9" s="52">
        <v>9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8">
        <v>1.27</v>
      </c>
      <c r="G9" s="36">
        <f>Gas!C10*0.9147</f>
        <v>0</v>
      </c>
      <c r="H9" s="139">
        <v>3.65</v>
      </c>
      <c r="I9" s="141">
        <f>Submetering!H9+Submetering!AD9+Submetering!AE9</f>
        <v>-194</v>
      </c>
      <c r="J9" s="141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3</v>
      </c>
      <c r="C10" s="52">
        <v>9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8">
        <v>1.27</v>
      </c>
      <c r="G10" s="36">
        <f>Gas!C11*0.9147</f>
        <v>0</v>
      </c>
      <c r="H10" s="139">
        <v>3.65</v>
      </c>
      <c r="I10" s="141">
        <f>Submetering!H10+Submetering!AD10+Submetering!AE10</f>
        <v>-194</v>
      </c>
      <c r="J10" s="141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4</v>
      </c>
      <c r="C11" s="52">
        <v>9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8">
        <v>1.27</v>
      </c>
      <c r="G11" s="36">
        <f>Gas!C12*0.9147</f>
        <v>0</v>
      </c>
      <c r="H11" s="139">
        <v>3.65</v>
      </c>
      <c r="I11" s="141">
        <f>Submetering!H11+Submetering!AD11+Submetering!AE11</f>
        <v>-194</v>
      </c>
      <c r="J11" s="141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5</v>
      </c>
      <c r="C12" s="52">
        <v>9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8">
        <v>1.27</v>
      </c>
      <c r="G12" s="36">
        <f>Gas!C13*0.9147</f>
        <v>0</v>
      </c>
      <c r="H12" s="139">
        <v>3.65</v>
      </c>
      <c r="I12" s="141">
        <f>Submetering!H12+Submetering!AD12+Submetering!AE12</f>
        <v>-194</v>
      </c>
      <c r="J12" s="141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6</v>
      </c>
      <c r="C13" s="52">
        <v>9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7</v>
      </c>
      <c r="C14" s="52">
        <v>9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8</v>
      </c>
      <c r="C15" s="52">
        <v>9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9</v>
      </c>
      <c r="C16" s="52">
        <v>9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10</v>
      </c>
      <c r="C17" s="52">
        <v>9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11</v>
      </c>
      <c r="C18" s="52">
        <v>9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12</v>
      </c>
      <c r="C19" s="52">
        <v>9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13</v>
      </c>
      <c r="C20" s="52">
        <v>9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14</v>
      </c>
      <c r="C21" s="52">
        <v>9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15</v>
      </c>
      <c r="C22" s="52">
        <v>9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16</v>
      </c>
      <c r="C23" s="52">
        <v>9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17</v>
      </c>
      <c r="C24" s="52">
        <v>9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18</v>
      </c>
      <c r="C25" s="52">
        <v>9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19</v>
      </c>
      <c r="C26" s="52">
        <v>9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20</v>
      </c>
      <c r="C27" s="52">
        <v>9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21</v>
      </c>
      <c r="C28" s="52">
        <v>9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22</v>
      </c>
      <c r="C29" s="52">
        <v>9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23</v>
      </c>
      <c r="C30" s="52">
        <v>9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24</v>
      </c>
      <c r="C31" s="52">
        <v>9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25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v>0</v>
      </c>
      <c r="H32" s="139">
        <v>3.65</v>
      </c>
      <c r="I32" s="141">
        <f>Submetering!H32+Submetering!AD32+Submetering!AE32</f>
        <v>0</v>
      </c>
      <c r="J32" s="141">
        <v>10.029999999999999</v>
      </c>
      <c r="K32" s="36">
        <v>0</v>
      </c>
    </row>
    <row r="33" spans="1:11" x14ac:dyDescent="0.2">
      <c r="A33" s="47" t="s">
        <v>53</v>
      </c>
      <c r="B33" s="52">
        <f t="shared" si="0"/>
        <v>26</v>
      </c>
      <c r="C33" s="52">
        <v>7</v>
      </c>
      <c r="D33" s="52">
        <v>2022</v>
      </c>
      <c r="E33" s="36">
        <f>(((Submetering!O33+Submetering!P33)*0.842284+Submetering!Q33+(Submetering!M33+Submetering!N33+Submetering!Y33)*0.7362)+(Submetering!O33+Submetering!P33+Submetering!Q33)*0.1488+(Submetering!M33+Submetering!N33+Submetering!Y33)*0.1167+(Submetering!K33+Submetering!L33-Submetering!Z33-Submetering!AA33-Submetering!AB33-Submetering!AC33-Submetering!Q33)+(Submetering!M33+Submetering!N33+Submetering!Y33)*0.1139)</f>
        <v>0</v>
      </c>
      <c r="F33" s="139">
        <v>1.27</v>
      </c>
      <c r="G33" s="36">
        <f>Gas!C34*0.9147</f>
        <v>0</v>
      </c>
      <c r="H33" s="139">
        <v>3.65</v>
      </c>
      <c r="I33" s="141">
        <f>Submetering!H33+Submetering!AD33+Submetering!AE33</f>
        <v>0</v>
      </c>
      <c r="J33" s="141">
        <v>10.029999999999999</v>
      </c>
      <c r="K33" s="36">
        <f>ELECT.!B34</f>
        <v>0</v>
      </c>
    </row>
    <row r="34" spans="1:11" x14ac:dyDescent="0.2">
      <c r="A34" s="47" t="s">
        <v>53</v>
      </c>
      <c r="B34" s="52">
        <f t="shared" si="0"/>
        <v>27</v>
      </c>
      <c r="C34" s="52">
        <v>7</v>
      </c>
      <c r="D34" s="52">
        <v>2022</v>
      </c>
      <c r="E34" s="36">
        <f>(((Submetering!O34+Submetering!P34)*0.842284+Submetering!Q34+(Submetering!M34+Submetering!N34+Submetering!Y34)*0.7362)+(Submetering!O34+Submetering!P34+Submetering!Q34)*0.1488+(Submetering!M34+Submetering!N34+Submetering!Y34)*0.1167+(Submetering!K34+Submetering!L34-Submetering!Z34-Submetering!AA34-Submetering!AB34-Submetering!AC34-Submetering!Q34)+(Submetering!M34+Submetering!N34+Submetering!Y34)*0.1139)</f>
        <v>0</v>
      </c>
      <c r="F34" s="139">
        <v>1.27</v>
      </c>
      <c r="G34" s="36">
        <f>Gas!C35*0.9147</f>
        <v>0</v>
      </c>
      <c r="H34" s="139">
        <v>3.65</v>
      </c>
      <c r="I34" s="141">
        <f>Submetering!H34+Submetering!AD34+Submetering!AE34</f>
        <v>0</v>
      </c>
      <c r="J34" s="141">
        <v>10.029999999999999</v>
      </c>
      <c r="K34" s="36">
        <f>ELECT.!B35</f>
        <v>0</v>
      </c>
    </row>
    <row r="35" spans="1:11" x14ac:dyDescent="0.2">
      <c r="A35" s="47" t="s">
        <v>53</v>
      </c>
      <c r="B35" s="52">
        <f t="shared" si="0"/>
        <v>28</v>
      </c>
      <c r="C35" s="52">
        <v>7</v>
      </c>
      <c r="D35" s="52">
        <v>2022</v>
      </c>
      <c r="E35" s="36">
        <f>(((Submetering!O35+Submetering!P35)*0.842284+Submetering!Q35+(Submetering!M35+Submetering!N35+Submetering!Y35)*0.7362)+(Submetering!O35+Submetering!P35+Submetering!Q35)*0.1488+(Submetering!M35+Submetering!N35+Submetering!Y35)*0.1167+(Submetering!K35+Submetering!L35-Submetering!Z35-Submetering!AA35-Submetering!AB35-Submetering!AC35-Submetering!Q35)+(Submetering!M35+Submetering!N35+Submetering!Y35)*0.1139)</f>
        <v>0</v>
      </c>
      <c r="F35" s="139">
        <v>1.27</v>
      </c>
      <c r="G35" s="36">
        <f>Gas!C36*0.9147</f>
        <v>0</v>
      </c>
      <c r="H35" s="139">
        <v>3.65</v>
      </c>
      <c r="I35" s="141">
        <f>Submetering!H35+Submetering!AD35+Submetering!AE35</f>
        <v>0</v>
      </c>
      <c r="J35" s="141">
        <v>10.029999999999999</v>
      </c>
      <c r="K35" s="36">
        <f>ELECT.!B36</f>
        <v>0</v>
      </c>
    </row>
    <row r="36" spans="1:11" x14ac:dyDescent="0.2">
      <c r="A36" s="47" t="s">
        <v>53</v>
      </c>
      <c r="B36" s="52">
        <f t="shared" si="0"/>
        <v>29</v>
      </c>
      <c r="C36" s="52">
        <v>7</v>
      </c>
      <c r="D36" s="52">
        <v>2022</v>
      </c>
      <c r="E36" s="36">
        <f>(((Submetering!O36+Submetering!P36)*0.842284+Submetering!Q36+(Submetering!M36+Submetering!N36+Submetering!Y36)*0.7362)+(Submetering!O36+Submetering!P36+Submetering!Q36)*0.1488+(Submetering!M36+Submetering!N36+Submetering!Y36)*0.1167+(Submetering!K36+Submetering!L36-Submetering!Z36-Submetering!AA36-Submetering!AB36-Submetering!AC36-Submetering!Q36)+(Submetering!M36+Submetering!N36+Submetering!Y36)*0.1139)</f>
        <v>0</v>
      </c>
      <c r="F36" s="139">
        <v>1.27</v>
      </c>
      <c r="G36" s="36">
        <f>Gas!C37*0.9147</f>
        <v>0</v>
      </c>
      <c r="H36" s="139">
        <v>3.65</v>
      </c>
      <c r="I36" s="141">
        <f>Submetering!H36+Submetering!AD36+Submetering!AE36</f>
        <v>0</v>
      </c>
      <c r="J36" s="141">
        <v>10.029999999999999</v>
      </c>
      <c r="K36" s="36">
        <f>ELECT.!B37</f>
        <v>0</v>
      </c>
    </row>
    <row r="37" spans="1:11" x14ac:dyDescent="0.2">
      <c r="A37" s="47" t="s">
        <v>53</v>
      </c>
      <c r="B37" s="52">
        <f t="shared" si="0"/>
        <v>30</v>
      </c>
      <c r="C37" s="52">
        <v>7</v>
      </c>
      <c r="D37" s="52">
        <v>2022</v>
      </c>
      <c r="E37" s="36">
        <f>(((Submetering!O37+Submetering!P37)*0.842284+Submetering!Q37+(Submetering!M37+Submetering!N37+Submetering!Y37)*0.7362)+(Submetering!O37+Submetering!P37+Submetering!Q37)*0.1488+(Submetering!M37+Submetering!N37+Submetering!Y37)*0.1167+(Submetering!K37+Submetering!L37-Submetering!Z37-Submetering!AA37-Submetering!AB37-Submetering!AC37-Submetering!Q37)+(Submetering!M37+Submetering!N37+Submetering!Y37)*0.1139)</f>
        <v>0</v>
      </c>
      <c r="F37" s="139">
        <v>1.27</v>
      </c>
      <c r="G37" s="36">
        <f>Gas!C38*0.9147</f>
        <v>0</v>
      </c>
      <c r="H37" s="139">
        <v>3.65</v>
      </c>
      <c r="I37" s="141">
        <f>Submetering!H37+Submetering!AD37+Submetering!AE37</f>
        <v>0</v>
      </c>
      <c r="J37" s="141">
        <v>10.029999999999999</v>
      </c>
      <c r="K37" s="36">
        <f>ELECT.!B38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29" sqref="B29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9</v>
      </c>
      <c r="D2" s="52">
        <v>2022</v>
      </c>
      <c r="E2" s="36">
        <f>Water!C3</f>
        <v>1100</v>
      </c>
      <c r="F2" s="36">
        <f>Water!E3</f>
        <v>560</v>
      </c>
      <c r="G2" s="36">
        <f>Water!G3</f>
        <v>577.79999999999995</v>
      </c>
      <c r="H2" s="36">
        <f>Water!I3</f>
        <v>4.5090000000000003</v>
      </c>
      <c r="I2" s="36">
        <f>ELECT.!F3</f>
        <v>26629</v>
      </c>
      <c r="J2" s="36">
        <f>ELECT.!H3</f>
        <v>64344</v>
      </c>
      <c r="K2" s="36">
        <f>ELECT.!K3</f>
        <v>13026</v>
      </c>
      <c r="L2" s="36">
        <f>ELECT.!M3</f>
        <v>7141</v>
      </c>
      <c r="M2" s="36">
        <f>ELECT.!O3</f>
        <v>19284</v>
      </c>
      <c r="N2" s="36">
        <f>ELECT.!Q3</f>
        <v>15896</v>
      </c>
      <c r="O2" s="36">
        <f>ELECT.!S3</f>
        <v>12637</v>
      </c>
      <c r="P2" s="36">
        <f>ELECT.!W3*2</f>
        <v>27462</v>
      </c>
      <c r="Q2" s="36">
        <f>ELECT.!D3</f>
        <v>640</v>
      </c>
      <c r="R2" s="37">
        <f>BTU!C3</f>
        <v>12.468000000000757</v>
      </c>
      <c r="S2" s="37">
        <f>BTU!F3</f>
        <v>2.8519999999998618</v>
      </c>
      <c r="T2" s="37">
        <f>BTU!I3</f>
        <v>9</v>
      </c>
      <c r="U2" s="37">
        <f>BTU!O3</f>
        <v>2.1739999999999782</v>
      </c>
      <c r="V2" s="37">
        <f>BTU!L3</f>
        <v>2.0799999999999272</v>
      </c>
      <c r="W2" s="37">
        <f>BTU!R3</f>
        <v>1.0299999999997453</v>
      </c>
      <c r="X2" s="34">
        <f>ELECT.!B3</f>
        <v>238</v>
      </c>
      <c r="Y2" s="34">
        <f>I2+J2-(K2+L2+M2+N2+O2+P2)</f>
        <v>-4473</v>
      </c>
      <c r="Z2">
        <f>'Mall, Citadel, Rotana'!C3+'Mall, Citadel, Rotana'!E3+'Mall, Citadel, Rotana'!G3+'Mall, Citadel, Rotana'!I3</f>
        <v>1364</v>
      </c>
      <c r="AA2">
        <f>'Mall, Citadel, Rotana'!K3+'Mall, Citadel, Rotana'!M3</f>
        <v>354</v>
      </c>
      <c r="AB2">
        <f>'Mall, Citadel, Rotana'!O3</f>
        <v>3</v>
      </c>
      <c r="AC2">
        <f>'Mall, Citadel, Rotana'!Q3+'Mall, Citadel, Rotana'!S3</f>
        <v>119</v>
      </c>
      <c r="AD2" s="34">
        <f>(E2-H2-194)*0.1318</f>
        <v>118.8165138</v>
      </c>
      <c r="AE2" s="34">
        <f>E2-H2-AD2-194</f>
        <v>782.67448620000005</v>
      </c>
    </row>
    <row r="3" spans="1:31" x14ac:dyDescent="0.2">
      <c r="A3" s="47" t="s">
        <v>53</v>
      </c>
      <c r="B3" s="52">
        <f>B2+1</f>
        <v>2</v>
      </c>
      <c r="C3" s="52">
        <v>9</v>
      </c>
      <c r="D3" s="52">
        <v>2022</v>
      </c>
      <c r="E3" s="36">
        <f>Water!C4</f>
        <v>1140</v>
      </c>
      <c r="F3" s="36">
        <f>Water!E4</f>
        <v>430</v>
      </c>
      <c r="G3" s="36">
        <f>Water!G4</f>
        <v>564.29999999999995</v>
      </c>
      <c r="H3" s="36">
        <f>Water!I4</f>
        <v>3.4830000000000001</v>
      </c>
      <c r="I3" s="36">
        <f>ELECT.!F4</f>
        <v>23697</v>
      </c>
      <c r="J3" s="36">
        <f>ELECT.!H4</f>
        <v>56399</v>
      </c>
      <c r="K3" s="36">
        <f>ELECT.!K4</f>
        <v>10938</v>
      </c>
      <c r="L3" s="36">
        <f>ELECT.!M4</f>
        <v>6380</v>
      </c>
      <c r="M3" s="36">
        <f>ELECT.!O4</f>
        <v>17202</v>
      </c>
      <c r="N3" s="36">
        <f>ELECT.!Q4</f>
        <v>13896</v>
      </c>
      <c r="O3" s="36">
        <f>ELECT.!S4</f>
        <v>11625</v>
      </c>
      <c r="P3" s="36">
        <f>ELECT.!W4*2</f>
        <v>23796</v>
      </c>
      <c r="Q3" s="36">
        <f>ELECT.!D4</f>
        <v>480</v>
      </c>
      <c r="R3" s="141">
        <f>BTU!C4</f>
        <v>12.774999999997817</v>
      </c>
      <c r="S3" s="141">
        <f>BTU!F4</f>
        <v>2.1180000000003929</v>
      </c>
      <c r="T3" s="141">
        <f>BTU!I4</f>
        <v>7</v>
      </c>
      <c r="U3" s="141">
        <f>BTU!O4</f>
        <v>2.3220000000001164</v>
      </c>
      <c r="V3" s="141">
        <f>BTU!L4</f>
        <v>2.4899999999997817</v>
      </c>
      <c r="W3" s="141">
        <f>BTU!R4</f>
        <v>0.9000000000005457</v>
      </c>
      <c r="X3" s="34">
        <f>ELECT.!B4</f>
        <v>207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1228</v>
      </c>
      <c r="AA3">
        <f>'Mall, Citadel, Rotana'!K4+'Mall, Citadel, Rotana'!M4</f>
        <v>306</v>
      </c>
      <c r="AB3">
        <f>'Mall, Citadel, Rotana'!O4</f>
        <v>3</v>
      </c>
      <c r="AC3">
        <f>'Mall, Citadel, Rotana'!Q4+'Mall, Citadel, Rotana'!S4</f>
        <v>122</v>
      </c>
      <c r="AD3" s="34">
        <f t="shared" ref="AD3:AD31" si="1">(E3-H3-194)*0.1318</f>
        <v>124.22374060000001</v>
      </c>
      <c r="AE3" s="34">
        <f t="shared" ref="AE3:AE31" si="2">E3-H3-AD3-194</f>
        <v>818.29325940000001</v>
      </c>
    </row>
    <row r="4" spans="1:31" x14ac:dyDescent="0.2">
      <c r="A4" s="47" t="s">
        <v>53</v>
      </c>
      <c r="B4" s="52">
        <f t="shared" ref="B4:B31" si="3">B3+1</f>
        <v>3</v>
      </c>
      <c r="C4" s="52">
        <v>9</v>
      </c>
      <c r="D4" s="52">
        <v>2022</v>
      </c>
      <c r="E4" s="36">
        <f>Water!C5</f>
        <v>860</v>
      </c>
      <c r="F4" s="36">
        <f>Water!E5</f>
        <v>390</v>
      </c>
      <c r="G4" s="36">
        <f>Water!G5</f>
        <v>529.20000000000005</v>
      </c>
      <c r="H4" s="36">
        <f>Water!I5</f>
        <v>4.0229999999999997</v>
      </c>
      <c r="I4" s="36">
        <f>ELECT.!F5</f>
        <v>18082</v>
      </c>
      <c r="J4" s="36">
        <f>ELECT.!H5</f>
        <v>42862</v>
      </c>
      <c r="K4" s="36">
        <f>ELECT.!K5</f>
        <v>8754</v>
      </c>
      <c r="L4" s="36">
        <f>ELECT.!M5</f>
        <v>4937</v>
      </c>
      <c r="M4" s="36">
        <f>ELECT.!O5</f>
        <v>12870</v>
      </c>
      <c r="N4" s="36">
        <f>ELECT.!Q5</f>
        <v>10558</v>
      </c>
      <c r="O4" s="36">
        <f>ELECT.!S5</f>
        <v>8647</v>
      </c>
      <c r="P4" s="36">
        <f>ELECT.!W5*2</f>
        <v>18070</v>
      </c>
      <c r="Q4" s="36">
        <f>ELECT.!D5</f>
        <v>800</v>
      </c>
      <c r="R4" s="141">
        <f>BTU!C5</f>
        <v>13.725000000002183</v>
      </c>
      <c r="S4" s="141">
        <f>BTU!F5</f>
        <v>1.9359999999996944</v>
      </c>
      <c r="T4" s="141">
        <f>BTU!I5</f>
        <v>9</v>
      </c>
      <c r="U4" s="141">
        <f>BTU!O5</f>
        <v>2.4039999999999964</v>
      </c>
      <c r="V4" s="141">
        <f>BTU!L5</f>
        <v>2.9599999999991269</v>
      </c>
      <c r="W4" s="141">
        <f>BTU!R5</f>
        <v>0.88999999999941792</v>
      </c>
      <c r="X4" s="34">
        <f>ELECT.!B5</f>
        <v>207</v>
      </c>
      <c r="Y4" s="34">
        <f t="shared" si="0"/>
        <v>-2892</v>
      </c>
      <c r="Z4">
        <f>'Mall, Citadel, Rotana'!C5+'Mall, Citadel, Rotana'!E5+'Mall, Citadel, Rotana'!G5+'Mall, Citadel, Rotana'!I5</f>
        <v>1236</v>
      </c>
      <c r="AA4">
        <f>'Mall, Citadel, Rotana'!K5+'Mall, Citadel, Rotana'!M5</f>
        <v>255</v>
      </c>
      <c r="AB4">
        <f>'Mall, Citadel, Rotana'!O5</f>
        <v>3</v>
      </c>
      <c r="AC4">
        <f>'Mall, Citadel, Rotana'!Q5+'Mall, Citadel, Rotana'!S5</f>
        <v>118</v>
      </c>
      <c r="AD4" s="34">
        <f t="shared" si="1"/>
        <v>87.248568599999999</v>
      </c>
      <c r="AE4" s="34">
        <f t="shared" si="2"/>
        <v>574.72843139999998</v>
      </c>
    </row>
    <row r="5" spans="1:31" x14ac:dyDescent="0.2">
      <c r="A5" s="47" t="s">
        <v>53</v>
      </c>
      <c r="B5" s="52">
        <f t="shared" si="3"/>
        <v>4</v>
      </c>
      <c r="C5" s="52">
        <v>9</v>
      </c>
      <c r="D5" s="52">
        <v>2022</v>
      </c>
      <c r="E5" s="36">
        <f>Water!C6</f>
        <v>0</v>
      </c>
      <c r="F5" s="36">
        <f>Water!E6</f>
        <v>0</v>
      </c>
      <c r="G5" s="36">
        <f>Water!G6</f>
        <v>0</v>
      </c>
      <c r="H5" s="36">
        <f>Water!I6</f>
        <v>0</v>
      </c>
      <c r="I5" s="36" t="str">
        <f>ELECT.!F6</f>
        <v>0</v>
      </c>
      <c r="J5" s="36" t="str">
        <f>ELECT.!H6</f>
        <v>0</v>
      </c>
      <c r="K5" s="36">
        <f>ELECT.!K6</f>
        <v>0</v>
      </c>
      <c r="L5" s="36" t="str">
        <f>ELECT.!M6</f>
        <v>0</v>
      </c>
      <c r="M5" s="36">
        <f>ELECT.!O6</f>
        <v>0</v>
      </c>
      <c r="N5" s="36" t="str">
        <f>ELECT.!Q6</f>
        <v>0</v>
      </c>
      <c r="O5" s="36" t="str">
        <f>ELECT.!S6</f>
        <v>0</v>
      </c>
      <c r="P5" s="36">
        <f>ELECT.!W6*2</f>
        <v>0</v>
      </c>
      <c r="Q5" s="36">
        <f>ELECT.!D6</f>
        <v>0</v>
      </c>
      <c r="R5" s="141">
        <f>BTU!C6</f>
        <v>0</v>
      </c>
      <c r="S5" s="141">
        <f>BTU!F6</f>
        <v>0</v>
      </c>
      <c r="T5" s="141">
        <f>BTU!I6</f>
        <v>0</v>
      </c>
      <c r="U5" s="141">
        <f>BTU!O6</f>
        <v>0</v>
      </c>
      <c r="V5" s="141">
        <f>BTU!L6</f>
        <v>0</v>
      </c>
      <c r="W5" s="141">
        <f>BTU!R6</f>
        <v>0</v>
      </c>
      <c r="X5" s="34">
        <f>ELECT.!B6</f>
        <v>0</v>
      </c>
      <c r="Y5" s="34">
        <f t="shared" si="0"/>
        <v>0</v>
      </c>
      <c r="Z5">
        <f>'Mall, Citadel, Rotana'!C6+'Mall, Citadel, Rotana'!E6+'Mall, Citadel, Rotana'!G6+'Mall, Citadel, Rotana'!I6</f>
        <v>0</v>
      </c>
      <c r="AA5">
        <f>'Mall, Citadel, Rotana'!K6+'Mall, Citadel, Rotana'!M6</f>
        <v>0</v>
      </c>
      <c r="AB5">
        <f>'Mall, Citadel, Rotana'!O6</f>
        <v>0</v>
      </c>
      <c r="AC5">
        <f>'Mall, Citadel, Rotana'!Q6+'Mall, Citadel, Rotana'!S6</f>
        <v>0</v>
      </c>
      <c r="AD5" s="34">
        <f t="shared" si="1"/>
        <v>-25.569199999999999</v>
      </c>
      <c r="AE5" s="34">
        <f t="shared" si="2"/>
        <v>-168.4308</v>
      </c>
    </row>
    <row r="6" spans="1:31" x14ac:dyDescent="0.2">
      <c r="A6" s="47" t="s">
        <v>53</v>
      </c>
      <c r="B6" s="52">
        <f t="shared" si="3"/>
        <v>5</v>
      </c>
      <c r="C6" s="52">
        <v>9</v>
      </c>
      <c r="D6" s="52">
        <v>2022</v>
      </c>
      <c r="E6" s="36">
        <f>Water!C7</f>
        <v>0</v>
      </c>
      <c r="F6" s="36">
        <f>Water!E7</f>
        <v>0</v>
      </c>
      <c r="G6" s="36">
        <f>Water!G7</f>
        <v>0</v>
      </c>
      <c r="H6" s="36">
        <f>Water!I7</f>
        <v>0</v>
      </c>
      <c r="I6" s="36">
        <f>ELECT.!F7</f>
        <v>0</v>
      </c>
      <c r="J6" s="36">
        <f>ELECT.!H7</f>
        <v>0</v>
      </c>
      <c r="K6" s="36">
        <f>ELECT.!K7</f>
        <v>0</v>
      </c>
      <c r="L6" s="36">
        <f>ELECT.!M7</f>
        <v>0</v>
      </c>
      <c r="M6" s="36">
        <f>ELECT.!O7</f>
        <v>0</v>
      </c>
      <c r="N6" s="36">
        <f>ELECT.!Q7</f>
        <v>0</v>
      </c>
      <c r="O6" s="36">
        <f>ELECT.!S7</f>
        <v>0</v>
      </c>
      <c r="P6" s="36">
        <f>ELECT.!W7*2</f>
        <v>0</v>
      </c>
      <c r="Q6" s="36">
        <f>ELECT.!D7</f>
        <v>0</v>
      </c>
      <c r="R6" s="141">
        <f>BTU!C7</f>
        <v>0</v>
      </c>
      <c r="S6" s="141">
        <f>BTU!F7</f>
        <v>0</v>
      </c>
      <c r="T6" s="141">
        <f>BTU!I7</f>
        <v>0</v>
      </c>
      <c r="U6" s="141">
        <f>BTU!O7</f>
        <v>0</v>
      </c>
      <c r="V6" s="141">
        <f>BTU!L7</f>
        <v>0</v>
      </c>
      <c r="W6" s="141">
        <f>BTU!R7</f>
        <v>0</v>
      </c>
      <c r="X6" s="34">
        <f>ELECT.!B7</f>
        <v>0</v>
      </c>
      <c r="Y6" s="34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34">
        <f t="shared" si="1"/>
        <v>-25.569199999999999</v>
      </c>
      <c r="AE6" s="34">
        <f t="shared" si="2"/>
        <v>-168.4308</v>
      </c>
    </row>
    <row r="7" spans="1:31" x14ac:dyDescent="0.2">
      <c r="A7" s="47" t="s">
        <v>53</v>
      </c>
      <c r="B7" s="52">
        <f t="shared" si="3"/>
        <v>6</v>
      </c>
      <c r="C7" s="52">
        <v>9</v>
      </c>
      <c r="D7" s="52">
        <v>2022</v>
      </c>
      <c r="E7" s="36">
        <f>Water!C8</f>
        <v>0</v>
      </c>
      <c r="F7" s="36">
        <f>Water!E8</f>
        <v>0</v>
      </c>
      <c r="G7" s="36">
        <f>Water!G8</f>
        <v>0</v>
      </c>
      <c r="H7" s="36">
        <f>Water!I8</f>
        <v>0</v>
      </c>
      <c r="I7" s="36">
        <f>ELECT.!F8</f>
        <v>0</v>
      </c>
      <c r="J7" s="36">
        <f>ELECT.!H8</f>
        <v>0</v>
      </c>
      <c r="K7" s="36">
        <f>ELECT.!K8</f>
        <v>0</v>
      </c>
      <c r="L7" s="36">
        <f>ELECT.!M8</f>
        <v>0</v>
      </c>
      <c r="M7" s="36">
        <f>ELECT.!O8</f>
        <v>0</v>
      </c>
      <c r="N7" s="36">
        <f>ELECT.!Q8</f>
        <v>0</v>
      </c>
      <c r="O7" s="36">
        <f>ELECT.!S8</f>
        <v>0</v>
      </c>
      <c r="P7" s="36">
        <f>ELECT.!W8*2</f>
        <v>0</v>
      </c>
      <c r="Q7" s="36">
        <f>ELECT.!D8</f>
        <v>0</v>
      </c>
      <c r="R7" s="141">
        <f>BTU!C8</f>
        <v>0</v>
      </c>
      <c r="S7" s="141">
        <f>BTU!F8</f>
        <v>0</v>
      </c>
      <c r="T7" s="141">
        <f>BTU!I8</f>
        <v>0</v>
      </c>
      <c r="U7" s="141">
        <f>BTU!O8</f>
        <v>0</v>
      </c>
      <c r="V7" s="141">
        <f>BTU!L8</f>
        <v>0</v>
      </c>
      <c r="W7" s="141">
        <f>BTU!R8</f>
        <v>0</v>
      </c>
      <c r="X7" s="34">
        <f>ELECT.!B8</f>
        <v>0</v>
      </c>
      <c r="Y7" s="34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34">
        <f t="shared" si="1"/>
        <v>-25.569199999999999</v>
      </c>
      <c r="AE7" s="34">
        <f t="shared" si="2"/>
        <v>-168.4308</v>
      </c>
    </row>
    <row r="8" spans="1:31" x14ac:dyDescent="0.2">
      <c r="A8" s="47" t="s">
        <v>53</v>
      </c>
      <c r="B8" s="52">
        <f t="shared" si="3"/>
        <v>7</v>
      </c>
      <c r="C8" s="52">
        <v>9</v>
      </c>
      <c r="D8" s="52">
        <v>2022</v>
      </c>
      <c r="E8" s="36">
        <f>Water!C9</f>
        <v>0</v>
      </c>
      <c r="F8" s="36">
        <f>Water!E9</f>
        <v>0</v>
      </c>
      <c r="G8" s="36">
        <f>Water!G9</f>
        <v>0</v>
      </c>
      <c r="H8" s="36">
        <f>Water!I9</f>
        <v>0</v>
      </c>
      <c r="I8" s="36">
        <f>ELECT.!F9</f>
        <v>0</v>
      </c>
      <c r="J8" s="36">
        <f>ELECT.!H9</f>
        <v>0</v>
      </c>
      <c r="K8" s="36">
        <f>ELECT.!K9</f>
        <v>0</v>
      </c>
      <c r="L8" s="36">
        <f>ELECT.!M9</f>
        <v>0</v>
      </c>
      <c r="M8" s="36">
        <f>ELECT.!O9</f>
        <v>0</v>
      </c>
      <c r="N8" s="36">
        <f>ELECT.!Q9</f>
        <v>0</v>
      </c>
      <c r="O8" s="36">
        <f>ELECT.!S9</f>
        <v>0</v>
      </c>
      <c r="P8" s="36">
        <f>ELECT.!W9*2</f>
        <v>0</v>
      </c>
      <c r="Q8" s="36">
        <f>ELECT.!D9</f>
        <v>0</v>
      </c>
      <c r="R8" s="141">
        <f>BTU!C9</f>
        <v>0</v>
      </c>
      <c r="S8" s="141">
        <f>BTU!F9</f>
        <v>0</v>
      </c>
      <c r="T8" s="141">
        <f>BTU!I9</f>
        <v>0</v>
      </c>
      <c r="U8" s="141">
        <f>BTU!O9</f>
        <v>0</v>
      </c>
      <c r="V8" s="141">
        <f>BTU!L9</f>
        <v>0</v>
      </c>
      <c r="W8" s="141">
        <f>BTU!R9</f>
        <v>0</v>
      </c>
      <c r="X8" s="34">
        <f>ELECT.!B9</f>
        <v>0</v>
      </c>
      <c r="Y8" s="34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4">
        <f t="shared" si="1"/>
        <v>-25.569199999999999</v>
      </c>
      <c r="AE8" s="34">
        <f t="shared" si="2"/>
        <v>-168.4308</v>
      </c>
    </row>
    <row r="9" spans="1:31" x14ac:dyDescent="0.2">
      <c r="A9" s="47" t="s">
        <v>53</v>
      </c>
      <c r="B9" s="52">
        <f t="shared" si="3"/>
        <v>8</v>
      </c>
      <c r="C9" s="52">
        <v>9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41">
        <f>BTU!C10</f>
        <v>0</v>
      </c>
      <c r="S9" s="141">
        <f>BTU!F10</f>
        <v>0</v>
      </c>
      <c r="T9" s="141">
        <f>BTU!I10</f>
        <v>0</v>
      </c>
      <c r="U9" s="141">
        <f>BTU!O10</f>
        <v>0</v>
      </c>
      <c r="V9" s="141">
        <f>BTU!L10</f>
        <v>0</v>
      </c>
      <c r="W9" s="141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9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41">
        <f>BTU!C11</f>
        <v>0</v>
      </c>
      <c r="S10" s="141">
        <f>BTU!F11</f>
        <v>0</v>
      </c>
      <c r="T10" s="141">
        <f>BTU!I11</f>
        <v>0</v>
      </c>
      <c r="U10" s="141">
        <f>BTU!O11</f>
        <v>0</v>
      </c>
      <c r="V10" s="141">
        <f>BTU!L11</f>
        <v>0</v>
      </c>
      <c r="W10" s="141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9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41">
        <f>BTU!C12</f>
        <v>0</v>
      </c>
      <c r="S11" s="141">
        <f>BTU!F12</f>
        <v>0</v>
      </c>
      <c r="T11" s="141">
        <f>BTU!I12</f>
        <v>0</v>
      </c>
      <c r="U11" s="141">
        <f>BTU!O12</f>
        <v>0</v>
      </c>
      <c r="V11" s="141">
        <f>BTU!L12</f>
        <v>0</v>
      </c>
      <c r="W11" s="141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9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41">
        <f>BTU!C13</f>
        <v>0</v>
      </c>
      <c r="S12" s="141">
        <f>BTU!F13</f>
        <v>0</v>
      </c>
      <c r="T12" s="141">
        <f>BTU!I13</f>
        <v>0</v>
      </c>
      <c r="U12" s="141">
        <f>BTU!O13</f>
        <v>0</v>
      </c>
      <c r="V12" s="141">
        <f>BTU!L13</f>
        <v>0</v>
      </c>
      <c r="W12" s="141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9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41">
        <f>BTU!C14</f>
        <v>0</v>
      </c>
      <c r="S13" s="141">
        <f>BTU!F14</f>
        <v>0</v>
      </c>
      <c r="T13" s="141">
        <f>BTU!I14</f>
        <v>0</v>
      </c>
      <c r="U13" s="141">
        <f>BTU!O14</f>
        <v>0</v>
      </c>
      <c r="V13" s="141">
        <f>BTU!L14</f>
        <v>0</v>
      </c>
      <c r="W13" s="141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9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9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9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9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9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9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9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9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9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9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9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9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9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9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9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9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9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9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R32" s="141"/>
      <c r="S32" s="141"/>
      <c r="T32" s="141"/>
      <c r="U32" s="141"/>
      <c r="V32" s="141"/>
      <c r="W32" s="141"/>
      <c r="AD32" s="34"/>
      <c r="AE32" s="3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5" sqref="A5:XFD5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44804</v>
      </c>
      <c r="B2" s="32">
        <v>47509</v>
      </c>
      <c r="C2" s="14">
        <v>0</v>
      </c>
      <c r="D2" s="32">
        <v>40924</v>
      </c>
      <c r="E2" s="14">
        <v>0</v>
      </c>
      <c r="F2" s="32">
        <v>22019</v>
      </c>
      <c r="G2" s="14">
        <v>0</v>
      </c>
      <c r="H2" s="32">
        <v>257970</v>
      </c>
      <c r="I2" s="14">
        <v>0</v>
      </c>
      <c r="J2" s="32">
        <v>330607</v>
      </c>
      <c r="K2" s="14">
        <v>0</v>
      </c>
      <c r="L2" s="32">
        <v>26449</v>
      </c>
      <c r="M2" s="14">
        <v>0</v>
      </c>
      <c r="N2" s="32">
        <v>226330</v>
      </c>
      <c r="O2" s="14">
        <v>0</v>
      </c>
      <c r="P2" s="32">
        <v>167701</v>
      </c>
      <c r="Q2" s="14">
        <v>0</v>
      </c>
      <c r="R2" s="1">
        <v>55047</v>
      </c>
      <c r="S2" s="14">
        <v>0</v>
      </c>
      <c r="T2" s="32">
        <v>4046</v>
      </c>
      <c r="U2" s="14">
        <v>0</v>
      </c>
    </row>
    <row r="3" spans="1:24" ht="13.5" thickBot="1" x14ac:dyDescent="0.25">
      <c r="A3" s="9">
        <v>44805</v>
      </c>
      <c r="B3" s="32">
        <v>47514</v>
      </c>
      <c r="C3" s="14">
        <f t="shared" ref="C3" si="0">(B3-B2)*800/5</f>
        <v>800</v>
      </c>
      <c r="D3" s="32">
        <v>40927</v>
      </c>
      <c r="E3" s="14">
        <f t="shared" ref="E3" si="1">(D3-D2)*800/5</f>
        <v>480</v>
      </c>
      <c r="F3" s="32">
        <v>22022</v>
      </c>
      <c r="G3" s="14">
        <f>(F3-F2)*100/5</f>
        <v>60</v>
      </c>
      <c r="H3" s="32">
        <v>257994</v>
      </c>
      <c r="I3" s="14">
        <f>(H3-H2)</f>
        <v>24</v>
      </c>
      <c r="J3" s="32">
        <v>330781</v>
      </c>
      <c r="K3" s="14">
        <f>(J3-J2)</f>
        <v>174</v>
      </c>
      <c r="L3" s="32">
        <v>26452</v>
      </c>
      <c r="M3" s="14">
        <f>(L3-L2)*300/5</f>
        <v>180</v>
      </c>
      <c r="N3" s="32">
        <v>226333</v>
      </c>
      <c r="O3" s="14">
        <f>N3-N2</f>
        <v>3</v>
      </c>
      <c r="P3" s="32">
        <v>167820</v>
      </c>
      <c r="Q3" s="14">
        <f t="shared" ref="Q3:Q32" si="2">P3-P2</f>
        <v>119</v>
      </c>
      <c r="R3" s="1">
        <v>55047</v>
      </c>
      <c r="S3" s="14">
        <v>0</v>
      </c>
      <c r="T3" s="32">
        <v>4046</v>
      </c>
      <c r="U3" s="14">
        <f>(T3-T2)*800/5</f>
        <v>0</v>
      </c>
    </row>
    <row r="4" spans="1:24" ht="13.5" thickBot="1" x14ac:dyDescent="0.25">
      <c r="A4" s="9">
        <v>44806</v>
      </c>
      <c r="B4" s="32">
        <v>47518</v>
      </c>
      <c r="C4" s="14">
        <f t="shared" ref="C4:C32" si="3">(B4-B3)*800/5</f>
        <v>640</v>
      </c>
      <c r="D4" s="32">
        <v>40930</v>
      </c>
      <c r="E4" s="14">
        <f t="shared" ref="E4:E32" si="4">(D4-D3)*800/5</f>
        <v>480</v>
      </c>
      <c r="F4" s="32">
        <v>22026</v>
      </c>
      <c r="G4" s="14">
        <f t="shared" ref="G4:G32" si="5">(F4-F3)*100/5</f>
        <v>80</v>
      </c>
      <c r="H4" s="32">
        <v>258022</v>
      </c>
      <c r="I4" s="14">
        <f t="shared" ref="I4:I32" si="6">(H4-H3)</f>
        <v>28</v>
      </c>
      <c r="J4" s="32">
        <v>330907</v>
      </c>
      <c r="K4" s="14">
        <f t="shared" ref="K4:K32" si="7">(J4-J3)</f>
        <v>126</v>
      </c>
      <c r="L4" s="32">
        <v>26455</v>
      </c>
      <c r="M4" s="14">
        <f t="shared" ref="M4:M32" si="8">(L4-L3)*300/5</f>
        <v>180</v>
      </c>
      <c r="N4" s="32">
        <v>226336</v>
      </c>
      <c r="O4" s="14">
        <f t="shared" ref="O4:O32" si="9">N4-N3</f>
        <v>3</v>
      </c>
      <c r="P4" s="32">
        <v>167942</v>
      </c>
      <c r="Q4" s="14">
        <f t="shared" si="2"/>
        <v>122</v>
      </c>
      <c r="R4" s="1">
        <v>55047</v>
      </c>
      <c r="S4" s="14">
        <v>0</v>
      </c>
      <c r="T4" s="32">
        <v>4046</v>
      </c>
      <c r="U4" s="14">
        <f t="shared" ref="U4:U32" si="10">(T4-T3)*800/5</f>
        <v>0</v>
      </c>
    </row>
    <row r="5" spans="1:24" ht="13.5" thickBot="1" x14ac:dyDescent="0.25">
      <c r="A5" s="9">
        <v>44807</v>
      </c>
      <c r="B5" s="32">
        <v>47522</v>
      </c>
      <c r="C5" s="14">
        <f t="shared" si="3"/>
        <v>640</v>
      </c>
      <c r="D5" s="32">
        <v>40933</v>
      </c>
      <c r="E5" s="14">
        <f t="shared" si="4"/>
        <v>480</v>
      </c>
      <c r="F5" s="32">
        <v>22030</v>
      </c>
      <c r="G5" s="14">
        <f t="shared" si="5"/>
        <v>80</v>
      </c>
      <c r="H5" s="32">
        <v>258058</v>
      </c>
      <c r="I5" s="14">
        <f t="shared" si="6"/>
        <v>36</v>
      </c>
      <c r="J5" s="32">
        <v>331042</v>
      </c>
      <c r="K5" s="14">
        <f t="shared" si="7"/>
        <v>135</v>
      </c>
      <c r="L5" s="32">
        <v>26457</v>
      </c>
      <c r="M5" s="14">
        <f t="shared" si="8"/>
        <v>120</v>
      </c>
      <c r="N5" s="32">
        <v>226339</v>
      </c>
      <c r="O5" s="14">
        <f t="shared" si="9"/>
        <v>3</v>
      </c>
      <c r="P5" s="32">
        <v>168060</v>
      </c>
      <c r="Q5" s="14">
        <f t="shared" si="2"/>
        <v>118</v>
      </c>
      <c r="R5" s="1">
        <f>R4</f>
        <v>55047</v>
      </c>
      <c r="S5" s="14">
        <f t="shared" ref="S5:S32" si="11">R5-R4</f>
        <v>0</v>
      </c>
      <c r="T5" s="32">
        <v>4047</v>
      </c>
      <c r="U5" s="14">
        <f t="shared" si="10"/>
        <v>160</v>
      </c>
    </row>
    <row r="6" spans="1:24" ht="13.5" thickBot="1" x14ac:dyDescent="0.25">
      <c r="A6" s="9">
        <v>44808</v>
      </c>
      <c r="B6" s="32">
        <f t="shared" ref="B5:B32" si="12">B5</f>
        <v>47522</v>
      </c>
      <c r="C6" s="14">
        <f t="shared" si="3"/>
        <v>0</v>
      </c>
      <c r="D6" s="32">
        <f t="shared" ref="D5:D32" si="13">D5</f>
        <v>40933</v>
      </c>
      <c r="E6" s="14">
        <f t="shared" si="4"/>
        <v>0</v>
      </c>
      <c r="F6" s="32">
        <f t="shared" ref="F5:F32" si="14">F5</f>
        <v>22030</v>
      </c>
      <c r="G6" s="14">
        <f t="shared" si="5"/>
        <v>0</v>
      </c>
      <c r="H6" s="32">
        <f t="shared" ref="H5:H32" si="15">H5</f>
        <v>258058</v>
      </c>
      <c r="I6" s="14">
        <f t="shared" si="6"/>
        <v>0</v>
      </c>
      <c r="J6" s="32">
        <f t="shared" ref="J5:J32" si="16">J5</f>
        <v>331042</v>
      </c>
      <c r="K6" s="14">
        <f t="shared" si="7"/>
        <v>0</v>
      </c>
      <c r="L6" s="32">
        <f t="shared" ref="L5:L32" si="17">L5</f>
        <v>26457</v>
      </c>
      <c r="M6" s="14">
        <f t="shared" si="8"/>
        <v>0</v>
      </c>
      <c r="N6" s="32">
        <f t="shared" ref="N5:N32" si="18">N5</f>
        <v>226339</v>
      </c>
      <c r="O6" s="14">
        <f t="shared" si="9"/>
        <v>0</v>
      </c>
      <c r="P6" s="32">
        <f t="shared" ref="P5:P32" si="19">P5</f>
        <v>168060</v>
      </c>
      <c r="Q6" s="14">
        <f t="shared" si="2"/>
        <v>0</v>
      </c>
      <c r="R6" s="1">
        <f t="shared" ref="R6:R32" si="20">R5</f>
        <v>55047</v>
      </c>
      <c r="S6" s="14">
        <v>0</v>
      </c>
      <c r="T6" s="32">
        <f t="shared" ref="T5:T32" si="21">T5</f>
        <v>4047</v>
      </c>
      <c r="U6" s="14">
        <f t="shared" si="10"/>
        <v>0</v>
      </c>
    </row>
    <row r="7" spans="1:24" ht="13.5" thickBot="1" x14ac:dyDescent="0.25">
      <c r="A7" s="9">
        <v>44809</v>
      </c>
      <c r="B7" s="32">
        <f t="shared" si="12"/>
        <v>47522</v>
      </c>
      <c r="C7" s="14">
        <f t="shared" si="3"/>
        <v>0</v>
      </c>
      <c r="D7" s="32">
        <f t="shared" si="13"/>
        <v>40933</v>
      </c>
      <c r="E7" s="14">
        <f t="shared" si="4"/>
        <v>0</v>
      </c>
      <c r="F7" s="32">
        <f t="shared" si="14"/>
        <v>22030</v>
      </c>
      <c r="G7" s="14">
        <f t="shared" si="5"/>
        <v>0</v>
      </c>
      <c r="H7" s="32">
        <f t="shared" si="15"/>
        <v>258058</v>
      </c>
      <c r="I7" s="14">
        <f t="shared" si="6"/>
        <v>0</v>
      </c>
      <c r="J7" s="32">
        <f t="shared" si="16"/>
        <v>331042</v>
      </c>
      <c r="K7" s="14">
        <f t="shared" si="7"/>
        <v>0</v>
      </c>
      <c r="L7" s="32">
        <f t="shared" si="17"/>
        <v>26457</v>
      </c>
      <c r="M7" s="14">
        <f t="shared" si="8"/>
        <v>0</v>
      </c>
      <c r="N7" s="32">
        <f t="shared" si="18"/>
        <v>226339</v>
      </c>
      <c r="O7" s="14">
        <f t="shared" si="9"/>
        <v>0</v>
      </c>
      <c r="P7" s="32">
        <f t="shared" si="19"/>
        <v>168060</v>
      </c>
      <c r="Q7" s="14">
        <f t="shared" si="2"/>
        <v>0</v>
      </c>
      <c r="R7" s="1">
        <f t="shared" si="20"/>
        <v>55047</v>
      </c>
      <c r="S7" s="14">
        <v>0</v>
      </c>
      <c r="T7" s="32">
        <f t="shared" si="21"/>
        <v>4047</v>
      </c>
      <c r="U7" s="14">
        <f t="shared" si="10"/>
        <v>0</v>
      </c>
    </row>
    <row r="8" spans="1:24" ht="13.5" thickBot="1" x14ac:dyDescent="0.25">
      <c r="A8" s="9">
        <v>44810</v>
      </c>
      <c r="B8" s="32">
        <f t="shared" si="12"/>
        <v>47522</v>
      </c>
      <c r="C8" s="14">
        <f t="shared" si="3"/>
        <v>0</v>
      </c>
      <c r="D8" s="32">
        <f t="shared" si="13"/>
        <v>40933</v>
      </c>
      <c r="E8" s="14">
        <f t="shared" si="4"/>
        <v>0</v>
      </c>
      <c r="F8" s="32">
        <f t="shared" si="14"/>
        <v>22030</v>
      </c>
      <c r="G8" s="14">
        <f t="shared" si="5"/>
        <v>0</v>
      </c>
      <c r="H8" s="32">
        <f t="shared" si="15"/>
        <v>258058</v>
      </c>
      <c r="I8" s="14">
        <f t="shared" si="6"/>
        <v>0</v>
      </c>
      <c r="J8" s="32">
        <f t="shared" si="16"/>
        <v>331042</v>
      </c>
      <c r="K8" s="14">
        <f t="shared" si="7"/>
        <v>0</v>
      </c>
      <c r="L8" s="32">
        <f t="shared" si="17"/>
        <v>26457</v>
      </c>
      <c r="M8" s="14">
        <f t="shared" si="8"/>
        <v>0</v>
      </c>
      <c r="N8" s="32">
        <f t="shared" si="18"/>
        <v>226339</v>
      </c>
      <c r="O8" s="14">
        <f t="shared" si="9"/>
        <v>0</v>
      </c>
      <c r="P8" s="32">
        <f t="shared" si="19"/>
        <v>168060</v>
      </c>
      <c r="Q8" s="14">
        <f t="shared" si="2"/>
        <v>0</v>
      </c>
      <c r="R8" s="1">
        <f t="shared" si="20"/>
        <v>55047</v>
      </c>
      <c r="S8" s="14">
        <f>R8-R7</f>
        <v>0</v>
      </c>
      <c r="T8" s="32">
        <f t="shared" si="21"/>
        <v>4047</v>
      </c>
      <c r="U8" s="14">
        <f t="shared" si="10"/>
        <v>0</v>
      </c>
    </row>
    <row r="9" spans="1:24" ht="13.5" thickBot="1" x14ac:dyDescent="0.25">
      <c r="A9" s="9">
        <v>44811</v>
      </c>
      <c r="B9" s="32">
        <f t="shared" si="12"/>
        <v>47522</v>
      </c>
      <c r="C9" s="14">
        <f t="shared" si="3"/>
        <v>0</v>
      </c>
      <c r="D9" s="32">
        <f t="shared" si="13"/>
        <v>40933</v>
      </c>
      <c r="E9" s="14">
        <f t="shared" si="4"/>
        <v>0</v>
      </c>
      <c r="F9" s="32">
        <f t="shared" si="14"/>
        <v>22030</v>
      </c>
      <c r="G9" s="14">
        <f t="shared" si="5"/>
        <v>0</v>
      </c>
      <c r="H9" s="32">
        <f t="shared" si="15"/>
        <v>258058</v>
      </c>
      <c r="I9" s="14">
        <f t="shared" si="6"/>
        <v>0</v>
      </c>
      <c r="J9" s="32">
        <f t="shared" si="16"/>
        <v>331042</v>
      </c>
      <c r="K9" s="14">
        <f t="shared" si="7"/>
        <v>0</v>
      </c>
      <c r="L9" s="32">
        <f t="shared" si="17"/>
        <v>26457</v>
      </c>
      <c r="M9" s="14">
        <f t="shared" si="8"/>
        <v>0</v>
      </c>
      <c r="N9" s="32">
        <f t="shared" si="18"/>
        <v>226339</v>
      </c>
      <c r="O9" s="14">
        <f t="shared" si="9"/>
        <v>0</v>
      </c>
      <c r="P9" s="32">
        <f t="shared" si="19"/>
        <v>168060</v>
      </c>
      <c r="Q9" s="14">
        <f t="shared" si="2"/>
        <v>0</v>
      </c>
      <c r="R9" s="1">
        <f t="shared" si="20"/>
        <v>55047</v>
      </c>
      <c r="S9" s="14">
        <f>R9-R8</f>
        <v>0</v>
      </c>
      <c r="T9" s="32">
        <f t="shared" si="21"/>
        <v>4047</v>
      </c>
      <c r="U9" s="14">
        <f t="shared" si="10"/>
        <v>0</v>
      </c>
    </row>
    <row r="10" spans="1:24" ht="13.5" thickBot="1" x14ac:dyDescent="0.25">
      <c r="A10" s="9">
        <v>44812</v>
      </c>
      <c r="B10" s="32">
        <f t="shared" si="12"/>
        <v>47522</v>
      </c>
      <c r="C10" s="14">
        <f t="shared" si="3"/>
        <v>0</v>
      </c>
      <c r="D10" s="32">
        <f t="shared" si="13"/>
        <v>40933</v>
      </c>
      <c r="E10" s="14">
        <f t="shared" si="4"/>
        <v>0</v>
      </c>
      <c r="F10" s="32">
        <f t="shared" si="14"/>
        <v>22030</v>
      </c>
      <c r="G10" s="14">
        <f t="shared" si="5"/>
        <v>0</v>
      </c>
      <c r="H10" s="32">
        <f t="shared" si="15"/>
        <v>258058</v>
      </c>
      <c r="I10" s="14">
        <f t="shared" si="6"/>
        <v>0</v>
      </c>
      <c r="J10" s="32">
        <f t="shared" si="16"/>
        <v>331042</v>
      </c>
      <c r="K10" s="14">
        <f t="shared" si="7"/>
        <v>0</v>
      </c>
      <c r="L10" s="32">
        <f t="shared" si="17"/>
        <v>26457</v>
      </c>
      <c r="M10" s="14">
        <f t="shared" si="8"/>
        <v>0</v>
      </c>
      <c r="N10" s="32">
        <f t="shared" si="18"/>
        <v>226339</v>
      </c>
      <c r="O10" s="14">
        <f t="shared" si="9"/>
        <v>0</v>
      </c>
      <c r="P10" s="32">
        <f t="shared" si="19"/>
        <v>168060</v>
      </c>
      <c r="Q10" s="14">
        <f t="shared" si="2"/>
        <v>0</v>
      </c>
      <c r="R10" s="1">
        <f t="shared" si="20"/>
        <v>55047</v>
      </c>
      <c r="S10" s="14">
        <f>R10-R9</f>
        <v>0</v>
      </c>
      <c r="T10" s="32">
        <f t="shared" si="21"/>
        <v>4047</v>
      </c>
      <c r="U10" s="14">
        <f t="shared" si="10"/>
        <v>0</v>
      </c>
    </row>
    <row r="11" spans="1:24" ht="13.5" thickBot="1" x14ac:dyDescent="0.25">
      <c r="A11" s="9">
        <v>44813</v>
      </c>
      <c r="B11" s="32">
        <f t="shared" si="12"/>
        <v>47522</v>
      </c>
      <c r="C11" s="14">
        <f t="shared" si="3"/>
        <v>0</v>
      </c>
      <c r="D11" s="32">
        <f t="shared" si="13"/>
        <v>40933</v>
      </c>
      <c r="E11" s="14">
        <f t="shared" si="4"/>
        <v>0</v>
      </c>
      <c r="F11" s="32">
        <f t="shared" si="14"/>
        <v>22030</v>
      </c>
      <c r="G11" s="14">
        <f t="shared" si="5"/>
        <v>0</v>
      </c>
      <c r="H11" s="32">
        <f t="shared" si="15"/>
        <v>258058</v>
      </c>
      <c r="I11" s="14">
        <f t="shared" si="6"/>
        <v>0</v>
      </c>
      <c r="J11" s="32">
        <f t="shared" si="16"/>
        <v>331042</v>
      </c>
      <c r="K11" s="14">
        <f t="shared" si="7"/>
        <v>0</v>
      </c>
      <c r="L11" s="32">
        <f t="shared" si="17"/>
        <v>26457</v>
      </c>
      <c r="M11" s="14">
        <f t="shared" si="8"/>
        <v>0</v>
      </c>
      <c r="N11" s="32">
        <f t="shared" si="18"/>
        <v>226339</v>
      </c>
      <c r="O11" s="14">
        <f t="shared" si="9"/>
        <v>0</v>
      </c>
      <c r="P11" s="32">
        <f t="shared" si="19"/>
        <v>168060</v>
      </c>
      <c r="Q11" s="14">
        <f t="shared" si="2"/>
        <v>0</v>
      </c>
      <c r="R11" s="1">
        <f t="shared" si="20"/>
        <v>55047</v>
      </c>
      <c r="S11" s="14">
        <f t="shared" si="11"/>
        <v>0</v>
      </c>
      <c r="T11" s="32">
        <f t="shared" si="21"/>
        <v>4047</v>
      </c>
      <c r="U11" s="14">
        <f t="shared" si="10"/>
        <v>0</v>
      </c>
    </row>
    <row r="12" spans="1:24" ht="13.5" thickBot="1" x14ac:dyDescent="0.25">
      <c r="A12" s="9">
        <v>44814</v>
      </c>
      <c r="B12" s="32">
        <f t="shared" si="12"/>
        <v>47522</v>
      </c>
      <c r="C12" s="14">
        <f t="shared" si="3"/>
        <v>0</v>
      </c>
      <c r="D12" s="32">
        <f t="shared" si="13"/>
        <v>40933</v>
      </c>
      <c r="E12" s="14">
        <f t="shared" si="4"/>
        <v>0</v>
      </c>
      <c r="F12" s="32">
        <f t="shared" si="14"/>
        <v>22030</v>
      </c>
      <c r="G12" s="14">
        <f t="shared" si="5"/>
        <v>0</v>
      </c>
      <c r="H12" s="32">
        <f t="shared" si="15"/>
        <v>258058</v>
      </c>
      <c r="I12" s="14">
        <f t="shared" si="6"/>
        <v>0</v>
      </c>
      <c r="J12" s="32">
        <f t="shared" si="16"/>
        <v>331042</v>
      </c>
      <c r="K12" s="14">
        <f t="shared" si="7"/>
        <v>0</v>
      </c>
      <c r="L12" s="32">
        <f t="shared" si="17"/>
        <v>26457</v>
      </c>
      <c r="M12" s="14">
        <f t="shared" si="8"/>
        <v>0</v>
      </c>
      <c r="N12" s="32">
        <f t="shared" si="18"/>
        <v>226339</v>
      </c>
      <c r="O12" s="14">
        <f t="shared" si="9"/>
        <v>0</v>
      </c>
      <c r="P12" s="32">
        <f t="shared" si="19"/>
        <v>168060</v>
      </c>
      <c r="Q12" s="14">
        <f t="shared" si="2"/>
        <v>0</v>
      </c>
      <c r="R12" s="1">
        <f t="shared" si="20"/>
        <v>55047</v>
      </c>
      <c r="S12" s="14">
        <f t="shared" si="11"/>
        <v>0</v>
      </c>
      <c r="T12" s="32">
        <f t="shared" si="21"/>
        <v>4047</v>
      </c>
      <c r="U12" s="14">
        <f t="shared" si="10"/>
        <v>0</v>
      </c>
    </row>
    <row r="13" spans="1:24" ht="13.5" thickBot="1" x14ac:dyDescent="0.25">
      <c r="A13" s="9">
        <v>44815</v>
      </c>
      <c r="B13" s="32">
        <f t="shared" si="12"/>
        <v>47522</v>
      </c>
      <c r="C13" s="14">
        <f t="shared" si="3"/>
        <v>0</v>
      </c>
      <c r="D13" s="32">
        <f t="shared" si="13"/>
        <v>40933</v>
      </c>
      <c r="E13" s="14">
        <f t="shared" si="4"/>
        <v>0</v>
      </c>
      <c r="F13" s="32">
        <f t="shared" si="14"/>
        <v>22030</v>
      </c>
      <c r="G13" s="14">
        <f t="shared" si="5"/>
        <v>0</v>
      </c>
      <c r="H13" s="32">
        <f t="shared" si="15"/>
        <v>258058</v>
      </c>
      <c r="I13" s="14">
        <f t="shared" si="6"/>
        <v>0</v>
      </c>
      <c r="J13" s="32">
        <f t="shared" si="16"/>
        <v>331042</v>
      </c>
      <c r="K13" s="14">
        <f t="shared" si="7"/>
        <v>0</v>
      </c>
      <c r="L13" s="32">
        <f t="shared" si="17"/>
        <v>26457</v>
      </c>
      <c r="M13" s="14">
        <f t="shared" si="8"/>
        <v>0</v>
      </c>
      <c r="N13" s="32">
        <f t="shared" si="18"/>
        <v>226339</v>
      </c>
      <c r="O13" s="14">
        <f t="shared" si="9"/>
        <v>0</v>
      </c>
      <c r="P13" s="32">
        <f t="shared" si="19"/>
        <v>168060</v>
      </c>
      <c r="Q13" s="14">
        <f t="shared" si="2"/>
        <v>0</v>
      </c>
      <c r="R13" s="1">
        <f t="shared" si="20"/>
        <v>55047</v>
      </c>
      <c r="S13" s="14">
        <f t="shared" si="11"/>
        <v>0</v>
      </c>
      <c r="T13" s="32">
        <f t="shared" si="21"/>
        <v>4047</v>
      </c>
      <c r="U13" s="14">
        <f t="shared" si="10"/>
        <v>0</v>
      </c>
    </row>
    <row r="14" spans="1:24" ht="13.5" thickBot="1" x14ac:dyDescent="0.25">
      <c r="A14" s="9">
        <v>44816</v>
      </c>
      <c r="B14" s="32">
        <f t="shared" si="12"/>
        <v>47522</v>
      </c>
      <c r="C14" s="14">
        <f t="shared" si="3"/>
        <v>0</v>
      </c>
      <c r="D14" s="32">
        <f t="shared" si="13"/>
        <v>40933</v>
      </c>
      <c r="E14" s="14">
        <f t="shared" si="4"/>
        <v>0</v>
      </c>
      <c r="F14" s="32">
        <f t="shared" si="14"/>
        <v>22030</v>
      </c>
      <c r="G14" s="14">
        <f t="shared" si="5"/>
        <v>0</v>
      </c>
      <c r="H14" s="32">
        <f t="shared" si="15"/>
        <v>258058</v>
      </c>
      <c r="I14" s="14">
        <f t="shared" si="6"/>
        <v>0</v>
      </c>
      <c r="J14" s="32">
        <f t="shared" si="16"/>
        <v>331042</v>
      </c>
      <c r="K14" s="14">
        <f t="shared" si="7"/>
        <v>0</v>
      </c>
      <c r="L14" s="32">
        <f t="shared" si="17"/>
        <v>26457</v>
      </c>
      <c r="M14" s="14">
        <f t="shared" si="8"/>
        <v>0</v>
      </c>
      <c r="N14" s="32">
        <f t="shared" si="18"/>
        <v>226339</v>
      </c>
      <c r="O14" s="14">
        <f t="shared" si="9"/>
        <v>0</v>
      </c>
      <c r="P14" s="32">
        <f t="shared" si="19"/>
        <v>168060</v>
      </c>
      <c r="Q14" s="14">
        <f t="shared" si="2"/>
        <v>0</v>
      </c>
      <c r="R14" s="1">
        <f t="shared" si="20"/>
        <v>55047</v>
      </c>
      <c r="S14" s="14">
        <v>0</v>
      </c>
      <c r="T14" s="32">
        <f t="shared" si="21"/>
        <v>4047</v>
      </c>
      <c r="U14" s="14">
        <f t="shared" si="10"/>
        <v>0</v>
      </c>
    </row>
    <row r="15" spans="1:24" ht="13.5" thickBot="1" x14ac:dyDescent="0.25">
      <c r="A15" s="9">
        <v>44817</v>
      </c>
      <c r="B15" s="32">
        <f t="shared" si="12"/>
        <v>47522</v>
      </c>
      <c r="C15" s="14">
        <f t="shared" si="3"/>
        <v>0</v>
      </c>
      <c r="D15" s="32">
        <f t="shared" si="13"/>
        <v>40933</v>
      </c>
      <c r="E15" s="14">
        <f t="shared" si="4"/>
        <v>0</v>
      </c>
      <c r="F15" s="32">
        <f t="shared" si="14"/>
        <v>22030</v>
      </c>
      <c r="G15" s="14">
        <f t="shared" si="5"/>
        <v>0</v>
      </c>
      <c r="H15" s="32">
        <f t="shared" si="15"/>
        <v>258058</v>
      </c>
      <c r="I15" s="14">
        <f t="shared" si="6"/>
        <v>0</v>
      </c>
      <c r="J15" s="32">
        <f t="shared" si="16"/>
        <v>331042</v>
      </c>
      <c r="K15" s="14">
        <f t="shared" si="7"/>
        <v>0</v>
      </c>
      <c r="L15" s="32">
        <f t="shared" si="17"/>
        <v>26457</v>
      </c>
      <c r="M15" s="14">
        <f t="shared" si="8"/>
        <v>0</v>
      </c>
      <c r="N15" s="32">
        <f t="shared" si="18"/>
        <v>226339</v>
      </c>
      <c r="O15" s="14">
        <f t="shared" si="9"/>
        <v>0</v>
      </c>
      <c r="P15" s="32">
        <f t="shared" si="19"/>
        <v>168060</v>
      </c>
      <c r="Q15" s="14">
        <f t="shared" si="2"/>
        <v>0</v>
      </c>
      <c r="R15" s="1">
        <f t="shared" si="20"/>
        <v>55047</v>
      </c>
      <c r="S15" s="14">
        <v>0</v>
      </c>
      <c r="T15" s="32">
        <f t="shared" si="21"/>
        <v>4047</v>
      </c>
      <c r="U15" s="14">
        <f t="shared" si="10"/>
        <v>0</v>
      </c>
      <c r="X15" t="s">
        <v>12</v>
      </c>
    </row>
    <row r="16" spans="1:24" ht="13.5" thickBot="1" x14ac:dyDescent="0.25">
      <c r="A16" s="9">
        <v>44818</v>
      </c>
      <c r="B16" s="32">
        <f t="shared" si="12"/>
        <v>47522</v>
      </c>
      <c r="C16" s="14">
        <f t="shared" si="3"/>
        <v>0</v>
      </c>
      <c r="D16" s="32">
        <f t="shared" si="13"/>
        <v>40933</v>
      </c>
      <c r="E16" s="14">
        <f t="shared" si="4"/>
        <v>0</v>
      </c>
      <c r="F16" s="32">
        <f t="shared" si="14"/>
        <v>22030</v>
      </c>
      <c r="G16" s="14">
        <f t="shared" si="5"/>
        <v>0</v>
      </c>
      <c r="H16" s="32">
        <f t="shared" si="15"/>
        <v>258058</v>
      </c>
      <c r="I16" s="14">
        <f t="shared" si="6"/>
        <v>0</v>
      </c>
      <c r="J16" s="32">
        <f t="shared" si="16"/>
        <v>331042</v>
      </c>
      <c r="K16" s="14">
        <f t="shared" si="7"/>
        <v>0</v>
      </c>
      <c r="L16" s="32">
        <f t="shared" si="17"/>
        <v>26457</v>
      </c>
      <c r="M16" s="14">
        <f t="shared" si="8"/>
        <v>0</v>
      </c>
      <c r="N16" s="32">
        <f t="shared" si="18"/>
        <v>226339</v>
      </c>
      <c r="O16" s="14">
        <f t="shared" si="9"/>
        <v>0</v>
      </c>
      <c r="P16" s="32">
        <f t="shared" si="19"/>
        <v>168060</v>
      </c>
      <c r="Q16" s="14">
        <f t="shared" si="2"/>
        <v>0</v>
      </c>
      <c r="R16" s="1">
        <f t="shared" si="20"/>
        <v>55047</v>
      </c>
      <c r="S16" s="14">
        <f t="shared" si="11"/>
        <v>0</v>
      </c>
      <c r="T16" s="32">
        <f t="shared" si="21"/>
        <v>4047</v>
      </c>
      <c r="U16" s="14">
        <f t="shared" si="10"/>
        <v>0</v>
      </c>
      <c r="W16" t="s">
        <v>12</v>
      </c>
    </row>
    <row r="17" spans="1:23" ht="13.5" thickBot="1" x14ac:dyDescent="0.25">
      <c r="A17" s="9">
        <v>44819</v>
      </c>
      <c r="B17" s="32">
        <f t="shared" si="12"/>
        <v>47522</v>
      </c>
      <c r="C17" s="14">
        <f t="shared" si="3"/>
        <v>0</v>
      </c>
      <c r="D17" s="32">
        <f t="shared" si="13"/>
        <v>40933</v>
      </c>
      <c r="E17" s="14">
        <f t="shared" si="4"/>
        <v>0</v>
      </c>
      <c r="F17" s="32">
        <f t="shared" si="14"/>
        <v>22030</v>
      </c>
      <c r="G17" s="14">
        <f t="shared" si="5"/>
        <v>0</v>
      </c>
      <c r="H17" s="32">
        <f t="shared" si="15"/>
        <v>258058</v>
      </c>
      <c r="I17" s="14">
        <f t="shared" si="6"/>
        <v>0</v>
      </c>
      <c r="J17" s="32">
        <f t="shared" si="16"/>
        <v>331042</v>
      </c>
      <c r="K17" s="14">
        <f t="shared" si="7"/>
        <v>0</v>
      </c>
      <c r="L17" s="32">
        <f t="shared" si="17"/>
        <v>26457</v>
      </c>
      <c r="M17" s="14">
        <f t="shared" si="8"/>
        <v>0</v>
      </c>
      <c r="N17" s="32">
        <f t="shared" si="18"/>
        <v>226339</v>
      </c>
      <c r="O17" s="14">
        <f t="shared" si="9"/>
        <v>0</v>
      </c>
      <c r="P17" s="32">
        <f t="shared" si="19"/>
        <v>168060</v>
      </c>
      <c r="Q17" s="14">
        <f t="shared" si="2"/>
        <v>0</v>
      </c>
      <c r="R17" s="1">
        <f t="shared" si="20"/>
        <v>55047</v>
      </c>
      <c r="S17" s="14">
        <f>S16</f>
        <v>0</v>
      </c>
      <c r="T17" s="32">
        <f t="shared" si="21"/>
        <v>4047</v>
      </c>
      <c r="U17" s="14">
        <f t="shared" si="10"/>
        <v>0</v>
      </c>
    </row>
    <row r="18" spans="1:23" ht="13.5" thickBot="1" x14ac:dyDescent="0.25">
      <c r="A18" s="9">
        <v>44820</v>
      </c>
      <c r="B18" s="32">
        <f t="shared" si="12"/>
        <v>47522</v>
      </c>
      <c r="C18" s="14">
        <f t="shared" si="3"/>
        <v>0</v>
      </c>
      <c r="D18" s="32">
        <f t="shared" si="13"/>
        <v>40933</v>
      </c>
      <c r="E18" s="14">
        <f t="shared" si="4"/>
        <v>0</v>
      </c>
      <c r="F18" s="32">
        <f t="shared" si="14"/>
        <v>22030</v>
      </c>
      <c r="G18" s="14">
        <f t="shared" si="5"/>
        <v>0</v>
      </c>
      <c r="H18" s="32">
        <f t="shared" si="15"/>
        <v>258058</v>
      </c>
      <c r="I18" s="14">
        <f t="shared" si="6"/>
        <v>0</v>
      </c>
      <c r="J18" s="32">
        <f t="shared" si="16"/>
        <v>331042</v>
      </c>
      <c r="K18" s="14">
        <f t="shared" si="7"/>
        <v>0</v>
      </c>
      <c r="L18" s="32">
        <f t="shared" si="17"/>
        <v>26457</v>
      </c>
      <c r="M18" s="14">
        <f t="shared" si="8"/>
        <v>0</v>
      </c>
      <c r="N18" s="32">
        <f t="shared" si="18"/>
        <v>226339</v>
      </c>
      <c r="O18" s="14">
        <f t="shared" si="9"/>
        <v>0</v>
      </c>
      <c r="P18" s="32">
        <f t="shared" si="19"/>
        <v>168060</v>
      </c>
      <c r="Q18" s="14">
        <f t="shared" si="2"/>
        <v>0</v>
      </c>
      <c r="R18" s="1">
        <f t="shared" si="20"/>
        <v>55047</v>
      </c>
      <c r="S18" s="14">
        <f t="shared" si="11"/>
        <v>0</v>
      </c>
      <c r="T18" s="32">
        <f t="shared" si="21"/>
        <v>4047</v>
      </c>
      <c r="U18" s="14">
        <f t="shared" si="10"/>
        <v>0</v>
      </c>
    </row>
    <row r="19" spans="1:23" ht="13.5" thickBot="1" x14ac:dyDescent="0.25">
      <c r="A19" s="9">
        <v>44821</v>
      </c>
      <c r="B19" s="32">
        <f t="shared" si="12"/>
        <v>47522</v>
      </c>
      <c r="C19" s="14">
        <f t="shared" si="3"/>
        <v>0</v>
      </c>
      <c r="D19" s="32">
        <f t="shared" si="13"/>
        <v>40933</v>
      </c>
      <c r="E19" s="14">
        <f t="shared" si="4"/>
        <v>0</v>
      </c>
      <c r="F19" s="32">
        <f t="shared" si="14"/>
        <v>22030</v>
      </c>
      <c r="G19" s="14">
        <f t="shared" si="5"/>
        <v>0</v>
      </c>
      <c r="H19" s="32">
        <f t="shared" si="15"/>
        <v>258058</v>
      </c>
      <c r="I19" s="14">
        <f t="shared" si="6"/>
        <v>0</v>
      </c>
      <c r="J19" s="32">
        <f t="shared" si="16"/>
        <v>331042</v>
      </c>
      <c r="K19" s="14">
        <f t="shared" si="7"/>
        <v>0</v>
      </c>
      <c r="L19" s="32">
        <f t="shared" si="17"/>
        <v>26457</v>
      </c>
      <c r="M19" s="14">
        <f t="shared" si="8"/>
        <v>0</v>
      </c>
      <c r="N19" s="32">
        <f t="shared" si="18"/>
        <v>226339</v>
      </c>
      <c r="O19" s="14">
        <f t="shared" si="9"/>
        <v>0</v>
      </c>
      <c r="P19" s="32">
        <f t="shared" si="19"/>
        <v>168060</v>
      </c>
      <c r="Q19" s="14">
        <v>0</v>
      </c>
      <c r="R19" s="1">
        <f t="shared" si="20"/>
        <v>55047</v>
      </c>
      <c r="S19" s="14">
        <f t="shared" si="11"/>
        <v>0</v>
      </c>
      <c r="T19" s="32">
        <f t="shared" si="21"/>
        <v>4047</v>
      </c>
      <c r="U19" s="14">
        <f t="shared" si="10"/>
        <v>0</v>
      </c>
      <c r="W19" t="s">
        <v>12</v>
      </c>
    </row>
    <row r="20" spans="1:23" ht="13.5" thickBot="1" x14ac:dyDescent="0.25">
      <c r="A20" s="9">
        <v>44822</v>
      </c>
      <c r="B20" s="32">
        <f t="shared" si="12"/>
        <v>47522</v>
      </c>
      <c r="C20" s="14">
        <f t="shared" si="3"/>
        <v>0</v>
      </c>
      <c r="D20" s="32">
        <f t="shared" si="13"/>
        <v>40933</v>
      </c>
      <c r="E20" s="14">
        <f t="shared" si="4"/>
        <v>0</v>
      </c>
      <c r="F20" s="32">
        <f t="shared" si="14"/>
        <v>22030</v>
      </c>
      <c r="G20" s="14">
        <f t="shared" si="5"/>
        <v>0</v>
      </c>
      <c r="H20" s="32">
        <f t="shared" si="15"/>
        <v>258058</v>
      </c>
      <c r="I20" s="14">
        <f t="shared" si="6"/>
        <v>0</v>
      </c>
      <c r="J20" s="32">
        <f t="shared" si="16"/>
        <v>331042</v>
      </c>
      <c r="K20" s="14">
        <f t="shared" si="7"/>
        <v>0</v>
      </c>
      <c r="L20" s="32">
        <f t="shared" si="17"/>
        <v>26457</v>
      </c>
      <c r="M20" s="14">
        <f t="shared" si="8"/>
        <v>0</v>
      </c>
      <c r="N20" s="32">
        <f t="shared" si="18"/>
        <v>226339</v>
      </c>
      <c r="O20" s="14">
        <f t="shared" si="9"/>
        <v>0</v>
      </c>
      <c r="P20" s="32">
        <f t="shared" si="19"/>
        <v>168060</v>
      </c>
      <c r="Q20" s="14">
        <f t="shared" si="2"/>
        <v>0</v>
      </c>
      <c r="R20" s="1">
        <v>55047</v>
      </c>
      <c r="S20" s="14">
        <f t="shared" si="11"/>
        <v>0</v>
      </c>
      <c r="T20" s="32">
        <f t="shared" si="21"/>
        <v>4047</v>
      </c>
      <c r="U20" s="14">
        <f t="shared" si="10"/>
        <v>0</v>
      </c>
    </row>
    <row r="21" spans="1:23" ht="13.5" thickBot="1" x14ac:dyDescent="0.25">
      <c r="A21" s="9">
        <v>44823</v>
      </c>
      <c r="B21" s="32">
        <f t="shared" si="12"/>
        <v>47522</v>
      </c>
      <c r="C21" s="14">
        <f t="shared" si="3"/>
        <v>0</v>
      </c>
      <c r="D21" s="32">
        <f t="shared" si="13"/>
        <v>40933</v>
      </c>
      <c r="E21" s="14">
        <f t="shared" si="4"/>
        <v>0</v>
      </c>
      <c r="F21" s="32">
        <f t="shared" si="14"/>
        <v>22030</v>
      </c>
      <c r="G21" s="14">
        <f t="shared" si="5"/>
        <v>0</v>
      </c>
      <c r="H21" s="32">
        <f t="shared" si="15"/>
        <v>258058</v>
      </c>
      <c r="I21" s="14">
        <f t="shared" si="6"/>
        <v>0</v>
      </c>
      <c r="J21" s="32">
        <f t="shared" si="16"/>
        <v>331042</v>
      </c>
      <c r="K21" s="14">
        <f t="shared" si="7"/>
        <v>0</v>
      </c>
      <c r="L21" s="32">
        <f t="shared" si="17"/>
        <v>26457</v>
      </c>
      <c r="M21" s="14">
        <f t="shared" si="8"/>
        <v>0</v>
      </c>
      <c r="N21" s="32">
        <f t="shared" si="18"/>
        <v>226339</v>
      </c>
      <c r="O21" s="14">
        <f t="shared" si="9"/>
        <v>0</v>
      </c>
      <c r="P21" s="32">
        <f t="shared" si="19"/>
        <v>168060</v>
      </c>
      <c r="Q21" s="14">
        <f t="shared" si="2"/>
        <v>0</v>
      </c>
      <c r="R21" s="1">
        <f t="shared" si="20"/>
        <v>55047</v>
      </c>
      <c r="S21" s="14">
        <f t="shared" si="11"/>
        <v>0</v>
      </c>
      <c r="T21" s="32">
        <f t="shared" si="21"/>
        <v>4047</v>
      </c>
      <c r="U21" s="14">
        <f t="shared" si="10"/>
        <v>0</v>
      </c>
    </row>
    <row r="22" spans="1:23" ht="13.5" thickBot="1" x14ac:dyDescent="0.25">
      <c r="A22" s="9">
        <v>44824</v>
      </c>
      <c r="B22" s="32">
        <f t="shared" si="12"/>
        <v>47522</v>
      </c>
      <c r="C22" s="14">
        <f t="shared" si="3"/>
        <v>0</v>
      </c>
      <c r="D22" s="32">
        <f t="shared" si="13"/>
        <v>40933</v>
      </c>
      <c r="E22" s="14">
        <f t="shared" si="4"/>
        <v>0</v>
      </c>
      <c r="F22" s="32">
        <f t="shared" si="14"/>
        <v>22030</v>
      </c>
      <c r="G22" s="14">
        <f t="shared" si="5"/>
        <v>0</v>
      </c>
      <c r="H22" s="32">
        <f t="shared" si="15"/>
        <v>258058</v>
      </c>
      <c r="I22" s="14">
        <f t="shared" si="6"/>
        <v>0</v>
      </c>
      <c r="J22" s="32">
        <f t="shared" si="16"/>
        <v>331042</v>
      </c>
      <c r="K22" s="14">
        <f t="shared" si="7"/>
        <v>0</v>
      </c>
      <c r="L22" s="32">
        <f t="shared" si="17"/>
        <v>26457</v>
      </c>
      <c r="M22" s="14">
        <f t="shared" si="8"/>
        <v>0</v>
      </c>
      <c r="N22" s="32">
        <f t="shared" si="18"/>
        <v>226339</v>
      </c>
      <c r="O22" s="14">
        <f t="shared" si="9"/>
        <v>0</v>
      </c>
      <c r="P22" s="32">
        <f t="shared" si="19"/>
        <v>168060</v>
      </c>
      <c r="Q22" s="14">
        <f t="shared" si="2"/>
        <v>0</v>
      </c>
      <c r="R22" s="1">
        <f t="shared" si="20"/>
        <v>55047</v>
      </c>
      <c r="S22" s="14">
        <f t="shared" si="11"/>
        <v>0</v>
      </c>
      <c r="T22" s="32">
        <f t="shared" si="21"/>
        <v>4047</v>
      </c>
      <c r="U22" s="14">
        <f t="shared" si="10"/>
        <v>0</v>
      </c>
    </row>
    <row r="23" spans="1:23" ht="13.5" thickBot="1" x14ac:dyDescent="0.25">
      <c r="A23" s="9">
        <v>44825</v>
      </c>
      <c r="B23" s="32">
        <f t="shared" si="12"/>
        <v>47522</v>
      </c>
      <c r="C23" s="14">
        <f t="shared" si="3"/>
        <v>0</v>
      </c>
      <c r="D23" s="32">
        <f t="shared" si="13"/>
        <v>40933</v>
      </c>
      <c r="E23" s="14">
        <f t="shared" si="4"/>
        <v>0</v>
      </c>
      <c r="F23" s="32">
        <f t="shared" si="14"/>
        <v>22030</v>
      </c>
      <c r="G23" s="14">
        <f t="shared" si="5"/>
        <v>0</v>
      </c>
      <c r="H23" s="32">
        <f t="shared" si="15"/>
        <v>258058</v>
      </c>
      <c r="I23" s="14">
        <f t="shared" si="6"/>
        <v>0</v>
      </c>
      <c r="J23" s="32">
        <f t="shared" si="16"/>
        <v>331042</v>
      </c>
      <c r="K23" s="14">
        <f t="shared" si="7"/>
        <v>0</v>
      </c>
      <c r="L23" s="32">
        <f t="shared" si="17"/>
        <v>26457</v>
      </c>
      <c r="M23" s="14">
        <f t="shared" si="8"/>
        <v>0</v>
      </c>
      <c r="N23" s="32">
        <f t="shared" si="18"/>
        <v>226339</v>
      </c>
      <c r="O23" s="14">
        <f t="shared" si="9"/>
        <v>0</v>
      </c>
      <c r="P23" s="32">
        <f t="shared" si="19"/>
        <v>168060</v>
      </c>
      <c r="Q23" s="14">
        <f t="shared" si="2"/>
        <v>0</v>
      </c>
      <c r="R23" s="1">
        <f t="shared" si="20"/>
        <v>55047</v>
      </c>
      <c r="S23" s="14">
        <f t="shared" si="11"/>
        <v>0</v>
      </c>
      <c r="T23" s="32">
        <f t="shared" si="21"/>
        <v>4047</v>
      </c>
      <c r="U23" s="14">
        <f t="shared" si="10"/>
        <v>0</v>
      </c>
    </row>
    <row r="24" spans="1:23" s="131" customFormat="1" ht="13.5" thickBot="1" x14ac:dyDescent="0.25">
      <c r="A24" s="9">
        <v>44826</v>
      </c>
      <c r="B24" s="32">
        <f t="shared" si="12"/>
        <v>47522</v>
      </c>
      <c r="C24" s="14">
        <f t="shared" si="3"/>
        <v>0</v>
      </c>
      <c r="D24" s="32">
        <f t="shared" si="13"/>
        <v>40933</v>
      </c>
      <c r="E24" s="14">
        <f t="shared" si="4"/>
        <v>0</v>
      </c>
      <c r="F24" s="32">
        <f t="shared" si="14"/>
        <v>22030</v>
      </c>
      <c r="G24" s="14">
        <f t="shared" si="5"/>
        <v>0</v>
      </c>
      <c r="H24" s="32">
        <f t="shared" si="15"/>
        <v>258058</v>
      </c>
      <c r="I24" s="14">
        <f t="shared" si="6"/>
        <v>0</v>
      </c>
      <c r="J24" s="32">
        <f t="shared" si="16"/>
        <v>331042</v>
      </c>
      <c r="K24" s="14">
        <f t="shared" si="7"/>
        <v>0</v>
      </c>
      <c r="L24" s="32">
        <f t="shared" si="17"/>
        <v>26457</v>
      </c>
      <c r="M24" s="14">
        <f t="shared" si="8"/>
        <v>0</v>
      </c>
      <c r="N24" s="32">
        <f t="shared" si="18"/>
        <v>226339</v>
      </c>
      <c r="O24" s="14">
        <f t="shared" si="9"/>
        <v>0</v>
      </c>
      <c r="P24" s="32">
        <f t="shared" si="19"/>
        <v>168060</v>
      </c>
      <c r="Q24" s="14">
        <f t="shared" si="2"/>
        <v>0</v>
      </c>
      <c r="R24" s="1">
        <f t="shared" si="20"/>
        <v>55047</v>
      </c>
      <c r="S24" s="14">
        <f t="shared" si="11"/>
        <v>0</v>
      </c>
      <c r="T24" s="32">
        <f t="shared" si="21"/>
        <v>4047</v>
      </c>
      <c r="U24" s="14">
        <f t="shared" si="10"/>
        <v>0</v>
      </c>
    </row>
    <row r="25" spans="1:23" ht="13.5" thickBot="1" x14ac:dyDescent="0.25">
      <c r="A25" s="9">
        <v>44827</v>
      </c>
      <c r="B25" s="32">
        <f t="shared" si="12"/>
        <v>47522</v>
      </c>
      <c r="C25" s="14">
        <f t="shared" si="3"/>
        <v>0</v>
      </c>
      <c r="D25" s="32">
        <f t="shared" si="13"/>
        <v>40933</v>
      </c>
      <c r="E25" s="14">
        <f t="shared" si="4"/>
        <v>0</v>
      </c>
      <c r="F25" s="32">
        <f t="shared" si="14"/>
        <v>22030</v>
      </c>
      <c r="G25" s="14">
        <f t="shared" si="5"/>
        <v>0</v>
      </c>
      <c r="H25" s="32">
        <f t="shared" si="15"/>
        <v>258058</v>
      </c>
      <c r="I25" s="14">
        <f t="shared" si="6"/>
        <v>0</v>
      </c>
      <c r="J25" s="32">
        <f t="shared" si="16"/>
        <v>331042</v>
      </c>
      <c r="K25" s="14">
        <f t="shared" si="7"/>
        <v>0</v>
      </c>
      <c r="L25" s="32">
        <f t="shared" si="17"/>
        <v>26457</v>
      </c>
      <c r="M25" s="14">
        <f t="shared" si="8"/>
        <v>0</v>
      </c>
      <c r="N25" s="32">
        <f t="shared" si="18"/>
        <v>226339</v>
      </c>
      <c r="O25" s="14">
        <f t="shared" si="9"/>
        <v>0</v>
      </c>
      <c r="P25" s="32">
        <f t="shared" si="19"/>
        <v>168060</v>
      </c>
      <c r="Q25" s="14">
        <f t="shared" si="2"/>
        <v>0</v>
      </c>
      <c r="R25" s="1">
        <f t="shared" si="20"/>
        <v>55047</v>
      </c>
      <c r="S25" s="14">
        <f t="shared" si="11"/>
        <v>0</v>
      </c>
      <c r="T25" s="32">
        <f t="shared" si="21"/>
        <v>4047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44828</v>
      </c>
      <c r="B26" s="32">
        <f t="shared" si="12"/>
        <v>47522</v>
      </c>
      <c r="C26" s="14">
        <f t="shared" si="3"/>
        <v>0</v>
      </c>
      <c r="D26" s="32">
        <f t="shared" si="13"/>
        <v>40933</v>
      </c>
      <c r="E26" s="14">
        <f t="shared" si="4"/>
        <v>0</v>
      </c>
      <c r="F26" s="32">
        <f t="shared" si="14"/>
        <v>22030</v>
      </c>
      <c r="G26" s="14">
        <f t="shared" si="5"/>
        <v>0</v>
      </c>
      <c r="H26" s="32">
        <f t="shared" si="15"/>
        <v>258058</v>
      </c>
      <c r="I26" s="14">
        <f t="shared" si="6"/>
        <v>0</v>
      </c>
      <c r="J26" s="32">
        <f t="shared" si="16"/>
        <v>331042</v>
      </c>
      <c r="K26" s="14">
        <f t="shared" si="7"/>
        <v>0</v>
      </c>
      <c r="L26" s="32">
        <f t="shared" si="17"/>
        <v>26457</v>
      </c>
      <c r="M26" s="14">
        <f t="shared" si="8"/>
        <v>0</v>
      </c>
      <c r="N26" s="32">
        <f t="shared" si="18"/>
        <v>226339</v>
      </c>
      <c r="O26" s="14">
        <f t="shared" si="9"/>
        <v>0</v>
      </c>
      <c r="P26" s="32">
        <f t="shared" si="19"/>
        <v>168060</v>
      </c>
      <c r="Q26" s="14">
        <f t="shared" si="2"/>
        <v>0</v>
      </c>
      <c r="R26" s="1">
        <f t="shared" si="20"/>
        <v>55047</v>
      </c>
      <c r="S26" s="14">
        <f t="shared" si="11"/>
        <v>0</v>
      </c>
      <c r="T26" s="32">
        <f t="shared" si="21"/>
        <v>4047</v>
      </c>
      <c r="U26" s="14">
        <f t="shared" si="10"/>
        <v>0</v>
      </c>
      <c r="W26" t="s">
        <v>12</v>
      </c>
    </row>
    <row r="27" spans="1:23" ht="13.5" thickBot="1" x14ac:dyDescent="0.25">
      <c r="A27" s="9">
        <v>44829</v>
      </c>
      <c r="B27" s="32">
        <f t="shared" si="12"/>
        <v>47522</v>
      </c>
      <c r="C27" s="14">
        <f t="shared" si="3"/>
        <v>0</v>
      </c>
      <c r="D27" s="32">
        <f t="shared" si="13"/>
        <v>40933</v>
      </c>
      <c r="E27" s="14">
        <f t="shared" si="4"/>
        <v>0</v>
      </c>
      <c r="F27" s="32">
        <f t="shared" si="14"/>
        <v>22030</v>
      </c>
      <c r="G27" s="14">
        <f t="shared" si="5"/>
        <v>0</v>
      </c>
      <c r="H27" s="32">
        <f t="shared" si="15"/>
        <v>258058</v>
      </c>
      <c r="I27" s="14">
        <f t="shared" si="6"/>
        <v>0</v>
      </c>
      <c r="J27" s="32">
        <f t="shared" si="16"/>
        <v>331042</v>
      </c>
      <c r="K27" s="14">
        <f t="shared" si="7"/>
        <v>0</v>
      </c>
      <c r="L27" s="32">
        <f t="shared" si="17"/>
        <v>26457</v>
      </c>
      <c r="M27" s="14">
        <f t="shared" si="8"/>
        <v>0</v>
      </c>
      <c r="N27" s="32">
        <f t="shared" si="18"/>
        <v>226339</v>
      </c>
      <c r="O27" s="14">
        <f t="shared" si="9"/>
        <v>0</v>
      </c>
      <c r="P27" s="32">
        <f t="shared" si="19"/>
        <v>168060</v>
      </c>
      <c r="Q27" s="14">
        <f t="shared" si="2"/>
        <v>0</v>
      </c>
      <c r="R27" s="1">
        <f t="shared" si="20"/>
        <v>55047</v>
      </c>
      <c r="S27" s="14">
        <f t="shared" si="11"/>
        <v>0</v>
      </c>
      <c r="T27" s="32">
        <f t="shared" si="21"/>
        <v>4047</v>
      </c>
      <c r="U27" s="14">
        <f t="shared" si="10"/>
        <v>0</v>
      </c>
    </row>
    <row r="28" spans="1:23" ht="13.5" thickBot="1" x14ac:dyDescent="0.25">
      <c r="A28" s="9">
        <v>44830</v>
      </c>
      <c r="B28" s="32">
        <f t="shared" si="12"/>
        <v>47522</v>
      </c>
      <c r="C28" s="14">
        <f t="shared" si="3"/>
        <v>0</v>
      </c>
      <c r="D28" s="32">
        <f t="shared" si="13"/>
        <v>40933</v>
      </c>
      <c r="E28" s="14">
        <f t="shared" si="4"/>
        <v>0</v>
      </c>
      <c r="F28" s="32">
        <f t="shared" si="14"/>
        <v>22030</v>
      </c>
      <c r="G28" s="14">
        <f t="shared" si="5"/>
        <v>0</v>
      </c>
      <c r="H28" s="32">
        <f t="shared" si="15"/>
        <v>258058</v>
      </c>
      <c r="I28" s="14">
        <f t="shared" si="6"/>
        <v>0</v>
      </c>
      <c r="J28" s="32">
        <f t="shared" si="16"/>
        <v>331042</v>
      </c>
      <c r="K28" s="14">
        <f t="shared" si="7"/>
        <v>0</v>
      </c>
      <c r="L28" s="32">
        <f t="shared" si="17"/>
        <v>26457</v>
      </c>
      <c r="M28" s="14">
        <f t="shared" si="8"/>
        <v>0</v>
      </c>
      <c r="N28" s="32">
        <f t="shared" si="18"/>
        <v>226339</v>
      </c>
      <c r="O28" s="14">
        <f t="shared" si="9"/>
        <v>0</v>
      </c>
      <c r="P28" s="32">
        <f t="shared" si="19"/>
        <v>168060</v>
      </c>
      <c r="Q28" s="14">
        <f t="shared" si="2"/>
        <v>0</v>
      </c>
      <c r="R28" s="1">
        <f t="shared" si="20"/>
        <v>55047</v>
      </c>
      <c r="S28" s="15">
        <f t="shared" si="11"/>
        <v>0</v>
      </c>
      <c r="T28" s="32">
        <f t="shared" si="21"/>
        <v>4047</v>
      </c>
      <c r="U28" s="14">
        <f t="shared" si="10"/>
        <v>0</v>
      </c>
    </row>
    <row r="29" spans="1:23" ht="13.5" thickBot="1" x14ac:dyDescent="0.25">
      <c r="A29" s="9">
        <v>44831</v>
      </c>
      <c r="B29" s="32">
        <f t="shared" si="12"/>
        <v>47522</v>
      </c>
      <c r="C29" s="14">
        <f t="shared" si="3"/>
        <v>0</v>
      </c>
      <c r="D29" s="32">
        <f t="shared" si="13"/>
        <v>40933</v>
      </c>
      <c r="E29" s="14">
        <f t="shared" si="4"/>
        <v>0</v>
      </c>
      <c r="F29" s="32">
        <f t="shared" si="14"/>
        <v>22030</v>
      </c>
      <c r="G29" s="14">
        <f t="shared" si="5"/>
        <v>0</v>
      </c>
      <c r="H29" s="32">
        <f t="shared" si="15"/>
        <v>258058</v>
      </c>
      <c r="I29" s="14">
        <f t="shared" si="6"/>
        <v>0</v>
      </c>
      <c r="J29" s="32">
        <f t="shared" si="16"/>
        <v>331042</v>
      </c>
      <c r="K29" s="14">
        <f t="shared" si="7"/>
        <v>0</v>
      </c>
      <c r="L29" s="32">
        <f t="shared" si="17"/>
        <v>26457</v>
      </c>
      <c r="M29" s="14">
        <f t="shared" si="8"/>
        <v>0</v>
      </c>
      <c r="N29" s="32">
        <f t="shared" si="18"/>
        <v>226339</v>
      </c>
      <c r="O29" s="14">
        <f t="shared" si="9"/>
        <v>0</v>
      </c>
      <c r="P29" s="32">
        <f t="shared" si="19"/>
        <v>168060</v>
      </c>
      <c r="Q29" s="14">
        <f t="shared" si="2"/>
        <v>0</v>
      </c>
      <c r="R29" s="1">
        <f t="shared" si="20"/>
        <v>55047</v>
      </c>
      <c r="S29" s="14">
        <f t="shared" si="11"/>
        <v>0</v>
      </c>
      <c r="T29" s="32">
        <f t="shared" si="21"/>
        <v>4047</v>
      </c>
      <c r="U29" s="14">
        <f t="shared" si="10"/>
        <v>0</v>
      </c>
    </row>
    <row r="30" spans="1:23" ht="13.5" thickBot="1" x14ac:dyDescent="0.25">
      <c r="A30" s="9">
        <v>44832</v>
      </c>
      <c r="B30" s="32">
        <f t="shared" si="12"/>
        <v>47522</v>
      </c>
      <c r="C30" s="14">
        <f t="shared" si="3"/>
        <v>0</v>
      </c>
      <c r="D30" s="32">
        <f t="shared" si="13"/>
        <v>40933</v>
      </c>
      <c r="E30" s="14">
        <f t="shared" si="4"/>
        <v>0</v>
      </c>
      <c r="F30" s="32">
        <f t="shared" si="14"/>
        <v>22030</v>
      </c>
      <c r="G30" s="14">
        <f t="shared" si="5"/>
        <v>0</v>
      </c>
      <c r="H30" s="32">
        <f t="shared" si="15"/>
        <v>258058</v>
      </c>
      <c r="I30" s="14">
        <f t="shared" si="6"/>
        <v>0</v>
      </c>
      <c r="J30" s="32">
        <f t="shared" si="16"/>
        <v>331042</v>
      </c>
      <c r="K30" s="14">
        <f t="shared" si="7"/>
        <v>0</v>
      </c>
      <c r="L30" s="32">
        <f t="shared" si="17"/>
        <v>26457</v>
      </c>
      <c r="M30" s="14">
        <f t="shared" si="8"/>
        <v>0</v>
      </c>
      <c r="N30" s="32">
        <f t="shared" si="18"/>
        <v>226339</v>
      </c>
      <c r="O30" s="14">
        <f t="shared" si="9"/>
        <v>0</v>
      </c>
      <c r="P30" s="32">
        <f t="shared" si="19"/>
        <v>168060</v>
      </c>
      <c r="Q30" s="14">
        <f t="shared" si="2"/>
        <v>0</v>
      </c>
      <c r="R30" s="1">
        <f t="shared" si="20"/>
        <v>55047</v>
      </c>
      <c r="S30" s="14">
        <f t="shared" si="11"/>
        <v>0</v>
      </c>
      <c r="T30" s="32">
        <f t="shared" si="21"/>
        <v>4047</v>
      </c>
      <c r="U30" s="14">
        <f t="shared" si="10"/>
        <v>0</v>
      </c>
    </row>
    <row r="31" spans="1:23" ht="13.5" thickBot="1" x14ac:dyDescent="0.25">
      <c r="A31" s="9">
        <v>44833</v>
      </c>
      <c r="B31" s="32">
        <f t="shared" si="12"/>
        <v>47522</v>
      </c>
      <c r="C31" s="14">
        <f t="shared" si="3"/>
        <v>0</v>
      </c>
      <c r="D31" s="32">
        <f t="shared" si="13"/>
        <v>40933</v>
      </c>
      <c r="E31" s="14">
        <f t="shared" si="4"/>
        <v>0</v>
      </c>
      <c r="F31" s="32">
        <f t="shared" si="14"/>
        <v>22030</v>
      </c>
      <c r="G31" s="14">
        <f t="shared" si="5"/>
        <v>0</v>
      </c>
      <c r="H31" s="32">
        <f t="shared" si="15"/>
        <v>258058</v>
      </c>
      <c r="I31" s="14">
        <f t="shared" si="6"/>
        <v>0</v>
      </c>
      <c r="J31" s="32">
        <f t="shared" si="16"/>
        <v>331042</v>
      </c>
      <c r="K31" s="14">
        <f t="shared" si="7"/>
        <v>0</v>
      </c>
      <c r="L31" s="32">
        <f t="shared" si="17"/>
        <v>26457</v>
      </c>
      <c r="M31" s="14">
        <f t="shared" si="8"/>
        <v>0</v>
      </c>
      <c r="N31" s="32">
        <f t="shared" si="18"/>
        <v>226339</v>
      </c>
      <c r="O31" s="14">
        <f t="shared" si="9"/>
        <v>0</v>
      </c>
      <c r="P31" s="32">
        <f t="shared" si="19"/>
        <v>168060</v>
      </c>
      <c r="Q31" s="14">
        <f t="shared" si="2"/>
        <v>0</v>
      </c>
      <c r="R31" s="1">
        <v>55047</v>
      </c>
      <c r="S31" s="14">
        <v>0</v>
      </c>
      <c r="T31" s="32">
        <f t="shared" si="21"/>
        <v>4047</v>
      </c>
      <c r="U31" s="14">
        <f t="shared" si="10"/>
        <v>0</v>
      </c>
    </row>
    <row r="32" spans="1:23" ht="13.5" thickBot="1" x14ac:dyDescent="0.25">
      <c r="A32" s="9">
        <v>44834</v>
      </c>
      <c r="B32" s="32">
        <f t="shared" si="12"/>
        <v>47522</v>
      </c>
      <c r="C32" s="14">
        <f t="shared" si="3"/>
        <v>0</v>
      </c>
      <c r="D32" s="32">
        <f t="shared" si="13"/>
        <v>40933</v>
      </c>
      <c r="E32" s="14">
        <f t="shared" si="4"/>
        <v>0</v>
      </c>
      <c r="F32" s="32">
        <f t="shared" si="14"/>
        <v>22030</v>
      </c>
      <c r="G32" s="14">
        <f t="shared" si="5"/>
        <v>0</v>
      </c>
      <c r="H32" s="32">
        <f t="shared" si="15"/>
        <v>258058</v>
      </c>
      <c r="I32" s="14">
        <f t="shared" si="6"/>
        <v>0</v>
      </c>
      <c r="J32" s="32">
        <f t="shared" si="16"/>
        <v>331042</v>
      </c>
      <c r="K32" s="14">
        <f t="shared" si="7"/>
        <v>0</v>
      </c>
      <c r="L32" s="32">
        <f t="shared" si="17"/>
        <v>26457</v>
      </c>
      <c r="M32" s="14">
        <f t="shared" si="8"/>
        <v>0</v>
      </c>
      <c r="N32" s="32">
        <f t="shared" si="18"/>
        <v>226339</v>
      </c>
      <c r="O32" s="14">
        <f t="shared" si="9"/>
        <v>0</v>
      </c>
      <c r="P32" s="32">
        <f t="shared" si="19"/>
        <v>168060</v>
      </c>
      <c r="Q32" s="14">
        <f t="shared" si="2"/>
        <v>0</v>
      </c>
      <c r="R32" s="1">
        <f t="shared" si="20"/>
        <v>55047</v>
      </c>
      <c r="S32" s="14">
        <f t="shared" si="11"/>
        <v>0</v>
      </c>
      <c r="T32" s="32">
        <f t="shared" si="21"/>
        <v>4047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SUM(C2:C32)</f>
        <v>2080</v>
      </c>
      <c r="D33" s="14"/>
      <c r="E33" s="14">
        <f>SUM(E2:E32)</f>
        <v>1440</v>
      </c>
      <c r="F33" s="14"/>
      <c r="G33" s="14">
        <f>SUM(G2:G32)</f>
        <v>220</v>
      </c>
      <c r="H33" s="14"/>
      <c r="I33" s="14">
        <f>SUM(I2:I32)</f>
        <v>88</v>
      </c>
      <c r="J33" s="14"/>
      <c r="K33" s="14">
        <f>SUM(K2:K32)</f>
        <v>435</v>
      </c>
      <c r="L33" s="14"/>
      <c r="M33" s="14">
        <f>SUM(M2:M32)</f>
        <v>480</v>
      </c>
      <c r="N33" s="14"/>
      <c r="O33" s="14">
        <f>SUM(O2:O32)</f>
        <v>9</v>
      </c>
      <c r="P33" s="14"/>
      <c r="Q33" s="14">
        <f>SUM(Q2:Q32)</f>
        <v>359</v>
      </c>
      <c r="R33" s="14"/>
      <c r="S33" s="14">
        <f>SUM(S2:S32)</f>
        <v>0</v>
      </c>
      <c r="T33" s="14"/>
      <c r="U33" s="14">
        <f>SUM(U2:U32)</f>
        <v>160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5" sqref="A5:XFD5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44804</v>
      </c>
      <c r="B2" s="38">
        <v>230</v>
      </c>
      <c r="C2" s="144">
        <v>20060</v>
      </c>
      <c r="D2" s="38"/>
      <c r="E2" s="145">
        <v>33201142</v>
      </c>
      <c r="F2" s="38"/>
      <c r="G2" s="146">
        <v>4671912</v>
      </c>
      <c r="H2" s="38"/>
      <c r="I2" s="147">
        <f t="shared" ref="I2" si="0">F2+H2</f>
        <v>0</v>
      </c>
      <c r="J2" s="145">
        <v>422838</v>
      </c>
      <c r="K2" s="129"/>
      <c r="L2" s="148">
        <v>701909</v>
      </c>
      <c r="M2" s="38"/>
      <c r="N2" s="145">
        <v>7386230</v>
      </c>
      <c r="O2" s="38"/>
      <c r="P2" s="148">
        <v>7910768</v>
      </c>
      <c r="Q2" s="38"/>
      <c r="R2" s="145">
        <v>22213458</v>
      </c>
      <c r="S2" s="38"/>
      <c r="T2" s="145">
        <v>0</v>
      </c>
      <c r="U2" s="55"/>
      <c r="V2" s="145">
        <v>236531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44805</v>
      </c>
      <c r="B3" s="38">
        <v>238</v>
      </c>
      <c r="C3" s="144">
        <v>20064</v>
      </c>
      <c r="D3" s="38">
        <f>IF((C3-C2)&lt;0,"0",(C3-C2))*160</f>
        <v>640</v>
      </c>
      <c r="E3" s="145">
        <v>33227771</v>
      </c>
      <c r="F3" s="38">
        <f>IF((E3-E2)&lt;0,"0",(E3-E2))</f>
        <v>26629</v>
      </c>
      <c r="G3" s="146">
        <v>4736256</v>
      </c>
      <c r="H3" s="38">
        <f>IF((G3-G2)&lt;0,"0",(G3-G2))</f>
        <v>64344</v>
      </c>
      <c r="I3" s="19">
        <f>F3+H3</f>
        <v>90973</v>
      </c>
      <c r="J3" s="145">
        <v>429351</v>
      </c>
      <c r="K3" s="38">
        <f>(IF((J3-J2)&lt;L90,"0",(J3-J2)))*2</f>
        <v>13026</v>
      </c>
      <c r="L3" s="148">
        <v>709050</v>
      </c>
      <c r="M3" s="38">
        <f>IF((L3-L2)&lt;0,"0",(L3-L2))</f>
        <v>7141</v>
      </c>
      <c r="N3" s="145">
        <v>7395872</v>
      </c>
      <c r="O3" s="38">
        <f>(IF((N3-N2)&lt;P90,"0",(N3-N2)))*2</f>
        <v>19284</v>
      </c>
      <c r="P3" s="148">
        <v>7926664</v>
      </c>
      <c r="Q3" s="38">
        <f>IF((P3-P2)&lt;0,"0",(P3-P2))</f>
        <v>15896</v>
      </c>
      <c r="R3" s="145">
        <v>22226095</v>
      </c>
      <c r="S3" s="38">
        <f>IF((R3-R2)&lt;0,"0",(R3-R2))</f>
        <v>12637</v>
      </c>
      <c r="T3" s="145">
        <v>0</v>
      </c>
      <c r="U3" s="149"/>
      <c r="V3" s="145">
        <v>250262</v>
      </c>
      <c r="W3" s="38">
        <f>IF((V3-V2)&lt;0,"0",(V3-V2))</f>
        <v>13731</v>
      </c>
      <c r="X3" s="19">
        <f>K3+M3+O3+Q3+S3+U3+W3</f>
        <v>81715</v>
      </c>
      <c r="Y3" s="165">
        <f>I3-X3</f>
        <v>9258</v>
      </c>
      <c r="Z3" s="3">
        <f>(0.93352*(W3+S3)+0.5568*(Q3+O3))*0.26</f>
        <v>11492.852633600001</v>
      </c>
      <c r="AA3" s="3">
        <f>SUM(Z1:Z3)</f>
        <v>11492.852633600001</v>
      </c>
    </row>
    <row r="4" spans="1:27" ht="16.5" thickBot="1" x14ac:dyDescent="0.3">
      <c r="A4" s="9">
        <v>44806</v>
      </c>
      <c r="B4" s="38">
        <v>207</v>
      </c>
      <c r="C4" s="144">
        <v>20067</v>
      </c>
      <c r="D4" s="38">
        <f t="shared" ref="D4:D29" si="4">IF((C4-C3)&lt;0,"0",(C4-C3))*160</f>
        <v>480</v>
      </c>
      <c r="E4" s="145">
        <v>33251468</v>
      </c>
      <c r="F4" s="38">
        <f t="shared" ref="F4:F29" si="5">IF((E4-E3)&lt;0,"0",(E4-E3))</f>
        <v>23697</v>
      </c>
      <c r="G4" s="146">
        <v>4792655</v>
      </c>
      <c r="H4" s="38">
        <f t="shared" ref="H4:H32" si="6">IF((G4-G3)&lt;0,"0",(G4-G3))</f>
        <v>56399</v>
      </c>
      <c r="I4" s="147">
        <f t="shared" ref="I4:I30" si="7">F4+H4</f>
        <v>80096</v>
      </c>
      <c r="J4" s="145">
        <v>434820</v>
      </c>
      <c r="K4" s="38">
        <f>(IF((J4-J3)&lt;L92,"0",(J4-J3)))*2</f>
        <v>10938</v>
      </c>
      <c r="L4" s="148">
        <v>715430</v>
      </c>
      <c r="M4" s="38">
        <f t="shared" ref="M4:M29" si="8">IF((L4-L3)&lt;0,"0",(L4-L3))</f>
        <v>6380</v>
      </c>
      <c r="N4" s="145">
        <v>7404473</v>
      </c>
      <c r="O4" s="38">
        <f>(IF((N4-N3)&lt;P92,"0",(N4-N3)))*2</f>
        <v>17202</v>
      </c>
      <c r="P4" s="148">
        <v>7940560</v>
      </c>
      <c r="Q4" s="38">
        <f t="shared" ref="Q4:Q29" si="9">IF((P4-P3)&lt;0,"0",(P4-P3))</f>
        <v>13896</v>
      </c>
      <c r="R4" s="145">
        <v>22237720</v>
      </c>
      <c r="S4" s="38">
        <f t="shared" ref="S4:S29" si="10">IF((R4-R3)&lt;0,"0",(R4-R3))</f>
        <v>11625</v>
      </c>
      <c r="T4" s="145">
        <v>0</v>
      </c>
      <c r="U4" s="149"/>
      <c r="V4" s="145">
        <v>262160</v>
      </c>
      <c r="W4" s="38">
        <f t="shared" ref="W4:W29" si="11">IF((V4-V3)&lt;0,"0",(V4-V3))</f>
        <v>11898</v>
      </c>
      <c r="X4" s="19">
        <f t="shared" ref="X4:X30" si="12">K4+M4+O4+Q4+S4+U4+W4</f>
        <v>71939</v>
      </c>
      <c r="Y4" s="165">
        <f t="shared" ref="Y4:Y30" si="13">I4-X4</f>
        <v>8157</v>
      </c>
      <c r="Z4" s="3">
        <f t="shared" ref="Z4:Z30" si="14">(0.93352*(W4+S4)+0.5568*(Q4+O4))*0.26</f>
        <v>10211.384913600001</v>
      </c>
      <c r="AA4" s="3">
        <f>SUM(Z1:Z4)</f>
        <v>21704.237547200002</v>
      </c>
    </row>
    <row r="5" spans="1:27" ht="16.5" thickBot="1" x14ac:dyDescent="0.3">
      <c r="A5" s="9">
        <v>44807</v>
      </c>
      <c r="B5" s="38">
        <v>207</v>
      </c>
      <c r="C5" s="144">
        <v>20072</v>
      </c>
      <c r="D5" s="38">
        <f t="shared" si="4"/>
        <v>800</v>
      </c>
      <c r="E5" s="145">
        <v>33269550</v>
      </c>
      <c r="F5" s="38">
        <f t="shared" si="5"/>
        <v>18082</v>
      </c>
      <c r="G5" s="146">
        <v>4835517</v>
      </c>
      <c r="H5" s="38">
        <f t="shared" si="6"/>
        <v>42862</v>
      </c>
      <c r="I5" s="147">
        <f t="shared" si="7"/>
        <v>60944</v>
      </c>
      <c r="J5" s="145">
        <v>439197</v>
      </c>
      <c r="K5" s="38">
        <f t="shared" ref="K5:K32" si="15">(IF((J5-J4)&lt;0,"0",(J5-J4)))*2</f>
        <v>8754</v>
      </c>
      <c r="L5" s="148">
        <v>720367</v>
      </c>
      <c r="M5" s="38">
        <f t="shared" si="8"/>
        <v>4937</v>
      </c>
      <c r="N5" s="145">
        <v>7410908</v>
      </c>
      <c r="O5" s="38">
        <f t="shared" ref="O5:O29" si="16">(IF((N5-N4)&lt;0,"0",(N5-N4)))*2</f>
        <v>12870</v>
      </c>
      <c r="P5" s="148">
        <v>7951118</v>
      </c>
      <c r="Q5" s="38">
        <f t="shared" si="9"/>
        <v>10558</v>
      </c>
      <c r="R5" s="145">
        <v>22246367</v>
      </c>
      <c r="S5" s="38">
        <f t="shared" si="10"/>
        <v>8647</v>
      </c>
      <c r="T5" s="145">
        <v>0</v>
      </c>
      <c r="U5" s="149"/>
      <c r="V5" s="145">
        <v>271195</v>
      </c>
      <c r="W5" s="38">
        <f t="shared" si="11"/>
        <v>9035</v>
      </c>
      <c r="X5" s="19">
        <f t="shared" si="12"/>
        <v>54801</v>
      </c>
      <c r="Y5" s="165">
        <f t="shared" si="13"/>
        <v>6143</v>
      </c>
      <c r="Z5" s="3">
        <f t="shared" si="14"/>
        <v>7683.3148704000005</v>
      </c>
      <c r="AA5" s="3">
        <f>SUM(Z1:Z5)</f>
        <v>29387.552417600004</v>
      </c>
    </row>
    <row r="6" spans="1:27" ht="16.5" thickBot="1" x14ac:dyDescent="0.3">
      <c r="A6" s="9">
        <v>44808</v>
      </c>
      <c r="B6" s="38"/>
      <c r="C6" s="144"/>
      <c r="D6" s="38">
        <f t="shared" si="4"/>
        <v>0</v>
      </c>
      <c r="E6" s="145"/>
      <c r="F6" s="38" t="str">
        <f t="shared" si="5"/>
        <v>0</v>
      </c>
      <c r="G6" s="146"/>
      <c r="H6" s="38" t="str">
        <f t="shared" si="6"/>
        <v>0</v>
      </c>
      <c r="I6" s="147">
        <f t="shared" si="7"/>
        <v>0</v>
      </c>
      <c r="J6" s="145"/>
      <c r="K6" s="38">
        <f t="shared" si="15"/>
        <v>0</v>
      </c>
      <c r="L6" s="148"/>
      <c r="M6" s="38" t="str">
        <f t="shared" si="8"/>
        <v>0</v>
      </c>
      <c r="N6" s="145"/>
      <c r="O6" s="38">
        <f t="shared" si="16"/>
        <v>0</v>
      </c>
      <c r="P6" s="148"/>
      <c r="Q6" s="38" t="str">
        <f t="shared" si="9"/>
        <v>0</v>
      </c>
      <c r="R6" s="145"/>
      <c r="S6" s="38" t="str">
        <f t="shared" si="10"/>
        <v>0</v>
      </c>
      <c r="T6" s="145">
        <v>0</v>
      </c>
      <c r="U6" s="149"/>
      <c r="V6" s="145"/>
      <c r="W6" s="38" t="str">
        <f t="shared" si="11"/>
        <v>0</v>
      </c>
      <c r="X6" s="19">
        <f t="shared" si="12"/>
        <v>0</v>
      </c>
      <c r="Y6" s="165">
        <f t="shared" si="13"/>
        <v>0</v>
      </c>
      <c r="Z6" s="3">
        <f t="shared" si="14"/>
        <v>0</v>
      </c>
      <c r="AA6" s="3">
        <f>SUM(Z1:Z6)</f>
        <v>29387.552417600004</v>
      </c>
    </row>
    <row r="7" spans="1:27" ht="16.5" thickBot="1" x14ac:dyDescent="0.3">
      <c r="A7" s="9">
        <v>44809</v>
      </c>
      <c r="B7" s="38"/>
      <c r="C7" s="144"/>
      <c r="D7" s="38">
        <f t="shared" si="4"/>
        <v>0</v>
      </c>
      <c r="E7" s="145"/>
      <c r="F7" s="38">
        <f t="shared" si="5"/>
        <v>0</v>
      </c>
      <c r="G7" s="146"/>
      <c r="H7" s="38">
        <f t="shared" si="6"/>
        <v>0</v>
      </c>
      <c r="I7" s="147">
        <f t="shared" si="7"/>
        <v>0</v>
      </c>
      <c r="J7" s="145"/>
      <c r="K7" s="38">
        <f t="shared" si="15"/>
        <v>0</v>
      </c>
      <c r="L7" s="148"/>
      <c r="M7" s="38">
        <f t="shared" si="8"/>
        <v>0</v>
      </c>
      <c r="N7" s="145"/>
      <c r="O7" s="38">
        <f t="shared" si="16"/>
        <v>0</v>
      </c>
      <c r="P7" s="148"/>
      <c r="Q7" s="38">
        <f t="shared" si="9"/>
        <v>0</v>
      </c>
      <c r="R7" s="145"/>
      <c r="S7" s="38">
        <f t="shared" si="10"/>
        <v>0</v>
      </c>
      <c r="T7" s="145">
        <v>0</v>
      </c>
      <c r="U7" s="149"/>
      <c r="V7" s="145"/>
      <c r="W7" s="38">
        <f t="shared" si="11"/>
        <v>0</v>
      </c>
      <c r="X7" s="19">
        <f t="shared" si="12"/>
        <v>0</v>
      </c>
      <c r="Y7" s="165">
        <f t="shared" si="13"/>
        <v>0</v>
      </c>
      <c r="Z7" s="3">
        <f t="shared" si="14"/>
        <v>0</v>
      </c>
      <c r="AA7" s="3">
        <f>SUM(Z1:Z7)</f>
        <v>29387.552417600004</v>
      </c>
    </row>
    <row r="8" spans="1:27" ht="16.5" thickBot="1" x14ac:dyDescent="0.3">
      <c r="A8" s="9">
        <v>44810</v>
      </c>
      <c r="B8" s="38"/>
      <c r="C8" s="144"/>
      <c r="D8" s="38">
        <f t="shared" si="4"/>
        <v>0</v>
      </c>
      <c r="E8" s="145"/>
      <c r="F8" s="38">
        <f t="shared" si="5"/>
        <v>0</v>
      </c>
      <c r="G8" s="146"/>
      <c r="H8" s="38">
        <f t="shared" si="6"/>
        <v>0</v>
      </c>
      <c r="I8" s="147">
        <f t="shared" si="7"/>
        <v>0</v>
      </c>
      <c r="J8" s="145"/>
      <c r="K8" s="38">
        <f t="shared" si="15"/>
        <v>0</v>
      </c>
      <c r="L8" s="148"/>
      <c r="M8" s="38">
        <f t="shared" si="8"/>
        <v>0</v>
      </c>
      <c r="N8" s="145"/>
      <c r="O8" s="38">
        <f t="shared" si="16"/>
        <v>0</v>
      </c>
      <c r="P8" s="148"/>
      <c r="Q8" s="38">
        <f t="shared" si="9"/>
        <v>0</v>
      </c>
      <c r="R8" s="145"/>
      <c r="S8" s="38">
        <f t="shared" si="10"/>
        <v>0</v>
      </c>
      <c r="T8" s="145">
        <v>0</v>
      </c>
      <c r="U8" s="149"/>
      <c r="V8" s="145"/>
      <c r="W8" s="38">
        <f t="shared" si="11"/>
        <v>0</v>
      </c>
      <c r="X8" s="19">
        <f t="shared" si="12"/>
        <v>0</v>
      </c>
      <c r="Y8" s="165">
        <f t="shared" si="13"/>
        <v>0</v>
      </c>
      <c r="Z8" s="3">
        <f t="shared" si="14"/>
        <v>0</v>
      </c>
      <c r="AA8" s="3">
        <f>SUM(Z1:Z8)</f>
        <v>29387.552417600004</v>
      </c>
    </row>
    <row r="9" spans="1:27" ht="16.5" thickBot="1" x14ac:dyDescent="0.3">
      <c r="A9" s="9">
        <v>44811</v>
      </c>
      <c r="B9" s="38"/>
      <c r="C9" s="144"/>
      <c r="D9" s="38">
        <f t="shared" si="4"/>
        <v>0</v>
      </c>
      <c r="E9" s="145"/>
      <c r="F9" s="38">
        <f t="shared" si="5"/>
        <v>0</v>
      </c>
      <c r="G9" s="146"/>
      <c r="H9" s="38">
        <f t="shared" si="6"/>
        <v>0</v>
      </c>
      <c r="I9" s="147">
        <f t="shared" si="7"/>
        <v>0</v>
      </c>
      <c r="J9" s="145"/>
      <c r="K9" s="38">
        <f t="shared" si="15"/>
        <v>0</v>
      </c>
      <c r="L9" s="148"/>
      <c r="M9" s="38">
        <f t="shared" si="8"/>
        <v>0</v>
      </c>
      <c r="N9" s="145"/>
      <c r="O9" s="38">
        <f t="shared" si="16"/>
        <v>0</v>
      </c>
      <c r="P9" s="148"/>
      <c r="Q9" s="38">
        <f t="shared" si="9"/>
        <v>0</v>
      </c>
      <c r="R9" s="145"/>
      <c r="S9" s="38">
        <f t="shared" si="10"/>
        <v>0</v>
      </c>
      <c r="T9" s="145">
        <v>0</v>
      </c>
      <c r="U9" s="149"/>
      <c r="V9" s="145"/>
      <c r="W9" s="38">
        <f t="shared" si="11"/>
        <v>0</v>
      </c>
      <c r="X9" s="19">
        <f t="shared" si="12"/>
        <v>0</v>
      </c>
      <c r="Y9" s="165">
        <f t="shared" si="13"/>
        <v>0</v>
      </c>
      <c r="Z9" s="3">
        <f t="shared" si="14"/>
        <v>0</v>
      </c>
      <c r="AA9" s="3">
        <f>SUM(Z1:Z9)</f>
        <v>29387.552417600004</v>
      </c>
    </row>
    <row r="10" spans="1:27" ht="16.5" thickBot="1" x14ac:dyDescent="0.3">
      <c r="A10" s="9">
        <v>44812</v>
      </c>
      <c r="B10" s="38"/>
      <c r="C10" s="144"/>
      <c r="D10" s="38">
        <f>IF((C10-C9)&lt;0,"0",(C10-C9))*160</f>
        <v>0</v>
      </c>
      <c r="E10" s="145"/>
      <c r="F10" s="38">
        <f t="shared" si="5"/>
        <v>0</v>
      </c>
      <c r="G10" s="146"/>
      <c r="H10" s="38">
        <f t="shared" si="6"/>
        <v>0</v>
      </c>
      <c r="I10" s="147">
        <f t="shared" si="7"/>
        <v>0</v>
      </c>
      <c r="J10" s="145"/>
      <c r="K10" s="38">
        <f t="shared" si="15"/>
        <v>0</v>
      </c>
      <c r="L10" s="148"/>
      <c r="M10" s="38">
        <f t="shared" si="8"/>
        <v>0</v>
      </c>
      <c r="N10" s="145"/>
      <c r="O10" s="38">
        <f t="shared" si="16"/>
        <v>0</v>
      </c>
      <c r="P10" s="148"/>
      <c r="Q10" s="38">
        <f t="shared" si="9"/>
        <v>0</v>
      </c>
      <c r="R10" s="145"/>
      <c r="S10" s="38">
        <f t="shared" si="10"/>
        <v>0</v>
      </c>
      <c r="T10" s="145">
        <v>0</v>
      </c>
      <c r="U10" s="149"/>
      <c r="V10" s="145"/>
      <c r="W10" s="38">
        <f t="shared" si="11"/>
        <v>0</v>
      </c>
      <c r="X10" s="19">
        <f t="shared" si="12"/>
        <v>0</v>
      </c>
      <c r="Y10" s="165">
        <f t="shared" si="13"/>
        <v>0</v>
      </c>
      <c r="Z10" s="3">
        <f t="shared" si="14"/>
        <v>0</v>
      </c>
      <c r="AA10" s="3">
        <f>SUM(Z1:Z10)</f>
        <v>29387.552417600004</v>
      </c>
    </row>
    <row r="11" spans="1:27" ht="15.75" customHeight="1" thickBot="1" x14ac:dyDescent="0.3">
      <c r="A11" s="9">
        <v>44813</v>
      </c>
      <c r="B11" s="38"/>
      <c r="C11" s="144"/>
      <c r="D11" s="38">
        <f>IF((C11-C10)&lt;0,"0",(C11-C10))*160</f>
        <v>0</v>
      </c>
      <c r="E11" s="145"/>
      <c r="F11" s="38">
        <f t="shared" si="5"/>
        <v>0</v>
      </c>
      <c r="G11" s="146"/>
      <c r="H11" s="38">
        <f t="shared" si="6"/>
        <v>0</v>
      </c>
      <c r="I11" s="147">
        <f t="shared" si="7"/>
        <v>0</v>
      </c>
      <c r="J11" s="145"/>
      <c r="K11" s="38">
        <f t="shared" si="15"/>
        <v>0</v>
      </c>
      <c r="L11" s="148"/>
      <c r="M11" s="38">
        <f t="shared" si="8"/>
        <v>0</v>
      </c>
      <c r="N11" s="145"/>
      <c r="O11" s="38">
        <f t="shared" si="16"/>
        <v>0</v>
      </c>
      <c r="P11" s="148"/>
      <c r="Q11" s="38">
        <f t="shared" si="9"/>
        <v>0</v>
      </c>
      <c r="R11" s="145"/>
      <c r="S11" s="38">
        <f t="shared" si="10"/>
        <v>0</v>
      </c>
      <c r="T11" s="145">
        <v>0</v>
      </c>
      <c r="U11" s="149"/>
      <c r="V11" s="145"/>
      <c r="W11" s="38">
        <f t="shared" si="11"/>
        <v>0</v>
      </c>
      <c r="X11" s="19">
        <f t="shared" si="12"/>
        <v>0</v>
      </c>
      <c r="Y11" s="165">
        <f t="shared" si="13"/>
        <v>0</v>
      </c>
      <c r="Z11" s="3">
        <f t="shared" si="14"/>
        <v>0</v>
      </c>
      <c r="AA11" s="3">
        <f>SUM(Z1:Z11)</f>
        <v>29387.552417600004</v>
      </c>
    </row>
    <row r="12" spans="1:27" ht="16.5" thickBot="1" x14ac:dyDescent="0.3">
      <c r="A12" s="9">
        <v>44814</v>
      </c>
      <c r="B12" s="38"/>
      <c r="C12" s="144"/>
      <c r="D12" s="38">
        <f>IF((C12-C11)&lt;0,"0",(C12-C11))*160</f>
        <v>0</v>
      </c>
      <c r="E12" s="145"/>
      <c r="F12" s="38">
        <f t="shared" si="5"/>
        <v>0</v>
      </c>
      <c r="G12" s="146"/>
      <c r="H12" s="38">
        <f t="shared" si="6"/>
        <v>0</v>
      </c>
      <c r="I12" s="147">
        <f t="shared" si="7"/>
        <v>0</v>
      </c>
      <c r="J12" s="145"/>
      <c r="K12" s="38">
        <f t="shared" si="15"/>
        <v>0</v>
      </c>
      <c r="L12" s="148"/>
      <c r="M12" s="38">
        <f t="shared" si="8"/>
        <v>0</v>
      </c>
      <c r="N12" s="145"/>
      <c r="O12" s="38">
        <f t="shared" si="16"/>
        <v>0</v>
      </c>
      <c r="P12" s="148"/>
      <c r="Q12" s="38">
        <f t="shared" si="9"/>
        <v>0</v>
      </c>
      <c r="R12" s="145"/>
      <c r="S12" s="38">
        <f t="shared" si="10"/>
        <v>0</v>
      </c>
      <c r="T12" s="145">
        <v>0</v>
      </c>
      <c r="U12" s="149"/>
      <c r="V12" s="145"/>
      <c r="W12" s="38">
        <f t="shared" si="11"/>
        <v>0</v>
      </c>
      <c r="X12" s="19">
        <f t="shared" si="12"/>
        <v>0</v>
      </c>
      <c r="Y12" s="165">
        <f t="shared" si="13"/>
        <v>0</v>
      </c>
      <c r="Z12" s="3">
        <f t="shared" si="14"/>
        <v>0</v>
      </c>
      <c r="AA12" s="3">
        <f>SUM(Z1:Z12)</f>
        <v>29387.552417600004</v>
      </c>
    </row>
    <row r="13" spans="1:27" ht="16.5" thickBot="1" x14ac:dyDescent="0.3">
      <c r="A13" s="9">
        <v>44815</v>
      </c>
      <c r="B13" s="38"/>
      <c r="C13" s="144"/>
      <c r="D13" s="38">
        <f t="shared" ref="D13" si="17">IF((C13-C12)&lt;0,"0",(C13-C12))*160</f>
        <v>0</v>
      </c>
      <c r="E13" s="145"/>
      <c r="F13" s="38">
        <f t="shared" ref="F13" si="18">IF((E13-E12)&lt;0,"0",(E13-E12))</f>
        <v>0</v>
      </c>
      <c r="G13" s="146"/>
      <c r="H13" s="38">
        <f t="shared" si="6"/>
        <v>0</v>
      </c>
      <c r="I13" s="147">
        <f t="shared" ref="I13" si="19">F13+H13</f>
        <v>0</v>
      </c>
      <c r="J13" s="145"/>
      <c r="K13" s="38">
        <f t="shared" ref="K13" si="20">(IF((J13-J12)&lt;0,"0",(J13-J12)))*2</f>
        <v>0</v>
      </c>
      <c r="L13" s="148"/>
      <c r="M13" s="38">
        <f t="shared" ref="M13" si="21">IF((L13-L12)&lt;0,"0",(L13-L12))</f>
        <v>0</v>
      </c>
      <c r="N13" s="145"/>
      <c r="O13" s="38">
        <f t="shared" ref="O13" si="22">(IF((N13-N12)&lt;0,"0",(N13-N12)))*2</f>
        <v>0</v>
      </c>
      <c r="P13" s="148"/>
      <c r="Q13" s="38">
        <f t="shared" ref="Q13" si="23">IF((P13-P12)&lt;0,"0",(P13-P12))</f>
        <v>0</v>
      </c>
      <c r="R13" s="145"/>
      <c r="S13" s="38">
        <f t="shared" ref="S13" si="24">IF((R13-R12)&lt;0,"0",(R13-R12))</f>
        <v>0</v>
      </c>
      <c r="T13" s="145">
        <v>0</v>
      </c>
      <c r="U13" s="149"/>
      <c r="V13" s="145"/>
      <c r="W13" s="38">
        <f t="shared" si="11"/>
        <v>0</v>
      </c>
      <c r="X13" s="19">
        <f t="shared" ref="X13" si="25">K13+M13+O13+Q13+S13+U13+W13</f>
        <v>0</v>
      </c>
      <c r="Y13" s="165">
        <f t="shared" si="13"/>
        <v>0</v>
      </c>
      <c r="Z13" s="3">
        <f t="shared" ref="Z13" si="26">(0.93352*(W13+S13)+0.5568*(Q13+O13))*0.26</f>
        <v>0</v>
      </c>
      <c r="AA13" s="3">
        <f>SUM(Z1:Z13)</f>
        <v>29387.552417600004</v>
      </c>
    </row>
    <row r="14" spans="1:27" ht="16.5" thickBot="1" x14ac:dyDescent="0.3">
      <c r="A14" s="9">
        <v>44816</v>
      </c>
      <c r="B14" s="38"/>
      <c r="C14" s="144"/>
      <c r="D14" s="38">
        <f t="shared" si="4"/>
        <v>0</v>
      </c>
      <c r="E14" s="145"/>
      <c r="F14" s="38">
        <f t="shared" si="5"/>
        <v>0</v>
      </c>
      <c r="G14" s="146"/>
      <c r="H14" s="38">
        <f t="shared" si="6"/>
        <v>0</v>
      </c>
      <c r="I14" s="147">
        <f t="shared" si="7"/>
        <v>0</v>
      </c>
      <c r="J14" s="145"/>
      <c r="K14" s="38">
        <f t="shared" si="15"/>
        <v>0</v>
      </c>
      <c r="L14" s="148"/>
      <c r="M14" s="38">
        <f t="shared" si="8"/>
        <v>0</v>
      </c>
      <c r="N14" s="145"/>
      <c r="O14" s="38">
        <f t="shared" si="16"/>
        <v>0</v>
      </c>
      <c r="P14" s="148"/>
      <c r="Q14" s="38">
        <f t="shared" si="9"/>
        <v>0</v>
      </c>
      <c r="R14" s="145"/>
      <c r="S14" s="38">
        <f>IF((R14-R13)&lt;0,"0",(R14-R13))</f>
        <v>0</v>
      </c>
      <c r="T14" s="145">
        <v>0</v>
      </c>
      <c r="U14" s="149"/>
      <c r="V14" s="145"/>
      <c r="W14" s="38">
        <f t="shared" si="11"/>
        <v>0</v>
      </c>
      <c r="X14" s="19">
        <f t="shared" si="12"/>
        <v>0</v>
      </c>
      <c r="Y14" s="165">
        <f t="shared" si="13"/>
        <v>0</v>
      </c>
      <c r="Z14" s="3">
        <f t="shared" si="14"/>
        <v>0</v>
      </c>
      <c r="AA14" s="3">
        <f>SUM(Z1:Z14)</f>
        <v>29387.552417600004</v>
      </c>
    </row>
    <row r="15" spans="1:27" ht="16.5" thickBot="1" x14ac:dyDescent="0.3">
      <c r="A15" s="9">
        <v>44817</v>
      </c>
      <c r="B15" s="38"/>
      <c r="C15" s="144"/>
      <c r="D15" s="38">
        <f t="shared" si="4"/>
        <v>0</v>
      </c>
      <c r="E15" s="145"/>
      <c r="F15" s="38">
        <f t="shared" si="5"/>
        <v>0</v>
      </c>
      <c r="G15" s="146"/>
      <c r="H15" s="38">
        <f t="shared" si="6"/>
        <v>0</v>
      </c>
      <c r="I15" s="147">
        <f t="shared" si="7"/>
        <v>0</v>
      </c>
      <c r="J15" s="145"/>
      <c r="K15" s="38">
        <f t="shared" si="15"/>
        <v>0</v>
      </c>
      <c r="L15" s="148"/>
      <c r="M15" s="38">
        <f t="shared" si="8"/>
        <v>0</v>
      </c>
      <c r="N15" s="145"/>
      <c r="O15" s="38">
        <f t="shared" si="16"/>
        <v>0</v>
      </c>
      <c r="P15" s="148"/>
      <c r="Q15" s="38">
        <f t="shared" si="9"/>
        <v>0</v>
      </c>
      <c r="R15" s="145"/>
      <c r="S15" s="38">
        <f>IF((R15-R14)&lt;0,"0",(R15-R14))</f>
        <v>0</v>
      </c>
      <c r="T15" s="145">
        <v>0</v>
      </c>
      <c r="U15" s="149"/>
      <c r="V15" s="145"/>
      <c r="W15" s="38">
        <f t="shared" si="11"/>
        <v>0</v>
      </c>
      <c r="X15" s="19">
        <f t="shared" si="12"/>
        <v>0</v>
      </c>
      <c r="Y15" s="165">
        <f t="shared" si="13"/>
        <v>0</v>
      </c>
      <c r="Z15" s="3">
        <f t="shared" si="14"/>
        <v>0</v>
      </c>
      <c r="AA15" s="3">
        <f>SUM(Z1:Z15)</f>
        <v>29387.552417600004</v>
      </c>
    </row>
    <row r="16" spans="1:27" ht="16.5" thickBot="1" x14ac:dyDescent="0.3">
      <c r="A16" s="9">
        <v>44818</v>
      </c>
      <c r="B16" s="38"/>
      <c r="C16" s="144"/>
      <c r="D16" s="38">
        <f t="shared" si="4"/>
        <v>0</v>
      </c>
      <c r="E16" s="145"/>
      <c r="F16" s="38">
        <f t="shared" si="5"/>
        <v>0</v>
      </c>
      <c r="G16" s="146"/>
      <c r="H16" s="38">
        <f t="shared" si="6"/>
        <v>0</v>
      </c>
      <c r="I16" s="147">
        <f t="shared" si="7"/>
        <v>0</v>
      </c>
      <c r="J16" s="145"/>
      <c r="K16" s="38">
        <f t="shared" si="15"/>
        <v>0</v>
      </c>
      <c r="L16" s="148"/>
      <c r="M16" s="38">
        <f t="shared" si="8"/>
        <v>0</v>
      </c>
      <c r="N16" s="145"/>
      <c r="O16" s="38">
        <f t="shared" si="16"/>
        <v>0</v>
      </c>
      <c r="P16" s="148"/>
      <c r="Q16" s="38">
        <f t="shared" si="9"/>
        <v>0</v>
      </c>
      <c r="R16" s="145"/>
      <c r="S16" s="38">
        <f t="shared" si="10"/>
        <v>0</v>
      </c>
      <c r="T16" s="145">
        <v>0</v>
      </c>
      <c r="U16" s="149"/>
      <c r="V16" s="145"/>
      <c r="W16" s="38">
        <f t="shared" si="11"/>
        <v>0</v>
      </c>
      <c r="X16" s="19">
        <f t="shared" si="12"/>
        <v>0</v>
      </c>
      <c r="Y16" s="165">
        <f t="shared" si="13"/>
        <v>0</v>
      </c>
      <c r="Z16" s="3">
        <f t="shared" si="14"/>
        <v>0</v>
      </c>
      <c r="AA16" s="3">
        <f>SUM(Z1:Z16)</f>
        <v>29387.552417600004</v>
      </c>
    </row>
    <row r="17" spans="1:27" s="130" customFormat="1" ht="16.5" thickBot="1" x14ac:dyDescent="0.3">
      <c r="A17" s="9">
        <v>44819</v>
      </c>
      <c r="B17" s="38"/>
      <c r="C17" s="144"/>
      <c r="D17" s="38">
        <f t="shared" si="4"/>
        <v>0</v>
      </c>
      <c r="E17" s="145"/>
      <c r="F17" s="38">
        <f t="shared" si="5"/>
        <v>0</v>
      </c>
      <c r="G17" s="146"/>
      <c r="H17" s="38">
        <f t="shared" si="6"/>
        <v>0</v>
      </c>
      <c r="I17" s="150">
        <f t="shared" si="7"/>
        <v>0</v>
      </c>
      <c r="J17" s="145"/>
      <c r="K17" s="129">
        <f t="shared" si="15"/>
        <v>0</v>
      </c>
      <c r="L17" s="148"/>
      <c r="M17" s="129">
        <f t="shared" si="8"/>
        <v>0</v>
      </c>
      <c r="N17" s="145"/>
      <c r="O17" s="129">
        <f t="shared" si="16"/>
        <v>0</v>
      </c>
      <c r="P17" s="148"/>
      <c r="Q17" s="129">
        <f t="shared" si="9"/>
        <v>0</v>
      </c>
      <c r="R17" s="145"/>
      <c r="S17" s="129">
        <f t="shared" si="10"/>
        <v>0</v>
      </c>
      <c r="T17" s="151">
        <v>0</v>
      </c>
      <c r="U17" s="149"/>
      <c r="V17" s="145"/>
      <c r="W17" s="129">
        <f t="shared" si="11"/>
        <v>0</v>
      </c>
      <c r="X17" s="19">
        <f t="shared" si="12"/>
        <v>0</v>
      </c>
      <c r="Y17" s="151">
        <f t="shared" si="13"/>
        <v>0</v>
      </c>
      <c r="Z17" s="152">
        <f t="shared" si="14"/>
        <v>0</v>
      </c>
      <c r="AA17" s="3">
        <f>SUM(Z1:Z17)</f>
        <v>29387.552417600004</v>
      </c>
    </row>
    <row r="18" spans="1:27" s="130" customFormat="1" ht="16.5" thickBot="1" x14ac:dyDescent="0.3">
      <c r="A18" s="9">
        <v>44820</v>
      </c>
      <c r="B18" s="38"/>
      <c r="C18" s="144"/>
      <c r="D18" s="38">
        <f t="shared" si="4"/>
        <v>0</v>
      </c>
      <c r="E18" s="145"/>
      <c r="F18" s="38">
        <f t="shared" si="5"/>
        <v>0</v>
      </c>
      <c r="G18" s="146"/>
      <c r="H18" s="38">
        <f t="shared" si="6"/>
        <v>0</v>
      </c>
      <c r="I18" s="150">
        <f t="shared" si="7"/>
        <v>0</v>
      </c>
      <c r="J18" s="145"/>
      <c r="K18" s="129">
        <f t="shared" si="15"/>
        <v>0</v>
      </c>
      <c r="L18" s="148"/>
      <c r="M18" s="129">
        <f t="shared" si="8"/>
        <v>0</v>
      </c>
      <c r="N18" s="145"/>
      <c r="O18" s="129">
        <f t="shared" si="16"/>
        <v>0</v>
      </c>
      <c r="P18" s="148"/>
      <c r="Q18" s="129">
        <f t="shared" si="9"/>
        <v>0</v>
      </c>
      <c r="R18" s="145"/>
      <c r="S18" s="129">
        <f t="shared" si="10"/>
        <v>0</v>
      </c>
      <c r="T18" s="151">
        <v>0</v>
      </c>
      <c r="U18" s="149"/>
      <c r="V18" s="145"/>
      <c r="W18" s="129">
        <f t="shared" si="11"/>
        <v>0</v>
      </c>
      <c r="X18" s="19">
        <f t="shared" si="12"/>
        <v>0</v>
      </c>
      <c r="Y18" s="151">
        <f t="shared" si="13"/>
        <v>0</v>
      </c>
      <c r="Z18" s="152">
        <f t="shared" si="14"/>
        <v>0</v>
      </c>
      <c r="AA18" s="3">
        <f>SUM(Z1:Z18)</f>
        <v>29387.552417600004</v>
      </c>
    </row>
    <row r="19" spans="1:27" s="130" customFormat="1" ht="16.5" thickBot="1" x14ac:dyDescent="0.3">
      <c r="A19" s="9">
        <v>44821</v>
      </c>
      <c r="B19" s="38"/>
      <c r="C19" s="144"/>
      <c r="D19" s="38">
        <f t="shared" si="4"/>
        <v>0</v>
      </c>
      <c r="E19" s="145"/>
      <c r="F19" s="38">
        <f t="shared" si="5"/>
        <v>0</v>
      </c>
      <c r="G19" s="146"/>
      <c r="H19" s="38">
        <f t="shared" si="6"/>
        <v>0</v>
      </c>
      <c r="I19" s="150">
        <f t="shared" si="7"/>
        <v>0</v>
      </c>
      <c r="J19" s="145"/>
      <c r="K19" s="129">
        <f t="shared" si="15"/>
        <v>0</v>
      </c>
      <c r="L19" s="148"/>
      <c r="M19" s="129">
        <f t="shared" si="8"/>
        <v>0</v>
      </c>
      <c r="N19" s="145"/>
      <c r="O19" s="129">
        <f t="shared" si="16"/>
        <v>0</v>
      </c>
      <c r="P19" s="148"/>
      <c r="Q19" s="129">
        <f t="shared" si="9"/>
        <v>0</v>
      </c>
      <c r="R19" s="145"/>
      <c r="S19" s="129">
        <f t="shared" si="10"/>
        <v>0</v>
      </c>
      <c r="T19" s="151">
        <v>0</v>
      </c>
      <c r="U19" s="149"/>
      <c r="V19" s="145"/>
      <c r="W19" s="129">
        <f t="shared" si="11"/>
        <v>0</v>
      </c>
      <c r="X19" s="19">
        <f t="shared" si="12"/>
        <v>0</v>
      </c>
      <c r="Y19" s="151">
        <f t="shared" si="13"/>
        <v>0</v>
      </c>
      <c r="Z19" s="152">
        <f t="shared" si="14"/>
        <v>0</v>
      </c>
      <c r="AA19" s="3">
        <f>SUM(Z1:Z19)</f>
        <v>29387.552417600004</v>
      </c>
    </row>
    <row r="20" spans="1:27" s="130" customFormat="1" ht="16.5" thickBot="1" x14ac:dyDescent="0.3">
      <c r="A20" s="9">
        <v>44822</v>
      </c>
      <c r="B20" s="38"/>
      <c r="C20" s="144"/>
      <c r="D20" s="38">
        <f t="shared" si="4"/>
        <v>0</v>
      </c>
      <c r="E20" s="145"/>
      <c r="F20" s="38">
        <f t="shared" si="5"/>
        <v>0</v>
      </c>
      <c r="G20" s="146"/>
      <c r="H20" s="38">
        <f t="shared" si="6"/>
        <v>0</v>
      </c>
      <c r="I20" s="150">
        <f t="shared" si="7"/>
        <v>0</v>
      </c>
      <c r="J20" s="145"/>
      <c r="K20" s="129">
        <f t="shared" si="15"/>
        <v>0</v>
      </c>
      <c r="L20" s="148"/>
      <c r="M20" s="129">
        <f t="shared" si="8"/>
        <v>0</v>
      </c>
      <c r="N20" s="145"/>
      <c r="O20" s="129">
        <f t="shared" si="16"/>
        <v>0</v>
      </c>
      <c r="P20" s="148"/>
      <c r="Q20" s="129">
        <f t="shared" si="9"/>
        <v>0</v>
      </c>
      <c r="R20" s="145"/>
      <c r="S20" s="129">
        <f t="shared" si="10"/>
        <v>0</v>
      </c>
      <c r="T20" s="151">
        <v>0</v>
      </c>
      <c r="U20" s="149"/>
      <c r="V20" s="145"/>
      <c r="W20" s="129">
        <f t="shared" si="11"/>
        <v>0</v>
      </c>
      <c r="X20" s="19">
        <f t="shared" si="12"/>
        <v>0</v>
      </c>
      <c r="Y20" s="151">
        <f t="shared" si="13"/>
        <v>0</v>
      </c>
      <c r="Z20" s="152">
        <f t="shared" si="14"/>
        <v>0</v>
      </c>
      <c r="AA20" s="3">
        <f>SUM(Z1:Z20)</f>
        <v>29387.552417600004</v>
      </c>
    </row>
    <row r="21" spans="1:27" s="130" customFormat="1" ht="16.5" thickBot="1" x14ac:dyDescent="0.3">
      <c r="A21" s="9">
        <v>44823</v>
      </c>
      <c r="B21" s="38"/>
      <c r="C21" s="144"/>
      <c r="D21" s="38">
        <f t="shared" si="4"/>
        <v>0</v>
      </c>
      <c r="E21" s="145"/>
      <c r="F21" s="38">
        <f t="shared" si="5"/>
        <v>0</v>
      </c>
      <c r="G21" s="146"/>
      <c r="H21" s="38">
        <f t="shared" si="6"/>
        <v>0</v>
      </c>
      <c r="I21" s="150">
        <f t="shared" si="7"/>
        <v>0</v>
      </c>
      <c r="J21" s="145"/>
      <c r="K21" s="129">
        <f t="shared" si="15"/>
        <v>0</v>
      </c>
      <c r="L21" s="148"/>
      <c r="M21" s="129">
        <f t="shared" si="8"/>
        <v>0</v>
      </c>
      <c r="N21" s="145"/>
      <c r="O21" s="129">
        <f t="shared" si="16"/>
        <v>0</v>
      </c>
      <c r="P21" s="148"/>
      <c r="Q21" s="129">
        <f t="shared" si="9"/>
        <v>0</v>
      </c>
      <c r="R21" s="145"/>
      <c r="S21" s="129">
        <f t="shared" si="10"/>
        <v>0</v>
      </c>
      <c r="T21" s="151">
        <v>0</v>
      </c>
      <c r="U21" s="149"/>
      <c r="V21" s="145"/>
      <c r="W21" s="129">
        <f t="shared" si="11"/>
        <v>0</v>
      </c>
      <c r="X21" s="19">
        <f t="shared" si="12"/>
        <v>0</v>
      </c>
      <c r="Y21" s="151">
        <f t="shared" si="13"/>
        <v>0</v>
      </c>
      <c r="Z21" s="152">
        <f t="shared" si="14"/>
        <v>0</v>
      </c>
      <c r="AA21" s="3">
        <f>SUM(Z1:Z21)</f>
        <v>29387.552417600004</v>
      </c>
    </row>
    <row r="22" spans="1:27" ht="16.5" thickBot="1" x14ac:dyDescent="0.3">
      <c r="A22" s="9">
        <v>44824</v>
      </c>
      <c r="B22" s="38"/>
      <c r="C22" s="144"/>
      <c r="D22" s="38">
        <f t="shared" si="4"/>
        <v>0</v>
      </c>
      <c r="E22" s="145"/>
      <c r="F22" s="38">
        <f t="shared" si="5"/>
        <v>0</v>
      </c>
      <c r="G22" s="146"/>
      <c r="H22" s="38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>
        <f t="shared" si="8"/>
        <v>0</v>
      </c>
      <c r="N22" s="145"/>
      <c r="O22" s="38">
        <f t="shared" si="16"/>
        <v>0</v>
      </c>
      <c r="P22" s="148"/>
      <c r="Q22" s="38">
        <f t="shared" si="9"/>
        <v>0</v>
      </c>
      <c r="R22" s="145"/>
      <c r="S22" s="38">
        <f t="shared" si="10"/>
        <v>0</v>
      </c>
      <c r="T22" s="145">
        <v>0</v>
      </c>
      <c r="U22" s="149"/>
      <c r="V22" s="145"/>
      <c r="W22" s="38">
        <f t="shared" si="11"/>
        <v>0</v>
      </c>
      <c r="X22" s="19">
        <f t="shared" si="12"/>
        <v>0</v>
      </c>
      <c r="Y22" s="165">
        <f t="shared" si="13"/>
        <v>0</v>
      </c>
      <c r="Z22" s="3">
        <f t="shared" si="14"/>
        <v>0</v>
      </c>
      <c r="AA22" s="3">
        <f>SUM(Z1:Z22)</f>
        <v>29387.552417600004</v>
      </c>
    </row>
    <row r="23" spans="1:27" ht="16.5" thickBot="1" x14ac:dyDescent="0.3">
      <c r="A23" s="9">
        <v>44825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65">
        <f t="shared" si="13"/>
        <v>0</v>
      </c>
      <c r="Z23" s="3">
        <f t="shared" si="14"/>
        <v>0</v>
      </c>
      <c r="AA23" s="3">
        <f>SUM(Z1:Z23)</f>
        <v>29387.552417600004</v>
      </c>
    </row>
    <row r="24" spans="1:27" ht="16.5" thickBot="1" x14ac:dyDescent="0.3">
      <c r="A24" s="9">
        <v>44826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65">
        <f t="shared" si="13"/>
        <v>0</v>
      </c>
      <c r="Z24" s="3">
        <f t="shared" si="14"/>
        <v>0</v>
      </c>
      <c r="AA24" s="3">
        <f>SUM(Z1:Z24)</f>
        <v>29387.552417600004</v>
      </c>
    </row>
    <row r="25" spans="1:27" ht="16.5" thickBot="1" x14ac:dyDescent="0.3">
      <c r="A25" s="9">
        <v>44827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65">
        <f t="shared" si="13"/>
        <v>0</v>
      </c>
      <c r="Z25" s="3">
        <f t="shared" si="14"/>
        <v>0</v>
      </c>
      <c r="AA25" s="3">
        <f>SUM(Z1:Z25)</f>
        <v>29387.552417600004</v>
      </c>
    </row>
    <row r="26" spans="1:27" ht="16.5" thickBot="1" x14ac:dyDescent="0.3">
      <c r="A26" s="9">
        <v>44828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65">
        <f t="shared" si="13"/>
        <v>0</v>
      </c>
      <c r="Z26" s="3">
        <f t="shared" si="14"/>
        <v>0</v>
      </c>
      <c r="AA26" s="3">
        <f>SUM(Z1:Z26)</f>
        <v>29387.552417600004</v>
      </c>
    </row>
    <row r="27" spans="1:27" ht="16.5" thickBot="1" x14ac:dyDescent="0.3">
      <c r="A27" s="9">
        <v>44829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65">
        <f t="shared" si="13"/>
        <v>0</v>
      </c>
      <c r="Z27" s="3">
        <f t="shared" si="14"/>
        <v>0</v>
      </c>
      <c r="AA27" s="3">
        <f>SUM(Z1:Z27)</f>
        <v>29387.552417600004</v>
      </c>
    </row>
    <row r="28" spans="1:27" ht="16.5" thickBot="1" x14ac:dyDescent="0.3">
      <c r="A28" s="9">
        <v>44830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65">
        <f t="shared" si="13"/>
        <v>0</v>
      </c>
      <c r="Z28" s="3">
        <f t="shared" si="14"/>
        <v>0</v>
      </c>
      <c r="AA28" s="3">
        <f>SUM(Z1:Z28)</f>
        <v>29387.552417600004</v>
      </c>
    </row>
    <row r="29" spans="1:27" ht="16.5" thickBot="1" x14ac:dyDescent="0.3">
      <c r="A29" s="9">
        <v>44831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65">
        <f t="shared" si="13"/>
        <v>0</v>
      </c>
      <c r="Z29" s="3">
        <f t="shared" si="14"/>
        <v>0</v>
      </c>
      <c r="AA29" s="3">
        <f>SUM(Z1:Z29)</f>
        <v>29387.552417600004</v>
      </c>
    </row>
    <row r="30" spans="1:27" ht="16.5" thickBot="1" x14ac:dyDescent="0.3">
      <c r="A30" s="9">
        <v>44832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65">
        <f t="shared" si="13"/>
        <v>0</v>
      </c>
      <c r="Z30" s="3">
        <f t="shared" si="14"/>
        <v>0</v>
      </c>
      <c r="AA30" s="3">
        <f>SUM(Z1:Z30)</f>
        <v>29387.552417600004</v>
      </c>
    </row>
    <row r="31" spans="1:27" ht="16.5" thickBot="1" x14ac:dyDescent="0.3">
      <c r="A31" s="9">
        <v>44833</v>
      </c>
      <c r="B31" s="38"/>
      <c r="C31" s="144"/>
      <c r="D31" s="38">
        <f t="shared" ref="D31:D32" si="27">IF((C31-C30)&lt;0,"0",(C31-C30))*160</f>
        <v>0</v>
      </c>
      <c r="E31" s="145"/>
      <c r="F31" s="38">
        <f t="shared" ref="F31:F32" si="28">IF((E31-E30)&lt;0,"0",(E31-E30))</f>
        <v>0</v>
      </c>
      <c r="G31" s="146"/>
      <c r="H31" s="38">
        <f t="shared" si="6"/>
        <v>0</v>
      </c>
      <c r="I31" s="147">
        <f t="shared" ref="I31:I32" si="29">F31+H31</f>
        <v>0</v>
      </c>
      <c r="J31" s="145"/>
      <c r="K31" s="129">
        <f t="shared" si="15"/>
        <v>0</v>
      </c>
      <c r="L31" s="148"/>
      <c r="M31" s="38">
        <f t="shared" ref="M31:M32" si="30">IF((L31-L30)&lt;0,"0",(L31-L30))</f>
        <v>0</v>
      </c>
      <c r="N31" s="145"/>
      <c r="O31" s="38">
        <f t="shared" ref="O31:O32" si="31">(IF((N31-N30)&lt;0,"0",(N31-N30)))*2</f>
        <v>0</v>
      </c>
      <c r="P31" s="148"/>
      <c r="Q31" s="38">
        <f t="shared" ref="Q31:Q32" si="32">IF((P31-P30)&lt;0,"0",(P31-P30))</f>
        <v>0</v>
      </c>
      <c r="R31" s="145"/>
      <c r="S31" s="38">
        <f t="shared" ref="S31:S32" si="33">IF((R31-R30)&lt;0,"0",(R31-R30))</f>
        <v>0</v>
      </c>
      <c r="T31" s="145">
        <v>0</v>
      </c>
      <c r="U31" s="149"/>
      <c r="V31" s="145"/>
      <c r="W31" s="38">
        <f t="shared" ref="W31:W32" si="34">IF((V31-V30)&lt;0,"0",(V31-V30))</f>
        <v>0</v>
      </c>
      <c r="X31" s="19">
        <f t="shared" ref="X31:X32" si="35">K31+M31+O31+Q31+S31+U31+W31</f>
        <v>0</v>
      </c>
      <c r="Y31" s="165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29387.552417600004</v>
      </c>
    </row>
    <row r="32" spans="1:27" ht="16.5" thickBot="1" x14ac:dyDescent="0.3">
      <c r="A32" s="9">
        <v>44834</v>
      </c>
      <c r="B32" s="38"/>
      <c r="C32" s="144"/>
      <c r="D32" s="38">
        <f t="shared" si="27"/>
        <v>0</v>
      </c>
      <c r="E32" s="145"/>
      <c r="F32" s="38">
        <f t="shared" si="28"/>
        <v>0</v>
      </c>
      <c r="G32" s="146"/>
      <c r="H32" s="38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>
        <f t="shared" si="30"/>
        <v>0</v>
      </c>
      <c r="N32" s="145"/>
      <c r="O32" s="38">
        <f t="shared" si="31"/>
        <v>0</v>
      </c>
      <c r="P32" s="148"/>
      <c r="Q32" s="38">
        <f t="shared" si="32"/>
        <v>0</v>
      </c>
      <c r="R32" s="145"/>
      <c r="S32" s="38">
        <f t="shared" si="33"/>
        <v>0</v>
      </c>
      <c r="T32" s="145">
        <v>0</v>
      </c>
      <c r="U32" s="149"/>
      <c r="V32" s="145"/>
      <c r="W32" s="38">
        <f t="shared" si="34"/>
        <v>0</v>
      </c>
      <c r="X32" s="19">
        <f t="shared" si="35"/>
        <v>0</v>
      </c>
      <c r="Y32" s="165">
        <f t="shared" si="36"/>
        <v>0</v>
      </c>
      <c r="Z32" s="3">
        <f t="shared" si="37"/>
        <v>0</v>
      </c>
      <c r="AA32" s="3">
        <f>SUM(Z1:Z32)</f>
        <v>29387.552417600004</v>
      </c>
    </row>
    <row r="33" spans="1:27" ht="16.5" thickBot="1" x14ac:dyDescent="0.3">
      <c r="A33" s="136" t="s">
        <v>23</v>
      </c>
      <c r="B33" s="136">
        <f>SUM(B2:B32)</f>
        <v>882</v>
      </c>
      <c r="C33" s="136">
        <v>0</v>
      </c>
      <c r="D33" s="136">
        <f>SUM(D2:D32)</f>
        <v>1920</v>
      </c>
      <c r="E33" s="55">
        <v>0</v>
      </c>
      <c r="F33" s="136">
        <f>SUM(F2:F32)</f>
        <v>68408</v>
      </c>
      <c r="G33" s="55">
        <v>0</v>
      </c>
      <c r="H33" s="136">
        <f>SUM(H2:H32)</f>
        <v>163605</v>
      </c>
      <c r="I33" s="136">
        <f t="shared" ref="I33" si="38">F33+H33</f>
        <v>232013</v>
      </c>
      <c r="J33" s="55">
        <v>0</v>
      </c>
      <c r="K33" s="136">
        <f>SUM(K2:K32)</f>
        <v>32718</v>
      </c>
      <c r="L33" s="55">
        <v>0</v>
      </c>
      <c r="M33" s="136">
        <f>SUM(M2:M32)</f>
        <v>18458</v>
      </c>
      <c r="N33" s="55">
        <v>0</v>
      </c>
      <c r="O33" s="136">
        <f>SUM(O2:O32)</f>
        <v>49356</v>
      </c>
      <c r="P33" s="55">
        <v>0</v>
      </c>
      <c r="Q33" s="136">
        <f>SUM(Q2:Q32)</f>
        <v>40350</v>
      </c>
      <c r="R33" s="55">
        <v>0</v>
      </c>
      <c r="S33" s="136">
        <f>SUM(S2:S32)</f>
        <v>32909</v>
      </c>
      <c r="T33" s="55">
        <f>SUM(T3:T32)</f>
        <v>0</v>
      </c>
      <c r="U33" s="55">
        <f>SUM(U3:U32)</f>
        <v>0</v>
      </c>
      <c r="V33" s="55">
        <v>0</v>
      </c>
      <c r="W33" s="136">
        <f>SUM(W2:W32)</f>
        <v>34664</v>
      </c>
      <c r="X33" s="136">
        <f>SUM(X2:X32)</f>
        <v>208455</v>
      </c>
      <c r="Y33" s="136">
        <f>SUM(Y1:Y32)</f>
        <v>23558</v>
      </c>
      <c r="Z33" s="136">
        <f>SUM(Z1:Z32)</f>
        <v>29387.552417600004</v>
      </c>
      <c r="AA33" s="136">
        <f>SUM(AA2:AA32)</f>
        <v>856048.55787360063</v>
      </c>
    </row>
    <row r="34" spans="1:27" x14ac:dyDescent="0.2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5" sqref="A5:XFD5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44804</v>
      </c>
      <c r="B2" s="3">
        <v>459795</v>
      </c>
      <c r="C2" s="38"/>
      <c r="D2" s="3">
        <v>12991</v>
      </c>
      <c r="E2" s="38"/>
      <c r="F2" s="3">
        <v>11222500</v>
      </c>
      <c r="G2" s="38"/>
      <c r="H2" s="3">
        <v>808267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44805</v>
      </c>
      <c r="B3" s="3">
        <v>459905</v>
      </c>
      <c r="C3" s="38">
        <f t="shared" ref="C3:E18" si="2">(IF((B3-B2)&lt;0,"0",(B3-B2)))*10</f>
        <v>1100</v>
      </c>
      <c r="D3" s="3">
        <v>13047</v>
      </c>
      <c r="E3" s="38">
        <f t="shared" si="2"/>
        <v>560</v>
      </c>
      <c r="F3" s="3">
        <v>11243900</v>
      </c>
      <c r="G3" s="38">
        <f>(IF((F3-F2)&lt;0,"0",(F3-F2)))*0.027</f>
        <v>577.79999999999995</v>
      </c>
      <c r="H3" s="3">
        <v>808434</v>
      </c>
      <c r="I3" s="43">
        <f>(IF((H3-H2)&lt;0,"0",(H3-H2)))*0.027</f>
        <v>4.5090000000000003</v>
      </c>
      <c r="J3" s="19">
        <f>C3+E3+G3+I3</f>
        <v>2242.3090000000002</v>
      </c>
      <c r="K3" s="20">
        <f>J3*5.86</f>
        <v>13139.930740000002</v>
      </c>
    </row>
    <row r="4" spans="1:14" ht="16.5" thickBot="1" x14ac:dyDescent="0.3">
      <c r="A4" s="9">
        <v>44806</v>
      </c>
      <c r="B4" s="3">
        <v>460019</v>
      </c>
      <c r="C4" s="38">
        <f t="shared" si="2"/>
        <v>1140</v>
      </c>
      <c r="D4" s="3">
        <v>13090</v>
      </c>
      <c r="E4" s="38">
        <f t="shared" si="2"/>
        <v>430</v>
      </c>
      <c r="F4" s="3">
        <v>11264800</v>
      </c>
      <c r="G4" s="38">
        <f>(IF((F4-F3)&lt;0,"0",(F4-F3)))*0.027</f>
        <v>564.29999999999995</v>
      </c>
      <c r="H4" s="3">
        <v>808563</v>
      </c>
      <c r="I4" s="43">
        <f>(IF((H4-H3)&lt;0,"0",(H4-H3)))*0.027</f>
        <v>3.4830000000000001</v>
      </c>
      <c r="J4" s="19">
        <f t="shared" ref="J4:J32" si="3">C4+E4+G4+I4</f>
        <v>2137.7830000000004</v>
      </c>
      <c r="K4" s="20">
        <f t="shared" ref="K4:K32" si="4">J4*5.86</f>
        <v>12527.408380000003</v>
      </c>
    </row>
    <row r="5" spans="1:14" ht="16.5" thickBot="1" x14ac:dyDescent="0.3">
      <c r="A5" s="9">
        <v>44807</v>
      </c>
      <c r="B5" s="3">
        <v>460105</v>
      </c>
      <c r="C5" s="38">
        <f t="shared" si="2"/>
        <v>860</v>
      </c>
      <c r="D5" s="3">
        <v>13129</v>
      </c>
      <c r="E5" s="38">
        <f t="shared" si="2"/>
        <v>390</v>
      </c>
      <c r="F5" s="3">
        <v>11284400</v>
      </c>
      <c r="G5" s="38">
        <f t="shared" ref="G5:G32" si="5">(IF((F5-F4)&lt;0,"0",(F5-F4)))*0.027</f>
        <v>529.20000000000005</v>
      </c>
      <c r="H5" s="3">
        <v>808712</v>
      </c>
      <c r="I5" s="43">
        <f t="shared" ref="I5:I32" si="6">(IF((H5-H4)&lt;0,"0",(H5-H4)))*0.027</f>
        <v>4.0229999999999997</v>
      </c>
      <c r="J5" s="19">
        <f t="shared" si="3"/>
        <v>1783.223</v>
      </c>
      <c r="K5" s="20">
        <f t="shared" si="4"/>
        <v>10449.68678</v>
      </c>
    </row>
    <row r="6" spans="1:14" ht="16.5" thickBot="1" x14ac:dyDescent="0.3">
      <c r="A6" s="9">
        <v>44808</v>
      </c>
      <c r="B6" s="3"/>
      <c r="C6" s="38">
        <f t="shared" si="2"/>
        <v>0</v>
      </c>
      <c r="D6" s="3"/>
      <c r="E6" s="38">
        <f t="shared" si="2"/>
        <v>0</v>
      </c>
      <c r="F6" s="3"/>
      <c r="G6" s="38">
        <f t="shared" si="5"/>
        <v>0</v>
      </c>
      <c r="H6" s="3"/>
      <c r="I6" s="43">
        <f t="shared" si="6"/>
        <v>0</v>
      </c>
      <c r="J6" s="19">
        <f t="shared" si="3"/>
        <v>0</v>
      </c>
      <c r="K6" s="20">
        <f t="shared" si="4"/>
        <v>0</v>
      </c>
    </row>
    <row r="7" spans="1:14" ht="16.5" thickBot="1" x14ac:dyDescent="0.3">
      <c r="A7" s="9">
        <v>44809</v>
      </c>
      <c r="B7" s="3"/>
      <c r="C7" s="38">
        <f t="shared" si="2"/>
        <v>0</v>
      </c>
      <c r="D7" s="3"/>
      <c r="E7" s="38">
        <f t="shared" si="2"/>
        <v>0</v>
      </c>
      <c r="F7" s="3"/>
      <c r="G7" s="38">
        <f t="shared" si="5"/>
        <v>0</v>
      </c>
      <c r="H7" s="3"/>
      <c r="I7" s="43">
        <f t="shared" si="6"/>
        <v>0</v>
      </c>
      <c r="J7" s="19">
        <f t="shared" si="3"/>
        <v>0</v>
      </c>
      <c r="K7" s="20">
        <f t="shared" si="4"/>
        <v>0</v>
      </c>
      <c r="L7" t="s">
        <v>12</v>
      </c>
      <c r="N7" t="s">
        <v>12</v>
      </c>
    </row>
    <row r="8" spans="1:14" ht="16.5" thickBot="1" x14ac:dyDescent="0.3">
      <c r="A8" s="9">
        <v>44810</v>
      </c>
      <c r="B8" s="3"/>
      <c r="C8" s="38">
        <f t="shared" si="2"/>
        <v>0</v>
      </c>
      <c r="D8" s="3"/>
      <c r="E8" s="38">
        <f t="shared" si="2"/>
        <v>0</v>
      </c>
      <c r="F8" s="3"/>
      <c r="G8" s="38">
        <f t="shared" si="5"/>
        <v>0</v>
      </c>
      <c r="H8" s="3"/>
      <c r="I8" s="43">
        <f t="shared" si="6"/>
        <v>0</v>
      </c>
      <c r="J8" s="19">
        <f t="shared" si="3"/>
        <v>0</v>
      </c>
      <c r="K8" s="20">
        <f t="shared" si="4"/>
        <v>0</v>
      </c>
    </row>
    <row r="9" spans="1:14" ht="16.5" thickBot="1" x14ac:dyDescent="0.3">
      <c r="A9" s="9">
        <v>44811</v>
      </c>
      <c r="B9" s="3"/>
      <c r="C9" s="38">
        <f t="shared" ref="C9:C32" si="7">(IF((B9-B8)&lt;0,"0",(B9-B8)))*10</f>
        <v>0</v>
      </c>
      <c r="D9" s="3"/>
      <c r="E9" s="38">
        <f t="shared" si="2"/>
        <v>0</v>
      </c>
      <c r="F9" s="3"/>
      <c r="G9" s="38">
        <f t="shared" si="5"/>
        <v>0</v>
      </c>
      <c r="H9" s="3"/>
      <c r="I9" s="43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44812</v>
      </c>
      <c r="B10" s="3"/>
      <c r="C10" s="38">
        <f>(IF((B10-B9)&lt;0,"0",(B10-B9)))*10</f>
        <v>0</v>
      </c>
      <c r="D10" s="3"/>
      <c r="E10" s="38">
        <f t="shared" si="2"/>
        <v>0</v>
      </c>
      <c r="F10" s="3"/>
      <c r="G10" s="38">
        <f t="shared" si="5"/>
        <v>0</v>
      </c>
      <c r="H10" s="3"/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44813</v>
      </c>
      <c r="B11" s="3"/>
      <c r="C11" s="38">
        <f t="shared" si="7"/>
        <v>0</v>
      </c>
      <c r="D11" s="3"/>
      <c r="E11" s="38">
        <f t="shared" si="2"/>
        <v>0</v>
      </c>
      <c r="F11" s="3"/>
      <c r="G11" s="38">
        <f t="shared" si="5"/>
        <v>0</v>
      </c>
      <c r="H11" s="3"/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44814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44815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44816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44817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44818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44819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44820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44821</v>
      </c>
      <c r="B19" s="3"/>
      <c r="C19" s="38">
        <f t="shared" si="7"/>
        <v>0</v>
      </c>
      <c r="D19" s="3"/>
      <c r="E19" s="38">
        <f t="shared" ref="E19:E32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44822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44823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44824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44825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44826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66"/>
    </row>
    <row r="25" spans="1:25" ht="17.25" customHeight="1" thickBot="1" x14ac:dyDescent="0.4">
      <c r="A25" s="9">
        <v>44827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44828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44829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44830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44831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44832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44833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44834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SUM(C2:C32)</f>
        <v>3100</v>
      </c>
      <c r="D33" s="55"/>
      <c r="E33" s="55">
        <f>SUM(E2:E32)</f>
        <v>1380</v>
      </c>
      <c r="F33" s="55"/>
      <c r="G33" s="55">
        <f>SUM(G2:G32)</f>
        <v>1671.3</v>
      </c>
      <c r="H33" s="55"/>
      <c r="I33" s="55">
        <f>SUM(I2:I32)</f>
        <v>12.015000000000001</v>
      </c>
      <c r="J33" s="55">
        <v>0</v>
      </c>
      <c r="K33" s="55">
        <f>SUM(K3:K32)</f>
        <v>36117.025900000008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A5" sqref="A5:XFD5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v>2097</v>
      </c>
    </row>
    <row r="4" spans="1:9" ht="24" thickBot="1" x14ac:dyDescent="0.4">
      <c r="A4" s="9">
        <v>44775</v>
      </c>
      <c r="B4" s="132">
        <v>18424841</v>
      </c>
      <c r="C4" s="44">
        <f t="shared" ref="C4:C32" si="0">IF((B4-B3)&lt;0,"0",(B4-B3))</f>
        <v>1757</v>
      </c>
    </row>
    <row r="5" spans="1:9" ht="24" thickBot="1" x14ac:dyDescent="0.4">
      <c r="A5" s="9">
        <v>44804</v>
      </c>
      <c r="B5" s="132">
        <v>18426641</v>
      </c>
      <c r="C5" s="44">
        <v>1800</v>
      </c>
    </row>
    <row r="6" spans="1:9" ht="24" thickBot="1" x14ac:dyDescent="0.4">
      <c r="A6" s="9">
        <v>44808</v>
      </c>
      <c r="B6" s="132">
        <f t="shared" ref="B6:B32" si="1">B5</f>
        <v>18426641</v>
      </c>
      <c r="C6" s="44">
        <f t="shared" si="0"/>
        <v>0</v>
      </c>
    </row>
    <row r="7" spans="1:9" ht="24" thickBot="1" x14ac:dyDescent="0.4">
      <c r="A7" s="9">
        <v>44809</v>
      </c>
      <c r="B7" s="132">
        <f t="shared" si="1"/>
        <v>18426641</v>
      </c>
      <c r="C7" s="44">
        <f t="shared" si="0"/>
        <v>0</v>
      </c>
    </row>
    <row r="8" spans="1:9" ht="24" thickBot="1" x14ac:dyDescent="0.4">
      <c r="A8" s="9">
        <v>44810</v>
      </c>
      <c r="B8" s="132">
        <f t="shared" si="1"/>
        <v>18426641</v>
      </c>
      <c r="C8" s="44">
        <f t="shared" si="0"/>
        <v>0</v>
      </c>
    </row>
    <row r="9" spans="1:9" ht="24" thickBot="1" x14ac:dyDescent="0.4">
      <c r="A9" s="9">
        <v>44811</v>
      </c>
      <c r="B9" s="132">
        <f t="shared" si="1"/>
        <v>18426641</v>
      </c>
      <c r="C9" s="44">
        <f t="shared" si="0"/>
        <v>0</v>
      </c>
    </row>
    <row r="10" spans="1:9" ht="24" thickBot="1" x14ac:dyDescent="0.4">
      <c r="A10" s="9">
        <v>44812</v>
      </c>
      <c r="B10" s="132">
        <f t="shared" si="1"/>
        <v>18426641</v>
      </c>
      <c r="C10" s="44">
        <f t="shared" si="0"/>
        <v>0</v>
      </c>
    </row>
    <row r="11" spans="1:9" ht="24" thickBot="1" x14ac:dyDescent="0.4">
      <c r="A11" s="9">
        <v>44813</v>
      </c>
      <c r="B11" s="132">
        <f t="shared" si="1"/>
        <v>18426641</v>
      </c>
      <c r="C11" s="44">
        <f t="shared" si="0"/>
        <v>0</v>
      </c>
    </row>
    <row r="12" spans="1:9" ht="24" thickBot="1" x14ac:dyDescent="0.4">
      <c r="A12" s="9">
        <v>44814</v>
      </c>
      <c r="B12" s="132">
        <f t="shared" si="1"/>
        <v>18426641</v>
      </c>
      <c r="C12" s="44">
        <f t="shared" si="0"/>
        <v>0</v>
      </c>
    </row>
    <row r="13" spans="1:9" ht="24" thickBot="1" x14ac:dyDescent="0.4">
      <c r="A13" s="9">
        <v>44815</v>
      </c>
      <c r="B13" s="132">
        <f t="shared" si="1"/>
        <v>18426641</v>
      </c>
      <c r="C13" s="44">
        <f t="shared" si="0"/>
        <v>0</v>
      </c>
    </row>
    <row r="14" spans="1:9" ht="24" thickBot="1" x14ac:dyDescent="0.4">
      <c r="A14" s="9">
        <v>44816</v>
      </c>
      <c r="B14" s="132">
        <f t="shared" si="1"/>
        <v>18426641</v>
      </c>
      <c r="C14" s="44">
        <f t="shared" si="0"/>
        <v>0</v>
      </c>
    </row>
    <row r="15" spans="1:9" ht="24" thickBot="1" x14ac:dyDescent="0.4">
      <c r="A15" s="9">
        <v>44817</v>
      </c>
      <c r="B15" s="132">
        <f t="shared" si="1"/>
        <v>18426641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44818</v>
      </c>
      <c r="B16" s="132">
        <f t="shared" si="1"/>
        <v>18426641</v>
      </c>
      <c r="C16" s="44">
        <f t="shared" si="0"/>
        <v>0</v>
      </c>
      <c r="F16" s="153"/>
    </row>
    <row r="17" spans="1:9" ht="25.5" customHeight="1" thickBot="1" x14ac:dyDescent="0.4">
      <c r="A17" s="9">
        <v>44819</v>
      </c>
      <c r="B17" s="132">
        <f t="shared" si="1"/>
        <v>18426641</v>
      </c>
      <c r="C17" s="44">
        <f t="shared" si="0"/>
        <v>0</v>
      </c>
    </row>
    <row r="18" spans="1:9" ht="24" thickBot="1" x14ac:dyDescent="0.4">
      <c r="A18" s="9">
        <v>44820</v>
      </c>
      <c r="B18" s="132">
        <f t="shared" si="1"/>
        <v>18426641</v>
      </c>
      <c r="C18" s="44">
        <f t="shared" si="0"/>
        <v>0</v>
      </c>
      <c r="I18" s="34"/>
    </row>
    <row r="19" spans="1:9" ht="24" thickBot="1" x14ac:dyDescent="0.4">
      <c r="A19" s="9">
        <v>44821</v>
      </c>
      <c r="B19" s="132">
        <f t="shared" si="1"/>
        <v>18426641</v>
      </c>
      <c r="C19" s="44">
        <f t="shared" si="0"/>
        <v>0</v>
      </c>
    </row>
    <row r="20" spans="1:9" ht="24" thickBot="1" x14ac:dyDescent="0.4">
      <c r="A20" s="9">
        <v>44822</v>
      </c>
      <c r="B20" s="132">
        <f t="shared" si="1"/>
        <v>18426641</v>
      </c>
      <c r="C20" s="44">
        <f t="shared" si="0"/>
        <v>0</v>
      </c>
    </row>
    <row r="21" spans="1:9" ht="24" thickBot="1" x14ac:dyDescent="0.4">
      <c r="A21" s="9">
        <v>44823</v>
      </c>
      <c r="B21" s="132">
        <f t="shared" si="1"/>
        <v>18426641</v>
      </c>
      <c r="C21" s="44">
        <f t="shared" si="0"/>
        <v>0</v>
      </c>
    </row>
    <row r="22" spans="1:9" ht="24" thickBot="1" x14ac:dyDescent="0.4">
      <c r="A22" s="9">
        <v>44824</v>
      </c>
      <c r="B22" s="132">
        <f t="shared" si="1"/>
        <v>18426641</v>
      </c>
      <c r="C22" s="44">
        <f t="shared" si="0"/>
        <v>0</v>
      </c>
    </row>
    <row r="23" spans="1:9" ht="24" thickBot="1" x14ac:dyDescent="0.4">
      <c r="A23" s="9">
        <v>44825</v>
      </c>
      <c r="B23" s="132">
        <f t="shared" si="1"/>
        <v>18426641</v>
      </c>
      <c r="C23" s="44">
        <f t="shared" si="0"/>
        <v>0</v>
      </c>
      <c r="F23" t="s">
        <v>12</v>
      </c>
    </row>
    <row r="24" spans="1:9" ht="24" thickBot="1" x14ac:dyDescent="0.4">
      <c r="A24" s="9">
        <v>44826</v>
      </c>
      <c r="B24" s="132">
        <f t="shared" si="1"/>
        <v>18426641</v>
      </c>
      <c r="C24" s="44">
        <f t="shared" si="0"/>
        <v>0</v>
      </c>
      <c r="E24" t="s">
        <v>12</v>
      </c>
    </row>
    <row r="25" spans="1:9" ht="24" thickBot="1" x14ac:dyDescent="0.4">
      <c r="A25" s="9">
        <v>44827</v>
      </c>
      <c r="B25" s="132">
        <f t="shared" si="1"/>
        <v>18426641</v>
      </c>
      <c r="C25" s="44">
        <f t="shared" si="0"/>
        <v>0</v>
      </c>
    </row>
    <row r="26" spans="1:9" ht="24" thickBot="1" x14ac:dyDescent="0.4">
      <c r="A26" s="9">
        <v>44828</v>
      </c>
      <c r="B26" s="132">
        <f t="shared" si="1"/>
        <v>18426641</v>
      </c>
      <c r="C26" s="44">
        <f t="shared" si="0"/>
        <v>0</v>
      </c>
    </row>
    <row r="27" spans="1:9" ht="24" thickBot="1" x14ac:dyDescent="0.4">
      <c r="A27" s="9">
        <v>44829</v>
      </c>
      <c r="B27" s="132">
        <f t="shared" si="1"/>
        <v>18426641</v>
      </c>
      <c r="C27" s="44">
        <f t="shared" si="0"/>
        <v>0</v>
      </c>
    </row>
    <row r="28" spans="1:9" ht="24" thickBot="1" x14ac:dyDescent="0.4">
      <c r="A28" s="9">
        <v>44830</v>
      </c>
      <c r="B28" s="132">
        <f t="shared" si="1"/>
        <v>18426641</v>
      </c>
      <c r="C28" s="44">
        <f t="shared" si="0"/>
        <v>0</v>
      </c>
      <c r="I28" t="s">
        <v>12</v>
      </c>
    </row>
    <row r="29" spans="1:9" ht="24" thickBot="1" x14ac:dyDescent="0.4">
      <c r="A29" s="9">
        <v>44831</v>
      </c>
      <c r="B29" s="132">
        <f t="shared" si="1"/>
        <v>18426641</v>
      </c>
      <c r="C29" s="44">
        <f t="shared" si="0"/>
        <v>0</v>
      </c>
    </row>
    <row r="30" spans="1:9" ht="24" thickBot="1" x14ac:dyDescent="0.4">
      <c r="A30" s="9">
        <v>44832</v>
      </c>
      <c r="B30" s="132">
        <f t="shared" si="1"/>
        <v>18426641</v>
      </c>
      <c r="C30" s="44">
        <f t="shared" si="0"/>
        <v>0</v>
      </c>
    </row>
    <row r="31" spans="1:9" ht="24" thickBot="1" x14ac:dyDescent="0.4">
      <c r="A31" s="9">
        <v>44833</v>
      </c>
      <c r="B31" s="132">
        <f t="shared" si="1"/>
        <v>18426641</v>
      </c>
      <c r="C31" s="44">
        <f t="shared" si="0"/>
        <v>0</v>
      </c>
    </row>
    <row r="32" spans="1:9" ht="24" thickBot="1" x14ac:dyDescent="0.4">
      <c r="A32" s="9">
        <v>44834</v>
      </c>
      <c r="B32" s="132">
        <f t="shared" si="1"/>
        <v>18426641</v>
      </c>
      <c r="C32" s="44">
        <f t="shared" si="0"/>
        <v>0</v>
      </c>
    </row>
    <row r="33" spans="1:3" ht="24" thickBot="1" x14ac:dyDescent="0.4">
      <c r="A33" s="134" t="s">
        <v>138</v>
      </c>
      <c r="B33" s="134"/>
      <c r="C33" s="134">
        <v>5654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5" sqref="A5:XFD5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s="22" customFormat="1" ht="16.5" thickBot="1" x14ac:dyDescent="0.25">
      <c r="A2" s="9">
        <v>44804</v>
      </c>
      <c r="B2" s="157">
        <v>24738.928</v>
      </c>
      <c r="C2" s="43"/>
      <c r="D2" s="28">
        <f t="shared" ref="D2" si="0">C2*1.9*1000</f>
        <v>0</v>
      </c>
      <c r="E2" s="1">
        <v>4495.0450000000001</v>
      </c>
      <c r="F2" s="43"/>
      <c r="G2" s="28">
        <f t="shared" ref="G2" si="1">F2*1.9*1000</f>
        <v>0</v>
      </c>
      <c r="H2" s="1">
        <v>5991</v>
      </c>
      <c r="I2" s="43"/>
      <c r="J2" s="28">
        <f t="shared" ref="J2" si="2">I2*1.9*1000</f>
        <v>0</v>
      </c>
      <c r="K2" s="7">
        <v>14198.43</v>
      </c>
      <c r="L2" s="43"/>
      <c r="M2" s="28">
        <f t="shared" ref="M2" si="3">L2*1.9*1000</f>
        <v>0</v>
      </c>
      <c r="N2" s="7">
        <v>3722.1390000000001</v>
      </c>
      <c r="O2" s="43"/>
      <c r="P2" s="28">
        <f t="shared" ref="P2" si="4">O2*1.9*1000</f>
        <v>0</v>
      </c>
      <c r="Q2" s="7">
        <v>5508.88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V2"/>
      <c r="W2" s="154">
        <v>44804</v>
      </c>
      <c r="X2" s="155">
        <v>203898</v>
      </c>
      <c r="Y2" s="160">
        <v>0</v>
      </c>
      <c r="Z2" s="155">
        <v>9873</v>
      </c>
      <c r="AA2" s="160">
        <v>0</v>
      </c>
      <c r="AB2" s="155">
        <v>33.6</v>
      </c>
      <c r="AC2" s="160"/>
      <c r="AD2" s="155">
        <v>655</v>
      </c>
      <c r="AE2" s="160"/>
      <c r="AF2" s="155">
        <v>8847</v>
      </c>
      <c r="AG2" s="160"/>
    </row>
    <row r="3" spans="1:33" ht="16.5" thickBot="1" x14ac:dyDescent="0.25">
      <c r="A3" s="9">
        <v>44805</v>
      </c>
      <c r="B3" s="157">
        <v>24751.396000000001</v>
      </c>
      <c r="C3" s="43">
        <f t="shared" ref="C3" si="7">IF((B3-B2)&lt;0,"0",(B3-B2))</f>
        <v>12.468000000000757</v>
      </c>
      <c r="D3" s="28">
        <f t="shared" ref="D3" si="8">C3*1.9*1000</f>
        <v>23689.200000001434</v>
      </c>
      <c r="E3" s="1">
        <v>4497.8969999999999</v>
      </c>
      <c r="F3" s="43">
        <f t="shared" ref="F3" si="9">IF((E3-E2)&lt;0,"0",(E3-E2))</f>
        <v>2.8519999999998618</v>
      </c>
      <c r="G3" s="28">
        <f t="shared" ref="G3" si="10">F3*1.9*1000</f>
        <v>5418.7999999997373</v>
      </c>
      <c r="H3" s="1">
        <v>6000</v>
      </c>
      <c r="I3" s="43">
        <f t="shared" ref="I3" si="11">IF((H3-H2)&lt;0,"0",(H3-H2))</f>
        <v>9</v>
      </c>
      <c r="J3" s="28">
        <f t="shared" ref="J3" si="12">I3*1.9*1000</f>
        <v>17099.999999999996</v>
      </c>
      <c r="K3" s="7">
        <v>14200.51</v>
      </c>
      <c r="L3" s="43">
        <f t="shared" ref="L3" si="13">IF((K3-K2)&lt;0,"0",(K3-K2))</f>
        <v>2.0799999999999272</v>
      </c>
      <c r="M3" s="28">
        <f t="shared" ref="M3" si="14">L3*1.9*1000</f>
        <v>3951.9999999998613</v>
      </c>
      <c r="N3" s="7">
        <v>3724.3130000000001</v>
      </c>
      <c r="O3" s="43">
        <f t="shared" ref="O3" si="15">IF((N3-N2)&lt;0,"0",(N3-N2))</f>
        <v>2.1739999999999782</v>
      </c>
      <c r="P3" s="28">
        <f t="shared" ref="P3" si="16">O3*1.9*1000</f>
        <v>4130.5999999999585</v>
      </c>
      <c r="Q3" s="7">
        <v>5509.91</v>
      </c>
      <c r="R3" s="43">
        <f t="shared" ref="R3" si="17">IF((Q3-Q2)&lt;0,"0",(Q3-Q2))</f>
        <v>1.0299999999997453</v>
      </c>
      <c r="S3" s="28">
        <f t="shared" ref="S3" si="18">R3*1.9*1000</f>
        <v>1956.9999999995159</v>
      </c>
      <c r="T3" s="8">
        <f>C3+F3+I3+L3+O3+R3</f>
        <v>29.604000000000269</v>
      </c>
      <c r="U3" s="30">
        <f t="shared" ref="U3" si="19">T3*1.9*1000</f>
        <v>56247.600000000508</v>
      </c>
      <c r="W3" s="154">
        <v>44805</v>
      </c>
      <c r="X3" s="155">
        <v>204228</v>
      </c>
      <c r="Y3" s="160">
        <f t="shared" ref="Y3:AG31" si="20">IF((X3-X2)&lt;0,"0",(X3-X2))</f>
        <v>330</v>
      </c>
      <c r="Z3" s="155">
        <v>9880</v>
      </c>
      <c r="AA3" s="160">
        <f t="shared" si="20"/>
        <v>7</v>
      </c>
      <c r="AB3" s="155">
        <f>AB2</f>
        <v>33.6</v>
      </c>
      <c r="AC3" s="160">
        <f t="shared" si="20"/>
        <v>0</v>
      </c>
      <c r="AD3" s="155">
        <v>658</v>
      </c>
      <c r="AE3" s="160">
        <f t="shared" si="20"/>
        <v>3</v>
      </c>
      <c r="AF3" s="155">
        <v>8862</v>
      </c>
      <c r="AG3" s="160">
        <f t="shared" si="20"/>
        <v>15</v>
      </c>
    </row>
    <row r="4" spans="1:33" ht="16.5" thickBot="1" x14ac:dyDescent="0.25">
      <c r="A4" s="9">
        <v>44806</v>
      </c>
      <c r="B4" s="157">
        <v>24764.170999999998</v>
      </c>
      <c r="C4" s="43">
        <f t="shared" ref="C4:C32" si="21">IF((B4-B3)&lt;0,"0",(B4-B3))</f>
        <v>12.774999999997817</v>
      </c>
      <c r="D4" s="28">
        <f t="shared" ref="D4:D32" si="22">C4*1.9*1000</f>
        <v>24272.499999995853</v>
      </c>
      <c r="E4" s="1">
        <v>4500.0150000000003</v>
      </c>
      <c r="F4" s="43">
        <f t="shared" ref="F4:F32" si="23">IF((E4-E3)&lt;0,"0",(E4-E3))</f>
        <v>2.1180000000003929</v>
      </c>
      <c r="G4" s="28">
        <f t="shared" ref="G4:G32" si="24">F4*1.9*1000</f>
        <v>4024.2000000007465</v>
      </c>
      <c r="H4" s="1">
        <v>6007</v>
      </c>
      <c r="I4" s="43">
        <f t="shared" ref="I4:I32" si="25">IF((H4-H3)&lt;0,"0",(H4-H3))</f>
        <v>7</v>
      </c>
      <c r="J4" s="28">
        <f t="shared" ref="J4:J32" si="26">I4*1.9*1000</f>
        <v>13299.999999999998</v>
      </c>
      <c r="K4" s="7">
        <v>14203</v>
      </c>
      <c r="L4" s="43">
        <f t="shared" ref="L4:L32" si="27">IF((K4-K3)&lt;0,"0",(K4-K3))</f>
        <v>2.4899999999997817</v>
      </c>
      <c r="M4" s="28">
        <f t="shared" ref="M4:M32" si="28">L4*1.9*1000</f>
        <v>4730.9999999995853</v>
      </c>
      <c r="N4" s="7">
        <v>3726.6350000000002</v>
      </c>
      <c r="O4" s="43">
        <f t="shared" ref="O4:O32" si="29">IF((N4-N3)&lt;0,"0",(N4-N3))</f>
        <v>2.3220000000001164</v>
      </c>
      <c r="P4" s="28">
        <f t="shared" ref="P4:P32" si="30">O4*1.9*1000</f>
        <v>4411.8000000002203</v>
      </c>
      <c r="Q4" s="7">
        <v>5510.81</v>
      </c>
      <c r="R4" s="43">
        <f t="shared" ref="R4:R32" si="31">IF((Q4-Q3)&lt;0,"0",(Q4-Q3))</f>
        <v>0.9000000000005457</v>
      </c>
      <c r="S4" s="28">
        <f t="shared" ref="S4:S32" si="32">R4*1.9*1000</f>
        <v>1710.0000000010366</v>
      </c>
      <c r="T4" s="8">
        <f>C4+F4+I4+L4+O4+R4</f>
        <v>27.604999999998654</v>
      </c>
      <c r="U4" s="30">
        <f t="shared" ref="U4:U32" si="33">T4*1.9*1000</f>
        <v>52449.499999997439</v>
      </c>
      <c r="W4" s="154">
        <v>44806</v>
      </c>
      <c r="X4" s="155">
        <v>204529</v>
      </c>
      <c r="Y4" s="160">
        <f t="shared" si="20"/>
        <v>301</v>
      </c>
      <c r="Z4" s="155">
        <v>9892</v>
      </c>
      <c r="AA4" s="160">
        <f t="shared" si="20"/>
        <v>12</v>
      </c>
      <c r="AB4" s="155">
        <v>33.700000000000003</v>
      </c>
      <c r="AC4" s="160">
        <f t="shared" si="20"/>
        <v>0.10000000000000142</v>
      </c>
      <c r="AD4" s="155">
        <v>661</v>
      </c>
      <c r="AE4" s="160">
        <f t="shared" si="20"/>
        <v>3</v>
      </c>
      <c r="AF4" s="155">
        <v>8867</v>
      </c>
      <c r="AG4" s="160">
        <f t="shared" si="20"/>
        <v>5</v>
      </c>
    </row>
    <row r="5" spans="1:33" ht="16.5" thickBot="1" x14ac:dyDescent="0.25">
      <c r="A5" s="9">
        <v>44807</v>
      </c>
      <c r="B5" s="157">
        <v>24777.896000000001</v>
      </c>
      <c r="C5" s="43">
        <f t="shared" si="21"/>
        <v>13.725000000002183</v>
      </c>
      <c r="D5" s="28">
        <f t="shared" si="22"/>
        <v>26077.500000004147</v>
      </c>
      <c r="E5" s="1">
        <v>4501.951</v>
      </c>
      <c r="F5" s="43">
        <f t="shared" si="23"/>
        <v>1.9359999999996944</v>
      </c>
      <c r="G5" s="28">
        <f t="shared" si="24"/>
        <v>3678.3999999994189</v>
      </c>
      <c r="H5" s="1">
        <v>6016</v>
      </c>
      <c r="I5" s="43">
        <f t="shared" si="25"/>
        <v>9</v>
      </c>
      <c r="J5" s="28">
        <f t="shared" si="26"/>
        <v>17099.999999999996</v>
      </c>
      <c r="K5" s="7">
        <v>14205.96</v>
      </c>
      <c r="L5" s="43">
        <f t="shared" si="27"/>
        <v>2.9599999999991269</v>
      </c>
      <c r="M5" s="28">
        <f t="shared" si="28"/>
        <v>5623.9999999983402</v>
      </c>
      <c r="N5" s="7">
        <v>3729.0390000000002</v>
      </c>
      <c r="O5" s="43">
        <f t="shared" si="29"/>
        <v>2.4039999999999964</v>
      </c>
      <c r="P5" s="28">
        <f t="shared" si="30"/>
        <v>4567.5999999999922</v>
      </c>
      <c r="Q5" s="7">
        <v>5511.7</v>
      </c>
      <c r="R5" s="43">
        <f t="shared" si="31"/>
        <v>0.88999999999941792</v>
      </c>
      <c r="S5" s="28">
        <f t="shared" si="32"/>
        <v>1690.9999999988941</v>
      </c>
      <c r="T5" s="8">
        <f>C5+F5+I5+L5+O5+R5</f>
        <v>30.915000000000418</v>
      </c>
      <c r="U5" s="30">
        <f t="shared" si="33"/>
        <v>58738.500000000793</v>
      </c>
      <c r="W5" s="154">
        <v>44807</v>
      </c>
      <c r="X5" s="155">
        <v>204846</v>
      </c>
      <c r="Y5" s="160">
        <f t="shared" si="20"/>
        <v>317</v>
      </c>
      <c r="Z5" s="155">
        <v>9901</v>
      </c>
      <c r="AA5" s="160">
        <f t="shared" si="20"/>
        <v>9</v>
      </c>
      <c r="AB5" s="155">
        <f t="shared" ref="AB5:AB32" si="34">AB4</f>
        <v>33.700000000000003</v>
      </c>
      <c r="AC5" s="160">
        <f t="shared" si="20"/>
        <v>0</v>
      </c>
      <c r="AD5" s="155">
        <v>664</v>
      </c>
      <c r="AE5" s="160">
        <f t="shared" si="20"/>
        <v>3</v>
      </c>
      <c r="AF5" s="155">
        <v>8891</v>
      </c>
      <c r="AG5" s="160">
        <f t="shared" si="20"/>
        <v>24</v>
      </c>
    </row>
    <row r="6" spans="1:33" ht="16.5" thickBot="1" x14ac:dyDescent="0.25">
      <c r="A6" s="9">
        <v>44808</v>
      </c>
      <c r="B6" s="157">
        <f t="shared" ref="B5:B32" si="35">B5</f>
        <v>24777.896000000001</v>
      </c>
      <c r="C6" s="43">
        <f t="shared" si="21"/>
        <v>0</v>
      </c>
      <c r="D6" s="28">
        <f t="shared" si="22"/>
        <v>0</v>
      </c>
      <c r="E6" s="1">
        <f t="shared" ref="E5:E32" si="36">E5</f>
        <v>4501.951</v>
      </c>
      <c r="F6" s="43">
        <f t="shared" si="23"/>
        <v>0</v>
      </c>
      <c r="G6" s="28">
        <f t="shared" si="24"/>
        <v>0</v>
      </c>
      <c r="H6" s="1">
        <f t="shared" ref="H5:H32" si="37">H5</f>
        <v>6016</v>
      </c>
      <c r="I6" s="43">
        <f t="shared" si="25"/>
        <v>0</v>
      </c>
      <c r="J6" s="28">
        <f t="shared" si="26"/>
        <v>0</v>
      </c>
      <c r="K6" s="7">
        <f t="shared" ref="K5:K32" si="38">K5</f>
        <v>14205.96</v>
      </c>
      <c r="L6" s="43">
        <f t="shared" si="27"/>
        <v>0</v>
      </c>
      <c r="M6" s="28">
        <f t="shared" si="28"/>
        <v>0</v>
      </c>
      <c r="N6" s="7">
        <f t="shared" ref="N5:N32" si="39">N5</f>
        <v>3729.0390000000002</v>
      </c>
      <c r="O6" s="43">
        <f t="shared" si="29"/>
        <v>0</v>
      </c>
      <c r="P6" s="28">
        <f t="shared" si="30"/>
        <v>0</v>
      </c>
      <c r="Q6" s="7">
        <f t="shared" ref="Q5:Q32" si="40">Q5</f>
        <v>5511.7</v>
      </c>
      <c r="R6" s="43">
        <f t="shared" si="31"/>
        <v>0</v>
      </c>
      <c r="S6" s="28">
        <f t="shared" si="32"/>
        <v>0</v>
      </c>
      <c r="T6" s="8">
        <f t="shared" ref="T6:T32" si="41">C6+F6+I6+L6+O6+R6</f>
        <v>0</v>
      </c>
      <c r="U6" s="30">
        <f t="shared" si="33"/>
        <v>0</v>
      </c>
      <c r="W6" s="154">
        <v>44808</v>
      </c>
      <c r="X6" s="155">
        <f t="shared" ref="X5:X32" si="42">X5</f>
        <v>204846</v>
      </c>
      <c r="Y6" s="160">
        <f t="shared" si="20"/>
        <v>0</v>
      </c>
      <c r="Z6" s="155">
        <f t="shared" ref="Z5:Z32" si="43">Z5</f>
        <v>9901</v>
      </c>
      <c r="AA6" s="160">
        <f t="shared" si="20"/>
        <v>0</v>
      </c>
      <c r="AB6" s="155">
        <f t="shared" si="34"/>
        <v>33.700000000000003</v>
      </c>
      <c r="AC6" s="160">
        <f t="shared" si="20"/>
        <v>0</v>
      </c>
      <c r="AD6" s="155">
        <f t="shared" ref="AD5:AD32" si="44">AD5</f>
        <v>664</v>
      </c>
      <c r="AE6" s="160">
        <f t="shared" si="20"/>
        <v>0</v>
      </c>
      <c r="AF6" s="155">
        <f t="shared" ref="AF5:AF32" si="45">AF5</f>
        <v>8891</v>
      </c>
      <c r="AG6" s="160">
        <f t="shared" si="20"/>
        <v>0</v>
      </c>
    </row>
    <row r="7" spans="1:33" ht="16.5" thickBot="1" x14ac:dyDescent="0.25">
      <c r="A7" s="9">
        <v>44809</v>
      </c>
      <c r="B7" s="157">
        <f t="shared" si="35"/>
        <v>24777.896000000001</v>
      </c>
      <c r="C7" s="43">
        <f t="shared" si="21"/>
        <v>0</v>
      </c>
      <c r="D7" s="28">
        <f t="shared" si="22"/>
        <v>0</v>
      </c>
      <c r="E7" s="1">
        <f t="shared" si="36"/>
        <v>4501.951</v>
      </c>
      <c r="F7" s="43">
        <f t="shared" si="23"/>
        <v>0</v>
      </c>
      <c r="G7" s="28">
        <f t="shared" si="24"/>
        <v>0</v>
      </c>
      <c r="H7" s="1">
        <f t="shared" si="37"/>
        <v>6016</v>
      </c>
      <c r="I7" s="43">
        <f t="shared" si="25"/>
        <v>0</v>
      </c>
      <c r="J7" s="28">
        <f t="shared" si="26"/>
        <v>0</v>
      </c>
      <c r="K7" s="7">
        <f t="shared" si="38"/>
        <v>14205.96</v>
      </c>
      <c r="L7" s="43">
        <f t="shared" si="27"/>
        <v>0</v>
      </c>
      <c r="M7" s="28">
        <f t="shared" si="28"/>
        <v>0</v>
      </c>
      <c r="N7" s="7">
        <f t="shared" si="39"/>
        <v>3729.0390000000002</v>
      </c>
      <c r="O7" s="43">
        <f t="shared" si="29"/>
        <v>0</v>
      </c>
      <c r="P7" s="28">
        <f t="shared" si="30"/>
        <v>0</v>
      </c>
      <c r="Q7" s="7">
        <f t="shared" si="40"/>
        <v>5511.7</v>
      </c>
      <c r="R7" s="43">
        <f t="shared" si="31"/>
        <v>0</v>
      </c>
      <c r="S7" s="28">
        <f t="shared" si="32"/>
        <v>0</v>
      </c>
      <c r="T7" s="8">
        <f t="shared" si="41"/>
        <v>0</v>
      </c>
      <c r="U7" s="30">
        <f t="shared" si="33"/>
        <v>0</v>
      </c>
      <c r="W7" s="154">
        <v>44809</v>
      </c>
      <c r="X7" s="155">
        <f t="shared" si="42"/>
        <v>204846</v>
      </c>
      <c r="Y7" s="160">
        <f t="shared" si="20"/>
        <v>0</v>
      </c>
      <c r="Z7" s="155">
        <f t="shared" si="43"/>
        <v>9901</v>
      </c>
      <c r="AA7" s="160">
        <f t="shared" si="20"/>
        <v>0</v>
      </c>
      <c r="AB7" s="155">
        <f t="shared" si="34"/>
        <v>33.700000000000003</v>
      </c>
      <c r="AC7" s="160">
        <f t="shared" si="20"/>
        <v>0</v>
      </c>
      <c r="AD7" s="155">
        <f t="shared" si="44"/>
        <v>664</v>
      </c>
      <c r="AE7" s="160">
        <f t="shared" si="20"/>
        <v>0</v>
      </c>
      <c r="AF7" s="155">
        <f t="shared" si="45"/>
        <v>8891</v>
      </c>
      <c r="AG7" s="160">
        <f t="shared" si="20"/>
        <v>0</v>
      </c>
    </row>
    <row r="8" spans="1:33" ht="16.5" thickBot="1" x14ac:dyDescent="0.25">
      <c r="A8" s="9">
        <v>44810</v>
      </c>
      <c r="B8" s="157">
        <f t="shared" si="35"/>
        <v>24777.896000000001</v>
      </c>
      <c r="C8" s="43">
        <f t="shared" si="21"/>
        <v>0</v>
      </c>
      <c r="D8" s="28">
        <f t="shared" si="22"/>
        <v>0</v>
      </c>
      <c r="E8" s="1">
        <f t="shared" si="36"/>
        <v>4501.951</v>
      </c>
      <c r="F8" s="43">
        <f t="shared" si="23"/>
        <v>0</v>
      </c>
      <c r="G8" s="28">
        <f t="shared" si="24"/>
        <v>0</v>
      </c>
      <c r="H8" s="1">
        <f t="shared" si="37"/>
        <v>6016</v>
      </c>
      <c r="I8" s="43">
        <f t="shared" si="25"/>
        <v>0</v>
      </c>
      <c r="J8" s="28">
        <f t="shared" si="26"/>
        <v>0</v>
      </c>
      <c r="K8" s="7">
        <f t="shared" si="38"/>
        <v>14205.96</v>
      </c>
      <c r="L8" s="43">
        <f t="shared" si="27"/>
        <v>0</v>
      </c>
      <c r="M8" s="28">
        <f t="shared" si="28"/>
        <v>0</v>
      </c>
      <c r="N8" s="7">
        <f t="shared" si="39"/>
        <v>3729.0390000000002</v>
      </c>
      <c r="O8" s="43">
        <f t="shared" si="29"/>
        <v>0</v>
      </c>
      <c r="P8" s="28">
        <f t="shared" si="30"/>
        <v>0</v>
      </c>
      <c r="Q8" s="7">
        <f t="shared" si="40"/>
        <v>5511.7</v>
      </c>
      <c r="R8" s="43">
        <f t="shared" si="31"/>
        <v>0</v>
      </c>
      <c r="S8" s="28">
        <f t="shared" si="32"/>
        <v>0</v>
      </c>
      <c r="T8" s="8">
        <f t="shared" si="41"/>
        <v>0</v>
      </c>
      <c r="U8" s="30">
        <f t="shared" si="33"/>
        <v>0</v>
      </c>
      <c r="W8" s="154">
        <v>44810</v>
      </c>
      <c r="X8" s="155">
        <f t="shared" si="42"/>
        <v>204846</v>
      </c>
      <c r="Y8" s="160">
        <f t="shared" si="20"/>
        <v>0</v>
      </c>
      <c r="Z8" s="155">
        <f t="shared" si="43"/>
        <v>9901</v>
      </c>
      <c r="AA8" s="160">
        <f t="shared" si="20"/>
        <v>0</v>
      </c>
      <c r="AB8" s="155">
        <f t="shared" si="34"/>
        <v>33.700000000000003</v>
      </c>
      <c r="AC8" s="160">
        <f t="shared" si="20"/>
        <v>0</v>
      </c>
      <c r="AD8" s="155">
        <f t="shared" si="44"/>
        <v>664</v>
      </c>
      <c r="AE8" s="160">
        <f t="shared" si="20"/>
        <v>0</v>
      </c>
      <c r="AF8" s="155">
        <f t="shared" si="45"/>
        <v>8891</v>
      </c>
      <c r="AG8" s="160">
        <f t="shared" si="20"/>
        <v>0</v>
      </c>
    </row>
    <row r="9" spans="1:33" ht="16.5" thickBot="1" x14ac:dyDescent="0.25">
      <c r="A9" s="9">
        <v>44811</v>
      </c>
      <c r="B9" s="157">
        <f t="shared" si="35"/>
        <v>24777.896000000001</v>
      </c>
      <c r="C9" s="43">
        <f t="shared" si="21"/>
        <v>0</v>
      </c>
      <c r="D9" s="28">
        <f t="shared" si="22"/>
        <v>0</v>
      </c>
      <c r="E9" s="1">
        <f t="shared" si="36"/>
        <v>4501.951</v>
      </c>
      <c r="F9" s="43">
        <f t="shared" si="23"/>
        <v>0</v>
      </c>
      <c r="G9" s="28">
        <f t="shared" si="24"/>
        <v>0</v>
      </c>
      <c r="H9" s="1">
        <f t="shared" si="37"/>
        <v>6016</v>
      </c>
      <c r="I9" s="43">
        <f t="shared" si="25"/>
        <v>0</v>
      </c>
      <c r="J9" s="28">
        <f t="shared" si="26"/>
        <v>0</v>
      </c>
      <c r="K9" s="7">
        <f t="shared" si="38"/>
        <v>14205.96</v>
      </c>
      <c r="L9" s="43">
        <f t="shared" si="27"/>
        <v>0</v>
      </c>
      <c r="M9" s="28">
        <f t="shared" si="28"/>
        <v>0</v>
      </c>
      <c r="N9" s="7">
        <f t="shared" si="39"/>
        <v>3729.0390000000002</v>
      </c>
      <c r="O9" s="43">
        <f t="shared" si="29"/>
        <v>0</v>
      </c>
      <c r="P9" s="28">
        <f t="shared" si="30"/>
        <v>0</v>
      </c>
      <c r="Q9" s="7">
        <f t="shared" si="40"/>
        <v>5511.7</v>
      </c>
      <c r="R9" s="43">
        <f t="shared" si="31"/>
        <v>0</v>
      </c>
      <c r="S9" s="28">
        <f t="shared" si="32"/>
        <v>0</v>
      </c>
      <c r="T9" s="8">
        <f t="shared" si="41"/>
        <v>0</v>
      </c>
      <c r="U9" s="30">
        <f t="shared" si="33"/>
        <v>0</v>
      </c>
      <c r="W9" s="154">
        <v>44811</v>
      </c>
      <c r="X9" s="155">
        <f t="shared" si="42"/>
        <v>204846</v>
      </c>
      <c r="Y9" s="160">
        <f t="shared" si="20"/>
        <v>0</v>
      </c>
      <c r="Z9" s="155">
        <f t="shared" si="43"/>
        <v>9901</v>
      </c>
      <c r="AA9" s="160">
        <f t="shared" si="20"/>
        <v>0</v>
      </c>
      <c r="AB9" s="155">
        <f t="shared" si="34"/>
        <v>33.700000000000003</v>
      </c>
      <c r="AC9" s="160">
        <f t="shared" si="20"/>
        <v>0</v>
      </c>
      <c r="AD9" s="155">
        <f t="shared" si="44"/>
        <v>664</v>
      </c>
      <c r="AE9" s="160">
        <f t="shared" si="20"/>
        <v>0</v>
      </c>
      <c r="AF9" s="155">
        <f t="shared" si="45"/>
        <v>8891</v>
      </c>
      <c r="AG9" s="160">
        <f t="shared" si="20"/>
        <v>0</v>
      </c>
    </row>
    <row r="10" spans="1:33" ht="16.5" thickBot="1" x14ac:dyDescent="0.25">
      <c r="A10" s="9">
        <v>44812</v>
      </c>
      <c r="B10" s="157">
        <f t="shared" si="35"/>
        <v>24777.896000000001</v>
      </c>
      <c r="C10" s="43">
        <f t="shared" si="21"/>
        <v>0</v>
      </c>
      <c r="D10" s="28">
        <f t="shared" si="22"/>
        <v>0</v>
      </c>
      <c r="E10" s="1">
        <f t="shared" si="36"/>
        <v>4501.951</v>
      </c>
      <c r="F10" s="43">
        <f t="shared" si="23"/>
        <v>0</v>
      </c>
      <c r="G10" s="28">
        <f t="shared" si="24"/>
        <v>0</v>
      </c>
      <c r="H10" s="1">
        <f t="shared" si="37"/>
        <v>6016</v>
      </c>
      <c r="I10" s="43">
        <f t="shared" si="25"/>
        <v>0</v>
      </c>
      <c r="J10" s="28">
        <f t="shared" si="26"/>
        <v>0</v>
      </c>
      <c r="K10" s="7">
        <f t="shared" si="38"/>
        <v>14205.96</v>
      </c>
      <c r="L10" s="43">
        <f t="shared" si="27"/>
        <v>0</v>
      </c>
      <c r="M10" s="28">
        <f t="shared" si="28"/>
        <v>0</v>
      </c>
      <c r="N10" s="7">
        <f t="shared" si="39"/>
        <v>3729.0390000000002</v>
      </c>
      <c r="O10" s="43">
        <f>IF((N10-N9)&lt;0,"0",(N10-N9))</f>
        <v>0</v>
      </c>
      <c r="P10" s="28">
        <f t="shared" si="30"/>
        <v>0</v>
      </c>
      <c r="Q10" s="7">
        <f t="shared" si="40"/>
        <v>5511.7</v>
      </c>
      <c r="R10" s="43">
        <f t="shared" si="31"/>
        <v>0</v>
      </c>
      <c r="S10" s="28">
        <f t="shared" si="32"/>
        <v>0</v>
      </c>
      <c r="T10" s="8">
        <f t="shared" si="41"/>
        <v>0</v>
      </c>
      <c r="U10" s="30">
        <f t="shared" si="33"/>
        <v>0</v>
      </c>
      <c r="W10" s="154">
        <v>44812</v>
      </c>
      <c r="X10" s="155">
        <f t="shared" si="42"/>
        <v>204846</v>
      </c>
      <c r="Y10" s="160">
        <f t="shared" si="20"/>
        <v>0</v>
      </c>
      <c r="Z10" s="155">
        <f t="shared" si="43"/>
        <v>9901</v>
      </c>
      <c r="AA10" s="160">
        <f t="shared" si="20"/>
        <v>0</v>
      </c>
      <c r="AB10" s="155">
        <f t="shared" si="34"/>
        <v>33.700000000000003</v>
      </c>
      <c r="AC10" s="160">
        <f t="shared" si="20"/>
        <v>0</v>
      </c>
      <c r="AD10" s="155">
        <f t="shared" si="44"/>
        <v>664</v>
      </c>
      <c r="AE10" s="160">
        <f t="shared" si="20"/>
        <v>0</v>
      </c>
      <c r="AF10" s="155">
        <f t="shared" si="45"/>
        <v>8891</v>
      </c>
      <c r="AG10" s="160">
        <f t="shared" si="20"/>
        <v>0</v>
      </c>
    </row>
    <row r="11" spans="1:33" ht="16.5" thickBot="1" x14ac:dyDescent="0.25">
      <c r="A11" s="9">
        <v>44813</v>
      </c>
      <c r="B11" s="157">
        <f t="shared" si="35"/>
        <v>24777.896000000001</v>
      </c>
      <c r="C11" s="43">
        <f t="shared" si="21"/>
        <v>0</v>
      </c>
      <c r="D11" s="28">
        <f t="shared" si="22"/>
        <v>0</v>
      </c>
      <c r="E11" s="1">
        <f t="shared" si="36"/>
        <v>4501.951</v>
      </c>
      <c r="F11" s="43">
        <f t="shared" si="23"/>
        <v>0</v>
      </c>
      <c r="G11" s="28">
        <f t="shared" si="24"/>
        <v>0</v>
      </c>
      <c r="H11" s="1">
        <f t="shared" si="37"/>
        <v>6016</v>
      </c>
      <c r="I11" s="43">
        <f t="shared" si="25"/>
        <v>0</v>
      </c>
      <c r="J11" s="28">
        <f t="shared" si="26"/>
        <v>0</v>
      </c>
      <c r="K11" s="7">
        <f t="shared" si="38"/>
        <v>14205.96</v>
      </c>
      <c r="L11" s="43">
        <f t="shared" si="27"/>
        <v>0</v>
      </c>
      <c r="M11" s="28">
        <f t="shared" si="28"/>
        <v>0</v>
      </c>
      <c r="N11" s="7">
        <f t="shared" si="39"/>
        <v>3729.0390000000002</v>
      </c>
      <c r="O11" s="43">
        <f t="shared" si="29"/>
        <v>0</v>
      </c>
      <c r="P11" s="28">
        <f t="shared" si="30"/>
        <v>0</v>
      </c>
      <c r="Q11" s="7">
        <f t="shared" si="40"/>
        <v>5511.7</v>
      </c>
      <c r="R11" s="43">
        <f t="shared" si="31"/>
        <v>0</v>
      </c>
      <c r="S11" s="28">
        <f t="shared" si="32"/>
        <v>0</v>
      </c>
      <c r="T11" s="8">
        <f t="shared" si="41"/>
        <v>0</v>
      </c>
      <c r="U11" s="30">
        <f t="shared" si="33"/>
        <v>0</v>
      </c>
      <c r="W11" s="154">
        <v>44813</v>
      </c>
      <c r="X11" s="155">
        <f t="shared" si="42"/>
        <v>204846</v>
      </c>
      <c r="Y11" s="160">
        <f t="shared" si="20"/>
        <v>0</v>
      </c>
      <c r="Z11" s="155">
        <f t="shared" si="43"/>
        <v>9901</v>
      </c>
      <c r="AA11" s="160">
        <f t="shared" si="20"/>
        <v>0</v>
      </c>
      <c r="AB11" s="155">
        <f t="shared" si="34"/>
        <v>33.700000000000003</v>
      </c>
      <c r="AC11" s="160">
        <f t="shared" si="20"/>
        <v>0</v>
      </c>
      <c r="AD11" s="155">
        <f t="shared" si="44"/>
        <v>664</v>
      </c>
      <c r="AE11" s="160">
        <f t="shared" si="20"/>
        <v>0</v>
      </c>
      <c r="AF11" s="155">
        <f t="shared" si="45"/>
        <v>8891</v>
      </c>
      <c r="AG11" s="160">
        <f t="shared" si="20"/>
        <v>0</v>
      </c>
    </row>
    <row r="12" spans="1:33" ht="16.5" thickBot="1" x14ac:dyDescent="0.25">
      <c r="A12" s="9">
        <v>44814</v>
      </c>
      <c r="B12" s="157">
        <f t="shared" si="35"/>
        <v>24777.896000000001</v>
      </c>
      <c r="C12" s="43">
        <f t="shared" si="21"/>
        <v>0</v>
      </c>
      <c r="D12" s="28">
        <f t="shared" si="22"/>
        <v>0</v>
      </c>
      <c r="E12" s="1">
        <f t="shared" si="36"/>
        <v>4501.951</v>
      </c>
      <c r="F12" s="43">
        <f t="shared" si="23"/>
        <v>0</v>
      </c>
      <c r="G12" s="28">
        <f t="shared" si="24"/>
        <v>0</v>
      </c>
      <c r="H12" s="1">
        <f t="shared" si="37"/>
        <v>6016</v>
      </c>
      <c r="I12" s="43">
        <f t="shared" si="25"/>
        <v>0</v>
      </c>
      <c r="J12" s="28">
        <f t="shared" si="26"/>
        <v>0</v>
      </c>
      <c r="K12" s="7">
        <f t="shared" si="38"/>
        <v>14205.96</v>
      </c>
      <c r="L12" s="43">
        <f t="shared" si="27"/>
        <v>0</v>
      </c>
      <c r="M12" s="28">
        <f t="shared" si="28"/>
        <v>0</v>
      </c>
      <c r="N12" s="7">
        <f t="shared" si="39"/>
        <v>3729.0390000000002</v>
      </c>
      <c r="O12" s="43">
        <f t="shared" si="29"/>
        <v>0</v>
      </c>
      <c r="P12" s="28">
        <f t="shared" si="30"/>
        <v>0</v>
      </c>
      <c r="Q12" s="7">
        <f t="shared" si="40"/>
        <v>5511.7</v>
      </c>
      <c r="R12" s="43">
        <f t="shared" si="31"/>
        <v>0</v>
      </c>
      <c r="S12" s="28">
        <f t="shared" si="32"/>
        <v>0</v>
      </c>
      <c r="T12" s="8">
        <f t="shared" si="41"/>
        <v>0</v>
      </c>
      <c r="U12" s="30">
        <f t="shared" si="33"/>
        <v>0</v>
      </c>
      <c r="W12" s="154">
        <v>44814</v>
      </c>
      <c r="X12" s="155">
        <f t="shared" si="42"/>
        <v>204846</v>
      </c>
      <c r="Y12" s="160">
        <f t="shared" si="20"/>
        <v>0</v>
      </c>
      <c r="Z12" s="155">
        <f t="shared" si="43"/>
        <v>9901</v>
      </c>
      <c r="AA12" s="160">
        <f t="shared" si="20"/>
        <v>0</v>
      </c>
      <c r="AB12" s="155">
        <f t="shared" si="34"/>
        <v>33.700000000000003</v>
      </c>
      <c r="AC12" s="160">
        <f t="shared" si="20"/>
        <v>0</v>
      </c>
      <c r="AD12" s="155">
        <f t="shared" si="44"/>
        <v>664</v>
      </c>
      <c r="AE12" s="160">
        <f t="shared" si="20"/>
        <v>0</v>
      </c>
      <c r="AF12" s="155">
        <f t="shared" si="45"/>
        <v>8891</v>
      </c>
      <c r="AG12" s="160">
        <f t="shared" si="20"/>
        <v>0</v>
      </c>
    </row>
    <row r="13" spans="1:33" ht="16.5" thickBot="1" x14ac:dyDescent="0.25">
      <c r="A13" s="9">
        <v>44815</v>
      </c>
      <c r="B13" s="157">
        <f t="shared" si="35"/>
        <v>24777.896000000001</v>
      </c>
      <c r="C13" s="43">
        <f t="shared" si="21"/>
        <v>0</v>
      </c>
      <c r="D13" s="28">
        <f t="shared" si="22"/>
        <v>0</v>
      </c>
      <c r="E13" s="1">
        <f t="shared" si="36"/>
        <v>4501.951</v>
      </c>
      <c r="F13" s="43">
        <f t="shared" si="23"/>
        <v>0</v>
      </c>
      <c r="G13" s="28">
        <f t="shared" si="24"/>
        <v>0</v>
      </c>
      <c r="H13" s="1">
        <f t="shared" si="37"/>
        <v>6016</v>
      </c>
      <c r="I13" s="43">
        <f t="shared" si="25"/>
        <v>0</v>
      </c>
      <c r="J13" s="28">
        <f t="shared" si="26"/>
        <v>0</v>
      </c>
      <c r="K13" s="7">
        <f t="shared" si="38"/>
        <v>14205.96</v>
      </c>
      <c r="L13" s="43">
        <f t="shared" si="27"/>
        <v>0</v>
      </c>
      <c r="M13" s="28">
        <f t="shared" si="28"/>
        <v>0</v>
      </c>
      <c r="N13" s="7">
        <f t="shared" si="39"/>
        <v>3729.0390000000002</v>
      </c>
      <c r="O13" s="43">
        <f t="shared" si="29"/>
        <v>0</v>
      </c>
      <c r="P13" s="28">
        <f t="shared" si="30"/>
        <v>0</v>
      </c>
      <c r="Q13" s="7">
        <f t="shared" si="40"/>
        <v>5511.7</v>
      </c>
      <c r="R13" s="43">
        <f t="shared" si="31"/>
        <v>0</v>
      </c>
      <c r="S13" s="28">
        <f t="shared" si="32"/>
        <v>0</v>
      </c>
      <c r="T13" s="8">
        <f t="shared" si="41"/>
        <v>0</v>
      </c>
      <c r="U13" s="30">
        <f t="shared" si="33"/>
        <v>0</v>
      </c>
      <c r="W13" s="154">
        <v>44815</v>
      </c>
      <c r="X13" s="155">
        <f t="shared" si="42"/>
        <v>204846</v>
      </c>
      <c r="Y13" s="160">
        <f t="shared" si="20"/>
        <v>0</v>
      </c>
      <c r="Z13" s="155">
        <f t="shared" si="43"/>
        <v>9901</v>
      </c>
      <c r="AA13" s="160">
        <f t="shared" si="20"/>
        <v>0</v>
      </c>
      <c r="AB13" s="155">
        <f t="shared" si="34"/>
        <v>33.700000000000003</v>
      </c>
      <c r="AC13" s="160">
        <f t="shared" si="20"/>
        <v>0</v>
      </c>
      <c r="AD13" s="155">
        <f t="shared" si="44"/>
        <v>664</v>
      </c>
      <c r="AE13" s="160">
        <f t="shared" si="20"/>
        <v>0</v>
      </c>
      <c r="AF13" s="155">
        <f t="shared" si="45"/>
        <v>8891</v>
      </c>
      <c r="AG13" s="160">
        <f t="shared" si="20"/>
        <v>0</v>
      </c>
    </row>
    <row r="14" spans="1:33" ht="16.5" thickBot="1" x14ac:dyDescent="0.25">
      <c r="A14" s="9">
        <v>44816</v>
      </c>
      <c r="B14" s="157">
        <f t="shared" si="35"/>
        <v>24777.896000000001</v>
      </c>
      <c r="C14" s="43">
        <f t="shared" si="21"/>
        <v>0</v>
      </c>
      <c r="D14" s="28">
        <f t="shared" si="22"/>
        <v>0</v>
      </c>
      <c r="E14" s="1">
        <f t="shared" si="36"/>
        <v>4501.951</v>
      </c>
      <c r="F14" s="43">
        <f t="shared" si="23"/>
        <v>0</v>
      </c>
      <c r="G14" s="28">
        <f t="shared" si="24"/>
        <v>0</v>
      </c>
      <c r="H14" s="1">
        <f t="shared" si="37"/>
        <v>6016</v>
      </c>
      <c r="I14" s="43">
        <f t="shared" si="25"/>
        <v>0</v>
      </c>
      <c r="J14" s="28">
        <f t="shared" si="26"/>
        <v>0</v>
      </c>
      <c r="K14" s="7">
        <f t="shared" si="38"/>
        <v>14205.96</v>
      </c>
      <c r="L14" s="43">
        <f t="shared" si="27"/>
        <v>0</v>
      </c>
      <c r="M14" s="28">
        <f t="shared" si="28"/>
        <v>0</v>
      </c>
      <c r="N14" s="7">
        <f t="shared" si="39"/>
        <v>3729.0390000000002</v>
      </c>
      <c r="O14" s="43">
        <f>IF((N14-N13)&lt;0,"0",(N14-N13))</f>
        <v>0</v>
      </c>
      <c r="P14" s="28">
        <f t="shared" si="30"/>
        <v>0</v>
      </c>
      <c r="Q14" s="7">
        <f t="shared" si="40"/>
        <v>5511.7</v>
      </c>
      <c r="R14" s="43">
        <f t="shared" si="31"/>
        <v>0</v>
      </c>
      <c r="S14" s="28">
        <f t="shared" si="32"/>
        <v>0</v>
      </c>
      <c r="T14" s="8">
        <f t="shared" si="41"/>
        <v>0</v>
      </c>
      <c r="U14" s="30">
        <f t="shared" si="33"/>
        <v>0</v>
      </c>
      <c r="W14" s="154">
        <v>44816</v>
      </c>
      <c r="X14" s="155">
        <f t="shared" si="42"/>
        <v>204846</v>
      </c>
      <c r="Y14" s="160">
        <f t="shared" si="20"/>
        <v>0</v>
      </c>
      <c r="Z14" s="155">
        <f t="shared" si="43"/>
        <v>9901</v>
      </c>
      <c r="AA14" s="160">
        <f t="shared" si="20"/>
        <v>0</v>
      </c>
      <c r="AB14" s="155">
        <f t="shared" si="34"/>
        <v>33.700000000000003</v>
      </c>
      <c r="AC14" s="160">
        <f t="shared" si="20"/>
        <v>0</v>
      </c>
      <c r="AD14" s="155">
        <f t="shared" si="44"/>
        <v>664</v>
      </c>
      <c r="AE14" s="160">
        <f t="shared" si="20"/>
        <v>0</v>
      </c>
      <c r="AF14" s="155">
        <f t="shared" si="45"/>
        <v>8891</v>
      </c>
      <c r="AG14" s="160">
        <f t="shared" si="20"/>
        <v>0</v>
      </c>
    </row>
    <row r="15" spans="1:33" ht="16.5" thickBot="1" x14ac:dyDescent="0.25">
      <c r="A15" s="9">
        <v>44817</v>
      </c>
      <c r="B15" s="157">
        <f t="shared" si="35"/>
        <v>24777.896000000001</v>
      </c>
      <c r="C15" s="43">
        <f t="shared" ref="C15" si="46">IF((B15-B14)&lt;0,"0",(B15-B14))</f>
        <v>0</v>
      </c>
      <c r="D15" s="28">
        <f t="shared" ref="D15" si="47">C15*1.9*1000</f>
        <v>0</v>
      </c>
      <c r="E15" s="1">
        <f t="shared" si="36"/>
        <v>4501.951</v>
      </c>
      <c r="F15" s="43">
        <f t="shared" ref="F15" si="48">IF((E15-E14)&lt;0,"0",(E15-E14))</f>
        <v>0</v>
      </c>
      <c r="G15" s="28">
        <f t="shared" ref="G15" si="49">F15*1.9*1000</f>
        <v>0</v>
      </c>
      <c r="H15" s="1">
        <f t="shared" si="37"/>
        <v>6016</v>
      </c>
      <c r="I15" s="43">
        <f t="shared" ref="I15" si="50">IF((H15-H14)&lt;0,"0",(H15-H14))</f>
        <v>0</v>
      </c>
      <c r="J15" s="28">
        <f t="shared" ref="J15" si="51">I15*1.9*1000</f>
        <v>0</v>
      </c>
      <c r="K15" s="7">
        <f t="shared" si="38"/>
        <v>14205.96</v>
      </c>
      <c r="L15" s="43">
        <f t="shared" ref="L15" si="52">IF((K15-K14)&lt;0,"0",(K15-K14))</f>
        <v>0</v>
      </c>
      <c r="M15" s="28">
        <f t="shared" ref="M15" si="53">L15*1.9*1000</f>
        <v>0</v>
      </c>
      <c r="N15" s="7">
        <f t="shared" si="39"/>
        <v>3729.0390000000002</v>
      </c>
      <c r="O15" s="43">
        <f>IF((N15-N14)&lt;0,"0",(N15-N14))</f>
        <v>0</v>
      </c>
      <c r="P15" s="28">
        <f t="shared" ref="P15" si="54">O15*1.9*1000</f>
        <v>0</v>
      </c>
      <c r="Q15" s="7">
        <f t="shared" si="40"/>
        <v>5511.7</v>
      </c>
      <c r="R15" s="43">
        <f t="shared" ref="R15" si="55">IF((Q15-Q14)&lt;0,"0",(Q15-Q14))</f>
        <v>0</v>
      </c>
      <c r="S15" s="28">
        <f t="shared" ref="S15" si="56">R15*1.9*1000</f>
        <v>0</v>
      </c>
      <c r="T15" s="8">
        <f t="shared" ref="T15" si="57">C15+F15+I15+L15+O15+R15</f>
        <v>0</v>
      </c>
      <c r="U15" s="30">
        <f t="shared" ref="U15" si="58">T15*1.9*1000</f>
        <v>0</v>
      </c>
      <c r="W15" s="154">
        <v>44817</v>
      </c>
      <c r="X15" s="155">
        <f t="shared" si="42"/>
        <v>204846</v>
      </c>
      <c r="Y15" s="160">
        <f t="shared" si="20"/>
        <v>0</v>
      </c>
      <c r="Z15" s="155">
        <f t="shared" si="43"/>
        <v>9901</v>
      </c>
      <c r="AA15" s="160">
        <f t="shared" si="20"/>
        <v>0</v>
      </c>
      <c r="AB15" s="155">
        <f t="shared" si="34"/>
        <v>33.700000000000003</v>
      </c>
      <c r="AC15" s="160">
        <f t="shared" si="20"/>
        <v>0</v>
      </c>
      <c r="AD15" s="155">
        <f t="shared" si="44"/>
        <v>664</v>
      </c>
      <c r="AE15" s="160">
        <f t="shared" si="20"/>
        <v>0</v>
      </c>
      <c r="AF15" s="155">
        <f t="shared" si="45"/>
        <v>8891</v>
      </c>
      <c r="AG15" s="160">
        <f t="shared" si="20"/>
        <v>0</v>
      </c>
    </row>
    <row r="16" spans="1:33" ht="16.5" thickBot="1" x14ac:dyDescent="0.25">
      <c r="A16" s="9">
        <v>44818</v>
      </c>
      <c r="B16" s="157">
        <f t="shared" si="35"/>
        <v>24777.896000000001</v>
      </c>
      <c r="C16" s="43">
        <f t="shared" si="21"/>
        <v>0</v>
      </c>
      <c r="D16" s="28">
        <f t="shared" si="22"/>
        <v>0</v>
      </c>
      <c r="E16" s="1">
        <f t="shared" si="36"/>
        <v>4501.951</v>
      </c>
      <c r="F16" s="43">
        <f t="shared" si="23"/>
        <v>0</v>
      </c>
      <c r="G16" s="28">
        <f t="shared" si="24"/>
        <v>0</v>
      </c>
      <c r="H16" s="1">
        <f t="shared" si="37"/>
        <v>6016</v>
      </c>
      <c r="I16" s="43">
        <f t="shared" si="25"/>
        <v>0</v>
      </c>
      <c r="J16" s="28">
        <f t="shared" si="26"/>
        <v>0</v>
      </c>
      <c r="K16" s="7">
        <f t="shared" si="38"/>
        <v>14205.96</v>
      </c>
      <c r="L16" s="43">
        <f t="shared" si="27"/>
        <v>0</v>
      </c>
      <c r="M16" s="28">
        <f t="shared" si="28"/>
        <v>0</v>
      </c>
      <c r="N16" s="7">
        <f t="shared" si="39"/>
        <v>3729.0390000000002</v>
      </c>
      <c r="O16" s="43">
        <f t="shared" si="29"/>
        <v>0</v>
      </c>
      <c r="P16" s="28">
        <f t="shared" si="30"/>
        <v>0</v>
      </c>
      <c r="Q16" s="7">
        <f t="shared" si="40"/>
        <v>5511.7</v>
      </c>
      <c r="R16" s="43">
        <f t="shared" si="31"/>
        <v>0</v>
      </c>
      <c r="S16" s="28">
        <f t="shared" si="32"/>
        <v>0</v>
      </c>
      <c r="T16" s="8">
        <f t="shared" si="41"/>
        <v>0</v>
      </c>
      <c r="U16" s="30">
        <f t="shared" si="33"/>
        <v>0</v>
      </c>
      <c r="W16" s="154">
        <v>44818</v>
      </c>
      <c r="X16" s="155">
        <f t="shared" si="42"/>
        <v>204846</v>
      </c>
      <c r="Y16" s="160">
        <f t="shared" si="20"/>
        <v>0</v>
      </c>
      <c r="Z16" s="155">
        <f t="shared" si="43"/>
        <v>9901</v>
      </c>
      <c r="AA16" s="160">
        <f t="shared" si="20"/>
        <v>0</v>
      </c>
      <c r="AB16" s="155">
        <f t="shared" si="34"/>
        <v>33.700000000000003</v>
      </c>
      <c r="AC16" s="160">
        <f t="shared" si="20"/>
        <v>0</v>
      </c>
      <c r="AD16" s="155">
        <f t="shared" si="44"/>
        <v>664</v>
      </c>
      <c r="AE16" s="160">
        <f t="shared" si="20"/>
        <v>0</v>
      </c>
      <c r="AF16" s="155">
        <f t="shared" si="45"/>
        <v>8891</v>
      </c>
      <c r="AG16" s="160">
        <f t="shared" si="20"/>
        <v>0</v>
      </c>
    </row>
    <row r="17" spans="1:33" ht="16.5" thickBot="1" x14ac:dyDescent="0.25">
      <c r="A17" s="9">
        <v>44819</v>
      </c>
      <c r="B17" s="157">
        <f t="shared" si="35"/>
        <v>24777.896000000001</v>
      </c>
      <c r="C17" s="43">
        <f t="shared" si="21"/>
        <v>0</v>
      </c>
      <c r="D17" s="28">
        <f t="shared" si="22"/>
        <v>0</v>
      </c>
      <c r="E17" s="1">
        <f t="shared" si="36"/>
        <v>4501.951</v>
      </c>
      <c r="F17" s="43">
        <f t="shared" si="23"/>
        <v>0</v>
      </c>
      <c r="G17" s="28">
        <f t="shared" si="24"/>
        <v>0</v>
      </c>
      <c r="H17" s="1">
        <f t="shared" si="37"/>
        <v>6016</v>
      </c>
      <c r="I17" s="43">
        <f t="shared" si="25"/>
        <v>0</v>
      </c>
      <c r="J17" s="28">
        <f t="shared" si="26"/>
        <v>0</v>
      </c>
      <c r="K17" s="7">
        <f t="shared" si="38"/>
        <v>14205.96</v>
      </c>
      <c r="L17" s="43">
        <f t="shared" si="27"/>
        <v>0</v>
      </c>
      <c r="M17" s="28">
        <f t="shared" si="28"/>
        <v>0</v>
      </c>
      <c r="N17" s="7">
        <f t="shared" si="39"/>
        <v>3729.0390000000002</v>
      </c>
      <c r="O17" s="43">
        <f t="shared" si="29"/>
        <v>0</v>
      </c>
      <c r="P17" s="28">
        <f t="shared" si="30"/>
        <v>0</v>
      </c>
      <c r="Q17" s="7">
        <f t="shared" si="40"/>
        <v>5511.7</v>
      </c>
      <c r="R17" s="43">
        <f t="shared" si="31"/>
        <v>0</v>
      </c>
      <c r="S17" s="28">
        <f t="shared" si="32"/>
        <v>0</v>
      </c>
      <c r="T17" s="8">
        <f t="shared" si="41"/>
        <v>0</v>
      </c>
      <c r="U17" s="30">
        <f t="shared" si="33"/>
        <v>0</v>
      </c>
      <c r="W17" s="154">
        <v>44819</v>
      </c>
      <c r="X17" s="155">
        <f t="shared" si="42"/>
        <v>204846</v>
      </c>
      <c r="Y17" s="160">
        <f t="shared" si="20"/>
        <v>0</v>
      </c>
      <c r="Z17" s="155">
        <f t="shared" si="43"/>
        <v>9901</v>
      </c>
      <c r="AA17" s="160">
        <f t="shared" si="20"/>
        <v>0</v>
      </c>
      <c r="AB17" s="155">
        <f t="shared" si="34"/>
        <v>33.700000000000003</v>
      </c>
      <c r="AC17" s="160">
        <f t="shared" si="20"/>
        <v>0</v>
      </c>
      <c r="AD17" s="155">
        <f t="shared" si="44"/>
        <v>664</v>
      </c>
      <c r="AE17" s="160">
        <f t="shared" si="20"/>
        <v>0</v>
      </c>
      <c r="AF17" s="155">
        <f t="shared" si="45"/>
        <v>8891</v>
      </c>
      <c r="AG17" s="160">
        <f t="shared" si="20"/>
        <v>0</v>
      </c>
    </row>
    <row r="18" spans="1:33" ht="16.5" thickBot="1" x14ac:dyDescent="0.25">
      <c r="A18" s="9">
        <v>44820</v>
      </c>
      <c r="B18" s="157">
        <f t="shared" si="35"/>
        <v>24777.896000000001</v>
      </c>
      <c r="C18" s="43">
        <f t="shared" si="21"/>
        <v>0</v>
      </c>
      <c r="D18" s="28">
        <f t="shared" si="22"/>
        <v>0</v>
      </c>
      <c r="E18" s="1">
        <f t="shared" si="36"/>
        <v>4501.951</v>
      </c>
      <c r="F18" s="43">
        <f t="shared" si="23"/>
        <v>0</v>
      </c>
      <c r="G18" s="28">
        <f t="shared" si="24"/>
        <v>0</v>
      </c>
      <c r="H18" s="1">
        <f t="shared" si="37"/>
        <v>6016</v>
      </c>
      <c r="I18" s="43">
        <f t="shared" si="25"/>
        <v>0</v>
      </c>
      <c r="J18" s="28">
        <f t="shared" si="26"/>
        <v>0</v>
      </c>
      <c r="K18" s="7">
        <f t="shared" si="38"/>
        <v>14205.96</v>
      </c>
      <c r="L18" s="43">
        <f t="shared" si="27"/>
        <v>0</v>
      </c>
      <c r="M18" s="28">
        <f t="shared" si="28"/>
        <v>0</v>
      </c>
      <c r="N18" s="7">
        <f t="shared" si="39"/>
        <v>3729.0390000000002</v>
      </c>
      <c r="O18" s="43">
        <f t="shared" si="29"/>
        <v>0</v>
      </c>
      <c r="P18" s="28">
        <f t="shared" si="30"/>
        <v>0</v>
      </c>
      <c r="Q18" s="7">
        <f t="shared" si="40"/>
        <v>5511.7</v>
      </c>
      <c r="R18" s="43">
        <f t="shared" si="31"/>
        <v>0</v>
      </c>
      <c r="S18" s="28">
        <f t="shared" si="32"/>
        <v>0</v>
      </c>
      <c r="T18" s="8">
        <f t="shared" si="41"/>
        <v>0</v>
      </c>
      <c r="U18" s="30">
        <f t="shared" si="33"/>
        <v>0</v>
      </c>
      <c r="W18" s="154">
        <v>44820</v>
      </c>
      <c r="X18" s="155">
        <f t="shared" si="42"/>
        <v>204846</v>
      </c>
      <c r="Y18" s="160">
        <f t="shared" si="20"/>
        <v>0</v>
      </c>
      <c r="Z18" s="155">
        <f t="shared" si="43"/>
        <v>9901</v>
      </c>
      <c r="AA18" s="160">
        <f t="shared" si="20"/>
        <v>0</v>
      </c>
      <c r="AB18" s="155">
        <f t="shared" si="34"/>
        <v>33.700000000000003</v>
      </c>
      <c r="AC18" s="160">
        <f t="shared" si="20"/>
        <v>0</v>
      </c>
      <c r="AD18" s="155">
        <f t="shared" si="44"/>
        <v>664</v>
      </c>
      <c r="AE18" s="160">
        <f t="shared" si="20"/>
        <v>0</v>
      </c>
      <c r="AF18" s="155">
        <f t="shared" si="45"/>
        <v>8891</v>
      </c>
      <c r="AG18" s="160">
        <f t="shared" si="20"/>
        <v>0</v>
      </c>
    </row>
    <row r="19" spans="1:33" ht="16.5" thickBot="1" x14ac:dyDescent="0.25">
      <c r="A19" s="9">
        <v>44821</v>
      </c>
      <c r="B19" s="157">
        <f t="shared" si="35"/>
        <v>24777.896000000001</v>
      </c>
      <c r="C19" s="43">
        <f t="shared" si="21"/>
        <v>0</v>
      </c>
      <c r="D19" s="28">
        <f t="shared" si="22"/>
        <v>0</v>
      </c>
      <c r="E19" s="1">
        <f t="shared" si="36"/>
        <v>4501.951</v>
      </c>
      <c r="F19" s="43">
        <f t="shared" si="23"/>
        <v>0</v>
      </c>
      <c r="G19" s="28">
        <f t="shared" si="24"/>
        <v>0</v>
      </c>
      <c r="H19" s="1">
        <f t="shared" si="37"/>
        <v>6016</v>
      </c>
      <c r="I19" s="43">
        <f t="shared" si="25"/>
        <v>0</v>
      </c>
      <c r="J19" s="28">
        <f t="shared" si="26"/>
        <v>0</v>
      </c>
      <c r="K19" s="7">
        <f t="shared" si="38"/>
        <v>14205.96</v>
      </c>
      <c r="L19" s="43">
        <f t="shared" si="27"/>
        <v>0</v>
      </c>
      <c r="M19" s="28">
        <f t="shared" si="28"/>
        <v>0</v>
      </c>
      <c r="N19" s="7">
        <f t="shared" si="39"/>
        <v>3729.0390000000002</v>
      </c>
      <c r="O19" s="43">
        <f t="shared" si="29"/>
        <v>0</v>
      </c>
      <c r="P19" s="28">
        <f t="shared" si="30"/>
        <v>0</v>
      </c>
      <c r="Q19" s="7">
        <f t="shared" si="40"/>
        <v>5511.7</v>
      </c>
      <c r="R19" s="43">
        <f t="shared" si="31"/>
        <v>0</v>
      </c>
      <c r="S19" s="28">
        <f t="shared" si="32"/>
        <v>0</v>
      </c>
      <c r="T19" s="8">
        <f t="shared" si="41"/>
        <v>0</v>
      </c>
      <c r="U19" s="30">
        <f t="shared" si="33"/>
        <v>0</v>
      </c>
      <c r="W19" s="154">
        <v>44821</v>
      </c>
      <c r="X19" s="155">
        <f t="shared" si="42"/>
        <v>204846</v>
      </c>
      <c r="Y19" s="160">
        <f t="shared" si="20"/>
        <v>0</v>
      </c>
      <c r="Z19" s="155">
        <f t="shared" si="43"/>
        <v>9901</v>
      </c>
      <c r="AA19" s="160">
        <f t="shared" si="20"/>
        <v>0</v>
      </c>
      <c r="AB19" s="155">
        <f t="shared" si="34"/>
        <v>33.700000000000003</v>
      </c>
      <c r="AC19" s="160">
        <f t="shared" si="20"/>
        <v>0</v>
      </c>
      <c r="AD19" s="155">
        <f t="shared" si="44"/>
        <v>664</v>
      </c>
      <c r="AE19" s="160">
        <f t="shared" si="20"/>
        <v>0</v>
      </c>
      <c r="AF19" s="155">
        <f t="shared" si="45"/>
        <v>8891</v>
      </c>
      <c r="AG19" s="160">
        <f t="shared" si="20"/>
        <v>0</v>
      </c>
    </row>
    <row r="20" spans="1:33" ht="16.5" thickBot="1" x14ac:dyDescent="0.25">
      <c r="A20" s="9">
        <v>44822</v>
      </c>
      <c r="B20" s="157">
        <f t="shared" si="35"/>
        <v>24777.896000000001</v>
      </c>
      <c r="C20" s="43">
        <f t="shared" si="21"/>
        <v>0</v>
      </c>
      <c r="D20" s="28">
        <f t="shared" si="22"/>
        <v>0</v>
      </c>
      <c r="E20" s="1">
        <f t="shared" si="36"/>
        <v>4501.951</v>
      </c>
      <c r="F20" s="43">
        <f t="shared" si="23"/>
        <v>0</v>
      </c>
      <c r="G20" s="28">
        <f t="shared" si="24"/>
        <v>0</v>
      </c>
      <c r="H20" s="1">
        <f t="shared" si="37"/>
        <v>6016</v>
      </c>
      <c r="I20" s="43">
        <f t="shared" si="25"/>
        <v>0</v>
      </c>
      <c r="J20" s="28">
        <f t="shared" si="26"/>
        <v>0</v>
      </c>
      <c r="K20" s="7">
        <f t="shared" si="38"/>
        <v>14205.96</v>
      </c>
      <c r="L20" s="43">
        <f t="shared" si="27"/>
        <v>0</v>
      </c>
      <c r="M20" s="28">
        <f t="shared" si="28"/>
        <v>0</v>
      </c>
      <c r="N20" s="7">
        <f t="shared" si="39"/>
        <v>3729.0390000000002</v>
      </c>
      <c r="O20" s="43">
        <f t="shared" si="29"/>
        <v>0</v>
      </c>
      <c r="P20" s="28">
        <f t="shared" si="30"/>
        <v>0</v>
      </c>
      <c r="Q20" s="7">
        <f t="shared" si="40"/>
        <v>5511.7</v>
      </c>
      <c r="R20" s="43">
        <f t="shared" si="31"/>
        <v>0</v>
      </c>
      <c r="S20" s="28">
        <f t="shared" si="32"/>
        <v>0</v>
      </c>
      <c r="T20" s="8">
        <f t="shared" si="41"/>
        <v>0</v>
      </c>
      <c r="U20" s="30">
        <f t="shared" si="33"/>
        <v>0</v>
      </c>
      <c r="W20" s="154">
        <v>44822</v>
      </c>
      <c r="X20" s="155">
        <f t="shared" si="42"/>
        <v>204846</v>
      </c>
      <c r="Y20" s="160">
        <f t="shared" si="20"/>
        <v>0</v>
      </c>
      <c r="Z20" s="155">
        <f t="shared" si="43"/>
        <v>9901</v>
      </c>
      <c r="AA20" s="160">
        <f t="shared" si="20"/>
        <v>0</v>
      </c>
      <c r="AB20" s="155">
        <f t="shared" si="34"/>
        <v>33.700000000000003</v>
      </c>
      <c r="AC20" s="160">
        <f t="shared" si="20"/>
        <v>0</v>
      </c>
      <c r="AD20" s="155">
        <f t="shared" si="44"/>
        <v>664</v>
      </c>
      <c r="AE20" s="160">
        <f t="shared" si="20"/>
        <v>0</v>
      </c>
      <c r="AF20" s="155">
        <f t="shared" si="45"/>
        <v>8891</v>
      </c>
      <c r="AG20" s="160">
        <f t="shared" si="20"/>
        <v>0</v>
      </c>
    </row>
    <row r="21" spans="1:33" ht="16.5" thickBot="1" x14ac:dyDescent="0.25">
      <c r="A21" s="9">
        <v>44823</v>
      </c>
      <c r="B21" s="157">
        <f t="shared" si="35"/>
        <v>24777.896000000001</v>
      </c>
      <c r="C21" s="43">
        <f t="shared" si="21"/>
        <v>0</v>
      </c>
      <c r="D21" s="28">
        <f t="shared" si="22"/>
        <v>0</v>
      </c>
      <c r="E21" s="1">
        <f t="shared" si="36"/>
        <v>4501.951</v>
      </c>
      <c r="F21" s="43">
        <f t="shared" si="23"/>
        <v>0</v>
      </c>
      <c r="G21" s="28">
        <f t="shared" si="24"/>
        <v>0</v>
      </c>
      <c r="H21" s="1">
        <f t="shared" si="37"/>
        <v>6016</v>
      </c>
      <c r="I21" s="43">
        <f t="shared" si="25"/>
        <v>0</v>
      </c>
      <c r="J21" s="28">
        <f t="shared" si="26"/>
        <v>0</v>
      </c>
      <c r="K21" s="7">
        <f t="shared" si="38"/>
        <v>14205.96</v>
      </c>
      <c r="L21" s="43">
        <f t="shared" si="27"/>
        <v>0</v>
      </c>
      <c r="M21" s="28">
        <f t="shared" si="28"/>
        <v>0</v>
      </c>
      <c r="N21" s="7">
        <f t="shared" si="39"/>
        <v>3729.0390000000002</v>
      </c>
      <c r="O21" s="43">
        <f t="shared" si="29"/>
        <v>0</v>
      </c>
      <c r="P21" s="28">
        <f t="shared" si="30"/>
        <v>0</v>
      </c>
      <c r="Q21" s="7">
        <f t="shared" si="40"/>
        <v>5511.7</v>
      </c>
      <c r="R21" s="43">
        <f t="shared" si="31"/>
        <v>0</v>
      </c>
      <c r="S21" s="28">
        <f t="shared" si="32"/>
        <v>0</v>
      </c>
      <c r="T21" s="8">
        <f t="shared" si="41"/>
        <v>0</v>
      </c>
      <c r="U21" s="30">
        <f t="shared" si="33"/>
        <v>0</v>
      </c>
      <c r="W21" s="154">
        <v>44823</v>
      </c>
      <c r="X21" s="155">
        <f t="shared" si="42"/>
        <v>204846</v>
      </c>
      <c r="Y21" s="160">
        <f t="shared" si="20"/>
        <v>0</v>
      </c>
      <c r="Z21" s="155">
        <f t="shared" si="43"/>
        <v>9901</v>
      </c>
      <c r="AA21" s="160">
        <f t="shared" si="20"/>
        <v>0</v>
      </c>
      <c r="AB21" s="155">
        <f t="shared" si="34"/>
        <v>33.700000000000003</v>
      </c>
      <c r="AC21" s="160">
        <f t="shared" si="20"/>
        <v>0</v>
      </c>
      <c r="AD21" s="155">
        <f t="shared" si="44"/>
        <v>664</v>
      </c>
      <c r="AE21" s="160">
        <f t="shared" si="20"/>
        <v>0</v>
      </c>
      <c r="AF21" s="155">
        <f t="shared" si="45"/>
        <v>8891</v>
      </c>
      <c r="AG21" s="160">
        <f t="shared" si="20"/>
        <v>0</v>
      </c>
    </row>
    <row r="22" spans="1:33" ht="16.5" thickBot="1" x14ac:dyDescent="0.25">
      <c r="A22" s="9">
        <v>44824</v>
      </c>
      <c r="B22" s="157">
        <f t="shared" si="35"/>
        <v>24777.896000000001</v>
      </c>
      <c r="C22" s="43">
        <f t="shared" si="21"/>
        <v>0</v>
      </c>
      <c r="D22" s="28">
        <f t="shared" si="22"/>
        <v>0</v>
      </c>
      <c r="E22" s="1">
        <f t="shared" si="36"/>
        <v>4501.951</v>
      </c>
      <c r="F22" s="43">
        <f t="shared" si="23"/>
        <v>0</v>
      </c>
      <c r="G22" s="28">
        <f t="shared" si="24"/>
        <v>0</v>
      </c>
      <c r="H22" s="1">
        <f t="shared" si="37"/>
        <v>6016</v>
      </c>
      <c r="I22" s="43">
        <f t="shared" si="25"/>
        <v>0</v>
      </c>
      <c r="J22" s="28">
        <f t="shared" si="26"/>
        <v>0</v>
      </c>
      <c r="K22" s="7">
        <f t="shared" si="38"/>
        <v>14205.96</v>
      </c>
      <c r="L22" s="43">
        <f t="shared" si="27"/>
        <v>0</v>
      </c>
      <c r="M22" s="28">
        <f t="shared" si="28"/>
        <v>0</v>
      </c>
      <c r="N22" s="7">
        <f t="shared" si="39"/>
        <v>3729.0390000000002</v>
      </c>
      <c r="O22" s="43">
        <f t="shared" si="29"/>
        <v>0</v>
      </c>
      <c r="P22" s="28">
        <f t="shared" si="30"/>
        <v>0</v>
      </c>
      <c r="Q22" s="7">
        <f t="shared" si="40"/>
        <v>5511.7</v>
      </c>
      <c r="R22" s="43">
        <f t="shared" si="31"/>
        <v>0</v>
      </c>
      <c r="S22" s="28">
        <f t="shared" si="32"/>
        <v>0</v>
      </c>
      <c r="T22" s="8">
        <f t="shared" si="41"/>
        <v>0</v>
      </c>
      <c r="U22" s="30">
        <f t="shared" si="33"/>
        <v>0</v>
      </c>
      <c r="W22" s="154">
        <v>44824</v>
      </c>
      <c r="X22" s="155">
        <f t="shared" si="42"/>
        <v>204846</v>
      </c>
      <c r="Y22" s="160">
        <f t="shared" si="20"/>
        <v>0</v>
      </c>
      <c r="Z22" s="155">
        <f t="shared" si="43"/>
        <v>9901</v>
      </c>
      <c r="AA22" s="160">
        <f t="shared" si="20"/>
        <v>0</v>
      </c>
      <c r="AB22" s="155">
        <f t="shared" si="34"/>
        <v>33.700000000000003</v>
      </c>
      <c r="AC22" s="160">
        <f t="shared" si="20"/>
        <v>0</v>
      </c>
      <c r="AD22" s="155">
        <f t="shared" si="44"/>
        <v>664</v>
      </c>
      <c r="AE22" s="160">
        <f t="shared" si="20"/>
        <v>0</v>
      </c>
      <c r="AF22" s="155">
        <f t="shared" si="45"/>
        <v>8891</v>
      </c>
      <c r="AG22" s="160">
        <f t="shared" si="20"/>
        <v>0</v>
      </c>
    </row>
    <row r="23" spans="1:33" ht="16.5" thickBot="1" x14ac:dyDescent="0.25">
      <c r="A23" s="9">
        <v>44825</v>
      </c>
      <c r="B23" s="157">
        <f t="shared" si="35"/>
        <v>24777.896000000001</v>
      </c>
      <c r="C23" s="43">
        <f t="shared" si="21"/>
        <v>0</v>
      </c>
      <c r="D23" s="28">
        <f t="shared" si="22"/>
        <v>0</v>
      </c>
      <c r="E23" s="1">
        <f t="shared" si="36"/>
        <v>4501.951</v>
      </c>
      <c r="F23" s="43">
        <f t="shared" si="23"/>
        <v>0</v>
      </c>
      <c r="G23" s="28">
        <f t="shared" si="24"/>
        <v>0</v>
      </c>
      <c r="H23" s="1">
        <f t="shared" si="37"/>
        <v>6016</v>
      </c>
      <c r="I23" s="43">
        <f t="shared" si="25"/>
        <v>0</v>
      </c>
      <c r="J23" s="28">
        <f t="shared" si="26"/>
        <v>0</v>
      </c>
      <c r="K23" s="7">
        <f t="shared" si="38"/>
        <v>14205.96</v>
      </c>
      <c r="L23" s="43">
        <f t="shared" si="27"/>
        <v>0</v>
      </c>
      <c r="M23" s="28">
        <f t="shared" si="28"/>
        <v>0</v>
      </c>
      <c r="N23" s="7">
        <f t="shared" si="39"/>
        <v>3729.0390000000002</v>
      </c>
      <c r="O23" s="43">
        <f t="shared" si="29"/>
        <v>0</v>
      </c>
      <c r="P23" s="28">
        <f t="shared" si="30"/>
        <v>0</v>
      </c>
      <c r="Q23" s="7">
        <f t="shared" si="40"/>
        <v>5511.7</v>
      </c>
      <c r="R23" s="43">
        <f t="shared" si="31"/>
        <v>0</v>
      </c>
      <c r="S23" s="28">
        <f t="shared" si="32"/>
        <v>0</v>
      </c>
      <c r="T23" s="8">
        <f t="shared" si="41"/>
        <v>0</v>
      </c>
      <c r="U23" s="30">
        <f t="shared" si="33"/>
        <v>0</v>
      </c>
      <c r="W23" s="154">
        <v>44825</v>
      </c>
      <c r="X23" s="155">
        <f t="shared" si="42"/>
        <v>204846</v>
      </c>
      <c r="Y23" s="160">
        <f t="shared" si="20"/>
        <v>0</v>
      </c>
      <c r="Z23" s="155">
        <f t="shared" si="43"/>
        <v>9901</v>
      </c>
      <c r="AA23" s="160">
        <f t="shared" si="20"/>
        <v>0</v>
      </c>
      <c r="AB23" s="155">
        <f t="shared" si="34"/>
        <v>33.700000000000003</v>
      </c>
      <c r="AC23" s="160">
        <f t="shared" si="20"/>
        <v>0</v>
      </c>
      <c r="AD23" s="155">
        <f t="shared" si="44"/>
        <v>664</v>
      </c>
      <c r="AE23" s="160">
        <f t="shared" si="20"/>
        <v>0</v>
      </c>
      <c r="AF23" s="155">
        <f t="shared" si="45"/>
        <v>8891</v>
      </c>
      <c r="AG23" s="160">
        <f t="shared" si="20"/>
        <v>0</v>
      </c>
    </row>
    <row r="24" spans="1:33" ht="16.5" thickBot="1" x14ac:dyDescent="0.25">
      <c r="A24" s="9">
        <v>44826</v>
      </c>
      <c r="B24" s="157">
        <f t="shared" si="35"/>
        <v>24777.896000000001</v>
      </c>
      <c r="C24" s="43">
        <f t="shared" si="21"/>
        <v>0</v>
      </c>
      <c r="D24" s="28">
        <f t="shared" si="22"/>
        <v>0</v>
      </c>
      <c r="E24" s="1">
        <f t="shared" si="36"/>
        <v>4501.951</v>
      </c>
      <c r="F24" s="43">
        <f t="shared" si="23"/>
        <v>0</v>
      </c>
      <c r="G24" s="28">
        <f t="shared" si="24"/>
        <v>0</v>
      </c>
      <c r="H24" s="1">
        <f t="shared" si="37"/>
        <v>6016</v>
      </c>
      <c r="I24" s="43">
        <f t="shared" si="25"/>
        <v>0</v>
      </c>
      <c r="J24" s="28">
        <f t="shared" si="26"/>
        <v>0</v>
      </c>
      <c r="K24" s="7">
        <f t="shared" si="38"/>
        <v>14205.96</v>
      </c>
      <c r="L24" s="43">
        <f t="shared" si="27"/>
        <v>0</v>
      </c>
      <c r="M24" s="28">
        <f t="shared" si="28"/>
        <v>0</v>
      </c>
      <c r="N24" s="7">
        <f t="shared" si="39"/>
        <v>3729.0390000000002</v>
      </c>
      <c r="O24" s="43">
        <f t="shared" si="29"/>
        <v>0</v>
      </c>
      <c r="P24" s="28">
        <f t="shared" si="30"/>
        <v>0</v>
      </c>
      <c r="Q24" s="7">
        <f t="shared" si="40"/>
        <v>5511.7</v>
      </c>
      <c r="R24" s="43">
        <f t="shared" si="31"/>
        <v>0</v>
      </c>
      <c r="S24" s="28">
        <f t="shared" si="32"/>
        <v>0</v>
      </c>
      <c r="T24" s="8">
        <f t="shared" si="41"/>
        <v>0</v>
      </c>
      <c r="U24" s="30">
        <f t="shared" si="33"/>
        <v>0</v>
      </c>
      <c r="W24" s="154">
        <v>44826</v>
      </c>
      <c r="X24" s="155">
        <f t="shared" si="42"/>
        <v>204846</v>
      </c>
      <c r="Y24" s="160">
        <f t="shared" si="20"/>
        <v>0</v>
      </c>
      <c r="Z24" s="155">
        <f t="shared" si="43"/>
        <v>9901</v>
      </c>
      <c r="AA24" s="160">
        <f t="shared" si="20"/>
        <v>0</v>
      </c>
      <c r="AB24" s="155">
        <f t="shared" si="34"/>
        <v>33.700000000000003</v>
      </c>
      <c r="AC24" s="160">
        <f t="shared" si="20"/>
        <v>0</v>
      </c>
      <c r="AD24" s="155">
        <f t="shared" si="44"/>
        <v>664</v>
      </c>
      <c r="AE24" s="160">
        <f t="shared" si="20"/>
        <v>0</v>
      </c>
      <c r="AF24" s="155">
        <f t="shared" si="45"/>
        <v>8891</v>
      </c>
      <c r="AG24" s="160">
        <f t="shared" si="20"/>
        <v>0</v>
      </c>
    </row>
    <row r="25" spans="1:33" ht="16.5" thickBot="1" x14ac:dyDescent="0.25">
      <c r="A25" s="9">
        <v>44827</v>
      </c>
      <c r="B25" s="157">
        <f t="shared" si="35"/>
        <v>24777.896000000001</v>
      </c>
      <c r="C25" s="43">
        <f t="shared" si="21"/>
        <v>0</v>
      </c>
      <c r="D25" s="28">
        <f t="shared" si="22"/>
        <v>0</v>
      </c>
      <c r="E25" s="1">
        <f t="shared" si="36"/>
        <v>4501.951</v>
      </c>
      <c r="F25" s="43">
        <f t="shared" si="23"/>
        <v>0</v>
      </c>
      <c r="G25" s="28">
        <f t="shared" si="24"/>
        <v>0</v>
      </c>
      <c r="H25" s="1">
        <f t="shared" si="37"/>
        <v>6016</v>
      </c>
      <c r="I25" s="43">
        <f t="shared" si="25"/>
        <v>0</v>
      </c>
      <c r="J25" s="28">
        <f t="shared" si="26"/>
        <v>0</v>
      </c>
      <c r="K25" s="7">
        <f t="shared" si="38"/>
        <v>14205.96</v>
      </c>
      <c r="L25" s="43">
        <f t="shared" si="27"/>
        <v>0</v>
      </c>
      <c r="M25" s="28">
        <f t="shared" si="28"/>
        <v>0</v>
      </c>
      <c r="N25" s="7">
        <f t="shared" si="39"/>
        <v>3729.0390000000002</v>
      </c>
      <c r="O25" s="43">
        <f t="shared" si="29"/>
        <v>0</v>
      </c>
      <c r="P25" s="28">
        <f t="shared" si="30"/>
        <v>0</v>
      </c>
      <c r="Q25" s="7">
        <f t="shared" si="40"/>
        <v>5511.7</v>
      </c>
      <c r="R25" s="43">
        <f t="shared" si="31"/>
        <v>0</v>
      </c>
      <c r="S25" s="28">
        <f t="shared" si="32"/>
        <v>0</v>
      </c>
      <c r="T25" s="8">
        <f t="shared" si="41"/>
        <v>0</v>
      </c>
      <c r="U25" s="30">
        <f t="shared" si="33"/>
        <v>0</v>
      </c>
      <c r="W25" s="154">
        <v>44827</v>
      </c>
      <c r="X25" s="155">
        <f t="shared" si="42"/>
        <v>204846</v>
      </c>
      <c r="Y25" s="160">
        <f t="shared" si="20"/>
        <v>0</v>
      </c>
      <c r="Z25" s="155">
        <f t="shared" si="43"/>
        <v>9901</v>
      </c>
      <c r="AA25" s="160">
        <f t="shared" si="20"/>
        <v>0</v>
      </c>
      <c r="AB25" s="155">
        <f t="shared" si="34"/>
        <v>33.700000000000003</v>
      </c>
      <c r="AC25" s="160">
        <f t="shared" si="20"/>
        <v>0</v>
      </c>
      <c r="AD25" s="155">
        <f t="shared" si="44"/>
        <v>664</v>
      </c>
      <c r="AE25" s="160">
        <f t="shared" si="20"/>
        <v>0</v>
      </c>
      <c r="AF25" s="155">
        <f t="shared" si="45"/>
        <v>8891</v>
      </c>
      <c r="AG25" s="160">
        <f t="shared" si="20"/>
        <v>0</v>
      </c>
    </row>
    <row r="26" spans="1:33" ht="16.5" thickBot="1" x14ac:dyDescent="0.25">
      <c r="A26" s="9">
        <v>44828</v>
      </c>
      <c r="B26" s="157">
        <f t="shared" si="35"/>
        <v>24777.896000000001</v>
      </c>
      <c r="C26" s="43">
        <f t="shared" si="21"/>
        <v>0</v>
      </c>
      <c r="D26" s="28">
        <f t="shared" si="22"/>
        <v>0</v>
      </c>
      <c r="E26" s="1">
        <f t="shared" si="36"/>
        <v>4501.951</v>
      </c>
      <c r="F26" s="43">
        <f t="shared" si="23"/>
        <v>0</v>
      </c>
      <c r="G26" s="28">
        <f t="shared" si="24"/>
        <v>0</v>
      </c>
      <c r="H26" s="1">
        <f t="shared" si="37"/>
        <v>6016</v>
      </c>
      <c r="I26" s="43">
        <f t="shared" si="25"/>
        <v>0</v>
      </c>
      <c r="J26" s="28">
        <f t="shared" si="26"/>
        <v>0</v>
      </c>
      <c r="K26" s="7">
        <f t="shared" si="38"/>
        <v>14205.96</v>
      </c>
      <c r="L26" s="43">
        <f>IF((K26-K25)&lt;0,"0",(K26-K25))</f>
        <v>0</v>
      </c>
      <c r="M26" s="28">
        <f t="shared" si="28"/>
        <v>0</v>
      </c>
      <c r="N26" s="7">
        <f t="shared" si="39"/>
        <v>3729.0390000000002</v>
      </c>
      <c r="O26" s="43">
        <f t="shared" si="29"/>
        <v>0</v>
      </c>
      <c r="P26" s="28">
        <f t="shared" si="30"/>
        <v>0</v>
      </c>
      <c r="Q26" s="7">
        <f t="shared" si="40"/>
        <v>5511.7</v>
      </c>
      <c r="R26" s="43">
        <f t="shared" si="31"/>
        <v>0</v>
      </c>
      <c r="S26" s="28">
        <f t="shared" si="32"/>
        <v>0</v>
      </c>
      <c r="T26" s="8">
        <f t="shared" si="41"/>
        <v>0</v>
      </c>
      <c r="U26" s="30">
        <f t="shared" si="33"/>
        <v>0</v>
      </c>
      <c r="V26" t="s">
        <v>12</v>
      </c>
      <c r="W26" s="154">
        <v>44828</v>
      </c>
      <c r="X26" s="155">
        <f t="shared" si="42"/>
        <v>204846</v>
      </c>
      <c r="Y26" s="160">
        <f t="shared" si="20"/>
        <v>0</v>
      </c>
      <c r="Z26" s="155">
        <f t="shared" si="43"/>
        <v>9901</v>
      </c>
      <c r="AA26" s="160">
        <f t="shared" si="20"/>
        <v>0</v>
      </c>
      <c r="AB26" s="155">
        <f t="shared" si="34"/>
        <v>33.700000000000003</v>
      </c>
      <c r="AC26" s="160">
        <f t="shared" si="20"/>
        <v>0</v>
      </c>
      <c r="AD26" s="155">
        <f t="shared" si="44"/>
        <v>664</v>
      </c>
      <c r="AE26" s="160">
        <f t="shared" si="20"/>
        <v>0</v>
      </c>
      <c r="AF26" s="155">
        <f t="shared" si="45"/>
        <v>8891</v>
      </c>
      <c r="AG26" s="160">
        <f t="shared" si="20"/>
        <v>0</v>
      </c>
    </row>
    <row r="27" spans="1:33" ht="16.5" thickBot="1" x14ac:dyDescent="0.25">
      <c r="A27" s="9">
        <v>44829</v>
      </c>
      <c r="B27" s="157">
        <f t="shared" si="35"/>
        <v>24777.896000000001</v>
      </c>
      <c r="C27" s="43">
        <f t="shared" si="21"/>
        <v>0</v>
      </c>
      <c r="D27" s="28">
        <f t="shared" si="22"/>
        <v>0</v>
      </c>
      <c r="E27" s="1">
        <f t="shared" si="36"/>
        <v>4501.951</v>
      </c>
      <c r="F27" s="43">
        <f t="shared" si="23"/>
        <v>0</v>
      </c>
      <c r="G27" s="28">
        <f t="shared" si="24"/>
        <v>0</v>
      </c>
      <c r="H27" s="1">
        <f t="shared" si="37"/>
        <v>6016</v>
      </c>
      <c r="I27" s="43">
        <f t="shared" si="25"/>
        <v>0</v>
      </c>
      <c r="J27" s="28">
        <f t="shared" si="26"/>
        <v>0</v>
      </c>
      <c r="K27" s="7">
        <f t="shared" si="38"/>
        <v>14205.96</v>
      </c>
      <c r="L27" s="43">
        <f t="shared" si="27"/>
        <v>0</v>
      </c>
      <c r="M27" s="28">
        <f t="shared" si="28"/>
        <v>0</v>
      </c>
      <c r="N27" s="7">
        <f t="shared" si="39"/>
        <v>3729.0390000000002</v>
      </c>
      <c r="O27" s="43">
        <f t="shared" si="29"/>
        <v>0</v>
      </c>
      <c r="P27" s="28">
        <f t="shared" si="30"/>
        <v>0</v>
      </c>
      <c r="Q27" s="7">
        <f t="shared" si="40"/>
        <v>5511.7</v>
      </c>
      <c r="R27" s="43">
        <f t="shared" si="31"/>
        <v>0</v>
      </c>
      <c r="S27" s="28">
        <f t="shared" si="32"/>
        <v>0</v>
      </c>
      <c r="T27" s="8">
        <f t="shared" si="41"/>
        <v>0</v>
      </c>
      <c r="U27" s="30">
        <f t="shared" si="33"/>
        <v>0</v>
      </c>
      <c r="V27" t="s">
        <v>12</v>
      </c>
      <c r="W27" s="154">
        <v>44829</v>
      </c>
      <c r="X27" s="155">
        <f t="shared" si="42"/>
        <v>204846</v>
      </c>
      <c r="Y27" s="160">
        <f t="shared" si="20"/>
        <v>0</v>
      </c>
      <c r="Z27" s="155">
        <f t="shared" si="43"/>
        <v>9901</v>
      </c>
      <c r="AA27" s="160">
        <f t="shared" si="20"/>
        <v>0</v>
      </c>
      <c r="AB27" s="155">
        <f t="shared" si="34"/>
        <v>33.700000000000003</v>
      </c>
      <c r="AC27" s="160">
        <f t="shared" si="20"/>
        <v>0</v>
      </c>
      <c r="AD27" s="155">
        <f t="shared" si="44"/>
        <v>664</v>
      </c>
      <c r="AE27" s="160">
        <f t="shared" si="20"/>
        <v>0</v>
      </c>
      <c r="AF27" s="155">
        <f t="shared" si="45"/>
        <v>8891</v>
      </c>
      <c r="AG27" s="160">
        <f t="shared" si="20"/>
        <v>0</v>
      </c>
    </row>
    <row r="28" spans="1:33" ht="16.5" thickBot="1" x14ac:dyDescent="0.25">
      <c r="A28" s="9">
        <v>44830</v>
      </c>
      <c r="B28" s="157">
        <f t="shared" si="35"/>
        <v>24777.896000000001</v>
      </c>
      <c r="C28" s="43">
        <f t="shared" si="21"/>
        <v>0</v>
      </c>
      <c r="D28" s="28">
        <f t="shared" si="22"/>
        <v>0</v>
      </c>
      <c r="E28" s="1">
        <f t="shared" si="36"/>
        <v>4501.951</v>
      </c>
      <c r="F28" s="43">
        <f t="shared" si="23"/>
        <v>0</v>
      </c>
      <c r="G28" s="28">
        <f t="shared" si="24"/>
        <v>0</v>
      </c>
      <c r="H28" s="1">
        <f t="shared" si="37"/>
        <v>6016</v>
      </c>
      <c r="I28" s="43">
        <f t="shared" si="25"/>
        <v>0</v>
      </c>
      <c r="J28" s="28">
        <f t="shared" si="26"/>
        <v>0</v>
      </c>
      <c r="K28" s="7">
        <f t="shared" si="38"/>
        <v>14205.96</v>
      </c>
      <c r="L28" s="43">
        <f t="shared" si="27"/>
        <v>0</v>
      </c>
      <c r="M28" s="28">
        <f t="shared" si="28"/>
        <v>0</v>
      </c>
      <c r="N28" s="7">
        <f t="shared" si="39"/>
        <v>3729.0390000000002</v>
      </c>
      <c r="O28" s="43">
        <f t="shared" si="29"/>
        <v>0</v>
      </c>
      <c r="P28" s="28">
        <f t="shared" si="30"/>
        <v>0</v>
      </c>
      <c r="Q28" s="7">
        <f t="shared" si="40"/>
        <v>5511.7</v>
      </c>
      <c r="R28" s="43">
        <f t="shared" si="31"/>
        <v>0</v>
      </c>
      <c r="S28" s="28">
        <f t="shared" si="32"/>
        <v>0</v>
      </c>
      <c r="T28" s="8">
        <f t="shared" si="41"/>
        <v>0</v>
      </c>
      <c r="U28" s="30">
        <f t="shared" si="33"/>
        <v>0</v>
      </c>
      <c r="W28" s="154">
        <v>44830</v>
      </c>
      <c r="X28" s="155">
        <f t="shared" si="42"/>
        <v>204846</v>
      </c>
      <c r="Y28" s="160">
        <f t="shared" si="20"/>
        <v>0</v>
      </c>
      <c r="Z28" s="155">
        <f t="shared" si="43"/>
        <v>9901</v>
      </c>
      <c r="AA28" s="160">
        <f t="shared" si="20"/>
        <v>0</v>
      </c>
      <c r="AB28" s="155">
        <f t="shared" si="34"/>
        <v>33.700000000000003</v>
      </c>
      <c r="AC28" s="160">
        <f t="shared" si="20"/>
        <v>0</v>
      </c>
      <c r="AD28" s="155">
        <f t="shared" si="44"/>
        <v>664</v>
      </c>
      <c r="AE28" s="160">
        <f t="shared" si="20"/>
        <v>0</v>
      </c>
      <c r="AF28" s="155">
        <f t="shared" si="45"/>
        <v>8891</v>
      </c>
      <c r="AG28" s="160">
        <f t="shared" si="20"/>
        <v>0</v>
      </c>
    </row>
    <row r="29" spans="1:33" ht="16.5" thickBot="1" x14ac:dyDescent="0.25">
      <c r="A29" s="9">
        <v>44831</v>
      </c>
      <c r="B29" s="157">
        <f t="shared" si="35"/>
        <v>24777.896000000001</v>
      </c>
      <c r="C29" s="43">
        <f t="shared" si="21"/>
        <v>0</v>
      </c>
      <c r="D29" s="28">
        <f t="shared" si="22"/>
        <v>0</v>
      </c>
      <c r="E29" s="1">
        <f t="shared" si="36"/>
        <v>4501.951</v>
      </c>
      <c r="F29" s="43">
        <f t="shared" si="23"/>
        <v>0</v>
      </c>
      <c r="G29" s="28">
        <f t="shared" si="24"/>
        <v>0</v>
      </c>
      <c r="H29" s="1">
        <f t="shared" si="37"/>
        <v>6016</v>
      </c>
      <c r="I29" s="43">
        <f t="shared" si="25"/>
        <v>0</v>
      </c>
      <c r="J29" s="28">
        <f t="shared" si="26"/>
        <v>0</v>
      </c>
      <c r="K29" s="7">
        <f t="shared" si="38"/>
        <v>14205.96</v>
      </c>
      <c r="L29" s="43">
        <f t="shared" si="27"/>
        <v>0</v>
      </c>
      <c r="M29" s="28">
        <f t="shared" si="28"/>
        <v>0</v>
      </c>
      <c r="N29" s="7">
        <f t="shared" si="39"/>
        <v>3729.0390000000002</v>
      </c>
      <c r="O29" s="43">
        <f t="shared" si="29"/>
        <v>0</v>
      </c>
      <c r="P29" s="28">
        <f t="shared" si="30"/>
        <v>0</v>
      </c>
      <c r="Q29" s="7">
        <f t="shared" si="40"/>
        <v>5511.7</v>
      </c>
      <c r="R29" s="43">
        <f t="shared" si="31"/>
        <v>0</v>
      </c>
      <c r="S29" s="28">
        <f t="shared" si="32"/>
        <v>0</v>
      </c>
      <c r="T29" s="8">
        <f t="shared" si="41"/>
        <v>0</v>
      </c>
      <c r="U29" s="30">
        <f t="shared" si="33"/>
        <v>0</v>
      </c>
      <c r="W29" s="154">
        <v>44831</v>
      </c>
      <c r="X29" s="155">
        <f t="shared" si="42"/>
        <v>204846</v>
      </c>
      <c r="Y29" s="160">
        <f t="shared" si="20"/>
        <v>0</v>
      </c>
      <c r="Z29" s="155">
        <f t="shared" si="43"/>
        <v>9901</v>
      </c>
      <c r="AA29" s="160">
        <f t="shared" si="20"/>
        <v>0</v>
      </c>
      <c r="AB29" s="155">
        <f t="shared" si="34"/>
        <v>33.700000000000003</v>
      </c>
      <c r="AC29" s="160">
        <f t="shared" si="20"/>
        <v>0</v>
      </c>
      <c r="AD29" s="155">
        <f t="shared" si="44"/>
        <v>664</v>
      </c>
      <c r="AE29" s="160">
        <f t="shared" si="20"/>
        <v>0</v>
      </c>
      <c r="AF29" s="155">
        <f t="shared" si="45"/>
        <v>8891</v>
      </c>
      <c r="AG29" s="160">
        <f t="shared" si="20"/>
        <v>0</v>
      </c>
    </row>
    <row r="30" spans="1:33" ht="16.5" thickBot="1" x14ac:dyDescent="0.25">
      <c r="A30" s="9">
        <v>44832</v>
      </c>
      <c r="B30" s="157">
        <f t="shared" si="35"/>
        <v>24777.896000000001</v>
      </c>
      <c r="C30" s="43">
        <f t="shared" si="21"/>
        <v>0</v>
      </c>
      <c r="D30" s="28">
        <f t="shared" si="22"/>
        <v>0</v>
      </c>
      <c r="E30" s="1">
        <f t="shared" si="36"/>
        <v>4501.951</v>
      </c>
      <c r="F30" s="43">
        <f t="shared" si="23"/>
        <v>0</v>
      </c>
      <c r="G30" s="28">
        <f t="shared" si="24"/>
        <v>0</v>
      </c>
      <c r="H30" s="1">
        <f t="shared" si="37"/>
        <v>6016</v>
      </c>
      <c r="I30" s="43">
        <f t="shared" si="25"/>
        <v>0</v>
      </c>
      <c r="J30" s="28">
        <f t="shared" si="26"/>
        <v>0</v>
      </c>
      <c r="K30" s="7">
        <f t="shared" si="38"/>
        <v>14205.96</v>
      </c>
      <c r="L30" s="43">
        <f t="shared" si="27"/>
        <v>0</v>
      </c>
      <c r="M30" s="28">
        <f t="shared" si="28"/>
        <v>0</v>
      </c>
      <c r="N30" s="7">
        <f t="shared" si="39"/>
        <v>3729.0390000000002</v>
      </c>
      <c r="O30" s="43">
        <f t="shared" si="29"/>
        <v>0</v>
      </c>
      <c r="P30" s="28">
        <f t="shared" si="30"/>
        <v>0</v>
      </c>
      <c r="Q30" s="7">
        <f t="shared" si="40"/>
        <v>5511.7</v>
      </c>
      <c r="R30" s="43">
        <f t="shared" si="31"/>
        <v>0</v>
      </c>
      <c r="S30" s="28">
        <f t="shared" si="32"/>
        <v>0</v>
      </c>
      <c r="T30" s="8">
        <f t="shared" si="41"/>
        <v>0</v>
      </c>
      <c r="U30" s="30">
        <f t="shared" si="33"/>
        <v>0</v>
      </c>
      <c r="W30" s="154">
        <v>44832</v>
      </c>
      <c r="X30" s="155">
        <f t="shared" si="42"/>
        <v>204846</v>
      </c>
      <c r="Y30" s="160">
        <f t="shared" si="20"/>
        <v>0</v>
      </c>
      <c r="Z30" s="155">
        <f t="shared" si="43"/>
        <v>9901</v>
      </c>
      <c r="AA30" s="160">
        <f t="shared" si="20"/>
        <v>0</v>
      </c>
      <c r="AB30" s="155">
        <f t="shared" si="34"/>
        <v>33.700000000000003</v>
      </c>
      <c r="AC30" s="160">
        <f t="shared" si="20"/>
        <v>0</v>
      </c>
      <c r="AD30" s="155">
        <f t="shared" si="44"/>
        <v>664</v>
      </c>
      <c r="AE30" s="160">
        <f t="shared" si="20"/>
        <v>0</v>
      </c>
      <c r="AF30" s="155">
        <f t="shared" si="45"/>
        <v>8891</v>
      </c>
      <c r="AG30" s="160">
        <f t="shared" si="20"/>
        <v>0</v>
      </c>
    </row>
    <row r="31" spans="1:33" ht="16.5" thickBot="1" x14ac:dyDescent="0.25">
      <c r="A31" s="9">
        <v>44833</v>
      </c>
      <c r="B31" s="157">
        <f t="shared" si="35"/>
        <v>24777.896000000001</v>
      </c>
      <c r="C31" s="43">
        <f t="shared" si="21"/>
        <v>0</v>
      </c>
      <c r="D31" s="28">
        <f t="shared" si="22"/>
        <v>0</v>
      </c>
      <c r="E31" s="1">
        <f t="shared" si="36"/>
        <v>4501.951</v>
      </c>
      <c r="F31" s="43">
        <f t="shared" si="23"/>
        <v>0</v>
      </c>
      <c r="G31" s="28">
        <f t="shared" si="24"/>
        <v>0</v>
      </c>
      <c r="H31" s="1">
        <f t="shared" si="37"/>
        <v>6016</v>
      </c>
      <c r="I31" s="43">
        <f t="shared" si="25"/>
        <v>0</v>
      </c>
      <c r="J31" s="28">
        <f t="shared" si="26"/>
        <v>0</v>
      </c>
      <c r="K31" s="7">
        <f t="shared" si="38"/>
        <v>14205.96</v>
      </c>
      <c r="L31" s="43">
        <f t="shared" si="27"/>
        <v>0</v>
      </c>
      <c r="M31" s="28">
        <f t="shared" si="28"/>
        <v>0</v>
      </c>
      <c r="N31" s="7">
        <f t="shared" si="39"/>
        <v>3729.0390000000002</v>
      </c>
      <c r="O31" s="43">
        <f t="shared" si="29"/>
        <v>0</v>
      </c>
      <c r="P31" s="28">
        <f t="shared" si="30"/>
        <v>0</v>
      </c>
      <c r="Q31" s="7">
        <f t="shared" si="40"/>
        <v>5511.7</v>
      </c>
      <c r="R31" s="43">
        <f t="shared" si="31"/>
        <v>0</v>
      </c>
      <c r="S31" s="28">
        <f t="shared" si="32"/>
        <v>0</v>
      </c>
      <c r="T31" s="8">
        <f t="shared" si="41"/>
        <v>0</v>
      </c>
      <c r="U31" s="30">
        <f t="shared" si="33"/>
        <v>0</v>
      </c>
      <c r="W31" s="154">
        <v>44833</v>
      </c>
      <c r="X31" s="155">
        <f t="shared" si="42"/>
        <v>204846</v>
      </c>
      <c r="Y31" s="160">
        <f t="shared" si="20"/>
        <v>0</v>
      </c>
      <c r="Z31" s="155">
        <f t="shared" si="43"/>
        <v>9901</v>
      </c>
      <c r="AA31" s="160">
        <f t="shared" si="20"/>
        <v>0</v>
      </c>
      <c r="AB31" s="155">
        <f t="shared" si="34"/>
        <v>33.700000000000003</v>
      </c>
      <c r="AC31" s="160">
        <f t="shared" si="20"/>
        <v>0</v>
      </c>
      <c r="AD31" s="155">
        <f t="shared" si="44"/>
        <v>664</v>
      </c>
      <c r="AE31" s="160">
        <f t="shared" si="20"/>
        <v>0</v>
      </c>
      <c r="AF31" s="155">
        <f t="shared" si="45"/>
        <v>8891</v>
      </c>
      <c r="AG31" s="160">
        <f t="shared" si="20"/>
        <v>0</v>
      </c>
    </row>
    <row r="32" spans="1:33" ht="16.5" thickBot="1" x14ac:dyDescent="0.25">
      <c r="A32" s="9">
        <v>44834</v>
      </c>
      <c r="B32" s="157">
        <f t="shared" si="35"/>
        <v>24777.896000000001</v>
      </c>
      <c r="C32" s="43">
        <f t="shared" si="21"/>
        <v>0</v>
      </c>
      <c r="D32" s="28">
        <f t="shared" si="22"/>
        <v>0</v>
      </c>
      <c r="E32" s="1">
        <f t="shared" si="36"/>
        <v>4501.951</v>
      </c>
      <c r="F32" s="43">
        <f t="shared" si="23"/>
        <v>0</v>
      </c>
      <c r="G32" s="28">
        <f t="shared" si="24"/>
        <v>0</v>
      </c>
      <c r="H32" s="1">
        <f t="shared" si="37"/>
        <v>6016</v>
      </c>
      <c r="I32" s="43">
        <f t="shared" si="25"/>
        <v>0</v>
      </c>
      <c r="J32" s="28">
        <f t="shared" si="26"/>
        <v>0</v>
      </c>
      <c r="K32" s="7">
        <f t="shared" si="38"/>
        <v>14205.96</v>
      </c>
      <c r="L32" s="43">
        <f t="shared" si="27"/>
        <v>0</v>
      </c>
      <c r="M32" s="28">
        <f t="shared" si="28"/>
        <v>0</v>
      </c>
      <c r="N32" s="7">
        <f t="shared" si="39"/>
        <v>3729.0390000000002</v>
      </c>
      <c r="O32" s="43">
        <f t="shared" si="29"/>
        <v>0</v>
      </c>
      <c r="P32" s="28">
        <f t="shared" si="30"/>
        <v>0</v>
      </c>
      <c r="Q32" s="7">
        <f t="shared" si="40"/>
        <v>5511.7</v>
      </c>
      <c r="R32" s="43">
        <f t="shared" si="31"/>
        <v>0</v>
      </c>
      <c r="S32" s="28">
        <f t="shared" si="32"/>
        <v>0</v>
      </c>
      <c r="T32" s="8">
        <f t="shared" si="41"/>
        <v>0</v>
      </c>
      <c r="U32" s="30">
        <f t="shared" si="33"/>
        <v>0</v>
      </c>
      <c r="W32" s="154">
        <v>44834</v>
      </c>
      <c r="X32" s="155">
        <f t="shared" si="42"/>
        <v>204846</v>
      </c>
      <c r="Y32" s="160">
        <f t="shared" ref="Y32" si="59">IF((X32-X31)&lt;0,"0",(X32-X31))</f>
        <v>0</v>
      </c>
      <c r="Z32" s="155">
        <f t="shared" si="43"/>
        <v>9901</v>
      </c>
      <c r="AA32" s="160">
        <f t="shared" ref="AA32" si="60">IF((Z32-Z31)&lt;0,"0",(Z32-Z31))</f>
        <v>0</v>
      </c>
      <c r="AB32" s="155">
        <f t="shared" si="34"/>
        <v>33.700000000000003</v>
      </c>
      <c r="AC32" s="160">
        <f t="shared" ref="AC32" si="61">IF((AB32-AB31)&lt;0,"0",(AB32-AB31))</f>
        <v>0</v>
      </c>
      <c r="AD32" s="155">
        <f t="shared" si="44"/>
        <v>664</v>
      </c>
      <c r="AE32" s="160">
        <f t="shared" ref="AE32" si="62">IF((AD32-AD31)&lt;0,"0",(AD32-AD31))</f>
        <v>0</v>
      </c>
      <c r="AF32" s="155">
        <f t="shared" si="45"/>
        <v>8891</v>
      </c>
      <c r="AG32" s="160">
        <f t="shared" ref="AG32" si="63">IF((AF32-AF31)&lt;0,"0",(AF32-AF31))</f>
        <v>0</v>
      </c>
    </row>
    <row r="33" spans="1:33" s="22" customFormat="1" ht="15.75" thickBot="1" x14ac:dyDescent="0.25">
      <c r="A33" s="158" t="s">
        <v>23</v>
      </c>
      <c r="B33" s="158"/>
      <c r="C33" s="136">
        <f>SUM(C2:C32)</f>
        <v>38.968000000000757</v>
      </c>
      <c r="D33" s="136">
        <f>SUM(D3:D32)</f>
        <v>74039.200000001438</v>
      </c>
      <c r="E33" s="136"/>
      <c r="F33" s="136">
        <f>SUM(F2:F32)</f>
        <v>6.9059999999999491</v>
      </c>
      <c r="G33" s="136">
        <f>SUM(G3:G32)</f>
        <v>13121.399999999903</v>
      </c>
      <c r="H33" s="136"/>
      <c r="I33" s="136">
        <f>SUM(I2:I32)</f>
        <v>25</v>
      </c>
      <c r="J33" s="136">
        <f>SUM(J3:J32)</f>
        <v>47499.999999999985</v>
      </c>
      <c r="K33" s="136"/>
      <c r="L33" s="136">
        <f>SUM(L2:L32)</f>
        <v>7.5299999999988358</v>
      </c>
      <c r="M33" s="136">
        <f>SUM(M3:M32)</f>
        <v>14306.999999997788</v>
      </c>
      <c r="N33" s="136"/>
      <c r="O33" s="136">
        <f>SUM(O2:O32)</f>
        <v>6.9000000000000909</v>
      </c>
      <c r="P33" s="136">
        <f>SUM(P3:P32)</f>
        <v>13110.000000000171</v>
      </c>
      <c r="Q33" s="136"/>
      <c r="R33" s="136">
        <v>2.21</v>
      </c>
      <c r="S33" s="136">
        <f>SUM(S3:S32)</f>
        <v>5357.999999999447</v>
      </c>
      <c r="T33" s="136">
        <v>22.454999999999998</v>
      </c>
      <c r="U33" s="136">
        <f>SUM(U3:U32)</f>
        <v>167435.59999999873</v>
      </c>
      <c r="V33"/>
      <c r="W33" s="136" t="s">
        <v>141</v>
      </c>
      <c r="X33" s="136"/>
      <c r="Y33" s="136">
        <f>SUM(Y2:Y32)</f>
        <v>948</v>
      </c>
      <c r="Z33" s="136"/>
      <c r="AA33" s="136">
        <f>SUM(AA2:AA32)</f>
        <v>28</v>
      </c>
      <c r="AB33" s="136"/>
      <c r="AC33" s="136">
        <f>SUM(AC2:AC32)</f>
        <v>0.10000000000000142</v>
      </c>
      <c r="AD33" s="136"/>
      <c r="AE33" s="136">
        <f>SUM(AE2:AE32)</f>
        <v>9</v>
      </c>
      <c r="AF33" s="136">
        <v>0</v>
      </c>
      <c r="AG33" s="136">
        <f>SUM(AG2:AG32)</f>
        <v>44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2" sqref="F1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-14061787</v>
      </c>
      <c r="D2" s="96">
        <f>C2*1.27</f>
        <v>-17858469.490000002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33201142</v>
      </c>
      <c r="J3" s="133">
        <f>ELECT.!E32</f>
        <v>0</v>
      </c>
      <c r="K3" s="164">
        <f>J3-I3</f>
        <v>-33201142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4671912</v>
      </c>
      <c r="J4" s="133">
        <f>ELECT.!G32</f>
        <v>0</v>
      </c>
      <c r="K4" s="164">
        <f>J4-I4</f>
        <v>-4671912</v>
      </c>
    </row>
    <row r="5" spans="1:13" ht="13.5" thickBot="1" x14ac:dyDescent="0.25">
      <c r="A5" s="94"/>
      <c r="B5" s="100" t="s">
        <v>27</v>
      </c>
      <c r="C5" s="104">
        <f>(K10+K12)*0.842284+K26</f>
        <v>-22318092.81168</v>
      </c>
      <c r="D5" s="104">
        <f t="shared" ref="D5:D11" si="0">C5*1.27</f>
        <v>-28343977.870833602</v>
      </c>
      <c r="E5" s="105"/>
      <c r="F5" s="94"/>
      <c r="G5" s="94"/>
      <c r="H5" s="100" t="s">
        <v>23</v>
      </c>
      <c r="I5" s="106"/>
      <c r="J5" s="106"/>
      <c r="K5" s="126">
        <f>K3+K4</f>
        <v>-37873054</v>
      </c>
    </row>
    <row r="6" spans="1:13" ht="13.5" thickBot="1" x14ac:dyDescent="0.25">
      <c r="A6" s="94"/>
      <c r="B6" s="100" t="s">
        <v>99</v>
      </c>
      <c r="C6" s="104">
        <f>(K10+K12+K26)*0.1488</f>
        <v>-3853342.6559999995</v>
      </c>
      <c r="D6" s="104">
        <f t="shared" si="0"/>
        <v>-4893745.1731199995</v>
      </c>
      <c r="E6" s="105"/>
      <c r="F6" s="94"/>
      <c r="G6" s="94"/>
      <c r="H6" s="100" t="s">
        <v>100</v>
      </c>
      <c r="I6" s="137">
        <f>ELECT.!J2</f>
        <v>422838</v>
      </c>
      <c r="J6" s="133">
        <f>ELECT.!J32</f>
        <v>0</v>
      </c>
      <c r="K6" s="164">
        <f>J6-I6</f>
        <v>-422838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2079302</v>
      </c>
      <c r="D7" s="104">
        <f t="shared" si="0"/>
        <v>2640713.54</v>
      </c>
      <c r="E7" s="105"/>
      <c r="F7" s="94"/>
      <c r="G7" s="94"/>
      <c r="H7" s="100" t="s">
        <v>102</v>
      </c>
      <c r="I7" s="137">
        <f>ELECT.!L2</f>
        <v>701909</v>
      </c>
      <c r="J7" s="133">
        <f>ELECT.!L32</f>
        <v>0</v>
      </c>
      <c r="K7" s="164">
        <f>J7-I7</f>
        <v>-701909</v>
      </c>
    </row>
    <row r="8" spans="1:13" ht="13.5" thickBot="1" x14ac:dyDescent="0.25">
      <c r="A8" s="94"/>
      <c r="B8" s="100" t="s">
        <v>103</v>
      </c>
      <c r="C8" s="104">
        <f>K21+K22+K23+K24</f>
        <v>3308</v>
      </c>
      <c r="D8" s="104">
        <f t="shared" si="0"/>
        <v>4201.16</v>
      </c>
      <c r="E8" s="105"/>
      <c r="F8" s="94"/>
      <c r="G8" s="94"/>
      <c r="H8" s="100" t="s">
        <v>104</v>
      </c>
      <c r="I8" s="137">
        <f>ELECT.!N2</f>
        <v>7386230</v>
      </c>
      <c r="J8" s="133">
        <f>ELECT.!N32</f>
        <v>0</v>
      </c>
      <c r="K8" s="91">
        <f>(J8-I8)*2</f>
        <v>-14772460</v>
      </c>
    </row>
    <row r="9" spans="1:13" ht="13.5" thickBot="1" x14ac:dyDescent="0.25">
      <c r="A9" s="94"/>
      <c r="B9" s="100" t="s">
        <v>137</v>
      </c>
      <c r="C9" s="104">
        <f>K25+K16+K17</f>
        <v>604</v>
      </c>
      <c r="D9" s="104">
        <f t="shared" si="0"/>
        <v>767.08</v>
      </c>
      <c r="E9" s="105"/>
      <c r="F9" s="94"/>
      <c r="G9" s="94"/>
      <c r="H9" s="100" t="s">
        <v>105</v>
      </c>
      <c r="I9" s="137">
        <f>ELECT.!P2</f>
        <v>7910768</v>
      </c>
      <c r="J9" s="133">
        <f>ELECT.!P32</f>
        <v>0</v>
      </c>
      <c r="K9" s="91">
        <f>J9-I9</f>
        <v>-7910768</v>
      </c>
    </row>
    <row r="10" spans="1:13" ht="13.5" thickBot="1" x14ac:dyDescent="0.25">
      <c r="A10" s="94"/>
      <c r="B10" s="100" t="s">
        <v>106</v>
      </c>
      <c r="C10" s="104">
        <f>K18</f>
        <v>1280</v>
      </c>
      <c r="D10" s="104">
        <f t="shared" si="0"/>
        <v>1625.6</v>
      </c>
      <c r="E10" s="105"/>
      <c r="F10" s="94"/>
      <c r="G10" s="94"/>
      <c r="H10" s="100" t="s">
        <v>107</v>
      </c>
      <c r="I10" s="137">
        <f>ELECT.!R2</f>
        <v>22213458</v>
      </c>
      <c r="J10" s="133">
        <f>ELECT.!R32</f>
        <v>0</v>
      </c>
      <c r="K10" s="91">
        <f>J10-I10</f>
        <v>-22213458</v>
      </c>
    </row>
    <row r="11" spans="1:13" ht="13.5" thickBot="1" x14ac:dyDescent="0.25">
      <c r="A11" s="94"/>
      <c r="B11" s="100" t="s">
        <v>108</v>
      </c>
      <c r="C11" s="104">
        <f>K19+K20</f>
        <v>359</v>
      </c>
      <c r="D11" s="104">
        <f t="shared" si="0"/>
        <v>455.93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236531</v>
      </c>
      <c r="J12" s="133">
        <f>ELECT.!V32</f>
        <v>0</v>
      </c>
      <c r="K12" s="91">
        <f>(J12-I12)*2</f>
        <v>-473062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-46494495</v>
      </c>
    </row>
    <row r="14" spans="1:13" ht="13.5" thickBot="1" x14ac:dyDescent="0.25">
      <c r="A14" s="94"/>
      <c r="B14" s="100" t="s">
        <v>42</v>
      </c>
      <c r="C14" s="104">
        <f>K29</f>
        <v>-4597950</v>
      </c>
      <c r="D14" s="112">
        <f t="shared" ref="D14:D22" si="1">C14*10.03</f>
        <v>-46117438.5</v>
      </c>
      <c r="E14" s="113"/>
      <c r="F14" s="94"/>
      <c r="G14" s="94"/>
      <c r="H14" s="100" t="s">
        <v>114</v>
      </c>
      <c r="I14" s="109"/>
      <c r="J14" s="110"/>
      <c r="K14" s="92">
        <f>K5-K13</f>
        <v>8621441</v>
      </c>
    </row>
    <row r="15" spans="1:13" ht="13.5" thickBot="1" x14ac:dyDescent="0.25">
      <c r="A15" s="94"/>
      <c r="B15" s="100" t="s">
        <v>115</v>
      </c>
      <c r="C15" s="114">
        <f>K30</f>
        <v>-21823.208999999999</v>
      </c>
      <c r="D15" s="112">
        <f t="shared" si="1"/>
        <v>-218886.78626999998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-603900.5870538</v>
      </c>
      <c r="D16" s="112">
        <f t="shared" si="1"/>
        <v>-6057122.8881496135</v>
      </c>
      <c r="E16" s="113"/>
      <c r="F16" s="94"/>
      <c r="G16" s="94"/>
      <c r="H16" s="115" t="s">
        <v>136</v>
      </c>
      <c r="I16" s="116">
        <f>'Mall, Citadel, Rotana'!T2</f>
        <v>4046</v>
      </c>
      <c r="J16" s="116">
        <f>'Mall, Citadel, Rotana'!T32</f>
        <v>4047</v>
      </c>
      <c r="K16" s="93">
        <f>(J16-I16)*160</f>
        <v>160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330607</v>
      </c>
      <c r="J17" s="116">
        <f>'Mall, Citadel, Rotana'!J32</f>
        <v>331042</v>
      </c>
      <c r="K17" s="93">
        <f>(J17-I17)</f>
        <v>435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26449</v>
      </c>
      <c r="J18" s="116">
        <f>'Mall, Citadel, Rotana'!L32</f>
        <v>26457</v>
      </c>
      <c r="K18" s="93">
        <f>(J18-I18)*160</f>
        <v>1280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167701</v>
      </c>
      <c r="J19" s="116">
        <f>'Mall, Citadel, Rotana'!P32</f>
        <v>168060</v>
      </c>
      <c r="K19" s="93">
        <f>J19-I19</f>
        <v>359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47509</v>
      </c>
      <c r="J21" s="116">
        <f>'Mall, Citadel, Rotana'!B32</f>
        <v>47522</v>
      </c>
      <c r="K21" s="93">
        <f>(J21-I21)*120</f>
        <v>1560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-3978046.2039462002</v>
      </c>
      <c r="D22" s="112">
        <f t="shared" si="1"/>
        <v>-39899803.425580382</v>
      </c>
      <c r="E22" s="113"/>
      <c r="F22" s="94"/>
      <c r="G22" s="94"/>
      <c r="H22" s="115" t="s">
        <v>15</v>
      </c>
      <c r="I22" s="116">
        <f>'Mall, Citadel, Rotana'!D2</f>
        <v>40924</v>
      </c>
      <c r="J22" s="116">
        <f>'Mall, Citadel, Rotana'!D32</f>
        <v>40933</v>
      </c>
      <c r="K22" s="93">
        <f>(J22-I22)*160</f>
        <v>1440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22019</v>
      </c>
      <c r="J23" s="116">
        <f>'Mall, Citadel, Rotana'!F32</f>
        <v>22030</v>
      </c>
      <c r="K23" s="93">
        <f>(J23-I23)*20</f>
        <v>220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257970</v>
      </c>
      <c r="J24" s="116">
        <f>'Mall, Citadel, Rotana'!H32</f>
        <v>258058</v>
      </c>
      <c r="K24" s="93">
        <f>J24-I24</f>
        <v>88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226330</v>
      </c>
      <c r="J25" s="116">
        <f>'Mall, Citadel, Rotana'!N32</f>
        <v>226339</v>
      </c>
      <c r="K25" s="93">
        <f>J25-I25</f>
        <v>9</v>
      </c>
    </row>
    <row r="26" spans="1:11" ht="13.5" thickBot="1" x14ac:dyDescent="0.25">
      <c r="A26" s="94"/>
      <c r="B26" s="100" t="s">
        <v>42</v>
      </c>
      <c r="C26" s="118">
        <f>K35</f>
        <v>5641</v>
      </c>
      <c r="D26" s="104">
        <f>C26*3.65</f>
        <v>20589.649999999998</v>
      </c>
      <c r="E26" s="105"/>
      <c r="F26" s="94"/>
      <c r="G26" s="94"/>
      <c r="H26" s="115" t="s">
        <v>123</v>
      </c>
      <c r="I26" s="125">
        <f>ELECT.!C2</f>
        <v>20060</v>
      </c>
      <c r="J26" s="125">
        <f>ELECT.!C32</f>
        <v>0</v>
      </c>
      <c r="K26" s="93">
        <f>(J26-I26)*160</f>
        <v>-3209600</v>
      </c>
    </row>
    <row r="27" spans="1:11" ht="13.5" thickBot="1" x14ac:dyDescent="0.25">
      <c r="A27" s="94"/>
      <c r="B27" s="95" t="s">
        <v>124</v>
      </c>
      <c r="C27" s="118">
        <f>C26</f>
        <v>5641</v>
      </c>
      <c r="D27" s="104">
        <f>C27*3.65</f>
        <v>20589.649999999998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459795</v>
      </c>
      <c r="J29" s="116">
        <f>Water!B32</f>
        <v>0</v>
      </c>
      <c r="K29" s="93">
        <f>(J29-I29)*10</f>
        <v>-4597950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808267</v>
      </c>
      <c r="J30" s="116">
        <f>Water!H32</f>
        <v>0</v>
      </c>
      <c r="K30" s="93">
        <f>(J30-I30)*0.027</f>
        <v>-21823.208999999999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12991</v>
      </c>
      <c r="J31" s="116">
        <f>Water!D32</f>
        <v>0</v>
      </c>
      <c r="K31" s="93">
        <f>(J31-I31)*0.027</f>
        <v>-350.75700000000001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11222500</v>
      </c>
      <c r="J32" s="116">
        <f>Water!F32</f>
        <v>0</v>
      </c>
      <c r="K32" s="93">
        <f>(J32-I32)*0.027</f>
        <v>-303007.5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18426641</v>
      </c>
      <c r="K35" s="124">
        <f>J35-I35</f>
        <v>5641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2022-09-04T00:16:00Z</dcterms:modified>
</cp:coreProperties>
</file>