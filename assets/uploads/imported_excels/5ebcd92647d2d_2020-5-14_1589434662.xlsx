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2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58" i="3"/>
  <c r="N17" i="12"/>
  <c r="P17"/>
  <c r="E16" i="3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S35" i="18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S14" i="18" s="1"/>
  <c r="T19" i="1"/>
  <c r="S12" i="18" s="1"/>
  <c r="T16" i="1"/>
  <c r="S9" i="18" s="1"/>
  <c r="T17" i="1"/>
  <c r="S10" i="18" s="1"/>
  <c r="T15" i="1"/>
  <c r="S8" i="18" s="1"/>
  <c r="G12" i="15"/>
  <c r="T14" i="1"/>
  <c r="S7" i="18" s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S18" i="18" s="1"/>
  <c r="T26" i="1"/>
  <c r="S19" i="18" s="1"/>
  <c r="T27" i="1"/>
  <c r="S20" i="18" s="1"/>
  <c r="T28" i="1"/>
  <c r="S21" i="18" s="1"/>
  <c r="T24" i="1"/>
  <c r="S17" i="18" s="1"/>
  <c r="T29" i="1"/>
  <c r="S22" i="18" s="1"/>
  <c r="T30" i="1"/>
  <c r="S23" i="18" s="1"/>
  <c r="T31" i="1"/>
  <c r="S24" i="18" s="1"/>
  <c r="T32" i="1"/>
  <c r="S25" i="18" s="1"/>
  <c r="T33" i="1"/>
  <c r="S26" i="18" s="1"/>
  <c r="T34" i="1"/>
  <c r="S27" i="18" s="1"/>
  <c r="T35" i="1"/>
  <c r="S28" i="18" s="1"/>
  <c r="T36" i="1"/>
  <c r="S29" i="18" s="1"/>
  <c r="T37" i="1"/>
  <c r="S30" i="18" s="1"/>
  <c r="T38" i="1"/>
  <c r="S31" i="18" s="1"/>
  <c r="T39" i="1"/>
  <c r="S32" i="18" s="1"/>
  <c r="T40" i="1"/>
  <c r="S33" i="18" s="1"/>
  <c r="T23" i="1"/>
  <c r="S16" i="18" s="1"/>
  <c r="T22" i="1"/>
  <c r="S15" i="18" s="1"/>
  <c r="Q15" i="3"/>
  <c r="T20" i="1"/>
  <c r="S13" i="18" s="1"/>
  <c r="T18" i="1"/>
  <c r="S11" i="18" s="1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S34" i="18" s="1"/>
  <c r="AD11" i="3"/>
  <c r="AD12"/>
  <c r="AD13"/>
  <c r="AD14"/>
  <c r="AD15"/>
  <c r="AD16"/>
  <c r="K9" i="12"/>
  <c r="AK15" i="1"/>
  <c r="AK16"/>
  <c r="AK13"/>
  <c r="AK14"/>
  <c r="T13" l="1"/>
  <c r="S6" i="18" s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F15"/>
  <c r="E17" i="3"/>
  <c r="F16" i="23" s="1"/>
  <c r="G34" i="24" l="1"/>
  <c r="F36" i="2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AC13" s="1"/>
  <c r="V12"/>
  <c r="X12" s="1"/>
  <c r="J13" i="23" s="1"/>
  <c r="O13" i="18"/>
  <c r="D12"/>
  <c r="F12" s="1"/>
  <c r="H12"/>
  <c r="M12" s="1"/>
  <c r="T12" s="1"/>
  <c r="Y12" s="1"/>
  <c r="AA12"/>
  <c r="AC12" s="1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N16" i="25"/>
  <c r="L16"/>
  <c r="M16"/>
  <c r="F20" i="3"/>
  <c r="C20"/>
  <c r="AK19"/>
  <c r="AH19"/>
  <c r="AE19"/>
  <c r="AB19"/>
  <c r="Y19"/>
  <c r="V19"/>
  <c r="N15" i="25"/>
  <c r="L15"/>
  <c r="M15"/>
  <c r="F19" i="3"/>
  <c r="C19"/>
  <c r="AK18"/>
  <c r="AH18"/>
  <c r="AE18"/>
  <c r="AB18"/>
  <c r="Y18"/>
  <c r="V18"/>
  <c r="N14" i="25"/>
  <c r="L14"/>
  <c r="M14"/>
  <c r="F18" i="3"/>
  <c r="C18"/>
  <c r="AK17"/>
  <c r="AH17"/>
  <c r="AE17"/>
  <c r="AB17"/>
  <c r="Y17"/>
  <c r="V17"/>
  <c r="N13" i="25"/>
  <c r="L13"/>
  <c r="M13"/>
  <c r="F17" i="3"/>
  <c r="K16" i="11"/>
  <c r="C17" i="3"/>
  <c r="AK16"/>
  <c r="AH16"/>
  <c r="AE16"/>
  <c r="AB16"/>
  <c r="Y16"/>
  <c r="V16"/>
  <c r="N12" i="25"/>
  <c r="L12"/>
  <c r="M12"/>
  <c r="F16" i="3"/>
  <c r="N16" i="13"/>
  <c r="C16" i="3"/>
  <c r="AK15"/>
  <c r="AH15"/>
  <c r="AE15"/>
  <c r="AB15"/>
  <c r="Y15"/>
  <c r="V15"/>
  <c r="N11" i="25"/>
  <c r="L11"/>
  <c r="M11"/>
  <c r="F15" i="3"/>
  <c r="P11" i="25"/>
  <c r="C15" i="3"/>
  <c r="AK14"/>
  <c r="AH14"/>
  <c r="AE14"/>
  <c r="AB14"/>
  <c r="Y14"/>
  <c r="V14"/>
  <c r="N10" i="25"/>
  <c r="L10"/>
  <c r="M10"/>
  <c r="F14" i="3"/>
  <c r="K13" i="11"/>
  <c r="C14" i="3"/>
  <c r="AK13"/>
  <c r="AH13"/>
  <c r="AE13"/>
  <c r="AB13"/>
  <c r="Y13"/>
  <c r="V13"/>
  <c r="N9" i="25"/>
  <c r="L9"/>
  <c r="M9"/>
  <c r="F13" i="3"/>
  <c r="N13" i="13"/>
  <c r="C13" i="3"/>
  <c r="AK12"/>
  <c r="AH12"/>
  <c r="AE12"/>
  <c r="AB12"/>
  <c r="Y12"/>
  <c r="V12"/>
  <c r="N8" i="25"/>
  <c r="L8"/>
  <c r="M8"/>
  <c r="F12" i="3"/>
  <c r="N12" i="13"/>
  <c r="C12" i="3"/>
  <c r="AK11"/>
  <c r="AH11"/>
  <c r="AE11"/>
  <c r="AB11"/>
  <c r="Y11"/>
  <c r="V1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AI9" i="13" l="1"/>
  <c r="Q14" i="18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L20" s="1"/>
  <c r="J23"/>
  <c r="L23" s="1"/>
  <c r="J25"/>
  <c r="L25" s="1"/>
  <c r="J33"/>
  <c r="L33" s="1"/>
  <c r="J29"/>
  <c r="L29" s="1"/>
  <c r="J16"/>
  <c r="L16" s="1"/>
  <c r="J19"/>
  <c r="L19" s="1"/>
  <c r="J22"/>
  <c r="L22" s="1"/>
  <c r="J34"/>
  <c r="L34" s="1"/>
  <c r="J30"/>
  <c r="L30" s="1"/>
  <c r="J26"/>
  <c r="L26" s="1"/>
  <c r="J17"/>
  <c r="L17" s="1"/>
  <c r="J28"/>
  <c r="L28" s="1"/>
  <c r="J7"/>
  <c r="L7" s="1"/>
  <c r="J9"/>
  <c r="L9" s="1"/>
  <c r="J12"/>
  <c r="L12" s="1"/>
  <c r="J15"/>
  <c r="L15" s="1"/>
  <c r="J18"/>
  <c r="L18" s="1"/>
  <c r="J21"/>
  <c r="L21" s="1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I18"/>
  <c r="B39" i="14"/>
  <c r="R17"/>
  <c r="I16" i="23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I8" i="11"/>
  <c r="F17" i="14"/>
  <c r="I36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  <c r="Q5" i="25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W15" i="25" s="1"/>
  <c r="AN16" i="3"/>
  <c r="G15" i="23" s="1"/>
  <c r="AN20" i="3"/>
  <c r="W16" i="25" s="1"/>
  <c r="AN17" i="3"/>
  <c r="W13" i="25" s="1"/>
  <c r="AN12" i="3"/>
  <c r="G11" i="23" s="1"/>
  <c r="AN18" i="3"/>
  <c r="G17" i="23" s="1"/>
  <c r="AN11" i="3"/>
  <c r="W7" i="25" s="1"/>
  <c r="AN15" i="3"/>
  <c r="W11" i="25" s="1"/>
  <c r="U38" i="3"/>
  <c r="AN38" s="1"/>
  <c r="W2" i="25" l="1"/>
  <c r="G8" i="23"/>
  <c r="G19"/>
  <c r="W14" i="25"/>
  <c r="G16" i="23"/>
  <c r="W12" i="25"/>
  <c r="G14" i="23"/>
  <c r="W10" i="25"/>
  <c r="AN37" i="3"/>
  <c r="G36" i="23" s="1"/>
  <c r="G10"/>
  <c r="W8" i="25"/>
  <c r="G18" i="23"/>
  <c r="G9"/>
  <c r="W4" i="25"/>
  <c r="G6" i="23"/>
  <c r="W9" i="25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<sst xmlns="http://schemas.openxmlformats.org/spreadsheetml/2006/main" count="532" uniqueCount="320">
  <si>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</si>
  <si>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</si>
  <si>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</si>
  <si>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</si>
  <si>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</si>
  <si>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</si>
  <si>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</si>
  <si>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</si>
  <si>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</si>
  <si>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</si>
  <si>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</si>
  <si>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</si>
  <si>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</si>
  <si>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</si>
  <si>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</si>
  <si>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</si>
  <si>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</si>
  <si>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</si>
  <si>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</si>
  <si>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</si>
  <si>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</si>
  <si>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</si>
  <si>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</si>
  <si>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</si>
  <si>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</si>
  <si>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</si>
  <si>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</si>
  <si>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</si>
  <si>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</si>
  <si>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</si>
  <si>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</si>
  <si>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</si>
  <si>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</si>
  <si>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</si>
  <si>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</si>
  <si>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</si>
  <si>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</si>
  <si>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</si>
  <si>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</si>
  <si>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</si>
  <si>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</si>
  <si>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</si>
  <si>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</si>
  <si>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</si>
  <si>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</si>
  <si>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</si>
  <si>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</si>
  <si>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</si>
  <si>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</si>
  <si>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</si>
  <si>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</si>
  <si>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</si>
  <si>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</si>
  <si>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</si>
  <si>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</si>
  <si>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</si>
  <si>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</si>
  <si>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</si>
  <si>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</si>
  <si>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</si>
  <si>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</si>
  <si>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</si>
  <si>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</si>
  <si>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</si>
  <si>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</si>
  <si>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</si>
  <si>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</si>
  <si>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</si>
  <si>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</si>
  <si>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</si>
  <si>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</si>
  <si>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</si>
  <si>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</si>
  <si>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</si>
  <si>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</si>
  <si>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</si>
  <si>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</si>
  <si>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</si>
  <si>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</si>
  <si>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</si>
  <si>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</si>
  <si>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</si>
  <si>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</si>
  <si>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</si>
  <si>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</si>
  <si>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</si>
  <si>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</si>
  <si>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</si>
  <si>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</si>
  <si>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</si>
  <si>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</si>
  <si>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</si>
  <si>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</si>
  <si>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</si>
  <si>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</si>
  <si>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</si>
  <si>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</si>
  <si>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</si>
  <si>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</si>
  <si>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</si>
  <si>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</si>
  <si>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</si>
  <si>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</si>
  <si>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</si>
  <si>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</si>
  <si>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</si>
  <si>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</si>
  <si>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</si>
  <si>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</si>
  <si>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</si>
  <si>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</si>
  <si>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</si>
  <si>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</si>
  <si>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</si>
  <si>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</si>
  <si>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</si>
  <si>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</si>
  <si>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</si>
  <si>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</si>
  <si>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</si>
  <si>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</si>
  <si>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</si>
  <si>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</si>
  <si>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</si>
  <si>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</si>
  <si>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</si>
  <si>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</si>
  <si>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</si>
  <si>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</si>
  <si>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</si>
  <si>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</si>
  <si>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</si>
  <si>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</si>
  <si>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</si>
  <si>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</si>
  <si>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</si>
  <si>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</si>
  <si>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</si>
  <si>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</si>
  <si>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</si>
  <si>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</si>
  <si>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</si>
  <si>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</si>
  <si>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</si>
  <si>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</si>
  <si>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</si>
  <si>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</si>
  <si>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</si>
  <si>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</si>
  <si>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</si>
  <si>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</si>
  <si>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</si>
  <si>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</si>
  <si>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</si>
  <si>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</si>
  <si>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</si>
  <si>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</si>
  <si>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</si>
  <si>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</si>
  <si>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</si>
  <si>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</si>
  <si>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</si>
  <si>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</si>
  <si>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</si>
  <si>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</si>
  <si>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</si>
  <si>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</si>
  <si>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</si>
  <si>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</si>
  <si>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</si>
  <si>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</si>
  <si>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</si>
  <si>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</si>
  <si>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</si>
  <si>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</si>
  <si>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</si>
  <si>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</si>
  <si>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</si>
  <si>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</si>
  <si>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</si>
  <si>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</si>
  <si>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</si>
  <si>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</si>
  <si>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</si>
  <si>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</si>
  <si>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</si>
  <si>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</si>
  <si>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</si>
  <si>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</si>
  <si>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</si>
  <si>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</si>
  <si>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</si>
  <si>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</si>
  <si>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</si>
  <si>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</si>
  <si>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</si>
  <si>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</si>
  <si>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</si>
  <si>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</si>
  <si>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</si>
  <si>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</si>
  <si>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</si>
  <si>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</si>
  <si>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</si>
  <si>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</si>
  <si>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</si>
  <si>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</si>
  <si>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</si>
  <si>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</si>
  <si>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</si>
  <si>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</si>
  <si>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</si>
  <si>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</si>
  <si>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</si>
  <si>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</si>
  <si>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</si>
  <si>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</si>
  <si>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</si>
  <si>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</si>
  <si>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</si>
  <si>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</si>
  <si>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</si>
  <si>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</si>
  <si>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</si>
  <si>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</si>
  <si>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</si>
  <si>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</si>
  <si>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</si>
  <si>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</si>
  <si>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</si>
  <si>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</si>
  <si>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</si>
  <si>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</si>
  <si>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</si>
  <si>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</si>
  <si>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</si>
  <si>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</si>
  <si>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</si>
  <si>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</si>
  <si>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</si>
  <si>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</si>
  <si>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</si>
  <si>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</si>
  <si>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</si>
  <si>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</si>
  <si>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</si>
  <si>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</si>
  <si>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</si>
  <si>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</si>
  <si>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</si>
  <si>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</si>
  <si>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</si>
  <si>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</si>
  <si>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</si>
  <si>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</si>
  <si>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</si>
  <si>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</si>
  <si>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</si>
  <si>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</si>
  <si>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</si>
  <si>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</si>
  <si>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</si>
  <si>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</si>
  <si>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</si>
  <si>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</si>
  <si>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</si>
  <si>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</si>
  <si>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</si>
  <si>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</si>
  <si>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</si>
  <si>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</si>
  <si>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</si>
  <si>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</si>
  <si>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</si>
  <si>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</si>
  <si>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</si>
  <si>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</si>
  <si>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</si>
  <si>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</si>
  <si>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</si>
  <si>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</si>
  <si>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</si>
  <si>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</si>
  <si>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</si>
  <si>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</si>
  <si>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</si>
  <si>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</si>
  <si>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</si>
  <si>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</si>
  <si>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</si>
  <si>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</si>
  <si>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</si>
  <si>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</si>
  <si>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</si>
  <si>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</si>
  <si>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</si>
  <si>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</si>
  <si>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</si>
  <si>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</si>
  <si>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</si>
  <si>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</si>
  <si>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</si>
  <si>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</si>
  <si>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</si>
  <si>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</si>
  <si>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</si>
  <si>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</si>
  <si>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</si>
  <si>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</si>
  <si>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</si>
  <si>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</si>
  <si>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</si>
  <si>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</si>
  <si>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</si>
  <si>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</si>
  <si>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</si>
  <si>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</si>
  <si>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</si>
  <si>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>DAILY UTILITY REPORT MAY 2020</t>
  </si>
  <si>
    <t>RAHA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</si>
</sst>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1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166" fontId="16" fillId="7" borderId="57" xfId="1" applyNumberFormat="1" applyFont="1" applyFill="1" applyBorder="1" applyAlignment="1">
      <alignment horizontal="center"/>
    </xf>
    <xf numFmtId="165" fontId="11" fillId="16" borderId="22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659.29</c:v>
                </c:pt>
                <c:pt idx="2">
                  <c:v>633.92999999999995</c:v>
                </c:pt>
                <c:pt idx="3">
                  <c:v>646.24</c:v>
                </c:pt>
                <c:pt idx="4">
                  <c:v>627.88</c:v>
                </c:pt>
                <c:pt idx="5">
                  <c:v>637.52</c:v>
                </c:pt>
                <c:pt idx="6">
                  <c:v>692.82999999999993</c:v>
                </c:pt>
                <c:pt idx="7">
                  <c:v>662.1</c:v>
                </c:pt>
                <c:pt idx="8">
                  <c:v>652.33000000000004</c:v>
                </c:pt>
                <c:pt idx="9">
                  <c:v>675.39</c:v>
                </c:pt>
                <c:pt idx="10">
                  <c:v>719.01</c:v>
                </c:pt>
                <c:pt idx="11">
                  <c:v>656.19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32479232"/>
        <c:axId val="132485120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2486656"/>
        <c:axId val="132488192"/>
      </c:lineChart>
      <c:catAx>
        <c:axId val="132479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85120"/>
        <c:crosses val="autoZero"/>
        <c:auto val="1"/>
        <c:lblAlgn val="ctr"/>
        <c:lblOffset val="100"/>
      </c:catAx>
      <c:valAx>
        <c:axId val="132485120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79232"/>
        <c:crosses val="autoZero"/>
        <c:crossBetween val="between"/>
        <c:majorUnit val="200"/>
      </c:valAx>
      <c:catAx>
        <c:axId val="132486656"/>
        <c:scaling>
          <c:orientation val="minMax"/>
        </c:scaling>
        <c:delete val="1"/>
        <c:axPos val="b"/>
        <c:tickLblPos val="none"/>
        <c:crossAx val="132488192"/>
        <c:crosses val="autoZero"/>
        <c:auto val="1"/>
        <c:lblAlgn val="ctr"/>
        <c:lblOffset val="100"/>
      </c:catAx>
      <c:valAx>
        <c:axId val="13248819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4866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34500736"/>
        <c:axId val="134502272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34503808"/>
        <c:axId val="134505600"/>
      </c:lineChart>
      <c:catAx>
        <c:axId val="134500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02272"/>
        <c:crosses val="autoZero"/>
        <c:auto val="1"/>
        <c:lblAlgn val="ctr"/>
        <c:lblOffset val="100"/>
      </c:catAx>
      <c:valAx>
        <c:axId val="134502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00736"/>
        <c:crosses val="autoZero"/>
        <c:crossBetween val="between"/>
        <c:majorUnit val="200"/>
      </c:valAx>
      <c:catAx>
        <c:axId val="134503808"/>
        <c:scaling>
          <c:orientation val="minMax"/>
        </c:scaling>
        <c:delete val="1"/>
        <c:axPos val="b"/>
        <c:tickLblPos val="none"/>
        <c:crossAx val="134505600"/>
        <c:crosses val="autoZero"/>
        <c:auto val="1"/>
        <c:lblAlgn val="ctr"/>
        <c:lblOffset val="100"/>
      </c:catAx>
      <c:valAx>
        <c:axId val="1345056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5038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34776320"/>
        <c:axId val="134777856"/>
      </c:lineChart>
      <c:catAx>
        <c:axId val="13477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77856"/>
        <c:crosses val="autoZero"/>
        <c:auto val="1"/>
        <c:lblAlgn val="ctr"/>
        <c:lblOffset val="200"/>
        <c:tickLblSkip val="1"/>
      </c:catAx>
      <c:valAx>
        <c:axId val="1347778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7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34794240"/>
        <c:axId val="161043200"/>
      </c:lineChart>
      <c:catAx>
        <c:axId val="134794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43200"/>
        <c:crosses val="autoZero"/>
        <c:auto val="1"/>
        <c:lblAlgn val="ctr"/>
        <c:lblOffset val="100"/>
      </c:catAx>
      <c:valAx>
        <c:axId val="16104320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794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61080064"/>
        <c:axId val="161081984"/>
      </c:lineChart>
      <c:catAx>
        <c:axId val="1610800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81984"/>
        <c:crosses val="autoZero"/>
        <c:auto val="1"/>
        <c:lblAlgn val="ctr"/>
        <c:lblOffset val="100"/>
      </c:catAx>
      <c:valAx>
        <c:axId val="1610819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8006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34601728"/>
        <c:axId val="161072256"/>
      </c:lineChart>
      <c:catAx>
        <c:axId val="134601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072256"/>
        <c:crosses val="autoZero"/>
        <c:auto val="1"/>
        <c:lblAlgn val="ctr"/>
        <c:lblOffset val="100"/>
      </c:catAx>
      <c:valAx>
        <c:axId val="16107225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4601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-313512.67200000002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61625600"/>
        <c:axId val="161627136"/>
      </c:lineChart>
      <c:catAx>
        <c:axId val="1616256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7136"/>
        <c:crosses val="autoZero"/>
        <c:auto val="1"/>
        <c:lblAlgn val="ctr"/>
        <c:lblOffset val="100"/>
      </c:catAx>
      <c:valAx>
        <c:axId val="16162713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256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61673216"/>
        <c:axId val="161674752"/>
      </c:lineChart>
      <c:catAx>
        <c:axId val="1616732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74752"/>
        <c:crosses val="autoZero"/>
        <c:auto val="1"/>
        <c:lblAlgn val="ctr"/>
        <c:lblOffset val="100"/>
      </c:catAx>
      <c:valAx>
        <c:axId val="1616747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6732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659.29</c:v>
                </c:pt>
                <c:pt idx="5">
                  <c:v>633.92999999999995</c:v>
                </c:pt>
                <c:pt idx="6">
                  <c:v>646.24</c:v>
                </c:pt>
                <c:pt idx="7">
                  <c:v>627.88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652.33000000000004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2104448"/>
        <c:axId val="162105984"/>
      </c:lineChart>
      <c:catAx>
        <c:axId val="162104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05984"/>
        <c:crosses val="autoZero"/>
        <c:auto val="1"/>
        <c:lblAlgn val="ctr"/>
        <c:lblOffset val="100"/>
      </c:catAx>
      <c:valAx>
        <c:axId val="162105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104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62"/>
          <c:y val="7.471324705110772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2859648"/>
        <c:axId val="162873728"/>
      </c:lineChart>
      <c:catAx>
        <c:axId val="162859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73728"/>
        <c:crosses val="autoZero"/>
        <c:auto val="1"/>
        <c:lblAlgn val="ctr"/>
        <c:lblOffset val="200"/>
        <c:tickLblSkip val="1"/>
      </c:catAx>
      <c:valAx>
        <c:axId val="16287372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859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2906880"/>
        <c:axId val="162908416"/>
      </c:lineChart>
      <c:catAx>
        <c:axId val="162906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08416"/>
        <c:crosses val="autoZero"/>
        <c:auto val="1"/>
        <c:lblAlgn val="ctr"/>
        <c:lblOffset val="100"/>
      </c:catAx>
      <c:valAx>
        <c:axId val="162908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906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2670848"/>
        <c:axId val="162713984"/>
      </c:lineChart>
      <c:catAx>
        <c:axId val="162670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713984"/>
        <c:crosses val="autoZero"/>
        <c:auto val="1"/>
        <c:lblAlgn val="ctr"/>
        <c:lblOffset val="100"/>
      </c:catAx>
      <c:valAx>
        <c:axId val="16271398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6708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3226368"/>
        <c:axId val="163228288"/>
      </c:lineChart>
      <c:catAx>
        <c:axId val="16322636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28288"/>
        <c:crosses val="autoZero"/>
        <c:auto val="1"/>
        <c:lblAlgn val="ctr"/>
        <c:lblOffset val="100"/>
      </c:catAx>
      <c:valAx>
        <c:axId val="1632282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22636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3589120"/>
        <c:axId val="163595008"/>
      </c:lineChart>
      <c:catAx>
        <c:axId val="16358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95008"/>
        <c:crosses val="autoZero"/>
        <c:auto val="1"/>
        <c:lblAlgn val="ctr"/>
        <c:lblOffset val="100"/>
      </c:catAx>
      <c:valAx>
        <c:axId val="16359500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58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3628544"/>
        <c:axId val="163630080"/>
      </c:lineChart>
      <c:catAx>
        <c:axId val="16362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30080"/>
        <c:crosses val="autoZero"/>
        <c:auto val="1"/>
        <c:lblAlgn val="ctr"/>
        <c:lblOffset val="100"/>
      </c:catAx>
      <c:valAx>
        <c:axId val="1636300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62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3400320"/>
        <c:axId val="163410304"/>
      </c:lineChart>
      <c:catAx>
        <c:axId val="163400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10304"/>
        <c:crosses val="autoZero"/>
        <c:auto val="1"/>
        <c:lblAlgn val="ctr"/>
        <c:lblOffset val="100"/>
      </c:catAx>
      <c:valAx>
        <c:axId val="1634103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400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909"/>
          <c:y val="7.471324705110811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3926784"/>
        <c:axId val="163928320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3934208"/>
        <c:axId val="163935744"/>
      </c:lineChart>
      <c:catAx>
        <c:axId val="163926784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28320"/>
        <c:crosses val="autoZero"/>
        <c:lblAlgn val="ctr"/>
        <c:lblOffset val="100"/>
        <c:tickMarkSkip val="1"/>
      </c:catAx>
      <c:valAx>
        <c:axId val="16392832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26784"/>
        <c:crosses val="autoZero"/>
        <c:crossBetween val="between"/>
      </c:valAx>
      <c:catAx>
        <c:axId val="163934208"/>
        <c:scaling>
          <c:orientation val="minMax"/>
        </c:scaling>
        <c:delete val="1"/>
        <c:axPos val="b"/>
        <c:numFmt formatCode="[$-409]d\-mmm\-yy;@" sourceLinked="1"/>
        <c:tickLblPos val="none"/>
        <c:crossAx val="163935744"/>
        <c:crosses val="autoZero"/>
        <c:lblAlgn val="ctr"/>
        <c:lblOffset val="100"/>
      </c:catAx>
      <c:valAx>
        <c:axId val="163935744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393420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5418496"/>
        <c:axId val="165420032"/>
      </c:lineChart>
      <c:catAx>
        <c:axId val="165418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20032"/>
        <c:crosses val="autoZero"/>
        <c:auto val="1"/>
        <c:lblAlgn val="ctr"/>
        <c:lblOffset val="100"/>
      </c:catAx>
      <c:valAx>
        <c:axId val="165420032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1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75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5448704"/>
        <c:axId val="165462784"/>
      </c:lineChart>
      <c:catAx>
        <c:axId val="1654487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62784"/>
        <c:crosses val="autoZero"/>
        <c:auto val="1"/>
        <c:lblAlgn val="ctr"/>
        <c:lblOffset val="100"/>
      </c:catAx>
      <c:valAx>
        <c:axId val="165462784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4487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5919744"/>
        <c:axId val="16592563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5927168"/>
        <c:axId val="166334464"/>
      </c:lineChart>
      <c:catAx>
        <c:axId val="1659197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25632"/>
        <c:crosses val="autoZero"/>
        <c:lblAlgn val="ctr"/>
        <c:lblOffset val="100"/>
        <c:tickMarkSkip val="1"/>
      </c:catAx>
      <c:valAx>
        <c:axId val="1659256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19744"/>
        <c:crosses val="autoZero"/>
        <c:crossBetween val="between"/>
      </c:valAx>
      <c:catAx>
        <c:axId val="165927168"/>
        <c:scaling>
          <c:orientation val="minMax"/>
        </c:scaling>
        <c:delete val="1"/>
        <c:axPos val="b"/>
        <c:numFmt formatCode="General" sourceLinked="1"/>
        <c:tickLblPos val="none"/>
        <c:crossAx val="166334464"/>
        <c:crosses val="autoZero"/>
        <c:lblAlgn val="ctr"/>
        <c:lblOffset val="100"/>
      </c:catAx>
      <c:valAx>
        <c:axId val="16633446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59271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6370688"/>
        <c:axId val="166372480"/>
      </c:lineChart>
      <c:catAx>
        <c:axId val="166370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72480"/>
        <c:crosses val="autoZero"/>
        <c:auto val="1"/>
        <c:lblAlgn val="ctr"/>
        <c:lblOffset val="100"/>
      </c:catAx>
      <c:valAx>
        <c:axId val="16637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370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1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6536320"/>
        <c:axId val="166537856"/>
      </c:lineChart>
      <c:catAx>
        <c:axId val="16653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37856"/>
        <c:crosses val="autoZero"/>
        <c:auto val="1"/>
        <c:lblAlgn val="ctr"/>
        <c:lblOffset val="100"/>
      </c:catAx>
      <c:valAx>
        <c:axId val="1665378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3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67049088"/>
        <c:axId val="167050624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33317760"/>
        <c:axId val="133319296"/>
      </c:lineChart>
      <c:catAx>
        <c:axId val="16704908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50624"/>
        <c:crosses val="autoZero"/>
        <c:lblAlgn val="ctr"/>
        <c:lblOffset val="100"/>
        <c:tickMarkSkip val="1"/>
      </c:catAx>
      <c:valAx>
        <c:axId val="167050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049088"/>
        <c:crosses val="autoZero"/>
        <c:crossBetween val="between"/>
      </c:valAx>
      <c:catAx>
        <c:axId val="133317760"/>
        <c:scaling>
          <c:orientation val="minMax"/>
        </c:scaling>
        <c:delete val="1"/>
        <c:axPos val="b"/>
        <c:numFmt formatCode="[$-409]d\-mmm\-yy;@" sourceLinked="1"/>
        <c:tickLblPos val="none"/>
        <c:crossAx val="133319296"/>
        <c:crosses val="autoZero"/>
        <c:lblAlgn val="ctr"/>
        <c:lblOffset val="100"/>
      </c:catAx>
      <c:valAx>
        <c:axId val="13331929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33177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91230592"/>
        <c:axId val="912321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91233664"/>
        <c:axId val="91243648"/>
      </c:lineChart>
      <c:catAx>
        <c:axId val="91230592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32128"/>
        <c:crosses val="autoZero"/>
        <c:lblAlgn val="ctr"/>
        <c:lblOffset val="100"/>
        <c:tickMarkSkip val="1"/>
      </c:catAx>
      <c:valAx>
        <c:axId val="91232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30592"/>
        <c:crosses val="autoZero"/>
        <c:crossBetween val="between"/>
      </c:valAx>
      <c:catAx>
        <c:axId val="91233664"/>
        <c:scaling>
          <c:orientation val="minMax"/>
        </c:scaling>
        <c:delete val="1"/>
        <c:axPos val="b"/>
        <c:numFmt formatCode="General" sourceLinked="1"/>
        <c:tickLblPos val="none"/>
        <c:crossAx val="91243648"/>
        <c:crosses val="autoZero"/>
        <c:lblAlgn val="ctr"/>
        <c:lblOffset val="100"/>
      </c:catAx>
      <c:valAx>
        <c:axId val="9124364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233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91647360"/>
        <c:axId val="91653248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91654784"/>
        <c:axId val="91660672"/>
      </c:lineChart>
      <c:catAx>
        <c:axId val="916473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3248"/>
        <c:crosses val="autoZero"/>
        <c:lblAlgn val="ctr"/>
        <c:lblOffset val="100"/>
        <c:tickMarkSkip val="1"/>
      </c:catAx>
      <c:valAx>
        <c:axId val="91653248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47360"/>
        <c:crosses val="autoZero"/>
        <c:crossBetween val="between"/>
      </c:valAx>
      <c:catAx>
        <c:axId val="91654784"/>
        <c:scaling>
          <c:orientation val="minMax"/>
        </c:scaling>
        <c:delete val="1"/>
        <c:axPos val="b"/>
        <c:numFmt formatCode="[$-409]d\-mmm\-yy;@" sourceLinked="1"/>
        <c:tickLblPos val="none"/>
        <c:crossAx val="91660672"/>
        <c:crosses val="autoZero"/>
        <c:lblAlgn val="ctr"/>
        <c:lblOffset val="100"/>
      </c:catAx>
      <c:valAx>
        <c:axId val="9166067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47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92759936"/>
        <c:axId val="92761472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92763264"/>
        <c:axId val="92764800"/>
      </c:lineChart>
      <c:catAx>
        <c:axId val="9275993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1472"/>
        <c:crosses val="autoZero"/>
        <c:lblAlgn val="ctr"/>
        <c:lblOffset val="100"/>
        <c:tickMarkSkip val="1"/>
      </c:catAx>
      <c:valAx>
        <c:axId val="927614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59936"/>
        <c:crosses val="autoZero"/>
        <c:crossBetween val="between"/>
      </c:valAx>
      <c:catAx>
        <c:axId val="92763264"/>
        <c:scaling>
          <c:orientation val="minMax"/>
        </c:scaling>
        <c:delete val="1"/>
        <c:axPos val="b"/>
        <c:numFmt formatCode="General" sourceLinked="1"/>
        <c:tickLblPos val="none"/>
        <c:crossAx val="92764800"/>
        <c:crosses val="autoZero"/>
        <c:lblAlgn val="ctr"/>
        <c:lblOffset val="100"/>
      </c:catAx>
      <c:valAx>
        <c:axId val="9276480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7632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91520000"/>
        <c:axId val="91534464"/>
      </c:lineChart>
      <c:catAx>
        <c:axId val="915200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34464"/>
        <c:crosses val="autoZero"/>
        <c:auto val="1"/>
        <c:lblAlgn val="ctr"/>
        <c:lblOffset val="100"/>
      </c:catAx>
      <c:valAx>
        <c:axId val="9153446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52000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93193728"/>
        <c:axId val="93195648"/>
      </c:lineChart>
      <c:catAx>
        <c:axId val="931937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95648"/>
        <c:crosses val="autoZero"/>
        <c:auto val="1"/>
        <c:lblAlgn val="ctr"/>
        <c:lblOffset val="100"/>
      </c:catAx>
      <c:valAx>
        <c:axId val="931956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937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93249536"/>
        <c:axId val="93251072"/>
      </c:lineChart>
      <c:catAx>
        <c:axId val="932495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51072"/>
        <c:crosses val="autoZero"/>
        <c:auto val="1"/>
        <c:lblAlgn val="ctr"/>
        <c:lblOffset val="200"/>
        <c:tickLblSkip val="1"/>
      </c:catAx>
      <c:valAx>
        <c:axId val="9325107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495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93029888"/>
        <c:axId val="93031424"/>
      </c:lineChart>
      <c:catAx>
        <c:axId val="93029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31424"/>
        <c:crosses val="autoZero"/>
        <c:auto val="1"/>
        <c:lblAlgn val="ctr"/>
        <c:lblOffset val="100"/>
      </c:catAx>
      <c:valAx>
        <c:axId val="9303142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29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0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-313512.67200000002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93047808"/>
        <c:axId val="93782784"/>
      </c:lineChart>
      <c:catAx>
        <c:axId val="93047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782784"/>
        <c:crosses val="autoZero"/>
        <c:auto val="1"/>
        <c:lblAlgn val="ctr"/>
        <c:lblOffset val="100"/>
      </c:catAx>
      <c:valAx>
        <c:axId val="937827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47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1625</c:v>
                </c:pt>
                <c:pt idx="5">
                  <c:v>1460</c:v>
                </c:pt>
                <c:pt idx="6">
                  <c:v>1531</c:v>
                </c:pt>
                <c:pt idx="7">
                  <c:v>0</c:v>
                </c:pt>
                <c:pt idx="8">
                  <c:v>1434</c:v>
                </c:pt>
                <c:pt idx="9">
                  <c:v>1432</c:v>
                </c:pt>
                <c:pt idx="10">
                  <c:v>1527</c:v>
                </c:pt>
                <c:pt idx="11">
                  <c:v>1451</c:v>
                </c:pt>
                <c:pt idx="12">
                  <c:v>1449</c:v>
                </c:pt>
                <c:pt idx="13">
                  <c:v>1623</c:v>
                </c:pt>
                <c:pt idx="14">
                  <c:v>1552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94769920"/>
        <c:axId val="94771840"/>
      </c:lineChart>
      <c:catAx>
        <c:axId val="9476992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71840"/>
        <c:crosses val="autoZero"/>
        <c:auto val="1"/>
        <c:lblAlgn val="ctr"/>
        <c:lblOffset val="100"/>
      </c:catAx>
      <c:valAx>
        <c:axId val="9477184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6992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31</c:v>
                </c:pt>
                <c:pt idx="1">
                  <c:v>31</c:v>
                </c:pt>
                <c:pt idx="2">
                  <c:v>47</c:v>
                </c:pt>
                <c:pt idx="3">
                  <c:v>31</c:v>
                </c:pt>
                <c:pt idx="4">
                  <c:v>30</c:v>
                </c:pt>
                <c:pt idx="5">
                  <c:v>33</c:v>
                </c:pt>
                <c:pt idx="6">
                  <c:v>41</c:v>
                </c:pt>
                <c:pt idx="7">
                  <c:v>37</c:v>
                </c:pt>
                <c:pt idx="8">
                  <c:v>51</c:v>
                </c:pt>
                <c:pt idx="9">
                  <c:v>51</c:v>
                </c:pt>
                <c:pt idx="10">
                  <c:v>56</c:v>
                </c:pt>
                <c:pt idx="11">
                  <c:v>58</c:v>
                </c:pt>
                <c:pt idx="12">
                  <c:v>41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94796800"/>
        <c:axId val="94823552"/>
      </c:lineChart>
      <c:catAx>
        <c:axId val="9479680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823552"/>
        <c:crosses val="autoZero"/>
        <c:auto val="1"/>
        <c:lblAlgn val="ctr"/>
        <c:lblOffset val="100"/>
      </c:catAx>
      <c:valAx>
        <c:axId val="9482355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9680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661.99</c:v>
                </c:pt>
                <c:pt idx="4">
                  <c:v>659.29</c:v>
                </c:pt>
                <c:pt idx="5">
                  <c:v>665.04</c:v>
                </c:pt>
                <c:pt idx="6">
                  <c:v>669.21</c:v>
                </c:pt>
                <c:pt idx="7">
                  <c:v>707.98</c:v>
                </c:pt>
                <c:pt idx="8">
                  <c:v>637.52</c:v>
                </c:pt>
                <c:pt idx="9">
                  <c:v>692.82999999999993</c:v>
                </c:pt>
                <c:pt idx="10">
                  <c:v>662.1</c:v>
                </c:pt>
                <c:pt idx="11">
                  <c:v>759.22</c:v>
                </c:pt>
                <c:pt idx="12">
                  <c:v>675.39</c:v>
                </c:pt>
                <c:pt idx="13">
                  <c:v>719.01</c:v>
                </c:pt>
                <c:pt idx="14">
                  <c:v>656.19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4713344"/>
        <c:axId val="94714880"/>
      </c:lineChart>
      <c:catAx>
        <c:axId val="9471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14880"/>
        <c:crosses val="autoZero"/>
        <c:auto val="1"/>
        <c:lblAlgn val="ctr"/>
        <c:lblOffset val="200"/>
        <c:tickLblSkip val="1"/>
      </c:catAx>
      <c:valAx>
        <c:axId val="947148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1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4747648"/>
        <c:axId val="94753536"/>
      </c:lineChart>
      <c:catAx>
        <c:axId val="9474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53536"/>
        <c:crosses val="autoZero"/>
        <c:auto val="1"/>
        <c:lblAlgn val="ctr"/>
        <c:lblOffset val="100"/>
      </c:catAx>
      <c:valAx>
        <c:axId val="94753536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74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30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34.9799999999872</c:v>
                </c:pt>
                <c:pt idx="1">
                  <c:v>19.75600000002305</c:v>
                </c:pt>
                <c:pt idx="2">
                  <c:v>26.97200000002049</c:v>
                </c:pt>
                <c:pt idx="3">
                  <c:v>26.400000000000002</c:v>
                </c:pt>
                <c:pt idx="4">
                  <c:v>22.439999999961586</c:v>
                </c:pt>
                <c:pt idx="5">
                  <c:v>14.608000000030735</c:v>
                </c:pt>
                <c:pt idx="6">
                  <c:v>32.252000000007683</c:v>
                </c:pt>
                <c:pt idx="7">
                  <c:v>35.551999999943661</c:v>
                </c:pt>
                <c:pt idx="8">
                  <c:v>28.908000000030736</c:v>
                </c:pt>
                <c:pt idx="9">
                  <c:v>45.143999999976955</c:v>
                </c:pt>
                <c:pt idx="10">
                  <c:v>38.896000000048666</c:v>
                </c:pt>
                <c:pt idx="11">
                  <c:v>27.01599999999744</c:v>
                </c:pt>
                <c:pt idx="12">
                  <c:v>29.21599999999744</c:v>
                </c:pt>
                <c:pt idx="13">
                  <c:v>-313512.67200000002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5384320"/>
        <c:axId val="95385856"/>
      </c:lineChart>
      <c:catAx>
        <c:axId val="95384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85856"/>
        <c:crosses val="autoZero"/>
        <c:auto val="1"/>
        <c:lblAlgn val="ctr"/>
        <c:lblOffset val="100"/>
      </c:catAx>
      <c:valAx>
        <c:axId val="953858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384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96483584"/>
        <c:axId val="96498048"/>
      </c:lineChart>
      <c:catAx>
        <c:axId val="96483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8048"/>
        <c:crosses val="autoZero"/>
        <c:auto val="1"/>
        <c:lblAlgn val="ctr"/>
        <c:lblOffset val="100"/>
      </c:catAx>
      <c:valAx>
        <c:axId val="96498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835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96011008"/>
        <c:axId val="96012928"/>
      </c:lineChart>
      <c:catAx>
        <c:axId val="960110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12928"/>
        <c:crosses val="autoZero"/>
        <c:auto val="1"/>
        <c:lblAlgn val="ctr"/>
        <c:lblOffset val="100"/>
      </c:catAx>
      <c:valAx>
        <c:axId val="960129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1100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96050176"/>
        <c:axId val="96064256"/>
      </c:lineChart>
      <c:catAx>
        <c:axId val="9605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64256"/>
        <c:crosses val="autoZero"/>
        <c:auto val="1"/>
        <c:lblAlgn val="ctr"/>
        <c:lblOffset val="200"/>
        <c:tickLblSkip val="1"/>
      </c:catAx>
      <c:valAx>
        <c:axId val="9606425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05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97002240"/>
        <c:axId val="97003776"/>
      </c:lineChart>
      <c:catAx>
        <c:axId val="9700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03776"/>
        <c:crosses val="autoZero"/>
        <c:auto val="1"/>
        <c:lblAlgn val="ctr"/>
        <c:lblOffset val="100"/>
      </c:catAx>
      <c:valAx>
        <c:axId val="97003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0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49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97011968"/>
        <c:axId val="97054720"/>
      </c:lineChart>
      <c:catAx>
        <c:axId val="9701196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54720"/>
        <c:crosses val="autoZero"/>
        <c:auto val="1"/>
        <c:lblAlgn val="ctr"/>
        <c:lblOffset val="100"/>
      </c:catAx>
      <c:valAx>
        <c:axId val="970547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01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96837632"/>
        <c:axId val="96839552"/>
      </c:lineChart>
      <c:catAx>
        <c:axId val="9683763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9552"/>
        <c:crosses val="autoZero"/>
        <c:auto val="1"/>
        <c:lblAlgn val="ctr"/>
        <c:lblOffset val="100"/>
      </c:catAx>
      <c:valAx>
        <c:axId val="968395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837632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97532160"/>
        <c:axId val="97546624"/>
      </c:lineChart>
      <c:catAx>
        <c:axId val="975321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46624"/>
        <c:crosses val="autoZero"/>
        <c:auto val="1"/>
        <c:lblAlgn val="ctr"/>
        <c:lblOffset val="100"/>
      </c:catAx>
      <c:valAx>
        <c:axId val="9754662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321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7579776"/>
        <c:axId val="97581312"/>
      </c:lineChart>
      <c:catAx>
        <c:axId val="97579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81312"/>
        <c:crosses val="autoZero"/>
        <c:auto val="1"/>
        <c:lblAlgn val="ctr"/>
        <c:lblOffset val="200"/>
        <c:tickLblSkip val="1"/>
      </c:catAx>
      <c:valAx>
        <c:axId val="9758131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579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7356032"/>
        <c:axId val="97370112"/>
      </c:lineChart>
      <c:catAx>
        <c:axId val="9735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70112"/>
        <c:crosses val="autoZero"/>
        <c:auto val="1"/>
        <c:lblAlgn val="ctr"/>
        <c:lblOffset val="100"/>
      </c:catAx>
      <c:valAx>
        <c:axId val="973701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35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49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7849344"/>
        <c:axId val="97850880"/>
      </c:lineChart>
      <c:catAx>
        <c:axId val="97849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50880"/>
        <c:crosses val="autoZero"/>
        <c:auto val="1"/>
        <c:lblAlgn val="ctr"/>
        <c:lblOffset val="100"/>
      </c:catAx>
      <c:valAx>
        <c:axId val="978508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7849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34.9799999999872</v>
      </c>
      <c r="H2" s="499">
        <v>0</v>
      </c>
      <c r="I2" s="490">
        <f>IF('UTILITY REPORT 1'!G3&lt;0,"0",'UTILITY REPORT 1'!G3)</f>
        <v>31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19.75600000002305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1625</v>
      </c>
      <c r="F4" s="490">
        <f>('UTILITY REPORT 1'!E5*'UTILITY REPORT 1'!D5)/'UTILITY REPORT 1'!F5</f>
        <v>0.40571692307692303</v>
      </c>
      <c r="G4" s="490">
        <f>IF('Utility summery'!M8&lt;0,"0",'Utility summery'!M8)</f>
        <v>26.97200000002049</v>
      </c>
      <c r="H4" s="499">
        <v>0</v>
      </c>
      <c r="I4" s="490">
        <f>IF('UTILITY REPORT 1'!G5&lt;0,"0",'UTILITY REPORT 1'!G5)</f>
        <v>47</v>
      </c>
      <c r="J4" s="499">
        <v>0</v>
      </c>
      <c r="K4" s="489">
        <f>'UTILITY REPORT 1'!C5</f>
        <v>0</v>
      </c>
      <c r="L4" s="491" t="e">
        <f>E4*F4+G4*H4+#REF!*#REF!+I4*J4</f>
        <v>#REF!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1460</v>
      </c>
      <c r="F5" s="490">
        <f>('UTILITY REPORT 1'!E6*'UTILITY REPORT 1'!D6)/'UTILITY REPORT 1'!F6</f>
        <v>0.43419863013698629</v>
      </c>
      <c r="G5" s="490">
        <f>IF('Utility summery'!M9&lt;0,"0",'Utility summery'!M9)</f>
        <v>26.400000000000002</v>
      </c>
      <c r="H5" s="499">
        <v>0</v>
      </c>
      <c r="I5" s="490">
        <f>IF('UTILITY REPORT 1'!G6&lt;0,"0",'UTILITY REPORT 1'!G6)</f>
        <v>31</v>
      </c>
      <c r="J5" s="499">
        <v>0</v>
      </c>
      <c r="K5" s="489">
        <f>'UTILITY REPORT 1'!C6</f>
        <v>0</v>
      </c>
      <c r="L5" s="491" t="e">
        <f>E5*F5+G5*H5+#REF!*#REF!+I5*J5</f>
        <v>#REF!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1531</v>
      </c>
      <c r="F6" s="490">
        <f>('UTILITY REPORT 1'!E7*'UTILITY REPORT 1'!D7)/'UTILITY REPORT 1'!F7</f>
        <v>0.42210320052253431</v>
      </c>
      <c r="G6" s="490">
        <f>IF('Utility summery'!M10&lt;0,"0",'Utility summery'!M10)</f>
        <v>22.439999999961586</v>
      </c>
      <c r="H6" s="499">
        <v>0</v>
      </c>
      <c r="I6" s="490">
        <f>IF('UTILITY REPORT 1'!G7&lt;0,"0",'UTILITY REPORT 1'!G7)</f>
        <v>30</v>
      </c>
      <c r="J6" s="499">
        <v>0</v>
      </c>
      <c r="K6" s="489">
        <f>'UTILITY REPORT 1'!C7</f>
        <v>0</v>
      </c>
      <c r="L6" s="491" t="e">
        <f>E6*F6+G6*H6+#REF!*#REF!+I6*J6</f>
        <v>#REF!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14.608000000030735</v>
      </c>
      <c r="H7" s="499">
        <v>0</v>
      </c>
      <c r="I7" s="490">
        <f>IF('UTILITY REPORT 1'!G8&lt;0,"0",'UTILITY REPORT 1'!G8)</f>
        <v>33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1434</v>
      </c>
      <c r="F8" s="490">
        <f>('UTILITY REPORT 1'!E9*'UTILITY REPORT 1'!D9)/'UTILITY REPORT 1'!F9</f>
        <v>0.44457461645746166</v>
      </c>
      <c r="G8" s="490">
        <f>IF('Utility summery'!M12&lt;0,"0",'Utility summery'!M12)</f>
        <v>32.252000000007683</v>
      </c>
      <c r="H8" s="499">
        <v>0</v>
      </c>
      <c r="I8" s="490">
        <f>IF('UTILITY REPORT 1'!G9&lt;0,"0",'UTILITY REPORT 1'!G9)</f>
        <v>41</v>
      </c>
      <c r="J8" s="499">
        <v>0</v>
      </c>
      <c r="K8" s="489">
        <f>'UTILITY REPORT 1'!C9</f>
        <v>0</v>
      </c>
      <c r="L8" s="491" t="e">
        <f>E8*F8+G8*H8+#REF!*#REF!+I8*J8</f>
        <v>#REF!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1432</v>
      </c>
      <c r="F9" s="490">
        <f>('UTILITY REPORT 1'!E10*'UTILITY REPORT 1'!D10)/'UTILITY REPORT 1'!F10</f>
        <v>0.48381983240223458</v>
      </c>
      <c r="G9" s="490">
        <f>IF('Utility summery'!M13&lt;0,"0",'Utility summery'!M13)</f>
        <v>35.551999999943661</v>
      </c>
      <c r="H9" s="499">
        <v>0</v>
      </c>
      <c r="I9" s="490">
        <f>IF('UTILITY REPORT 1'!G10&lt;0,"0",'UTILITY REPORT 1'!G10)</f>
        <v>37</v>
      </c>
      <c r="J9" s="499">
        <v>0</v>
      </c>
      <c r="K9" s="489">
        <f>'UTILITY REPORT 1'!C10</f>
        <v>0</v>
      </c>
      <c r="L9" s="491" t="e">
        <f>E9*F9+G9*H9+#REF!*#REF!+I9*J9</f>
        <v>#REF!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1527</v>
      </c>
      <c r="F10" s="490">
        <f>('UTILITY REPORT 1'!E11*'UTILITY REPORT 1'!D11)/'UTILITY REPORT 1'!F11</f>
        <v>0.43359528487229865</v>
      </c>
      <c r="G10" s="490">
        <f>IF('Utility summery'!M14&lt;0,"0",'Utility summery'!M14)</f>
        <v>28.908000000030736</v>
      </c>
      <c r="H10" s="499">
        <v>0</v>
      </c>
      <c r="I10" s="490">
        <f>IF('UTILITY REPORT 1'!G11&lt;0,"0",'UTILITY REPORT 1'!G11)</f>
        <v>51</v>
      </c>
      <c r="J10" s="499">
        <v>0</v>
      </c>
      <c r="K10" s="489">
        <f>'UTILITY REPORT 1'!C11</f>
        <v>0</v>
      </c>
      <c r="L10" s="491" t="e">
        <f>E10*F10+G10*H10+#REF!*#REF!+I10*J10</f>
        <v>#REF!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1451</v>
      </c>
      <c r="F11" s="490">
        <f>('UTILITY REPORT 1'!E12*'UTILITY REPORT 1'!D12)/'UTILITY REPORT 1'!F12</f>
        <v>0.4495727084769125</v>
      </c>
      <c r="G11" s="490">
        <f>IF('Utility summery'!M15&lt;0,"0",'Utility summery'!M15)</f>
        <v>45.143999999976955</v>
      </c>
      <c r="H11" s="499">
        <v>0</v>
      </c>
      <c r="I11" s="490">
        <f>IF('UTILITY REPORT 1'!G12&lt;0,"0",'UTILITY REPORT 1'!G12)</f>
        <v>51</v>
      </c>
      <c r="J11" s="499">
        <v>0</v>
      </c>
      <c r="K11" s="489">
        <f>'UTILITY REPORT 1'!C12</f>
        <v>0</v>
      </c>
      <c r="L11" s="491" t="e">
        <f>E11*F11+G11*H11+#REF!*#REF!+I11*J11</f>
        <v>#REF!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1449</v>
      </c>
      <c r="F12" s="490">
        <f>('UTILITY REPORT 1'!E13*'UTILITY REPORT 1'!D13)/'UTILITY REPORT 1'!F13</f>
        <v>0.46610766045548652</v>
      </c>
      <c r="G12" s="490">
        <f>IF('Utility summery'!M16&lt;0,"0",'Utility summery'!M16)</f>
        <v>38.896000000048666</v>
      </c>
      <c r="H12" s="499">
        <v>0</v>
      </c>
      <c r="I12" s="490">
        <f>IF('UTILITY REPORT 1'!G13&lt;0,"0",'UTILITY REPORT 1'!G13)</f>
        <v>56</v>
      </c>
      <c r="J12" s="499">
        <v>0</v>
      </c>
      <c r="K12" s="489">
        <f>'UTILITY REPORT 1'!C13</f>
        <v>0</v>
      </c>
      <c r="L12" s="491" t="e">
        <f>E12*F12+G12*H12+#REF!*#REF!+I12*J12</f>
        <v>#REF!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1623</v>
      </c>
      <c r="F13" s="490">
        <f>('UTILITY REPORT 1'!E14*'UTILITY REPORT 1'!D14)/'UTILITY REPORT 1'!F14</f>
        <v>0.4430129390018484</v>
      </c>
      <c r="G13" s="490">
        <f>IF('Utility summery'!M17&lt;0,"0",'Utility summery'!M17)</f>
        <v>27.01599999999744</v>
      </c>
      <c r="H13" s="499">
        <v>0</v>
      </c>
      <c r="I13" s="490">
        <f>IF('UTILITY REPORT 1'!G14&lt;0,"0",'UTILITY REPORT 1'!G14)</f>
        <v>58</v>
      </c>
      <c r="J13" s="499">
        <v>0</v>
      </c>
      <c r="K13" s="489">
        <f>'UTILITY REPORT 1'!C14</f>
        <v>0</v>
      </c>
      <c r="L13" s="491" t="e">
        <f>E13*F13+G13*H13+#REF!*#REF!+I13*J13</f>
        <v>#REF!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1552</v>
      </c>
      <c r="F14" s="490">
        <f>('UTILITY REPORT 1'!E15*'UTILITY REPORT 1'!D15)/'UTILITY REPORT 1'!F15</f>
        <v>0.42280283505154642</v>
      </c>
      <c r="G14" s="490">
        <f>IF('Utility summery'!M18&lt;0,"0",'Utility summery'!M18)</f>
        <v>29.21599999999744</v>
      </c>
      <c r="H14" s="499">
        <v>0</v>
      </c>
      <c r="I14" s="490">
        <f>IF('UTILITY REPORT 1'!G15&lt;0,"0",'UTILITY REPORT 1'!G15)</f>
        <v>41</v>
      </c>
      <c r="J14" s="499">
        <v>0</v>
      </c>
      <c r="K14" s="489">
        <f>'UTILITY REPORT 1'!C15</f>
        <v>0</v>
      </c>
      <c r="L14" s="491" t="e">
        <f>E14*F14+G14*H14+#REF!*#REF!+I14*J14</f>
        <v>#REF!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0</v>
      </c>
      <c r="F15" s="490" t="e">
        <f>('UTILITY REPORT 1'!E16*'UTILITY REPORT 1'!D16)/'UTILITY REPORT 1'!F16</f>
        <v>#DIV/0!</v>
      </c>
      <c r="G15" s="490" t="str">
        <f>IF('Utility summery'!M19&lt;0,"0",'Utility summery'!M19)</f>
        <v>0</v>
      </c>
      <c r="H15" s="499">
        <v>0</v>
      </c>
      <c r="I15" s="490" t="str">
        <f>IF('UTILITY REPORT 1'!G16&lt;0,"0",'UTILITY REPORT 1'!G16)</f>
        <v>0</v>
      </c>
      <c r="J15" s="499">
        <v>0</v>
      </c>
      <c r="K15" s="489">
        <f>'UTILITY REPORT 1'!C16</f>
        <v>0</v>
      </c>
      <c r="L15" s="491" t="e">
        <f>E15*F15+G15*H15+#REF!*#REF!+I15*J15</f>
        <v>#DIV/0!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0</v>
      </c>
      <c r="F16" s="490" t="e">
        <f>('UTILITY REPORT 1'!E17*'UTILITY REPORT 1'!D17)/'UTILITY REPORT 1'!F17</f>
        <v>#DIV/0!</v>
      </c>
      <c r="G16" s="490">
        <f>IF('Utility summery'!M20&lt;0,"0",'Utility summery'!M20)</f>
        <v>0</v>
      </c>
      <c r="H16" s="499">
        <v>0</v>
      </c>
      <c r="I16" s="490">
        <f>IF('UTILITY REPORT 1'!G17&lt;0,"0",'UTILITY REPORT 1'!G17)</f>
        <v>0</v>
      </c>
      <c r="J16" s="499">
        <v>0</v>
      </c>
      <c r="K16" s="489">
        <f>'UTILITY REPORT 1'!C17</f>
        <v>0</v>
      </c>
      <c r="L16" s="491" t="e">
        <f>E16*F16+G16*H16+#REF!*#REF!+I16*J16</f>
        <v>#DIV/0!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>
        <f>IF('Utility summery'!M21&lt;0,"0",'Utility summery'!M21)</f>
        <v>0</v>
      </c>
      <c r="H17" s="499">
        <v>0</v>
      </c>
      <c r="I17" s="490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1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31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659.29</v>
      </c>
      <c r="G4" s="549">
        <f>'UTILITY REPORT 1'!F5</f>
        <v>1625</v>
      </c>
      <c r="H4" s="548">
        <f>IF('Kit report'!F6&lt;0,"0",'Kit report'!F6)</f>
        <v>96.000000000130967</v>
      </c>
      <c r="I4" s="548">
        <f>IF('Kit report'!X6&lt;0,"0",'Kit report'!X6)</f>
        <v>0</v>
      </c>
      <c r="J4" s="548">
        <f>IF('Utility summery'!H8&lt;0,"0",'Utility summery'!H8)</f>
        <v>53</v>
      </c>
      <c r="K4" s="549">
        <f>IF('UTILITY REPORT 1'!H5&lt;0,"0",'UTILITY REPORT 1'!H5)</f>
        <v>77</v>
      </c>
      <c r="L4" s="548">
        <f>'Water-Meter'!K8</f>
        <v>1</v>
      </c>
      <c r="M4" s="549">
        <f>'Water-Meter'!H8</f>
        <v>0</v>
      </c>
      <c r="N4" s="549">
        <f>'Water-Meter'!Q8</f>
        <v>0</v>
      </c>
      <c r="O4" s="548" t="e">
        <f>K4*E4+H4*I4+#REF!*#REF!+J4*L4</f>
        <v>#REF!</v>
      </c>
      <c r="P4" s="555">
        <f>'Water-Meter'!E8</f>
        <v>47</v>
      </c>
      <c r="Q4" s="291">
        <f>IF('Water-Meter'!U8&lt;0,"0",'Water-Meter'!U8)</f>
        <v>0</v>
      </c>
      <c r="R4" s="291">
        <f>IF('Water-Meter'!X8&lt;0,"0",'Water-Meter'!X8)</f>
        <v>0</v>
      </c>
      <c r="S4" s="291">
        <f>IF('Water-Meter'!AA8&lt;0,"0",'Water-Meter'!AA8)</f>
        <v>0</v>
      </c>
      <c r="T4" s="291">
        <f>IF('Water-Meter'!AD8&lt;0,"0",'Water-Meter'!AD8)</f>
        <v>24</v>
      </c>
      <c r="U4" s="291">
        <f>IF('Water-Meter'!AG8&lt;0,"0",'Water-Meter'!AG8)</f>
        <v>25</v>
      </c>
      <c r="V4" s="291">
        <f>IF('Water-Meter'!AJ8&lt;0,"0",'Water-Meter'!AJ8)</f>
        <v>0</v>
      </c>
      <c r="W4" s="31">
        <f>'Water-Meter'!AN8</f>
        <v>49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2.33</v>
      </c>
      <c r="F5" s="548">
        <f>'UTILITY REPORT 1'!E6</f>
        <v>633.92999999999995</v>
      </c>
      <c r="G5" s="549">
        <f>'UTILITY REPORT 1'!F6</f>
        <v>1460</v>
      </c>
      <c r="H5" s="548">
        <f>IF('Kit report'!F7&lt;0,"0",'Kit report'!F7)</f>
        <v>107.99999999995634</v>
      </c>
      <c r="I5" s="548">
        <f>IF('Kit report'!X7&lt;0,"0",'Kit report'!X7)</f>
        <v>19.999999999890861</v>
      </c>
      <c r="J5" s="548">
        <f>IF('Utility summery'!H9&lt;0,"0",'Utility summery'!H9)</f>
        <v>56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1</v>
      </c>
      <c r="O5" s="548" t="e">
        <f>K5*E5+H5*I5+#REF!*#REF!+J5*L5</f>
        <v>#REF!</v>
      </c>
      <c r="P5" s="555">
        <f>'Water-Meter'!E9</f>
        <v>31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22</v>
      </c>
      <c r="U5" s="291">
        <f>IF('Water-Meter'!AG9&lt;0,"0",'Water-Meter'!AG9)</f>
        <v>20</v>
      </c>
      <c r="V5" s="291">
        <f>IF('Water-Meter'!AJ9&lt;0,"0",'Water-Meter'!AJ9)</f>
        <v>0</v>
      </c>
      <c r="W5" s="31">
        <f>'Water-Meter'!AN9</f>
        <v>42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646.24</v>
      </c>
      <c r="G6" s="549">
        <f>'UTILITY REPORT 1'!F7</f>
        <v>1531</v>
      </c>
      <c r="H6" s="548">
        <f>IF('Kit report'!F8&lt;0,"0",'Kit report'!F8)</f>
        <v>95.999999999912689</v>
      </c>
      <c r="I6" s="548">
        <f>IF('Kit report'!X8&lt;0,"0",'Kit report'!X8)</f>
        <v>0</v>
      </c>
      <c r="J6" s="548">
        <f>IF('Utility summery'!H10&lt;0,"0",'Utility summery'!H10)</f>
        <v>54</v>
      </c>
      <c r="K6" s="549">
        <f>IF('UTILITY REPORT 1'!H7&lt;0,"0",'UTILITY REPORT 1'!H7)</f>
        <v>68</v>
      </c>
      <c r="L6" s="548">
        <f>'Water-Meter'!K10</f>
        <v>1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30</v>
      </c>
      <c r="Q6" s="291">
        <f>IF('Water-Meter'!U10&lt;0,"0",'Water-Meter'!U10)</f>
        <v>70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21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91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31.11</v>
      </c>
      <c r="F7" s="548">
        <f>'UTILITY REPORT 1'!E8</f>
        <v>627.88</v>
      </c>
      <c r="G7" s="549">
        <f>'UTILITY REPORT 1'!F8</f>
        <v>0</v>
      </c>
      <c r="H7" s="548">
        <f>IF('Kit report'!F9&lt;0,"0",'Kit report'!F9)</f>
        <v>84.000000000087311</v>
      </c>
      <c r="I7" s="548">
        <f>IF('Kit report'!X9&lt;0,"0",'Kit report'!X9)</f>
        <v>20.00000000007276</v>
      </c>
      <c r="J7" s="548">
        <f>IF('Utility summery'!H11&lt;0,"0",'Utility summery'!H11)</f>
        <v>27</v>
      </c>
      <c r="K7" s="549">
        <f>IF('UTILITY REPORT 1'!H8&lt;0,"0",'UTILITY REPORT 1'!H8)</f>
        <v>36</v>
      </c>
      <c r="L7" s="548">
        <f>'Water-Meter'!K11</f>
        <v>0</v>
      </c>
      <c r="M7" s="549">
        <f>'Water-Meter'!H11</f>
        <v>0</v>
      </c>
      <c r="N7" s="549">
        <f>'Water-Meter'!Q11</f>
        <v>1</v>
      </c>
      <c r="O7" s="548" t="e">
        <f>K7*E7+H7*I7+#REF!*#REF!+J7*L7</f>
        <v>#REF!</v>
      </c>
      <c r="P7" s="555">
        <f>'Water-Meter'!E11</f>
        <v>33</v>
      </c>
      <c r="Q7" s="291">
        <f>IF('Water-Meter'!U11&lt;0,"0",'Water-Meter'!U11)</f>
        <v>37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22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59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22.97</v>
      </c>
      <c r="F8" s="548">
        <f>'UTILITY REPORT 1'!E9</f>
        <v>637.52</v>
      </c>
      <c r="G8" s="549">
        <f>'UTILITY REPORT 1'!F9</f>
        <v>1434</v>
      </c>
      <c r="H8" s="548">
        <f>IF('Kit report'!F10&lt;0,"0",'Kit report'!F10)</f>
        <v>95.999999999912689</v>
      </c>
      <c r="I8" s="548">
        <f>IF('Kit report'!X10&lt;0,"0",'Kit report'!X10)</f>
        <v>19.999999999890861</v>
      </c>
      <c r="J8" s="548">
        <f>IF('Utility summery'!H12&lt;0,"0",'Utility summery'!H12)</f>
        <v>38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41</v>
      </c>
      <c r="Q8" s="291">
        <f>IF('Water-Meter'!U12&lt;0,"0",'Water-Meter'!U12)</f>
        <v>17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21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38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80.099999999999994</v>
      </c>
      <c r="F9" s="548">
        <f>'UTILITY REPORT 1'!E10</f>
        <v>692.82999999999993</v>
      </c>
      <c r="G9" s="549">
        <f>'UTILITY REPORT 1'!F10</f>
        <v>1432</v>
      </c>
      <c r="H9" s="548">
        <f>IF('Kit report'!F11&lt;0,"0",'Kit report'!F11)</f>
        <v>107.99999999995634</v>
      </c>
      <c r="I9" s="548">
        <f>IF('Kit report'!X11&lt;0,"0",'Kit report'!X11)</f>
        <v>40.000000000145519</v>
      </c>
      <c r="J9" s="548">
        <f>IF('Utility summery'!H13&lt;0,"0",'Utility summery'!H13)</f>
        <v>41</v>
      </c>
      <c r="K9" s="549">
        <f>IF('UTILITY REPORT 1'!H10&lt;0,"0",'UTILITY REPORT 1'!H10)</f>
        <v>70</v>
      </c>
      <c r="L9" s="548">
        <f>'Water-Meter'!K13</f>
        <v>1</v>
      </c>
      <c r="M9" s="549">
        <f>'Water-Meter'!H13</f>
        <v>0</v>
      </c>
      <c r="N9" s="549">
        <f>'Water-Meter'!Q13</f>
        <v>1</v>
      </c>
      <c r="O9" s="548" t="e">
        <f>K9*E9+H9*I9+#REF!*#REF!+J9*L9</f>
        <v>#REF!</v>
      </c>
      <c r="P9" s="555">
        <f>'Water-Meter'!E13</f>
        <v>37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22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22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662.1</v>
      </c>
      <c r="G10" s="549">
        <f>'UTILITY REPORT 1'!F11</f>
        <v>1527</v>
      </c>
      <c r="H10" s="548">
        <f>IF('Kit report'!F12&lt;0,"0",'Kit report'!F12)</f>
        <v>96.000000000130967</v>
      </c>
      <c r="I10" s="548">
        <f>IF('Kit report'!X12&lt;0,"0",'Kit report'!X12)</f>
        <v>0</v>
      </c>
      <c r="J10" s="548">
        <f>IF('Utility summery'!H14&lt;0,"0",'Utility summery'!H14)</f>
        <v>40</v>
      </c>
      <c r="K10" s="549">
        <f>IF('UTILITY REPORT 1'!H11&lt;0,"0",'UTILITY REPORT 1'!H11)</f>
        <v>110</v>
      </c>
      <c r="L10" s="548">
        <f>'Water-Meter'!K14</f>
        <v>0</v>
      </c>
      <c r="M10" s="549">
        <f>'Water-Meter'!H14</f>
        <v>0</v>
      </c>
      <c r="N10" s="549">
        <f>'Water-Meter'!Q14</f>
        <v>1</v>
      </c>
      <c r="O10" s="548" t="e">
        <f>K10*E10+H10*I10+#REF!*#REF!+J10*L10</f>
        <v>#REF!</v>
      </c>
      <c r="P10" s="555">
        <f>'Water-Meter'!E14</f>
        <v>51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22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22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652.33000000000004</v>
      </c>
      <c r="G11" s="549">
        <f>'UTILITY REPORT 1'!F12</f>
        <v>1451</v>
      </c>
      <c r="H11" s="548">
        <f>IF('Kit report'!F13&lt;0,"0",'Kit report'!F13)</f>
        <v>95.999999999912689</v>
      </c>
      <c r="I11" s="548">
        <f>IF('Kit report'!X13&lt;0,"0",'Kit report'!X13)</f>
        <v>0</v>
      </c>
      <c r="J11" s="548">
        <f>IF('Utility summery'!H15&lt;0,"0",'Utility summery'!H15)</f>
        <v>35</v>
      </c>
      <c r="K11" s="549">
        <f>IF('UTILITY REPORT 1'!H12&lt;0,"0",'UTILITY REPORT 1'!H12)</f>
        <v>0</v>
      </c>
      <c r="L11" s="548">
        <f>'Water-Meter'!K15</f>
        <v>1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51</v>
      </c>
      <c r="Q11" s="291">
        <f>IF('Water-Meter'!U15&lt;0,"0",'Water-Meter'!U15)</f>
        <v>24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22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46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675.39</v>
      </c>
      <c r="G12" s="549">
        <f>'UTILITY REPORT 1'!F13</f>
        <v>1449</v>
      </c>
      <c r="H12" s="548">
        <f>IF('Kit report'!F14&lt;0,"0",'Kit report'!F14)</f>
        <v>107.99999999995634</v>
      </c>
      <c r="I12" s="548">
        <f>IF('Kit report'!X14&lt;0,"0",'Kit report'!X14)</f>
        <v>0</v>
      </c>
      <c r="J12" s="548">
        <f>IF('Utility summery'!H16&lt;0,"0",'Utility summery'!H16)</f>
        <v>38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56</v>
      </c>
      <c r="Q12" s="291">
        <f>IF('Water-Meter'!U16&lt;0,"0",'Water-Meter'!U16)</f>
        <v>37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22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59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106.89</v>
      </c>
      <c r="F13" s="548">
        <f>'UTILITY REPORT 1'!E14</f>
        <v>719.01</v>
      </c>
      <c r="G13" s="549">
        <f>'UTILITY REPORT 1'!F14</f>
        <v>1623</v>
      </c>
      <c r="H13" s="548">
        <f>IF('Kit report'!F15&lt;0,"0",'Kit report'!F15)</f>
        <v>96.000000000130967</v>
      </c>
      <c r="I13" s="548">
        <f>IF('Kit report'!X15&lt;0,"0",'Kit report'!X15)</f>
        <v>19.999999999890861</v>
      </c>
      <c r="J13" s="548">
        <f>IF('Utility summery'!H17&lt;0,"0",'Utility summery'!H17)</f>
        <v>43</v>
      </c>
      <c r="K13" s="549">
        <f>IF('UTILITY REPORT 1'!H14&lt;0,"0",'UTILITY REPORT 1'!H14)</f>
        <v>71</v>
      </c>
      <c r="L13" s="548">
        <f>'Water-Meter'!K17</f>
        <v>0</v>
      </c>
      <c r="M13" s="549">
        <f>'Water-Meter'!H17</f>
        <v>0</v>
      </c>
      <c r="N13" s="549">
        <f>'Water-Meter'!Q17</f>
        <v>1</v>
      </c>
      <c r="O13" s="548" t="e">
        <f>K13*E13+H13*I13+#REF!*#REF!+J13*L13</f>
        <v>#REF!</v>
      </c>
      <c r="P13" s="555">
        <f>'Water-Meter'!E17</f>
        <v>58</v>
      </c>
      <c r="Q13" s="291">
        <f>IF('Water-Meter'!U17&lt;0,"0",'Water-Meter'!U17)</f>
        <v>23</v>
      </c>
      <c r="R13" s="291">
        <f>IF('Water-Meter'!X17&lt;0,"0",'Water-Meter'!X17)</f>
        <v>0</v>
      </c>
      <c r="S13" s="291">
        <f>IF('Water-Meter'!AA17&lt;0,"0",'Water-Meter'!AA17)</f>
        <v>43</v>
      </c>
      <c r="T13" s="291">
        <f>IF('Water-Meter'!AD17&lt;0,"0",'Water-Meter'!AD17)</f>
        <v>22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88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656.19</v>
      </c>
      <c r="G14" s="549">
        <f>'UTILITY REPORT 1'!F15</f>
        <v>1552</v>
      </c>
      <c r="H14" s="548">
        <f>IF('Kit report'!F16&lt;0,"0",'Kit report'!F16)</f>
        <v>107.99999999995634</v>
      </c>
      <c r="I14" s="548">
        <f>IF('Kit report'!X16&lt;0,"0",'Kit report'!X16)</f>
        <v>0</v>
      </c>
      <c r="J14" s="548" t="str">
        <f>IF('Utility summery'!H18&lt;0,"0",'Utility summery'!H18)</f>
        <v>0</v>
      </c>
      <c r="K14" s="549">
        <f>IF('UTILITY REPORT 1'!H15&lt;0,"0",'UTILITY REPORT 1'!H15)</f>
        <v>0</v>
      </c>
      <c r="L14" s="548">
        <f>'Water-Meter'!K18</f>
        <v>1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41</v>
      </c>
      <c r="Q14" s="291">
        <f>IF('Water-Meter'!U18&lt;0,"0",'Water-Meter'!U18)</f>
        <v>10</v>
      </c>
      <c r="R14" s="291">
        <f>IF('Water-Meter'!X18&lt;0,"0",'Water-Meter'!X18)</f>
        <v>0</v>
      </c>
      <c r="S14" s="291">
        <f>IF('Water-Meter'!AA18&lt;0,"0",'Water-Meter'!AA18)</f>
        <v>10</v>
      </c>
      <c r="T14" s="291">
        <f>IF('Water-Meter'!AD18&lt;0,"0",'Water-Meter'!AD18)</f>
        <v>4</v>
      </c>
      <c r="U14" s="291">
        <f>IF('Water-Meter'!AG18&lt;0,"0",'Water-Meter'!AG18)</f>
        <v>0</v>
      </c>
      <c r="V14" s="291" t="str">
        <f>IF('Water-Meter'!AJ18&lt;0,"0",'Water-Meter'!AJ18)</f>
        <v>0</v>
      </c>
      <c r="W14" s="31">
        <f>'Water-Meter'!AN18</f>
        <v>24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0</v>
      </c>
      <c r="G15" s="549">
        <f>'UTILITY REPORT 1'!F16</f>
        <v>0</v>
      </c>
      <c r="H15" s="548" t="str">
        <f>IF('Kit report'!F17&lt;0,"0",'Kit report'!F17)</f>
        <v>0</v>
      </c>
      <c r="I15" s="548" t="str">
        <f>IF('Kit report'!X17&lt;0,"0",'Kit report'!X17)</f>
        <v>0</v>
      </c>
      <c r="J15" s="548">
        <f>IF('Utility summery'!H19&lt;0,"0",'Utility summery'!H19)</f>
        <v>0</v>
      </c>
      <c r="K15" s="549" t="str">
        <f>IF('UTILITY REPORT 1'!H16&lt;0,"0",'UTILITY REPORT 1'!H16)</f>
        <v>0</v>
      </c>
      <c r="L15" s="548" t="str">
        <f>'Water-Meter'!K19</f>
        <v>0</v>
      </c>
      <c r="M15" s="549" t="str">
        <f>'Water-Meter'!H19</f>
        <v>0</v>
      </c>
      <c r="N15" s="549" t="str">
        <f>'Water-Meter'!Q19</f>
        <v>0</v>
      </c>
      <c r="O15" s="548" t="e">
        <f>K15*E15+H15*I15+#REF!*#REF!+J15*L15</f>
        <v>#REF!</v>
      </c>
      <c r="P15" s="555" t="str">
        <f>'Water-Meter'!E19</f>
        <v>0</v>
      </c>
      <c r="Q15" s="291" t="str">
        <f>IF('Water-Meter'!U19&lt;0,"0",'Water-Meter'!U19)</f>
        <v>0</v>
      </c>
      <c r="R15" s="291" t="str">
        <f>IF('Water-Meter'!X19&lt;0,"0",'Water-Meter'!X19)</f>
        <v>0</v>
      </c>
      <c r="S15" s="291" t="str">
        <f>IF('Water-Meter'!AA19&lt;0,"0",'Water-Meter'!AA19)</f>
        <v>0</v>
      </c>
      <c r="T15" s="291" t="str">
        <f>IF('Water-Meter'!AD19&lt;0,"0",'Water-Meter'!AD19)</f>
        <v>0</v>
      </c>
      <c r="U15" s="291" t="str">
        <f>IF('Water-Meter'!AG19&lt;0,"0",'Water-Meter'!AG19)</f>
        <v>0</v>
      </c>
      <c r="V15" s="291" t="str">
        <f>IF('Water-Meter'!AJ19&lt;0,"0",'Water-Meter'!AJ19)</f>
        <v>0</v>
      </c>
      <c r="W15" s="31">
        <f>'Water-Meter'!AN19</f>
        <v>0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0</v>
      </c>
      <c r="F16" s="548">
        <f>'UTILITY REPORT 1'!E17</f>
        <v>0</v>
      </c>
      <c r="G16" s="549">
        <f>'UTILITY REPORT 1'!F17</f>
        <v>0</v>
      </c>
      <c r="H16" s="548">
        <f>IF('Kit report'!F18&lt;0,"0",'Kit report'!F18)</f>
        <v>0</v>
      </c>
      <c r="I16" s="548">
        <f>IF('Kit report'!X18&lt;0,"0",'Kit report'!X18)</f>
        <v>0</v>
      </c>
      <c r="J16" s="548">
        <f>IF('Utility summery'!H20&lt;0,"0",'Utility summery'!H20)</f>
        <v>0</v>
      </c>
      <c r="K16" s="549">
        <f>IF('UTILITY REPORT 1'!H17&lt;0,"0",'UTILITY REPORT 1'!H17)</f>
        <v>0</v>
      </c>
      <c r="L16" s="548">
        <f>'Water-Meter'!K20</f>
        <v>0</v>
      </c>
      <c r="M16" s="549">
        <f>'Water-Meter'!H20</f>
        <v>0</v>
      </c>
      <c r="N16" s="549">
        <f>'Water-Meter'!Q20</f>
        <v>0</v>
      </c>
      <c r="O16" s="548" t="e">
        <f>K16*E16+H16*I16+#REF!*#REF!+J16*L16</f>
        <v>#REF!</v>
      </c>
      <c r="P16" s="555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>
        <f>IF('Kit report'!F19&lt;0,"0",'Kit report'!F19)</f>
        <v>0</v>
      </c>
      <c r="I17" s="548">
        <f>IF('Kit report'!X19&lt;0,"0",'Kit report'!X19)</f>
        <v>0</v>
      </c>
      <c r="J17" s="548">
        <f>IF('Utility summery'!H21&lt;0,"0",'Utility summery'!H21)</f>
        <v>0</v>
      </c>
      <c r="K17" s="549">
        <f>IF('UTILITY REPORT 1'!H18&lt;0,"0",'UTILITY REPORT 1'!H18)</f>
        <v>0</v>
      </c>
      <c r="L17" s="548">
        <f>'Water-Meter'!K21</f>
        <v>0</v>
      </c>
      <c r="M17" s="549">
        <f>'Water-Meter'!H21</f>
        <v>0</v>
      </c>
      <c r="N17" s="549">
        <f>'Water-Meter'!Q21</f>
        <v>0</v>
      </c>
      <c r="O17" s="548" t="e">
        <f>K17*E17+H17*I17+#REF!*#REF!+J17*L17</f>
        <v>#REF!</v>
      </c>
      <c r="P17" s="555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90" t="s">
        <v>305</v>
      </c>
      <c r="B1" s="790"/>
      <c r="C1" s="790"/>
      <c r="D1" s="790"/>
      <c r="E1" s="790"/>
      <c r="F1" s="790"/>
      <c r="G1" s="790"/>
      <c r="H1" s="790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31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659.29</v>
      </c>
      <c r="F5" s="477">
        <f>Gen!U13</f>
        <v>1625</v>
      </c>
      <c r="G5" s="477">
        <f>'Water-Meter'!E8</f>
        <v>47</v>
      </c>
      <c r="H5" s="477">
        <f>'Utility report '!AC8</f>
        <v>77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633.92999999999995</v>
      </c>
      <c r="F6" s="477">
        <f>Gen!U14</f>
        <v>1460</v>
      </c>
      <c r="G6" s="477">
        <f>'Water-Meter'!E9</f>
        <v>31</v>
      </c>
      <c r="H6" s="477">
        <f>'Utility report '!AC9</f>
        <v>0</v>
      </c>
      <c r="I6" s="477">
        <f>Gen!AK14</f>
        <v>2.33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646.24</v>
      </c>
      <c r="F7" s="477">
        <f>Gen!U15</f>
        <v>1531</v>
      </c>
      <c r="G7" s="477">
        <f>'Water-Meter'!E10</f>
        <v>30</v>
      </c>
      <c r="H7" s="477">
        <f>'Utility report '!AC10</f>
        <v>68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627.88</v>
      </c>
      <c r="F8" s="477">
        <f>Gen!U16</f>
        <v>0</v>
      </c>
      <c r="G8" s="477">
        <f>'Water-Meter'!E11</f>
        <v>33</v>
      </c>
      <c r="H8" s="477">
        <f>'Utility report '!AC11</f>
        <v>36</v>
      </c>
      <c r="I8" s="477">
        <f>Gen!AK16</f>
        <v>31.11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637.52</v>
      </c>
      <c r="F9" s="477">
        <f>Gen!U17</f>
        <v>1434</v>
      </c>
      <c r="G9" s="477">
        <f>'Water-Meter'!E12</f>
        <v>41</v>
      </c>
      <c r="H9" s="477">
        <f>'Utility report '!AC12</f>
        <v>0</v>
      </c>
      <c r="I9" s="477">
        <f>Gen!AK17</f>
        <v>22.97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692.82999999999993</v>
      </c>
      <c r="F10" s="477">
        <f>Gen!U18</f>
        <v>1432</v>
      </c>
      <c r="G10" s="477">
        <f>'Water-Meter'!E13</f>
        <v>37</v>
      </c>
      <c r="H10" s="477">
        <f>'Utility report '!AC13</f>
        <v>70</v>
      </c>
      <c r="I10" s="477">
        <f>Gen!AK18</f>
        <v>80.099999999999994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662.1</v>
      </c>
      <c r="F11" s="477">
        <f>Gen!U19</f>
        <v>1527</v>
      </c>
      <c r="G11" s="477">
        <f>'Water-Meter'!E14</f>
        <v>51</v>
      </c>
      <c r="H11" s="477">
        <f>'Utility report '!AC14</f>
        <v>110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652.33000000000004</v>
      </c>
      <c r="F12" s="477">
        <f>Gen!U20</f>
        <v>1451</v>
      </c>
      <c r="G12" s="477">
        <f>'Water-Meter'!E15</f>
        <v>51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675.39</v>
      </c>
      <c r="F13" s="477">
        <f>Gen!U21</f>
        <v>1449</v>
      </c>
      <c r="G13" s="477">
        <f>'Water-Meter'!E16</f>
        <v>56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719.01</v>
      </c>
      <c r="F14" s="477">
        <f>Gen!U22</f>
        <v>1623</v>
      </c>
      <c r="G14" s="477">
        <f>'Water-Meter'!E17</f>
        <v>58</v>
      </c>
      <c r="H14" s="477">
        <f>'Utility report '!AC17</f>
        <v>71</v>
      </c>
      <c r="I14" s="477">
        <f>Gen!AK22</f>
        <v>106.89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656.19</v>
      </c>
      <c r="F15" s="477">
        <f>Gen!U23</f>
        <v>1552</v>
      </c>
      <c r="G15" s="477">
        <f>'Water-Meter'!E18</f>
        <v>41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0</v>
      </c>
      <c r="F16" s="477">
        <f>Gen!U24</f>
        <v>0</v>
      </c>
      <c r="G16" s="477" t="str">
        <f>'Water-Meter'!E19</f>
        <v>0</v>
      </c>
      <c r="H16" s="477">
        <f>'Utility report '!AC19</f>
        <v>-32018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0</v>
      </c>
      <c r="F17" s="477">
        <f>Gen!U25</f>
        <v>0</v>
      </c>
      <c r="G17" s="477">
        <f>'Water-Meter'!E20</f>
        <v>0</v>
      </c>
      <c r="H17" s="477">
        <f>'Utility report '!AC20</f>
        <v>0</v>
      </c>
      <c r="I17" s="477">
        <f>Gen!AK25</f>
        <v>0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>
        <f>'Water-Meter'!E21</f>
        <v>0</v>
      </c>
      <c r="H18" s="477">
        <f>'Utility report '!AC21</f>
        <v>0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1" t="s">
        <v>135</v>
      </c>
      <c r="E4" s="791"/>
      <c r="F4" s="791"/>
      <c r="G4" s="792" t="s">
        <v>20</v>
      </c>
      <c r="H4" s="792"/>
      <c r="I4" s="792"/>
      <c r="J4" s="793" t="s">
        <v>54</v>
      </c>
      <c r="K4" s="793"/>
      <c r="L4" s="793"/>
      <c r="M4" s="793"/>
      <c r="N4" s="794" t="s">
        <v>143</v>
      </c>
      <c r="O4" s="794"/>
      <c r="P4" s="794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31</v>
      </c>
      <c r="J6" s="184">
        <f>'Lpg (2)'!B10</f>
        <v>85</v>
      </c>
      <c r="K6" s="184">
        <f>'Lpg (2)'!C10</f>
        <v>83</v>
      </c>
      <c r="L6" s="184">
        <f>'Lpg (2)'!D10</f>
        <v>41</v>
      </c>
      <c r="M6" s="536">
        <f>'Lpg (2)'!G10</f>
        <v>34.9799999999872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39</v>
      </c>
      <c r="M7" s="536">
        <f>'Lpg (2)'!G11</f>
        <v>19.75600000002305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1625</v>
      </c>
      <c r="D8" s="179">
        <f>Gen!T13</f>
        <v>659.29</v>
      </c>
      <c r="E8" s="179">
        <f>Gen!AK13</f>
        <v>0</v>
      </c>
      <c r="F8" s="179">
        <f>Gen!AS13</f>
        <v>659.29</v>
      </c>
      <c r="G8" s="182">
        <f>'Utility report '!AC8</f>
        <v>77</v>
      </c>
      <c r="H8" s="182">
        <f>'Utility report '!AE8</f>
        <v>53</v>
      </c>
      <c r="I8" s="352">
        <f>'Water-Meter'!E8</f>
        <v>47</v>
      </c>
      <c r="J8" s="184">
        <f>'Lpg (2)'!B12</f>
        <v>85</v>
      </c>
      <c r="K8" s="184">
        <f>'Lpg (2)'!C12</f>
        <v>83</v>
      </c>
      <c r="L8" s="184">
        <f>'Lpg (2)'!D12</f>
        <v>37</v>
      </c>
      <c r="M8" s="536">
        <f>'Lpg (2)'!G12</f>
        <v>26.97200000002049</v>
      </c>
      <c r="N8" s="177">
        <f t="shared" ref="N8:O36" si="2">D8*1.4</f>
        <v>923.00599999999986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1460</v>
      </c>
      <c r="D9" s="179">
        <f>Gen!T14</f>
        <v>633.92999999999995</v>
      </c>
      <c r="E9" s="179">
        <f>Gen!AK14</f>
        <v>2.33</v>
      </c>
      <c r="F9" s="179">
        <f>Gen!AS14</f>
        <v>636.26</v>
      </c>
      <c r="G9" s="182">
        <f>'Utility report '!AC9</f>
        <v>0</v>
      </c>
      <c r="H9" s="182">
        <f>'Utility report '!AE9</f>
        <v>56</v>
      </c>
      <c r="I9" s="352">
        <f>'Water-Meter'!E9</f>
        <v>31</v>
      </c>
      <c r="J9" s="184">
        <f>'Lpg (2)'!B13</f>
        <v>85</v>
      </c>
      <c r="K9" s="184">
        <f>'Lpg (2)'!C13</f>
        <v>83</v>
      </c>
      <c r="L9" s="184">
        <f>'Lpg (2)'!D13</f>
        <v>36</v>
      </c>
      <c r="M9" s="536">
        <f>'Lpg (2)'!G13</f>
        <v>26.400000000000002</v>
      </c>
      <c r="N9" s="177">
        <f t="shared" si="2"/>
        <v>887.50199999999984</v>
      </c>
      <c r="O9" s="177">
        <f t="shared" si="2"/>
        <v>3.262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1531</v>
      </c>
      <c r="D10" s="179">
        <f>Gen!T15</f>
        <v>646.24</v>
      </c>
      <c r="E10" s="179">
        <f>Gen!AK15</f>
        <v>0</v>
      </c>
      <c r="F10" s="179">
        <f>Gen!AS15</f>
        <v>646.24</v>
      </c>
      <c r="G10" s="182">
        <f>'Utility report '!AC10</f>
        <v>68</v>
      </c>
      <c r="H10" s="182">
        <f>'Utility report '!AE10</f>
        <v>54</v>
      </c>
      <c r="I10" s="352">
        <f>'Water-Meter'!E10</f>
        <v>30</v>
      </c>
      <c r="J10" s="184">
        <f>'Lpg (2)'!B14</f>
        <v>85</v>
      </c>
      <c r="K10" s="184">
        <f>'Lpg (2)'!C14</f>
        <v>83</v>
      </c>
      <c r="L10" s="184">
        <f>'Lpg (2)'!D14</f>
        <v>35</v>
      </c>
      <c r="M10" s="536">
        <f>'Lpg (2)'!G14</f>
        <v>22.439999999961586</v>
      </c>
      <c r="N10" s="177">
        <f t="shared" si="2"/>
        <v>904.73599999999999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627.88</v>
      </c>
      <c r="E11" s="179">
        <f>Gen!AK16</f>
        <v>31.11</v>
      </c>
      <c r="F11" s="179">
        <f>Gen!AS16</f>
        <v>658.99</v>
      </c>
      <c r="G11" s="182">
        <f>'Utility report '!AC11</f>
        <v>36</v>
      </c>
      <c r="H11" s="182">
        <f>'Utility report '!AE11</f>
        <v>27</v>
      </c>
      <c r="I11" s="352">
        <f>'Water-Meter'!E11</f>
        <v>33</v>
      </c>
      <c r="J11" s="184">
        <f>'Lpg (2)'!B15</f>
        <v>85</v>
      </c>
      <c r="K11" s="184">
        <f>'Lpg (2)'!C15</f>
        <v>83</v>
      </c>
      <c r="L11" s="184">
        <f>'Lpg (2)'!D15</f>
        <v>34</v>
      </c>
      <c r="M11" s="536">
        <f>'Lpg (2)'!G15</f>
        <v>14.608000000030735</v>
      </c>
      <c r="N11" s="177">
        <f t="shared" si="2"/>
        <v>879.03199999999993</v>
      </c>
      <c r="O11" s="177">
        <f t="shared" si="2"/>
        <v>43.553999999999995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1434</v>
      </c>
      <c r="D12" s="179">
        <f>Gen!T17</f>
        <v>637.52</v>
      </c>
      <c r="E12" s="179">
        <f>Gen!AK17</f>
        <v>22.97</v>
      </c>
      <c r="F12" s="179">
        <f>Gen!AS17</f>
        <v>660.49</v>
      </c>
      <c r="G12" s="182">
        <f>'Utility report '!AC12</f>
        <v>0</v>
      </c>
      <c r="H12" s="182">
        <f>'Utility report '!AE12</f>
        <v>38</v>
      </c>
      <c r="I12" s="352">
        <f>'Water-Meter'!E12</f>
        <v>41</v>
      </c>
      <c r="J12" s="184">
        <f>'Lpg (2)'!B16</f>
        <v>85</v>
      </c>
      <c r="K12" s="184">
        <f>'Lpg (2)'!C16</f>
        <v>83</v>
      </c>
      <c r="L12" s="184">
        <f>'Lpg (2)'!D16</f>
        <v>32</v>
      </c>
      <c r="M12" s="536">
        <f>'Lpg (2)'!G16</f>
        <v>32.252000000007683</v>
      </c>
      <c r="N12" s="177">
        <f t="shared" si="2"/>
        <v>892.52799999999991</v>
      </c>
      <c r="O12" s="177">
        <f t="shared" si="2"/>
        <v>32.157999999999994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1432</v>
      </c>
      <c r="D13" s="179">
        <f>Gen!T18</f>
        <v>692.82999999999993</v>
      </c>
      <c r="E13" s="179">
        <f>Gen!AK18</f>
        <v>80.099999999999994</v>
      </c>
      <c r="F13" s="179">
        <f>Gen!AS18</f>
        <v>772.93</v>
      </c>
      <c r="G13" s="182">
        <f>'Utility report '!AC13</f>
        <v>70</v>
      </c>
      <c r="H13" s="182">
        <f>'Utility report '!AE13</f>
        <v>41</v>
      </c>
      <c r="I13" s="352">
        <f>'Water-Meter'!E13</f>
        <v>37</v>
      </c>
      <c r="J13" s="184">
        <f>'Lpg (2)'!B17</f>
        <v>85</v>
      </c>
      <c r="K13" s="184">
        <f>'Lpg (2)'!C17</f>
        <v>83</v>
      </c>
      <c r="L13" s="184">
        <f>'Lpg (2)'!D17</f>
        <v>30</v>
      </c>
      <c r="M13" s="536">
        <f>'Lpg (2)'!G17</f>
        <v>35.551999999943661</v>
      </c>
      <c r="N13" s="177">
        <f t="shared" si="2"/>
        <v>969.96199999999988</v>
      </c>
      <c r="O13" s="177">
        <f t="shared" si="2"/>
        <v>112.13999999999999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1527</v>
      </c>
      <c r="D14" s="179">
        <f>Gen!T19</f>
        <v>662.1</v>
      </c>
      <c r="E14" s="179">
        <f>Gen!AK19</f>
        <v>0</v>
      </c>
      <c r="F14" s="179">
        <f>Gen!AS19</f>
        <v>662.1</v>
      </c>
      <c r="G14" s="182">
        <f>'Utility report '!AC14</f>
        <v>110</v>
      </c>
      <c r="H14" s="182">
        <f>'Utility report '!AE14</f>
        <v>40</v>
      </c>
      <c r="I14" s="352">
        <f>'Water-Meter'!E14</f>
        <v>51</v>
      </c>
      <c r="J14" s="184">
        <f>'Lpg (2)'!B18</f>
        <v>85</v>
      </c>
      <c r="K14" s="184">
        <f>'Lpg (2)'!C18</f>
        <v>83</v>
      </c>
      <c r="L14" s="184">
        <f>'Lpg (2)'!D18</f>
        <v>28</v>
      </c>
      <c r="M14" s="536">
        <f>'Lpg (2)'!G18</f>
        <v>28.908000000030736</v>
      </c>
      <c r="N14" s="177">
        <f t="shared" si="2"/>
        <v>926.93999999999994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1451</v>
      </c>
      <c r="D15" s="179">
        <f>Gen!T20</f>
        <v>652.33000000000004</v>
      </c>
      <c r="E15" s="179">
        <f>Gen!AK20</f>
        <v>0</v>
      </c>
      <c r="F15" s="179">
        <f>Gen!AS20</f>
        <v>652.33000000000004</v>
      </c>
      <c r="G15" s="182">
        <f>'Utility report '!AC15</f>
        <v>0</v>
      </c>
      <c r="H15" s="182">
        <f>'Utility report '!AE15</f>
        <v>35</v>
      </c>
      <c r="I15" s="352">
        <f>'Water-Meter'!E15</f>
        <v>51</v>
      </c>
      <c r="J15" s="184">
        <f>'Lpg (2)'!B19</f>
        <v>85</v>
      </c>
      <c r="K15" s="184">
        <f>'Lpg (2)'!C19</f>
        <v>83</v>
      </c>
      <c r="L15" s="184">
        <f>'Lpg (2)'!D19</f>
        <v>25</v>
      </c>
      <c r="M15" s="536">
        <f>'Lpg (2)'!G19</f>
        <v>45.143999999976955</v>
      </c>
      <c r="N15" s="177">
        <f t="shared" si="2"/>
        <v>913.26199999999994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1449</v>
      </c>
      <c r="D16" s="179">
        <f>Gen!T21</f>
        <v>675.39</v>
      </c>
      <c r="E16" s="179">
        <f>Gen!AK21</f>
        <v>0</v>
      </c>
      <c r="F16" s="179">
        <f>Gen!AS21</f>
        <v>675.39</v>
      </c>
      <c r="G16" s="182">
        <f>'Utility report '!AC16</f>
        <v>0</v>
      </c>
      <c r="H16" s="182">
        <f>'Utility report '!AE16</f>
        <v>38</v>
      </c>
      <c r="I16" s="352">
        <f>'Water-Meter'!E16</f>
        <v>56</v>
      </c>
      <c r="J16" s="184">
        <f>'Lpg (2)'!B20</f>
        <v>85</v>
      </c>
      <c r="K16" s="184">
        <f>'Lpg (2)'!C20</f>
        <v>83</v>
      </c>
      <c r="L16" s="184">
        <f>'Lpg (2)'!D20</f>
        <v>21</v>
      </c>
      <c r="M16" s="536">
        <f>'Lpg (2)'!G20</f>
        <v>38.896000000048666</v>
      </c>
      <c r="N16" s="177">
        <f t="shared" si="2"/>
        <v>945.54599999999994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1623</v>
      </c>
      <c r="D17" s="179">
        <f>Gen!T22</f>
        <v>719.01</v>
      </c>
      <c r="E17" s="179">
        <f>Gen!AK22</f>
        <v>106.89</v>
      </c>
      <c r="F17" s="179">
        <f>Gen!AS22</f>
        <v>825.9</v>
      </c>
      <c r="G17" s="182">
        <f>'Utility report '!AC17</f>
        <v>71</v>
      </c>
      <c r="H17" s="182">
        <f>'Utility report '!AE17</f>
        <v>43</v>
      </c>
      <c r="I17" s="352">
        <f>'Water-Meter'!E17</f>
        <v>58</v>
      </c>
      <c r="J17" s="184">
        <f>'Lpg (2)'!B21</f>
        <v>85</v>
      </c>
      <c r="K17" s="184">
        <f>'Lpg (2)'!C22</f>
        <v>83</v>
      </c>
      <c r="L17" s="184">
        <f>'Lpg (2)'!D21</f>
        <v>20</v>
      </c>
      <c r="M17" s="536">
        <f>'Lpg (2)'!G21</f>
        <v>27.01599999999744</v>
      </c>
      <c r="N17" s="177">
        <f t="shared" si="2"/>
        <v>1006.6139999999999</v>
      </c>
      <c r="O17" s="177">
        <f t="shared" si="2"/>
        <v>149.64599999999999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1552</v>
      </c>
      <c r="D18" s="179">
        <f>Gen!T23</f>
        <v>656.19</v>
      </c>
      <c r="E18" s="179">
        <f>Gen!AK23</f>
        <v>0</v>
      </c>
      <c r="F18" s="179">
        <f>Gen!AS23</f>
        <v>656.19</v>
      </c>
      <c r="G18" s="182">
        <f>'Utility report '!AC18</f>
        <v>0</v>
      </c>
      <c r="H18" s="182">
        <f>'Utility report '!AE18</f>
        <v>-201279</v>
      </c>
      <c r="I18" s="352">
        <f>'Water-Meter'!E18</f>
        <v>41</v>
      </c>
      <c r="J18" s="184">
        <f>'Lpg (2)'!B22</f>
        <v>85</v>
      </c>
      <c r="K18" s="184" t="e">
        <f>'Lpg (2)'!#REF!</f>
        <v>#REF!</v>
      </c>
      <c r="L18" s="184">
        <f>'Lpg (2)'!D22</f>
        <v>18</v>
      </c>
      <c r="M18" s="536">
        <f>'Lpg (2)'!G22</f>
        <v>29.21599999999744</v>
      </c>
      <c r="N18" s="177">
        <f t="shared" si="2"/>
        <v>918.66600000000005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-32018</v>
      </c>
      <c r="H19" s="182">
        <f>'Utility report '!AE19</f>
        <v>0</v>
      </c>
      <c r="I19" s="352" t="str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536">
        <f>'Lpg (2)'!G23</f>
        <v>-313512.67200000002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2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536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2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16664</v>
      </c>
      <c r="D39" s="545">
        <f>SUM(D7:D35)</f>
        <v>7922.3700000000008</v>
      </c>
      <c r="E39" s="545">
        <f t="shared" ref="E39:S39" si="3">SUM(E7:E35)</f>
        <v>243.39999999999998</v>
      </c>
      <c r="F39" s="545">
        <f t="shared" si="3"/>
        <v>8165.77</v>
      </c>
      <c r="G39" s="545">
        <f t="shared" si="3"/>
        <v>-31574</v>
      </c>
      <c r="H39" s="545">
        <f t="shared" si="3"/>
        <v>-200803</v>
      </c>
      <c r="I39" s="545">
        <f t="shared" si="3"/>
        <v>507</v>
      </c>
      <c r="J39" s="545">
        <f t="shared" si="3"/>
        <v>1020</v>
      </c>
      <c r="K39" s="545" t="e">
        <f t="shared" si="3"/>
        <v>#REF!</v>
      </c>
      <c r="L39" s="545">
        <f t="shared" si="3"/>
        <v>355</v>
      </c>
      <c r="M39" s="545">
        <f t="shared" si="3"/>
        <v>-313165.51199999999</v>
      </c>
      <c r="N39" s="545">
        <f t="shared" si="3"/>
        <v>11091.317999999997</v>
      </c>
      <c r="O39" s="545">
        <f t="shared" si="3"/>
        <v>340.76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F10" zoomScale="85" zoomScalePageLayoutView="85" workbookViewId="0">
      <selection activeCell="AD18" sqref="AD1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3" t="s">
        <v>318</v>
      </c>
      <c r="B1" s="804"/>
      <c r="C1" s="804"/>
      <c r="D1" s="804"/>
      <c r="E1" s="804"/>
      <c r="F1" s="804"/>
      <c r="G1" s="804"/>
      <c r="H1" s="804"/>
      <c r="I1" s="804"/>
      <c r="J1" s="804"/>
      <c r="K1" s="804"/>
      <c r="L1" s="804"/>
      <c r="M1" s="804"/>
      <c r="N1" s="804"/>
      <c r="O1" s="804"/>
      <c r="P1" s="804"/>
      <c r="Q1" s="804"/>
      <c r="R1" s="804"/>
      <c r="S1" s="804"/>
      <c r="T1" s="804"/>
      <c r="U1" s="804"/>
      <c r="V1" s="804"/>
      <c r="W1" s="804"/>
      <c r="X1" s="804"/>
      <c r="Y1" s="804"/>
      <c r="Z1" s="804"/>
      <c r="AA1" s="804"/>
      <c r="AB1" s="804"/>
      <c r="AC1" s="804"/>
      <c r="AD1" s="804"/>
      <c r="AE1" s="804"/>
      <c r="AF1" s="804"/>
      <c r="AG1" s="804"/>
      <c r="AH1" s="804"/>
      <c r="AI1" s="804"/>
      <c r="AJ1" s="804"/>
      <c r="AK1" s="805"/>
    </row>
    <row r="2" spans="1:37" ht="61.5" customHeight="1" thickBot="1">
      <c r="A2" s="150" t="s">
        <v>98</v>
      </c>
      <c r="B2" s="806" t="s">
        <v>99</v>
      </c>
      <c r="C2" s="807"/>
      <c r="D2" s="808"/>
      <c r="E2" s="151"/>
      <c r="F2" s="151"/>
      <c r="G2" s="151"/>
      <c r="H2" s="148" t="s">
        <v>124</v>
      </c>
      <c r="I2" s="338" t="s">
        <v>100</v>
      </c>
      <c r="J2" s="811" t="s">
        <v>122</v>
      </c>
      <c r="K2" s="493"/>
      <c r="L2" s="813" t="s">
        <v>123</v>
      </c>
      <c r="M2" s="492" t="s">
        <v>101</v>
      </c>
      <c r="N2" s="811" t="s">
        <v>102</v>
      </c>
      <c r="O2" s="795" t="s">
        <v>103</v>
      </c>
      <c r="P2" s="796"/>
      <c r="Q2" s="796"/>
      <c r="R2" s="796"/>
      <c r="S2" s="796"/>
      <c r="T2" s="796"/>
      <c r="U2" s="796"/>
      <c r="V2" s="796"/>
      <c r="W2" s="796"/>
      <c r="X2" s="796"/>
      <c r="Y2" s="796"/>
      <c r="Z2" s="796"/>
      <c r="AA2" s="339" t="s">
        <v>104</v>
      </c>
      <c r="AB2" s="806" t="s">
        <v>164</v>
      </c>
      <c r="AC2" s="808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9">
        <f>SUM(D3/B3)</f>
        <v>1.3262195121951219</v>
      </c>
      <c r="G3" s="810"/>
      <c r="H3" s="131">
        <f>Gen!D11</f>
        <v>43367.69</v>
      </c>
      <c r="I3" s="141"/>
      <c r="J3" s="811"/>
      <c r="K3" s="493" t="s">
        <v>165</v>
      </c>
      <c r="L3" s="813"/>
      <c r="M3" s="340" t="s">
        <v>111</v>
      </c>
      <c r="N3" s="811"/>
      <c r="O3" s="795" t="s">
        <v>112</v>
      </c>
      <c r="P3" s="796"/>
      <c r="Q3" s="796"/>
      <c r="R3" s="796"/>
      <c r="S3" s="797" t="s">
        <v>113</v>
      </c>
      <c r="T3" s="798"/>
      <c r="U3" s="798"/>
      <c r="V3" s="799"/>
      <c r="W3" s="800" t="s">
        <v>114</v>
      </c>
      <c r="X3" s="801"/>
      <c r="Y3" s="801"/>
      <c r="Z3" s="802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1"/>
      <c r="K4" s="493"/>
      <c r="L4" s="813"/>
      <c r="M4" s="143"/>
      <c r="N4" s="812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31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482.35294117647061</v>
      </c>
      <c r="AI6" s="509">
        <f>SUM(AF6*2000)+(AG6*1000)+(AH6*1000)</f>
        <v>5458823.5294117648</v>
      </c>
      <c r="AJ6" s="510">
        <f t="shared" ref="AJ6:AJ36" si="4">SUM(AI5-AI6)</f>
        <v>-5458823.5294117648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458.8235294117647</v>
      </c>
      <c r="AI7" s="511">
        <f t="shared" ref="AI7:AI14" si="12">SUM(AF6*2000)+(AG7*1000)+(AH7*1000)</f>
        <v>5435294.1176470593</v>
      </c>
      <c r="AJ7" s="510">
        <f t="shared" si="4"/>
        <v>23529.411764705554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659.29</v>
      </c>
      <c r="K8" s="142">
        <f>Gen!AK13</f>
        <v>0</v>
      </c>
      <c r="L8" s="142">
        <f t="shared" si="1"/>
        <v>659.29</v>
      </c>
      <c r="M8" s="535">
        <f>'Water-Meter'!K48</f>
        <v>580.47194976405694</v>
      </c>
      <c r="N8" s="203">
        <f>'Water-Meter'!E8</f>
        <v>47</v>
      </c>
      <c r="O8" s="214"/>
      <c r="P8" s="452">
        <v>19030</v>
      </c>
      <c r="Q8" s="506">
        <f t="shared" si="2"/>
        <v>0</v>
      </c>
      <c r="R8" s="507">
        <f t="shared" si="5"/>
        <v>0</v>
      </c>
      <c r="S8" s="452"/>
      <c r="T8" s="575">
        <v>24499</v>
      </c>
      <c r="U8" s="506">
        <f t="shared" si="6"/>
        <v>0</v>
      </c>
      <c r="V8" s="508">
        <f t="shared" si="7"/>
        <v>0</v>
      </c>
      <c r="W8" s="452">
        <v>8.1999999999999993</v>
      </c>
      <c r="X8" s="573">
        <v>16186</v>
      </c>
      <c r="Y8" s="506">
        <f t="shared" si="8"/>
        <v>9</v>
      </c>
      <c r="Z8" s="508">
        <f t="shared" si="9"/>
        <v>73.8</v>
      </c>
      <c r="AA8" s="508">
        <f t="shared" si="10"/>
        <v>1195117.2</v>
      </c>
      <c r="AB8" s="574">
        <v>31663</v>
      </c>
      <c r="AC8" s="138">
        <f t="shared" si="11"/>
        <v>77</v>
      </c>
      <c r="AD8" s="452">
        <v>200907</v>
      </c>
      <c r="AE8" s="221">
        <f t="shared" ref="AE8:AE37" si="15">AD8-AD7</f>
        <v>53</v>
      </c>
      <c r="AF8" s="317">
        <f>'Lpg (2)'!B12*2000/85</f>
        <v>2000</v>
      </c>
      <c r="AG8" s="318">
        <f>'Lpg (2)'!C12*1000/85</f>
        <v>976.47058823529414</v>
      </c>
      <c r="AH8" s="319">
        <f>'Lpg (2)'!D12*1000/85</f>
        <v>435.29411764705884</v>
      </c>
      <c r="AI8" s="511">
        <f t="shared" si="12"/>
        <v>5411764.7058823537</v>
      </c>
      <c r="AJ8" s="510">
        <f t="shared" si="4"/>
        <v>23529.411764705554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41370.67</v>
      </c>
      <c r="I9" s="505">
        <f>Gen!F14</f>
        <v>0</v>
      </c>
      <c r="J9" s="142">
        <f>Gen!T14</f>
        <v>633.92999999999995</v>
      </c>
      <c r="K9" s="142">
        <f>Gen!AK14</f>
        <v>2.33</v>
      </c>
      <c r="L9" s="142">
        <f t="shared" si="1"/>
        <v>636.26</v>
      </c>
      <c r="M9" s="535">
        <f>'Water-Meter'!K49</f>
        <v>625.62925832888163</v>
      </c>
      <c r="N9" s="203">
        <f>'Water-Meter'!E9</f>
        <v>31</v>
      </c>
      <c r="O9" s="214"/>
      <c r="P9" s="452">
        <v>19030</v>
      </c>
      <c r="Q9" s="506">
        <f t="shared" si="2"/>
        <v>0</v>
      </c>
      <c r="R9" s="507">
        <f t="shared" si="5"/>
        <v>0</v>
      </c>
      <c r="S9" s="452"/>
      <c r="T9" s="575">
        <v>24499</v>
      </c>
      <c r="U9" s="506">
        <f t="shared" si="6"/>
        <v>0</v>
      </c>
      <c r="V9" s="508">
        <f t="shared" si="7"/>
        <v>0</v>
      </c>
      <c r="W9" s="452"/>
      <c r="X9" s="573">
        <v>16186</v>
      </c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>
        <v>31663</v>
      </c>
      <c r="AC9" s="138">
        <f t="shared" si="11"/>
        <v>0</v>
      </c>
      <c r="AD9" s="452">
        <v>200963</v>
      </c>
      <c r="AE9" s="221">
        <f t="shared" si="15"/>
        <v>56</v>
      </c>
      <c r="AF9" s="317">
        <f>'Lpg (2)'!B13*2000/85</f>
        <v>2000</v>
      </c>
      <c r="AG9" s="318">
        <f>'Lpg (2)'!C13*1000/85</f>
        <v>976.47058823529414</v>
      </c>
      <c r="AH9" s="319">
        <f>'Lpg (2)'!D13*1000/85</f>
        <v>423.52941176470586</v>
      </c>
      <c r="AI9" s="511">
        <f t="shared" si="12"/>
        <v>5400000</v>
      </c>
      <c r="AJ9" s="510">
        <f t="shared" si="4"/>
        <v>11764.705882353708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40734.409999999996</v>
      </c>
      <c r="I10" s="505">
        <f>Gen!F15</f>
        <v>0</v>
      </c>
      <c r="J10" s="142">
        <f>Gen!T15</f>
        <v>646.24</v>
      </c>
      <c r="K10" s="142">
        <f>Gen!AK15</f>
        <v>0</v>
      </c>
      <c r="L10" s="142">
        <f t="shared" si="1"/>
        <v>646.24</v>
      </c>
      <c r="M10" s="535">
        <f>'Water-Meter'!K50</f>
        <v>536.43442179173678</v>
      </c>
      <c r="N10" s="203">
        <f>'Water-Meter'!E10</f>
        <v>30</v>
      </c>
      <c r="O10" s="214"/>
      <c r="P10" s="452">
        <v>19030</v>
      </c>
      <c r="Q10" s="506">
        <f t="shared" si="2"/>
        <v>0</v>
      </c>
      <c r="R10" s="507">
        <f t="shared" si="5"/>
        <v>0</v>
      </c>
      <c r="S10" s="452"/>
      <c r="T10" s="575">
        <v>24499</v>
      </c>
      <c r="U10" s="506">
        <f t="shared" si="6"/>
        <v>0</v>
      </c>
      <c r="V10" s="508">
        <f t="shared" ref="V10:V16" si="16">SUM(U10*S10)</f>
        <v>0</v>
      </c>
      <c r="W10" s="452"/>
      <c r="X10" s="573">
        <v>16194</v>
      </c>
      <c r="Y10" s="506">
        <f t="shared" si="8"/>
        <v>8</v>
      </c>
      <c r="Z10" s="508">
        <f t="shared" si="9"/>
        <v>0</v>
      </c>
      <c r="AA10" s="508">
        <f t="shared" si="10"/>
        <v>0</v>
      </c>
      <c r="AB10" s="574">
        <v>31731</v>
      </c>
      <c r="AC10" s="138">
        <f t="shared" si="11"/>
        <v>68</v>
      </c>
      <c r="AD10" s="452">
        <v>201017</v>
      </c>
      <c r="AE10" s="221">
        <f t="shared" si="15"/>
        <v>54</v>
      </c>
      <c r="AF10" s="317">
        <f>'Lpg (2)'!B14*2000/85</f>
        <v>2000</v>
      </c>
      <c r="AG10" s="318">
        <f>'Lpg (2)'!C14*1000/85</f>
        <v>976.47058823529414</v>
      </c>
      <c r="AH10" s="319">
        <f>'Lpg (2)'!D14*1000/85</f>
        <v>411.76470588235293</v>
      </c>
      <c r="AI10" s="511">
        <f t="shared" si="12"/>
        <v>5388235.2941176472</v>
      </c>
      <c r="AJ10" s="510">
        <f t="shared" si="4"/>
        <v>11764.705882352777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40088.17</v>
      </c>
      <c r="I11" s="505">
        <f>Gen!F16</f>
        <v>0</v>
      </c>
      <c r="J11" s="142">
        <f>Gen!T16</f>
        <v>627.88</v>
      </c>
      <c r="K11" s="142">
        <f>Gen!AK16</f>
        <v>31.11</v>
      </c>
      <c r="L11" s="142">
        <f t="shared" si="1"/>
        <v>658.99</v>
      </c>
      <c r="M11" s="535">
        <f>'Water-Meter'!K51</f>
        <v>558.95226621885013</v>
      </c>
      <c r="N11" s="203">
        <f>'Water-Meter'!E11</f>
        <v>33</v>
      </c>
      <c r="O11" s="214"/>
      <c r="P11" s="452">
        <v>19030</v>
      </c>
      <c r="Q11" s="506">
        <f t="shared" si="2"/>
        <v>0</v>
      </c>
      <c r="R11" s="507">
        <f t="shared" si="5"/>
        <v>0</v>
      </c>
      <c r="S11" s="452"/>
      <c r="T11" s="575">
        <v>24499</v>
      </c>
      <c r="U11" s="506">
        <f t="shared" si="6"/>
        <v>0</v>
      </c>
      <c r="V11" s="508">
        <f t="shared" si="16"/>
        <v>0</v>
      </c>
      <c r="W11" s="452"/>
      <c r="X11" s="573">
        <v>16198</v>
      </c>
      <c r="Y11" s="506">
        <f t="shared" si="8"/>
        <v>4</v>
      </c>
      <c r="Z11" s="508">
        <f t="shared" si="9"/>
        <v>0</v>
      </c>
      <c r="AA11" s="508">
        <f t="shared" si="10"/>
        <v>0</v>
      </c>
      <c r="AB11" s="574">
        <v>31767</v>
      </c>
      <c r="AC11" s="138">
        <f t="shared" si="11"/>
        <v>36</v>
      </c>
      <c r="AD11" s="452">
        <v>201044</v>
      </c>
      <c r="AE11" s="221">
        <f t="shared" si="15"/>
        <v>27</v>
      </c>
      <c r="AF11" s="317">
        <f>'Lpg (2)'!B15*2000/85</f>
        <v>2000</v>
      </c>
      <c r="AG11" s="318">
        <f>'Lpg (2)'!C15*1000/85</f>
        <v>976.47058823529414</v>
      </c>
      <c r="AH11" s="319">
        <f>'Lpg (2)'!D15*1000/85</f>
        <v>400</v>
      </c>
      <c r="AI11" s="511">
        <f t="shared" si="12"/>
        <v>5376470.5882352944</v>
      </c>
      <c r="AJ11" s="510">
        <f t="shared" si="4"/>
        <v>11764.705882352777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39429.18</v>
      </c>
      <c r="I12" s="505">
        <f>Gen!F17</f>
        <v>0</v>
      </c>
      <c r="J12" s="142">
        <f>Gen!T17</f>
        <v>637.52</v>
      </c>
      <c r="K12" s="142">
        <f>Gen!AK17</f>
        <v>22.97</v>
      </c>
      <c r="L12" s="142">
        <f t="shared" si="1"/>
        <v>660.49</v>
      </c>
      <c r="M12" s="535">
        <f>'Water-Meter'!K52</f>
        <v>534.91910412419975</v>
      </c>
      <c r="N12" s="203">
        <f>'Water-Meter'!E12</f>
        <v>41</v>
      </c>
      <c r="O12" s="214"/>
      <c r="P12" s="452">
        <v>19030</v>
      </c>
      <c r="Q12" s="506">
        <f t="shared" si="2"/>
        <v>0</v>
      </c>
      <c r="R12" s="507">
        <f t="shared" si="5"/>
        <v>0</v>
      </c>
      <c r="S12" s="452"/>
      <c r="T12" s="575">
        <v>24499</v>
      </c>
      <c r="U12" s="506">
        <f t="shared" si="6"/>
        <v>0</v>
      </c>
      <c r="V12" s="508">
        <f t="shared" si="16"/>
        <v>0</v>
      </c>
      <c r="W12" s="452"/>
      <c r="X12" s="573">
        <v>16198</v>
      </c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>
        <v>31767</v>
      </c>
      <c r="AC12" s="138">
        <f t="shared" si="11"/>
        <v>0</v>
      </c>
      <c r="AD12" s="452">
        <v>201082</v>
      </c>
      <c r="AE12" s="221">
        <f t="shared" si="15"/>
        <v>38</v>
      </c>
      <c r="AF12" s="317">
        <f>'Lpg (2)'!B16*2000/85</f>
        <v>2000</v>
      </c>
      <c r="AG12" s="318">
        <f>'Lpg (2)'!C16*1000/85</f>
        <v>976.47058823529414</v>
      </c>
      <c r="AH12" s="319">
        <f>'Lpg (2)'!D16*1000/85</f>
        <v>376.47058823529414</v>
      </c>
      <c r="AI12" s="511">
        <f t="shared" si="12"/>
        <v>5352941.1764705889</v>
      </c>
      <c r="AJ12" s="510">
        <f t="shared" si="4"/>
        <v>23529.411764705554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38768.69</v>
      </c>
      <c r="I13" s="505">
        <f>Gen!F18</f>
        <v>0</v>
      </c>
      <c r="J13" s="142">
        <f>Gen!T18</f>
        <v>692.82999999999993</v>
      </c>
      <c r="K13" s="142">
        <f>Gen!AK18</f>
        <v>80.099999999999994</v>
      </c>
      <c r="L13" s="142">
        <f t="shared" si="1"/>
        <v>772.93</v>
      </c>
      <c r="M13" s="535">
        <f>'Water-Meter'!K53</f>
        <v>530.8681596385893</v>
      </c>
      <c r="N13" s="203">
        <f>'Water-Meter'!E13</f>
        <v>37</v>
      </c>
      <c r="O13" s="214"/>
      <c r="P13" s="452">
        <v>19030</v>
      </c>
      <c r="Q13" s="506">
        <f t="shared" si="2"/>
        <v>0</v>
      </c>
      <c r="R13" s="507">
        <f t="shared" si="5"/>
        <v>0</v>
      </c>
      <c r="S13" s="452"/>
      <c r="T13" s="575">
        <v>24499</v>
      </c>
      <c r="U13" s="506">
        <f t="shared" si="6"/>
        <v>0</v>
      </c>
      <c r="V13" s="508">
        <f t="shared" si="16"/>
        <v>0</v>
      </c>
      <c r="W13" s="452"/>
      <c r="X13" s="573">
        <v>16206</v>
      </c>
      <c r="Y13" s="506">
        <f t="shared" si="8"/>
        <v>8</v>
      </c>
      <c r="Z13" s="508">
        <f t="shared" si="9"/>
        <v>0</v>
      </c>
      <c r="AA13" s="508">
        <f t="shared" si="10"/>
        <v>0</v>
      </c>
      <c r="AB13" s="574">
        <v>31837</v>
      </c>
      <c r="AC13" s="138">
        <f t="shared" si="11"/>
        <v>70</v>
      </c>
      <c r="AD13" s="452">
        <v>201123</v>
      </c>
      <c r="AE13" s="221">
        <f t="shared" si="15"/>
        <v>41</v>
      </c>
      <c r="AF13" s="317">
        <f>'Lpg (2)'!B17*2000/85</f>
        <v>2000</v>
      </c>
      <c r="AG13" s="318">
        <f>'Lpg (2)'!C17*1000/85</f>
        <v>976.47058823529414</v>
      </c>
      <c r="AH13" s="319">
        <f>'Lpg (2)'!D17*1000/85</f>
        <v>352.94117647058823</v>
      </c>
      <c r="AI13" s="511">
        <f t="shared" si="12"/>
        <v>5329411.7647058824</v>
      </c>
      <c r="AJ13" s="510">
        <f t="shared" si="4"/>
        <v>23529.411764706485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37995.760000000002</v>
      </c>
      <c r="I14" s="505">
        <f>Gen!F19</f>
        <v>0</v>
      </c>
      <c r="J14" s="142">
        <f>Gen!T19</f>
        <v>662.1</v>
      </c>
      <c r="K14" s="142">
        <f>Gen!AK19</f>
        <v>0</v>
      </c>
      <c r="L14" s="142">
        <f t="shared" si="1"/>
        <v>662.1</v>
      </c>
      <c r="M14" s="535">
        <f>'Water-Meter'!K54</f>
        <v>520.96975255764801</v>
      </c>
      <c r="N14" s="203">
        <f>'Water-Meter'!E14</f>
        <v>51</v>
      </c>
      <c r="O14" s="214"/>
      <c r="P14" s="452">
        <v>19030</v>
      </c>
      <c r="Q14" s="506">
        <f t="shared" si="2"/>
        <v>0</v>
      </c>
      <c r="R14" s="507">
        <f t="shared" si="5"/>
        <v>0</v>
      </c>
      <c r="S14" s="452"/>
      <c r="T14" s="575">
        <v>24499</v>
      </c>
      <c r="U14" s="506">
        <f t="shared" si="6"/>
        <v>0</v>
      </c>
      <c r="V14" s="508">
        <f t="shared" si="16"/>
        <v>0</v>
      </c>
      <c r="W14" s="452"/>
      <c r="X14" s="573">
        <v>16219</v>
      </c>
      <c r="Y14" s="506">
        <f t="shared" si="8"/>
        <v>13</v>
      </c>
      <c r="Z14" s="508">
        <f t="shared" si="9"/>
        <v>0</v>
      </c>
      <c r="AA14" s="508">
        <f t="shared" si="10"/>
        <v>0</v>
      </c>
      <c r="AB14" s="574">
        <v>31947</v>
      </c>
      <c r="AC14" s="138">
        <f t="shared" si="11"/>
        <v>110</v>
      </c>
      <c r="AD14" s="452">
        <v>201163</v>
      </c>
      <c r="AE14" s="221">
        <f t="shared" si="15"/>
        <v>40</v>
      </c>
      <c r="AF14" s="317">
        <f>'Lpg (2)'!B18*2000/85</f>
        <v>2000</v>
      </c>
      <c r="AG14" s="318">
        <f>'Lpg (2)'!C18*1000/85</f>
        <v>976.47058823529414</v>
      </c>
      <c r="AH14" s="319">
        <f>'Lpg (2)'!D18*1000/85</f>
        <v>329.41176470588238</v>
      </c>
      <c r="AI14" s="511">
        <f t="shared" si="12"/>
        <v>5305882.3529411769</v>
      </c>
      <c r="AJ14" s="510">
        <f t="shared" si="4"/>
        <v>23529.411764705554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37333.660000000003</v>
      </c>
      <c r="I15" s="505">
        <f>Gen!F20</f>
        <v>0</v>
      </c>
      <c r="J15" s="142">
        <f>Gen!T20</f>
        <v>652.33000000000004</v>
      </c>
      <c r="K15" s="142">
        <f>Gen!AK20</f>
        <v>0</v>
      </c>
      <c r="L15" s="142">
        <f t="shared" si="1"/>
        <v>652.33000000000004</v>
      </c>
      <c r="M15" s="535">
        <f>'Water-Meter'!K55</f>
        <v>451.94849247329876</v>
      </c>
      <c r="N15" s="203">
        <f>'Water-Meter'!E15</f>
        <v>51</v>
      </c>
      <c r="O15" s="214"/>
      <c r="P15" s="452">
        <v>19030</v>
      </c>
      <c r="Q15" s="506">
        <f t="shared" si="2"/>
        <v>0</v>
      </c>
      <c r="R15" s="507">
        <f t="shared" si="5"/>
        <v>0</v>
      </c>
      <c r="S15" s="452"/>
      <c r="T15" s="575">
        <v>24499</v>
      </c>
      <c r="U15" s="506">
        <f t="shared" si="6"/>
        <v>0</v>
      </c>
      <c r="V15" s="508">
        <f t="shared" si="16"/>
        <v>0</v>
      </c>
      <c r="W15" s="452"/>
      <c r="X15" s="573">
        <v>16219</v>
      </c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>
        <v>31947</v>
      </c>
      <c r="AC15" s="138">
        <f t="shared" si="11"/>
        <v>0</v>
      </c>
      <c r="AD15" s="452">
        <v>201198</v>
      </c>
      <c r="AE15" s="221">
        <f>AD15-AD14</f>
        <v>35</v>
      </c>
      <c r="AF15" s="317">
        <f>'Lpg (2)'!B19*2000/85</f>
        <v>2000</v>
      </c>
      <c r="AG15" s="318">
        <f>'Lpg (2)'!C19*1000/85</f>
        <v>976.47058823529414</v>
      </c>
      <c r="AH15" s="319">
        <f>'Lpg (2)'!D19*1000/85</f>
        <v>294.11764705882354</v>
      </c>
      <c r="AI15" s="511">
        <f t="shared" ref="AI15:AI35" si="17">SUM(AF15*2000)+(AG15*1000)+(AH15*1000)</f>
        <v>5270588.2352941176</v>
      </c>
      <c r="AJ15" s="510">
        <f t="shared" si="4"/>
        <v>35294.117647059262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36681.33</v>
      </c>
      <c r="I16" s="505">
        <f>Gen!F21</f>
        <v>0</v>
      </c>
      <c r="J16" s="142">
        <f>Gen!T21</f>
        <v>675.39</v>
      </c>
      <c r="K16" s="142">
        <f>Gen!AK21</f>
        <v>0</v>
      </c>
      <c r="L16" s="142">
        <f t="shared" si="1"/>
        <v>675.39</v>
      </c>
      <c r="M16" s="535">
        <f>'Water-Meter'!K56</f>
        <v>434.37855279734322</v>
      </c>
      <c r="N16" s="203">
        <f>'Water-Meter'!E16</f>
        <v>56</v>
      </c>
      <c r="O16" s="214"/>
      <c r="P16" s="452">
        <v>19030</v>
      </c>
      <c r="Q16" s="506">
        <f t="shared" si="2"/>
        <v>0</v>
      </c>
      <c r="R16" s="507">
        <f t="shared" si="5"/>
        <v>0</v>
      </c>
      <c r="S16" s="452"/>
      <c r="T16" s="575">
        <v>24499</v>
      </c>
      <c r="U16" s="506">
        <f t="shared" si="6"/>
        <v>0</v>
      </c>
      <c r="V16" s="508">
        <f t="shared" si="16"/>
        <v>0</v>
      </c>
      <c r="W16" s="452"/>
      <c r="X16" s="573">
        <v>16219</v>
      </c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>
        <v>31947</v>
      </c>
      <c r="AC16" s="138">
        <f t="shared" si="11"/>
        <v>0</v>
      </c>
      <c r="AD16" s="452">
        <v>201236</v>
      </c>
      <c r="AE16" s="221">
        <f t="shared" si="15"/>
        <v>38</v>
      </c>
      <c r="AF16" s="317">
        <f>'Lpg (2)'!B20*2000/85</f>
        <v>2000</v>
      </c>
      <c r="AG16" s="318">
        <f>'Lpg (2)'!C20*1000/85</f>
        <v>976.47058823529414</v>
      </c>
      <c r="AH16" s="319">
        <f>'Lpg (2)'!D20*1000/85</f>
        <v>247.05882352941177</v>
      </c>
      <c r="AI16" s="511">
        <f t="shared" si="17"/>
        <v>5223529.4117647065</v>
      </c>
      <c r="AJ16" s="510">
        <f t="shared" si="4"/>
        <v>47058.823529411107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46005.94</v>
      </c>
      <c r="I17" s="505">
        <f>Gen!F22</f>
        <v>10000</v>
      </c>
      <c r="J17" s="142">
        <f>Gen!T22</f>
        <v>719.01</v>
      </c>
      <c r="K17" s="142">
        <f>Gen!AK22</f>
        <v>106.89</v>
      </c>
      <c r="L17" s="142">
        <f t="shared" si="1"/>
        <v>825.9</v>
      </c>
      <c r="M17" s="535">
        <f>'Water-Meter'!K57</f>
        <v>473.35906902596753</v>
      </c>
      <c r="N17" s="203">
        <f>'Water-Meter'!E17</f>
        <v>58</v>
      </c>
      <c r="O17" s="214"/>
      <c r="P17" s="452">
        <v>19030</v>
      </c>
      <c r="Q17" s="506">
        <f>SUM(P18-P16)</f>
        <v>0</v>
      </c>
      <c r="R17" s="507">
        <f t="shared" si="5"/>
        <v>0</v>
      </c>
      <c r="S17" s="452"/>
      <c r="T17" s="575">
        <v>24506</v>
      </c>
      <c r="U17" s="506">
        <f t="shared" si="6"/>
        <v>7</v>
      </c>
      <c r="V17" s="508">
        <f t="shared" ref="V17:V36" si="18">SUM(U17*S17)</f>
        <v>0</v>
      </c>
      <c r="W17" s="452"/>
      <c r="X17" s="573">
        <v>16225</v>
      </c>
      <c r="Y17" s="506">
        <f t="shared" si="8"/>
        <v>6</v>
      </c>
      <c r="Z17" s="508">
        <f t="shared" si="9"/>
        <v>0</v>
      </c>
      <c r="AA17" s="508">
        <f t="shared" si="10"/>
        <v>0</v>
      </c>
      <c r="AB17" s="574">
        <v>32018</v>
      </c>
      <c r="AC17" s="138">
        <f t="shared" si="11"/>
        <v>71</v>
      </c>
      <c r="AD17" s="452">
        <v>201279</v>
      </c>
      <c r="AE17" s="221">
        <f t="shared" si="15"/>
        <v>43</v>
      </c>
      <c r="AF17" s="317">
        <f>'Lpg (2)'!B21*2000/85</f>
        <v>2000</v>
      </c>
      <c r="AG17" s="318">
        <f>'Lpg (2)'!C22*1000/85</f>
        <v>976.47058823529414</v>
      </c>
      <c r="AH17" s="319">
        <f>'Lpg (2)'!D21*1000/85</f>
        <v>235.29411764705881</v>
      </c>
      <c r="AI17" s="511">
        <f t="shared" si="17"/>
        <v>5211764.7058823537</v>
      </c>
      <c r="AJ17" s="510">
        <f t="shared" si="4"/>
        <v>11764.705882352777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45180.04</v>
      </c>
      <c r="I18" s="505">
        <f>Gen!F23</f>
        <v>0</v>
      </c>
      <c r="J18" s="142">
        <f>Gen!T23</f>
        <v>656.19</v>
      </c>
      <c r="K18" s="142">
        <f>Gen!AK23</f>
        <v>0</v>
      </c>
      <c r="L18" s="142">
        <f t="shared" si="1"/>
        <v>656.19</v>
      </c>
      <c r="M18" s="535">
        <f>'Water-Meter'!K58</f>
        <v>521.36044011204308</v>
      </c>
      <c r="N18" s="203">
        <f>'Water-Meter'!E18</f>
        <v>41</v>
      </c>
      <c r="O18" s="214"/>
      <c r="P18" s="452">
        <v>19030</v>
      </c>
      <c r="Q18" s="506"/>
      <c r="R18" s="507">
        <f t="shared" si="5"/>
        <v>0</v>
      </c>
      <c r="S18" s="452"/>
      <c r="T18" s="575">
        <v>24506</v>
      </c>
      <c r="U18" s="506">
        <f t="shared" si="6"/>
        <v>0</v>
      </c>
      <c r="V18" s="508">
        <f t="shared" si="18"/>
        <v>0</v>
      </c>
      <c r="W18" s="452"/>
      <c r="X18" s="573">
        <v>16225</v>
      </c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>
        <v>32018</v>
      </c>
      <c r="AC18" s="138">
        <f t="shared" si="11"/>
        <v>0</v>
      </c>
      <c r="AD18" s="452"/>
      <c r="AE18" s="221">
        <f t="shared" si="15"/>
        <v>-201279</v>
      </c>
      <c r="AF18" s="317">
        <f>'Lpg (2)'!B22*2000/85</f>
        <v>2000</v>
      </c>
      <c r="AG18" s="318" t="e">
        <f>'Lpg (2)'!#REF!*1000/85</f>
        <v>#REF!</v>
      </c>
      <c r="AH18" s="319">
        <f>'Lpg (2)'!D22*1000/85</f>
        <v>211.76470588235293</v>
      </c>
      <c r="AI18" s="511" t="e">
        <f t="shared" si="17"/>
        <v>#REF!</v>
      </c>
      <c r="AJ18" s="510" t="e">
        <f t="shared" si="4"/>
        <v>#REF!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44523.85</v>
      </c>
      <c r="I19" s="505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5">
        <f>'Water-Meter'!K59</f>
        <v>456.26669647107303</v>
      </c>
      <c r="N19" s="203" t="str">
        <f>'Water-Meter'!E19</f>
        <v>0</v>
      </c>
      <c r="O19" s="214"/>
      <c r="P19" s="452"/>
      <c r="Q19" s="506"/>
      <c r="R19" s="507">
        <f t="shared" si="5"/>
        <v>0</v>
      </c>
      <c r="S19" s="452"/>
      <c r="T19" s="575"/>
      <c r="U19" s="506">
        <f t="shared" si="6"/>
        <v>-24506</v>
      </c>
      <c r="V19" s="508">
        <f t="shared" si="18"/>
        <v>0</v>
      </c>
      <c r="W19" s="452"/>
      <c r="X19" s="573"/>
      <c r="Y19" s="506">
        <f t="shared" si="8"/>
        <v>-16225</v>
      </c>
      <c r="Z19" s="508">
        <f t="shared" si="9"/>
        <v>0</v>
      </c>
      <c r="AA19" s="508">
        <f t="shared" si="10"/>
        <v>0</v>
      </c>
      <c r="AB19" s="574"/>
      <c r="AC19" s="138">
        <f t="shared" si="11"/>
        <v>-32018</v>
      </c>
      <c r="AD19" s="452"/>
      <c r="AE19" s="221">
        <f t="shared" si="15"/>
        <v>0</v>
      </c>
      <c r="AF19" s="317">
        <f>'Lpg (2)'!B23*2000/85</f>
        <v>0</v>
      </c>
      <c r="AG19" s="318">
        <f>'Lpg (2)'!C23*1000/85</f>
        <v>0</v>
      </c>
      <c r="AH19" s="319">
        <f>'Lpg (2)'!D23*1000/85</f>
        <v>0</v>
      </c>
      <c r="AI19" s="511">
        <f t="shared" si="17"/>
        <v>0</v>
      </c>
      <c r="AJ19" s="510" t="e">
        <f t="shared" si="4"/>
        <v>#REF!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44523.85</v>
      </c>
      <c r="I20" s="505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5">
        <f>'Water-Meter'!K60</f>
        <v>0</v>
      </c>
      <c r="N20" s="203">
        <f>'Water-Meter'!E20</f>
        <v>0</v>
      </c>
      <c r="O20" s="214"/>
      <c r="P20" s="452"/>
      <c r="Q20" s="506">
        <f t="shared" si="2"/>
        <v>0</v>
      </c>
      <c r="R20" s="507">
        <f t="shared" si="5"/>
        <v>0</v>
      </c>
      <c r="S20" s="452"/>
      <c r="T20" s="575"/>
      <c r="U20" s="506">
        <f t="shared" si="6"/>
        <v>0</v>
      </c>
      <c r="V20" s="508">
        <f t="shared" si="18"/>
        <v>0</v>
      </c>
      <c r="W20" s="452"/>
      <c r="X20" s="573"/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/>
      <c r="AC20" s="138"/>
      <c r="AD20" s="452"/>
      <c r="AE20" s="221">
        <f t="shared" si="15"/>
        <v>0</v>
      </c>
      <c r="AF20" s="317">
        <f>'Lpg (2)'!B24*2000/85</f>
        <v>0</v>
      </c>
      <c r="AG20" s="318">
        <f>'Lpg (2)'!C24*1000/85</f>
        <v>0</v>
      </c>
      <c r="AH20" s="319">
        <f>'Lpg (2)'!D24*1000/85</f>
        <v>0</v>
      </c>
      <c r="AI20" s="511">
        <f t="shared" si="17"/>
        <v>0</v>
      </c>
      <c r="AJ20" s="510">
        <f t="shared" si="4"/>
        <v>0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44523.85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0</v>
      </c>
      <c r="N21" s="203">
        <f>'Water-Meter'!E21</f>
        <v>0</v>
      </c>
      <c r="O21" s="214"/>
      <c r="P21" s="452"/>
      <c r="Q21" s="506">
        <f t="shared" si="2"/>
        <v>0</v>
      </c>
      <c r="R21" s="507">
        <f t="shared" si="5"/>
        <v>0</v>
      </c>
      <c r="S21" s="452"/>
      <c r="T21" s="575"/>
      <c r="U21" s="506">
        <f>T22-T20</f>
        <v>0</v>
      </c>
      <c r="V21" s="508">
        <f t="shared" si="18"/>
        <v>0</v>
      </c>
      <c r="W21" s="452"/>
      <c r="X21" s="573"/>
      <c r="Y21" s="506">
        <f t="shared" si="8"/>
        <v>0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0</v>
      </c>
      <c r="AD21" s="452"/>
      <c r="AE21" s="221">
        <f t="shared" si="15"/>
        <v>0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0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44523.85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44523.85</v>
      </c>
      <c r="I23" s="505">
        <f>Gen!F28</f>
        <v>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44523.85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44523.85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44523.85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44523.85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44523.85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44523.85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44523.85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44523.85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44523.85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44523.85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44523.85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44523.85</v>
      </c>
      <c r="I35" s="505">
        <f>Gen!F40</f>
        <v>15000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44523.85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8600.44</v>
      </c>
      <c r="K37" s="165"/>
      <c r="L37" s="142">
        <f t="shared" si="1"/>
        <v>8600.44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 t="e">
        <f>SUM(AJ6:AJ36)</f>
        <v>#REF!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E18" sqref="E18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4" t="s">
        <v>150</v>
      </c>
      <c r="C1" s="815"/>
      <c r="D1" s="815"/>
      <c r="E1" s="815"/>
      <c r="F1" s="816"/>
      <c r="G1" s="189"/>
      <c r="H1" s="814" t="s">
        <v>151</v>
      </c>
      <c r="I1" s="815"/>
      <c r="J1" s="815"/>
      <c r="K1" s="815"/>
      <c r="L1" s="816"/>
      <c r="M1" s="814" t="s">
        <v>170</v>
      </c>
      <c r="N1" s="815"/>
      <c r="O1" s="815"/>
      <c r="P1" s="815"/>
      <c r="Q1" s="816"/>
      <c r="R1" s="189"/>
      <c r="T1" s="814" t="s">
        <v>166</v>
      </c>
      <c r="U1" s="815"/>
      <c r="V1" s="815"/>
      <c r="W1" s="815"/>
      <c r="X1" s="816"/>
      <c r="Y1" s="814" t="s">
        <v>169</v>
      </c>
      <c r="Z1" s="815"/>
      <c r="AA1" s="815"/>
      <c r="AB1" s="815"/>
      <c r="AC1" s="816"/>
    </row>
    <row r="2" spans="1:29" ht="45.75" thickBot="1">
      <c r="A2" s="733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8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4">
        <v>43770</v>
      </c>
      <c r="B3" s="817" t="s">
        <v>156</v>
      </c>
      <c r="C3" s="818"/>
      <c r="D3" s="198"/>
      <c r="E3" s="735">
        <v>8666.6</v>
      </c>
      <c r="F3" s="736" t="s">
        <v>157</v>
      </c>
      <c r="G3" s="737"/>
      <c r="H3" s="817" t="s">
        <v>156</v>
      </c>
      <c r="I3" s="818"/>
      <c r="J3" s="290"/>
      <c r="K3" s="738">
        <f>'Water-Meter'!G5</f>
        <v>38000</v>
      </c>
      <c r="L3" s="290"/>
      <c r="M3" s="817" t="s">
        <v>156</v>
      </c>
      <c r="N3" s="818"/>
      <c r="O3" s="198"/>
      <c r="P3" s="739">
        <f>'Water-Meter'!J5</f>
        <v>7903</v>
      </c>
      <c r="Q3" s="197"/>
      <c r="R3" s="724"/>
      <c r="S3" s="725"/>
      <c r="T3" s="817" t="s">
        <v>156</v>
      </c>
      <c r="U3" s="818"/>
      <c r="V3" s="198"/>
      <c r="W3" s="740">
        <v>7804.5</v>
      </c>
      <c r="X3" s="741">
        <f t="shared" ref="X3:X35" si="0">(W3-V3)*200</f>
        <v>1560900</v>
      </c>
      <c r="Y3" s="817" t="s">
        <v>156</v>
      </c>
      <c r="Z3" s="818"/>
      <c r="AA3" s="198"/>
      <c r="AB3" s="201">
        <f>'Water-Meter'!P5</f>
        <v>20131</v>
      </c>
      <c r="AC3" s="202"/>
    </row>
    <row r="4" spans="1:29" ht="18.75">
      <c r="A4" s="742">
        <f>Gen!C11</f>
        <v>0</v>
      </c>
      <c r="B4" s="746">
        <f>Gen!B11</f>
        <v>43952</v>
      </c>
      <c r="C4" s="747"/>
      <c r="D4" s="748">
        <f t="shared" ref="D4:D23" si="1">E3</f>
        <v>8666.6</v>
      </c>
      <c r="E4" s="749">
        <v>8667.5</v>
      </c>
      <c r="F4" s="748">
        <f t="shared" ref="F4:F15" si="2">SUM(E4-D4)*120</f>
        <v>107.99999999995634</v>
      </c>
      <c r="G4" s="747"/>
      <c r="H4" s="750">
        <f>B4</f>
        <v>43952</v>
      </c>
      <c r="I4" s="775"/>
      <c r="J4" s="747">
        <f t="shared" ref="J4:J30" si="3">SUM(K3)</f>
        <v>38000</v>
      </c>
      <c r="K4" s="776">
        <f>'Water-Meter'!G6</f>
        <v>38000</v>
      </c>
      <c r="L4" s="777">
        <f t="shared" ref="L4:L34" si="4">SUM(K4-J4)</f>
        <v>0</v>
      </c>
      <c r="M4" s="759">
        <f>H4</f>
        <v>43952</v>
      </c>
      <c r="N4" s="747"/>
      <c r="O4" s="747">
        <f t="shared" ref="O4:O33" si="5">SUM(P3)</f>
        <v>7903</v>
      </c>
      <c r="P4" s="760">
        <f>'Water-Meter'!J6</f>
        <v>7904</v>
      </c>
      <c r="Q4" s="777">
        <f t="shared" ref="Q4:Q34" si="6">SUM(P4-O4)</f>
        <v>1</v>
      </c>
      <c r="R4" s="782">
        <f t="shared" ref="R4:R20" si="7">SUM(Q4/1615)</f>
        <v>6.1919504643962852E-4</v>
      </c>
      <c r="S4" s="783">
        <f>Gen!T11</f>
        <v>678.06999999999994</v>
      </c>
      <c r="T4" s="780">
        <f>M4</f>
        <v>43952</v>
      </c>
      <c r="U4" s="747"/>
      <c r="V4" s="748">
        <f t="shared" ref="V4:V33" si="8">W3</f>
        <v>7804.5</v>
      </c>
      <c r="W4" s="770">
        <v>7804.5</v>
      </c>
      <c r="X4" s="771">
        <f t="shared" si="0"/>
        <v>0</v>
      </c>
      <c r="Y4" s="759">
        <f>T4</f>
        <v>43952</v>
      </c>
      <c r="Z4" s="747"/>
      <c r="AA4" s="747">
        <v>3397.9</v>
      </c>
      <c r="AB4" s="760">
        <f>'Water-Meter'!P6</f>
        <v>20132</v>
      </c>
      <c r="AC4" s="761">
        <f t="shared" ref="AC4:AC34" si="9">SUM(AB4-AA4)</f>
        <v>16734.099999999999</v>
      </c>
    </row>
    <row r="5" spans="1:29" ht="18.75">
      <c r="A5" s="743">
        <f>Gen!C12</f>
        <v>0</v>
      </c>
      <c r="B5" s="751">
        <f>Gen!B12</f>
        <v>43953</v>
      </c>
      <c r="C5" s="726"/>
      <c r="D5" s="732">
        <f t="shared" si="1"/>
        <v>8667.5</v>
      </c>
      <c r="E5" s="727">
        <v>8668.4</v>
      </c>
      <c r="F5" s="732">
        <f t="shared" si="2"/>
        <v>107.99999999995634</v>
      </c>
      <c r="G5" s="726"/>
      <c r="H5" s="752">
        <f t="shared" ref="H5:H35" si="10">B5</f>
        <v>43953</v>
      </c>
      <c r="I5" s="744"/>
      <c r="J5" s="726">
        <f t="shared" si="3"/>
        <v>38000</v>
      </c>
      <c r="K5" s="731">
        <f>'Water-Meter'!G7</f>
        <v>38000</v>
      </c>
      <c r="L5" s="758">
        <f t="shared" si="4"/>
        <v>0</v>
      </c>
      <c r="M5" s="762">
        <f t="shared" ref="M5:M35" si="11">H5</f>
        <v>43953</v>
      </c>
      <c r="N5" s="726"/>
      <c r="O5" s="726">
        <f t="shared" si="5"/>
        <v>7904</v>
      </c>
      <c r="P5" s="730">
        <f>'Water-Meter'!J7</f>
        <v>7904</v>
      </c>
      <c r="Q5" s="758">
        <f t="shared" si="6"/>
        <v>0</v>
      </c>
      <c r="R5" s="784">
        <f t="shared" si="7"/>
        <v>0</v>
      </c>
      <c r="S5" s="785">
        <f>Gen!T12</f>
        <v>659.66</v>
      </c>
      <c r="T5" s="769">
        <f t="shared" ref="T5:T30" si="12">M5</f>
        <v>43953</v>
      </c>
      <c r="U5" s="726"/>
      <c r="V5" s="732">
        <f t="shared" si="8"/>
        <v>7804.5</v>
      </c>
      <c r="W5" s="728">
        <v>7804.6</v>
      </c>
      <c r="X5" s="772">
        <f t="shared" si="0"/>
        <v>20.00000000007276</v>
      </c>
      <c r="Y5" s="762">
        <f t="shared" ref="Y5:Y30" si="13">T5</f>
        <v>43953</v>
      </c>
      <c r="Z5" s="726"/>
      <c r="AA5" s="726">
        <f t="shared" ref="AA5:AA35" si="14">SUM(AB4)</f>
        <v>20132</v>
      </c>
      <c r="AB5" s="730">
        <f>'Water-Meter'!P7</f>
        <v>20133</v>
      </c>
      <c r="AC5" s="763">
        <f t="shared" si="9"/>
        <v>1</v>
      </c>
    </row>
    <row r="6" spans="1:29" ht="18.75">
      <c r="A6" s="743">
        <f>Gen!C13</f>
        <v>0</v>
      </c>
      <c r="B6" s="751">
        <f>Gen!B13</f>
        <v>43954</v>
      </c>
      <c r="C6" s="726"/>
      <c r="D6" s="732">
        <f t="shared" si="1"/>
        <v>8668.4</v>
      </c>
      <c r="E6" s="727">
        <v>8669.2000000000007</v>
      </c>
      <c r="F6" s="732">
        <f t="shared" si="2"/>
        <v>96.000000000130967</v>
      </c>
      <c r="G6" s="726"/>
      <c r="H6" s="752">
        <f t="shared" si="10"/>
        <v>43954</v>
      </c>
      <c r="I6" s="744"/>
      <c r="J6" s="726">
        <f t="shared" si="3"/>
        <v>38000</v>
      </c>
      <c r="K6" s="731">
        <f>'Water-Meter'!G8</f>
        <v>38000</v>
      </c>
      <c r="L6" s="758">
        <f t="shared" si="4"/>
        <v>0</v>
      </c>
      <c r="M6" s="762">
        <f t="shared" si="11"/>
        <v>43954</v>
      </c>
      <c r="N6" s="726"/>
      <c r="O6" s="726">
        <f t="shared" si="5"/>
        <v>7904</v>
      </c>
      <c r="P6" s="730">
        <f>'Water-Meter'!J8</f>
        <v>7905</v>
      </c>
      <c r="Q6" s="758">
        <f t="shared" si="6"/>
        <v>1</v>
      </c>
      <c r="R6" s="784">
        <f t="shared" si="7"/>
        <v>6.1919504643962852E-4</v>
      </c>
      <c r="S6" s="785">
        <f>Gen!T13</f>
        <v>659.29</v>
      </c>
      <c r="T6" s="769">
        <f t="shared" si="12"/>
        <v>43954</v>
      </c>
      <c r="U6" s="726"/>
      <c r="V6" s="732">
        <f t="shared" si="8"/>
        <v>7804.6</v>
      </c>
      <c r="W6" s="728">
        <v>7804.6</v>
      </c>
      <c r="X6" s="772">
        <f t="shared" si="0"/>
        <v>0</v>
      </c>
      <c r="Y6" s="762">
        <f t="shared" si="13"/>
        <v>43954</v>
      </c>
      <c r="Z6" s="726"/>
      <c r="AA6" s="726">
        <f t="shared" si="14"/>
        <v>20133</v>
      </c>
      <c r="AB6" s="730">
        <f>'Water-Meter'!P8</f>
        <v>20133</v>
      </c>
      <c r="AC6" s="763">
        <f t="shared" si="9"/>
        <v>0</v>
      </c>
    </row>
    <row r="7" spans="1:29" ht="18.75">
      <c r="A7" s="743">
        <f>Gen!C14</f>
        <v>0</v>
      </c>
      <c r="B7" s="751">
        <f>Gen!B14</f>
        <v>43955</v>
      </c>
      <c r="C7" s="726"/>
      <c r="D7" s="732">
        <f t="shared" si="1"/>
        <v>8669.2000000000007</v>
      </c>
      <c r="E7" s="727">
        <v>8670.1</v>
      </c>
      <c r="F7" s="732">
        <f t="shared" si="2"/>
        <v>107.99999999995634</v>
      </c>
      <c r="G7" s="726"/>
      <c r="H7" s="752">
        <f t="shared" si="10"/>
        <v>43955</v>
      </c>
      <c r="I7" s="744"/>
      <c r="J7" s="726">
        <f t="shared" si="3"/>
        <v>38000</v>
      </c>
      <c r="K7" s="731">
        <f>'Water-Meter'!G9</f>
        <v>38000</v>
      </c>
      <c r="L7" s="758">
        <f t="shared" si="4"/>
        <v>0</v>
      </c>
      <c r="M7" s="762">
        <f t="shared" si="11"/>
        <v>43955</v>
      </c>
      <c r="N7" s="726"/>
      <c r="O7" s="726">
        <f t="shared" si="5"/>
        <v>7905</v>
      </c>
      <c r="P7" s="730">
        <f>'Water-Meter'!J9</f>
        <v>7905</v>
      </c>
      <c r="Q7" s="758">
        <f t="shared" si="6"/>
        <v>0</v>
      </c>
      <c r="R7" s="784">
        <f t="shared" si="7"/>
        <v>0</v>
      </c>
      <c r="S7" s="785">
        <f>Gen!T14</f>
        <v>633.92999999999995</v>
      </c>
      <c r="T7" s="769">
        <f t="shared" si="12"/>
        <v>43955</v>
      </c>
      <c r="U7" s="726"/>
      <c r="V7" s="732">
        <f t="shared" si="8"/>
        <v>7804.6</v>
      </c>
      <c r="W7" s="728">
        <v>7804.7</v>
      </c>
      <c r="X7" s="772">
        <f t="shared" si="0"/>
        <v>19.999999999890861</v>
      </c>
      <c r="Y7" s="762">
        <f t="shared" si="13"/>
        <v>43955</v>
      </c>
      <c r="Z7" s="726"/>
      <c r="AA7" s="726">
        <f t="shared" si="14"/>
        <v>20133</v>
      </c>
      <c r="AB7" s="730">
        <f>'Water-Meter'!P9</f>
        <v>20134</v>
      </c>
      <c r="AC7" s="763">
        <f t="shared" si="9"/>
        <v>1</v>
      </c>
    </row>
    <row r="8" spans="1:29" ht="18.75">
      <c r="A8" s="743">
        <f>Gen!C15</f>
        <v>0</v>
      </c>
      <c r="B8" s="751">
        <f>Gen!B15</f>
        <v>43956</v>
      </c>
      <c r="C8" s="726"/>
      <c r="D8" s="732">
        <f t="shared" si="1"/>
        <v>8670.1</v>
      </c>
      <c r="E8" s="727">
        <v>8670.9</v>
      </c>
      <c r="F8" s="732">
        <f t="shared" si="2"/>
        <v>95.999999999912689</v>
      </c>
      <c r="G8" s="726"/>
      <c r="H8" s="752">
        <f t="shared" si="10"/>
        <v>43956</v>
      </c>
      <c r="I8" s="744"/>
      <c r="J8" s="726">
        <f t="shared" si="3"/>
        <v>38000</v>
      </c>
      <c r="K8" s="731">
        <f>'Water-Meter'!G10</f>
        <v>38000</v>
      </c>
      <c r="L8" s="758">
        <f t="shared" si="4"/>
        <v>0</v>
      </c>
      <c r="M8" s="762">
        <f t="shared" si="11"/>
        <v>43956</v>
      </c>
      <c r="N8" s="726"/>
      <c r="O8" s="726">
        <f t="shared" si="5"/>
        <v>7905</v>
      </c>
      <c r="P8" s="730">
        <f>'Water-Meter'!J10</f>
        <v>7906</v>
      </c>
      <c r="Q8" s="758">
        <f t="shared" si="6"/>
        <v>1</v>
      </c>
      <c r="R8" s="784">
        <f t="shared" si="7"/>
        <v>6.1919504643962852E-4</v>
      </c>
      <c r="S8" s="785">
        <f>Gen!T15</f>
        <v>646.24</v>
      </c>
      <c r="T8" s="769">
        <f t="shared" si="12"/>
        <v>43956</v>
      </c>
      <c r="U8" s="726"/>
      <c r="V8" s="732">
        <f t="shared" si="8"/>
        <v>7804.7</v>
      </c>
      <c r="W8" s="728">
        <v>7804.7</v>
      </c>
      <c r="X8" s="772">
        <f t="shared" si="0"/>
        <v>0</v>
      </c>
      <c r="Y8" s="762">
        <f t="shared" si="13"/>
        <v>43956</v>
      </c>
      <c r="Z8" s="726"/>
      <c r="AA8" s="726">
        <f t="shared" si="14"/>
        <v>20134</v>
      </c>
      <c r="AB8" s="730">
        <f>'Water-Meter'!P10</f>
        <v>20134</v>
      </c>
      <c r="AC8" s="763">
        <f t="shared" si="9"/>
        <v>0</v>
      </c>
    </row>
    <row r="9" spans="1:29" ht="18.75">
      <c r="A9" s="743">
        <f>Gen!C16</f>
        <v>0</v>
      </c>
      <c r="B9" s="751">
        <f>Gen!B16</f>
        <v>43957</v>
      </c>
      <c r="C9" s="726"/>
      <c r="D9" s="732">
        <f t="shared" si="1"/>
        <v>8670.9</v>
      </c>
      <c r="E9" s="727">
        <v>8671.6</v>
      </c>
      <c r="F9" s="732">
        <f t="shared" si="2"/>
        <v>84.000000000087311</v>
      </c>
      <c r="G9" s="726"/>
      <c r="H9" s="752">
        <f t="shared" si="10"/>
        <v>43957</v>
      </c>
      <c r="I9" s="744"/>
      <c r="J9" s="726">
        <f t="shared" si="3"/>
        <v>38000</v>
      </c>
      <c r="K9" s="731">
        <f>'Water-Meter'!G11</f>
        <v>38000</v>
      </c>
      <c r="L9" s="758">
        <f t="shared" si="4"/>
        <v>0</v>
      </c>
      <c r="M9" s="762">
        <f t="shared" si="11"/>
        <v>43957</v>
      </c>
      <c r="N9" s="726"/>
      <c r="O9" s="726">
        <f t="shared" si="5"/>
        <v>7906</v>
      </c>
      <c r="P9" s="730">
        <f>'Water-Meter'!J11</f>
        <v>7906</v>
      </c>
      <c r="Q9" s="758">
        <f t="shared" si="6"/>
        <v>0</v>
      </c>
      <c r="R9" s="784">
        <f t="shared" si="7"/>
        <v>0</v>
      </c>
      <c r="S9" s="785">
        <f>Gen!T16</f>
        <v>627.88</v>
      </c>
      <c r="T9" s="769">
        <f t="shared" si="12"/>
        <v>43957</v>
      </c>
      <c r="U9" s="726"/>
      <c r="V9" s="732">
        <f t="shared" si="8"/>
        <v>7804.7</v>
      </c>
      <c r="W9" s="728">
        <v>7804.8</v>
      </c>
      <c r="X9" s="772">
        <f t="shared" si="0"/>
        <v>20.00000000007276</v>
      </c>
      <c r="Y9" s="762">
        <f t="shared" si="13"/>
        <v>43957</v>
      </c>
      <c r="Z9" s="726"/>
      <c r="AA9" s="726">
        <f t="shared" si="14"/>
        <v>20134</v>
      </c>
      <c r="AB9" s="730">
        <f>'Water-Meter'!P11</f>
        <v>20135</v>
      </c>
      <c r="AC9" s="763">
        <f t="shared" si="9"/>
        <v>1</v>
      </c>
    </row>
    <row r="10" spans="1:29" ht="18.75">
      <c r="A10" s="743">
        <f>Gen!C17</f>
        <v>0</v>
      </c>
      <c r="B10" s="751">
        <f>Gen!B17</f>
        <v>43958</v>
      </c>
      <c r="C10" s="726"/>
      <c r="D10" s="732">
        <f t="shared" si="1"/>
        <v>8671.6</v>
      </c>
      <c r="E10" s="727">
        <v>8672.4</v>
      </c>
      <c r="F10" s="732">
        <f t="shared" si="2"/>
        <v>95.999999999912689</v>
      </c>
      <c r="G10" s="726"/>
      <c r="H10" s="752">
        <f t="shared" si="10"/>
        <v>43958</v>
      </c>
      <c r="I10" s="744"/>
      <c r="J10" s="726">
        <f t="shared" si="3"/>
        <v>38000</v>
      </c>
      <c r="K10" s="731">
        <f>'Water-Meter'!G12</f>
        <v>38000</v>
      </c>
      <c r="L10" s="758">
        <f t="shared" si="4"/>
        <v>0</v>
      </c>
      <c r="M10" s="762">
        <f t="shared" si="11"/>
        <v>43958</v>
      </c>
      <c r="N10" s="726"/>
      <c r="O10" s="726">
        <f t="shared" si="5"/>
        <v>7906</v>
      </c>
      <c r="P10" s="730">
        <f>'Water-Meter'!J12</f>
        <v>7906</v>
      </c>
      <c r="Q10" s="758">
        <f t="shared" si="6"/>
        <v>0</v>
      </c>
      <c r="R10" s="784">
        <f t="shared" si="7"/>
        <v>0</v>
      </c>
      <c r="S10" s="785">
        <f>Gen!T17</f>
        <v>637.52</v>
      </c>
      <c r="T10" s="769">
        <f t="shared" si="12"/>
        <v>43958</v>
      </c>
      <c r="U10" s="726"/>
      <c r="V10" s="732">
        <f t="shared" si="8"/>
        <v>7804.8</v>
      </c>
      <c r="W10" s="728">
        <v>7804.9</v>
      </c>
      <c r="X10" s="772">
        <f t="shared" si="0"/>
        <v>19.999999999890861</v>
      </c>
      <c r="Y10" s="762">
        <f t="shared" si="13"/>
        <v>43958</v>
      </c>
      <c r="Z10" s="726"/>
      <c r="AA10" s="726">
        <f t="shared" si="14"/>
        <v>20135</v>
      </c>
      <c r="AB10" s="730">
        <f>'Water-Meter'!P12</f>
        <v>20135</v>
      </c>
      <c r="AC10" s="763">
        <f t="shared" si="9"/>
        <v>0</v>
      </c>
    </row>
    <row r="11" spans="1:29" ht="18.75">
      <c r="A11" s="743">
        <f>Gen!C18</f>
        <v>0</v>
      </c>
      <c r="B11" s="751">
        <f>Gen!B18</f>
        <v>43959</v>
      </c>
      <c r="C11" s="726"/>
      <c r="D11" s="732">
        <f t="shared" si="1"/>
        <v>8672.4</v>
      </c>
      <c r="E11" s="727">
        <v>8673.2999999999993</v>
      </c>
      <c r="F11" s="732">
        <f t="shared" si="2"/>
        <v>107.99999999995634</v>
      </c>
      <c r="G11" s="726"/>
      <c r="H11" s="752">
        <f t="shared" si="10"/>
        <v>43959</v>
      </c>
      <c r="I11" s="744"/>
      <c r="J11" s="726">
        <f t="shared" si="3"/>
        <v>38000</v>
      </c>
      <c r="K11" s="731">
        <f>'Water-Meter'!G13</f>
        <v>38000</v>
      </c>
      <c r="L11" s="758">
        <f t="shared" si="4"/>
        <v>0</v>
      </c>
      <c r="M11" s="762">
        <f t="shared" si="11"/>
        <v>43959</v>
      </c>
      <c r="N11" s="726"/>
      <c r="O11" s="726">
        <f t="shared" si="5"/>
        <v>7906</v>
      </c>
      <c r="P11" s="730">
        <f>'Water-Meter'!J13</f>
        <v>7907</v>
      </c>
      <c r="Q11" s="758">
        <f t="shared" si="6"/>
        <v>1</v>
      </c>
      <c r="R11" s="784">
        <f t="shared" si="7"/>
        <v>6.1919504643962852E-4</v>
      </c>
      <c r="S11" s="785">
        <f>Gen!T18</f>
        <v>692.82999999999993</v>
      </c>
      <c r="T11" s="769">
        <f t="shared" si="12"/>
        <v>43959</v>
      </c>
      <c r="U11" s="726"/>
      <c r="V11" s="732">
        <f t="shared" si="8"/>
        <v>7804.9</v>
      </c>
      <c r="W11" s="728">
        <v>7805.1</v>
      </c>
      <c r="X11" s="772">
        <f t="shared" si="0"/>
        <v>40.000000000145519</v>
      </c>
      <c r="Y11" s="762">
        <f t="shared" si="13"/>
        <v>43959</v>
      </c>
      <c r="Z11" s="726"/>
      <c r="AA11" s="726">
        <f t="shared" si="14"/>
        <v>20135</v>
      </c>
      <c r="AB11" s="730">
        <f>'Water-Meter'!P13</f>
        <v>20136</v>
      </c>
      <c r="AC11" s="763">
        <f t="shared" si="9"/>
        <v>1</v>
      </c>
    </row>
    <row r="12" spans="1:29" ht="18.75">
      <c r="A12" s="743">
        <f>Gen!C19</f>
        <v>0</v>
      </c>
      <c r="B12" s="751">
        <f>Gen!B19</f>
        <v>43960</v>
      </c>
      <c r="C12" s="726"/>
      <c r="D12" s="732">
        <f t="shared" si="1"/>
        <v>8673.2999999999993</v>
      </c>
      <c r="E12" s="727">
        <v>8674.1</v>
      </c>
      <c r="F12" s="732">
        <f t="shared" si="2"/>
        <v>96.000000000130967</v>
      </c>
      <c r="G12" s="726"/>
      <c r="H12" s="752">
        <f t="shared" si="10"/>
        <v>43960</v>
      </c>
      <c r="I12" s="744"/>
      <c r="J12" s="726">
        <f t="shared" si="3"/>
        <v>38000</v>
      </c>
      <c r="K12" s="731">
        <f>'Water-Meter'!G14</f>
        <v>38000</v>
      </c>
      <c r="L12" s="758">
        <f t="shared" si="4"/>
        <v>0</v>
      </c>
      <c r="M12" s="762">
        <f t="shared" si="11"/>
        <v>43960</v>
      </c>
      <c r="N12" s="726"/>
      <c r="O12" s="726">
        <f t="shared" si="5"/>
        <v>7907</v>
      </c>
      <c r="P12" s="730">
        <f>'Water-Meter'!J14</f>
        <v>7907</v>
      </c>
      <c r="Q12" s="758">
        <f t="shared" si="6"/>
        <v>0</v>
      </c>
      <c r="R12" s="784">
        <f t="shared" si="7"/>
        <v>0</v>
      </c>
      <c r="S12" s="785">
        <f>Gen!T19</f>
        <v>662.1</v>
      </c>
      <c r="T12" s="769">
        <f t="shared" si="12"/>
        <v>43960</v>
      </c>
      <c r="U12" s="726"/>
      <c r="V12" s="732">
        <f t="shared" si="8"/>
        <v>7805.1</v>
      </c>
      <c r="W12" s="728">
        <v>7805.1</v>
      </c>
      <c r="X12" s="772">
        <f t="shared" si="0"/>
        <v>0</v>
      </c>
      <c r="Y12" s="762">
        <f t="shared" si="13"/>
        <v>43960</v>
      </c>
      <c r="Z12" s="726"/>
      <c r="AA12" s="726">
        <f t="shared" si="14"/>
        <v>20136</v>
      </c>
      <c r="AB12" s="730">
        <f>'Water-Meter'!P14</f>
        <v>20137</v>
      </c>
      <c r="AC12" s="763">
        <f t="shared" si="9"/>
        <v>1</v>
      </c>
    </row>
    <row r="13" spans="1:29" ht="18.75">
      <c r="A13" s="743">
        <f>Gen!C20</f>
        <v>0</v>
      </c>
      <c r="B13" s="751">
        <f>Gen!B20</f>
        <v>43961</v>
      </c>
      <c r="C13" s="726"/>
      <c r="D13" s="732">
        <f t="shared" si="1"/>
        <v>8674.1</v>
      </c>
      <c r="E13" s="727">
        <v>8674.9</v>
      </c>
      <c r="F13" s="732">
        <f t="shared" si="2"/>
        <v>95.999999999912689</v>
      </c>
      <c r="G13" s="726"/>
      <c r="H13" s="752">
        <f t="shared" si="10"/>
        <v>43961</v>
      </c>
      <c r="I13" s="744"/>
      <c r="J13" s="726">
        <f t="shared" si="3"/>
        <v>38000</v>
      </c>
      <c r="K13" s="731">
        <f>'Water-Meter'!G15</f>
        <v>38000</v>
      </c>
      <c r="L13" s="758">
        <f t="shared" si="4"/>
        <v>0</v>
      </c>
      <c r="M13" s="762">
        <f t="shared" si="11"/>
        <v>43961</v>
      </c>
      <c r="N13" s="726"/>
      <c r="O13" s="726">
        <f t="shared" si="5"/>
        <v>7907</v>
      </c>
      <c r="P13" s="730">
        <f>'Water-Meter'!J15</f>
        <v>7908</v>
      </c>
      <c r="Q13" s="758">
        <f t="shared" si="6"/>
        <v>1</v>
      </c>
      <c r="R13" s="784">
        <f t="shared" si="7"/>
        <v>6.1919504643962852E-4</v>
      </c>
      <c r="S13" s="785">
        <f>Gen!T20</f>
        <v>652.33000000000004</v>
      </c>
      <c r="T13" s="769">
        <f t="shared" si="12"/>
        <v>43961</v>
      </c>
      <c r="U13" s="726"/>
      <c r="V13" s="732">
        <f t="shared" si="8"/>
        <v>7805.1</v>
      </c>
      <c r="W13" s="728">
        <v>7805.1</v>
      </c>
      <c r="X13" s="772">
        <f t="shared" si="0"/>
        <v>0</v>
      </c>
      <c r="Y13" s="762">
        <f t="shared" si="13"/>
        <v>43961</v>
      </c>
      <c r="Z13" s="726"/>
      <c r="AA13" s="726">
        <f t="shared" si="14"/>
        <v>20137</v>
      </c>
      <c r="AB13" s="730">
        <f>'Water-Meter'!P15</f>
        <v>20137</v>
      </c>
      <c r="AC13" s="763">
        <f t="shared" si="9"/>
        <v>0</v>
      </c>
    </row>
    <row r="14" spans="1:29" ht="18.75">
      <c r="A14" s="743">
        <f>Gen!C21</f>
        <v>0</v>
      </c>
      <c r="B14" s="751">
        <f>Gen!B21</f>
        <v>43962</v>
      </c>
      <c r="C14" s="726"/>
      <c r="D14" s="732">
        <f t="shared" si="1"/>
        <v>8674.9</v>
      </c>
      <c r="E14" s="727">
        <v>8675.7999999999993</v>
      </c>
      <c r="F14" s="732">
        <f t="shared" si="2"/>
        <v>107.99999999995634</v>
      </c>
      <c r="G14" s="726"/>
      <c r="H14" s="752">
        <f t="shared" si="10"/>
        <v>43962</v>
      </c>
      <c r="I14" s="744"/>
      <c r="J14" s="726">
        <f t="shared" si="3"/>
        <v>38000</v>
      </c>
      <c r="K14" s="731">
        <f>'Water-Meter'!G16</f>
        <v>38000</v>
      </c>
      <c r="L14" s="758">
        <f t="shared" si="4"/>
        <v>0</v>
      </c>
      <c r="M14" s="762">
        <f t="shared" si="11"/>
        <v>43962</v>
      </c>
      <c r="N14" s="726"/>
      <c r="O14" s="726">
        <f t="shared" si="5"/>
        <v>7908</v>
      </c>
      <c r="P14" s="730">
        <f>'Water-Meter'!J16</f>
        <v>7908</v>
      </c>
      <c r="Q14" s="758">
        <f t="shared" si="6"/>
        <v>0</v>
      </c>
      <c r="R14" s="784">
        <f t="shared" si="7"/>
        <v>0</v>
      </c>
      <c r="S14" s="785">
        <f>Gen!T21</f>
        <v>675.39</v>
      </c>
      <c r="T14" s="769">
        <f t="shared" si="12"/>
        <v>43962</v>
      </c>
      <c r="U14" s="726"/>
      <c r="V14" s="732">
        <f t="shared" si="8"/>
        <v>7805.1</v>
      </c>
      <c r="W14" s="728">
        <v>7805.1</v>
      </c>
      <c r="X14" s="772">
        <f t="shared" si="0"/>
        <v>0</v>
      </c>
      <c r="Y14" s="762">
        <f t="shared" si="13"/>
        <v>43962</v>
      </c>
      <c r="Z14" s="726"/>
      <c r="AA14" s="726">
        <f t="shared" si="14"/>
        <v>20137</v>
      </c>
      <c r="AB14" s="730">
        <f>'Water-Meter'!P16</f>
        <v>20137</v>
      </c>
      <c r="AC14" s="763">
        <f t="shared" si="9"/>
        <v>0</v>
      </c>
    </row>
    <row r="15" spans="1:29" ht="18.75">
      <c r="A15" s="743">
        <f>Gen!C22</f>
        <v>0</v>
      </c>
      <c r="B15" s="751">
        <f>Gen!B22</f>
        <v>43963</v>
      </c>
      <c r="C15" s="726"/>
      <c r="D15" s="732">
        <f t="shared" si="1"/>
        <v>8675.7999999999993</v>
      </c>
      <c r="E15" s="727">
        <v>8676.6</v>
      </c>
      <c r="F15" s="732">
        <f t="shared" si="2"/>
        <v>96.000000000130967</v>
      </c>
      <c r="G15" s="726"/>
      <c r="H15" s="752">
        <f t="shared" si="10"/>
        <v>43963</v>
      </c>
      <c r="I15" s="744"/>
      <c r="J15" s="726">
        <f t="shared" si="3"/>
        <v>38000</v>
      </c>
      <c r="K15" s="731">
        <f>'Water-Meter'!G17</f>
        <v>38000</v>
      </c>
      <c r="L15" s="758">
        <f t="shared" si="4"/>
        <v>0</v>
      </c>
      <c r="M15" s="762">
        <f t="shared" si="11"/>
        <v>43963</v>
      </c>
      <c r="N15" s="726"/>
      <c r="O15" s="726">
        <f t="shared" si="5"/>
        <v>7908</v>
      </c>
      <c r="P15" s="730">
        <f>'Water-Meter'!J17</f>
        <v>7908</v>
      </c>
      <c r="Q15" s="758">
        <f t="shared" si="6"/>
        <v>0</v>
      </c>
      <c r="R15" s="784">
        <f t="shared" si="7"/>
        <v>0</v>
      </c>
      <c r="S15" s="785">
        <f>Gen!T22</f>
        <v>719.01</v>
      </c>
      <c r="T15" s="769">
        <f t="shared" si="12"/>
        <v>43963</v>
      </c>
      <c r="U15" s="726"/>
      <c r="V15" s="732">
        <f t="shared" si="8"/>
        <v>7805.1</v>
      </c>
      <c r="W15" s="728">
        <v>7805.2</v>
      </c>
      <c r="X15" s="772">
        <f t="shared" si="0"/>
        <v>19.999999999890861</v>
      </c>
      <c r="Y15" s="762">
        <f t="shared" si="13"/>
        <v>43963</v>
      </c>
      <c r="Z15" s="726"/>
      <c r="AA15" s="726">
        <f t="shared" si="14"/>
        <v>20137</v>
      </c>
      <c r="AB15" s="730">
        <f>'Water-Meter'!P17</f>
        <v>20138</v>
      </c>
      <c r="AC15" s="763">
        <f t="shared" si="9"/>
        <v>1</v>
      </c>
    </row>
    <row r="16" spans="1:29" ht="18.75">
      <c r="A16" s="743">
        <f>Gen!C23</f>
        <v>0</v>
      </c>
      <c r="B16" s="751">
        <f>Gen!B23</f>
        <v>43964</v>
      </c>
      <c r="C16" s="726"/>
      <c r="D16" s="732">
        <f t="shared" si="1"/>
        <v>8676.6</v>
      </c>
      <c r="E16" s="727">
        <v>8677.5</v>
      </c>
      <c r="F16" s="732">
        <f>SUM(E16-D16)*120</f>
        <v>107.99999999995634</v>
      </c>
      <c r="G16" s="726"/>
      <c r="H16" s="752">
        <f t="shared" si="10"/>
        <v>43964</v>
      </c>
      <c r="I16" s="744"/>
      <c r="J16" s="726">
        <f t="shared" si="3"/>
        <v>38000</v>
      </c>
      <c r="K16" s="731">
        <f>'Water-Meter'!G18</f>
        <v>38000</v>
      </c>
      <c r="L16" s="758">
        <f t="shared" si="4"/>
        <v>0</v>
      </c>
      <c r="M16" s="762">
        <f t="shared" si="11"/>
        <v>43964</v>
      </c>
      <c r="N16" s="726"/>
      <c r="O16" s="726">
        <f t="shared" si="5"/>
        <v>7908</v>
      </c>
      <c r="P16" s="730">
        <f>'Water-Meter'!J18</f>
        <v>7909</v>
      </c>
      <c r="Q16" s="758">
        <f t="shared" si="6"/>
        <v>1</v>
      </c>
      <c r="R16" s="784">
        <f t="shared" si="7"/>
        <v>6.1919504643962852E-4</v>
      </c>
      <c r="S16" s="785">
        <f>Gen!T23</f>
        <v>656.19</v>
      </c>
      <c r="T16" s="769">
        <f t="shared" si="12"/>
        <v>43964</v>
      </c>
      <c r="U16" s="726"/>
      <c r="V16" s="732">
        <f t="shared" si="8"/>
        <v>7805.2</v>
      </c>
      <c r="W16" s="728">
        <v>7805.2</v>
      </c>
      <c r="X16" s="772">
        <f t="shared" si="0"/>
        <v>0</v>
      </c>
      <c r="Y16" s="762">
        <f t="shared" si="13"/>
        <v>43964</v>
      </c>
      <c r="Z16" s="726"/>
      <c r="AA16" s="726">
        <f t="shared" si="14"/>
        <v>20138</v>
      </c>
      <c r="AB16" s="730">
        <f>'Water-Meter'!P18</f>
        <v>20138</v>
      </c>
      <c r="AC16" s="763">
        <f t="shared" si="9"/>
        <v>0</v>
      </c>
    </row>
    <row r="17" spans="1:29" ht="18.75">
      <c r="A17" s="743">
        <f>Gen!C24</f>
        <v>0</v>
      </c>
      <c r="B17" s="751">
        <f>Gen!B24</f>
        <v>43965</v>
      </c>
      <c r="C17" s="726"/>
      <c r="D17" s="732">
        <f t="shared" si="1"/>
        <v>8677.5</v>
      </c>
      <c r="E17" s="727"/>
      <c r="F17" s="732">
        <f>SUM(E17-D17)*120</f>
        <v>-1041300</v>
      </c>
      <c r="G17" s="726"/>
      <c r="H17" s="752">
        <f t="shared" si="10"/>
        <v>43965</v>
      </c>
      <c r="I17" s="744"/>
      <c r="J17" s="726">
        <f t="shared" si="3"/>
        <v>38000</v>
      </c>
      <c r="K17" s="731">
        <f>'Water-Meter'!G19</f>
        <v>0</v>
      </c>
      <c r="L17" s="758">
        <f t="shared" si="4"/>
        <v>-38000</v>
      </c>
      <c r="M17" s="762">
        <f t="shared" si="11"/>
        <v>43965</v>
      </c>
      <c r="N17" s="726"/>
      <c r="O17" s="726">
        <f t="shared" si="5"/>
        <v>7909</v>
      </c>
      <c r="P17" s="730">
        <f>'Water-Meter'!J19</f>
        <v>0</v>
      </c>
      <c r="Q17" s="758">
        <f t="shared" si="6"/>
        <v>-7909</v>
      </c>
      <c r="R17" s="784">
        <f t="shared" si="7"/>
        <v>-4.8972136222910221</v>
      </c>
      <c r="S17" s="785">
        <f>Gen!T24</f>
        <v>0</v>
      </c>
      <c r="T17" s="769">
        <f t="shared" si="12"/>
        <v>43965</v>
      </c>
      <c r="U17" s="726"/>
      <c r="V17" s="732">
        <f t="shared" si="8"/>
        <v>7805.2</v>
      </c>
      <c r="W17" s="728"/>
      <c r="X17" s="772">
        <f t="shared" si="0"/>
        <v>-1561040</v>
      </c>
      <c r="Y17" s="762">
        <f t="shared" si="13"/>
        <v>43965</v>
      </c>
      <c r="Z17" s="726"/>
      <c r="AA17" s="726">
        <f t="shared" si="14"/>
        <v>20138</v>
      </c>
      <c r="AB17" s="730">
        <f>'Water-Meter'!P19</f>
        <v>0</v>
      </c>
      <c r="AC17" s="763">
        <f t="shared" si="9"/>
        <v>-20138</v>
      </c>
    </row>
    <row r="18" spans="1:29" ht="18.75">
      <c r="A18" s="743">
        <f>Gen!C25</f>
        <v>0</v>
      </c>
      <c r="B18" s="751">
        <f>Gen!B25</f>
        <v>43966</v>
      </c>
      <c r="C18" s="726"/>
      <c r="D18" s="732">
        <f t="shared" si="1"/>
        <v>0</v>
      </c>
      <c r="E18" s="727"/>
      <c r="F18" s="732">
        <f t="shared" ref="F18:F22" si="15">SUM(E18-D18)*120</f>
        <v>0</v>
      </c>
      <c r="G18" s="726"/>
      <c r="H18" s="752">
        <f t="shared" si="10"/>
        <v>43966</v>
      </c>
      <c r="I18" s="744"/>
      <c r="J18" s="726">
        <f t="shared" si="3"/>
        <v>0</v>
      </c>
      <c r="K18" s="731">
        <f>'Water-Meter'!G20</f>
        <v>0</v>
      </c>
      <c r="L18" s="758">
        <f t="shared" si="4"/>
        <v>0</v>
      </c>
      <c r="M18" s="762">
        <f t="shared" si="11"/>
        <v>43966</v>
      </c>
      <c r="N18" s="726"/>
      <c r="O18" s="726">
        <f t="shared" si="5"/>
        <v>0</v>
      </c>
      <c r="P18" s="730">
        <f>'Water-Meter'!J20</f>
        <v>0</v>
      </c>
      <c r="Q18" s="758">
        <f t="shared" si="6"/>
        <v>0</v>
      </c>
      <c r="R18" s="784">
        <f t="shared" si="7"/>
        <v>0</v>
      </c>
      <c r="S18" s="785">
        <f>Gen!T25</f>
        <v>0</v>
      </c>
      <c r="T18" s="769">
        <f t="shared" si="12"/>
        <v>43966</v>
      </c>
      <c r="U18" s="726"/>
      <c r="V18" s="732">
        <f t="shared" si="8"/>
        <v>0</v>
      </c>
      <c r="W18" s="728"/>
      <c r="X18" s="772">
        <f t="shared" si="0"/>
        <v>0</v>
      </c>
      <c r="Y18" s="762">
        <f t="shared" si="13"/>
        <v>43966</v>
      </c>
      <c r="Z18" s="726"/>
      <c r="AA18" s="726">
        <f t="shared" si="14"/>
        <v>0</v>
      </c>
      <c r="AB18" s="730">
        <f>'Water-Meter'!P20</f>
        <v>0</v>
      </c>
      <c r="AC18" s="763">
        <f>SUM(AB18-AA18)</f>
        <v>0</v>
      </c>
    </row>
    <row r="19" spans="1:29" ht="18.75">
      <c r="A19" s="743">
        <f>Gen!C26</f>
        <v>0</v>
      </c>
      <c r="B19" s="751">
        <f>Gen!B26</f>
        <v>43967</v>
      </c>
      <c r="C19" s="729"/>
      <c r="D19" s="732">
        <f t="shared" si="1"/>
        <v>0</v>
      </c>
      <c r="E19" s="727"/>
      <c r="F19" s="732">
        <f t="shared" si="15"/>
        <v>0</v>
      </c>
      <c r="G19" s="726"/>
      <c r="H19" s="752">
        <f t="shared" si="10"/>
        <v>43967</v>
      </c>
      <c r="I19" s="745"/>
      <c r="J19" s="726">
        <f t="shared" si="3"/>
        <v>0</v>
      </c>
      <c r="K19" s="731">
        <f>'Water-Meter'!G21</f>
        <v>0</v>
      </c>
      <c r="L19" s="758">
        <f t="shared" si="4"/>
        <v>0</v>
      </c>
      <c r="M19" s="762">
        <f t="shared" si="11"/>
        <v>43967</v>
      </c>
      <c r="N19" s="729"/>
      <c r="O19" s="726">
        <f t="shared" si="5"/>
        <v>0</v>
      </c>
      <c r="P19" s="730">
        <f>'Water-Meter'!J21</f>
        <v>0</v>
      </c>
      <c r="Q19" s="758">
        <f t="shared" si="6"/>
        <v>0</v>
      </c>
      <c r="R19" s="784">
        <f t="shared" si="7"/>
        <v>0</v>
      </c>
      <c r="S19" s="785">
        <f>Gen!T26</f>
        <v>0</v>
      </c>
      <c r="T19" s="769">
        <f t="shared" si="12"/>
        <v>43967</v>
      </c>
      <c r="U19" s="729"/>
      <c r="V19" s="732">
        <f t="shared" si="8"/>
        <v>0</v>
      </c>
      <c r="W19" s="728"/>
      <c r="X19" s="772">
        <f t="shared" si="0"/>
        <v>0</v>
      </c>
      <c r="Y19" s="762">
        <f t="shared" si="13"/>
        <v>43967</v>
      </c>
      <c r="Z19" s="729"/>
      <c r="AA19" s="726">
        <f t="shared" si="14"/>
        <v>0</v>
      </c>
      <c r="AB19" s="730">
        <f>'Water-Meter'!P21</f>
        <v>0</v>
      </c>
      <c r="AC19" s="763">
        <f t="shared" si="9"/>
        <v>0</v>
      </c>
    </row>
    <row r="20" spans="1:29" ht="18.75">
      <c r="A20" s="743">
        <f>Gen!C27</f>
        <v>0</v>
      </c>
      <c r="B20" s="751">
        <f>Gen!B27</f>
        <v>43968</v>
      </c>
      <c r="C20" s="729"/>
      <c r="D20" s="732">
        <f t="shared" si="1"/>
        <v>0</v>
      </c>
      <c r="E20" s="727"/>
      <c r="F20" s="732">
        <f t="shared" si="15"/>
        <v>0</v>
      </c>
      <c r="G20" s="726"/>
      <c r="H20" s="752">
        <f t="shared" si="10"/>
        <v>43968</v>
      </c>
      <c r="I20" s="745"/>
      <c r="J20" s="726">
        <f t="shared" si="3"/>
        <v>0</v>
      </c>
      <c r="K20" s="731">
        <f>'Water-Meter'!G22</f>
        <v>0</v>
      </c>
      <c r="L20" s="758">
        <f t="shared" si="4"/>
        <v>0</v>
      </c>
      <c r="M20" s="762">
        <f t="shared" si="11"/>
        <v>43968</v>
      </c>
      <c r="N20" s="729"/>
      <c r="O20" s="726">
        <f t="shared" si="5"/>
        <v>0</v>
      </c>
      <c r="P20" s="730">
        <f>'Water-Meter'!J22</f>
        <v>0</v>
      </c>
      <c r="Q20" s="758">
        <f t="shared" si="6"/>
        <v>0</v>
      </c>
      <c r="R20" s="784">
        <f t="shared" si="7"/>
        <v>0</v>
      </c>
      <c r="S20" s="785">
        <f>Gen!T27</f>
        <v>0</v>
      </c>
      <c r="T20" s="769">
        <f t="shared" si="12"/>
        <v>43968</v>
      </c>
      <c r="U20" s="729"/>
      <c r="V20" s="732">
        <f t="shared" si="8"/>
        <v>0</v>
      </c>
      <c r="W20" s="728"/>
      <c r="X20" s="772">
        <f t="shared" si="0"/>
        <v>0</v>
      </c>
      <c r="Y20" s="762">
        <f t="shared" si="13"/>
        <v>43968</v>
      </c>
      <c r="Z20" s="729"/>
      <c r="AA20" s="726">
        <f t="shared" si="14"/>
        <v>0</v>
      </c>
      <c r="AB20" s="730">
        <f>'Water-Meter'!P22</f>
        <v>0</v>
      </c>
      <c r="AC20" s="763">
        <f t="shared" si="9"/>
        <v>0</v>
      </c>
    </row>
    <row r="21" spans="1:29" ht="18.75">
      <c r="A21" s="743">
        <f>Gen!C28</f>
        <v>0</v>
      </c>
      <c r="B21" s="751">
        <f>Gen!B28</f>
        <v>43969</v>
      </c>
      <c r="C21" s="729"/>
      <c r="D21" s="732">
        <f t="shared" si="1"/>
        <v>0</v>
      </c>
      <c r="E21" s="727"/>
      <c r="F21" s="732">
        <f t="shared" si="15"/>
        <v>0</v>
      </c>
      <c r="G21" s="726"/>
      <c r="H21" s="752">
        <f t="shared" si="10"/>
        <v>43969</v>
      </c>
      <c r="I21" s="745"/>
      <c r="J21" s="726">
        <f t="shared" si="3"/>
        <v>0</v>
      </c>
      <c r="K21" s="731">
        <f>'Water-Meter'!G23</f>
        <v>0</v>
      </c>
      <c r="L21" s="758">
        <f t="shared" si="4"/>
        <v>0</v>
      </c>
      <c r="M21" s="762">
        <f t="shared" si="11"/>
        <v>43969</v>
      </c>
      <c r="N21" s="729"/>
      <c r="O21" s="726">
        <f t="shared" si="5"/>
        <v>0</v>
      </c>
      <c r="P21" s="730">
        <f>'Water-Meter'!J23</f>
        <v>0</v>
      </c>
      <c r="Q21" s="758">
        <f t="shared" si="6"/>
        <v>0</v>
      </c>
      <c r="R21" s="784">
        <f t="shared" ref="R21:R35" si="16">SUM(Q21/1615)</f>
        <v>0</v>
      </c>
      <c r="S21" s="785">
        <f>Gen!T28</f>
        <v>0</v>
      </c>
      <c r="T21" s="769">
        <f t="shared" si="12"/>
        <v>43969</v>
      </c>
      <c r="U21" s="729"/>
      <c r="V21" s="732">
        <f t="shared" si="8"/>
        <v>0</v>
      </c>
      <c r="W21" s="728"/>
      <c r="X21" s="772">
        <f t="shared" si="0"/>
        <v>0</v>
      </c>
      <c r="Y21" s="762">
        <f t="shared" si="13"/>
        <v>43969</v>
      </c>
      <c r="Z21" s="729"/>
      <c r="AA21" s="726">
        <f t="shared" si="14"/>
        <v>0</v>
      </c>
      <c r="AB21" s="730">
        <f>'Water-Meter'!P23</f>
        <v>0</v>
      </c>
      <c r="AC21" s="763">
        <f t="shared" si="9"/>
        <v>0</v>
      </c>
    </row>
    <row r="22" spans="1:29" ht="18.75">
      <c r="A22" s="743">
        <f>Gen!C29</f>
        <v>0</v>
      </c>
      <c r="B22" s="751">
        <f>Gen!B29</f>
        <v>43970</v>
      </c>
      <c r="C22" s="726"/>
      <c r="D22" s="732">
        <f t="shared" si="1"/>
        <v>0</v>
      </c>
      <c r="E22" s="727"/>
      <c r="F22" s="732">
        <f t="shared" si="15"/>
        <v>0</v>
      </c>
      <c r="G22" s="726"/>
      <c r="H22" s="752">
        <f t="shared" si="10"/>
        <v>43970</v>
      </c>
      <c r="I22" s="744"/>
      <c r="J22" s="726">
        <f t="shared" si="3"/>
        <v>0</v>
      </c>
      <c r="K22" s="731">
        <f>'Water-Meter'!G24</f>
        <v>0</v>
      </c>
      <c r="L22" s="758">
        <f t="shared" si="4"/>
        <v>0</v>
      </c>
      <c r="M22" s="762">
        <f t="shared" si="11"/>
        <v>43970</v>
      </c>
      <c r="N22" s="726"/>
      <c r="O22" s="726">
        <f t="shared" si="5"/>
        <v>0</v>
      </c>
      <c r="P22" s="730">
        <f>'Water-Meter'!J24</f>
        <v>0</v>
      </c>
      <c r="Q22" s="758">
        <f t="shared" si="6"/>
        <v>0</v>
      </c>
      <c r="R22" s="784">
        <f t="shared" si="16"/>
        <v>0</v>
      </c>
      <c r="S22" s="785">
        <f>Gen!T29</f>
        <v>0</v>
      </c>
      <c r="T22" s="769">
        <f t="shared" si="12"/>
        <v>43970</v>
      </c>
      <c r="U22" s="726"/>
      <c r="V22" s="732">
        <f t="shared" si="8"/>
        <v>0</v>
      </c>
      <c r="W22" s="728"/>
      <c r="X22" s="772">
        <f t="shared" si="0"/>
        <v>0</v>
      </c>
      <c r="Y22" s="762">
        <f t="shared" si="13"/>
        <v>43970</v>
      </c>
      <c r="Z22" s="726"/>
      <c r="AA22" s="726">
        <f t="shared" si="14"/>
        <v>0</v>
      </c>
      <c r="AB22" s="730">
        <f>'Water-Meter'!P24</f>
        <v>0</v>
      </c>
      <c r="AC22" s="763">
        <f t="shared" si="9"/>
        <v>0</v>
      </c>
    </row>
    <row r="23" spans="1:29" ht="18.75">
      <c r="A23" s="743">
        <f>Gen!C30</f>
        <v>0</v>
      </c>
      <c r="B23" s="751">
        <f>Gen!B30</f>
        <v>43971</v>
      </c>
      <c r="C23" s="729"/>
      <c r="D23" s="732">
        <f t="shared" si="1"/>
        <v>0</v>
      </c>
      <c r="E23" s="727"/>
      <c r="F23" s="732">
        <f t="shared" ref="F23:F34" si="17">SUM(E23-D23)*120</f>
        <v>0</v>
      </c>
      <c r="G23" s="726"/>
      <c r="H23" s="752">
        <f t="shared" si="10"/>
        <v>43971</v>
      </c>
      <c r="I23" s="745"/>
      <c r="J23" s="726">
        <f t="shared" si="3"/>
        <v>0</v>
      </c>
      <c r="K23" s="731">
        <f>'Water-Meter'!G25</f>
        <v>0</v>
      </c>
      <c r="L23" s="758">
        <f t="shared" si="4"/>
        <v>0</v>
      </c>
      <c r="M23" s="762">
        <f t="shared" si="11"/>
        <v>43971</v>
      </c>
      <c r="N23" s="729"/>
      <c r="O23" s="726">
        <f t="shared" si="5"/>
        <v>0</v>
      </c>
      <c r="P23" s="730">
        <f>'Water-Meter'!J25</f>
        <v>0</v>
      </c>
      <c r="Q23" s="758">
        <f t="shared" si="6"/>
        <v>0</v>
      </c>
      <c r="R23" s="784">
        <f t="shared" si="16"/>
        <v>0</v>
      </c>
      <c r="S23" s="785">
        <f>Gen!T30</f>
        <v>0</v>
      </c>
      <c r="T23" s="769">
        <f t="shared" si="12"/>
        <v>43971</v>
      </c>
      <c r="U23" s="729"/>
      <c r="V23" s="732">
        <f t="shared" si="8"/>
        <v>0</v>
      </c>
      <c r="W23" s="728"/>
      <c r="X23" s="772">
        <f t="shared" si="0"/>
        <v>0</v>
      </c>
      <c r="Y23" s="762">
        <f t="shared" si="13"/>
        <v>43971</v>
      </c>
      <c r="Z23" s="729"/>
      <c r="AA23" s="726">
        <f t="shared" si="14"/>
        <v>0</v>
      </c>
      <c r="AB23" s="730">
        <f>'Water-Meter'!P25</f>
        <v>0</v>
      </c>
      <c r="AC23" s="763">
        <f t="shared" si="9"/>
        <v>0</v>
      </c>
    </row>
    <row r="24" spans="1:29" ht="18.75">
      <c r="A24" s="743">
        <f>Gen!C31</f>
        <v>0</v>
      </c>
      <c r="B24" s="751">
        <f>Gen!B31</f>
        <v>43972</v>
      </c>
      <c r="C24" s="729"/>
      <c r="D24" s="732">
        <f t="shared" ref="D24:D35" si="18">SUM(E23)</f>
        <v>0</v>
      </c>
      <c r="E24" s="727"/>
      <c r="F24" s="732">
        <f t="shared" si="17"/>
        <v>0</v>
      </c>
      <c r="G24" s="726"/>
      <c r="H24" s="752">
        <f t="shared" si="10"/>
        <v>43972</v>
      </c>
      <c r="I24" s="745"/>
      <c r="J24" s="726">
        <f t="shared" si="3"/>
        <v>0</v>
      </c>
      <c r="K24" s="731">
        <f>'Water-Meter'!G26</f>
        <v>0</v>
      </c>
      <c r="L24" s="758">
        <f t="shared" si="4"/>
        <v>0</v>
      </c>
      <c r="M24" s="762">
        <f t="shared" si="11"/>
        <v>43972</v>
      </c>
      <c r="N24" s="729"/>
      <c r="O24" s="726">
        <f t="shared" si="5"/>
        <v>0</v>
      </c>
      <c r="P24" s="730">
        <f>'Water-Meter'!J26</f>
        <v>0</v>
      </c>
      <c r="Q24" s="758">
        <f t="shared" si="6"/>
        <v>0</v>
      </c>
      <c r="R24" s="784">
        <f t="shared" si="16"/>
        <v>0</v>
      </c>
      <c r="S24" s="785">
        <f>Gen!T31</f>
        <v>0</v>
      </c>
      <c r="T24" s="769">
        <v>5835.7</v>
      </c>
      <c r="U24" s="729"/>
      <c r="V24" s="732">
        <f t="shared" si="8"/>
        <v>0</v>
      </c>
      <c r="W24" s="728"/>
      <c r="X24" s="772">
        <f t="shared" si="0"/>
        <v>0</v>
      </c>
      <c r="Y24" s="762">
        <f t="shared" si="13"/>
        <v>5835.7</v>
      </c>
      <c r="Z24" s="729"/>
      <c r="AA24" s="726">
        <f t="shared" si="14"/>
        <v>0</v>
      </c>
      <c r="AB24" s="730">
        <f>'Water-Meter'!P26</f>
        <v>0</v>
      </c>
      <c r="AC24" s="763">
        <f t="shared" si="9"/>
        <v>0</v>
      </c>
    </row>
    <row r="25" spans="1:29" ht="18.75">
      <c r="A25" s="743">
        <f>Gen!C32</f>
        <v>0</v>
      </c>
      <c r="B25" s="751">
        <f>Gen!B32</f>
        <v>43973</v>
      </c>
      <c r="C25" s="729"/>
      <c r="D25" s="732">
        <f t="shared" si="18"/>
        <v>0</v>
      </c>
      <c r="E25" s="727"/>
      <c r="F25" s="732">
        <f t="shared" si="17"/>
        <v>0</v>
      </c>
      <c r="G25" s="726"/>
      <c r="H25" s="752">
        <f t="shared" si="10"/>
        <v>43973</v>
      </c>
      <c r="I25" s="745"/>
      <c r="J25" s="726">
        <f t="shared" si="3"/>
        <v>0</v>
      </c>
      <c r="K25" s="731">
        <f>'Water-Meter'!G27</f>
        <v>0</v>
      </c>
      <c r="L25" s="758">
        <f t="shared" si="4"/>
        <v>0</v>
      </c>
      <c r="M25" s="762">
        <f t="shared" si="11"/>
        <v>43973</v>
      </c>
      <c r="N25" s="729"/>
      <c r="O25" s="726">
        <f t="shared" si="5"/>
        <v>0</v>
      </c>
      <c r="P25" s="730">
        <f>'Water-Meter'!J27</f>
        <v>0</v>
      </c>
      <c r="Q25" s="758">
        <f t="shared" si="6"/>
        <v>0</v>
      </c>
      <c r="R25" s="784">
        <f t="shared" si="16"/>
        <v>0</v>
      </c>
      <c r="S25" s="785">
        <f>Gen!T32</f>
        <v>0</v>
      </c>
      <c r="T25" s="769">
        <f t="shared" si="12"/>
        <v>43973</v>
      </c>
      <c r="U25" s="729"/>
      <c r="V25" s="732">
        <f t="shared" si="8"/>
        <v>0</v>
      </c>
      <c r="W25" s="728"/>
      <c r="X25" s="772">
        <f t="shared" si="0"/>
        <v>0</v>
      </c>
      <c r="Y25" s="762">
        <f t="shared" si="13"/>
        <v>43973</v>
      </c>
      <c r="Z25" s="729"/>
      <c r="AA25" s="726">
        <f t="shared" si="14"/>
        <v>0</v>
      </c>
      <c r="AB25" s="730">
        <f>'Water-Meter'!P27</f>
        <v>0</v>
      </c>
      <c r="AC25" s="763">
        <f t="shared" si="9"/>
        <v>0</v>
      </c>
    </row>
    <row r="26" spans="1:29" ht="18.75">
      <c r="A26" s="743">
        <f>Gen!C33</f>
        <v>0</v>
      </c>
      <c r="B26" s="751">
        <f>Gen!B33</f>
        <v>43974</v>
      </c>
      <c r="C26" s="729"/>
      <c r="D26" s="732">
        <f t="shared" si="18"/>
        <v>0</v>
      </c>
      <c r="E26" s="727"/>
      <c r="F26" s="732">
        <f t="shared" si="17"/>
        <v>0</v>
      </c>
      <c r="G26" s="726"/>
      <c r="H26" s="752">
        <f t="shared" si="10"/>
        <v>43974</v>
      </c>
      <c r="I26" s="745"/>
      <c r="J26" s="726">
        <f t="shared" si="3"/>
        <v>0</v>
      </c>
      <c r="K26" s="731">
        <f>'Water-Meter'!G28</f>
        <v>0</v>
      </c>
      <c r="L26" s="758">
        <f t="shared" si="4"/>
        <v>0</v>
      </c>
      <c r="M26" s="762">
        <f t="shared" si="11"/>
        <v>43974</v>
      </c>
      <c r="N26" s="729"/>
      <c r="O26" s="726">
        <f t="shared" si="5"/>
        <v>0</v>
      </c>
      <c r="P26" s="730">
        <f>'Water-Meter'!J28</f>
        <v>0</v>
      </c>
      <c r="Q26" s="758">
        <f t="shared" si="6"/>
        <v>0</v>
      </c>
      <c r="R26" s="784">
        <f t="shared" si="16"/>
        <v>0</v>
      </c>
      <c r="S26" s="785">
        <f>Gen!T33</f>
        <v>0</v>
      </c>
      <c r="T26" s="769">
        <f t="shared" si="12"/>
        <v>43974</v>
      </c>
      <c r="U26" s="729"/>
      <c r="V26" s="732">
        <f t="shared" si="8"/>
        <v>0</v>
      </c>
      <c r="W26" s="728"/>
      <c r="X26" s="772">
        <f t="shared" si="0"/>
        <v>0</v>
      </c>
      <c r="Y26" s="762">
        <f t="shared" si="13"/>
        <v>43974</v>
      </c>
      <c r="Z26" s="729"/>
      <c r="AA26" s="726">
        <f t="shared" si="14"/>
        <v>0</v>
      </c>
      <c r="AB26" s="730">
        <f>'Water-Meter'!P28</f>
        <v>0</v>
      </c>
      <c r="AC26" s="763">
        <f t="shared" si="9"/>
        <v>0</v>
      </c>
    </row>
    <row r="27" spans="1:29" ht="18.75">
      <c r="A27" s="743">
        <f>Gen!C34</f>
        <v>0</v>
      </c>
      <c r="B27" s="751">
        <f>Gen!B34</f>
        <v>43975</v>
      </c>
      <c r="C27" s="729"/>
      <c r="D27" s="732">
        <f t="shared" si="18"/>
        <v>0</v>
      </c>
      <c r="E27" s="727"/>
      <c r="F27" s="732">
        <f t="shared" si="17"/>
        <v>0</v>
      </c>
      <c r="G27" s="726"/>
      <c r="H27" s="752">
        <f t="shared" si="10"/>
        <v>43975</v>
      </c>
      <c r="I27" s="745"/>
      <c r="J27" s="726">
        <f t="shared" si="3"/>
        <v>0</v>
      </c>
      <c r="K27" s="731">
        <f>'Water-Meter'!G29</f>
        <v>0</v>
      </c>
      <c r="L27" s="758">
        <f t="shared" si="4"/>
        <v>0</v>
      </c>
      <c r="M27" s="762">
        <f t="shared" si="11"/>
        <v>43975</v>
      </c>
      <c r="N27" s="729"/>
      <c r="O27" s="726">
        <f t="shared" si="5"/>
        <v>0</v>
      </c>
      <c r="P27" s="730">
        <f>'Water-Meter'!J29</f>
        <v>0</v>
      </c>
      <c r="Q27" s="758">
        <f t="shared" si="6"/>
        <v>0</v>
      </c>
      <c r="R27" s="784">
        <f t="shared" si="16"/>
        <v>0</v>
      </c>
      <c r="S27" s="785">
        <f>Gen!T34</f>
        <v>0</v>
      </c>
      <c r="T27" s="769">
        <f t="shared" si="12"/>
        <v>43975</v>
      </c>
      <c r="U27" s="729"/>
      <c r="V27" s="732">
        <f t="shared" si="8"/>
        <v>0</v>
      </c>
      <c r="W27" s="728"/>
      <c r="X27" s="772">
        <f t="shared" si="0"/>
        <v>0</v>
      </c>
      <c r="Y27" s="762">
        <f t="shared" si="13"/>
        <v>43975</v>
      </c>
      <c r="Z27" s="729"/>
      <c r="AA27" s="726">
        <f t="shared" si="14"/>
        <v>0</v>
      </c>
      <c r="AB27" s="730">
        <f>'Water-Meter'!P29</f>
        <v>0</v>
      </c>
      <c r="AC27" s="763">
        <f t="shared" si="9"/>
        <v>0</v>
      </c>
    </row>
    <row r="28" spans="1:29" ht="18.75">
      <c r="A28" s="743">
        <f>Gen!C35</f>
        <v>0</v>
      </c>
      <c r="B28" s="751">
        <f>Gen!B35</f>
        <v>43976</v>
      </c>
      <c r="C28" s="729"/>
      <c r="D28" s="732">
        <f t="shared" si="18"/>
        <v>0</v>
      </c>
      <c r="E28" s="727"/>
      <c r="F28" s="732">
        <f t="shared" si="17"/>
        <v>0</v>
      </c>
      <c r="G28" s="726"/>
      <c r="H28" s="752">
        <f t="shared" si="10"/>
        <v>43976</v>
      </c>
      <c r="I28" s="745"/>
      <c r="J28" s="726">
        <f t="shared" si="3"/>
        <v>0</v>
      </c>
      <c r="K28" s="731">
        <f>'Water-Meter'!G30</f>
        <v>0</v>
      </c>
      <c r="L28" s="758">
        <f t="shared" si="4"/>
        <v>0</v>
      </c>
      <c r="M28" s="762">
        <f t="shared" si="11"/>
        <v>43976</v>
      </c>
      <c r="N28" s="729"/>
      <c r="O28" s="726">
        <f t="shared" si="5"/>
        <v>0</v>
      </c>
      <c r="P28" s="730">
        <f>'Water-Meter'!J30</f>
        <v>0</v>
      </c>
      <c r="Q28" s="758">
        <f t="shared" si="6"/>
        <v>0</v>
      </c>
      <c r="R28" s="784">
        <f t="shared" si="16"/>
        <v>0</v>
      </c>
      <c r="S28" s="785">
        <f>Gen!T35</f>
        <v>0</v>
      </c>
      <c r="T28" s="769">
        <f t="shared" si="12"/>
        <v>43976</v>
      </c>
      <c r="U28" s="729"/>
      <c r="V28" s="732">
        <f t="shared" si="8"/>
        <v>0</v>
      </c>
      <c r="W28" s="728"/>
      <c r="X28" s="772">
        <f t="shared" si="0"/>
        <v>0</v>
      </c>
      <c r="Y28" s="762">
        <f t="shared" si="13"/>
        <v>43976</v>
      </c>
      <c r="Z28" s="729"/>
      <c r="AA28" s="726">
        <f t="shared" si="14"/>
        <v>0</v>
      </c>
      <c r="AB28" s="730">
        <f>'Water-Meter'!P30</f>
        <v>0</v>
      </c>
      <c r="AC28" s="763">
        <f t="shared" si="9"/>
        <v>0</v>
      </c>
    </row>
    <row r="29" spans="1:29" ht="18.75">
      <c r="A29" s="743">
        <f>Gen!C36</f>
        <v>0</v>
      </c>
      <c r="B29" s="751">
        <f>Gen!B36</f>
        <v>43977</v>
      </c>
      <c r="C29" s="729"/>
      <c r="D29" s="732">
        <f t="shared" si="18"/>
        <v>0</v>
      </c>
      <c r="E29" s="727"/>
      <c r="F29" s="732">
        <f t="shared" si="17"/>
        <v>0</v>
      </c>
      <c r="G29" s="726"/>
      <c r="H29" s="752">
        <f t="shared" si="10"/>
        <v>43977</v>
      </c>
      <c r="I29" s="745"/>
      <c r="J29" s="726">
        <f t="shared" si="3"/>
        <v>0</v>
      </c>
      <c r="K29" s="731">
        <f>'Water-Meter'!G31</f>
        <v>0</v>
      </c>
      <c r="L29" s="758">
        <f t="shared" si="4"/>
        <v>0</v>
      </c>
      <c r="M29" s="762">
        <f t="shared" si="11"/>
        <v>43977</v>
      </c>
      <c r="N29" s="729"/>
      <c r="O29" s="726">
        <f t="shared" si="5"/>
        <v>0</v>
      </c>
      <c r="P29" s="730">
        <f>'Water-Meter'!J31</f>
        <v>0</v>
      </c>
      <c r="Q29" s="758">
        <f t="shared" si="6"/>
        <v>0</v>
      </c>
      <c r="R29" s="784">
        <f t="shared" si="16"/>
        <v>0</v>
      </c>
      <c r="S29" s="785">
        <f>Gen!T36</f>
        <v>0</v>
      </c>
      <c r="T29" s="769">
        <f t="shared" si="12"/>
        <v>43977</v>
      </c>
      <c r="U29" s="729"/>
      <c r="V29" s="732">
        <f t="shared" si="8"/>
        <v>0</v>
      </c>
      <c r="W29" s="728"/>
      <c r="X29" s="772">
        <f t="shared" si="0"/>
        <v>0</v>
      </c>
      <c r="Y29" s="762">
        <f t="shared" si="13"/>
        <v>43977</v>
      </c>
      <c r="Z29" s="729"/>
      <c r="AA29" s="726">
        <f t="shared" si="14"/>
        <v>0</v>
      </c>
      <c r="AB29" s="730">
        <f>'Water-Meter'!P31</f>
        <v>0</v>
      </c>
      <c r="AC29" s="763">
        <f t="shared" si="9"/>
        <v>0</v>
      </c>
    </row>
    <row r="30" spans="1:29" ht="18.75">
      <c r="A30" s="743">
        <f>Gen!C37</f>
        <v>0</v>
      </c>
      <c r="B30" s="751">
        <f>Gen!B37</f>
        <v>43978</v>
      </c>
      <c r="C30" s="729"/>
      <c r="D30" s="732">
        <f t="shared" si="18"/>
        <v>0</v>
      </c>
      <c r="E30" s="727"/>
      <c r="F30" s="732">
        <f t="shared" si="17"/>
        <v>0</v>
      </c>
      <c r="G30" s="726"/>
      <c r="H30" s="752">
        <f t="shared" si="10"/>
        <v>43978</v>
      </c>
      <c r="I30" s="745"/>
      <c r="J30" s="726">
        <f t="shared" si="3"/>
        <v>0</v>
      </c>
      <c r="K30" s="731">
        <f>'Water-Meter'!G32</f>
        <v>0</v>
      </c>
      <c r="L30" s="758">
        <f t="shared" si="4"/>
        <v>0</v>
      </c>
      <c r="M30" s="762">
        <f t="shared" si="11"/>
        <v>43978</v>
      </c>
      <c r="N30" s="729"/>
      <c r="O30" s="726">
        <f t="shared" si="5"/>
        <v>0</v>
      </c>
      <c r="P30" s="730">
        <f>'Water-Meter'!J32</f>
        <v>0</v>
      </c>
      <c r="Q30" s="758">
        <f t="shared" si="6"/>
        <v>0</v>
      </c>
      <c r="R30" s="784">
        <f t="shared" si="16"/>
        <v>0</v>
      </c>
      <c r="S30" s="785">
        <f>Gen!T37</f>
        <v>0</v>
      </c>
      <c r="T30" s="769">
        <f t="shared" si="12"/>
        <v>43978</v>
      </c>
      <c r="U30" s="729"/>
      <c r="V30" s="732">
        <f t="shared" si="8"/>
        <v>0</v>
      </c>
      <c r="W30" s="728"/>
      <c r="X30" s="772">
        <f t="shared" si="0"/>
        <v>0</v>
      </c>
      <c r="Y30" s="762">
        <f t="shared" si="13"/>
        <v>43978</v>
      </c>
      <c r="Z30" s="729"/>
      <c r="AA30" s="726">
        <f t="shared" si="14"/>
        <v>0</v>
      </c>
      <c r="AB30" s="730">
        <f>'Water-Meter'!P32</f>
        <v>0</v>
      </c>
      <c r="AC30" s="763">
        <f t="shared" si="9"/>
        <v>0</v>
      </c>
    </row>
    <row r="31" spans="1:29" ht="18.75">
      <c r="A31" s="743">
        <f>Gen!C38</f>
        <v>0</v>
      </c>
      <c r="B31" s="751">
        <f>Gen!B38</f>
        <v>43979</v>
      </c>
      <c r="C31" s="729"/>
      <c r="D31" s="732">
        <f t="shared" si="18"/>
        <v>0</v>
      </c>
      <c r="E31" s="727"/>
      <c r="F31" s="732">
        <f t="shared" si="17"/>
        <v>0</v>
      </c>
      <c r="G31" s="726"/>
      <c r="H31" s="752">
        <f t="shared" si="10"/>
        <v>43979</v>
      </c>
      <c r="I31" s="745"/>
      <c r="J31" s="726">
        <f t="shared" ref="J31:J35" si="19">SUM(K30)</f>
        <v>0</v>
      </c>
      <c r="K31" s="731">
        <f>'Water-Meter'!G33</f>
        <v>0</v>
      </c>
      <c r="L31" s="758">
        <f t="shared" si="4"/>
        <v>0</v>
      </c>
      <c r="M31" s="762">
        <f t="shared" si="11"/>
        <v>43979</v>
      </c>
      <c r="N31" s="729"/>
      <c r="O31" s="726">
        <f t="shared" si="5"/>
        <v>0</v>
      </c>
      <c r="P31" s="730">
        <f>'Water-Meter'!J33</f>
        <v>0</v>
      </c>
      <c r="Q31" s="758">
        <f t="shared" si="6"/>
        <v>0</v>
      </c>
      <c r="R31" s="784">
        <f t="shared" si="16"/>
        <v>0</v>
      </c>
      <c r="S31" s="785">
        <f>Gen!T38</f>
        <v>0</v>
      </c>
      <c r="T31" s="769">
        <f>M31</f>
        <v>43979</v>
      </c>
      <c r="U31" s="729"/>
      <c r="V31" s="732">
        <f t="shared" si="8"/>
        <v>0</v>
      </c>
      <c r="W31" s="728"/>
      <c r="X31" s="772">
        <f t="shared" si="0"/>
        <v>0</v>
      </c>
      <c r="Y31" s="762">
        <f>T31</f>
        <v>43979</v>
      </c>
      <c r="Z31" s="729"/>
      <c r="AA31" s="726">
        <f t="shared" si="14"/>
        <v>0</v>
      </c>
      <c r="AB31" s="730">
        <f>'Water-Meter'!P33</f>
        <v>0</v>
      </c>
      <c r="AC31" s="763">
        <f t="shared" si="9"/>
        <v>0</v>
      </c>
    </row>
    <row r="32" spans="1:29" ht="18.75">
      <c r="A32" s="743">
        <f>Gen!C39</f>
        <v>0</v>
      </c>
      <c r="B32" s="751">
        <f>Gen!B39</f>
        <v>43980</v>
      </c>
      <c r="C32" s="729"/>
      <c r="D32" s="732">
        <f t="shared" si="18"/>
        <v>0</v>
      </c>
      <c r="E32" s="727"/>
      <c r="F32" s="732">
        <f t="shared" si="17"/>
        <v>0</v>
      </c>
      <c r="G32" s="726"/>
      <c r="H32" s="752">
        <f t="shared" si="10"/>
        <v>43980</v>
      </c>
      <c r="I32" s="745"/>
      <c r="J32" s="726">
        <f t="shared" si="19"/>
        <v>0</v>
      </c>
      <c r="K32" s="731">
        <f>'Water-Meter'!G34</f>
        <v>0</v>
      </c>
      <c r="L32" s="758">
        <f t="shared" si="4"/>
        <v>0</v>
      </c>
      <c r="M32" s="762">
        <f t="shared" si="11"/>
        <v>43980</v>
      </c>
      <c r="N32" s="729"/>
      <c r="O32" s="726">
        <f t="shared" si="5"/>
        <v>0</v>
      </c>
      <c r="P32" s="730">
        <f>'Water-Meter'!J34</f>
        <v>0</v>
      </c>
      <c r="Q32" s="758">
        <f t="shared" si="6"/>
        <v>0</v>
      </c>
      <c r="R32" s="784">
        <f t="shared" si="16"/>
        <v>0</v>
      </c>
      <c r="S32" s="785">
        <f>Gen!T39</f>
        <v>0</v>
      </c>
      <c r="T32" s="769">
        <f t="shared" ref="T32:T35" si="20">M32</f>
        <v>43980</v>
      </c>
      <c r="U32" s="729"/>
      <c r="V32" s="732">
        <f t="shared" si="8"/>
        <v>0</v>
      </c>
      <c r="W32" s="728"/>
      <c r="X32" s="772">
        <f t="shared" si="0"/>
        <v>0</v>
      </c>
      <c r="Y32" s="762">
        <f t="shared" ref="Y32:Y35" si="21">T32</f>
        <v>43980</v>
      </c>
      <c r="Z32" s="729"/>
      <c r="AA32" s="726">
        <f t="shared" si="14"/>
        <v>0</v>
      </c>
      <c r="AB32" s="730">
        <f>'Water-Meter'!P34</f>
        <v>0</v>
      </c>
      <c r="AC32" s="763">
        <f t="shared" si="9"/>
        <v>0</v>
      </c>
    </row>
    <row r="33" spans="1:29" ht="18.75">
      <c r="A33" s="743">
        <f>Gen!C40</f>
        <v>0</v>
      </c>
      <c r="B33" s="751">
        <f>Gen!B40</f>
        <v>43981</v>
      </c>
      <c r="C33" s="729"/>
      <c r="D33" s="732">
        <f t="shared" si="18"/>
        <v>0</v>
      </c>
      <c r="E33" s="727"/>
      <c r="F33" s="732">
        <f t="shared" si="17"/>
        <v>0</v>
      </c>
      <c r="G33" s="726"/>
      <c r="H33" s="752">
        <f t="shared" si="10"/>
        <v>43981</v>
      </c>
      <c r="I33" s="745"/>
      <c r="J33" s="726">
        <f t="shared" si="19"/>
        <v>0</v>
      </c>
      <c r="K33" s="731">
        <f>'Water-Meter'!G35</f>
        <v>0</v>
      </c>
      <c r="L33" s="758">
        <f t="shared" si="4"/>
        <v>0</v>
      </c>
      <c r="M33" s="762">
        <f t="shared" si="11"/>
        <v>43981</v>
      </c>
      <c r="N33" s="729"/>
      <c r="O33" s="726">
        <f t="shared" si="5"/>
        <v>0</v>
      </c>
      <c r="P33" s="730">
        <f>'Water-Meter'!J35</f>
        <v>0</v>
      </c>
      <c r="Q33" s="758">
        <f t="shared" si="6"/>
        <v>0</v>
      </c>
      <c r="R33" s="784">
        <f t="shared" si="16"/>
        <v>0</v>
      </c>
      <c r="S33" s="785">
        <f>Gen!T40</f>
        <v>0</v>
      </c>
      <c r="T33" s="769">
        <f t="shared" si="20"/>
        <v>43981</v>
      </c>
      <c r="U33" s="729"/>
      <c r="V33" s="732">
        <f t="shared" si="8"/>
        <v>0</v>
      </c>
      <c r="W33" s="728"/>
      <c r="X33" s="772">
        <f t="shared" si="0"/>
        <v>0</v>
      </c>
      <c r="Y33" s="762">
        <f t="shared" si="21"/>
        <v>43981</v>
      </c>
      <c r="Z33" s="729"/>
      <c r="AA33" s="726">
        <f t="shared" si="14"/>
        <v>0</v>
      </c>
      <c r="AB33" s="730">
        <f>'Water-Meter'!P35</f>
        <v>0</v>
      </c>
      <c r="AC33" s="763">
        <f t="shared" si="9"/>
        <v>0</v>
      </c>
    </row>
    <row r="34" spans="1:29" ht="18.75">
      <c r="A34" s="743">
        <f>Gen!C41</f>
        <v>0</v>
      </c>
      <c r="B34" s="751">
        <f>Gen!B41</f>
        <v>43982</v>
      </c>
      <c r="C34" s="6"/>
      <c r="D34" s="732">
        <f t="shared" si="18"/>
        <v>0</v>
      </c>
      <c r="E34" s="727"/>
      <c r="F34" s="732">
        <f t="shared" si="17"/>
        <v>0</v>
      </c>
      <c r="G34" s="6"/>
      <c r="H34" s="752">
        <f t="shared" si="10"/>
        <v>43982</v>
      </c>
      <c r="I34" s="17"/>
      <c r="J34" s="726">
        <f t="shared" si="19"/>
        <v>0</v>
      </c>
      <c r="K34" s="731">
        <f>'Water-Meter'!G36</f>
        <v>0</v>
      </c>
      <c r="L34" s="758">
        <f t="shared" si="4"/>
        <v>0</v>
      </c>
      <c r="M34" s="762">
        <f t="shared" si="11"/>
        <v>43982</v>
      </c>
      <c r="N34" s="6"/>
      <c r="O34" s="726">
        <f t="shared" ref="O34:O35" si="22">SUM(P33)</f>
        <v>0</v>
      </c>
      <c r="P34" s="730">
        <f>'Water-Meter'!J36</f>
        <v>0</v>
      </c>
      <c r="Q34" s="758">
        <f t="shared" si="6"/>
        <v>0</v>
      </c>
      <c r="R34" s="784">
        <f t="shared" si="16"/>
        <v>0</v>
      </c>
      <c r="S34" s="785">
        <f>Gen!T41</f>
        <v>0</v>
      </c>
      <c r="T34" s="769">
        <f t="shared" si="20"/>
        <v>43982</v>
      </c>
      <c r="U34" s="6"/>
      <c r="V34" s="732">
        <f t="shared" ref="V34:V35" si="23">SUM(W33)</f>
        <v>0</v>
      </c>
      <c r="W34" s="728"/>
      <c r="X34" s="772">
        <f t="shared" si="0"/>
        <v>0</v>
      </c>
      <c r="Y34" s="762">
        <f t="shared" si="21"/>
        <v>43982</v>
      </c>
      <c r="Z34" s="6"/>
      <c r="AA34" s="726">
        <f t="shared" si="14"/>
        <v>0</v>
      </c>
      <c r="AB34" s="730">
        <f>'Water-Meter'!P36</f>
        <v>0</v>
      </c>
      <c r="AC34" s="763">
        <f t="shared" si="9"/>
        <v>0</v>
      </c>
    </row>
    <row r="35" spans="1:29" ht="20.25" customHeight="1" thickBot="1">
      <c r="A35" s="743" t="e">
        <f>[1]Gen!B42</f>
        <v>#REF!</v>
      </c>
      <c r="B35" s="753" t="e">
        <f>[1]Gen!A42</f>
        <v>#REF!</v>
      </c>
      <c r="C35" s="8"/>
      <c r="D35" s="754">
        <f t="shared" si="18"/>
        <v>0</v>
      </c>
      <c r="E35" s="755"/>
      <c r="F35" s="756">
        <f>SUM(F4:F6)</f>
        <v>312.00000000004366</v>
      </c>
      <c r="G35" s="8"/>
      <c r="H35" s="757" t="e">
        <f t="shared" si="10"/>
        <v>#REF!</v>
      </c>
      <c r="I35" s="83"/>
      <c r="J35" s="765">
        <f t="shared" si="19"/>
        <v>0</v>
      </c>
      <c r="K35" s="778">
        <f>'Water-Meter'!G37</f>
        <v>0</v>
      </c>
      <c r="L35" s="779">
        <f>SUM(L5:L34)</f>
        <v>-38000</v>
      </c>
      <c r="M35" s="764" t="e">
        <f t="shared" si="11"/>
        <v>#REF!</v>
      </c>
      <c r="N35" s="8"/>
      <c r="O35" s="765">
        <f t="shared" si="22"/>
        <v>0</v>
      </c>
      <c r="P35" s="766">
        <f>'Water-Meter'!J37</f>
        <v>0</v>
      </c>
      <c r="Q35" s="779">
        <f>SUM(Q5:Q34)</f>
        <v>-7904</v>
      </c>
      <c r="R35" s="786">
        <f t="shared" si="16"/>
        <v>-4.8941176470588239</v>
      </c>
      <c r="S35" s="787">
        <f>Gen!T42</f>
        <v>0</v>
      </c>
      <c r="T35" s="781" t="e">
        <f t="shared" si="20"/>
        <v>#REF!</v>
      </c>
      <c r="U35" s="8"/>
      <c r="V35" s="754">
        <f t="shared" si="23"/>
        <v>0</v>
      </c>
      <c r="W35" s="773"/>
      <c r="X35" s="774">
        <f t="shared" si="0"/>
        <v>0</v>
      </c>
      <c r="Y35" s="764" t="e">
        <f t="shared" si="21"/>
        <v>#REF!</v>
      </c>
      <c r="Z35" s="8"/>
      <c r="AA35" s="765">
        <f t="shared" si="14"/>
        <v>0</v>
      </c>
      <c r="AB35" s="766">
        <f>'Water-Meter'!P37</f>
        <v>0</v>
      </c>
      <c r="AC35" s="767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20.00000000007276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9" t="s">
        <v>316</v>
      </c>
      <c r="B2" s="820"/>
      <c r="C2" s="820"/>
      <c r="D2" s="820"/>
      <c r="E2" s="821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31</v>
      </c>
      <c r="L5" s="534">
        <f>'Lpg (2)'!G10</f>
        <v>34.9799999999872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19.75600000002305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26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>
        <f>'Water-Meter'!E8</f>
        <v>47</v>
      </c>
      <c r="L7" s="534">
        <f>'Lpg (2)'!G12</f>
        <v>26.97200000002049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23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2.33</v>
      </c>
      <c r="I8" s="87">
        <f t="shared" si="1"/>
        <v>661.99</v>
      </c>
      <c r="J8" s="533">
        <f>Gen!D14</f>
        <v>41370.67</v>
      </c>
      <c r="K8" s="351">
        <f>'Water-Meter'!E9</f>
        <v>31</v>
      </c>
      <c r="L8" s="534">
        <f>'Lpg (2)'!G13</f>
        <v>26.400000000000002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24</v>
      </c>
      <c r="C9" s="89">
        <f>Gen!C15</f>
        <v>0</v>
      </c>
      <c r="D9" s="519">
        <f t="shared" si="0"/>
        <v>0</v>
      </c>
      <c r="E9" s="76"/>
      <c r="F9" s="72">
        <f>Gen!U13</f>
        <v>1625</v>
      </c>
      <c r="G9" s="87">
        <f>Gen!T13</f>
        <v>659.29</v>
      </c>
      <c r="H9" s="87">
        <f>Gen!AK15</f>
        <v>0</v>
      </c>
      <c r="I9" s="87">
        <f t="shared" si="1"/>
        <v>659.29</v>
      </c>
      <c r="J9" s="533">
        <f>Gen!D15</f>
        <v>40734.409999999996</v>
      </c>
      <c r="K9" s="351">
        <f>'Water-Meter'!E10</f>
        <v>30</v>
      </c>
      <c r="L9" s="534">
        <f>'Lpg (2)'!G14</f>
        <v>22.439999999961586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24</v>
      </c>
      <c r="C10" s="89">
        <f>Gen!C16</f>
        <v>0</v>
      </c>
      <c r="D10" s="519">
        <f t="shared" si="0"/>
        <v>0</v>
      </c>
      <c r="E10" s="76"/>
      <c r="F10" s="72">
        <f>Gen!U14</f>
        <v>1460</v>
      </c>
      <c r="G10" s="87">
        <f>Gen!T14</f>
        <v>633.92999999999995</v>
      </c>
      <c r="H10" s="87">
        <f>Gen!AK16</f>
        <v>31.11</v>
      </c>
      <c r="I10" s="87">
        <f t="shared" si="1"/>
        <v>665.04</v>
      </c>
      <c r="J10" s="533">
        <f>Gen!D16</f>
        <v>40088.17</v>
      </c>
      <c r="K10" s="351">
        <f>'Water-Meter'!E11</f>
        <v>33</v>
      </c>
      <c r="L10" s="534">
        <f>'Lpg (2)'!G15</f>
        <v>14.608000000030735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24</v>
      </c>
      <c r="C11" s="89">
        <f>Gen!C17</f>
        <v>0</v>
      </c>
      <c r="D11" s="519">
        <f t="shared" si="0"/>
        <v>0</v>
      </c>
      <c r="E11" s="76"/>
      <c r="F11" s="72">
        <f>Gen!U15</f>
        <v>1531</v>
      </c>
      <c r="G11" s="87">
        <f>Gen!T15</f>
        <v>646.24</v>
      </c>
      <c r="H11" s="87">
        <f>Gen!AK17</f>
        <v>22.97</v>
      </c>
      <c r="I11" s="87">
        <f t="shared" si="1"/>
        <v>669.21</v>
      </c>
      <c r="J11" s="533">
        <f>Gen!D17</f>
        <v>39429.18</v>
      </c>
      <c r="K11" s="351">
        <f>'Water-Meter'!E12</f>
        <v>41</v>
      </c>
      <c r="L11" s="534">
        <f>'Lpg (2)'!G16</f>
        <v>32.252000000007683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25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627.88</v>
      </c>
      <c r="H12" s="87">
        <f>Gen!AK18</f>
        <v>80.099999999999994</v>
      </c>
      <c r="I12" s="87">
        <f t="shared" si="1"/>
        <v>707.98</v>
      </c>
      <c r="J12" s="533">
        <f>Gen!D18</f>
        <v>38768.69</v>
      </c>
      <c r="K12" s="351">
        <f>'Water-Meter'!E13</f>
        <v>37</v>
      </c>
      <c r="L12" s="534">
        <f>'Lpg (2)'!G17</f>
        <v>35.551999999943661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25</v>
      </c>
      <c r="C13" s="89">
        <f>Gen!C19</f>
        <v>0</v>
      </c>
      <c r="D13" s="519">
        <f t="shared" si="0"/>
        <v>0</v>
      </c>
      <c r="E13" s="76"/>
      <c r="F13" s="72">
        <f>Gen!U17</f>
        <v>1434</v>
      </c>
      <c r="G13" s="87">
        <f>Gen!T17</f>
        <v>637.52</v>
      </c>
      <c r="H13" s="87">
        <f>Gen!AK19</f>
        <v>0</v>
      </c>
      <c r="I13" s="87">
        <f t="shared" si="1"/>
        <v>637.52</v>
      </c>
      <c r="J13" s="533">
        <f>Gen!D19</f>
        <v>37995.760000000002</v>
      </c>
      <c r="K13" s="351">
        <f>'Water-Meter'!E14</f>
        <v>51</v>
      </c>
      <c r="L13" s="534">
        <f>'Lpg (2)'!G18</f>
        <v>28.908000000030736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25</v>
      </c>
      <c r="C14" s="89">
        <f>Gen!C20</f>
        <v>0</v>
      </c>
      <c r="D14" s="519">
        <f t="shared" si="0"/>
        <v>0</v>
      </c>
      <c r="E14" s="76"/>
      <c r="F14" s="72">
        <f>Gen!U18</f>
        <v>1432</v>
      </c>
      <c r="G14" s="87">
        <f>Gen!T18</f>
        <v>692.82999999999993</v>
      </c>
      <c r="H14" s="87">
        <f>Gen!AK20</f>
        <v>0</v>
      </c>
      <c r="I14" s="87">
        <f t="shared" si="1"/>
        <v>692.82999999999993</v>
      </c>
      <c r="J14" s="533">
        <f>Gen!D20</f>
        <v>37333.660000000003</v>
      </c>
      <c r="K14" s="351">
        <f>'Water-Meter'!E15</f>
        <v>51</v>
      </c>
      <c r="L14" s="534">
        <f>'Lpg (2)'!G19</f>
        <v>45.143999999976955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24</v>
      </c>
      <c r="C15" s="89">
        <f>Gen!C21</f>
        <v>0</v>
      </c>
      <c r="D15" s="519">
        <f t="shared" si="0"/>
        <v>0</v>
      </c>
      <c r="E15" s="76"/>
      <c r="F15" s="72">
        <f>Gen!U19</f>
        <v>1527</v>
      </c>
      <c r="G15" s="87">
        <f>Gen!T19</f>
        <v>662.1</v>
      </c>
      <c r="H15" s="87">
        <f>Gen!AK21</f>
        <v>0</v>
      </c>
      <c r="I15" s="87">
        <f t="shared" si="1"/>
        <v>662.1</v>
      </c>
      <c r="J15" s="533">
        <f>Gen!D21</f>
        <v>36681.33</v>
      </c>
      <c r="K15" s="351">
        <f>'Water-Meter'!E16</f>
        <v>56</v>
      </c>
      <c r="L15" s="534">
        <f>'Lpg (2)'!G20</f>
        <v>38.896000000048666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24</v>
      </c>
      <c r="C16" s="89">
        <f>Gen!C22</f>
        <v>0</v>
      </c>
      <c r="D16" s="519">
        <f t="shared" si="0"/>
        <v>0</v>
      </c>
      <c r="E16" s="76"/>
      <c r="F16" s="72">
        <f>Gen!U20</f>
        <v>1451</v>
      </c>
      <c r="G16" s="87">
        <f>Gen!T20</f>
        <v>652.33000000000004</v>
      </c>
      <c r="H16" s="87">
        <f>Gen!AK22</f>
        <v>106.89</v>
      </c>
      <c r="I16" s="87">
        <f t="shared" si="1"/>
        <v>759.22</v>
      </c>
      <c r="J16" s="533">
        <f>Gen!D22</f>
        <v>46005.94</v>
      </c>
      <c r="K16" s="351">
        <f>'Water-Meter'!E17</f>
        <v>58</v>
      </c>
      <c r="L16" s="534">
        <f>'Lpg (2)'!G21</f>
        <v>27.01599999999744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11</v>
      </c>
      <c r="C17" s="89">
        <f>Gen!C23</f>
        <v>0</v>
      </c>
      <c r="D17" s="519">
        <f t="shared" si="0"/>
        <v>0</v>
      </c>
      <c r="E17" s="76"/>
      <c r="F17" s="72">
        <f>Gen!U21</f>
        <v>1449</v>
      </c>
      <c r="G17" s="87">
        <f>Gen!T21</f>
        <v>675.39</v>
      </c>
      <c r="H17" s="87">
        <f>Gen!AK23</f>
        <v>0</v>
      </c>
      <c r="I17" s="87">
        <f t="shared" si="1"/>
        <v>675.39</v>
      </c>
      <c r="J17" s="533">
        <f>Gen!D23</f>
        <v>45180.04</v>
      </c>
      <c r="K17" s="351">
        <f>'Water-Meter'!E18</f>
        <v>41</v>
      </c>
      <c r="L17" s="534">
        <f>'Lpg (2)'!G22</f>
        <v>29.21599999999744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-150924</v>
      </c>
      <c r="C18" s="89">
        <f>Gen!C24</f>
        <v>0</v>
      </c>
      <c r="D18" s="519">
        <f t="shared" si="0"/>
        <v>0</v>
      </c>
      <c r="E18" s="76"/>
      <c r="F18" s="72">
        <f>Gen!U22</f>
        <v>1623</v>
      </c>
      <c r="G18" s="87">
        <f>Gen!T22</f>
        <v>719.01</v>
      </c>
      <c r="H18" s="87">
        <f>Gen!AK24</f>
        <v>0</v>
      </c>
      <c r="I18" s="87">
        <f t="shared" si="1"/>
        <v>719.01</v>
      </c>
      <c r="J18" s="533">
        <f>Gen!D24</f>
        <v>44523.85</v>
      </c>
      <c r="K18" s="351" t="str">
        <f>'Water-Meter'!E19</f>
        <v>0</v>
      </c>
      <c r="L18" s="534">
        <f>'Lpg (2)'!G23</f>
        <v>-313512.67200000002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0</v>
      </c>
      <c r="C19" s="89">
        <f>Gen!C25</f>
        <v>0</v>
      </c>
      <c r="D19" s="519">
        <f t="shared" si="0"/>
        <v>0</v>
      </c>
      <c r="E19" s="76"/>
      <c r="F19" s="72">
        <f>Gen!U23</f>
        <v>1552</v>
      </c>
      <c r="G19" s="87">
        <f>Gen!T23</f>
        <v>656.19</v>
      </c>
      <c r="H19" s="87">
        <f>Gen!AK25</f>
        <v>0</v>
      </c>
      <c r="I19" s="87">
        <f t="shared" si="1"/>
        <v>656.19</v>
      </c>
      <c r="J19" s="533">
        <f>Gen!D25</f>
        <v>44523.85</v>
      </c>
      <c r="K19" s="351">
        <f>'Water-Meter'!E20</f>
        <v>0</v>
      </c>
      <c r="L19" s="534">
        <f>'Lpg (2)'!G24</f>
        <v>0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0</v>
      </c>
      <c r="C20" s="89">
        <f>Gen!C26</f>
        <v>0</v>
      </c>
      <c r="D20" s="519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3">
        <f>Gen!D26</f>
        <v>44523.85</v>
      </c>
      <c r="K20" s="351">
        <f>'Water-Meter'!E21</f>
        <v>0</v>
      </c>
      <c r="L20" s="534">
        <f>'Lpg (2)'!G25</f>
        <v>0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3">
        <f>Gen!D27</f>
        <v>44523.85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44523.85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44523.85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44523.85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44523.85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44523.85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44523.85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44523.85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44523.85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44523.85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44523.85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44523.85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44523.85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44523.85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44523.85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44523.85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X22" sqref="X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2">
        <v>43952</v>
      </c>
      <c r="B1" s="823"/>
      <c r="C1" s="823"/>
      <c r="D1" s="823"/>
      <c r="E1" s="823"/>
      <c r="F1" s="823"/>
      <c r="G1" s="823"/>
      <c r="H1" s="823"/>
      <c r="I1" s="823"/>
      <c r="J1" s="823"/>
      <c r="K1" s="823"/>
      <c r="L1" s="823"/>
      <c r="M1" s="823"/>
      <c r="N1" s="823"/>
      <c r="O1" s="823"/>
      <c r="P1" s="823"/>
      <c r="Q1" s="823"/>
      <c r="R1" s="823"/>
      <c r="S1" s="823"/>
      <c r="T1" s="823"/>
      <c r="U1" s="823"/>
      <c r="V1" s="823"/>
      <c r="W1" s="823"/>
      <c r="X1" s="823"/>
      <c r="Y1" s="823"/>
      <c r="Z1" s="823"/>
      <c r="AA1" s="823"/>
      <c r="AB1" s="823"/>
      <c r="AC1" s="20"/>
    </row>
    <row r="2" spans="1:29" ht="12" customHeight="1" thickBot="1">
      <c r="A2" s="823"/>
      <c r="B2" s="823"/>
      <c r="C2" s="823"/>
      <c r="D2" s="823"/>
      <c r="E2" s="823"/>
      <c r="F2" s="823"/>
      <c r="G2" s="823"/>
      <c r="H2" s="823"/>
      <c r="I2" s="823"/>
      <c r="J2" s="823"/>
      <c r="K2" s="823"/>
      <c r="L2" s="823"/>
      <c r="M2" s="823"/>
      <c r="N2" s="823"/>
      <c r="O2" s="823"/>
      <c r="P2" s="823"/>
      <c r="Q2" s="823"/>
      <c r="R2" s="823"/>
      <c r="S2" s="823"/>
      <c r="T2" s="823"/>
      <c r="U2" s="823"/>
      <c r="V2" s="823"/>
      <c r="W2" s="823"/>
      <c r="X2" s="823"/>
      <c r="Y2" s="823"/>
      <c r="Z2" s="823"/>
      <c r="AA2" s="823"/>
      <c r="AB2" s="823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4" t="s">
        <v>299</v>
      </c>
      <c r="L3" s="825"/>
      <c r="M3" s="826"/>
      <c r="N3" s="824" t="s">
        <v>300</v>
      </c>
      <c r="O3" s="825"/>
      <c r="P3" s="826"/>
      <c r="Q3" s="824" t="s">
        <v>301</v>
      </c>
      <c r="R3" s="825"/>
      <c r="S3" s="826"/>
      <c r="T3" s="824" t="s">
        <v>302</v>
      </c>
      <c r="U3" s="825"/>
      <c r="V3" s="826"/>
      <c r="W3" s="824" t="s">
        <v>303</v>
      </c>
      <c r="X3" s="825"/>
      <c r="Y3" s="826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>
        <v>30633.200000000001</v>
      </c>
      <c r="J8" s="364">
        <v>20271.2</v>
      </c>
      <c r="K8" s="363">
        <f t="shared" si="0"/>
        <v>34312</v>
      </c>
      <c r="L8" s="364">
        <v>34325</v>
      </c>
      <c r="M8" s="363">
        <f t="shared" si="1"/>
        <v>13</v>
      </c>
      <c r="N8" s="365">
        <f t="shared" si="2"/>
        <v>29414</v>
      </c>
      <c r="O8" s="364">
        <v>29427</v>
      </c>
      <c r="P8" s="363">
        <f t="shared" si="3"/>
        <v>13</v>
      </c>
      <c r="Q8" s="363">
        <f t="shared" si="4"/>
        <v>34808</v>
      </c>
      <c r="R8" s="364">
        <v>34808</v>
      </c>
      <c r="S8" s="363">
        <f t="shared" si="5"/>
        <v>0</v>
      </c>
      <c r="T8" s="363">
        <f t="shared" si="6"/>
        <v>32182</v>
      </c>
      <c r="U8" s="364">
        <v>32182</v>
      </c>
      <c r="V8" s="363">
        <f t="shared" si="7"/>
        <v>0</v>
      </c>
      <c r="W8" s="365">
        <f t="shared" si="8"/>
        <v>19953</v>
      </c>
      <c r="X8" s="364">
        <v>19953</v>
      </c>
      <c r="Y8" s="363">
        <f t="shared" si="9"/>
        <v>0</v>
      </c>
      <c r="Z8" s="366">
        <f t="shared" si="10"/>
        <v>26</v>
      </c>
      <c r="AA8" s="128">
        <v>167</v>
      </c>
      <c r="AB8" s="128">
        <v>70</v>
      </c>
      <c r="AC8" s="315">
        <f>Gen!T13</f>
        <v>659.29</v>
      </c>
    </row>
    <row r="9" spans="1:29" ht="20.100000000000001" customHeight="1">
      <c r="A9" s="310">
        <f>Gen!B14</f>
        <v>43955</v>
      </c>
      <c r="B9" s="396">
        <f>Gen!C14</f>
        <v>0</v>
      </c>
      <c r="C9" s="364">
        <v>15374.47</v>
      </c>
      <c r="D9" s="364">
        <v>25996.2</v>
      </c>
      <c r="E9" s="364"/>
      <c r="F9" s="364"/>
      <c r="G9" s="364"/>
      <c r="H9" s="364"/>
      <c r="I9" s="364">
        <v>30635.4</v>
      </c>
      <c r="J9" s="364">
        <v>20272.900000000001</v>
      </c>
      <c r="K9" s="363">
        <f t="shared" si="0"/>
        <v>34325</v>
      </c>
      <c r="L9" s="364">
        <v>34336</v>
      </c>
      <c r="M9" s="363">
        <f t="shared" si="1"/>
        <v>11</v>
      </c>
      <c r="N9" s="365">
        <f t="shared" si="2"/>
        <v>29427</v>
      </c>
      <c r="O9" s="364">
        <v>29427</v>
      </c>
      <c r="P9" s="363">
        <f t="shared" si="3"/>
        <v>0</v>
      </c>
      <c r="Q9" s="363">
        <f t="shared" si="4"/>
        <v>34808</v>
      </c>
      <c r="R9" s="364">
        <v>34808</v>
      </c>
      <c r="S9" s="363">
        <f t="shared" si="5"/>
        <v>0</v>
      </c>
      <c r="T9" s="363">
        <f t="shared" si="6"/>
        <v>32182</v>
      </c>
      <c r="U9" s="364">
        <v>32182</v>
      </c>
      <c r="V9" s="363">
        <f t="shared" si="7"/>
        <v>0</v>
      </c>
      <c r="W9" s="365">
        <f t="shared" si="8"/>
        <v>19953</v>
      </c>
      <c r="X9" s="364">
        <v>19965</v>
      </c>
      <c r="Y9" s="363">
        <f t="shared" si="9"/>
        <v>12</v>
      </c>
      <c r="Z9" s="366">
        <f t="shared" si="10"/>
        <v>23</v>
      </c>
      <c r="AA9" s="128">
        <v>165</v>
      </c>
      <c r="AB9" s="128">
        <v>69</v>
      </c>
      <c r="AC9" s="315">
        <f>Gen!T14</f>
        <v>633.92999999999995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>
        <v>14740.54</v>
      </c>
      <c r="D10" s="364">
        <v>25996.2</v>
      </c>
      <c r="E10" s="364"/>
      <c r="F10" s="364"/>
      <c r="G10" s="364"/>
      <c r="H10" s="364"/>
      <c r="I10" s="364">
        <v>30637.599999999999</v>
      </c>
      <c r="J10" s="364">
        <v>20274.8</v>
      </c>
      <c r="K10" s="363">
        <f t="shared" si="0"/>
        <v>34336</v>
      </c>
      <c r="L10" s="364">
        <v>34337</v>
      </c>
      <c r="M10" s="363">
        <f t="shared" si="1"/>
        <v>1</v>
      </c>
      <c r="N10" s="365">
        <f t="shared" si="2"/>
        <v>29427</v>
      </c>
      <c r="O10" s="364">
        <v>29442</v>
      </c>
      <c r="P10" s="363">
        <f t="shared" si="3"/>
        <v>15</v>
      </c>
      <c r="Q10" s="363">
        <f t="shared" si="4"/>
        <v>34808</v>
      </c>
      <c r="R10" s="364">
        <v>34808</v>
      </c>
      <c r="S10" s="363">
        <f t="shared" si="5"/>
        <v>0</v>
      </c>
      <c r="T10" s="363">
        <f t="shared" si="6"/>
        <v>32182</v>
      </c>
      <c r="U10" s="364">
        <v>32182</v>
      </c>
      <c r="V10" s="363">
        <f t="shared" si="7"/>
        <v>0</v>
      </c>
      <c r="W10" s="365">
        <f t="shared" si="8"/>
        <v>19965</v>
      </c>
      <c r="X10" s="364">
        <v>19973</v>
      </c>
      <c r="Y10" s="363">
        <f t="shared" si="9"/>
        <v>8</v>
      </c>
      <c r="Z10" s="366">
        <f t="shared" si="10"/>
        <v>24</v>
      </c>
      <c r="AA10" s="128">
        <v>168</v>
      </c>
      <c r="AB10" s="128">
        <v>70</v>
      </c>
      <c r="AC10" s="315">
        <f>Gen!T15</f>
        <v>646.24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>
        <v>14091.97</v>
      </c>
      <c r="D11" s="364">
        <v>25996.2</v>
      </c>
      <c r="E11" s="364"/>
      <c r="F11" s="364"/>
      <c r="G11" s="364"/>
      <c r="H11" s="364"/>
      <c r="I11" s="364">
        <v>30639.599999999999</v>
      </c>
      <c r="J11" s="364">
        <v>20276.599999999999</v>
      </c>
      <c r="K11" s="363">
        <f t="shared" si="0"/>
        <v>34337</v>
      </c>
      <c r="L11" s="364">
        <v>34349</v>
      </c>
      <c r="M11" s="363">
        <f t="shared" si="1"/>
        <v>12</v>
      </c>
      <c r="N11" s="365">
        <f t="shared" si="2"/>
        <v>29442</v>
      </c>
      <c r="O11" s="364">
        <v>29454</v>
      </c>
      <c r="P11" s="363">
        <f t="shared" si="3"/>
        <v>12</v>
      </c>
      <c r="Q11" s="363">
        <f t="shared" si="4"/>
        <v>34808</v>
      </c>
      <c r="R11" s="364">
        <v>34808</v>
      </c>
      <c r="S11" s="363">
        <f t="shared" si="5"/>
        <v>0</v>
      </c>
      <c r="T11" s="363">
        <f t="shared" si="6"/>
        <v>32182</v>
      </c>
      <c r="U11" s="364">
        <v>32182</v>
      </c>
      <c r="V11" s="363">
        <f t="shared" si="7"/>
        <v>0</v>
      </c>
      <c r="W11" s="365">
        <f t="shared" si="8"/>
        <v>19973</v>
      </c>
      <c r="X11" s="364">
        <v>19973</v>
      </c>
      <c r="Y11" s="363">
        <f t="shared" si="9"/>
        <v>0</v>
      </c>
      <c r="Z11" s="366">
        <f t="shared" si="10"/>
        <v>24</v>
      </c>
      <c r="AA11" s="128">
        <v>169</v>
      </c>
      <c r="AB11" s="128">
        <v>78</v>
      </c>
      <c r="AC11" s="315">
        <f>Gen!T16</f>
        <v>627.88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>
        <v>13432.98</v>
      </c>
      <c r="D12" s="364">
        <v>25996.2</v>
      </c>
      <c r="E12" s="364"/>
      <c r="F12" s="364"/>
      <c r="G12" s="364"/>
      <c r="H12" s="364"/>
      <c r="I12" s="364">
        <v>30641.8</v>
      </c>
      <c r="J12" s="364">
        <v>20278.2</v>
      </c>
      <c r="K12" s="363">
        <f t="shared" si="0"/>
        <v>34349</v>
      </c>
      <c r="L12" s="364">
        <v>34361</v>
      </c>
      <c r="M12" s="363">
        <f t="shared" si="1"/>
        <v>12</v>
      </c>
      <c r="N12" s="365">
        <f t="shared" si="2"/>
        <v>29454</v>
      </c>
      <c r="O12" s="364">
        <v>29466</v>
      </c>
      <c r="P12" s="363">
        <f t="shared" si="3"/>
        <v>12</v>
      </c>
      <c r="Q12" s="363">
        <f t="shared" si="4"/>
        <v>34808</v>
      </c>
      <c r="R12" s="364">
        <v>34808</v>
      </c>
      <c r="S12" s="363">
        <f t="shared" si="5"/>
        <v>0</v>
      </c>
      <c r="T12" s="363">
        <f t="shared" si="6"/>
        <v>32182</v>
      </c>
      <c r="U12" s="364">
        <v>32182</v>
      </c>
      <c r="V12" s="363">
        <f t="shared" si="7"/>
        <v>0</v>
      </c>
      <c r="W12" s="365">
        <f t="shared" si="8"/>
        <v>19973</v>
      </c>
      <c r="X12" s="364">
        <v>19973</v>
      </c>
      <c r="Y12" s="363">
        <f t="shared" si="9"/>
        <v>0</v>
      </c>
      <c r="Z12" s="366">
        <f t="shared" si="10"/>
        <v>24</v>
      </c>
      <c r="AA12" s="128">
        <v>168</v>
      </c>
      <c r="AB12" s="128">
        <v>77</v>
      </c>
      <c r="AC12" s="315">
        <f>Gen!T17</f>
        <v>637.52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>
        <v>12772.49</v>
      </c>
      <c r="D13" s="364">
        <v>25996.2</v>
      </c>
      <c r="E13" s="364"/>
      <c r="F13" s="364"/>
      <c r="G13" s="364"/>
      <c r="H13" s="364"/>
      <c r="I13" s="364">
        <v>30644.1</v>
      </c>
      <c r="J13" s="364">
        <v>20279.900000000001</v>
      </c>
      <c r="K13" s="363">
        <f t="shared" si="0"/>
        <v>34361</v>
      </c>
      <c r="L13" s="364">
        <v>34367</v>
      </c>
      <c r="M13" s="363">
        <f t="shared" si="1"/>
        <v>6</v>
      </c>
      <c r="N13" s="365">
        <f t="shared" si="2"/>
        <v>29466</v>
      </c>
      <c r="O13" s="364">
        <v>29474</v>
      </c>
      <c r="P13" s="363">
        <f t="shared" si="3"/>
        <v>8</v>
      </c>
      <c r="Q13" s="363">
        <f t="shared" si="4"/>
        <v>34808</v>
      </c>
      <c r="R13" s="364">
        <v>34808</v>
      </c>
      <c r="S13" s="363">
        <f t="shared" si="5"/>
        <v>0</v>
      </c>
      <c r="T13" s="363">
        <f t="shared" si="6"/>
        <v>32182</v>
      </c>
      <c r="U13" s="364">
        <v>32182</v>
      </c>
      <c r="V13" s="363">
        <f t="shared" si="7"/>
        <v>0</v>
      </c>
      <c r="W13" s="365">
        <f t="shared" si="8"/>
        <v>19973</v>
      </c>
      <c r="X13" s="364">
        <v>19984</v>
      </c>
      <c r="Y13" s="363">
        <f t="shared" si="9"/>
        <v>11</v>
      </c>
      <c r="Z13" s="366">
        <f t="shared" si="10"/>
        <v>25</v>
      </c>
      <c r="AA13" s="128">
        <v>150</v>
      </c>
      <c r="AB13" s="128">
        <v>79</v>
      </c>
      <c r="AC13" s="315">
        <f>Gen!T18</f>
        <v>692.82999999999993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>
        <v>11999.56</v>
      </c>
      <c r="D14" s="364">
        <v>25996.2</v>
      </c>
      <c r="E14" s="364"/>
      <c r="F14" s="364"/>
      <c r="G14" s="364"/>
      <c r="H14" s="364"/>
      <c r="I14" s="364">
        <v>30646.2</v>
      </c>
      <c r="J14" s="364">
        <v>20281.900000000001</v>
      </c>
      <c r="K14" s="363">
        <f t="shared" si="0"/>
        <v>34367</v>
      </c>
      <c r="L14" s="364">
        <v>34367</v>
      </c>
      <c r="M14" s="363">
        <f t="shared" si="1"/>
        <v>0</v>
      </c>
      <c r="N14" s="365">
        <f t="shared" si="2"/>
        <v>29474</v>
      </c>
      <c r="O14" s="364">
        <v>29486</v>
      </c>
      <c r="P14" s="363">
        <f t="shared" si="3"/>
        <v>12</v>
      </c>
      <c r="Q14" s="363">
        <f t="shared" si="4"/>
        <v>34808</v>
      </c>
      <c r="R14" s="364">
        <v>34808</v>
      </c>
      <c r="S14" s="363">
        <f t="shared" si="5"/>
        <v>0</v>
      </c>
      <c r="T14" s="363">
        <f t="shared" si="6"/>
        <v>32182</v>
      </c>
      <c r="U14" s="364">
        <v>32182</v>
      </c>
      <c r="V14" s="363">
        <f t="shared" si="7"/>
        <v>0</v>
      </c>
      <c r="W14" s="365">
        <f t="shared" si="8"/>
        <v>19984</v>
      </c>
      <c r="X14" s="364">
        <v>19997</v>
      </c>
      <c r="Y14" s="363">
        <f t="shared" si="9"/>
        <v>13</v>
      </c>
      <c r="Z14" s="366">
        <f t="shared" si="10"/>
        <v>25</v>
      </c>
      <c r="AA14" s="128">
        <v>165</v>
      </c>
      <c r="AB14" s="128">
        <v>76</v>
      </c>
      <c r="AC14" s="315">
        <f>Gen!T19</f>
        <v>662.1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>
        <v>11337.49</v>
      </c>
      <c r="D15" s="364">
        <v>25996.2</v>
      </c>
      <c r="E15" s="364"/>
      <c r="F15" s="364"/>
      <c r="G15" s="364"/>
      <c r="H15" s="364"/>
      <c r="I15" s="364">
        <v>30648.2</v>
      </c>
      <c r="J15" s="364">
        <v>20283.5</v>
      </c>
      <c r="K15" s="363">
        <f t="shared" si="0"/>
        <v>34367</v>
      </c>
      <c r="L15" s="364">
        <v>34378</v>
      </c>
      <c r="M15" s="363">
        <f t="shared" si="1"/>
        <v>11</v>
      </c>
      <c r="N15" s="365">
        <f t="shared" si="2"/>
        <v>29486</v>
      </c>
      <c r="O15" s="364">
        <v>29486</v>
      </c>
      <c r="P15" s="363">
        <f t="shared" si="3"/>
        <v>0</v>
      </c>
      <c r="Q15" s="363">
        <f t="shared" si="4"/>
        <v>34808</v>
      </c>
      <c r="R15" s="364">
        <v>34808</v>
      </c>
      <c r="S15" s="363">
        <f t="shared" si="5"/>
        <v>0</v>
      </c>
      <c r="T15" s="363">
        <f t="shared" si="6"/>
        <v>32182</v>
      </c>
      <c r="U15" s="364">
        <v>32182</v>
      </c>
      <c r="V15" s="363">
        <f t="shared" si="7"/>
        <v>0</v>
      </c>
      <c r="W15" s="365">
        <f t="shared" si="8"/>
        <v>19997</v>
      </c>
      <c r="X15" s="364">
        <v>20011</v>
      </c>
      <c r="Y15" s="363">
        <f t="shared" si="9"/>
        <v>14</v>
      </c>
      <c r="Z15" s="366">
        <f t="shared" si="10"/>
        <v>25</v>
      </c>
      <c r="AA15" s="128">
        <v>165</v>
      </c>
      <c r="AB15" s="128">
        <v>70</v>
      </c>
      <c r="AC15" s="315">
        <f>Gen!T20</f>
        <v>652.33000000000004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>
        <v>10685.13</v>
      </c>
      <c r="D16" s="364">
        <v>25996.2</v>
      </c>
      <c r="E16" s="364"/>
      <c r="F16" s="364"/>
      <c r="G16" s="364"/>
      <c r="H16" s="364"/>
      <c r="I16" s="364">
        <v>30650.6</v>
      </c>
      <c r="J16" s="364">
        <v>20285.3</v>
      </c>
      <c r="K16" s="363">
        <f t="shared" si="0"/>
        <v>34378</v>
      </c>
      <c r="L16" s="364">
        <v>34378</v>
      </c>
      <c r="M16" s="363">
        <f t="shared" si="1"/>
        <v>0</v>
      </c>
      <c r="N16" s="365">
        <f t="shared" si="2"/>
        <v>29486</v>
      </c>
      <c r="O16" s="364">
        <v>29499</v>
      </c>
      <c r="P16" s="363">
        <f t="shared" si="3"/>
        <v>13</v>
      </c>
      <c r="Q16" s="363">
        <f t="shared" si="4"/>
        <v>34808</v>
      </c>
      <c r="R16" s="364">
        <v>34808</v>
      </c>
      <c r="S16" s="363">
        <f t="shared" si="5"/>
        <v>0</v>
      </c>
      <c r="T16" s="363">
        <f t="shared" si="6"/>
        <v>32182</v>
      </c>
      <c r="U16" s="364">
        <v>32182</v>
      </c>
      <c r="V16" s="363">
        <f t="shared" si="7"/>
        <v>0</v>
      </c>
      <c r="W16" s="365">
        <f t="shared" si="8"/>
        <v>20011</v>
      </c>
      <c r="X16" s="364">
        <v>20022</v>
      </c>
      <c r="Y16" s="363">
        <f t="shared" si="9"/>
        <v>11</v>
      </c>
      <c r="Z16" s="366">
        <f t="shared" si="10"/>
        <v>24</v>
      </c>
      <c r="AA16" s="128">
        <v>160</v>
      </c>
      <c r="AB16" s="128">
        <v>89</v>
      </c>
      <c r="AC16" s="315">
        <f>Gen!T21</f>
        <v>675.39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>
        <v>10009.74</v>
      </c>
      <c r="D17" s="364">
        <v>25996.2</v>
      </c>
      <c r="E17" s="610"/>
      <c r="F17" s="364"/>
      <c r="G17" s="364"/>
      <c r="H17" s="364"/>
      <c r="I17" s="364">
        <v>30652.9</v>
      </c>
      <c r="J17" s="364">
        <v>20287.5</v>
      </c>
      <c r="K17" s="363">
        <f t="shared" si="0"/>
        <v>34378</v>
      </c>
      <c r="L17" s="364">
        <v>34378</v>
      </c>
      <c r="M17" s="363">
        <f t="shared" si="1"/>
        <v>0</v>
      </c>
      <c r="N17" s="365">
        <f t="shared" si="2"/>
        <v>29499</v>
      </c>
      <c r="O17" s="364">
        <v>29510</v>
      </c>
      <c r="P17" s="363">
        <f t="shared" si="3"/>
        <v>11</v>
      </c>
      <c r="Q17" s="363">
        <f t="shared" si="4"/>
        <v>34808</v>
      </c>
      <c r="R17" s="364">
        <v>34808</v>
      </c>
      <c r="S17" s="363">
        <f t="shared" si="5"/>
        <v>0</v>
      </c>
      <c r="T17" s="363">
        <f t="shared" si="6"/>
        <v>32182</v>
      </c>
      <c r="U17" s="364">
        <v>32182</v>
      </c>
      <c r="V17" s="363">
        <f t="shared" si="7"/>
        <v>0</v>
      </c>
      <c r="W17" s="365">
        <f t="shared" si="8"/>
        <v>20022</v>
      </c>
      <c r="X17" s="364">
        <v>20035</v>
      </c>
      <c r="Y17" s="363">
        <f t="shared" si="9"/>
        <v>13</v>
      </c>
      <c r="Z17" s="366">
        <f t="shared" si="10"/>
        <v>24</v>
      </c>
      <c r="AA17" s="128">
        <v>165</v>
      </c>
      <c r="AB17" s="128">
        <v>78</v>
      </c>
      <c r="AC17" s="315">
        <f>Gen!T22</f>
        <v>719.01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>
        <v>19183.84</v>
      </c>
      <c r="D18" s="364">
        <v>25996.2</v>
      </c>
      <c r="E18" s="364"/>
      <c r="F18" s="364"/>
      <c r="G18" s="364"/>
      <c r="H18" s="364"/>
      <c r="I18" s="364">
        <v>30655.3</v>
      </c>
      <c r="J18" s="364">
        <v>20289.3</v>
      </c>
      <c r="K18" s="363">
        <f t="shared" si="0"/>
        <v>34378</v>
      </c>
      <c r="L18" s="364">
        <v>34389</v>
      </c>
      <c r="M18" s="363">
        <f t="shared" si="1"/>
        <v>11</v>
      </c>
      <c r="N18" s="365">
        <f t="shared" si="2"/>
        <v>29510</v>
      </c>
      <c r="O18" s="364">
        <v>29510</v>
      </c>
      <c r="P18" s="363">
        <f t="shared" si="3"/>
        <v>0</v>
      </c>
      <c r="Q18" s="363">
        <f t="shared" si="4"/>
        <v>34808</v>
      </c>
      <c r="R18" s="364">
        <v>34808</v>
      </c>
      <c r="S18" s="363">
        <f t="shared" si="5"/>
        <v>0</v>
      </c>
      <c r="T18" s="363">
        <f t="shared" si="6"/>
        <v>32182</v>
      </c>
      <c r="U18" s="364">
        <v>32182</v>
      </c>
      <c r="V18" s="363">
        <f t="shared" si="7"/>
        <v>0</v>
      </c>
      <c r="W18" s="365">
        <f t="shared" si="8"/>
        <v>20035</v>
      </c>
      <c r="X18" s="364">
        <v>20035</v>
      </c>
      <c r="Y18" s="363">
        <f t="shared" si="9"/>
        <v>0</v>
      </c>
      <c r="Z18" s="366">
        <f t="shared" si="10"/>
        <v>11</v>
      </c>
      <c r="AA18" s="128">
        <v>160</v>
      </c>
      <c r="AB18" s="128">
        <v>75</v>
      </c>
      <c r="AC18" s="315">
        <f>Gen!T23</f>
        <v>656.19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>
        <v>18527.650000000001</v>
      </c>
      <c r="D19" s="364">
        <v>25996.2</v>
      </c>
      <c r="E19" s="364"/>
      <c r="F19" s="364"/>
      <c r="G19" s="364"/>
      <c r="H19" s="364"/>
      <c r="I19" s="364"/>
      <c r="J19" s="364"/>
      <c r="K19" s="363">
        <f t="shared" si="0"/>
        <v>34389</v>
      </c>
      <c r="L19" s="364"/>
      <c r="M19" s="363">
        <f t="shared" si="1"/>
        <v>-34389</v>
      </c>
      <c r="N19" s="365">
        <f t="shared" si="2"/>
        <v>29510</v>
      </c>
      <c r="O19" s="364"/>
      <c r="P19" s="363">
        <f t="shared" si="3"/>
        <v>-29510</v>
      </c>
      <c r="Q19" s="363">
        <f t="shared" si="4"/>
        <v>34808</v>
      </c>
      <c r="R19" s="364"/>
      <c r="S19" s="363">
        <f t="shared" si="5"/>
        <v>-34808</v>
      </c>
      <c r="T19" s="363">
        <f t="shared" si="6"/>
        <v>32182</v>
      </c>
      <c r="U19" s="364"/>
      <c r="V19" s="363">
        <f t="shared" si="7"/>
        <v>-32182</v>
      </c>
      <c r="W19" s="365">
        <f t="shared" si="8"/>
        <v>20035</v>
      </c>
      <c r="X19" s="364"/>
      <c r="Y19" s="363">
        <f t="shared" si="9"/>
        <v>-20035</v>
      </c>
      <c r="Z19" s="366">
        <f t="shared" si="10"/>
        <v>-150924</v>
      </c>
      <c r="AA19" s="128"/>
      <c r="AB19" s="128"/>
      <c r="AC19" s="315">
        <f>Gen!T24</f>
        <v>0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/>
      <c r="D20" s="364"/>
      <c r="E20" s="364"/>
      <c r="F20" s="364"/>
      <c r="G20" s="364"/>
      <c r="H20" s="364"/>
      <c r="I20" s="364"/>
      <c r="J20" s="364"/>
      <c r="K20" s="363">
        <f t="shared" si="0"/>
        <v>0</v>
      </c>
      <c r="L20" s="364"/>
      <c r="M20" s="363">
        <f t="shared" si="1"/>
        <v>0</v>
      </c>
      <c r="N20" s="365">
        <f t="shared" si="2"/>
        <v>0</v>
      </c>
      <c r="O20" s="364"/>
      <c r="P20" s="363">
        <f t="shared" si="3"/>
        <v>0</v>
      </c>
      <c r="Q20" s="363">
        <f t="shared" si="4"/>
        <v>0</v>
      </c>
      <c r="R20" s="364"/>
      <c r="S20" s="363">
        <f t="shared" si="5"/>
        <v>0</v>
      </c>
      <c r="T20" s="363">
        <f t="shared" si="6"/>
        <v>0</v>
      </c>
      <c r="U20" s="364"/>
      <c r="V20" s="363">
        <f t="shared" si="7"/>
        <v>0</v>
      </c>
      <c r="W20" s="365">
        <f t="shared" si="8"/>
        <v>0</v>
      </c>
      <c r="X20" s="364"/>
      <c r="Y20" s="363">
        <f t="shared" si="9"/>
        <v>0</v>
      </c>
      <c r="Z20" s="366">
        <f t="shared" si="10"/>
        <v>0</v>
      </c>
      <c r="AA20" s="128"/>
      <c r="AB20" s="128"/>
      <c r="AC20" s="315">
        <f>Gen!T25</f>
        <v>0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/>
      <c r="D21" s="364"/>
      <c r="E21" s="364"/>
      <c r="F21" s="364"/>
      <c r="G21" s="364"/>
      <c r="H21" s="364"/>
      <c r="I21" s="364"/>
      <c r="J21" s="364"/>
      <c r="K21" s="363">
        <f t="shared" si="0"/>
        <v>0</v>
      </c>
      <c r="L21" s="364"/>
      <c r="M21" s="363">
        <f t="shared" si="1"/>
        <v>0</v>
      </c>
      <c r="N21" s="365">
        <f t="shared" si="2"/>
        <v>0</v>
      </c>
      <c r="O21" s="364"/>
      <c r="P21" s="363">
        <f t="shared" si="3"/>
        <v>0</v>
      </c>
      <c r="Q21" s="363">
        <f t="shared" si="4"/>
        <v>0</v>
      </c>
      <c r="R21" s="364"/>
      <c r="S21" s="363">
        <f t="shared" si="5"/>
        <v>0</v>
      </c>
      <c r="T21" s="363">
        <f t="shared" si="6"/>
        <v>0</v>
      </c>
      <c r="U21" s="364"/>
      <c r="V21" s="363">
        <f t="shared" si="7"/>
        <v>0</v>
      </c>
      <c r="W21" s="365">
        <f t="shared" si="8"/>
        <v>0</v>
      </c>
      <c r="X21" s="364"/>
      <c r="Y21" s="363">
        <f t="shared" si="9"/>
        <v>0</v>
      </c>
      <c r="Z21" s="366">
        <f t="shared" si="10"/>
        <v>0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4" zoomScale="110" zoomScaleNormal="110" workbookViewId="0">
      <pane xSplit="2" topLeftCell="C1" activePane="topRight" state="frozen"/>
      <selection pane="topRight" activeCell="K37" sqref="K37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10.85546875" style="497" customWidth="1"/>
    <col min="15" max="15" width="11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3"/>
      <c r="C1" s="833"/>
    </row>
    <row r="2" spans="2:47" ht="26.25">
      <c r="B2" s="833"/>
      <c r="C2" s="833"/>
      <c r="E2" s="834" t="s">
        <v>314</v>
      </c>
      <c r="F2" s="834"/>
      <c r="G2" s="835"/>
      <c r="H2" s="835"/>
      <c r="I2" s="835"/>
      <c r="J2" s="835"/>
      <c r="K2" s="835"/>
      <c r="L2" s="835"/>
      <c r="M2" s="835"/>
      <c r="N2" s="835"/>
      <c r="O2" s="835"/>
      <c r="P2" s="835"/>
      <c r="Q2" s="835"/>
      <c r="R2" s="835"/>
      <c r="S2" s="835"/>
      <c r="T2" s="835"/>
      <c r="U2" s="835"/>
      <c r="V2" s="835"/>
      <c r="W2" s="835"/>
      <c r="X2" s="835"/>
      <c r="Y2" s="835"/>
      <c r="Z2" s="835"/>
      <c r="AA2" s="835"/>
      <c r="AB2" s="835"/>
      <c r="AC2" s="835"/>
      <c r="AD2" s="835"/>
      <c r="AE2" s="835"/>
      <c r="AF2" s="835"/>
      <c r="AG2" s="835"/>
      <c r="AH2" s="835"/>
      <c r="AI2" s="835"/>
      <c r="AJ2" s="835"/>
      <c r="AK2" s="835"/>
      <c r="AL2" s="835"/>
      <c r="AM2" s="835"/>
      <c r="AN2" s="835"/>
      <c r="AO2" s="835"/>
      <c r="AP2" s="835"/>
      <c r="AQ2" s="835"/>
      <c r="AR2" s="835"/>
      <c r="AS2" s="835"/>
      <c r="AT2" s="835"/>
      <c r="AU2" s="835"/>
    </row>
    <row r="3" spans="2:47">
      <c r="B3" s="833"/>
      <c r="C3" s="833"/>
      <c r="L3" s="226"/>
      <c r="R3" s="226"/>
    </row>
    <row r="4" spans="2:47">
      <c r="B4" s="833"/>
      <c r="C4" s="833"/>
      <c r="L4" s="226"/>
      <c r="R4" s="226"/>
    </row>
    <row r="5" spans="2:47" ht="12" thickBot="1">
      <c r="B5" s="833"/>
      <c r="C5" s="833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3"/>
      <c r="C6" s="833"/>
      <c r="D6" s="231"/>
      <c r="G6" s="842" t="s">
        <v>57</v>
      </c>
      <c r="H6" s="843"/>
      <c r="I6" s="843"/>
      <c r="J6" s="843"/>
      <c r="K6" s="843"/>
      <c r="L6" s="843"/>
      <c r="M6" s="844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6" t="s">
        <v>201</v>
      </c>
      <c r="H7" s="837"/>
      <c r="I7" s="837"/>
      <c r="J7" s="837"/>
      <c r="K7" s="837"/>
      <c r="L7" s="837"/>
      <c r="M7" s="838"/>
      <c r="N7" s="839" t="s">
        <v>40</v>
      </c>
      <c r="O7" s="840"/>
      <c r="P7" s="840"/>
      <c r="Q7" s="840"/>
      <c r="R7" s="840"/>
      <c r="S7" s="841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313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4">
        <f>[4]Gen!$D$43</f>
        <v>43367.69</v>
      </c>
      <c r="E9" s="715"/>
      <c r="F9" s="716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7"/>
      <c r="E10" s="240"/>
      <c r="F10" s="718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3">
        <v>43952</v>
      </c>
      <c r="C11" s="710"/>
      <c r="D11" s="719">
        <f>SUM(D9+E11)</f>
        <v>43367.69</v>
      </c>
      <c r="E11" s="271"/>
      <c r="F11" s="718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3">
        <v>43953</v>
      </c>
      <c r="C12" s="710"/>
      <c r="D12" s="719">
        <f t="shared" ref="D12:D43" si="6">SUM(D11-AS11+E12)</f>
        <v>42689.62</v>
      </c>
      <c r="E12" s="271"/>
      <c r="F12" s="718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3">
        <v>43954</v>
      </c>
      <c r="C13" s="710"/>
      <c r="D13" s="719">
        <f t="shared" si="6"/>
        <v>42029.96</v>
      </c>
      <c r="E13" s="271"/>
      <c r="F13" s="718"/>
      <c r="G13" s="712"/>
      <c r="H13" s="691">
        <v>354.88</v>
      </c>
      <c r="I13" s="252">
        <v>304.41000000000003</v>
      </c>
      <c r="J13" s="272"/>
      <c r="K13" s="252"/>
      <c r="L13" s="252"/>
      <c r="M13" s="355"/>
      <c r="N13" s="354">
        <v>851</v>
      </c>
      <c r="O13" s="254">
        <v>774</v>
      </c>
      <c r="P13" s="254"/>
      <c r="Q13" s="254"/>
      <c r="R13" s="254"/>
      <c r="S13" s="696"/>
      <c r="T13" s="704">
        <f t="shared" si="0"/>
        <v>659.29</v>
      </c>
      <c r="U13" s="266">
        <f t="shared" si="1"/>
        <v>1625</v>
      </c>
      <c r="V13" s="705">
        <f t="shared" si="4"/>
        <v>0.40571692307692303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659.29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3">
        <v>43955</v>
      </c>
      <c r="C14" s="710"/>
      <c r="D14" s="719">
        <f t="shared" si="6"/>
        <v>41370.67</v>
      </c>
      <c r="E14" s="271"/>
      <c r="F14" s="718"/>
      <c r="G14" s="712"/>
      <c r="H14" s="691">
        <v>307.89999999999998</v>
      </c>
      <c r="I14" s="252"/>
      <c r="J14" s="272"/>
      <c r="K14" s="252"/>
      <c r="L14" s="252"/>
      <c r="M14" s="355">
        <v>326.02999999999997</v>
      </c>
      <c r="N14" s="354">
        <v>685</v>
      </c>
      <c r="O14" s="254"/>
      <c r="P14" s="254"/>
      <c r="Q14" s="254"/>
      <c r="R14" s="254"/>
      <c r="S14" s="696">
        <v>775</v>
      </c>
      <c r="T14" s="704">
        <f t="shared" si="0"/>
        <v>633.92999999999995</v>
      </c>
      <c r="U14" s="266">
        <f t="shared" si="1"/>
        <v>1460</v>
      </c>
      <c r="V14" s="705">
        <f t="shared" si="4"/>
        <v>0.43419863013698629</v>
      </c>
      <c r="W14" s="259"/>
      <c r="X14" s="267"/>
      <c r="Z14" s="609">
        <v>2.33</v>
      </c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2.33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636.26</v>
      </c>
      <c r="AT14" s="269">
        <f t="shared" si="7"/>
        <v>0</v>
      </c>
      <c r="AU14" s="337">
        <f t="shared" si="5"/>
        <v>41370.67</v>
      </c>
    </row>
    <row r="15" spans="2:47" ht="13.5" customHeight="1">
      <c r="B15" s="723">
        <v>43956</v>
      </c>
      <c r="C15" s="710"/>
      <c r="D15" s="719">
        <f t="shared" si="6"/>
        <v>40734.409999999996</v>
      </c>
      <c r="E15" s="271"/>
      <c r="F15" s="718"/>
      <c r="G15" s="712"/>
      <c r="H15" s="691"/>
      <c r="I15" s="252">
        <v>444.75</v>
      </c>
      <c r="J15" s="272"/>
      <c r="K15" s="252"/>
      <c r="L15" s="252"/>
      <c r="M15" s="355">
        <v>201.49</v>
      </c>
      <c r="N15" s="354">
        <v>1021</v>
      </c>
      <c r="O15" s="254"/>
      <c r="P15" s="254"/>
      <c r="Q15" s="254"/>
      <c r="R15" s="254"/>
      <c r="S15" s="696">
        <v>510</v>
      </c>
      <c r="T15" s="704">
        <f t="shared" si="0"/>
        <v>646.24</v>
      </c>
      <c r="U15" s="266">
        <f t="shared" si="1"/>
        <v>1531</v>
      </c>
      <c r="V15" s="705">
        <f t="shared" si="4"/>
        <v>0.42210320052253431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646.24</v>
      </c>
      <c r="AT15" s="269">
        <f t="shared" si="7"/>
        <v>0</v>
      </c>
      <c r="AU15" s="337">
        <f t="shared" si="5"/>
        <v>40734.409999999996</v>
      </c>
    </row>
    <row r="16" spans="2:47" ht="13.5" customHeight="1">
      <c r="B16" s="723">
        <v>43957</v>
      </c>
      <c r="C16" s="710"/>
      <c r="D16" s="719">
        <f t="shared" si="6"/>
        <v>40088.17</v>
      </c>
      <c r="E16" s="271"/>
      <c r="F16" s="718"/>
      <c r="G16" s="712"/>
      <c r="H16" s="691">
        <v>323.5</v>
      </c>
      <c r="I16" s="252">
        <v>304.38</v>
      </c>
      <c r="J16" s="272"/>
      <c r="K16" s="252"/>
      <c r="L16" s="252"/>
      <c r="M16" s="355"/>
      <c r="N16" s="789"/>
      <c r="O16" s="789"/>
      <c r="P16" s="254"/>
      <c r="Q16" s="254"/>
      <c r="R16" s="254"/>
      <c r="S16" s="696"/>
      <c r="T16" s="704">
        <f t="shared" si="0"/>
        <v>627.88</v>
      </c>
      <c r="U16" s="266">
        <f t="shared" si="1"/>
        <v>0</v>
      </c>
      <c r="V16" s="705" t="e">
        <f t="shared" si="4"/>
        <v>#DIV/0!</v>
      </c>
      <c r="W16" s="259"/>
      <c r="X16" s="267"/>
      <c r="Y16" s="243">
        <v>31.11</v>
      </c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31.11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658.99</v>
      </c>
      <c r="AT16" s="269">
        <f t="shared" si="7"/>
        <v>0</v>
      </c>
      <c r="AU16" s="337">
        <f t="shared" si="5"/>
        <v>40088.17</v>
      </c>
    </row>
    <row r="17" spans="2:47" ht="13.5" customHeight="1">
      <c r="B17" s="723">
        <v>43958</v>
      </c>
      <c r="C17" s="710"/>
      <c r="D17" s="719">
        <f t="shared" si="6"/>
        <v>39429.18</v>
      </c>
      <c r="E17" s="271"/>
      <c r="F17" s="718"/>
      <c r="G17" s="712"/>
      <c r="H17" s="691">
        <v>308.52999999999997</v>
      </c>
      <c r="I17" s="252">
        <v>328.99</v>
      </c>
      <c r="J17" s="272"/>
      <c r="K17" s="252"/>
      <c r="L17" s="252"/>
      <c r="M17" s="355"/>
      <c r="N17" s="354">
        <v>728</v>
      </c>
      <c r="O17" s="254">
        <v>706</v>
      </c>
      <c r="P17" s="254"/>
      <c r="Q17" s="254"/>
      <c r="R17" s="254"/>
      <c r="S17" s="696"/>
      <c r="T17" s="704">
        <f t="shared" si="0"/>
        <v>637.52</v>
      </c>
      <c r="U17" s="266">
        <f t="shared" si="1"/>
        <v>1434</v>
      </c>
      <c r="V17" s="705">
        <f t="shared" si="4"/>
        <v>0.44457461645746166</v>
      </c>
      <c r="W17" s="259"/>
      <c r="X17" s="267"/>
      <c r="Y17" s="243">
        <v>22.97</v>
      </c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22.97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660.49</v>
      </c>
      <c r="AT17" s="269">
        <f t="shared" si="7"/>
        <v>0</v>
      </c>
      <c r="AU17" s="337">
        <f t="shared" si="5"/>
        <v>39429.18</v>
      </c>
    </row>
    <row r="18" spans="2:47" ht="13.5" customHeight="1">
      <c r="B18" s="723">
        <v>43959</v>
      </c>
      <c r="C18" s="710"/>
      <c r="D18" s="719">
        <f t="shared" si="6"/>
        <v>38768.69</v>
      </c>
      <c r="E18" s="271"/>
      <c r="F18" s="718"/>
      <c r="G18" s="712"/>
      <c r="H18" s="691">
        <v>209.5</v>
      </c>
      <c r="I18" s="252">
        <v>174.54</v>
      </c>
      <c r="J18" s="272"/>
      <c r="K18" s="252"/>
      <c r="L18" s="252"/>
      <c r="M18" s="355">
        <v>308.79000000000002</v>
      </c>
      <c r="N18" s="354">
        <v>367</v>
      </c>
      <c r="O18" s="254">
        <v>462</v>
      </c>
      <c r="P18" s="254"/>
      <c r="Q18" s="254"/>
      <c r="R18" s="254"/>
      <c r="S18" s="696">
        <v>603</v>
      </c>
      <c r="T18" s="704">
        <f t="shared" si="0"/>
        <v>692.82999999999993</v>
      </c>
      <c r="U18" s="266">
        <f t="shared" si="1"/>
        <v>1432</v>
      </c>
      <c r="V18" s="705">
        <f t="shared" si="4"/>
        <v>0.48381983240223458</v>
      </c>
      <c r="W18" s="259"/>
      <c r="X18" s="267"/>
      <c r="Y18" s="243"/>
      <c r="Z18" s="252"/>
      <c r="AA18" s="252">
        <v>80.099999999999994</v>
      </c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80.099999999999994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772.93</v>
      </c>
      <c r="AT18" s="269">
        <f t="shared" si="7"/>
        <v>0</v>
      </c>
      <c r="AU18" s="337">
        <f t="shared" si="5"/>
        <v>38768.69</v>
      </c>
    </row>
    <row r="19" spans="2:47" ht="13.5" customHeight="1">
      <c r="B19" s="723">
        <v>43960</v>
      </c>
      <c r="C19" s="710"/>
      <c r="D19" s="719">
        <f t="shared" si="6"/>
        <v>37995.760000000002</v>
      </c>
      <c r="E19" s="271"/>
      <c r="F19" s="718"/>
      <c r="G19" s="712"/>
      <c r="H19" s="691"/>
      <c r="I19" s="252">
        <v>513.1</v>
      </c>
      <c r="J19" s="272"/>
      <c r="K19" s="252"/>
      <c r="L19" s="252"/>
      <c r="M19" s="355">
        <v>149</v>
      </c>
      <c r="N19" s="354"/>
      <c r="O19" s="254">
        <v>774</v>
      </c>
      <c r="P19" s="254"/>
      <c r="Q19" s="254"/>
      <c r="R19" s="254"/>
      <c r="S19" s="696">
        <v>753</v>
      </c>
      <c r="T19" s="704">
        <f t="shared" si="0"/>
        <v>662.1</v>
      </c>
      <c r="U19" s="266">
        <f t="shared" si="1"/>
        <v>1527</v>
      </c>
      <c r="V19" s="705">
        <f t="shared" si="4"/>
        <v>0.43359528487229865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662.1</v>
      </c>
      <c r="AT19" s="269">
        <f t="shared" si="7"/>
        <v>0</v>
      </c>
      <c r="AU19" s="337">
        <f t="shared" si="5"/>
        <v>37995.760000000002</v>
      </c>
    </row>
    <row r="20" spans="2:47" ht="14.25">
      <c r="B20" s="723">
        <v>43961</v>
      </c>
      <c r="C20" s="710"/>
      <c r="D20" s="719">
        <f t="shared" si="6"/>
        <v>37333.660000000003</v>
      </c>
      <c r="E20" s="271"/>
      <c r="F20" s="718"/>
      <c r="G20" s="712"/>
      <c r="H20" s="691">
        <v>201.21</v>
      </c>
      <c r="I20" s="267"/>
      <c r="J20" s="272"/>
      <c r="K20" s="252"/>
      <c r="L20" s="252"/>
      <c r="M20" s="654">
        <v>451.12</v>
      </c>
      <c r="N20" s="354">
        <v>636</v>
      </c>
      <c r="O20" s="254"/>
      <c r="P20" s="254"/>
      <c r="Q20" s="254"/>
      <c r="R20" s="254"/>
      <c r="S20" s="697">
        <v>815</v>
      </c>
      <c r="T20" s="704">
        <f t="shared" si="0"/>
        <v>652.33000000000004</v>
      </c>
      <c r="U20" s="266">
        <f t="shared" si="1"/>
        <v>1451</v>
      </c>
      <c r="V20" s="705">
        <f t="shared" si="4"/>
        <v>0.4495727084769125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652.33000000000004</v>
      </c>
      <c r="AT20" s="269">
        <f t="shared" si="7"/>
        <v>0</v>
      </c>
      <c r="AU20" s="337">
        <f t="shared" si="5"/>
        <v>37333.660000000003</v>
      </c>
    </row>
    <row r="21" spans="2:47" ht="14.25">
      <c r="B21" s="723">
        <v>43962</v>
      </c>
      <c r="C21" s="710"/>
      <c r="D21" s="719">
        <f t="shared" si="6"/>
        <v>36681.33</v>
      </c>
      <c r="E21" s="271"/>
      <c r="F21" s="718"/>
      <c r="G21" s="712"/>
      <c r="H21" s="691"/>
      <c r="I21" s="267">
        <v>370.95</v>
      </c>
      <c r="J21" s="272"/>
      <c r="K21" s="252"/>
      <c r="L21" s="252"/>
      <c r="M21" s="615">
        <v>304.44</v>
      </c>
      <c r="N21" s="354"/>
      <c r="O21" s="354">
        <v>783</v>
      </c>
      <c r="P21" s="254"/>
      <c r="Q21" s="254"/>
      <c r="R21" s="254"/>
      <c r="S21" s="696">
        <v>666</v>
      </c>
      <c r="T21" s="704">
        <f t="shared" si="0"/>
        <v>675.39</v>
      </c>
      <c r="U21" s="266">
        <f t="shared" si="1"/>
        <v>1449</v>
      </c>
      <c r="V21" s="705">
        <f t="shared" si="4"/>
        <v>0.46610766045548652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675.39</v>
      </c>
      <c r="AT21" s="269">
        <f t="shared" si="7"/>
        <v>0</v>
      </c>
      <c r="AU21" s="337">
        <f t="shared" si="5"/>
        <v>36681.33</v>
      </c>
    </row>
    <row r="22" spans="2:47" ht="14.25">
      <c r="B22" s="723">
        <v>43963</v>
      </c>
      <c r="C22" s="710"/>
      <c r="D22" s="719">
        <f t="shared" si="6"/>
        <v>46005.94</v>
      </c>
      <c r="E22" s="271">
        <v>10000</v>
      </c>
      <c r="F22" s="718">
        <v>10000</v>
      </c>
      <c r="G22" s="788" t="s">
        <v>312</v>
      </c>
      <c r="H22" s="691"/>
      <c r="I22" s="252">
        <v>318.31</v>
      </c>
      <c r="J22" s="272"/>
      <c r="K22" s="252"/>
      <c r="L22" s="252"/>
      <c r="M22" s="654">
        <v>400.7</v>
      </c>
      <c r="N22" s="354"/>
      <c r="O22" s="354">
        <v>765</v>
      </c>
      <c r="P22" s="254"/>
      <c r="Q22" s="254"/>
      <c r="R22" s="254"/>
      <c r="S22" s="696">
        <v>858</v>
      </c>
      <c r="T22" s="704">
        <f t="shared" si="0"/>
        <v>719.01</v>
      </c>
      <c r="U22" s="266">
        <f t="shared" si="1"/>
        <v>1623</v>
      </c>
      <c r="V22" s="705">
        <f t="shared" si="4"/>
        <v>0.4430129390018484</v>
      </c>
      <c r="W22" s="259"/>
      <c r="X22" s="267"/>
      <c r="Y22" s="243">
        <v>24.77</v>
      </c>
      <c r="Z22" s="267">
        <v>56.92</v>
      </c>
      <c r="AA22" s="252">
        <v>25.2</v>
      </c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106.89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825.9</v>
      </c>
      <c r="AT22" s="269">
        <f t="shared" si="7"/>
        <v>0</v>
      </c>
      <c r="AU22" s="337">
        <f t="shared" si="5"/>
        <v>46005.94</v>
      </c>
    </row>
    <row r="23" spans="2:47" ht="14.25">
      <c r="B23" s="723">
        <v>43964</v>
      </c>
      <c r="C23" s="710"/>
      <c r="D23" s="719">
        <f t="shared" si="6"/>
        <v>45180.04</v>
      </c>
      <c r="E23" s="271"/>
      <c r="F23" s="718"/>
      <c r="G23" s="712"/>
      <c r="H23" s="691">
        <v>326.19</v>
      </c>
      <c r="I23" s="267"/>
      <c r="J23" s="272"/>
      <c r="K23" s="252"/>
      <c r="L23" s="252"/>
      <c r="M23" s="654">
        <v>330</v>
      </c>
      <c r="N23" s="354">
        <v>694</v>
      </c>
      <c r="O23" s="254"/>
      <c r="P23" s="254"/>
      <c r="Q23" s="254"/>
      <c r="R23" s="254"/>
      <c r="S23" s="696">
        <v>858</v>
      </c>
      <c r="T23" s="704">
        <f t="shared" si="0"/>
        <v>656.19</v>
      </c>
      <c r="U23" s="266">
        <f t="shared" si="1"/>
        <v>1552</v>
      </c>
      <c r="V23" s="705">
        <f t="shared" si="4"/>
        <v>0.42280283505154642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656.19</v>
      </c>
      <c r="AT23" s="269">
        <f t="shared" si="7"/>
        <v>0</v>
      </c>
      <c r="AU23" s="337">
        <f t="shared" si="5"/>
        <v>45180.04</v>
      </c>
    </row>
    <row r="24" spans="2:47" ht="14.25">
      <c r="B24" s="723">
        <v>43965</v>
      </c>
      <c r="C24" s="710"/>
      <c r="D24" s="719">
        <f t="shared" si="6"/>
        <v>44523.85</v>
      </c>
      <c r="E24" s="251"/>
      <c r="F24" s="718"/>
      <c r="G24" s="712"/>
      <c r="H24" s="691"/>
      <c r="I24" s="267"/>
      <c r="J24" s="272"/>
      <c r="K24" s="252"/>
      <c r="L24" s="252"/>
      <c r="M24" s="654"/>
      <c r="N24" s="354"/>
      <c r="O24" s="354"/>
      <c r="P24" s="254"/>
      <c r="Q24" s="254"/>
      <c r="R24" s="254"/>
      <c r="S24" s="696"/>
      <c r="T24" s="704">
        <f t="shared" si="0"/>
        <v>0</v>
      </c>
      <c r="U24" s="266">
        <f t="shared" si="1"/>
        <v>0</v>
      </c>
      <c r="V24" s="705" t="e">
        <f t="shared" si="4"/>
        <v>#DIV/0!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7">
        <f t="shared" si="5"/>
        <v>44523.85</v>
      </c>
    </row>
    <row r="25" spans="2:47" ht="14.25">
      <c r="B25" s="723">
        <v>43966</v>
      </c>
      <c r="C25" s="710"/>
      <c r="D25" s="719">
        <f t="shared" si="6"/>
        <v>44523.85</v>
      </c>
      <c r="E25" s="271"/>
      <c r="F25" s="718"/>
      <c r="G25" s="712"/>
      <c r="H25" s="691"/>
      <c r="I25" s="267"/>
      <c r="J25" s="272"/>
      <c r="K25" s="252"/>
      <c r="L25" s="252"/>
      <c r="M25" s="654"/>
      <c r="N25" s="354"/>
      <c r="O25" s="254"/>
      <c r="P25" s="254"/>
      <c r="Q25" s="254"/>
      <c r="R25" s="254"/>
      <c r="S25" s="696"/>
      <c r="T25" s="704">
        <f t="shared" si="0"/>
        <v>0</v>
      </c>
      <c r="U25" s="266">
        <f t="shared" si="1"/>
        <v>0</v>
      </c>
      <c r="V25" s="705" t="e">
        <f t="shared" si="4"/>
        <v>#DIV/0!</v>
      </c>
      <c r="W25" s="259"/>
      <c r="X25" s="267"/>
      <c r="Y25" s="243"/>
      <c r="Z25" s="267"/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7">
        <f t="shared" si="5"/>
        <v>44523.85</v>
      </c>
    </row>
    <row r="26" spans="2:47" ht="14.25">
      <c r="B26" s="723">
        <v>43967</v>
      </c>
      <c r="C26" s="710"/>
      <c r="D26" s="719">
        <f t="shared" si="6"/>
        <v>44523.85</v>
      </c>
      <c r="E26" s="271"/>
      <c r="F26" s="718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44523.85</v>
      </c>
    </row>
    <row r="27" spans="2:47" ht="14.25">
      <c r="B27" s="723">
        <v>43968</v>
      </c>
      <c r="C27" s="710"/>
      <c r="D27" s="719">
        <f t="shared" si="6"/>
        <v>44523.85</v>
      </c>
      <c r="E27" s="271"/>
      <c r="F27" s="718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44523.85</v>
      </c>
    </row>
    <row r="28" spans="2:47" ht="14.25">
      <c r="B28" s="723">
        <v>43969</v>
      </c>
      <c r="C28" s="710"/>
      <c r="D28" s="719">
        <f t="shared" si="6"/>
        <v>44523.85</v>
      </c>
      <c r="E28" s="271"/>
      <c r="F28" s="718"/>
      <c r="G28" s="712"/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44523.85</v>
      </c>
    </row>
    <row r="29" spans="2:47" ht="14.25">
      <c r="B29" s="723">
        <v>43970</v>
      </c>
      <c r="C29" s="710"/>
      <c r="D29" s="719">
        <f t="shared" si="6"/>
        <v>44523.85</v>
      </c>
      <c r="E29" s="271"/>
      <c r="F29" s="718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44523.85</v>
      </c>
    </row>
    <row r="30" spans="2:47" ht="14.25">
      <c r="B30" s="723">
        <v>43971</v>
      </c>
      <c r="C30" s="710"/>
      <c r="D30" s="719">
        <f t="shared" si="6"/>
        <v>44523.85</v>
      </c>
      <c r="E30" s="271"/>
      <c r="F30" s="718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44523.85</v>
      </c>
    </row>
    <row r="31" spans="2:47" ht="14.25">
      <c r="B31" s="723">
        <v>43972</v>
      </c>
      <c r="C31" s="710"/>
      <c r="D31" s="719">
        <f t="shared" si="6"/>
        <v>44523.85</v>
      </c>
      <c r="E31" s="271"/>
      <c r="F31" s="718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44523.85</v>
      </c>
    </row>
    <row r="32" spans="2:47" ht="14.25">
      <c r="B32" s="723">
        <v>43973</v>
      </c>
      <c r="C32" s="710"/>
      <c r="D32" s="719">
        <f t="shared" si="6"/>
        <v>44523.85</v>
      </c>
      <c r="E32" s="271"/>
      <c r="F32" s="718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44523.85</v>
      </c>
    </row>
    <row r="33" spans="2:48" ht="14.25">
      <c r="B33" s="723">
        <v>43974</v>
      </c>
      <c r="C33" s="710"/>
      <c r="D33" s="719">
        <f t="shared" si="6"/>
        <v>44523.85</v>
      </c>
      <c r="E33" s="271"/>
      <c r="F33" s="718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44523.85</v>
      </c>
      <c r="AV33" s="225">
        <f t="shared" ref="AV33:AV41" si="8">SUM(AV32)</f>
        <v>0</v>
      </c>
    </row>
    <row r="34" spans="2:48" ht="14.25">
      <c r="B34" s="723">
        <v>43975</v>
      </c>
      <c r="C34" s="710"/>
      <c r="D34" s="719">
        <f t="shared" si="6"/>
        <v>44523.85</v>
      </c>
      <c r="E34" s="271"/>
      <c r="F34" s="718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44523.85</v>
      </c>
      <c r="AV34" s="225">
        <f t="shared" si="8"/>
        <v>0</v>
      </c>
    </row>
    <row r="35" spans="2:48" ht="14.25">
      <c r="B35" s="723">
        <v>43976</v>
      </c>
      <c r="C35" s="710"/>
      <c r="D35" s="719">
        <f t="shared" si="6"/>
        <v>44523.85</v>
      </c>
      <c r="E35" s="271"/>
      <c r="F35" s="718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44523.85</v>
      </c>
      <c r="AV35" s="225">
        <f t="shared" si="8"/>
        <v>0</v>
      </c>
    </row>
    <row r="36" spans="2:48" ht="14.25">
      <c r="B36" s="723">
        <v>43977</v>
      </c>
      <c r="C36" s="710"/>
      <c r="D36" s="719">
        <f t="shared" si="6"/>
        <v>44523.85</v>
      </c>
      <c r="E36" s="271"/>
      <c r="F36" s="718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44523.85</v>
      </c>
      <c r="AV36" s="225">
        <f t="shared" si="8"/>
        <v>0</v>
      </c>
    </row>
    <row r="37" spans="2:48" ht="14.25">
      <c r="B37" s="723">
        <v>43978</v>
      </c>
      <c r="C37" s="710"/>
      <c r="D37" s="719">
        <f t="shared" si="6"/>
        <v>44523.85</v>
      </c>
      <c r="E37" s="271"/>
      <c r="F37" s="718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44523.85</v>
      </c>
      <c r="AV37" s="225">
        <f t="shared" si="8"/>
        <v>0</v>
      </c>
    </row>
    <row r="38" spans="2:48" ht="14.25">
      <c r="B38" s="723">
        <v>43979</v>
      </c>
      <c r="C38" s="710"/>
      <c r="D38" s="719">
        <f t="shared" si="6"/>
        <v>44523.85</v>
      </c>
      <c r="E38" s="271"/>
      <c r="F38" s="718"/>
      <c r="G38" s="712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44523.85</v>
      </c>
      <c r="AV38" s="225">
        <f t="shared" si="8"/>
        <v>0</v>
      </c>
    </row>
    <row r="39" spans="2:48" ht="14.25">
      <c r="B39" s="723">
        <v>43980</v>
      </c>
      <c r="C39" s="710"/>
      <c r="D39" s="719">
        <f t="shared" si="6"/>
        <v>44523.85</v>
      </c>
      <c r="E39" s="271"/>
      <c r="F39" s="718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44523.85</v>
      </c>
      <c r="AV39" s="225">
        <f t="shared" si="8"/>
        <v>0</v>
      </c>
    </row>
    <row r="40" spans="2:48" ht="14.25">
      <c r="B40" s="723">
        <v>43981</v>
      </c>
      <c r="C40" s="710"/>
      <c r="D40" s="719">
        <f t="shared" si="6"/>
        <v>44523.85</v>
      </c>
      <c r="E40" s="271"/>
      <c r="F40" s="718">
        <v>15000</v>
      </c>
      <c r="G40" s="713" t="s">
        <v>319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44523.85</v>
      </c>
      <c r="AV40" s="225">
        <f t="shared" si="8"/>
        <v>0</v>
      </c>
    </row>
    <row r="41" spans="2:48" ht="14.25">
      <c r="B41" s="723">
        <v>43982</v>
      </c>
      <c r="C41" s="710"/>
      <c r="D41" s="719">
        <f t="shared" si="6"/>
        <v>44523.85</v>
      </c>
      <c r="E41" s="271"/>
      <c r="F41" s="718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44523.85</v>
      </c>
      <c r="AV41" s="225">
        <f t="shared" si="8"/>
        <v>0</v>
      </c>
    </row>
    <row r="42" spans="2:48" ht="14.25">
      <c r="B42" s="723">
        <v>43983</v>
      </c>
      <c r="C42" s="711"/>
      <c r="D42" s="719">
        <f t="shared" si="6"/>
        <v>44523.85</v>
      </c>
      <c r="E42" s="250"/>
      <c r="F42" s="718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44523.85</v>
      </c>
    </row>
    <row r="43" spans="2:48" ht="14.25">
      <c r="B43" s="616" t="s">
        <v>25</v>
      </c>
      <c r="C43" s="562" t="e">
        <f>AVERAGE(C11:C42)</f>
        <v>#DIV/0!</v>
      </c>
      <c r="D43" s="717">
        <f t="shared" si="6"/>
        <v>44523.85</v>
      </c>
      <c r="E43" s="250"/>
      <c r="F43" s="718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44523.85</v>
      </c>
    </row>
    <row r="44" spans="2:48" ht="15" thickBot="1">
      <c r="B44" s="617"/>
      <c r="C44" s="618"/>
      <c r="D44" s="720"/>
      <c r="E44" s="721"/>
      <c r="F44" s="722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10000</v>
      </c>
      <c r="F45" s="372">
        <f>SUM(F11:F42)</f>
        <v>25000</v>
      </c>
      <c r="G45" s="373">
        <f t="shared" ref="G45" si="9">SUM(G11:G44)</f>
        <v>0</v>
      </c>
      <c r="H45" s="372">
        <f>SUM(H11:H44)</f>
        <v>2363.6499999999996</v>
      </c>
      <c r="I45" s="367">
        <f t="shared" ref="I45:P45" si="10">SUM(I11:I44)</f>
        <v>3417.02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2819.77</v>
      </c>
      <c r="N45" s="372">
        <f t="shared" si="10"/>
        <v>5794</v>
      </c>
      <c r="O45" s="684">
        <f t="shared" si="10"/>
        <v>5816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6674</v>
      </c>
      <c r="T45" s="681">
        <f t="shared" si="0"/>
        <v>8600.44</v>
      </c>
      <c r="U45" s="367">
        <f>SUM(N45:S45)</f>
        <v>18284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78.849999999999994</v>
      </c>
      <c r="Z45" s="283">
        <f t="shared" si="11"/>
        <v>59.25</v>
      </c>
      <c r="AA45" s="676">
        <f t="shared" si="11"/>
        <v>105.3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243.39999999999998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8843.84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19910018.600000001</v>
      </c>
      <c r="V47" s="377" t="s">
        <v>244</v>
      </c>
      <c r="AS47" s="644">
        <f>AS45*2143</f>
        <v>18952349.120000001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8698.1295762341633</v>
      </c>
      <c r="V48" s="377" t="s">
        <v>245</v>
      </c>
      <c r="X48" s="236"/>
      <c r="Y48" s="236"/>
      <c r="Z48" s="236"/>
      <c r="AA48" s="236"/>
      <c r="AB48" s="236"/>
      <c r="AS48" s="376">
        <f>AS47/2289</f>
        <v>8279.7505985146363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7" t="s">
        <v>241</v>
      </c>
      <c r="D50" s="828"/>
      <c r="E50" s="828"/>
      <c r="F50" s="828"/>
      <c r="G50" s="829"/>
      <c r="H50" s="655"/>
      <c r="I50" s="830" t="s">
        <v>213</v>
      </c>
      <c r="J50" s="831"/>
      <c r="K50" s="831"/>
      <c r="L50" s="831"/>
      <c r="M50" s="832"/>
      <c r="N50" s="655"/>
      <c r="O50" s="845" t="s">
        <v>311</v>
      </c>
      <c r="P50" s="846"/>
      <c r="Q50" s="846"/>
      <c r="R50" s="846"/>
      <c r="S50" s="847"/>
      <c r="U50" s="848" t="s">
        <v>226</v>
      </c>
      <c r="V50" s="849"/>
      <c r="W50" s="849"/>
      <c r="X50" s="849"/>
      <c r="Y50" s="849"/>
      <c r="Z50" s="850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26" sqref="F26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2"/>
      <c r="D6" s="853"/>
      <c r="E6" s="854"/>
      <c r="F6" s="854"/>
      <c r="G6" s="49" t="s">
        <v>4</v>
      </c>
      <c r="H6" s="47" t="s">
        <v>14</v>
      </c>
      <c r="I6" s="42"/>
      <c r="J6" s="116"/>
    </row>
    <row r="7" spans="1:15" ht="18" customHeight="1">
      <c r="A7" s="855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6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43</v>
      </c>
      <c r="E9" s="321"/>
      <c r="F9" s="321">
        <v>71166.03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41</v>
      </c>
      <c r="E10" s="321"/>
      <c r="F10" s="321">
        <v>71173.98</v>
      </c>
      <c r="G10" s="321">
        <f t="shared" ref="G10:G40" si="0">(F10-F9)*4.4</f>
        <v>34.9799999999872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39</v>
      </c>
      <c r="E11" s="321"/>
      <c r="F11" s="321">
        <v>71178.47</v>
      </c>
      <c r="G11" s="321">
        <f t="shared" si="0"/>
        <v>19.75600000002305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>
        <v>85</v>
      </c>
      <c r="C12" s="321">
        <v>83</v>
      </c>
      <c r="D12" s="321">
        <v>37</v>
      </c>
      <c r="E12" s="321"/>
      <c r="F12" s="321">
        <v>71184.600000000006</v>
      </c>
      <c r="G12" s="321">
        <f t="shared" si="0"/>
        <v>26.97200000002049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>
        <v>85</v>
      </c>
      <c r="C13" s="321">
        <v>83</v>
      </c>
      <c r="D13" s="321">
        <v>36</v>
      </c>
      <c r="E13" s="321"/>
      <c r="F13" s="321">
        <v>71190.600000000006</v>
      </c>
      <c r="G13" s="321">
        <f t="shared" si="0"/>
        <v>26.400000000000002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>
        <v>85</v>
      </c>
      <c r="C14" s="321">
        <v>83</v>
      </c>
      <c r="D14" s="321">
        <v>35</v>
      </c>
      <c r="E14" s="321"/>
      <c r="F14" s="321">
        <v>71195.7</v>
      </c>
      <c r="G14" s="321">
        <f t="shared" si="0"/>
        <v>22.439999999961586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>
        <v>85</v>
      </c>
      <c r="C15" s="321">
        <v>83</v>
      </c>
      <c r="D15" s="321">
        <v>34</v>
      </c>
      <c r="E15" s="321"/>
      <c r="F15" s="321">
        <v>71199.02</v>
      </c>
      <c r="G15" s="321">
        <f t="shared" si="0"/>
        <v>14.608000000030735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>
        <v>85</v>
      </c>
      <c r="C16" s="321">
        <v>83</v>
      </c>
      <c r="D16" s="321">
        <v>32</v>
      </c>
      <c r="E16" s="321"/>
      <c r="F16" s="321">
        <v>71206.350000000006</v>
      </c>
      <c r="G16" s="321">
        <f t="shared" si="0"/>
        <v>32.252000000007683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>
        <v>85</v>
      </c>
      <c r="C17" s="321">
        <v>83</v>
      </c>
      <c r="D17" s="321">
        <v>30</v>
      </c>
      <c r="E17" s="321"/>
      <c r="F17" s="321">
        <v>71214.429999999993</v>
      </c>
      <c r="G17" s="321">
        <f t="shared" si="0"/>
        <v>35.551999999943661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>
        <v>85</v>
      </c>
      <c r="C18" s="321">
        <v>83</v>
      </c>
      <c r="D18" s="321">
        <v>28</v>
      </c>
      <c r="E18" s="321"/>
      <c r="F18" s="321">
        <v>71221</v>
      </c>
      <c r="G18" s="321">
        <f t="shared" si="0"/>
        <v>28.908000000030736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>
        <v>85</v>
      </c>
      <c r="C19" s="321">
        <v>83</v>
      </c>
      <c r="D19" s="321">
        <v>25</v>
      </c>
      <c r="E19" s="321"/>
      <c r="F19" s="321">
        <v>71231.259999999995</v>
      </c>
      <c r="G19" s="321">
        <f t="shared" si="0"/>
        <v>45.143999999976955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>
        <v>85</v>
      </c>
      <c r="C20" s="321">
        <v>83</v>
      </c>
      <c r="D20" s="321">
        <v>21</v>
      </c>
      <c r="E20" s="321"/>
      <c r="F20" s="321">
        <v>71240.100000000006</v>
      </c>
      <c r="G20" s="321">
        <f t="shared" si="0"/>
        <v>38.896000000048666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>
        <v>85</v>
      </c>
      <c r="C21" s="321">
        <v>83</v>
      </c>
      <c r="D21" s="321">
        <v>20</v>
      </c>
      <c r="E21" s="321"/>
      <c r="F21" s="321">
        <v>71246.240000000005</v>
      </c>
      <c r="G21" s="321">
        <f t="shared" si="0"/>
        <v>27.01599999999744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>
        <v>85</v>
      </c>
      <c r="C22" s="321">
        <v>83</v>
      </c>
      <c r="D22" s="321">
        <v>18</v>
      </c>
      <c r="E22" s="321"/>
      <c r="F22" s="321">
        <v>71252.88</v>
      </c>
      <c r="G22" s="321">
        <f t="shared" si="0"/>
        <v>29.21599999999744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/>
      <c r="C23" s="321"/>
      <c r="D23" s="321"/>
      <c r="E23" s="321"/>
      <c r="F23" s="321"/>
      <c r="G23" s="321">
        <f t="shared" si="0"/>
        <v>-313512.67200000002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/>
      <c r="C24" s="321"/>
      <c r="D24" s="321"/>
      <c r="E24" s="321"/>
      <c r="F24" s="321"/>
      <c r="G24" s="321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1" t="s">
        <v>6</v>
      </c>
      <c r="D42" s="851"/>
      <c r="E42" s="2">
        <f t="shared" ref="E42:F42" si="4">SUM(E10:E40)</f>
        <v>0</v>
      </c>
      <c r="F42" s="2">
        <f t="shared" si="4"/>
        <v>925734.63000000012</v>
      </c>
      <c r="G42" s="104">
        <f>SUM(G10:G40)</f>
        <v>-313130.53200000001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7" zoomScale="94" zoomScaleNormal="94" workbookViewId="0">
      <pane xSplit="1" topLeftCell="B1" activePane="topRight" state="frozen"/>
      <selection pane="topRight" activeCell="G65" sqref="G65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6" t="s">
        <v>315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7"/>
      <c r="AL1" s="877"/>
      <c r="AM1" s="877"/>
      <c r="AN1" s="877"/>
    </row>
    <row r="2" spans="1:40" ht="13.5" customHeight="1" thickTop="1">
      <c r="A2" s="30"/>
      <c r="B2" s="30"/>
      <c r="C2" s="875" t="s">
        <v>52</v>
      </c>
      <c r="D2" s="875"/>
      <c r="E2" s="875"/>
      <c r="F2" s="875" t="s">
        <v>17</v>
      </c>
      <c r="G2" s="875"/>
      <c r="H2" s="875"/>
      <c r="I2" s="875" t="s">
        <v>131</v>
      </c>
      <c r="J2" s="875"/>
      <c r="K2" s="875"/>
      <c r="L2" s="875" t="s">
        <v>134</v>
      </c>
      <c r="M2" s="875"/>
      <c r="N2" s="875"/>
      <c r="O2" s="875" t="s">
        <v>132</v>
      </c>
      <c r="P2" s="875"/>
      <c r="Q2" s="875"/>
      <c r="R2" s="301"/>
      <c r="S2" s="884" t="s">
        <v>181</v>
      </c>
      <c r="T2" s="885"/>
      <c r="U2" s="886"/>
      <c r="V2" s="884" t="s">
        <v>182</v>
      </c>
      <c r="W2" s="885"/>
      <c r="X2" s="886"/>
      <c r="Y2" s="884" t="s">
        <v>183</v>
      </c>
      <c r="Z2" s="885"/>
      <c r="AA2" s="886"/>
      <c r="AB2" s="884" t="s">
        <v>184</v>
      </c>
      <c r="AC2" s="885"/>
      <c r="AD2" s="886"/>
      <c r="AE2" s="878" t="s">
        <v>239</v>
      </c>
      <c r="AF2" s="879"/>
      <c r="AG2" s="890"/>
      <c r="AH2" s="878" t="s">
        <v>243</v>
      </c>
      <c r="AI2" s="879"/>
      <c r="AJ2" s="890"/>
      <c r="AK2" s="878" t="s">
        <v>240</v>
      </c>
      <c r="AL2" s="879"/>
      <c r="AM2" s="879"/>
      <c r="AN2" s="882" t="s">
        <v>189</v>
      </c>
    </row>
    <row r="3" spans="1:40" ht="21.75" customHeight="1" thickBot="1">
      <c r="A3" s="873" t="s">
        <v>7</v>
      </c>
      <c r="B3" s="30"/>
      <c r="C3" s="875" t="s">
        <v>133</v>
      </c>
      <c r="D3" s="875" t="s">
        <v>15</v>
      </c>
      <c r="E3" s="875" t="s">
        <v>16</v>
      </c>
      <c r="F3" s="875" t="s">
        <v>133</v>
      </c>
      <c r="G3" s="875" t="s">
        <v>15</v>
      </c>
      <c r="H3" s="875" t="s">
        <v>16</v>
      </c>
      <c r="I3" s="875" t="s">
        <v>133</v>
      </c>
      <c r="J3" s="875" t="s">
        <v>15</v>
      </c>
      <c r="K3" s="875" t="s">
        <v>16</v>
      </c>
      <c r="L3" s="875" t="s">
        <v>133</v>
      </c>
      <c r="M3" s="875" t="s">
        <v>15</v>
      </c>
      <c r="N3" s="875" t="s">
        <v>16</v>
      </c>
      <c r="O3" s="875" t="s">
        <v>133</v>
      </c>
      <c r="P3" s="875" t="s">
        <v>15</v>
      </c>
      <c r="Q3" s="875" t="s">
        <v>16</v>
      </c>
      <c r="R3" s="892" t="s">
        <v>185</v>
      </c>
      <c r="S3" s="887"/>
      <c r="T3" s="888"/>
      <c r="U3" s="889"/>
      <c r="V3" s="887"/>
      <c r="W3" s="888"/>
      <c r="X3" s="889"/>
      <c r="Y3" s="887"/>
      <c r="Z3" s="888"/>
      <c r="AA3" s="889"/>
      <c r="AB3" s="887"/>
      <c r="AC3" s="888"/>
      <c r="AD3" s="889"/>
      <c r="AE3" s="880"/>
      <c r="AF3" s="881"/>
      <c r="AG3" s="891"/>
      <c r="AH3" s="880"/>
      <c r="AI3" s="881"/>
      <c r="AJ3" s="891"/>
      <c r="AK3" s="880"/>
      <c r="AL3" s="881"/>
      <c r="AM3" s="881"/>
      <c r="AN3" s="883"/>
    </row>
    <row r="4" spans="1:40" ht="15.75" thickTop="1">
      <c r="A4" s="874"/>
      <c r="B4" s="293"/>
      <c r="C4" s="875"/>
      <c r="D4" s="875"/>
      <c r="E4" s="875"/>
      <c r="F4" s="875"/>
      <c r="G4" s="875"/>
      <c r="H4" s="875"/>
      <c r="I4" s="875"/>
      <c r="J4" s="875"/>
      <c r="K4" s="875"/>
      <c r="L4" s="875"/>
      <c r="M4" s="875"/>
      <c r="N4" s="875"/>
      <c r="O4" s="875"/>
      <c r="P4" s="875"/>
      <c r="Q4" s="875"/>
      <c r="R4" s="892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233795</v>
      </c>
      <c r="E5" s="59">
        <f t="shared" ref="E5:E15" si="1">IF((D5-D4)&lt;0,"0",(D5-D4))</f>
        <v>233795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>
        <f t="shared" ref="K5:K27" si="5">IF((J5-J4)&lt;0,"0",(J5-J4))</f>
        <v>7903</v>
      </c>
      <c r="L5" s="98">
        <f t="shared" ref="L5:L24" si="6">M4</f>
        <v>0</v>
      </c>
      <c r="M5" s="1">
        <v>11978</v>
      </c>
      <c r="N5" s="567">
        <f t="shared" ref="N5:N24" si="7">IF((M5-M4)&lt;0,"0",(M5-M4))</f>
        <v>11978</v>
      </c>
      <c r="O5" s="98">
        <f t="shared" ref="O5:O24" si="8">P4</f>
        <v>0</v>
      </c>
      <c r="P5" s="454">
        <v>20131</v>
      </c>
      <c r="Q5" s="567">
        <f t="shared" ref="Q5:Q24" si="9">IF((P5-P4)&lt;0,"0",(P5-P4))</f>
        <v>20131</v>
      </c>
      <c r="R5" s="295"/>
      <c r="S5" s="294"/>
      <c r="T5" s="455">
        <v>52462</v>
      </c>
      <c r="U5" s="294"/>
      <c r="V5" s="294" t="str">
        <f t="shared" ref="V5:V20" si="10">W4</f>
        <v>FINAL</v>
      </c>
      <c r="W5" s="455">
        <v>71260</v>
      </c>
      <c r="X5" s="295"/>
      <c r="Y5" s="294" t="str">
        <f t="shared" ref="Y5:Y37" si="11">Z4</f>
        <v>FINAL</v>
      </c>
      <c r="Z5" s="455">
        <v>80538</v>
      </c>
      <c r="AA5" s="295"/>
      <c r="AB5" s="294" t="str">
        <f t="shared" ref="AB5:AB37" si="12">AC4</f>
        <v>FINAL</v>
      </c>
      <c r="AC5" s="295">
        <v>13624</v>
      </c>
      <c r="AD5" s="309"/>
      <c r="AE5" s="294" t="str">
        <f t="shared" ref="AE5:AE37" si="13">AF4</f>
        <v>FINAL</v>
      </c>
      <c r="AF5" s="456">
        <v>17880</v>
      </c>
      <c r="AG5" s="309"/>
      <c r="AH5" s="294" t="str">
        <f t="shared" ref="AH5:AH37" si="14">AI4</f>
        <v>FINAL</v>
      </c>
      <c r="AI5" s="456">
        <v>24546</v>
      </c>
      <c r="AJ5" s="309"/>
      <c r="AK5" s="375" t="str">
        <f t="shared" ref="AK5:AK37" si="15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233795</v>
      </c>
      <c r="D6" s="1">
        <v>233826</v>
      </c>
      <c r="E6" s="59">
        <f t="shared" si="1"/>
        <v>31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>
        <f t="shared" si="5"/>
        <v>1</v>
      </c>
      <c r="L6" s="98">
        <f t="shared" si="6"/>
        <v>11978</v>
      </c>
      <c r="M6" s="1">
        <v>11978</v>
      </c>
      <c r="N6" s="567">
        <f t="shared" si="7"/>
        <v>0</v>
      </c>
      <c r="O6" s="98">
        <f t="shared" si="8"/>
        <v>20131</v>
      </c>
      <c r="P6" s="454">
        <v>20132</v>
      </c>
      <c r="Q6" s="567">
        <f t="shared" si="9"/>
        <v>1</v>
      </c>
      <c r="R6" s="299"/>
      <c r="S6" s="294">
        <f t="shared" ref="S6:S24" si="16">T5</f>
        <v>52462</v>
      </c>
      <c r="T6" s="455">
        <v>52462</v>
      </c>
      <c r="U6" s="568">
        <f t="shared" ref="U6:U24" si="17">IF((T6-T5)&lt;0,"0",(T6-T5))</f>
        <v>0</v>
      </c>
      <c r="V6" s="294">
        <f t="shared" si="10"/>
        <v>71260</v>
      </c>
      <c r="W6" s="455">
        <v>71260</v>
      </c>
      <c r="X6" s="568">
        <f t="shared" ref="X6:X37" si="18">IF((W6-W5)&lt;0,"0",(W6-W5))</f>
        <v>0</v>
      </c>
      <c r="Y6" s="294">
        <f t="shared" si="11"/>
        <v>80538</v>
      </c>
      <c r="Z6" s="455">
        <v>80538</v>
      </c>
      <c r="AA6" s="568">
        <f t="shared" ref="AA6:AA37" si="19">IF((Z6-Z5)&lt;0,"0",(Z6-Z5))</f>
        <v>0</v>
      </c>
      <c r="AB6" s="294">
        <f t="shared" si="12"/>
        <v>13624</v>
      </c>
      <c r="AC6" s="571">
        <v>13645</v>
      </c>
      <c r="AD6" s="568">
        <f t="shared" ref="AD6:AD37" si="20">IF((AC6-AC5)&lt;0,"0",(AC6-AC5))</f>
        <v>21</v>
      </c>
      <c r="AE6" s="294">
        <f t="shared" si="13"/>
        <v>17880</v>
      </c>
      <c r="AF6" s="456">
        <v>17905</v>
      </c>
      <c r="AG6" s="568">
        <f t="shared" ref="AG6:AG37" si="21">IF((AF6-AF5)&lt;0,"0",(AF6-AF5))</f>
        <v>25</v>
      </c>
      <c r="AH6" s="294">
        <f t="shared" si="14"/>
        <v>24546</v>
      </c>
      <c r="AI6" s="636">
        <v>24546</v>
      </c>
      <c r="AJ6" s="568">
        <f>IF((AI7-AI5)&lt;0,"0",(AI7-AI5))</f>
        <v>0</v>
      </c>
      <c r="AK6" s="375">
        <f t="shared" si="15"/>
        <v>15154</v>
      </c>
      <c r="AL6" s="455">
        <v>15154</v>
      </c>
      <c r="AM6" s="568">
        <f t="shared" ref="AM6:AM37" si="22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233826</v>
      </c>
      <c r="D7" s="1">
        <v>233857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>
        <f t="shared" si="5"/>
        <v>0</v>
      </c>
      <c r="L7" s="98">
        <f t="shared" si="6"/>
        <v>11978</v>
      </c>
      <c r="M7" s="1">
        <v>11978</v>
      </c>
      <c r="N7" s="567">
        <f t="shared" si="7"/>
        <v>0</v>
      </c>
      <c r="O7" s="98">
        <f t="shared" si="8"/>
        <v>20132</v>
      </c>
      <c r="P7" s="454">
        <v>20133</v>
      </c>
      <c r="Q7" s="567">
        <f t="shared" si="9"/>
        <v>1</v>
      </c>
      <c r="R7" s="299"/>
      <c r="S7" s="294">
        <f t="shared" si="16"/>
        <v>52462</v>
      </c>
      <c r="T7" s="455">
        <v>52462</v>
      </c>
      <c r="U7" s="568">
        <f t="shared" si="17"/>
        <v>0</v>
      </c>
      <c r="V7" s="294">
        <f t="shared" si="10"/>
        <v>71260</v>
      </c>
      <c r="W7" s="455">
        <v>71260</v>
      </c>
      <c r="X7" s="568">
        <f t="shared" si="18"/>
        <v>0</v>
      </c>
      <c r="Y7" s="294">
        <f t="shared" si="11"/>
        <v>80538</v>
      </c>
      <c r="Z7" s="455">
        <v>80538</v>
      </c>
      <c r="AA7" s="568">
        <f t="shared" si="19"/>
        <v>0</v>
      </c>
      <c r="AB7" s="294">
        <f t="shared" si="12"/>
        <v>13645</v>
      </c>
      <c r="AC7" s="571">
        <v>13665</v>
      </c>
      <c r="AD7" s="568">
        <f t="shared" si="20"/>
        <v>20</v>
      </c>
      <c r="AE7" s="294">
        <f t="shared" si="13"/>
        <v>17905</v>
      </c>
      <c r="AF7" s="456">
        <v>17931</v>
      </c>
      <c r="AG7" s="568">
        <f t="shared" si="21"/>
        <v>26</v>
      </c>
      <c r="AH7" s="294">
        <f t="shared" si="14"/>
        <v>24546</v>
      </c>
      <c r="AI7" s="636">
        <v>24546</v>
      </c>
      <c r="AJ7" s="568">
        <f t="shared" ref="AJ7:AJ37" si="23">IF((AI8-AI6)&lt;0,"0",(AI8-AI6))</f>
        <v>0</v>
      </c>
      <c r="AK7" s="375">
        <f t="shared" si="15"/>
        <v>15154</v>
      </c>
      <c r="AL7" s="455">
        <v>15154</v>
      </c>
      <c r="AM7" s="568">
        <f t="shared" si="22"/>
        <v>0</v>
      </c>
      <c r="AN7" s="460">
        <f t="shared" ref="AN7:AN36" si="24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233857</v>
      </c>
      <c r="D8" s="1">
        <v>233904</v>
      </c>
      <c r="E8" s="59">
        <f t="shared" si="1"/>
        <v>47</v>
      </c>
      <c r="F8" s="98">
        <f t="shared" si="2"/>
        <v>38000</v>
      </c>
      <c r="G8" s="458">
        <v>38000</v>
      </c>
      <c r="H8" s="567">
        <f t="shared" si="3"/>
        <v>0</v>
      </c>
      <c r="I8" s="98">
        <f t="shared" si="4"/>
        <v>7904</v>
      </c>
      <c r="J8" s="1">
        <v>7905</v>
      </c>
      <c r="K8" s="567">
        <f t="shared" si="5"/>
        <v>1</v>
      </c>
      <c r="L8" s="98">
        <f t="shared" si="6"/>
        <v>11978</v>
      </c>
      <c r="M8" s="1">
        <v>11978</v>
      </c>
      <c r="N8" s="567">
        <f t="shared" si="7"/>
        <v>0</v>
      </c>
      <c r="O8" s="98">
        <f t="shared" si="8"/>
        <v>20133</v>
      </c>
      <c r="P8" s="454">
        <v>20133</v>
      </c>
      <c r="Q8" s="567">
        <f t="shared" si="9"/>
        <v>0</v>
      </c>
      <c r="R8" s="299"/>
      <c r="S8" s="294">
        <f t="shared" si="16"/>
        <v>52462</v>
      </c>
      <c r="T8" s="455">
        <v>52462</v>
      </c>
      <c r="U8" s="568">
        <f t="shared" si="17"/>
        <v>0</v>
      </c>
      <c r="V8" s="294">
        <f t="shared" si="10"/>
        <v>71260</v>
      </c>
      <c r="W8" s="455">
        <v>71260</v>
      </c>
      <c r="X8" s="568">
        <f t="shared" si="18"/>
        <v>0</v>
      </c>
      <c r="Y8" s="294">
        <f t="shared" si="11"/>
        <v>80538</v>
      </c>
      <c r="Z8" s="455">
        <v>80538</v>
      </c>
      <c r="AA8" s="568">
        <f t="shared" si="19"/>
        <v>0</v>
      </c>
      <c r="AB8" s="294">
        <f t="shared" si="12"/>
        <v>13665</v>
      </c>
      <c r="AC8" s="571">
        <v>13689</v>
      </c>
      <c r="AD8" s="568">
        <f t="shared" si="20"/>
        <v>24</v>
      </c>
      <c r="AE8" s="294">
        <f t="shared" si="13"/>
        <v>17931</v>
      </c>
      <c r="AF8" s="456">
        <v>17956</v>
      </c>
      <c r="AG8" s="568">
        <f t="shared" si="21"/>
        <v>25</v>
      </c>
      <c r="AH8" s="294">
        <f t="shared" si="14"/>
        <v>24546</v>
      </c>
      <c r="AI8" s="636">
        <v>24546</v>
      </c>
      <c r="AJ8" s="568">
        <f t="shared" si="23"/>
        <v>0</v>
      </c>
      <c r="AK8" s="375">
        <f t="shared" si="15"/>
        <v>15154</v>
      </c>
      <c r="AL8" s="455">
        <v>15154</v>
      </c>
      <c r="AM8" s="568">
        <f t="shared" si="22"/>
        <v>0</v>
      </c>
      <c r="AN8" s="460">
        <f t="shared" si="24"/>
        <v>49</v>
      </c>
    </row>
    <row r="9" spans="1:40" ht="23.1" customHeight="1">
      <c r="A9" s="58">
        <f>Gen!B14</f>
        <v>43955</v>
      </c>
      <c r="B9" s="4"/>
      <c r="C9" s="98">
        <f t="shared" si="0"/>
        <v>233904</v>
      </c>
      <c r="D9" s="1">
        <v>233935</v>
      </c>
      <c r="E9" s="59">
        <f t="shared" si="1"/>
        <v>31</v>
      </c>
      <c r="F9" s="98">
        <f t="shared" si="2"/>
        <v>38000</v>
      </c>
      <c r="G9" s="458">
        <v>38000</v>
      </c>
      <c r="H9" s="567">
        <f t="shared" si="3"/>
        <v>0</v>
      </c>
      <c r="I9" s="98">
        <f t="shared" si="4"/>
        <v>7905</v>
      </c>
      <c r="J9" s="1">
        <v>7905</v>
      </c>
      <c r="K9" s="567">
        <f t="shared" si="5"/>
        <v>0</v>
      </c>
      <c r="L9" s="98">
        <f t="shared" si="6"/>
        <v>11978</v>
      </c>
      <c r="M9" s="1">
        <v>11978</v>
      </c>
      <c r="N9" s="567">
        <f t="shared" si="7"/>
        <v>0</v>
      </c>
      <c r="O9" s="98">
        <f t="shared" si="8"/>
        <v>20133</v>
      </c>
      <c r="P9" s="454">
        <v>20134</v>
      </c>
      <c r="Q9" s="567">
        <f t="shared" si="9"/>
        <v>1</v>
      </c>
      <c r="R9" s="299"/>
      <c r="S9" s="294">
        <f t="shared" si="16"/>
        <v>52462</v>
      </c>
      <c r="T9" s="455">
        <v>52462</v>
      </c>
      <c r="U9" s="568">
        <f t="shared" si="17"/>
        <v>0</v>
      </c>
      <c r="V9" s="294">
        <f t="shared" si="10"/>
        <v>71260</v>
      </c>
      <c r="W9" s="455">
        <v>71260</v>
      </c>
      <c r="X9" s="568">
        <f t="shared" si="18"/>
        <v>0</v>
      </c>
      <c r="Y9" s="294">
        <f t="shared" si="11"/>
        <v>80538</v>
      </c>
      <c r="Z9" s="455">
        <v>80538</v>
      </c>
      <c r="AA9" s="568">
        <f t="shared" si="19"/>
        <v>0</v>
      </c>
      <c r="AB9" s="294">
        <f t="shared" si="12"/>
        <v>13689</v>
      </c>
      <c r="AC9" s="571">
        <v>13711</v>
      </c>
      <c r="AD9" s="568">
        <f t="shared" si="20"/>
        <v>22</v>
      </c>
      <c r="AE9" s="294">
        <f t="shared" si="13"/>
        <v>17956</v>
      </c>
      <c r="AF9" s="456">
        <v>17976</v>
      </c>
      <c r="AG9" s="568">
        <f t="shared" si="21"/>
        <v>20</v>
      </c>
      <c r="AH9" s="294">
        <f t="shared" ref="AH9" si="25">AI9</f>
        <v>24546</v>
      </c>
      <c r="AI9" s="636">
        <v>24546</v>
      </c>
      <c r="AJ9" s="568">
        <f t="shared" si="23"/>
        <v>0</v>
      </c>
      <c r="AK9" s="375">
        <f t="shared" si="15"/>
        <v>15154</v>
      </c>
      <c r="AL9" s="455">
        <v>15154</v>
      </c>
      <c r="AM9" s="568">
        <f t="shared" si="22"/>
        <v>0</v>
      </c>
      <c r="AN9" s="460">
        <f t="shared" si="24"/>
        <v>42</v>
      </c>
    </row>
    <row r="10" spans="1:40" ht="23.1" customHeight="1">
      <c r="A10" s="58">
        <f>Gen!B15</f>
        <v>43956</v>
      </c>
      <c r="B10" s="4"/>
      <c r="C10" s="98">
        <f t="shared" si="0"/>
        <v>233935</v>
      </c>
      <c r="D10" s="1">
        <v>233965</v>
      </c>
      <c r="E10" s="59">
        <f t="shared" si="1"/>
        <v>30</v>
      </c>
      <c r="F10" s="98">
        <f t="shared" si="2"/>
        <v>38000</v>
      </c>
      <c r="G10" s="458">
        <v>38000</v>
      </c>
      <c r="H10" s="567">
        <f t="shared" si="3"/>
        <v>0</v>
      </c>
      <c r="I10" s="98">
        <f t="shared" si="4"/>
        <v>7905</v>
      </c>
      <c r="J10" s="1">
        <v>7906</v>
      </c>
      <c r="K10" s="567">
        <f t="shared" si="5"/>
        <v>1</v>
      </c>
      <c r="L10" s="98">
        <f t="shared" si="6"/>
        <v>11978</v>
      </c>
      <c r="M10" s="1">
        <v>11978</v>
      </c>
      <c r="N10" s="567">
        <f t="shared" si="7"/>
        <v>0</v>
      </c>
      <c r="O10" s="98">
        <f t="shared" si="8"/>
        <v>20134</v>
      </c>
      <c r="P10" s="454">
        <v>20134</v>
      </c>
      <c r="Q10" s="567">
        <f t="shared" si="9"/>
        <v>0</v>
      </c>
      <c r="R10" s="299"/>
      <c r="S10" s="294">
        <f t="shared" si="16"/>
        <v>52462</v>
      </c>
      <c r="T10" s="455">
        <v>52532</v>
      </c>
      <c r="U10" s="568">
        <f t="shared" si="17"/>
        <v>70</v>
      </c>
      <c r="V10" s="294">
        <f t="shared" si="10"/>
        <v>71260</v>
      </c>
      <c r="W10" s="455">
        <v>71260</v>
      </c>
      <c r="X10" s="568">
        <f t="shared" si="18"/>
        <v>0</v>
      </c>
      <c r="Y10" s="294">
        <f t="shared" si="11"/>
        <v>80538</v>
      </c>
      <c r="Z10" s="455">
        <v>80538</v>
      </c>
      <c r="AA10" s="568">
        <f t="shared" si="19"/>
        <v>0</v>
      </c>
      <c r="AB10" s="294">
        <f t="shared" si="12"/>
        <v>13711</v>
      </c>
      <c r="AC10" s="571">
        <v>13732</v>
      </c>
      <c r="AD10" s="568">
        <f t="shared" si="20"/>
        <v>21</v>
      </c>
      <c r="AE10" s="294">
        <f t="shared" si="13"/>
        <v>17976</v>
      </c>
      <c r="AF10" s="456">
        <v>17976</v>
      </c>
      <c r="AG10" s="568">
        <f t="shared" si="21"/>
        <v>0</v>
      </c>
      <c r="AH10" s="294">
        <f t="shared" si="14"/>
        <v>24546</v>
      </c>
      <c r="AI10" s="636">
        <v>24546</v>
      </c>
      <c r="AJ10" s="568">
        <f t="shared" si="23"/>
        <v>0</v>
      </c>
      <c r="AK10" s="375">
        <f t="shared" si="15"/>
        <v>15154</v>
      </c>
      <c r="AL10" s="455">
        <v>15154</v>
      </c>
      <c r="AM10" s="568">
        <f t="shared" si="22"/>
        <v>0</v>
      </c>
      <c r="AN10" s="460">
        <f t="shared" si="24"/>
        <v>91</v>
      </c>
    </row>
    <row r="11" spans="1:40" ht="23.1" customHeight="1">
      <c r="A11" s="58">
        <f>Gen!B16</f>
        <v>43957</v>
      </c>
      <c r="B11" s="4"/>
      <c r="C11" s="98">
        <f t="shared" si="0"/>
        <v>233965</v>
      </c>
      <c r="D11" s="1">
        <v>233998</v>
      </c>
      <c r="E11" s="59">
        <f t="shared" si="1"/>
        <v>33</v>
      </c>
      <c r="F11" s="98">
        <f t="shared" si="2"/>
        <v>38000</v>
      </c>
      <c r="G11" s="458">
        <v>38000</v>
      </c>
      <c r="H11" s="567">
        <f t="shared" si="3"/>
        <v>0</v>
      </c>
      <c r="I11" s="98">
        <f t="shared" si="4"/>
        <v>7906</v>
      </c>
      <c r="J11" s="1">
        <v>7906</v>
      </c>
      <c r="K11" s="567">
        <f t="shared" si="5"/>
        <v>0</v>
      </c>
      <c r="L11" s="98">
        <f t="shared" si="6"/>
        <v>11978</v>
      </c>
      <c r="M11" s="1">
        <v>11978</v>
      </c>
      <c r="N11" s="567">
        <f t="shared" si="7"/>
        <v>0</v>
      </c>
      <c r="O11" s="98">
        <f t="shared" si="8"/>
        <v>20134</v>
      </c>
      <c r="P11" s="454">
        <v>20135</v>
      </c>
      <c r="Q11" s="567">
        <f t="shared" si="9"/>
        <v>1</v>
      </c>
      <c r="R11" s="299"/>
      <c r="S11" s="294">
        <f t="shared" si="16"/>
        <v>52532</v>
      </c>
      <c r="T11" s="455">
        <v>52569</v>
      </c>
      <c r="U11" s="568">
        <f t="shared" si="17"/>
        <v>37</v>
      </c>
      <c r="V11" s="294">
        <f t="shared" si="10"/>
        <v>71260</v>
      </c>
      <c r="W11" s="455">
        <v>71260</v>
      </c>
      <c r="X11" s="568">
        <f t="shared" si="18"/>
        <v>0</v>
      </c>
      <c r="Y11" s="294">
        <f t="shared" si="11"/>
        <v>80538</v>
      </c>
      <c r="Z11" s="455">
        <v>80538</v>
      </c>
      <c r="AA11" s="568">
        <f t="shared" si="19"/>
        <v>0</v>
      </c>
      <c r="AB11" s="294">
        <f t="shared" si="12"/>
        <v>13732</v>
      </c>
      <c r="AC11" s="571">
        <v>13754</v>
      </c>
      <c r="AD11" s="568">
        <f t="shared" si="20"/>
        <v>22</v>
      </c>
      <c r="AE11" s="294">
        <f t="shared" si="13"/>
        <v>17976</v>
      </c>
      <c r="AF11" s="456">
        <v>17976</v>
      </c>
      <c r="AG11" s="568">
        <f t="shared" si="21"/>
        <v>0</v>
      </c>
      <c r="AH11" s="294">
        <f t="shared" si="14"/>
        <v>24546</v>
      </c>
      <c r="AI11" s="636">
        <v>24546</v>
      </c>
      <c r="AJ11" s="568">
        <f t="shared" si="23"/>
        <v>0</v>
      </c>
      <c r="AK11" s="375">
        <f t="shared" si="15"/>
        <v>15154</v>
      </c>
      <c r="AL11" s="455">
        <v>15154</v>
      </c>
      <c r="AM11" s="568">
        <f t="shared" si="22"/>
        <v>0</v>
      </c>
      <c r="AN11" s="460">
        <f t="shared" si="24"/>
        <v>59</v>
      </c>
    </row>
    <row r="12" spans="1:40" ht="23.1" customHeight="1">
      <c r="A12" s="58">
        <f>Gen!B17</f>
        <v>43958</v>
      </c>
      <c r="B12" s="4"/>
      <c r="C12" s="98">
        <f t="shared" si="0"/>
        <v>233998</v>
      </c>
      <c r="D12" s="1">
        <v>234039</v>
      </c>
      <c r="E12" s="59">
        <f t="shared" si="1"/>
        <v>41</v>
      </c>
      <c r="F12" s="98">
        <f t="shared" si="2"/>
        <v>38000</v>
      </c>
      <c r="G12" s="458">
        <v>38000</v>
      </c>
      <c r="H12" s="567">
        <f t="shared" si="3"/>
        <v>0</v>
      </c>
      <c r="I12" s="98">
        <f t="shared" si="4"/>
        <v>7906</v>
      </c>
      <c r="J12" s="1">
        <v>7906</v>
      </c>
      <c r="K12" s="567">
        <f t="shared" si="5"/>
        <v>0</v>
      </c>
      <c r="L12" s="98">
        <f t="shared" si="6"/>
        <v>11978</v>
      </c>
      <c r="M12" s="1">
        <v>11978</v>
      </c>
      <c r="N12" s="567">
        <f t="shared" si="7"/>
        <v>0</v>
      </c>
      <c r="O12" s="98">
        <f t="shared" si="8"/>
        <v>20135</v>
      </c>
      <c r="P12" s="454">
        <v>20135</v>
      </c>
      <c r="Q12" s="567">
        <f t="shared" si="9"/>
        <v>0</v>
      </c>
      <c r="R12" s="299"/>
      <c r="S12" s="294">
        <f t="shared" si="16"/>
        <v>52569</v>
      </c>
      <c r="T12" s="455">
        <v>52586</v>
      </c>
      <c r="U12" s="568">
        <f t="shared" si="17"/>
        <v>17</v>
      </c>
      <c r="V12" s="294">
        <f t="shared" si="10"/>
        <v>71260</v>
      </c>
      <c r="W12" s="455">
        <v>71260</v>
      </c>
      <c r="X12" s="568">
        <f t="shared" si="18"/>
        <v>0</v>
      </c>
      <c r="Y12" s="294">
        <f t="shared" si="11"/>
        <v>80538</v>
      </c>
      <c r="Z12" s="455">
        <v>80538</v>
      </c>
      <c r="AA12" s="568">
        <f t="shared" si="19"/>
        <v>0</v>
      </c>
      <c r="AB12" s="294">
        <f t="shared" si="12"/>
        <v>13754</v>
      </c>
      <c r="AC12" s="571">
        <v>13775</v>
      </c>
      <c r="AD12" s="568">
        <f t="shared" si="20"/>
        <v>21</v>
      </c>
      <c r="AE12" s="294">
        <f t="shared" si="13"/>
        <v>17976</v>
      </c>
      <c r="AF12" s="456">
        <v>17976</v>
      </c>
      <c r="AG12" s="568">
        <f t="shared" si="21"/>
        <v>0</v>
      </c>
      <c r="AH12" s="294">
        <f t="shared" si="14"/>
        <v>24546</v>
      </c>
      <c r="AI12" s="636">
        <v>24546</v>
      </c>
      <c r="AJ12" s="568">
        <f t="shared" si="23"/>
        <v>0</v>
      </c>
      <c r="AK12" s="375">
        <f t="shared" si="15"/>
        <v>15154</v>
      </c>
      <c r="AL12" s="455">
        <v>15154</v>
      </c>
      <c r="AM12" s="568">
        <f t="shared" si="22"/>
        <v>0</v>
      </c>
      <c r="AN12" s="460">
        <f t="shared" si="24"/>
        <v>38</v>
      </c>
    </row>
    <row r="13" spans="1:40" ht="23.1" customHeight="1">
      <c r="A13" s="58">
        <f>Gen!B18</f>
        <v>43959</v>
      </c>
      <c r="B13" s="4"/>
      <c r="C13" s="98">
        <f t="shared" si="0"/>
        <v>234039</v>
      </c>
      <c r="D13" s="1">
        <v>234076</v>
      </c>
      <c r="E13" s="59">
        <f t="shared" si="1"/>
        <v>37</v>
      </c>
      <c r="F13" s="98">
        <f t="shared" si="2"/>
        <v>38000</v>
      </c>
      <c r="G13" s="458">
        <v>38000</v>
      </c>
      <c r="H13" s="567">
        <f t="shared" si="3"/>
        <v>0</v>
      </c>
      <c r="I13" s="98">
        <f t="shared" si="4"/>
        <v>7906</v>
      </c>
      <c r="J13" s="1">
        <v>7907</v>
      </c>
      <c r="K13" s="567">
        <f t="shared" si="5"/>
        <v>1</v>
      </c>
      <c r="L13" s="98">
        <f t="shared" si="6"/>
        <v>11978</v>
      </c>
      <c r="M13" s="1">
        <v>11978</v>
      </c>
      <c r="N13" s="567">
        <f t="shared" si="7"/>
        <v>0</v>
      </c>
      <c r="O13" s="98">
        <f t="shared" si="8"/>
        <v>20135</v>
      </c>
      <c r="P13" s="454">
        <v>20136</v>
      </c>
      <c r="Q13" s="567">
        <f t="shared" si="9"/>
        <v>1</v>
      </c>
      <c r="R13" s="299"/>
      <c r="S13" s="294">
        <f t="shared" si="16"/>
        <v>52586</v>
      </c>
      <c r="T13" s="455">
        <v>52586</v>
      </c>
      <c r="U13" s="568">
        <f t="shared" si="17"/>
        <v>0</v>
      </c>
      <c r="V13" s="294">
        <f t="shared" si="10"/>
        <v>71260</v>
      </c>
      <c r="W13" s="455">
        <v>71260</v>
      </c>
      <c r="X13" s="568">
        <f t="shared" si="18"/>
        <v>0</v>
      </c>
      <c r="Y13" s="294">
        <f t="shared" si="11"/>
        <v>80538</v>
      </c>
      <c r="Z13" s="455">
        <v>80538</v>
      </c>
      <c r="AA13" s="568">
        <f t="shared" si="19"/>
        <v>0</v>
      </c>
      <c r="AB13" s="294">
        <f t="shared" si="12"/>
        <v>13775</v>
      </c>
      <c r="AC13" s="572">
        <v>13797</v>
      </c>
      <c r="AD13" s="568">
        <f t="shared" si="20"/>
        <v>22</v>
      </c>
      <c r="AE13" s="294">
        <f>AF12</f>
        <v>17976</v>
      </c>
      <c r="AF13" s="456">
        <v>17976</v>
      </c>
      <c r="AG13" s="568">
        <f t="shared" si="21"/>
        <v>0</v>
      </c>
      <c r="AH13" s="294">
        <f t="shared" si="14"/>
        <v>24546</v>
      </c>
      <c r="AI13" s="636">
        <v>24546</v>
      </c>
      <c r="AJ13" s="568">
        <f t="shared" si="23"/>
        <v>0</v>
      </c>
      <c r="AK13" s="375">
        <f t="shared" si="15"/>
        <v>15154</v>
      </c>
      <c r="AL13" s="455">
        <v>15154</v>
      </c>
      <c r="AM13" s="568">
        <f t="shared" si="22"/>
        <v>0</v>
      </c>
      <c r="AN13" s="460">
        <f t="shared" si="24"/>
        <v>22</v>
      </c>
    </row>
    <row r="14" spans="1:40" ht="23.1" customHeight="1">
      <c r="A14" s="58">
        <f>Gen!B19</f>
        <v>43960</v>
      </c>
      <c r="B14" s="4"/>
      <c r="C14" s="98">
        <f t="shared" si="0"/>
        <v>234076</v>
      </c>
      <c r="D14" s="1">
        <v>234127</v>
      </c>
      <c r="E14" s="59">
        <f t="shared" si="1"/>
        <v>51</v>
      </c>
      <c r="F14" s="98">
        <f t="shared" si="2"/>
        <v>38000</v>
      </c>
      <c r="G14" s="458">
        <v>38000</v>
      </c>
      <c r="H14" s="567">
        <f t="shared" si="3"/>
        <v>0</v>
      </c>
      <c r="I14" s="98">
        <f t="shared" si="4"/>
        <v>7907</v>
      </c>
      <c r="J14" s="1">
        <v>7907</v>
      </c>
      <c r="K14" s="567">
        <f t="shared" si="5"/>
        <v>0</v>
      </c>
      <c r="L14" s="98">
        <f t="shared" si="6"/>
        <v>11978</v>
      </c>
      <c r="M14" s="1">
        <v>11978</v>
      </c>
      <c r="N14" s="567">
        <f t="shared" si="7"/>
        <v>0</v>
      </c>
      <c r="O14" s="98">
        <f t="shared" si="8"/>
        <v>20136</v>
      </c>
      <c r="P14" s="454">
        <v>20137</v>
      </c>
      <c r="Q14" s="567">
        <f t="shared" si="9"/>
        <v>1</v>
      </c>
      <c r="R14" s="299"/>
      <c r="S14" s="294">
        <f t="shared" si="16"/>
        <v>52586</v>
      </c>
      <c r="T14" s="455">
        <v>52586</v>
      </c>
      <c r="U14" s="568">
        <f t="shared" si="17"/>
        <v>0</v>
      </c>
      <c r="V14" s="294">
        <f t="shared" si="10"/>
        <v>71260</v>
      </c>
      <c r="W14" s="455">
        <v>71260</v>
      </c>
      <c r="X14" s="568">
        <f t="shared" si="18"/>
        <v>0</v>
      </c>
      <c r="Y14" s="294">
        <f t="shared" si="11"/>
        <v>80538</v>
      </c>
      <c r="Z14" s="455">
        <v>80538</v>
      </c>
      <c r="AA14" s="568">
        <f t="shared" si="19"/>
        <v>0</v>
      </c>
      <c r="AB14" s="294">
        <f t="shared" si="12"/>
        <v>13797</v>
      </c>
      <c r="AC14" s="572">
        <v>13819</v>
      </c>
      <c r="AD14" s="568">
        <f t="shared" si="20"/>
        <v>22</v>
      </c>
      <c r="AE14" s="294">
        <f t="shared" si="13"/>
        <v>17976</v>
      </c>
      <c r="AF14" s="456">
        <v>17976</v>
      </c>
      <c r="AG14" s="568">
        <f t="shared" si="21"/>
        <v>0</v>
      </c>
      <c r="AH14" s="294">
        <f t="shared" si="14"/>
        <v>24546</v>
      </c>
      <c r="AI14" s="636">
        <v>24546</v>
      </c>
      <c r="AJ14" s="568">
        <f t="shared" si="23"/>
        <v>0</v>
      </c>
      <c r="AK14" s="375">
        <f t="shared" si="15"/>
        <v>15154</v>
      </c>
      <c r="AL14" s="455">
        <v>15154</v>
      </c>
      <c r="AM14" s="568">
        <f t="shared" si="22"/>
        <v>0</v>
      </c>
      <c r="AN14" s="460">
        <f t="shared" si="24"/>
        <v>22</v>
      </c>
    </row>
    <row r="15" spans="1:40" ht="23.1" customHeight="1">
      <c r="A15" s="58">
        <f>Gen!B20</f>
        <v>43961</v>
      </c>
      <c r="B15" s="4"/>
      <c r="C15" s="98">
        <f t="shared" si="0"/>
        <v>234127</v>
      </c>
      <c r="D15" s="1">
        <v>234178</v>
      </c>
      <c r="E15" s="59">
        <f t="shared" si="1"/>
        <v>51</v>
      </c>
      <c r="F15" s="98">
        <f t="shared" si="2"/>
        <v>38000</v>
      </c>
      <c r="G15" s="458">
        <v>38000</v>
      </c>
      <c r="H15" s="567">
        <f t="shared" si="3"/>
        <v>0</v>
      </c>
      <c r="I15" s="98">
        <f t="shared" si="4"/>
        <v>7907</v>
      </c>
      <c r="J15" s="1">
        <v>7908</v>
      </c>
      <c r="K15" s="567">
        <f t="shared" si="5"/>
        <v>1</v>
      </c>
      <c r="L15" s="98">
        <f t="shared" si="6"/>
        <v>11978</v>
      </c>
      <c r="M15" s="1">
        <v>11978</v>
      </c>
      <c r="N15" s="567">
        <f t="shared" si="7"/>
        <v>0</v>
      </c>
      <c r="O15" s="98">
        <f t="shared" si="8"/>
        <v>20137</v>
      </c>
      <c r="P15" s="454">
        <v>20137</v>
      </c>
      <c r="Q15" s="567">
        <f t="shared" si="9"/>
        <v>0</v>
      </c>
      <c r="R15" s="299"/>
      <c r="S15" s="294">
        <f t="shared" si="16"/>
        <v>52586</v>
      </c>
      <c r="T15" s="455">
        <v>52610</v>
      </c>
      <c r="U15" s="568">
        <f t="shared" si="17"/>
        <v>24</v>
      </c>
      <c r="V15" s="294">
        <f t="shared" si="10"/>
        <v>71260</v>
      </c>
      <c r="W15" s="455">
        <v>71260</v>
      </c>
      <c r="X15" s="568">
        <f t="shared" si="18"/>
        <v>0</v>
      </c>
      <c r="Y15" s="294">
        <f t="shared" si="11"/>
        <v>80538</v>
      </c>
      <c r="Z15" s="455">
        <v>80538</v>
      </c>
      <c r="AA15" s="568">
        <f t="shared" si="19"/>
        <v>0</v>
      </c>
      <c r="AB15" s="294">
        <f t="shared" si="12"/>
        <v>13819</v>
      </c>
      <c r="AC15" s="572">
        <v>13841</v>
      </c>
      <c r="AD15" s="568">
        <f t="shared" si="20"/>
        <v>22</v>
      </c>
      <c r="AE15" s="294">
        <f t="shared" si="13"/>
        <v>17976</v>
      </c>
      <c r="AF15" s="456">
        <v>17976</v>
      </c>
      <c r="AG15" s="568">
        <f t="shared" si="21"/>
        <v>0</v>
      </c>
      <c r="AH15" s="294">
        <f t="shared" si="14"/>
        <v>24546</v>
      </c>
      <c r="AI15" s="636">
        <v>24546</v>
      </c>
      <c r="AJ15" s="568">
        <f t="shared" si="23"/>
        <v>0</v>
      </c>
      <c r="AK15" s="375">
        <f t="shared" si="15"/>
        <v>15154</v>
      </c>
      <c r="AL15" s="455">
        <v>15154</v>
      </c>
      <c r="AM15" s="568">
        <f t="shared" si="22"/>
        <v>0</v>
      </c>
      <c r="AN15" s="460">
        <f t="shared" si="24"/>
        <v>46</v>
      </c>
    </row>
    <row r="16" spans="1:40" ht="23.1" customHeight="1">
      <c r="A16" s="58">
        <f>Gen!B21</f>
        <v>43962</v>
      </c>
      <c r="B16" s="4"/>
      <c r="C16" s="98">
        <f t="shared" si="0"/>
        <v>234178</v>
      </c>
      <c r="D16" s="1">
        <v>234234</v>
      </c>
      <c r="E16" s="59">
        <f>IF((D16-D15)&lt;0,"0",(D16-D15))</f>
        <v>56</v>
      </c>
      <c r="F16" s="98">
        <f t="shared" si="2"/>
        <v>38000</v>
      </c>
      <c r="G16" s="458">
        <v>38000</v>
      </c>
      <c r="H16" s="567">
        <f t="shared" si="3"/>
        <v>0</v>
      </c>
      <c r="I16" s="98">
        <f t="shared" si="4"/>
        <v>7908</v>
      </c>
      <c r="J16" s="1">
        <v>7908</v>
      </c>
      <c r="K16" s="567">
        <f t="shared" si="5"/>
        <v>0</v>
      </c>
      <c r="L16" s="98"/>
      <c r="M16" s="1">
        <v>11978</v>
      </c>
      <c r="N16" s="567">
        <f t="shared" si="7"/>
        <v>0</v>
      </c>
      <c r="O16" s="98">
        <f t="shared" si="8"/>
        <v>20137</v>
      </c>
      <c r="P16" s="454">
        <v>20137</v>
      </c>
      <c r="Q16" s="567">
        <f t="shared" si="9"/>
        <v>0</v>
      </c>
      <c r="R16" s="299"/>
      <c r="S16" s="294">
        <f t="shared" si="16"/>
        <v>52610</v>
      </c>
      <c r="T16" s="455">
        <v>52647</v>
      </c>
      <c r="U16" s="568">
        <f t="shared" si="17"/>
        <v>37</v>
      </c>
      <c r="V16" s="294">
        <f t="shared" si="10"/>
        <v>71260</v>
      </c>
      <c r="W16" s="455">
        <v>71260</v>
      </c>
      <c r="X16" s="568">
        <f t="shared" si="18"/>
        <v>0</v>
      </c>
      <c r="Y16" s="294">
        <f t="shared" si="11"/>
        <v>80538</v>
      </c>
      <c r="Z16" s="455">
        <v>80538</v>
      </c>
      <c r="AA16" s="568">
        <f t="shared" si="19"/>
        <v>0</v>
      </c>
      <c r="AB16" s="294">
        <f t="shared" si="12"/>
        <v>13841</v>
      </c>
      <c r="AC16" s="572">
        <v>13863</v>
      </c>
      <c r="AD16" s="568">
        <f t="shared" si="20"/>
        <v>22</v>
      </c>
      <c r="AE16" s="294">
        <f t="shared" si="13"/>
        <v>17976</v>
      </c>
      <c r="AF16" s="456">
        <v>17976</v>
      </c>
      <c r="AG16" s="568">
        <f t="shared" si="21"/>
        <v>0</v>
      </c>
      <c r="AH16" s="294">
        <f t="shared" si="14"/>
        <v>24546</v>
      </c>
      <c r="AI16" s="636">
        <v>24546</v>
      </c>
      <c r="AJ16" s="568">
        <f>IF((AI17-AI15)&lt;0,"0",(AI17-AI15))</f>
        <v>0</v>
      </c>
      <c r="AK16" s="375">
        <f t="shared" si="15"/>
        <v>15154</v>
      </c>
      <c r="AL16" s="455">
        <v>15154</v>
      </c>
      <c r="AM16" s="568">
        <f t="shared" si="22"/>
        <v>0</v>
      </c>
      <c r="AN16" s="460">
        <f t="shared" si="24"/>
        <v>59</v>
      </c>
    </row>
    <row r="17" spans="1:40" ht="23.1" customHeight="1">
      <c r="A17" s="58">
        <f>Gen!B22</f>
        <v>43963</v>
      </c>
      <c r="B17" s="4"/>
      <c r="C17" s="98">
        <f t="shared" si="0"/>
        <v>234234</v>
      </c>
      <c r="D17" s="1">
        <v>234292</v>
      </c>
      <c r="E17" s="567">
        <f>IF((D17-D16)&lt;0,"0",(D17-D16))</f>
        <v>58</v>
      </c>
      <c r="F17" s="98">
        <f t="shared" si="2"/>
        <v>38000</v>
      </c>
      <c r="G17" s="458">
        <v>38000</v>
      </c>
      <c r="H17" s="567">
        <f t="shared" si="3"/>
        <v>0</v>
      </c>
      <c r="I17" s="98">
        <f t="shared" si="4"/>
        <v>7908</v>
      </c>
      <c r="J17" s="1">
        <v>7908</v>
      </c>
      <c r="K17" s="567">
        <f t="shared" si="5"/>
        <v>0</v>
      </c>
      <c r="L17" s="98"/>
      <c r="M17" s="1">
        <v>11978</v>
      </c>
      <c r="N17" s="567">
        <f t="shared" si="7"/>
        <v>0</v>
      </c>
      <c r="O17" s="98">
        <f t="shared" si="8"/>
        <v>20137</v>
      </c>
      <c r="P17" s="454">
        <v>20138</v>
      </c>
      <c r="Q17" s="567">
        <f t="shared" si="9"/>
        <v>1</v>
      </c>
      <c r="R17" s="299"/>
      <c r="S17" s="294">
        <f t="shared" si="16"/>
        <v>52647</v>
      </c>
      <c r="T17" s="455">
        <v>52670</v>
      </c>
      <c r="U17" s="568">
        <f t="shared" si="17"/>
        <v>23</v>
      </c>
      <c r="V17" s="294">
        <f t="shared" si="10"/>
        <v>71260</v>
      </c>
      <c r="W17" s="455">
        <v>71260</v>
      </c>
      <c r="X17" s="568">
        <f>IF((W17-W16)&lt;0,"0",(W17-W16))</f>
        <v>0</v>
      </c>
      <c r="Y17" s="294">
        <f t="shared" si="11"/>
        <v>80538</v>
      </c>
      <c r="Z17" s="455">
        <v>80581</v>
      </c>
      <c r="AA17" s="568">
        <f>IF((Z17-Z16)&lt;0,"0",(Z17-Z16))</f>
        <v>43</v>
      </c>
      <c r="AB17" s="294">
        <f t="shared" si="12"/>
        <v>13863</v>
      </c>
      <c r="AC17" s="572">
        <v>13885</v>
      </c>
      <c r="AD17" s="568">
        <f>IF((AC17-AC16)&lt;0,"0",(AC17-AC16))</f>
        <v>22</v>
      </c>
      <c r="AE17" s="294">
        <f t="shared" si="13"/>
        <v>17976</v>
      </c>
      <c r="AF17" s="456">
        <v>17976</v>
      </c>
      <c r="AG17" s="568">
        <f>IF((AF17-AF16)&lt;0,"0",(AF17-AF16))</f>
        <v>0</v>
      </c>
      <c r="AH17" s="294">
        <f t="shared" si="14"/>
        <v>24546</v>
      </c>
      <c r="AI17" s="636">
        <v>24546</v>
      </c>
      <c r="AJ17" s="568">
        <f>IF((AI18-AI16)&lt;0,"0",(AI18-AI16))</f>
        <v>0</v>
      </c>
      <c r="AK17" s="375">
        <f t="shared" si="15"/>
        <v>15154</v>
      </c>
      <c r="AL17" s="455">
        <v>15154</v>
      </c>
      <c r="AM17" s="568">
        <f>IF((AL17-AL16)&lt;0,"0",(AL17-AL16))</f>
        <v>0</v>
      </c>
      <c r="AN17" s="460">
        <f t="shared" si="24"/>
        <v>88</v>
      </c>
    </row>
    <row r="18" spans="1:40" ht="23.1" customHeight="1">
      <c r="A18" s="58">
        <f>Gen!B23</f>
        <v>43964</v>
      </c>
      <c r="B18" s="4"/>
      <c r="C18" s="98">
        <f t="shared" si="0"/>
        <v>234292</v>
      </c>
      <c r="D18" s="1">
        <v>234333</v>
      </c>
      <c r="E18" s="567">
        <f t="shared" ref="E18:E37" si="26">IF((D18-D17)&lt;0,"0",(D18-D17))</f>
        <v>41</v>
      </c>
      <c r="F18" s="98">
        <f t="shared" si="2"/>
        <v>38000</v>
      </c>
      <c r="G18" s="458">
        <v>38000</v>
      </c>
      <c r="H18" s="567">
        <f t="shared" si="3"/>
        <v>0</v>
      </c>
      <c r="I18" s="98"/>
      <c r="J18" s="1">
        <v>7909</v>
      </c>
      <c r="K18" s="567">
        <f t="shared" si="5"/>
        <v>1</v>
      </c>
      <c r="L18" s="98">
        <f t="shared" si="6"/>
        <v>11978</v>
      </c>
      <c r="M18" s="1">
        <v>11978</v>
      </c>
      <c r="N18" s="567">
        <f t="shared" si="7"/>
        <v>0</v>
      </c>
      <c r="O18" s="98">
        <f t="shared" si="8"/>
        <v>20138</v>
      </c>
      <c r="P18" s="454">
        <v>20138</v>
      </c>
      <c r="Q18" s="567">
        <f t="shared" si="9"/>
        <v>0</v>
      </c>
      <c r="R18" s="299"/>
      <c r="S18" s="294">
        <f t="shared" si="16"/>
        <v>52670</v>
      </c>
      <c r="T18" s="455">
        <v>52680</v>
      </c>
      <c r="U18" s="568">
        <f t="shared" si="17"/>
        <v>10</v>
      </c>
      <c r="V18" s="294">
        <f t="shared" si="10"/>
        <v>71260</v>
      </c>
      <c r="W18" s="455">
        <v>71260</v>
      </c>
      <c r="X18" s="568">
        <f t="shared" si="18"/>
        <v>0</v>
      </c>
      <c r="Y18" s="294">
        <f t="shared" si="11"/>
        <v>80581</v>
      </c>
      <c r="Z18" s="455">
        <v>80591</v>
      </c>
      <c r="AA18" s="568">
        <f t="shared" si="19"/>
        <v>10</v>
      </c>
      <c r="AB18" s="294">
        <f t="shared" si="12"/>
        <v>13885</v>
      </c>
      <c r="AC18" s="572">
        <v>13889</v>
      </c>
      <c r="AD18" s="568">
        <f t="shared" si="20"/>
        <v>4</v>
      </c>
      <c r="AE18" s="294">
        <f t="shared" si="13"/>
        <v>17976</v>
      </c>
      <c r="AF18" s="456">
        <v>17976</v>
      </c>
      <c r="AG18" s="568">
        <f t="shared" si="21"/>
        <v>0</v>
      </c>
      <c r="AH18" s="294">
        <f>AI17</f>
        <v>24546</v>
      </c>
      <c r="AI18" s="636">
        <v>24546</v>
      </c>
      <c r="AJ18" s="568" t="str">
        <f>IF((AI19-AI17)&lt;0,"0",(AI19-AI17))</f>
        <v>0</v>
      </c>
      <c r="AK18" s="375">
        <f t="shared" si="15"/>
        <v>15154</v>
      </c>
      <c r="AL18" s="455">
        <v>15154</v>
      </c>
      <c r="AM18" s="568">
        <f t="shared" ref="AM18:AM26" si="27">IF((AL18-AL17)&lt;0,"0",(AL18-AL17))</f>
        <v>0</v>
      </c>
      <c r="AN18" s="460">
        <f t="shared" si="24"/>
        <v>24</v>
      </c>
    </row>
    <row r="19" spans="1:40" ht="23.1" customHeight="1">
      <c r="A19" s="58">
        <f>Gen!B24</f>
        <v>43965</v>
      </c>
      <c r="B19" s="4"/>
      <c r="C19" s="98">
        <f t="shared" si="0"/>
        <v>234333</v>
      </c>
      <c r="D19" s="1"/>
      <c r="E19" s="567" t="str">
        <f t="shared" si="26"/>
        <v>0</v>
      </c>
      <c r="F19" s="98">
        <f t="shared" si="2"/>
        <v>38000</v>
      </c>
      <c r="G19" s="458"/>
      <c r="H19" s="567" t="str">
        <f t="shared" si="3"/>
        <v>0</v>
      </c>
      <c r="I19" s="98">
        <f t="shared" si="4"/>
        <v>7909</v>
      </c>
      <c r="J19" s="1"/>
      <c r="K19" s="567" t="str">
        <f t="shared" si="5"/>
        <v>0</v>
      </c>
      <c r="L19" s="98">
        <f t="shared" si="6"/>
        <v>11978</v>
      </c>
      <c r="M19" s="1"/>
      <c r="N19" s="567" t="str">
        <f t="shared" si="7"/>
        <v>0</v>
      </c>
      <c r="O19" s="98">
        <f t="shared" si="8"/>
        <v>20138</v>
      </c>
      <c r="P19" s="454"/>
      <c r="Q19" s="567" t="str">
        <f t="shared" si="9"/>
        <v>0</v>
      </c>
      <c r="R19" s="299"/>
      <c r="S19" s="294">
        <f t="shared" si="16"/>
        <v>52680</v>
      </c>
      <c r="T19" s="455"/>
      <c r="U19" s="568" t="str">
        <f t="shared" si="17"/>
        <v>0</v>
      </c>
      <c r="V19" s="294">
        <f t="shared" si="10"/>
        <v>71260</v>
      </c>
      <c r="W19" s="455"/>
      <c r="X19" s="568" t="str">
        <f t="shared" si="18"/>
        <v>0</v>
      </c>
      <c r="Y19" s="294">
        <f t="shared" si="11"/>
        <v>80591</v>
      </c>
      <c r="Z19" s="455"/>
      <c r="AA19" s="568" t="str">
        <f t="shared" si="19"/>
        <v>0</v>
      </c>
      <c r="AB19" s="294">
        <f t="shared" si="12"/>
        <v>13889</v>
      </c>
      <c r="AC19" s="572"/>
      <c r="AD19" s="568" t="str">
        <f t="shared" si="20"/>
        <v>0</v>
      </c>
      <c r="AE19" s="294">
        <f t="shared" si="13"/>
        <v>17976</v>
      </c>
      <c r="AF19" s="456"/>
      <c r="AG19" s="568" t="str">
        <f t="shared" si="21"/>
        <v>0</v>
      </c>
      <c r="AH19" s="294">
        <f>AI18</f>
        <v>24546</v>
      </c>
      <c r="AI19" s="456"/>
      <c r="AJ19" s="568" t="str">
        <f>IF((AI20-AI18)&lt;0,"0",(AI20-AI18))</f>
        <v>0</v>
      </c>
      <c r="AK19" s="375">
        <f t="shared" si="15"/>
        <v>15154</v>
      </c>
      <c r="AL19" s="455"/>
      <c r="AM19" s="568" t="str">
        <f t="shared" si="27"/>
        <v>0</v>
      </c>
      <c r="AN19" s="460">
        <f t="shared" si="24"/>
        <v>0</v>
      </c>
    </row>
    <row r="20" spans="1:40" ht="23.1" customHeight="1">
      <c r="A20" s="58">
        <f>Gen!B25</f>
        <v>43966</v>
      </c>
      <c r="B20" s="4"/>
      <c r="C20" s="98">
        <f t="shared" si="0"/>
        <v>0</v>
      </c>
      <c r="D20" s="1"/>
      <c r="E20" s="567">
        <f t="shared" si="26"/>
        <v>0</v>
      </c>
      <c r="F20" s="98">
        <f t="shared" si="2"/>
        <v>0</v>
      </c>
      <c r="G20" s="458"/>
      <c r="H20" s="567">
        <f t="shared" si="3"/>
        <v>0</v>
      </c>
      <c r="I20" s="98">
        <f t="shared" si="4"/>
        <v>0</v>
      </c>
      <c r="J20" s="1"/>
      <c r="K20" s="567">
        <f t="shared" si="5"/>
        <v>0</v>
      </c>
      <c r="L20" s="98">
        <f t="shared" si="6"/>
        <v>0</v>
      </c>
      <c r="M20" s="1"/>
      <c r="N20" s="567">
        <f t="shared" si="7"/>
        <v>0</v>
      </c>
      <c r="O20" s="98">
        <f t="shared" si="8"/>
        <v>0</v>
      </c>
      <c r="P20" s="454"/>
      <c r="Q20" s="567">
        <f t="shared" si="9"/>
        <v>0</v>
      </c>
      <c r="R20" s="299"/>
      <c r="S20" s="294">
        <f t="shared" si="16"/>
        <v>0</v>
      </c>
      <c r="T20" s="455"/>
      <c r="U20" s="568">
        <f t="shared" si="17"/>
        <v>0</v>
      </c>
      <c r="V20" s="294">
        <f t="shared" si="10"/>
        <v>0</v>
      </c>
      <c r="W20" s="455"/>
      <c r="X20" s="568">
        <f t="shared" si="18"/>
        <v>0</v>
      </c>
      <c r="Y20" s="294">
        <f t="shared" si="11"/>
        <v>0</v>
      </c>
      <c r="Z20" s="455"/>
      <c r="AA20" s="568">
        <f t="shared" si="19"/>
        <v>0</v>
      </c>
      <c r="AB20" s="294">
        <f t="shared" si="12"/>
        <v>0</v>
      </c>
      <c r="AC20" s="572"/>
      <c r="AD20" s="568">
        <f t="shared" si="20"/>
        <v>0</v>
      </c>
      <c r="AE20" s="294">
        <f t="shared" si="13"/>
        <v>0</v>
      </c>
      <c r="AF20" s="456"/>
      <c r="AG20" s="568">
        <f t="shared" si="21"/>
        <v>0</v>
      </c>
      <c r="AH20" s="294">
        <f t="shared" si="14"/>
        <v>0</v>
      </c>
      <c r="AI20" s="456"/>
      <c r="AJ20" s="568">
        <f t="shared" si="23"/>
        <v>0</v>
      </c>
      <c r="AK20" s="375">
        <f t="shared" si="15"/>
        <v>0</v>
      </c>
      <c r="AL20" s="455"/>
      <c r="AM20" s="568">
        <f t="shared" si="27"/>
        <v>0</v>
      </c>
      <c r="AN20" s="460">
        <f t="shared" si="24"/>
        <v>0</v>
      </c>
    </row>
    <row r="21" spans="1:40" ht="23.1" customHeight="1">
      <c r="A21" s="58">
        <f>Gen!B26</f>
        <v>43967</v>
      </c>
      <c r="B21" s="4"/>
      <c r="C21" s="98">
        <f t="shared" si="0"/>
        <v>0</v>
      </c>
      <c r="D21" s="1"/>
      <c r="E21" s="567">
        <f t="shared" si="26"/>
        <v>0</v>
      </c>
      <c r="F21" s="98">
        <f t="shared" si="2"/>
        <v>0</v>
      </c>
      <c r="G21" s="458"/>
      <c r="H21" s="567">
        <f t="shared" si="3"/>
        <v>0</v>
      </c>
      <c r="I21" s="98">
        <f t="shared" si="4"/>
        <v>0</v>
      </c>
      <c r="J21" s="1"/>
      <c r="K21" s="567">
        <f t="shared" si="5"/>
        <v>0</v>
      </c>
      <c r="L21" s="98">
        <f t="shared" si="6"/>
        <v>0</v>
      </c>
      <c r="M21" s="1"/>
      <c r="N21" s="567">
        <f t="shared" si="7"/>
        <v>0</v>
      </c>
      <c r="O21" s="98">
        <f t="shared" si="8"/>
        <v>0</v>
      </c>
      <c r="P21" s="454"/>
      <c r="Q21" s="567">
        <f t="shared" si="9"/>
        <v>0</v>
      </c>
      <c r="R21" s="299"/>
      <c r="S21" s="294">
        <f t="shared" si="16"/>
        <v>0</v>
      </c>
      <c r="T21" s="455"/>
      <c r="U21" s="568">
        <f t="shared" si="17"/>
        <v>0</v>
      </c>
      <c r="V21" s="294">
        <f t="shared" ref="V21:V37" si="28">W20</f>
        <v>0</v>
      </c>
      <c r="W21" s="455"/>
      <c r="X21" s="568">
        <f t="shared" si="18"/>
        <v>0</v>
      </c>
      <c r="Y21" s="294">
        <f t="shared" si="11"/>
        <v>0</v>
      </c>
      <c r="Z21" s="455"/>
      <c r="AA21" s="568">
        <f t="shared" si="19"/>
        <v>0</v>
      </c>
      <c r="AB21" s="294">
        <f t="shared" si="12"/>
        <v>0</v>
      </c>
      <c r="AC21" s="572"/>
      <c r="AD21" s="568">
        <f t="shared" si="20"/>
        <v>0</v>
      </c>
      <c r="AE21" s="294">
        <f t="shared" si="13"/>
        <v>0</v>
      </c>
      <c r="AF21" s="456"/>
      <c r="AG21" s="568">
        <f t="shared" si="21"/>
        <v>0</v>
      </c>
      <c r="AH21" s="294">
        <f t="shared" si="14"/>
        <v>0</v>
      </c>
      <c r="AI21" s="456"/>
      <c r="AJ21" s="568">
        <f t="shared" si="23"/>
        <v>0</v>
      </c>
      <c r="AK21" s="375">
        <f t="shared" si="15"/>
        <v>0</v>
      </c>
      <c r="AL21" s="455"/>
      <c r="AM21" s="568">
        <f t="shared" si="27"/>
        <v>0</v>
      </c>
      <c r="AN21" s="460">
        <f t="shared" si="24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6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si="5"/>
        <v>0</v>
      </c>
      <c r="L22" s="98">
        <f t="shared" si="6"/>
        <v>0</v>
      </c>
      <c r="M22" s="1"/>
      <c r="N22" s="567">
        <f t="shared" si="7"/>
        <v>0</v>
      </c>
      <c r="O22" s="98">
        <f t="shared" si="8"/>
        <v>0</v>
      </c>
      <c r="P22" s="454"/>
      <c r="Q22" s="567">
        <f t="shared" si="9"/>
        <v>0</v>
      </c>
      <c r="R22" s="299"/>
      <c r="S22" s="294">
        <f t="shared" si="16"/>
        <v>0</v>
      </c>
      <c r="T22" s="455"/>
      <c r="U22" s="568">
        <f t="shared" si="17"/>
        <v>0</v>
      </c>
      <c r="V22" s="294">
        <f t="shared" si="28"/>
        <v>0</v>
      </c>
      <c r="W22" s="455"/>
      <c r="X22" s="568">
        <f t="shared" si="18"/>
        <v>0</v>
      </c>
      <c r="Y22" s="294">
        <f t="shared" si="11"/>
        <v>0</v>
      </c>
      <c r="Z22" s="455"/>
      <c r="AA22" s="568">
        <f t="shared" si="19"/>
        <v>0</v>
      </c>
      <c r="AB22" s="294">
        <f t="shared" si="12"/>
        <v>0</v>
      </c>
      <c r="AC22" s="572"/>
      <c r="AD22" s="568">
        <f t="shared" si="20"/>
        <v>0</v>
      </c>
      <c r="AE22" s="294">
        <f t="shared" si="13"/>
        <v>0</v>
      </c>
      <c r="AF22" s="456"/>
      <c r="AG22" s="568">
        <f t="shared" si="21"/>
        <v>0</v>
      </c>
      <c r="AH22" s="294">
        <f t="shared" si="14"/>
        <v>0</v>
      </c>
      <c r="AI22" s="456"/>
      <c r="AJ22" s="568">
        <f t="shared" si="23"/>
        <v>0</v>
      </c>
      <c r="AK22" s="375">
        <f t="shared" si="15"/>
        <v>0</v>
      </c>
      <c r="AL22" s="455"/>
      <c r="AM22" s="568">
        <f t="shared" si="27"/>
        <v>0</v>
      </c>
      <c r="AN22" s="460">
        <f t="shared" si="24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6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5"/>
        <v>0</v>
      </c>
      <c r="L23" s="98">
        <f t="shared" si="6"/>
        <v>0</v>
      </c>
      <c r="M23" s="1"/>
      <c r="N23" s="567">
        <f t="shared" si="7"/>
        <v>0</v>
      </c>
      <c r="O23" s="98">
        <f t="shared" si="8"/>
        <v>0</v>
      </c>
      <c r="P23" s="454"/>
      <c r="Q23" s="567">
        <f t="shared" si="9"/>
        <v>0</v>
      </c>
      <c r="R23" s="299"/>
      <c r="S23" s="294">
        <f t="shared" si="16"/>
        <v>0</v>
      </c>
      <c r="T23" s="455"/>
      <c r="U23" s="568">
        <f t="shared" si="17"/>
        <v>0</v>
      </c>
      <c r="V23" s="294">
        <f t="shared" si="28"/>
        <v>0</v>
      </c>
      <c r="W23" s="455"/>
      <c r="X23" s="568">
        <f t="shared" si="18"/>
        <v>0</v>
      </c>
      <c r="Y23" s="294">
        <f t="shared" si="11"/>
        <v>0</v>
      </c>
      <c r="Z23" s="455"/>
      <c r="AA23" s="568">
        <f t="shared" si="19"/>
        <v>0</v>
      </c>
      <c r="AB23" s="294">
        <f t="shared" si="12"/>
        <v>0</v>
      </c>
      <c r="AC23" s="295"/>
      <c r="AD23" s="568">
        <f t="shared" si="20"/>
        <v>0</v>
      </c>
      <c r="AE23" s="294">
        <f t="shared" si="13"/>
        <v>0</v>
      </c>
      <c r="AF23" s="456"/>
      <c r="AG23" s="568">
        <f t="shared" si="21"/>
        <v>0</v>
      </c>
      <c r="AH23" s="294">
        <f t="shared" si="14"/>
        <v>0</v>
      </c>
      <c r="AI23" s="456"/>
      <c r="AJ23" s="568">
        <f t="shared" si="23"/>
        <v>0</v>
      </c>
      <c r="AK23" s="375">
        <f t="shared" si="15"/>
        <v>0</v>
      </c>
      <c r="AL23" s="455"/>
      <c r="AM23" s="568">
        <f t="shared" si="27"/>
        <v>0</v>
      </c>
      <c r="AN23" s="460">
        <f t="shared" si="24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6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5"/>
        <v>0</v>
      </c>
      <c r="L24" s="98">
        <f t="shared" si="6"/>
        <v>0</v>
      </c>
      <c r="M24" s="1"/>
      <c r="N24" s="567">
        <f t="shared" si="7"/>
        <v>0</v>
      </c>
      <c r="O24" s="98">
        <f t="shared" si="8"/>
        <v>0</v>
      </c>
      <c r="P24" s="454"/>
      <c r="Q24" s="567">
        <f t="shared" si="9"/>
        <v>0</v>
      </c>
      <c r="R24" s="299"/>
      <c r="S24" s="294">
        <f t="shared" si="16"/>
        <v>0</v>
      </c>
      <c r="T24" s="455"/>
      <c r="U24" s="568">
        <f t="shared" si="17"/>
        <v>0</v>
      </c>
      <c r="V24" s="294">
        <f t="shared" si="28"/>
        <v>0</v>
      </c>
      <c r="W24" s="455"/>
      <c r="X24" s="568">
        <f t="shared" si="18"/>
        <v>0</v>
      </c>
      <c r="Y24" s="294">
        <f t="shared" si="11"/>
        <v>0</v>
      </c>
      <c r="Z24" s="455"/>
      <c r="AA24" s="568">
        <f t="shared" si="19"/>
        <v>0</v>
      </c>
      <c r="AB24" s="294">
        <f t="shared" si="12"/>
        <v>0</v>
      </c>
      <c r="AC24" s="295"/>
      <c r="AD24" s="568">
        <f t="shared" si="20"/>
        <v>0</v>
      </c>
      <c r="AE24" s="294">
        <f t="shared" si="13"/>
        <v>0</v>
      </c>
      <c r="AF24" s="456"/>
      <c r="AG24" s="568">
        <f t="shared" si="21"/>
        <v>0</v>
      </c>
      <c r="AH24" s="294">
        <f t="shared" si="14"/>
        <v>0</v>
      </c>
      <c r="AI24" s="456"/>
      <c r="AJ24" s="568">
        <f t="shared" si="23"/>
        <v>0</v>
      </c>
      <c r="AK24" s="375">
        <f t="shared" si="15"/>
        <v>0</v>
      </c>
      <c r="AL24" s="455"/>
      <c r="AM24" s="568">
        <f t="shared" si="27"/>
        <v>0</v>
      </c>
      <c r="AN24" s="460">
        <f t="shared" si="24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6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9">J24</f>
        <v>0</v>
      </c>
      <c r="J25" s="1"/>
      <c r="K25" s="567">
        <f t="shared" si="5"/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8"/>
        <v>0</v>
      </c>
      <c r="W25" s="455"/>
      <c r="X25" s="568">
        <f t="shared" si="18"/>
        <v>0</v>
      </c>
      <c r="Y25" s="294">
        <f t="shared" si="11"/>
        <v>0</v>
      </c>
      <c r="Z25" s="455"/>
      <c r="AA25" s="568">
        <f t="shared" si="19"/>
        <v>0</v>
      </c>
      <c r="AB25" s="294">
        <f t="shared" si="12"/>
        <v>0</v>
      </c>
      <c r="AC25" s="295"/>
      <c r="AD25" s="568">
        <f t="shared" si="20"/>
        <v>0</v>
      </c>
      <c r="AE25" s="294">
        <f t="shared" si="13"/>
        <v>0</v>
      </c>
      <c r="AF25" s="456"/>
      <c r="AG25" s="568">
        <f t="shared" si="21"/>
        <v>0</v>
      </c>
      <c r="AH25" s="294">
        <f t="shared" si="14"/>
        <v>0</v>
      </c>
      <c r="AI25" s="456"/>
      <c r="AJ25" s="568">
        <f t="shared" si="23"/>
        <v>0</v>
      </c>
      <c r="AK25" s="375">
        <f t="shared" si="15"/>
        <v>0</v>
      </c>
      <c r="AL25" s="455"/>
      <c r="AM25" s="568">
        <f t="shared" si="27"/>
        <v>0</v>
      </c>
      <c r="AN25" s="460">
        <f t="shared" si="24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6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9"/>
        <v>0</v>
      </c>
      <c r="J26" s="1"/>
      <c r="K26" s="567">
        <f t="shared" si="5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8"/>
        <v>0</v>
      </c>
      <c r="W26" s="455"/>
      <c r="X26" s="568">
        <f t="shared" si="18"/>
        <v>0</v>
      </c>
      <c r="Y26" s="294">
        <f t="shared" si="11"/>
        <v>0</v>
      </c>
      <c r="Z26" s="455"/>
      <c r="AA26" s="568">
        <f t="shared" si="19"/>
        <v>0</v>
      </c>
      <c r="AB26" s="294">
        <f t="shared" si="12"/>
        <v>0</v>
      </c>
      <c r="AC26" s="295"/>
      <c r="AD26" s="568">
        <f t="shared" si="20"/>
        <v>0</v>
      </c>
      <c r="AE26" s="294">
        <f t="shared" si="13"/>
        <v>0</v>
      </c>
      <c r="AF26" s="456"/>
      <c r="AG26" s="568">
        <f t="shared" si="21"/>
        <v>0</v>
      </c>
      <c r="AH26" s="294">
        <f t="shared" si="14"/>
        <v>0</v>
      </c>
      <c r="AI26" s="456"/>
      <c r="AJ26" s="568">
        <f t="shared" si="23"/>
        <v>0</v>
      </c>
      <c r="AK26" s="375">
        <f t="shared" si="15"/>
        <v>0</v>
      </c>
      <c r="AL26" s="455"/>
      <c r="AM26" s="568">
        <f t="shared" si="27"/>
        <v>0</v>
      </c>
      <c r="AN26" s="460">
        <f t="shared" si="24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6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9"/>
        <v>0</v>
      </c>
      <c r="J27" s="1"/>
      <c r="K27" s="567">
        <f t="shared" si="5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8"/>
        <v>0</v>
      </c>
      <c r="W27" s="455"/>
      <c r="X27" s="568">
        <f t="shared" si="18"/>
        <v>0</v>
      </c>
      <c r="Y27" s="294">
        <f t="shared" si="11"/>
        <v>0</v>
      </c>
      <c r="Z27" s="455"/>
      <c r="AA27" s="568">
        <f t="shared" si="19"/>
        <v>0</v>
      </c>
      <c r="AB27" s="294">
        <f t="shared" si="12"/>
        <v>0</v>
      </c>
      <c r="AC27" s="295"/>
      <c r="AD27" s="568">
        <f t="shared" si="20"/>
        <v>0</v>
      </c>
      <c r="AE27" s="294">
        <f t="shared" si="13"/>
        <v>0</v>
      </c>
      <c r="AF27" s="456"/>
      <c r="AG27" s="568">
        <f t="shared" si="21"/>
        <v>0</v>
      </c>
      <c r="AH27" s="294">
        <f t="shared" si="14"/>
        <v>0</v>
      </c>
      <c r="AI27" s="456"/>
      <c r="AJ27" s="568">
        <f t="shared" si="23"/>
        <v>0</v>
      </c>
      <c r="AK27" s="375">
        <f t="shared" si="15"/>
        <v>0</v>
      </c>
      <c r="AL27" s="455"/>
      <c r="AM27" s="568">
        <f t="shared" si="22"/>
        <v>0</v>
      </c>
      <c r="AN27" s="460">
        <f t="shared" si="24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6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9"/>
        <v>0</v>
      </c>
      <c r="J28" s="1"/>
      <c r="K28" s="567">
        <f>IF((J28-J27)&lt;0,"0",(J28-J27))</f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8"/>
        <v>0</v>
      </c>
      <c r="W28" s="455"/>
      <c r="X28" s="568">
        <f t="shared" si="18"/>
        <v>0</v>
      </c>
      <c r="Y28" s="294">
        <f t="shared" si="11"/>
        <v>0</v>
      </c>
      <c r="Z28" s="455"/>
      <c r="AA28" s="568">
        <f t="shared" si="19"/>
        <v>0</v>
      </c>
      <c r="AB28" s="294">
        <f t="shared" si="12"/>
        <v>0</v>
      </c>
      <c r="AC28" s="295"/>
      <c r="AD28" s="568">
        <f t="shared" si="20"/>
        <v>0</v>
      </c>
      <c r="AE28" s="294">
        <f t="shared" si="13"/>
        <v>0</v>
      </c>
      <c r="AF28" s="456"/>
      <c r="AG28" s="568">
        <f t="shared" si="21"/>
        <v>0</v>
      </c>
      <c r="AH28" s="294">
        <f t="shared" si="14"/>
        <v>0</v>
      </c>
      <c r="AI28" s="456"/>
      <c r="AJ28" s="568">
        <f t="shared" si="23"/>
        <v>0</v>
      </c>
      <c r="AK28" s="375">
        <f t="shared" si="15"/>
        <v>0</v>
      </c>
      <c r="AL28" s="455"/>
      <c r="AM28" s="568">
        <f t="shared" si="22"/>
        <v>0</v>
      </c>
      <c r="AN28" s="460">
        <f t="shared" si="24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6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9"/>
        <v>0</v>
      </c>
      <c r="J29" s="1"/>
      <c r="K29" s="567">
        <f t="shared" ref="K29:K37" si="38">IF((J29-J28)&lt;0,"0",(J29-J28))</f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8"/>
        <v>0</v>
      </c>
      <c r="W29" s="455"/>
      <c r="X29" s="568">
        <f t="shared" si="18"/>
        <v>0</v>
      </c>
      <c r="Y29" s="294">
        <f t="shared" si="11"/>
        <v>0</v>
      </c>
      <c r="Z29" s="455"/>
      <c r="AA29" s="568">
        <f t="shared" si="19"/>
        <v>0</v>
      </c>
      <c r="AB29" s="294">
        <f t="shared" si="12"/>
        <v>0</v>
      </c>
      <c r="AC29" s="295"/>
      <c r="AD29" s="568">
        <f t="shared" si="20"/>
        <v>0</v>
      </c>
      <c r="AE29" s="294">
        <f t="shared" si="13"/>
        <v>0</v>
      </c>
      <c r="AF29" s="456"/>
      <c r="AG29" s="568">
        <f t="shared" si="21"/>
        <v>0</v>
      </c>
      <c r="AH29" s="294">
        <f t="shared" si="14"/>
        <v>0</v>
      </c>
      <c r="AI29" s="456"/>
      <c r="AJ29" s="568">
        <f t="shared" si="23"/>
        <v>0</v>
      </c>
      <c r="AK29" s="375">
        <f t="shared" si="15"/>
        <v>0</v>
      </c>
      <c r="AL29" s="455"/>
      <c r="AM29" s="568">
        <f t="shared" si="22"/>
        <v>0</v>
      </c>
      <c r="AN29" s="460">
        <f t="shared" si="24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6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9"/>
        <v>0</v>
      </c>
      <c r="J30" s="1"/>
      <c r="K30" s="567">
        <f t="shared" si="38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8"/>
        <v>0</v>
      </c>
      <c r="W30" s="455"/>
      <c r="X30" s="568">
        <f t="shared" si="18"/>
        <v>0</v>
      </c>
      <c r="Y30" s="294">
        <f t="shared" si="11"/>
        <v>0</v>
      </c>
      <c r="Z30" s="455"/>
      <c r="AA30" s="568">
        <f t="shared" si="19"/>
        <v>0</v>
      </c>
      <c r="AB30" s="294">
        <f t="shared" si="12"/>
        <v>0</v>
      </c>
      <c r="AC30" s="295"/>
      <c r="AD30" s="568">
        <f t="shared" si="20"/>
        <v>0</v>
      </c>
      <c r="AE30" s="294">
        <f t="shared" si="13"/>
        <v>0</v>
      </c>
      <c r="AF30" s="456"/>
      <c r="AG30" s="568">
        <f t="shared" si="21"/>
        <v>0</v>
      </c>
      <c r="AH30" s="294">
        <f t="shared" si="14"/>
        <v>0</v>
      </c>
      <c r="AI30" s="456"/>
      <c r="AJ30" s="568">
        <f t="shared" si="23"/>
        <v>0</v>
      </c>
      <c r="AK30" s="375">
        <f t="shared" si="15"/>
        <v>0</v>
      </c>
      <c r="AL30" s="455"/>
      <c r="AM30" s="568">
        <f t="shared" si="22"/>
        <v>0</v>
      </c>
      <c r="AN30" s="460">
        <f t="shared" si="24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6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9"/>
        <v>0</v>
      </c>
      <c r="J31" s="1"/>
      <c r="K31" s="567">
        <f t="shared" si="38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8"/>
        <v>0</v>
      </c>
      <c r="W31" s="455"/>
      <c r="X31" s="568">
        <f t="shared" si="18"/>
        <v>0</v>
      </c>
      <c r="Y31" s="294">
        <f t="shared" si="11"/>
        <v>0</v>
      </c>
      <c r="Z31" s="455"/>
      <c r="AA31" s="568">
        <f t="shared" si="19"/>
        <v>0</v>
      </c>
      <c r="AB31" s="294">
        <f t="shared" si="12"/>
        <v>0</v>
      </c>
      <c r="AC31" s="295"/>
      <c r="AD31" s="568">
        <f t="shared" si="20"/>
        <v>0</v>
      </c>
      <c r="AE31" s="294">
        <f t="shared" si="13"/>
        <v>0</v>
      </c>
      <c r="AF31" s="456"/>
      <c r="AG31" s="568">
        <f t="shared" si="21"/>
        <v>0</v>
      </c>
      <c r="AH31" s="294">
        <f t="shared" si="14"/>
        <v>0</v>
      </c>
      <c r="AI31" s="456"/>
      <c r="AJ31" s="568">
        <f t="shared" si="23"/>
        <v>0</v>
      </c>
      <c r="AK31" s="375">
        <f t="shared" si="15"/>
        <v>0</v>
      </c>
      <c r="AL31" s="455"/>
      <c r="AM31" s="568">
        <f t="shared" si="22"/>
        <v>0</v>
      </c>
      <c r="AN31" s="460">
        <f t="shared" si="24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6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9"/>
        <v>0</v>
      </c>
      <c r="J32" s="1"/>
      <c r="K32" s="567">
        <f t="shared" si="38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8"/>
        <v>0</v>
      </c>
      <c r="W32" s="455"/>
      <c r="X32" s="568">
        <f t="shared" si="18"/>
        <v>0</v>
      </c>
      <c r="Y32" s="294">
        <f t="shared" si="11"/>
        <v>0</v>
      </c>
      <c r="Z32" s="455"/>
      <c r="AA32" s="568">
        <f t="shared" si="19"/>
        <v>0</v>
      </c>
      <c r="AB32" s="294">
        <f t="shared" si="12"/>
        <v>0</v>
      </c>
      <c r="AC32" s="295"/>
      <c r="AD32" s="568">
        <f t="shared" si="20"/>
        <v>0</v>
      </c>
      <c r="AE32" s="294">
        <f t="shared" si="13"/>
        <v>0</v>
      </c>
      <c r="AF32" s="456"/>
      <c r="AG32" s="568">
        <f t="shared" si="21"/>
        <v>0</v>
      </c>
      <c r="AH32" s="294">
        <f t="shared" si="14"/>
        <v>0</v>
      </c>
      <c r="AI32" s="456"/>
      <c r="AJ32" s="568">
        <f t="shared" si="23"/>
        <v>0</v>
      </c>
      <c r="AK32" s="375">
        <f t="shared" si="15"/>
        <v>0</v>
      </c>
      <c r="AL32" s="455"/>
      <c r="AM32" s="568">
        <f t="shared" si="22"/>
        <v>0</v>
      </c>
      <c r="AN32" s="460">
        <f t="shared" si="24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6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9"/>
        <v>0</v>
      </c>
      <c r="J33" s="1"/>
      <c r="K33" s="567">
        <f t="shared" si="38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8"/>
        <v>0</v>
      </c>
      <c r="W33" s="455"/>
      <c r="X33" s="568">
        <f t="shared" si="18"/>
        <v>0</v>
      </c>
      <c r="Y33" s="294">
        <f t="shared" si="11"/>
        <v>0</v>
      </c>
      <c r="Z33" s="455"/>
      <c r="AA33" s="568">
        <f t="shared" si="19"/>
        <v>0</v>
      </c>
      <c r="AB33" s="294">
        <f t="shared" si="12"/>
        <v>0</v>
      </c>
      <c r="AC33" s="295"/>
      <c r="AD33" s="568">
        <f t="shared" si="20"/>
        <v>0</v>
      </c>
      <c r="AE33" s="294">
        <f t="shared" si="13"/>
        <v>0</v>
      </c>
      <c r="AF33" s="456"/>
      <c r="AG33" s="568">
        <f t="shared" si="21"/>
        <v>0</v>
      </c>
      <c r="AH33" s="294">
        <f t="shared" si="14"/>
        <v>0</v>
      </c>
      <c r="AI33" s="456"/>
      <c r="AJ33" s="568">
        <f t="shared" si="23"/>
        <v>0</v>
      </c>
      <c r="AK33" s="375">
        <f t="shared" si="15"/>
        <v>0</v>
      </c>
      <c r="AL33" s="455"/>
      <c r="AM33" s="568">
        <f t="shared" si="22"/>
        <v>0</v>
      </c>
      <c r="AN33" s="460">
        <f t="shared" si="24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6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9"/>
        <v>0</v>
      </c>
      <c r="J34" s="1"/>
      <c r="K34" s="567">
        <f t="shared" si="38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8"/>
        <v>0</v>
      </c>
      <c r="W34" s="455"/>
      <c r="X34" s="568">
        <f t="shared" si="18"/>
        <v>0</v>
      </c>
      <c r="Y34" s="294">
        <f t="shared" si="11"/>
        <v>0</v>
      </c>
      <c r="Z34" s="455"/>
      <c r="AA34" s="568">
        <f t="shared" si="19"/>
        <v>0</v>
      </c>
      <c r="AB34" s="294">
        <f t="shared" si="12"/>
        <v>0</v>
      </c>
      <c r="AC34" s="295"/>
      <c r="AD34" s="568">
        <f t="shared" si="20"/>
        <v>0</v>
      </c>
      <c r="AE34" s="294">
        <f t="shared" si="13"/>
        <v>0</v>
      </c>
      <c r="AF34" s="456"/>
      <c r="AG34" s="568">
        <f t="shared" si="21"/>
        <v>0</v>
      </c>
      <c r="AH34" s="294">
        <f t="shared" si="14"/>
        <v>0</v>
      </c>
      <c r="AI34" s="456"/>
      <c r="AJ34" s="568">
        <f t="shared" si="23"/>
        <v>0</v>
      </c>
      <c r="AK34" s="375">
        <f t="shared" si="15"/>
        <v>0</v>
      </c>
      <c r="AL34" s="455"/>
      <c r="AM34" s="568">
        <f t="shared" si="22"/>
        <v>0</v>
      </c>
      <c r="AN34" s="460">
        <f t="shared" si="24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6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9"/>
        <v>0</v>
      </c>
      <c r="J35" s="1"/>
      <c r="K35" s="567">
        <f t="shared" si="38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8"/>
        <v>0</v>
      </c>
      <c r="W35" s="455"/>
      <c r="X35" s="568">
        <f t="shared" si="18"/>
        <v>0</v>
      </c>
      <c r="Y35" s="294">
        <f t="shared" si="11"/>
        <v>0</v>
      </c>
      <c r="Z35" s="455"/>
      <c r="AA35" s="568">
        <f t="shared" si="19"/>
        <v>0</v>
      </c>
      <c r="AB35" s="294">
        <f t="shared" si="12"/>
        <v>0</v>
      </c>
      <c r="AC35" s="295"/>
      <c r="AD35" s="568">
        <f t="shared" si="20"/>
        <v>0</v>
      </c>
      <c r="AE35" s="294">
        <f t="shared" si="13"/>
        <v>0</v>
      </c>
      <c r="AF35" s="456"/>
      <c r="AG35" s="568">
        <f t="shared" si="21"/>
        <v>0</v>
      </c>
      <c r="AH35" s="294">
        <f t="shared" si="14"/>
        <v>0</v>
      </c>
      <c r="AI35" s="456"/>
      <c r="AJ35" s="568">
        <f t="shared" si="23"/>
        <v>0</v>
      </c>
      <c r="AK35" s="375">
        <f t="shared" si="15"/>
        <v>0</v>
      </c>
      <c r="AL35" s="455"/>
      <c r="AM35" s="568">
        <f t="shared" si="22"/>
        <v>0</v>
      </c>
      <c r="AN35" s="460">
        <f t="shared" si="24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6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9"/>
        <v>0</v>
      </c>
      <c r="J36" s="1"/>
      <c r="K36" s="567">
        <f t="shared" si="38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8"/>
        <v>0</v>
      </c>
      <c r="W36" s="455"/>
      <c r="X36" s="568">
        <f t="shared" si="18"/>
        <v>0</v>
      </c>
      <c r="Y36" s="294">
        <f t="shared" si="11"/>
        <v>0</v>
      </c>
      <c r="Z36" s="455"/>
      <c r="AA36" s="568">
        <f t="shared" si="19"/>
        <v>0</v>
      </c>
      <c r="AB36" s="294">
        <f t="shared" si="12"/>
        <v>0</v>
      </c>
      <c r="AC36" s="295"/>
      <c r="AD36" s="568">
        <f t="shared" si="20"/>
        <v>0</v>
      </c>
      <c r="AE36" s="294">
        <f t="shared" si="13"/>
        <v>0</v>
      </c>
      <c r="AF36" s="456"/>
      <c r="AG36" s="568">
        <f t="shared" si="21"/>
        <v>0</v>
      </c>
      <c r="AH36" s="294">
        <f t="shared" si="14"/>
        <v>0</v>
      </c>
      <c r="AI36" s="456"/>
      <c r="AJ36" s="568">
        <f t="shared" si="23"/>
        <v>0</v>
      </c>
      <c r="AK36" s="375">
        <f t="shared" si="15"/>
        <v>0</v>
      </c>
      <c r="AL36" s="455"/>
      <c r="AM36" s="568">
        <f t="shared" si="22"/>
        <v>0</v>
      </c>
      <c r="AN36" s="460">
        <f t="shared" si="24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6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9"/>
        <v>0</v>
      </c>
      <c r="J37" s="1"/>
      <c r="K37" s="567">
        <f t="shared" si="38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8"/>
        <v>0</v>
      </c>
      <c r="W37" s="455"/>
      <c r="X37" s="568">
        <f t="shared" si="18"/>
        <v>0</v>
      </c>
      <c r="Y37" s="294">
        <f t="shared" si="11"/>
        <v>0</v>
      </c>
      <c r="Z37" s="455"/>
      <c r="AA37" s="568">
        <f t="shared" si="19"/>
        <v>0</v>
      </c>
      <c r="AB37" s="294">
        <f t="shared" si="12"/>
        <v>0</v>
      </c>
      <c r="AC37" s="295"/>
      <c r="AD37" s="568">
        <f t="shared" si="20"/>
        <v>0</v>
      </c>
      <c r="AE37" s="294">
        <f t="shared" si="13"/>
        <v>0</v>
      </c>
      <c r="AF37" s="456"/>
      <c r="AG37" s="568">
        <f t="shared" si="21"/>
        <v>0</v>
      </c>
      <c r="AH37" s="294">
        <f t="shared" si="14"/>
        <v>0</v>
      </c>
      <c r="AI37" s="456"/>
      <c r="AJ37" s="568">
        <f t="shared" si="23"/>
        <v>0</v>
      </c>
      <c r="AK37" s="375">
        <f t="shared" si="15"/>
        <v>0</v>
      </c>
      <c r="AL37" s="455"/>
      <c r="AM37" s="568">
        <f t="shared" si="22"/>
        <v>0</v>
      </c>
      <c r="AN37" s="460">
        <f t="shared" ref="AN37" si="39">U38+X38+AA38+AD38+AG38+AJ38+AM38</f>
        <v>218</v>
      </c>
    </row>
    <row r="38" spans="1:41" ht="17.25">
      <c r="A38" s="58"/>
      <c r="B38" s="22"/>
      <c r="C38" s="893" t="s">
        <v>6</v>
      </c>
      <c r="D38" s="893"/>
      <c r="E38" s="23">
        <f>SUM(E6:E36)</f>
        <v>538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6</v>
      </c>
      <c r="L38" s="170"/>
      <c r="M38" s="170"/>
      <c r="N38" s="29">
        <f t="shared" ref="N38" si="40">M38-M37</f>
        <v>0</v>
      </c>
      <c r="O38" s="27"/>
      <c r="P38" s="296"/>
      <c r="Q38" s="297">
        <f t="shared" ref="Q38" si="41">P38-O38</f>
        <v>0</v>
      </c>
      <c r="R38" s="298">
        <f>E38</f>
        <v>538</v>
      </c>
      <c r="S38" s="296"/>
      <c r="T38" s="296"/>
      <c r="U38" s="306">
        <f>SUM(U6:U37)</f>
        <v>218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2">U38+X38+AA38+AD38+AG38+AJ38+AM38</f>
        <v>218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2"/>
      <c r="B42" s="331"/>
      <c r="C42" s="859" t="s">
        <v>222</v>
      </c>
      <c r="D42" s="860"/>
      <c r="E42" s="860"/>
      <c r="F42" s="860"/>
      <c r="G42" s="860"/>
      <c r="H42" s="860"/>
      <c r="I42" s="860"/>
      <c r="J42" s="860"/>
      <c r="K42" s="861"/>
      <c r="R42" s="20"/>
    </row>
    <row r="43" spans="1:41" ht="24.75" customHeight="1">
      <c r="A43" s="863"/>
      <c r="B43" s="20"/>
      <c r="C43" s="865" t="s">
        <v>216</v>
      </c>
      <c r="D43" s="866"/>
      <c r="E43" s="867" t="s">
        <v>237</v>
      </c>
      <c r="F43" s="868"/>
      <c r="G43" s="869" t="s">
        <v>217</v>
      </c>
      <c r="H43" s="870"/>
      <c r="I43" s="869" t="s">
        <v>238</v>
      </c>
      <c r="J43" s="870"/>
      <c r="K43" s="857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63"/>
      <c r="B44" s="20"/>
      <c r="C44" s="871" t="s">
        <v>218</v>
      </c>
      <c r="D44" s="872"/>
      <c r="E44" s="871" t="s">
        <v>219</v>
      </c>
      <c r="F44" s="872"/>
      <c r="G44" s="871" t="s">
        <v>220</v>
      </c>
      <c r="H44" s="872"/>
      <c r="I44" s="871" t="s">
        <v>221</v>
      </c>
      <c r="J44" s="872"/>
      <c r="K44" s="858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64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3">C46*217/300</f>
        <v>206.15</v>
      </c>
      <c r="E46" s="6">
        <v>270</v>
      </c>
      <c r="F46" s="386">
        <f t="shared" ref="F46:F77" si="44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3"/>
        <v>206.15</v>
      </c>
      <c r="E47" s="6">
        <v>250</v>
      </c>
      <c r="F47" s="386">
        <f t="shared" si="44"/>
        <v>75.409836065573771</v>
      </c>
      <c r="G47" s="570">
        <v>245</v>
      </c>
      <c r="H47" s="386">
        <f t="shared" ref="H47:H77" si="45">G47*146/383</f>
        <v>93.394255874673632</v>
      </c>
      <c r="I47" s="6">
        <v>290</v>
      </c>
      <c r="J47" s="386">
        <f t="shared" ref="J47:J77" si="46">I47*213/308</f>
        <v>200.55194805194805</v>
      </c>
      <c r="K47" s="392">
        <f t="shared" ref="K47:K77" si="47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3"/>
        <v>217</v>
      </c>
      <c r="E48" s="6">
        <v>300</v>
      </c>
      <c r="F48" s="386">
        <f t="shared" si="44"/>
        <v>90.491803278688522</v>
      </c>
      <c r="G48" s="570">
        <v>190</v>
      </c>
      <c r="H48" s="386">
        <f t="shared" si="45"/>
        <v>72.428198433420363</v>
      </c>
      <c r="I48" s="6">
        <v>290</v>
      </c>
      <c r="J48" s="386">
        <f t="shared" si="46"/>
        <v>200.55194805194805</v>
      </c>
      <c r="K48" s="392">
        <f t="shared" si="47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>
        <v>360</v>
      </c>
      <c r="D49" s="386">
        <f t="shared" si="43"/>
        <v>260.39999999999998</v>
      </c>
      <c r="E49" s="6">
        <v>230</v>
      </c>
      <c r="F49" s="386">
        <f t="shared" si="44"/>
        <v>69.377049180327873</v>
      </c>
      <c r="G49" s="570">
        <v>250</v>
      </c>
      <c r="H49" s="386">
        <f t="shared" si="45"/>
        <v>95.300261096605738</v>
      </c>
      <c r="I49" s="6">
        <v>290</v>
      </c>
      <c r="J49" s="386">
        <f t="shared" si="46"/>
        <v>200.55194805194805</v>
      </c>
      <c r="K49" s="392">
        <f t="shared" si="47"/>
        <v>625.62925832888163</v>
      </c>
    </row>
    <row r="50" spans="1:15" ht="13.5">
      <c r="A50" s="349">
        <f>Gen!B15</f>
        <v>43956</v>
      </c>
      <c r="B50" s="20"/>
      <c r="C50" s="63">
        <v>290</v>
      </c>
      <c r="D50" s="386">
        <f t="shared" si="43"/>
        <v>209.76666666666668</v>
      </c>
      <c r="E50" s="6">
        <v>240</v>
      </c>
      <c r="F50" s="386">
        <f t="shared" si="44"/>
        <v>72.393442622950815</v>
      </c>
      <c r="G50" s="570">
        <v>150</v>
      </c>
      <c r="H50" s="386">
        <f t="shared" si="45"/>
        <v>57.180156657963444</v>
      </c>
      <c r="I50" s="6">
        <v>285</v>
      </c>
      <c r="J50" s="386">
        <f t="shared" si="46"/>
        <v>197.09415584415584</v>
      </c>
      <c r="K50" s="392">
        <f t="shared" si="47"/>
        <v>536.43442179173678</v>
      </c>
    </row>
    <row r="51" spans="1:15" ht="13.5">
      <c r="A51" s="349">
        <f>Gen!B16</f>
        <v>43957</v>
      </c>
      <c r="B51" s="20"/>
      <c r="C51" s="63">
        <v>290</v>
      </c>
      <c r="D51" s="386">
        <f t="shared" si="43"/>
        <v>209.76666666666668</v>
      </c>
      <c r="E51" s="6">
        <v>240</v>
      </c>
      <c r="F51" s="386">
        <f t="shared" si="44"/>
        <v>72.393442622950815</v>
      </c>
      <c r="G51" s="570">
        <v>200</v>
      </c>
      <c r="H51" s="386">
        <f t="shared" si="45"/>
        <v>76.240208877284601</v>
      </c>
      <c r="I51" s="6">
        <v>290</v>
      </c>
      <c r="J51" s="386">
        <f t="shared" si="46"/>
        <v>200.55194805194805</v>
      </c>
      <c r="K51" s="392">
        <f t="shared" si="47"/>
        <v>558.95226621885013</v>
      </c>
    </row>
    <row r="52" spans="1:15" ht="13.5">
      <c r="A52" s="349">
        <f>Gen!B17</f>
        <v>43958</v>
      </c>
      <c r="B52" s="20"/>
      <c r="C52" s="63">
        <v>280</v>
      </c>
      <c r="D52" s="386">
        <f t="shared" si="43"/>
        <v>202.53333333333333</v>
      </c>
      <c r="E52" s="6">
        <v>240</v>
      </c>
      <c r="F52" s="386">
        <f t="shared" si="44"/>
        <v>72.393442622950815</v>
      </c>
      <c r="G52" s="570">
        <v>165</v>
      </c>
      <c r="H52" s="386">
        <f t="shared" si="45"/>
        <v>62.898172323759788</v>
      </c>
      <c r="I52" s="6">
        <v>285</v>
      </c>
      <c r="J52" s="386">
        <f t="shared" si="46"/>
        <v>197.09415584415584</v>
      </c>
      <c r="K52" s="392">
        <f t="shared" si="47"/>
        <v>534.91910412419975</v>
      </c>
    </row>
    <row r="53" spans="1:15" ht="13.5">
      <c r="A53" s="349">
        <f>Gen!B18</f>
        <v>43959</v>
      </c>
      <c r="B53" s="20"/>
      <c r="C53" s="63">
        <v>285</v>
      </c>
      <c r="D53" s="386">
        <f t="shared" si="43"/>
        <v>206.15</v>
      </c>
      <c r="E53" s="6">
        <v>245</v>
      </c>
      <c r="F53" s="386">
        <f t="shared" si="44"/>
        <v>73.901639344262293</v>
      </c>
      <c r="G53" s="570">
        <v>150</v>
      </c>
      <c r="H53" s="386">
        <f t="shared" si="45"/>
        <v>57.180156657963444</v>
      </c>
      <c r="I53" s="6">
        <v>280</v>
      </c>
      <c r="J53" s="386">
        <f t="shared" si="46"/>
        <v>193.63636363636363</v>
      </c>
      <c r="K53" s="392">
        <f t="shared" si="47"/>
        <v>530.8681596385893</v>
      </c>
    </row>
    <row r="54" spans="1:15" ht="13.5">
      <c r="A54" s="349">
        <f>Gen!B19</f>
        <v>43960</v>
      </c>
      <c r="B54" s="20"/>
      <c r="C54" s="63">
        <v>250</v>
      </c>
      <c r="D54" s="386">
        <f t="shared" si="43"/>
        <v>180.83333333333334</v>
      </c>
      <c r="E54" s="6">
        <v>210</v>
      </c>
      <c r="F54" s="386">
        <f t="shared" si="44"/>
        <v>63.344262295081968</v>
      </c>
      <c r="G54" s="570">
        <v>200</v>
      </c>
      <c r="H54" s="386">
        <f t="shared" si="45"/>
        <v>76.240208877284601</v>
      </c>
      <c r="I54" s="6">
        <v>290</v>
      </c>
      <c r="J54" s="386">
        <f t="shared" si="46"/>
        <v>200.55194805194805</v>
      </c>
      <c r="K54" s="392">
        <f t="shared" si="47"/>
        <v>520.96975255764801</v>
      </c>
    </row>
    <row r="55" spans="1:15" ht="13.5">
      <c r="A55" s="349">
        <f>Gen!B20</f>
        <v>43961</v>
      </c>
      <c r="B55" s="20"/>
      <c r="C55" s="63">
        <v>160</v>
      </c>
      <c r="D55" s="386">
        <f t="shared" si="43"/>
        <v>115.73333333333333</v>
      </c>
      <c r="E55" s="6">
        <v>120</v>
      </c>
      <c r="F55" s="386">
        <f t="shared" si="44"/>
        <v>36.196721311475407</v>
      </c>
      <c r="G55" s="570">
        <v>270</v>
      </c>
      <c r="H55" s="386">
        <f t="shared" si="45"/>
        <v>102.9242819843342</v>
      </c>
      <c r="I55" s="6">
        <v>285</v>
      </c>
      <c r="J55" s="386">
        <f t="shared" si="46"/>
        <v>197.09415584415584</v>
      </c>
      <c r="K55" s="392">
        <f t="shared" si="47"/>
        <v>451.94849247329876</v>
      </c>
    </row>
    <row r="56" spans="1:15" ht="13.5">
      <c r="A56" s="349">
        <f>Gen!B21</f>
        <v>43962</v>
      </c>
      <c r="B56" s="20"/>
      <c r="C56" s="63">
        <v>190</v>
      </c>
      <c r="D56" s="386">
        <f t="shared" si="43"/>
        <v>137.43333333333334</v>
      </c>
      <c r="E56" s="6">
        <v>130</v>
      </c>
      <c r="F56" s="386">
        <f t="shared" si="44"/>
        <v>39.213114754098363</v>
      </c>
      <c r="G56" s="570">
        <v>150</v>
      </c>
      <c r="H56" s="386">
        <f t="shared" si="45"/>
        <v>57.180156657963444</v>
      </c>
      <c r="I56" s="6">
        <v>290</v>
      </c>
      <c r="J56" s="386">
        <f t="shared" si="46"/>
        <v>200.55194805194805</v>
      </c>
      <c r="K56" s="392">
        <f t="shared" si="47"/>
        <v>434.37855279734322</v>
      </c>
    </row>
    <row r="57" spans="1:15" ht="13.5">
      <c r="A57" s="349">
        <f>Gen!B22</f>
        <v>43963</v>
      </c>
      <c r="B57" s="20"/>
      <c r="C57" s="63">
        <v>250</v>
      </c>
      <c r="D57" s="386">
        <f t="shared" si="43"/>
        <v>180.83333333333334</v>
      </c>
      <c r="E57" s="6">
        <v>190</v>
      </c>
      <c r="F57" s="386">
        <f t="shared" si="44"/>
        <v>57.311475409836063</v>
      </c>
      <c r="G57" s="570">
        <v>100</v>
      </c>
      <c r="H57" s="386">
        <f t="shared" si="45"/>
        <v>38.120104438642301</v>
      </c>
      <c r="I57" s="6">
        <v>285</v>
      </c>
      <c r="J57" s="386">
        <f t="shared" si="46"/>
        <v>197.09415584415584</v>
      </c>
      <c r="K57" s="392">
        <f t="shared" si="47"/>
        <v>473.35906902596753</v>
      </c>
    </row>
    <row r="58" spans="1:15" ht="13.5">
      <c r="A58" s="349">
        <f>Gen!B23</f>
        <v>43964</v>
      </c>
      <c r="B58" s="20"/>
      <c r="C58" s="63">
        <v>240</v>
      </c>
      <c r="D58" s="386">
        <f t="shared" si="43"/>
        <v>173.6</v>
      </c>
      <c r="E58" s="6">
        <v>210</v>
      </c>
      <c r="F58" s="386">
        <f t="shared" si="44"/>
        <v>63.344262295081968</v>
      </c>
      <c r="G58" s="570">
        <v>220</v>
      </c>
      <c r="H58" s="386">
        <f t="shared" si="45"/>
        <v>83.86422976501305</v>
      </c>
      <c r="I58" s="6">
        <v>290</v>
      </c>
      <c r="J58" s="386">
        <f t="shared" si="46"/>
        <v>200.55194805194805</v>
      </c>
      <c r="K58" s="392">
        <f t="shared" si="47"/>
        <v>521.36044011204308</v>
      </c>
    </row>
    <row r="59" spans="1:15" ht="13.5">
      <c r="A59" s="349">
        <f>Gen!B24</f>
        <v>43965</v>
      </c>
      <c r="B59" s="20"/>
      <c r="C59" s="63">
        <v>220</v>
      </c>
      <c r="D59" s="386">
        <f t="shared" si="43"/>
        <v>159.13333333333333</v>
      </c>
      <c r="E59" s="6">
        <v>180</v>
      </c>
      <c r="F59" s="386">
        <f t="shared" si="44"/>
        <v>54.295081967213115</v>
      </c>
      <c r="G59" s="570">
        <v>120</v>
      </c>
      <c r="H59" s="386">
        <f t="shared" si="45"/>
        <v>45.744125326370757</v>
      </c>
      <c r="I59" s="6">
        <v>285</v>
      </c>
      <c r="J59" s="386">
        <f t="shared" si="46"/>
        <v>197.09415584415584</v>
      </c>
      <c r="K59" s="392">
        <f t="shared" si="47"/>
        <v>456.26669647107303</v>
      </c>
    </row>
    <row r="60" spans="1:15" ht="13.5">
      <c r="A60" s="349">
        <f>Gen!B25</f>
        <v>43966</v>
      </c>
      <c r="B60" s="20"/>
      <c r="C60" s="63"/>
      <c r="D60" s="386">
        <f t="shared" si="43"/>
        <v>0</v>
      </c>
      <c r="E60" s="6"/>
      <c r="F60" s="386">
        <f t="shared" si="44"/>
        <v>0</v>
      </c>
      <c r="G60" s="570"/>
      <c r="H60" s="386">
        <f t="shared" si="45"/>
        <v>0</v>
      </c>
      <c r="I60" s="6"/>
      <c r="J60" s="386">
        <f t="shared" si="46"/>
        <v>0</v>
      </c>
      <c r="K60" s="392">
        <f t="shared" si="47"/>
        <v>0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/>
      <c r="D61" s="386">
        <f t="shared" si="43"/>
        <v>0</v>
      </c>
      <c r="E61" s="6"/>
      <c r="F61" s="386">
        <f t="shared" si="44"/>
        <v>0</v>
      </c>
      <c r="G61" s="570"/>
      <c r="H61" s="386">
        <f t="shared" si="45"/>
        <v>0</v>
      </c>
      <c r="I61" s="6"/>
      <c r="J61" s="386">
        <f t="shared" si="46"/>
        <v>0</v>
      </c>
      <c r="K61" s="392">
        <f t="shared" si="47"/>
        <v>0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3"/>
        <v>0</v>
      </c>
      <c r="E62" s="6"/>
      <c r="F62" s="386">
        <f t="shared" si="44"/>
        <v>0</v>
      </c>
      <c r="G62" s="570"/>
      <c r="H62" s="386">
        <f t="shared" si="45"/>
        <v>0</v>
      </c>
      <c r="I62" s="6"/>
      <c r="J62" s="386">
        <f t="shared" si="46"/>
        <v>0</v>
      </c>
      <c r="K62" s="392">
        <f t="shared" si="47"/>
        <v>0</v>
      </c>
    </row>
    <row r="63" spans="1:15" ht="13.5">
      <c r="A63" s="349">
        <f>Gen!B28</f>
        <v>43969</v>
      </c>
      <c r="B63" s="20"/>
      <c r="C63" s="63"/>
      <c r="D63" s="386">
        <f t="shared" si="43"/>
        <v>0</v>
      </c>
      <c r="E63" s="6"/>
      <c r="F63" s="386">
        <f t="shared" si="44"/>
        <v>0</v>
      </c>
      <c r="G63" s="570"/>
      <c r="H63" s="386">
        <f t="shared" si="45"/>
        <v>0</v>
      </c>
      <c r="I63" s="6"/>
      <c r="J63" s="386">
        <f t="shared" si="46"/>
        <v>0</v>
      </c>
      <c r="K63" s="392">
        <f t="shared" si="47"/>
        <v>0</v>
      </c>
    </row>
    <row r="64" spans="1:15" ht="13.5">
      <c r="A64" s="349">
        <f>Gen!B29</f>
        <v>43970</v>
      </c>
      <c r="B64" s="20"/>
      <c r="C64" s="63"/>
      <c r="D64" s="386">
        <f t="shared" si="43"/>
        <v>0</v>
      </c>
      <c r="E64" s="6"/>
      <c r="F64" s="386">
        <f t="shared" si="44"/>
        <v>0</v>
      </c>
      <c r="G64" s="570"/>
      <c r="H64" s="386">
        <f t="shared" si="45"/>
        <v>0</v>
      </c>
      <c r="I64" s="6"/>
      <c r="J64" s="386">
        <f t="shared" si="46"/>
        <v>0</v>
      </c>
      <c r="K64" s="392">
        <f t="shared" si="47"/>
        <v>0</v>
      </c>
    </row>
    <row r="65" spans="1:11" ht="13.5">
      <c r="A65" s="349">
        <f>Gen!B30</f>
        <v>43971</v>
      </c>
      <c r="B65" s="20"/>
      <c r="C65" s="63"/>
      <c r="D65" s="386">
        <f t="shared" si="43"/>
        <v>0</v>
      </c>
      <c r="E65" s="6"/>
      <c r="F65" s="386">
        <f t="shared" si="44"/>
        <v>0</v>
      </c>
      <c r="G65" s="570"/>
      <c r="H65" s="386">
        <f t="shared" si="45"/>
        <v>0</v>
      </c>
      <c r="I65" s="6"/>
      <c r="J65" s="386">
        <f t="shared" si="46"/>
        <v>0</v>
      </c>
      <c r="K65" s="392">
        <f t="shared" si="47"/>
        <v>0</v>
      </c>
    </row>
    <row r="66" spans="1:11" ht="13.5">
      <c r="A66" s="349">
        <f>Gen!B31</f>
        <v>43972</v>
      </c>
      <c r="B66" s="20"/>
      <c r="C66" s="63"/>
      <c r="D66" s="386">
        <f t="shared" si="43"/>
        <v>0</v>
      </c>
      <c r="E66" s="6"/>
      <c r="F66" s="386">
        <f t="shared" si="44"/>
        <v>0</v>
      </c>
      <c r="G66" s="570"/>
      <c r="H66" s="386">
        <f t="shared" si="45"/>
        <v>0</v>
      </c>
      <c r="I66" s="6"/>
      <c r="J66" s="386">
        <f t="shared" si="46"/>
        <v>0</v>
      </c>
      <c r="K66" s="392">
        <f t="shared" si="47"/>
        <v>0</v>
      </c>
    </row>
    <row r="67" spans="1:11" ht="13.5">
      <c r="A67" s="349">
        <f>Gen!B32</f>
        <v>43973</v>
      </c>
      <c r="B67" s="20"/>
      <c r="C67" s="63"/>
      <c r="D67" s="386">
        <f t="shared" si="43"/>
        <v>0</v>
      </c>
      <c r="E67" s="6"/>
      <c r="F67" s="386">
        <f t="shared" si="44"/>
        <v>0</v>
      </c>
      <c r="G67" s="570"/>
      <c r="H67" s="386">
        <f t="shared" si="45"/>
        <v>0</v>
      </c>
      <c r="I67" s="6"/>
      <c r="J67" s="386">
        <f t="shared" si="46"/>
        <v>0</v>
      </c>
      <c r="K67" s="392">
        <f t="shared" si="47"/>
        <v>0</v>
      </c>
    </row>
    <row r="68" spans="1:11" ht="13.5">
      <c r="A68" s="349">
        <f>Gen!B33</f>
        <v>43974</v>
      </c>
      <c r="B68" s="20"/>
      <c r="C68" s="63"/>
      <c r="D68" s="386">
        <f t="shared" si="43"/>
        <v>0</v>
      </c>
      <c r="E68" s="6"/>
      <c r="F68" s="386">
        <f t="shared" si="44"/>
        <v>0</v>
      </c>
      <c r="G68" s="570"/>
      <c r="H68" s="386">
        <f t="shared" si="45"/>
        <v>0</v>
      </c>
      <c r="I68" s="6"/>
      <c r="J68" s="386">
        <f t="shared" si="46"/>
        <v>0</v>
      </c>
      <c r="K68" s="392">
        <f t="shared" si="47"/>
        <v>0</v>
      </c>
    </row>
    <row r="69" spans="1:11" ht="13.5">
      <c r="A69" s="349">
        <f>Gen!B34</f>
        <v>43975</v>
      </c>
      <c r="B69" s="20"/>
      <c r="C69" s="63"/>
      <c r="D69" s="386">
        <f t="shared" si="43"/>
        <v>0</v>
      </c>
      <c r="E69" s="6"/>
      <c r="F69" s="386">
        <f t="shared" si="44"/>
        <v>0</v>
      </c>
      <c r="G69" s="570"/>
      <c r="H69" s="386">
        <f t="shared" si="45"/>
        <v>0</v>
      </c>
      <c r="I69" s="6"/>
      <c r="J69" s="386">
        <f t="shared" si="46"/>
        <v>0</v>
      </c>
      <c r="K69" s="392">
        <f t="shared" si="47"/>
        <v>0</v>
      </c>
    </row>
    <row r="70" spans="1:11" ht="13.5">
      <c r="A70" s="349">
        <f>Gen!B35</f>
        <v>43976</v>
      </c>
      <c r="B70" s="20"/>
      <c r="C70" s="63"/>
      <c r="D70" s="386">
        <f t="shared" si="43"/>
        <v>0</v>
      </c>
      <c r="E70" s="6"/>
      <c r="F70" s="386">
        <f t="shared" si="44"/>
        <v>0</v>
      </c>
      <c r="G70" s="570"/>
      <c r="H70" s="386">
        <f t="shared" si="45"/>
        <v>0</v>
      </c>
      <c r="I70" s="6"/>
      <c r="J70" s="386">
        <f t="shared" si="46"/>
        <v>0</v>
      </c>
      <c r="K70" s="392">
        <f t="shared" si="47"/>
        <v>0</v>
      </c>
    </row>
    <row r="71" spans="1:11" ht="13.5">
      <c r="A71" s="349">
        <f>Gen!B36</f>
        <v>43977</v>
      </c>
      <c r="B71" s="20"/>
      <c r="C71" s="63"/>
      <c r="D71" s="386">
        <f t="shared" si="43"/>
        <v>0</v>
      </c>
      <c r="E71" s="6"/>
      <c r="F71" s="386">
        <f t="shared" si="44"/>
        <v>0</v>
      </c>
      <c r="G71" s="570"/>
      <c r="H71" s="386">
        <f t="shared" si="45"/>
        <v>0</v>
      </c>
      <c r="I71" s="6"/>
      <c r="J71" s="386">
        <f t="shared" si="46"/>
        <v>0</v>
      </c>
      <c r="K71" s="392">
        <f t="shared" si="47"/>
        <v>0</v>
      </c>
    </row>
    <row r="72" spans="1:11" ht="13.5">
      <c r="A72" s="349">
        <f>Gen!B37</f>
        <v>43978</v>
      </c>
      <c r="B72" s="20"/>
      <c r="C72" s="63"/>
      <c r="D72" s="386">
        <f t="shared" si="43"/>
        <v>0</v>
      </c>
      <c r="E72" s="6"/>
      <c r="F72" s="386">
        <f t="shared" si="44"/>
        <v>0</v>
      </c>
      <c r="G72" s="570"/>
      <c r="H72" s="386">
        <f t="shared" si="45"/>
        <v>0</v>
      </c>
      <c r="I72" s="6"/>
      <c r="J72" s="386">
        <f t="shared" si="46"/>
        <v>0</v>
      </c>
      <c r="K72" s="392">
        <f t="shared" si="47"/>
        <v>0</v>
      </c>
    </row>
    <row r="73" spans="1:11" ht="13.5">
      <c r="A73" s="349">
        <f>Gen!B38</f>
        <v>43979</v>
      </c>
      <c r="B73" s="20"/>
      <c r="C73" s="63"/>
      <c r="D73" s="386">
        <f t="shared" si="43"/>
        <v>0</v>
      </c>
      <c r="E73" s="6"/>
      <c r="F73" s="386">
        <f t="shared" si="44"/>
        <v>0</v>
      </c>
      <c r="G73" s="570"/>
      <c r="H73" s="386">
        <f t="shared" si="45"/>
        <v>0</v>
      </c>
      <c r="I73" s="6"/>
      <c r="J73" s="386">
        <f t="shared" si="46"/>
        <v>0</v>
      </c>
      <c r="K73" s="392">
        <f t="shared" si="47"/>
        <v>0</v>
      </c>
    </row>
    <row r="74" spans="1:11" ht="13.5">
      <c r="A74" s="349">
        <f>Gen!B39</f>
        <v>43980</v>
      </c>
      <c r="B74" s="20"/>
      <c r="C74" s="63"/>
      <c r="D74" s="386">
        <f t="shared" si="43"/>
        <v>0</v>
      </c>
      <c r="E74" s="6"/>
      <c r="F74" s="386">
        <f t="shared" si="44"/>
        <v>0</v>
      </c>
      <c r="G74" s="570"/>
      <c r="H74" s="386">
        <f t="shared" si="45"/>
        <v>0</v>
      </c>
      <c r="I74" s="6"/>
      <c r="J74" s="386">
        <f t="shared" si="46"/>
        <v>0</v>
      </c>
      <c r="K74" s="392">
        <f t="shared" si="47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3"/>
        <v>0</v>
      </c>
      <c r="E75" s="6"/>
      <c r="F75" s="386">
        <f t="shared" si="44"/>
        <v>0</v>
      </c>
      <c r="G75" s="570"/>
      <c r="H75" s="386">
        <f t="shared" si="45"/>
        <v>0</v>
      </c>
      <c r="I75" s="6"/>
      <c r="J75" s="386">
        <f t="shared" si="46"/>
        <v>0</v>
      </c>
      <c r="K75" s="392">
        <f t="shared" si="47"/>
        <v>0</v>
      </c>
    </row>
    <row r="76" spans="1:11" ht="13.5">
      <c r="A76" s="349">
        <f>Gen!B41</f>
        <v>43982</v>
      </c>
      <c r="C76" s="63"/>
      <c r="D76" s="386">
        <f t="shared" si="43"/>
        <v>0</v>
      </c>
      <c r="E76" s="6"/>
      <c r="F76" s="386">
        <f t="shared" si="44"/>
        <v>0</v>
      </c>
      <c r="G76" s="570"/>
      <c r="H76" s="386">
        <f t="shared" si="45"/>
        <v>0</v>
      </c>
      <c r="I76" s="6"/>
      <c r="J76" s="386">
        <f t="shared" si="46"/>
        <v>0</v>
      </c>
      <c r="K76" s="392">
        <f t="shared" si="47"/>
        <v>0</v>
      </c>
    </row>
    <row r="77" spans="1:11" ht="14.25" thickBot="1">
      <c r="A77" s="349">
        <f>Gen!B42</f>
        <v>43983</v>
      </c>
      <c r="C77" s="63"/>
      <c r="D77" s="386">
        <f t="shared" si="43"/>
        <v>0</v>
      </c>
      <c r="E77" s="6"/>
      <c r="F77" s="386">
        <f t="shared" si="44"/>
        <v>0</v>
      </c>
      <c r="G77" s="570"/>
      <c r="H77" s="386">
        <f t="shared" si="45"/>
        <v>0</v>
      </c>
      <c r="I77" s="6"/>
      <c r="J77" s="386">
        <f t="shared" si="46"/>
        <v>0</v>
      </c>
      <c r="K77" s="393">
        <f t="shared" si="47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317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4" t="s">
        <v>180</v>
      </c>
      <c r="B1" s="895"/>
      <c r="C1" s="895"/>
      <c r="D1" s="895"/>
      <c r="E1" s="895"/>
      <c r="F1" s="895"/>
      <c r="G1" s="896"/>
    </row>
    <row r="2" spans="1:7" ht="13.5" thickBot="1">
      <c r="A2" s="358"/>
      <c r="B2" s="897" t="s">
        <v>175</v>
      </c>
      <c r="C2" s="898"/>
      <c r="D2" s="899"/>
      <c r="E2" s="897" t="s">
        <v>176</v>
      </c>
      <c r="F2" s="898"/>
      <c r="G2" s="899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4" t="s">
        <v>230</v>
      </c>
      <c r="B1" s="895"/>
      <c r="C1" s="895"/>
      <c r="D1" s="895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O20" sqref="O20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00" t="s">
        <v>255</v>
      </c>
      <c r="B1" s="900"/>
      <c r="C1" s="900"/>
      <c r="D1" s="900"/>
      <c r="E1" s="900"/>
      <c r="F1" s="900"/>
      <c r="G1" s="900"/>
      <c r="H1" s="900"/>
      <c r="I1" s="900"/>
      <c r="J1" s="900"/>
    </row>
    <row r="2" spans="1:10" ht="19.5" thickBot="1">
      <c r="A2" s="909">
        <v>43952</v>
      </c>
      <c r="B2" s="910"/>
      <c r="C2" s="910"/>
      <c r="D2" s="910"/>
      <c r="E2" s="910"/>
      <c r="F2" s="910"/>
      <c r="G2" s="910"/>
      <c r="H2" s="910"/>
      <c r="I2" s="910"/>
      <c r="J2" s="910"/>
    </row>
    <row r="3" spans="1:10" ht="15.75" thickBot="1">
      <c r="A3" s="901" t="s">
        <v>7</v>
      </c>
      <c r="B3" s="903" t="s">
        <v>256</v>
      </c>
      <c r="C3" s="526"/>
      <c r="D3" s="905" t="s">
        <v>257</v>
      </c>
      <c r="E3" s="906"/>
      <c r="F3" s="907" t="s">
        <v>258</v>
      </c>
      <c r="G3" s="908"/>
      <c r="H3" s="906"/>
      <c r="I3" s="907" t="s">
        <v>259</v>
      </c>
      <c r="J3" s="906"/>
    </row>
    <row r="4" spans="1:10" ht="30.75" thickBot="1">
      <c r="A4" s="902"/>
      <c r="B4" s="904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43952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31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43953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43954</v>
      </c>
      <c r="B7" s="470">
        <f>Gen!C13</f>
        <v>0</v>
      </c>
      <c r="C7" s="530">
        <f>Gen!AK13</f>
        <v>0</v>
      </c>
      <c r="D7" s="531">
        <f>Gen!T13</f>
        <v>659.29</v>
      </c>
      <c r="E7" s="466">
        <f>Gen!D13</f>
        <v>42029.96</v>
      </c>
      <c r="F7" s="467">
        <f>'Water-Meter'!E8</f>
        <v>47</v>
      </c>
      <c r="G7" s="468">
        <f>'Water-Meter'!AN8</f>
        <v>49</v>
      </c>
      <c r="H7" s="466">
        <f>'Utility report '!AC8</f>
        <v>77</v>
      </c>
      <c r="I7" s="465">
        <f>'Kit report'!F6</f>
        <v>96.000000000130967</v>
      </c>
      <c r="J7" s="466">
        <f>'Kit report'!X6</f>
        <v>0</v>
      </c>
    </row>
    <row r="8" spans="1:10" ht="17.100000000000001" customHeight="1">
      <c r="A8" s="265">
        <v>43955</v>
      </c>
      <c r="B8" s="470">
        <f>Gen!C14</f>
        <v>0</v>
      </c>
      <c r="C8" s="530">
        <f>Gen!AK14</f>
        <v>2.33</v>
      </c>
      <c r="D8" s="531">
        <f>Gen!T14</f>
        <v>633.92999999999995</v>
      </c>
      <c r="E8" s="466">
        <f>Gen!D14</f>
        <v>41370.67</v>
      </c>
      <c r="F8" s="467">
        <f>'Water-Meter'!E9</f>
        <v>31</v>
      </c>
      <c r="G8" s="468">
        <f>'Water-Meter'!AN9</f>
        <v>42</v>
      </c>
      <c r="H8" s="466">
        <f>'Utility report '!AC9</f>
        <v>0</v>
      </c>
      <c r="I8" s="465">
        <f>'Kit report'!F7</f>
        <v>107.99999999995634</v>
      </c>
      <c r="J8" s="466">
        <f>'Kit report'!X7</f>
        <v>19.999999999890861</v>
      </c>
    </row>
    <row r="9" spans="1:10" ht="17.100000000000001" customHeight="1">
      <c r="A9" s="265">
        <v>43956</v>
      </c>
      <c r="B9" s="470">
        <f>Gen!C15</f>
        <v>0</v>
      </c>
      <c r="C9" s="530">
        <f>Gen!AK15</f>
        <v>0</v>
      </c>
      <c r="D9" s="531">
        <f>Gen!T15</f>
        <v>646.24</v>
      </c>
      <c r="E9" s="466">
        <f>Gen!D15</f>
        <v>40734.409999999996</v>
      </c>
      <c r="F9" s="467">
        <f>'Water-Meter'!E10</f>
        <v>30</v>
      </c>
      <c r="G9" s="468">
        <f>'Water-Meter'!AN10</f>
        <v>91</v>
      </c>
      <c r="H9" s="466">
        <f>'Utility report '!AC10</f>
        <v>68</v>
      </c>
      <c r="I9" s="465">
        <f>'Kit report'!F8</f>
        <v>95.999999999912689</v>
      </c>
      <c r="J9" s="466">
        <f>'Kit report'!X8</f>
        <v>0</v>
      </c>
    </row>
    <row r="10" spans="1:10" ht="17.100000000000001" customHeight="1">
      <c r="A10" s="265">
        <v>43957</v>
      </c>
      <c r="B10" s="470">
        <f>Gen!C16</f>
        <v>0</v>
      </c>
      <c r="C10" s="530">
        <f>Gen!AK16</f>
        <v>31.11</v>
      </c>
      <c r="D10" s="531">
        <f>Gen!T16</f>
        <v>627.88</v>
      </c>
      <c r="E10" s="466">
        <f>Gen!D16</f>
        <v>40088.17</v>
      </c>
      <c r="F10" s="467">
        <f>'Water-Meter'!E11</f>
        <v>33</v>
      </c>
      <c r="G10" s="468">
        <f>'Water-Meter'!AN11</f>
        <v>59</v>
      </c>
      <c r="H10" s="466">
        <f>'Utility report '!AC11</f>
        <v>36</v>
      </c>
      <c r="I10" s="465">
        <f>'Kit report'!F9</f>
        <v>84.000000000087311</v>
      </c>
      <c r="J10" s="466">
        <f>'Kit report'!X9</f>
        <v>20.00000000007276</v>
      </c>
    </row>
    <row r="11" spans="1:10" ht="17.100000000000001" customHeight="1">
      <c r="A11" s="265">
        <v>43958</v>
      </c>
      <c r="B11" s="470">
        <f>Gen!C17</f>
        <v>0</v>
      </c>
      <c r="C11" s="530">
        <f>Gen!AK17</f>
        <v>22.97</v>
      </c>
      <c r="D11" s="531">
        <f>Gen!T17</f>
        <v>637.52</v>
      </c>
      <c r="E11" s="466">
        <f>Gen!D17</f>
        <v>39429.18</v>
      </c>
      <c r="F11" s="467">
        <f>'Water-Meter'!E12</f>
        <v>41</v>
      </c>
      <c r="G11" s="468">
        <f>'Water-Meter'!AN12</f>
        <v>38</v>
      </c>
      <c r="H11" s="466">
        <f>'Utility report '!AC12</f>
        <v>0</v>
      </c>
      <c r="I11" s="465">
        <f>'Kit report'!F10</f>
        <v>95.999999999912689</v>
      </c>
      <c r="J11" s="466">
        <f>'Kit report'!X10</f>
        <v>19.999999999890861</v>
      </c>
    </row>
    <row r="12" spans="1:10" ht="17.100000000000001" customHeight="1">
      <c r="A12" s="265">
        <v>43959</v>
      </c>
      <c r="B12" s="470">
        <f>Gen!C18</f>
        <v>0</v>
      </c>
      <c r="C12" s="530">
        <f>Gen!AK18</f>
        <v>80.099999999999994</v>
      </c>
      <c r="D12" s="531">
        <f>Gen!T18</f>
        <v>692.82999999999993</v>
      </c>
      <c r="E12" s="466">
        <f>Gen!D18</f>
        <v>38768.69</v>
      </c>
      <c r="F12" s="467">
        <f>'Water-Meter'!E13</f>
        <v>37</v>
      </c>
      <c r="G12" s="468">
        <f>'Water-Meter'!AN13</f>
        <v>22</v>
      </c>
      <c r="H12" s="466">
        <f>'Utility report '!AC13</f>
        <v>70</v>
      </c>
      <c r="I12" s="465">
        <f>'Kit report'!F11</f>
        <v>107.99999999995634</v>
      </c>
      <c r="J12" s="466">
        <f>'Kit report'!X11</f>
        <v>40.000000000145519</v>
      </c>
    </row>
    <row r="13" spans="1:10" ht="17.100000000000001" customHeight="1">
      <c r="A13" s="265">
        <v>43960</v>
      </c>
      <c r="B13" s="470">
        <f>Gen!C19</f>
        <v>0</v>
      </c>
      <c r="C13" s="530">
        <f>Gen!AK19</f>
        <v>0</v>
      </c>
      <c r="D13" s="531">
        <f>Gen!T19</f>
        <v>662.1</v>
      </c>
      <c r="E13" s="466">
        <f>Gen!D19</f>
        <v>37995.760000000002</v>
      </c>
      <c r="F13" s="467">
        <f>'Water-Meter'!E14</f>
        <v>51</v>
      </c>
      <c r="G13" s="468">
        <f>'Water-Meter'!AN14</f>
        <v>22</v>
      </c>
      <c r="H13" s="466">
        <f>'Utility report '!AC14</f>
        <v>110</v>
      </c>
      <c r="I13" s="465">
        <f>'Kit report'!F12</f>
        <v>96.000000000130967</v>
      </c>
      <c r="J13" s="466">
        <f>'Kit report'!X12</f>
        <v>0</v>
      </c>
    </row>
    <row r="14" spans="1:10" ht="17.100000000000001" customHeight="1">
      <c r="A14" s="265">
        <v>43961</v>
      </c>
      <c r="B14" s="470">
        <f>Gen!C20</f>
        <v>0</v>
      </c>
      <c r="C14" s="530">
        <f>Gen!AK20</f>
        <v>0</v>
      </c>
      <c r="D14" s="531">
        <f>Gen!T20</f>
        <v>652.33000000000004</v>
      </c>
      <c r="E14" s="466">
        <f>Gen!D20</f>
        <v>37333.660000000003</v>
      </c>
      <c r="F14" s="467">
        <f>'Water-Meter'!E15</f>
        <v>51</v>
      </c>
      <c r="G14" s="468">
        <f>'Water-Meter'!AN15</f>
        <v>46</v>
      </c>
      <c r="H14" s="466">
        <f>'Utility report '!AC15</f>
        <v>0</v>
      </c>
      <c r="I14" s="465">
        <f>'Kit report'!F13</f>
        <v>95.999999999912689</v>
      </c>
      <c r="J14" s="466">
        <f>'Kit report'!X13</f>
        <v>0</v>
      </c>
    </row>
    <row r="15" spans="1:10" ht="17.100000000000001" customHeight="1">
      <c r="A15" s="265">
        <v>43962</v>
      </c>
      <c r="B15" s="470">
        <f>Gen!C21</f>
        <v>0</v>
      </c>
      <c r="C15" s="530">
        <f>Gen!AK21</f>
        <v>0</v>
      </c>
      <c r="D15" s="531">
        <f>Gen!T21</f>
        <v>675.39</v>
      </c>
      <c r="E15" s="466">
        <f>Gen!D21</f>
        <v>36681.33</v>
      </c>
      <c r="F15" s="467">
        <f>'Water-Meter'!E16</f>
        <v>56</v>
      </c>
      <c r="G15" s="468">
        <f>'Water-Meter'!AN16</f>
        <v>59</v>
      </c>
      <c r="H15" s="466">
        <f>'Utility report '!AC16</f>
        <v>0</v>
      </c>
      <c r="I15" s="465">
        <f>'Kit report'!F14</f>
        <v>107.99999999995634</v>
      </c>
      <c r="J15" s="466">
        <f>'Kit report'!X14</f>
        <v>0</v>
      </c>
    </row>
    <row r="16" spans="1:10" ht="17.100000000000001" customHeight="1">
      <c r="A16" s="265">
        <v>43963</v>
      </c>
      <c r="B16" s="470">
        <f>Gen!C22</f>
        <v>0</v>
      </c>
      <c r="C16" s="530">
        <f>Gen!AK22</f>
        <v>106.89</v>
      </c>
      <c r="D16" s="531">
        <f>Gen!T22</f>
        <v>719.01</v>
      </c>
      <c r="E16" s="466">
        <f>Gen!D22</f>
        <v>46005.94</v>
      </c>
      <c r="F16" s="467">
        <f>'Water-Meter'!E17</f>
        <v>58</v>
      </c>
      <c r="G16" s="468">
        <f>'Water-Meter'!AN17</f>
        <v>88</v>
      </c>
      <c r="H16" s="466">
        <f>'Utility report '!AC17</f>
        <v>71</v>
      </c>
      <c r="I16" s="465">
        <f>'Kit report'!F15</f>
        <v>96.000000000130967</v>
      </c>
      <c r="J16" s="466">
        <f>'Kit report'!X15</f>
        <v>19.999999999890861</v>
      </c>
    </row>
    <row r="17" spans="1:10" ht="17.100000000000001" customHeight="1">
      <c r="A17" s="265">
        <v>43964</v>
      </c>
      <c r="B17" s="470">
        <f>Gen!C23</f>
        <v>0</v>
      </c>
      <c r="C17" s="530">
        <f>Gen!AK23</f>
        <v>0</v>
      </c>
      <c r="D17" s="531">
        <f>Gen!T23</f>
        <v>656.19</v>
      </c>
      <c r="E17" s="466">
        <f>Gen!D23</f>
        <v>45180.04</v>
      </c>
      <c r="F17" s="467">
        <f>'Water-Meter'!E18</f>
        <v>41</v>
      </c>
      <c r="G17" s="468">
        <f>'Water-Meter'!AN18</f>
        <v>24</v>
      </c>
      <c r="H17" s="466">
        <f>'Utility report '!AC18</f>
        <v>0</v>
      </c>
      <c r="I17" s="465">
        <f>'Kit report'!F16</f>
        <v>107.99999999995634</v>
      </c>
      <c r="J17" s="466">
        <f>'Kit report'!X16</f>
        <v>0</v>
      </c>
    </row>
    <row r="18" spans="1:10" ht="17.100000000000001" customHeight="1">
      <c r="A18" s="265">
        <v>43965</v>
      </c>
      <c r="B18" s="470">
        <f>Gen!C24</f>
        <v>0</v>
      </c>
      <c r="C18" s="530">
        <f>Gen!AK24</f>
        <v>0</v>
      </c>
      <c r="D18" s="531">
        <f>Gen!T24</f>
        <v>0</v>
      </c>
      <c r="E18" s="466">
        <f>Gen!D24</f>
        <v>44523.85</v>
      </c>
      <c r="F18" s="467" t="str">
        <f>'Water-Meter'!E19</f>
        <v>0</v>
      </c>
      <c r="G18" s="468">
        <f>'Water-Meter'!AN19</f>
        <v>0</v>
      </c>
      <c r="H18" s="466">
        <f>'Utility report '!AC19</f>
        <v>-32018</v>
      </c>
      <c r="I18" s="465">
        <f>'Kit report'!F17</f>
        <v>-1041300</v>
      </c>
      <c r="J18" s="466">
        <f>'Kit report'!X17</f>
        <v>-1561040</v>
      </c>
    </row>
    <row r="19" spans="1:10" ht="17.100000000000001" customHeight="1">
      <c r="A19" s="265">
        <v>43966</v>
      </c>
      <c r="B19" s="470">
        <f>Gen!C25</f>
        <v>0</v>
      </c>
      <c r="C19" s="530">
        <f>Gen!AK25</f>
        <v>0</v>
      </c>
      <c r="D19" s="531">
        <f>Gen!T25</f>
        <v>0</v>
      </c>
      <c r="E19" s="466">
        <f>Gen!D25</f>
        <v>44523.85</v>
      </c>
      <c r="F19" s="467">
        <f>'Water-Meter'!E20</f>
        <v>0</v>
      </c>
      <c r="G19" s="468">
        <f>'Water-Meter'!AN20</f>
        <v>0</v>
      </c>
      <c r="H19" s="466">
        <f>'Utility report '!AC20</f>
        <v>0</v>
      </c>
      <c r="I19" s="465">
        <f>'Kit report'!F18</f>
        <v>0</v>
      </c>
      <c r="J19" s="466">
        <f>'Kit report'!X18</f>
        <v>0</v>
      </c>
    </row>
    <row r="20" spans="1:10" ht="17.100000000000001" customHeight="1">
      <c r="A20" s="265">
        <v>43967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44523.85</v>
      </c>
      <c r="F20" s="467">
        <f>'Water-Meter'!E21</f>
        <v>0</v>
      </c>
      <c r="G20" s="468">
        <f>'Water-Meter'!AN21</f>
        <v>0</v>
      </c>
      <c r="H20" s="466">
        <f>'Utility report '!AC21</f>
        <v>0</v>
      </c>
      <c r="I20" s="465">
        <f>'Kit report'!F19</f>
        <v>0</v>
      </c>
      <c r="J20" s="466">
        <f>'Kit report'!X19</f>
        <v>0</v>
      </c>
    </row>
    <row r="21" spans="1:10" ht="15">
      <c r="A21" s="265">
        <v>43968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44523.85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43969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44523.85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43970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44523.85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43971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44523.85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43972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44523.85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43973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44523.85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43974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44523.85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43975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44523.85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43976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44523.85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43977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44523.85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43978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44523.85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43979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44523.85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43980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44523.85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43981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44523.85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43982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44523.85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43983</v>
      </c>
      <c r="B36" s="18"/>
      <c r="C36" s="530">
        <f>Gen!AK42</f>
        <v>0</v>
      </c>
      <c r="D36" s="531">
        <f>Gen!T42</f>
        <v>0</v>
      </c>
      <c r="E36" s="468">
        <f>Gen!D42</f>
        <v>44523.85</v>
      </c>
      <c r="F36" s="467">
        <f>'Water-Meter'!E37</f>
        <v>0</v>
      </c>
      <c r="G36" s="468">
        <f>'Water-Meter'!AN37</f>
        <v>218</v>
      </c>
      <c r="H36" s="466">
        <f>'Utility report '!AC37</f>
        <v>0</v>
      </c>
      <c r="I36" s="465">
        <f>'Kit report'!F35</f>
        <v>312.00000000004366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2020-05-14T04:07:07Z</dcterms:modified>
</cp:coreProperties>
</file>