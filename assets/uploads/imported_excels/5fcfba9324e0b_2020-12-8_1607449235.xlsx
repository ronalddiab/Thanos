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37E0435C-36B7-42D7-A292-EEEA26E39E41}" xr6:coauthVersionLast="45" xr6:coauthVersionMax="45" xr10:uidLastSave="{00000000-0000-0000-0000-000000000000}"/>
  <bookViews>
    <workbookView xWindow="-120" yWindow="-120" windowWidth="20730" windowHeight="11160" tabRatio="727" firstSheet="2" activeTab="2" xr2:uid="{00000000-000D-0000-FFFF-FFFF00000000}"/>
  </bookViews>
  <sheets>
    <sheet name="Ls_XLB_WorkbookFile" sheetId="5" state="veryHidden" r:id="rId1"/>
    <sheet name="Ls_AgXLB_WorkbookFile" sheetId="4" state="veryHidden" r:id="rId2"/>
    <sheet name="TOTAL" sheetId="22" r:id="rId3"/>
    <sheet name="Data" sheetId="20" r:id="rId4"/>
    <sheet name="Pool" sheetId="21" state="hidden" r:id="rId5"/>
    <sheet name="JV Electricity" sheetId="19" state="hidden" r:id="rId6"/>
  </sheets>
  <definedNames>
    <definedName name="_xlnm.Print_Area" localSheetId="3">Data!$A$4:$AI$42</definedName>
    <definedName name="_xlnm.Print_Area" localSheetId="5">'JV Electricity'!$A$1:$M$25</definedName>
  </definedNames>
  <calcPr calcId="191029"/>
</workbook>
</file>

<file path=xl/calcChain.xml><?xml version="1.0" encoding="utf-8"?>
<calcChain xmlns="http://schemas.openxmlformats.org/spreadsheetml/2006/main">
  <c r="I3" i="22" l="1"/>
  <c r="J3" i="22"/>
  <c r="I4" i="22"/>
  <c r="J4" i="22"/>
  <c r="I5" i="22"/>
  <c r="J5" i="22"/>
  <c r="I6" i="22"/>
  <c r="J6" i="22"/>
  <c r="I7" i="22"/>
  <c r="J7" i="22"/>
  <c r="I8" i="22"/>
  <c r="J8" i="22"/>
  <c r="I9" i="22"/>
  <c r="J9" i="22"/>
  <c r="I10" i="22"/>
  <c r="J10" i="22"/>
  <c r="I11" i="22"/>
  <c r="J11" i="22"/>
  <c r="I12" i="22"/>
  <c r="J12" i="22"/>
  <c r="I13" i="22"/>
  <c r="J13" i="22"/>
  <c r="I14" i="22"/>
  <c r="J14" i="22"/>
  <c r="I15" i="22"/>
  <c r="J15" i="22"/>
  <c r="I16" i="22"/>
  <c r="J16" i="22"/>
  <c r="I17" i="22"/>
  <c r="J17" i="22"/>
  <c r="I18" i="22"/>
  <c r="J18" i="22"/>
  <c r="I19" i="22"/>
  <c r="J19" i="22"/>
  <c r="I20" i="22"/>
  <c r="J20" i="22"/>
  <c r="I21" i="22"/>
  <c r="J21" i="22"/>
  <c r="I22" i="22"/>
  <c r="J22" i="22"/>
  <c r="I23" i="22"/>
  <c r="J23" i="22"/>
  <c r="I24" i="22"/>
  <c r="J24" i="22"/>
  <c r="I25" i="22"/>
  <c r="J25" i="22"/>
  <c r="I26" i="22"/>
  <c r="J26" i="22"/>
  <c r="I27" i="22"/>
  <c r="J27" i="22"/>
  <c r="I28" i="22"/>
  <c r="J28" i="22"/>
  <c r="I29" i="22"/>
  <c r="J29" i="22"/>
  <c r="I30" i="22"/>
  <c r="J30" i="22"/>
  <c r="I31" i="22"/>
  <c r="J31" i="22"/>
  <c r="J2" i="22"/>
  <c r="I2" i="22"/>
  <c r="G3" i="22"/>
  <c r="H3" i="22"/>
  <c r="G4" i="22"/>
  <c r="H4" i="22"/>
  <c r="G5" i="22"/>
  <c r="H5" i="22"/>
  <c r="G6" i="22"/>
  <c r="H6" i="22"/>
  <c r="G7" i="22"/>
  <c r="H7" i="22"/>
  <c r="G8" i="22"/>
  <c r="H8" i="22"/>
  <c r="G9" i="22"/>
  <c r="H9" i="22"/>
  <c r="G10" i="22"/>
  <c r="H10" i="22"/>
  <c r="G11" i="22"/>
  <c r="H11" i="22"/>
  <c r="G12" i="22"/>
  <c r="H12" i="22"/>
  <c r="G13" i="22"/>
  <c r="H13" i="22"/>
  <c r="G14" i="22"/>
  <c r="H14" i="22"/>
  <c r="G15" i="22"/>
  <c r="H15" i="22"/>
  <c r="G16" i="22"/>
  <c r="H16" i="22"/>
  <c r="G17" i="22"/>
  <c r="H17" i="22"/>
  <c r="G18" i="22"/>
  <c r="H18" i="22"/>
  <c r="G19" i="22"/>
  <c r="H19" i="22"/>
  <c r="G20" i="22"/>
  <c r="H20" i="22"/>
  <c r="G21" i="22"/>
  <c r="H21" i="22"/>
  <c r="G22" i="22"/>
  <c r="H22" i="22"/>
  <c r="G23" i="22"/>
  <c r="H23" i="22"/>
  <c r="G24" i="22"/>
  <c r="H24" i="22"/>
  <c r="G25" i="22"/>
  <c r="H25" i="22"/>
  <c r="G26" i="22"/>
  <c r="H26" i="22"/>
  <c r="G27" i="22"/>
  <c r="H27" i="22"/>
  <c r="G28" i="22"/>
  <c r="H28" i="22"/>
  <c r="G29" i="22"/>
  <c r="H29" i="22"/>
  <c r="G30" i="22"/>
  <c r="H30" i="22"/>
  <c r="G31" i="22"/>
  <c r="H31" i="22"/>
  <c r="H2" i="22"/>
  <c r="G2" i="22"/>
  <c r="E3" i="22"/>
  <c r="F3" i="22"/>
  <c r="E4" i="22"/>
  <c r="F4" i="22"/>
  <c r="E5" i="22"/>
  <c r="F5" i="22"/>
  <c r="E6" i="22"/>
  <c r="F6" i="22"/>
  <c r="E7" i="22"/>
  <c r="F7" i="22"/>
  <c r="E8" i="22"/>
  <c r="F8" i="22"/>
  <c r="E9" i="22"/>
  <c r="F9" i="22"/>
  <c r="E10" i="22"/>
  <c r="F10" i="22"/>
  <c r="E11" i="22"/>
  <c r="F11" i="22"/>
  <c r="E12" i="22"/>
  <c r="F12" i="22"/>
  <c r="E13" i="22"/>
  <c r="F13" i="22"/>
  <c r="E14" i="22"/>
  <c r="F14" i="22"/>
  <c r="E15" i="22"/>
  <c r="F15" i="22"/>
  <c r="E16" i="22"/>
  <c r="F16" i="22"/>
  <c r="E17" i="22"/>
  <c r="F17" i="22"/>
  <c r="E18" i="22"/>
  <c r="F18" i="22"/>
  <c r="E19" i="22"/>
  <c r="F19" i="22"/>
  <c r="E20" i="22"/>
  <c r="F20" i="22"/>
  <c r="E21" i="22"/>
  <c r="F21" i="22"/>
  <c r="E22" i="22"/>
  <c r="F22" i="22"/>
  <c r="E23" i="22"/>
  <c r="F23" i="22"/>
  <c r="E24" i="22"/>
  <c r="F24" i="22"/>
  <c r="E25" i="22"/>
  <c r="F25" i="22"/>
  <c r="E26" i="22"/>
  <c r="F26" i="22"/>
  <c r="E27" i="22"/>
  <c r="F27" i="22"/>
  <c r="E28" i="22"/>
  <c r="F28" i="22"/>
  <c r="E29" i="22"/>
  <c r="F29" i="22"/>
  <c r="E30" i="22"/>
  <c r="F30" i="22"/>
  <c r="E31" i="22"/>
  <c r="F31" i="22"/>
  <c r="F2" i="22"/>
  <c r="E2" i="22"/>
  <c r="B4" i="22"/>
  <c r="B5" i="22" s="1"/>
  <c r="B6" i="22" s="1"/>
  <c r="B7" i="22" s="1"/>
  <c r="B8" i="22" s="1"/>
  <c r="B9" i="22" s="1"/>
  <c r="B10" i="22" s="1"/>
  <c r="B11" i="22" s="1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" i="22"/>
  <c r="M3" i="22" l="1"/>
  <c r="M2" i="22"/>
  <c r="M4" i="22"/>
  <c r="M9" i="22"/>
  <c r="M17" i="22"/>
  <c r="M14" i="22"/>
  <c r="M19" i="22"/>
  <c r="M27" i="22"/>
  <c r="M5" i="22"/>
  <c r="M13" i="22"/>
  <c r="M21" i="22"/>
  <c r="M24" i="22"/>
  <c r="M10" i="22"/>
  <c r="M18" i="22"/>
  <c r="M7" i="22"/>
  <c r="M23" i="22"/>
  <c r="S10" i="20"/>
  <c r="N10" i="20"/>
  <c r="I10" i="20"/>
  <c r="D10" i="20"/>
  <c r="AH40" i="20"/>
  <c r="AI40" i="20" s="1"/>
  <c r="AD40" i="20"/>
  <c r="AB40" i="20"/>
  <c r="Z40" i="20"/>
  <c r="AE40" i="20" s="1"/>
  <c r="AF40" i="20" s="1"/>
  <c r="T40" i="20"/>
  <c r="U40" i="20"/>
  <c r="O40" i="20"/>
  <c r="P40" i="20" s="1"/>
  <c r="J40" i="20"/>
  <c r="K40" i="20" s="1"/>
  <c r="E40" i="20"/>
  <c r="E35" i="20"/>
  <c r="F35" i="20" s="1"/>
  <c r="AD31" i="20"/>
  <c r="AE31" i="20" s="1"/>
  <c r="AF31" i="20" s="1"/>
  <c r="Z11" i="20"/>
  <c r="T36" i="20"/>
  <c r="U36" i="20"/>
  <c r="O36" i="20"/>
  <c r="P36" i="20" s="1"/>
  <c r="J36" i="20"/>
  <c r="K36" i="20" s="1"/>
  <c r="E36" i="20"/>
  <c r="F36" i="20" s="1"/>
  <c r="E39" i="20"/>
  <c r="F39" i="20"/>
  <c r="AB39" i="20"/>
  <c r="AE39" i="20" s="1"/>
  <c r="AF39" i="20" s="1"/>
  <c r="Z39" i="20"/>
  <c r="Z38" i="20"/>
  <c r="Z37" i="20"/>
  <c r="Z36" i="20"/>
  <c r="Z35" i="20"/>
  <c r="AE35" i="20" s="1"/>
  <c r="AF35" i="20" s="1"/>
  <c r="Z34" i="20"/>
  <c r="Z33" i="20"/>
  <c r="AE33" i="20" s="1"/>
  <c r="AF33" i="20" s="1"/>
  <c r="Z32" i="20"/>
  <c r="AE32" i="20" s="1"/>
  <c r="AF32" i="20" s="1"/>
  <c r="Z31" i="20"/>
  <c r="Z30" i="20"/>
  <c r="Z29" i="20"/>
  <c r="Z28" i="20"/>
  <c r="Z27" i="20"/>
  <c r="AE27" i="20" s="1"/>
  <c r="AF27" i="20" s="1"/>
  <c r="Z26" i="20"/>
  <c r="AE26" i="20" s="1"/>
  <c r="AF26" i="20" s="1"/>
  <c r="Z25" i="20"/>
  <c r="Z24" i="20"/>
  <c r="Z23" i="20"/>
  <c r="Z22" i="20"/>
  <c r="Z21" i="20"/>
  <c r="Z20" i="20"/>
  <c r="Z19" i="20"/>
  <c r="AE19" i="20" s="1"/>
  <c r="AF19" i="20" s="1"/>
  <c r="Z18" i="20"/>
  <c r="AE18" i="20" s="1"/>
  <c r="AF18" i="20" s="1"/>
  <c r="Z17" i="20"/>
  <c r="Z16" i="20"/>
  <c r="Z15" i="20"/>
  <c r="Z14" i="20"/>
  <c r="AH39" i="20"/>
  <c r="AI39" i="20" s="1"/>
  <c r="AD39" i="20"/>
  <c r="T39" i="20"/>
  <c r="U39" i="20" s="1"/>
  <c r="W39" i="20" s="1"/>
  <c r="T37" i="20"/>
  <c r="U37" i="20" s="1"/>
  <c r="O39" i="20"/>
  <c r="P39" i="20"/>
  <c r="J39" i="20"/>
  <c r="K39" i="20"/>
  <c r="AB13" i="20"/>
  <c r="AE13" i="20" s="1"/>
  <c r="AF13" i="20" s="1"/>
  <c r="AD34" i="20"/>
  <c r="E25" i="20"/>
  <c r="F25" i="20"/>
  <c r="AH28" i="20"/>
  <c r="AI28" i="20"/>
  <c r="AH15" i="20"/>
  <c r="AI15" i="20" s="1"/>
  <c r="C8" i="21"/>
  <c r="C9" i="21"/>
  <c r="C10" i="21"/>
  <c r="C11" i="21"/>
  <c r="C38" i="21" s="1"/>
  <c r="C12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7" i="21"/>
  <c r="AH11" i="20"/>
  <c r="AI11" i="20"/>
  <c r="AH12" i="20"/>
  <c r="AI12" i="20"/>
  <c r="AH13" i="20"/>
  <c r="AI13" i="20" s="1"/>
  <c r="AH14" i="20"/>
  <c r="AI14" i="20" s="1"/>
  <c r="AH16" i="20"/>
  <c r="AI16" i="20"/>
  <c r="AH17" i="20"/>
  <c r="AI17" i="20"/>
  <c r="AH18" i="20"/>
  <c r="AI18" i="20" s="1"/>
  <c r="AH19" i="20"/>
  <c r="AI19" i="20" s="1"/>
  <c r="AH20" i="20"/>
  <c r="AI20" i="20"/>
  <c r="AH21" i="20"/>
  <c r="AI21" i="20"/>
  <c r="AH22" i="20"/>
  <c r="AI22" i="20" s="1"/>
  <c r="AH23" i="20"/>
  <c r="AI23" i="20" s="1"/>
  <c r="AH24" i="20"/>
  <c r="AI24" i="20"/>
  <c r="AH25" i="20"/>
  <c r="AI25" i="20"/>
  <c r="AH26" i="20"/>
  <c r="AI26" i="20" s="1"/>
  <c r="AH27" i="20"/>
  <c r="AI27" i="20" s="1"/>
  <c r="AH29" i="20"/>
  <c r="AI29" i="20"/>
  <c r="AH30" i="20"/>
  <c r="AI30" i="20"/>
  <c r="AH31" i="20"/>
  <c r="AI31" i="20" s="1"/>
  <c r="AH32" i="20"/>
  <c r="AI32" i="20" s="1"/>
  <c r="AH33" i="20"/>
  <c r="AI33" i="20"/>
  <c r="AH34" i="20"/>
  <c r="AI34" i="20"/>
  <c r="AH35" i="20"/>
  <c r="AI35" i="20" s="1"/>
  <c r="AH36" i="20"/>
  <c r="AI36" i="20" s="1"/>
  <c r="AH37" i="20"/>
  <c r="AI37" i="20"/>
  <c r="AH38" i="20"/>
  <c r="AI38" i="20"/>
  <c r="AH10" i="20"/>
  <c r="AI10" i="20" s="1"/>
  <c r="AD11" i="20"/>
  <c r="AD12" i="20"/>
  <c r="AD13" i="20"/>
  <c r="AD14" i="20"/>
  <c r="AE14" i="20" s="1"/>
  <c r="AF14" i="20" s="1"/>
  <c r="AD15" i="20"/>
  <c r="AD16" i="20"/>
  <c r="AD17" i="20"/>
  <c r="AE17" i="20" s="1"/>
  <c r="AF17" i="20" s="1"/>
  <c r="AD18" i="20"/>
  <c r="AD19" i="20"/>
  <c r="AD20" i="20"/>
  <c r="AE20" i="20" s="1"/>
  <c r="AF20" i="20" s="1"/>
  <c r="AD21" i="20"/>
  <c r="AD22" i="20"/>
  <c r="AE22" i="20"/>
  <c r="AF22" i="20" s="1"/>
  <c r="AD23" i="20"/>
  <c r="AD24" i="20"/>
  <c r="AD25" i="20"/>
  <c r="AD26" i="20"/>
  <c r="AD27" i="20"/>
  <c r="AD28" i="20"/>
  <c r="AD29" i="20"/>
  <c r="AE29" i="20" s="1"/>
  <c r="AF29" i="20" s="1"/>
  <c r="AD30" i="20"/>
  <c r="AD32" i="20"/>
  <c r="AD33" i="20"/>
  <c r="AD35" i="20"/>
  <c r="AD36" i="20"/>
  <c r="AE36" i="20" s="1"/>
  <c r="AF36" i="20" s="1"/>
  <c r="AD37" i="20"/>
  <c r="AD38" i="20"/>
  <c r="AD10" i="20"/>
  <c r="AB11" i="20"/>
  <c r="AB12" i="20"/>
  <c r="AB14" i="20"/>
  <c r="AB15" i="20"/>
  <c r="AB16" i="20"/>
  <c r="AE16" i="20" s="1"/>
  <c r="AF16" i="20" s="1"/>
  <c r="AB17" i="20"/>
  <c r="AB18" i="20"/>
  <c r="AB19" i="20"/>
  <c r="AB20" i="20"/>
  <c r="AB21" i="20"/>
  <c r="AB22" i="20"/>
  <c r="AB23" i="20"/>
  <c r="AB24" i="20"/>
  <c r="AE24" i="20" s="1"/>
  <c r="AF24" i="20" s="1"/>
  <c r="AB25" i="20"/>
  <c r="AE25" i="20" s="1"/>
  <c r="AF25" i="20" s="1"/>
  <c r="AB26" i="20"/>
  <c r="AB27" i="20"/>
  <c r="AB28" i="20"/>
  <c r="AE28" i="20" s="1"/>
  <c r="AF28" i="20" s="1"/>
  <c r="AB29" i="20"/>
  <c r="AB30" i="20"/>
  <c r="AB31" i="20"/>
  <c r="AB32" i="20"/>
  <c r="AB33" i="20"/>
  <c r="AB34" i="20"/>
  <c r="AE34" i="20" s="1"/>
  <c r="AF34" i="20" s="1"/>
  <c r="AB35" i="20"/>
  <c r="AB36" i="20"/>
  <c r="AB37" i="20"/>
  <c r="AE37" i="20"/>
  <c r="AF37" i="20" s="1"/>
  <c r="AB38" i="20"/>
  <c r="AE38" i="20" s="1"/>
  <c r="AF38" i="20" s="1"/>
  <c r="AB10" i="20"/>
  <c r="AB42" i="20" s="1"/>
  <c r="Z12" i="20"/>
  <c r="Z13" i="20"/>
  <c r="Z10" i="20"/>
  <c r="E15" i="20"/>
  <c r="F15" i="20"/>
  <c r="T11" i="20"/>
  <c r="U11" i="20"/>
  <c r="T12" i="20"/>
  <c r="U12" i="20" s="1"/>
  <c r="W12" i="20" s="1"/>
  <c r="T13" i="20"/>
  <c r="U13" i="20" s="1"/>
  <c r="T14" i="20"/>
  <c r="U14" i="20"/>
  <c r="T15" i="20"/>
  <c r="U15" i="20"/>
  <c r="T16" i="20"/>
  <c r="U16" i="20" s="1"/>
  <c r="T17" i="20"/>
  <c r="U17" i="20" s="1"/>
  <c r="T18" i="20"/>
  <c r="U18" i="20"/>
  <c r="T19" i="20"/>
  <c r="U19" i="20"/>
  <c r="T20" i="20"/>
  <c r="U20" i="20" s="1"/>
  <c r="T21" i="20"/>
  <c r="U21" i="20" s="1"/>
  <c r="T22" i="20"/>
  <c r="U22" i="20"/>
  <c r="T23" i="20"/>
  <c r="U23" i="20"/>
  <c r="T24" i="20"/>
  <c r="U24" i="20" s="1"/>
  <c r="W24" i="20" s="1"/>
  <c r="T25" i="20"/>
  <c r="U25" i="20"/>
  <c r="T26" i="20"/>
  <c r="U26" i="20"/>
  <c r="T27" i="20"/>
  <c r="U27" i="20" s="1"/>
  <c r="W27" i="20" s="1"/>
  <c r="T28" i="20"/>
  <c r="U28" i="20" s="1"/>
  <c r="W28" i="20" s="1"/>
  <c r="T29" i="20"/>
  <c r="U29" i="20"/>
  <c r="T30" i="20"/>
  <c r="U30" i="20"/>
  <c r="T31" i="20"/>
  <c r="U31" i="20" s="1"/>
  <c r="W31" i="20" s="1"/>
  <c r="T32" i="20"/>
  <c r="U32" i="20" s="1"/>
  <c r="T33" i="20"/>
  <c r="U33" i="20"/>
  <c r="T34" i="20"/>
  <c r="U34" i="20"/>
  <c r="W34" i="20" s="1"/>
  <c r="T35" i="20"/>
  <c r="U35" i="20" s="1"/>
  <c r="W35" i="20" s="1"/>
  <c r="T38" i="20"/>
  <c r="U38" i="20" s="1"/>
  <c r="T10" i="20"/>
  <c r="U10" i="20"/>
  <c r="O11" i="20"/>
  <c r="P11" i="20"/>
  <c r="O12" i="20"/>
  <c r="P12" i="20" s="1"/>
  <c r="O13" i="20"/>
  <c r="P13" i="20" s="1"/>
  <c r="O14" i="20"/>
  <c r="P14" i="20"/>
  <c r="O15" i="20"/>
  <c r="P15" i="20"/>
  <c r="O16" i="20"/>
  <c r="P16" i="20" s="1"/>
  <c r="O17" i="20"/>
  <c r="P17" i="20" s="1"/>
  <c r="O18" i="20"/>
  <c r="P18" i="20"/>
  <c r="O19" i="20"/>
  <c r="P19" i="20"/>
  <c r="O20" i="20"/>
  <c r="P20" i="20" s="1"/>
  <c r="O21" i="20"/>
  <c r="P21" i="20" s="1"/>
  <c r="O22" i="20"/>
  <c r="P22" i="20"/>
  <c r="O23" i="20"/>
  <c r="P23" i="20"/>
  <c r="O24" i="20"/>
  <c r="P24" i="20" s="1"/>
  <c r="O25" i="20"/>
  <c r="P25" i="20" s="1"/>
  <c r="W25" i="20" s="1"/>
  <c r="O26" i="20"/>
  <c r="P26" i="20"/>
  <c r="O27" i="20"/>
  <c r="P27" i="20"/>
  <c r="O28" i="20"/>
  <c r="P28" i="20" s="1"/>
  <c r="O29" i="20"/>
  <c r="P29" i="20" s="1"/>
  <c r="W29" i="20" s="1"/>
  <c r="O30" i="20"/>
  <c r="P30" i="20"/>
  <c r="O31" i="20"/>
  <c r="P31" i="20"/>
  <c r="O32" i="20"/>
  <c r="P32" i="20" s="1"/>
  <c r="O33" i="20"/>
  <c r="P33" i="20" s="1"/>
  <c r="O34" i="20"/>
  <c r="P34" i="20"/>
  <c r="O35" i="20"/>
  <c r="P35" i="20"/>
  <c r="O37" i="20"/>
  <c r="P37" i="20" s="1"/>
  <c r="O38" i="20"/>
  <c r="P38" i="20"/>
  <c r="O10" i="20"/>
  <c r="P10" i="20"/>
  <c r="J11" i="20"/>
  <c r="J42" i="20" s="1"/>
  <c r="J12" i="20"/>
  <c r="V12" i="20" s="1"/>
  <c r="K12" i="20"/>
  <c r="J13" i="20"/>
  <c r="K13" i="20"/>
  <c r="J14" i="20"/>
  <c r="K14" i="20"/>
  <c r="J15" i="20"/>
  <c r="V15" i="20" s="1"/>
  <c r="J16" i="20"/>
  <c r="V16" i="20" s="1"/>
  <c r="K16" i="20"/>
  <c r="J17" i="20"/>
  <c r="K17" i="20"/>
  <c r="J18" i="20"/>
  <c r="K18" i="20"/>
  <c r="J19" i="20"/>
  <c r="K19" i="20" s="1"/>
  <c r="J20" i="20"/>
  <c r="V20" i="20" s="1"/>
  <c r="K20" i="20"/>
  <c r="J21" i="20"/>
  <c r="K21" i="20"/>
  <c r="J22" i="20"/>
  <c r="K22" i="20"/>
  <c r="J23" i="20"/>
  <c r="V23" i="20" s="1"/>
  <c r="J24" i="20"/>
  <c r="K24" i="20"/>
  <c r="J25" i="20"/>
  <c r="J26" i="20"/>
  <c r="K26" i="20" s="1"/>
  <c r="J27" i="20"/>
  <c r="K27" i="20"/>
  <c r="J28" i="20"/>
  <c r="K28" i="20"/>
  <c r="J29" i="20"/>
  <c r="K29" i="20" s="1"/>
  <c r="J30" i="20"/>
  <c r="K30" i="20" s="1"/>
  <c r="W30" i="20" s="1"/>
  <c r="J31" i="20"/>
  <c r="K31" i="20"/>
  <c r="J32" i="20"/>
  <c r="K32" i="20"/>
  <c r="J33" i="20"/>
  <c r="K33" i="20" s="1"/>
  <c r="J34" i="20"/>
  <c r="K34" i="20" s="1"/>
  <c r="J35" i="20"/>
  <c r="K35" i="20"/>
  <c r="J37" i="20"/>
  <c r="K37" i="20"/>
  <c r="J38" i="20"/>
  <c r="K38" i="20" s="1"/>
  <c r="J10" i="20"/>
  <c r="K10" i="20" s="1"/>
  <c r="E11" i="20"/>
  <c r="F11" i="20"/>
  <c r="E12" i="20"/>
  <c r="F12" i="20"/>
  <c r="E13" i="20"/>
  <c r="F13" i="20" s="1"/>
  <c r="E14" i="20"/>
  <c r="F14" i="20" s="1"/>
  <c r="W14" i="20" s="1"/>
  <c r="E16" i="20"/>
  <c r="F16" i="20"/>
  <c r="E17" i="20"/>
  <c r="F17" i="20"/>
  <c r="E18" i="20"/>
  <c r="F18" i="20" s="1"/>
  <c r="W18" i="20" s="1"/>
  <c r="E19" i="20"/>
  <c r="F19" i="20" s="1"/>
  <c r="E20" i="20"/>
  <c r="E21" i="20"/>
  <c r="F21" i="20" s="1"/>
  <c r="E22" i="20"/>
  <c r="F22" i="20"/>
  <c r="E23" i="20"/>
  <c r="F23" i="20"/>
  <c r="E24" i="20"/>
  <c r="V24" i="20" s="1"/>
  <c r="F24" i="20"/>
  <c r="E26" i="20"/>
  <c r="V26" i="20" s="1"/>
  <c r="E27" i="20"/>
  <c r="F27" i="20"/>
  <c r="E28" i="20"/>
  <c r="F28" i="20"/>
  <c r="E29" i="20"/>
  <c r="F29" i="20"/>
  <c r="E30" i="20"/>
  <c r="V30" i="20"/>
  <c r="F30" i="20"/>
  <c r="E31" i="20"/>
  <c r="F31" i="20"/>
  <c r="E32" i="20"/>
  <c r="F32" i="20" s="1"/>
  <c r="E33" i="20"/>
  <c r="V33" i="20" s="1"/>
  <c r="F33" i="20"/>
  <c r="E34" i="20"/>
  <c r="F34" i="20"/>
  <c r="E37" i="20"/>
  <c r="F37" i="20"/>
  <c r="E38" i="20"/>
  <c r="F38" i="20" s="1"/>
  <c r="E10" i="20"/>
  <c r="F10" i="20"/>
  <c r="C35" i="21"/>
  <c r="C34" i="21"/>
  <c r="C33" i="21"/>
  <c r="I4" i="19"/>
  <c r="I13" i="19" s="1"/>
  <c r="I14" i="19" s="1"/>
  <c r="I15" i="19" s="1"/>
  <c r="D13" i="19"/>
  <c r="K25" i="20"/>
  <c r="V22" i="20"/>
  <c r="C13" i="19"/>
  <c r="C14" i="19"/>
  <c r="C15" i="19"/>
  <c r="AE15" i="20"/>
  <c r="AF15" i="20" s="1"/>
  <c r="AE12" i="20"/>
  <c r="AF12" i="20"/>
  <c r="AE23" i="20"/>
  <c r="AF23" i="20"/>
  <c r="AD42" i="20"/>
  <c r="AE11" i="20"/>
  <c r="AF11" i="20"/>
  <c r="AE21" i="20"/>
  <c r="AF21" i="20"/>
  <c r="AE30" i="20"/>
  <c r="AF30" i="20" s="1"/>
  <c r="Z42" i="20"/>
  <c r="X10" i="20"/>
  <c r="X42" i="20" s="1"/>
  <c r="V21" i="20"/>
  <c r="W22" i="20"/>
  <c r="V34" i="20"/>
  <c r="V27" i="20"/>
  <c r="V25" i="20"/>
  <c r="F40" i="20"/>
  <c r="V17" i="20"/>
  <c r="V19" i="20"/>
  <c r="V10" i="20"/>
  <c r="F20" i="20"/>
  <c r="E42" i="20"/>
  <c r="M8" i="22" l="1"/>
  <c r="M6" i="22"/>
  <c r="M29" i="22"/>
  <c r="M25" i="22"/>
  <c r="M26" i="22"/>
  <c r="M28" i="22"/>
  <c r="M16" i="22"/>
  <c r="M11" i="22"/>
  <c r="M12" i="22"/>
  <c r="M15" i="22"/>
  <c r="M22" i="22"/>
  <c r="M31" i="22"/>
  <c r="M30" i="22"/>
  <c r="M20" i="22"/>
  <c r="W19" i="20"/>
  <c r="W13" i="20"/>
  <c r="W37" i="20"/>
  <c r="W33" i="20"/>
  <c r="W17" i="20"/>
  <c r="AI42" i="20"/>
  <c r="F42" i="20"/>
  <c r="U42" i="20"/>
  <c r="W32" i="20"/>
  <c r="W16" i="20"/>
  <c r="W10" i="20"/>
  <c r="W21" i="20"/>
  <c r="W15" i="20"/>
  <c r="W36" i="20"/>
  <c r="W40" i="20"/>
  <c r="P42" i="20"/>
  <c r="W38" i="20"/>
  <c r="W20" i="20"/>
  <c r="V38" i="20"/>
  <c r="F26" i="20"/>
  <c r="W26" i="20" s="1"/>
  <c r="K23" i="20"/>
  <c r="W23" i="20" s="1"/>
  <c r="K15" i="20"/>
  <c r="K11" i="20"/>
  <c r="W11" i="20" s="1"/>
  <c r="V37" i="20"/>
  <c r="V32" i="20"/>
  <c r="V13" i="20"/>
  <c r="V36" i="20"/>
  <c r="V11" i="20"/>
  <c r="V42" i="20" s="1"/>
  <c r="V14" i="20"/>
  <c r="V39" i="20"/>
  <c r="AH42" i="20"/>
  <c r="D15" i="19" s="1"/>
  <c r="V31" i="20"/>
  <c r="V28" i="20"/>
  <c r="V18" i="20"/>
  <c r="V35" i="20"/>
  <c r="O42" i="20"/>
  <c r="V40" i="20"/>
  <c r="V29" i="20"/>
  <c r="T42" i="20"/>
  <c r="AE10" i="20"/>
  <c r="K42" i="20" l="1"/>
  <c r="W42" i="20"/>
  <c r="AE42" i="20"/>
  <c r="D14" i="19" s="1"/>
  <c r="AF10" i="20"/>
  <c r="AF42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Hanna Leong Yern Yerng</author>
  </authors>
  <commentList>
    <comment ref="W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Hanna Leong Yern Yerng:</t>
        </r>
        <r>
          <rPr>
            <sz val="9"/>
            <color indexed="81"/>
            <rFont val="Tahoma"/>
            <family val="2"/>
          </rPr>
          <t xml:space="preserve">
Total kwh * 0.365 </t>
        </r>
      </text>
    </comment>
  </commentList>
</comments>
</file>

<file path=xl/sharedStrings.xml><?xml version="1.0" encoding="utf-8"?>
<sst xmlns="http://schemas.openxmlformats.org/spreadsheetml/2006/main" count="174" uniqueCount="110">
  <si>
    <t>&gt;&gt;JV_LISTING</t>
  </si>
  <si>
    <t>&gt;&gt;JV_LIST</t>
  </si>
  <si>
    <t>&gt;&gt;JV_LISTING2</t>
  </si>
  <si>
    <t xml:space="preserve">&gt;'[LASATA SETUP FILE]_x000D_
Date=2007-05-05 21:08:12_x000D_
FileType=Agora XLB ExtractTransactions_x000D_
Version=0_x000D_
Buffer=_x000D_
@systemProduct:Str=SS5_x000D_
@systemTable:Str=LA_x000D_
@filterFrom_DbC:Str=$B$7{P}1_x000D_
@filterFrom_/LA/Ldg:Str=A_x000D_
@filterFrom_/LA/AccCde:Str=&lt;ALL&gt;_x000D_
@filterFrom_/LA/Prd:Str=1992/001_x000D_
@filterTo_/LA/Prd:Str=2012/003_x000D_
@filterFrom_/LA/JnlNo:Str=$B$8{P}2_x000D_
@filterTo_/LA/JnlNo:Str=$C$8{P}3_x000D_
@outputField_/LA/TrnRef:Str=1_x000D_
@outputField_/LA/Prd:Str=_x000D_
@outputField_/LA/TrnDte:Str=_x000D_
@outputField_/LA/AccCde:Str=_x000D_
@outputField_/LA/Desc:Str=_x000D_
@outputField_/LA/BseAmt:Str=_x000D_
@outputField_/LA/OthAmt:Str=_x000D_
@outputField_/LA/50:Str=_x000D_
@outputField_/LA/JnlNo:Str=2_x000D_
@outputField_/LA/JnlLn:Str=_x000D_
@outputField_/LA/JnlTyp:Str=_x000D_
@outputField_/LA/TC0{ExtractType}0:Str=_x000D_
@outputField_/LA/TC1{ExtractType}0:Str=_x000D_
@outputField_/LA/TC2{ExtractType}0:Str=_x000D_
@outputField_/LA/TC3{ExtractType}0:Str=_x000D_
@outputField_/LA/TC4{ExtractType}0:Str=_x000D_
@outputField_/LA/TC9{ExtractType}0:Str=_x000D_
@formatType:Lng=-4154_x000D_
@formatNumber:Int=1_x000D_
@formatPattern:Int=1_x000D_
@formatFont:Int=1_x000D_
@formatWidth:Int=0_x000D_
@formatAlignment:Int=0_x000D_
@formatBorder:Int=1_x000D_
@filenmSetupfile:Str=_x000D_
@filenmWorkbookSetupFile:Str=JV_LISTING2_x000D_
@settngShowMessages:Str=Y_x000D_
@settngDirection:Str=D_x000D_
@settngApplyFormula:Str=Y_x000D_
@settngLock:Str=N_x000D_
@settngOutputHeaders:Int=0_x000D_
@settngOutputCaptions:Int=1_x000D_
@settngOutputTotals:Int=1_x000D_
@settngOutputFiltering:Int=0_x000D_
@settngPivotTable:Int=0_x000D_
@settngTopPercent:Str=_x000D_
@settngReportStyle:Lng=1_x000D_
</t>
  </si>
  <si>
    <t>&gt;&gt;JV_LIST22</t>
  </si>
  <si>
    <t xml:space="preserve">&gt;'[LASATA SETUP FILE]_x000D_
Date=2007-05-05 21:09:14_x000D_
FileType=Agora XLB MacroBuilder_x000D_
Version=0_x000D_
Buffer=_x000D_
@settngMacroName:Str=JV_LIST22_x000D_
@settngMacroButtonCaption:Str=CHECK_YOUR_JV2_x000D_
@settngMacroShortcutKey:Str=_x000D_
@recipeStep_ClearRange_50521084073000:Str=P0=A18:AB999,P1=,P2=_x000D_
@recipeStep_RunExtractTransactions_50521084078000:Str=P0=A18,P1=JV_LISTING2,P2=_x000D_
@recipeStep_SelectRange_50521084080000:Str=P0=B8,P1=,P2=_x000D_
@filenmSetupfile:Str=_x000D_
@filenmWorkbookSetupFile:Str=JV_LIST22_x000D_
</t>
  </si>
  <si>
    <t xml:space="preserve">&gt;'[LASATA SETUP FILE]_x000D_
Date=2007-05-05 21:10:43_x000D_
FileType=Agora XLB ExtractTransactions_x000D_
Version=0_x000D_
Buffer=_x000D_
@systemProduct:Str=SS5_x000D_
@systemTable:Str=LA_x000D_
@filterFrom_DbC:Str=$B$7{P}1_x000D_
@filterFrom_/LA/Ldg:Str=A_x000D_
@filterFrom_/LA/AccCde:Str=&lt;ALL&gt;_x000D_
@filterFrom_/LA/Prd:Str=1992/001_x000D_
@filterTo_/LA/Prd:Str=2013/002_x000D_
@filterFrom_/LA/JnlNo:Str=$B$8{P}2_x000D_
@filterTo_/LA/JnlNo:Str=$C$8{P}3_x000D_
@outputField_/LA/TrnRef:Str=1_x000D_
@outputField_/LA/Prd:Str=_x000D_
@outputField_/LA/TrnDte:Str=_x000D_
@outputField_/LA/AccCde:Str=_x000D_
@outputField_/LA/Desc:Str=_x000D_
@outputField_/LA/BseAmt:Str=_x000D_
@outputField_/LA/OthAmt:Str=_x000D_
@outputField_/LA/50:Str=_x000D_
@outputField_/LA/JnlNo:Str=2_x000D_
@outputField_/LA/JnlLn:Str=_x000D_
@outputField_/LA/JnlTyp:Str=_x000D_
@outputField_/LA/T0/8:Str=_x000D_
@outputField_/LA/T1/8:Str=_x000D_
@outputField_/LA/T2/8:Str=_x000D_
@outputField_/LA/T3/8:Str=_x000D_
@outputField_/LA/T4/8:Str=_x000D_
@outputField_/LA/TC9:Str=_x000D_
@formatType:Lng=-4154_x000D_
@formatNumber:Int=1_x000D_
@formatPattern:Int=1_x000D_
@formatFont:Int=1_x000D_
@formatWidth:Int=0_x000D_
@formatAlignment:Int=0_x000D_
@formatBorder:Int=1_x000D_
@filenmSetupfile:Str=_x000D_
@filenmWorkbookSetupFile:Str=JV_LISTING_x000D_
@settngShowMessages:Str=Y_x000D_
@settngDirection:Str=D_x000D_
@settngApplyFormula:Str=Y_x000D_
@settngLock:Str=N_x000D_
@settngOutputHeaders:Int=0_x000D_
@settngOutputCaptions:Int=1_x000D_
@settngOutputTotals:Int=1_x000D_
@settngOutputFiltering:Int=0_x000D_
@settngPivotTable:Int=0_x000D_
@settngTopPercent:Str=_x000D_
@settngReportStyle:Lng=1_x000D_
</t>
  </si>
  <si>
    <t xml:space="preserve">&gt;'[LASATA SETUP FILE]_x000D_
Date=2006-11-12 13:49:49_x000D_
FileType=Agora XLB ExtractTransactions_x000D_
Version=0_x000D_
Buffer=_x000D_
@systemProduct:Str=SS5_x000D_
@systemTable:Str=LA_x000D_
@filterFrom_DbC:Str=ZPB_x000D_
@filterFrom_/LA/Ldg:Str=A_x000D_
@filterFrom_/LA/AccCde:Str=&lt;ALL&gt;_x000D_
@filterFrom_/LA/Prd:Str=BA  +0_x000D_
@filterFrom_/LA/JnlNo:Str=8_x000D_
@filterTo_/LA/JnlNo:Str=8_x000D_
@outputField_/LA/Ldg:Str=_x000D_
@outputField_/LA/AccCde:Str=_x000D_
@outputField_/LA/Prd:Str=_x000D_
@outputField_/LA/BseAmt:Str=_x000D_
@outputField_/LA/DC{ExtractType}20:Str=_x000D_
@outputField_/LA/OthAmt:Str=_x000D_
@outputField_/LA/50:Str=_x000D_
@outputField_/LA/51:Str=_x000D_
@outputField_/LA/BseCC:Str=_x000D_
@outputField_/LA/CnvCde:Str=_x000D_
@outputField_/LA/RepCC:Str=_x000D_
@outputField_/LA/CnvRte:Str=_x000D_
@outputField_/LA/47{ExtractType}20:Str=_x000D_
@outputField_/LA/45:Str=_x000D_
@outputField_/LA/46{ExtractType}20:Str=_x000D_
@outputField_/LA/48:Str=_x000D_
@outputField_/LA/49{ExtractType}20:Str=_x000D_
@outputField_/LA/TrnDte:Str=_x000D_
@outputField_/LA/JnlNo:Str=_x000D_
@outputField_/LA/JnlLn:Str=_x000D_
@outputField_/LA/JnlTyp:Str=_x000D_
@outputField_/LA/JnlSrc:Str=_x000D_
@outputField_/LA/TrnRef:Str=_x000D_
@outputField_/LA/Desc:Str=_x000D_
@outputField_/LA/OFS{ExtractType}20:Str=_x000D_
@outputField_/LA/AstInd{ExtractType}20:Str=_x000D_
@outputField_/LA/AstCde:Str=_x000D_
@outputField_/LA/AstSubCde:Str=_x000D_
@outputField_/LA/Alc{ExtractType}20:Str=_x000D_
@outputField_/LA/AlcRef:Str=_x000D_
@outputField_/LA/AlcDte:Str=_x000D_
@outputField_/LA/AlcPrd:Str=_x000D_
@outputField_/LA/DueDte:Str=_x000D_
@outputField_/LA/EntDte:Str=_x000D_
@outputField_/LA/EntPrd:Str=_x000D_
@outputField_/LA/TC0:Str=_x000D_
@outputField_/LA/TC1:Str=_x000D_
@outputField_/LA/TC2:Str=_x000D_
@outputField_/LA/TC3:Str=_x000D_
@outputField_/LA/TC4:Str=_x000D_
@outputField_/LA/TC5:Str=_x000D_
@outputField_/LA/TC6:Str=_x000D_
@outputField_/LA/TC7:Str=_x000D_
@outputField_/LA/TC9:Str=_x000D_
@outputField_/LA/Rev{ExtractType}20:Str=_x000D_
@outputField_/LA/LossGain:Str=_x000D_
@outputField_/LA/Rough{ExtractType}20:Str=_x000D_
@outputField_/LA/InUse{ExtractType}20:Str=_x000D_
@outputField_/LA/HeldJnlOpID:Str=_x000D_
@outputField_/LA/PstDte:Str=_x000D_
@outputField_/LA/AllocInPrg:Str=_x000D_
@outputField_/LA/HeldJnlRef:Str=_x000D_
@outputField_/LA/52{ExtractType}20:Str=_x000D_
@outputField_/LA/53{ExtractType}20:Str=_x000D_
@outputField_/LA/54:Str=_x000D_
@outputField_/LA/920:Str=_x000D_
@outputField_/LA/922:Str=_x000D_
@outputField_/LA/924:Str=_x000D_
@outputField_/LA/926:Str=_x000D_
@outputField_/LA/928:Str=_x000D_
@outputField_/LA/930:Str=_x000D_
@outputField_/LA/932:Str=_x000D_
@outputField_/LA/934:Str=_x000D_
@outputField_/LA/936:Str=_x000D_
@outputField_/LA/938:Str=_x000D_
@outputField_/LA/940{ExtractType}20:Str=_x000D_
@outputField_/LA/942{ExtractType}20:Str=_x000D_
@outputField_/LA/944{ExtractType}20:Str=_x000D_
@outputField_/LA/946:Str=_x000D_
@outputField_/LA/948:Str=_x000D_
@outputField_/LA/950{ExtractType}21:Str=_x000D_
@outputField_/LA/952:Str=_x000D_
@outputField_/LA/954:Str=_x000D_
@outputField_/LA/956:Str=_x000D_
@outputField_/LA/958{ExtractType}20:Str=_x000D_
@outputField_/LA/960{ExtractType}20:Str=_x000D_
@outputField_/LA/962:Str=_x000D_
@outputField_/LA/964:Str=_x000D_
@outputField_/LA/966:Str=_x000D_
@outputField_/LA/968:Str=_x000D_
@outputField_/LA/970{ExtractType}20:Str=_x000D_
@outputField_/LA/972:Str=_x000D_
@outputField_/LA/974{ExtractType}20:Str=_x000D_
@outputField_/LA/976{ExtractType}20:Str=_x000D_
@formatType:Lng=-4154_x000D_
@formatNumber:Int=1_x000D_
@formatPattern:Int=1_x000D_
@formatFont:Int=1_x000D_
@formatWidth:Int=1_x000D_
@formatAlignment:Int=1_x000D_
@formatBorder:Int=1_x000D_
@filenmSetupfile:Str=_x000D_
@filenmWorkbookSetupFile:Str=Detail Report 1_x000D_
@settngShowMessages:Str=Y_x000D_
@settngDirection:Str=D_x000D_
@settngApplyFormula:Str=Y_x000D_
@settngLock:Str=N_x000D_
@settngOutputHeaders:Int=0_x000D_
@settngOutputCaptions:Int=1_x000D_
@settngOutputTotals:Int=1_x000D_
@settngOutputFiltering:Int=0_x000D_
@settngPivotTable:Int=0_x000D_
@settngTopPercent:Str=_x000D_
@settngReportStyle:Lng=1_x000D_
</t>
  </si>
  <si>
    <t>T1-Department</t>
  </si>
  <si>
    <t>T2- Detail</t>
  </si>
  <si>
    <t>T3-Class</t>
  </si>
  <si>
    <t>T4-Category</t>
  </si>
  <si>
    <t>T5-Day Of Month</t>
  </si>
  <si>
    <t>T10-1099 Box Number</t>
  </si>
  <si>
    <t>&gt;&gt;JV_ENG1</t>
  </si>
  <si>
    <t>&gt;'axb</t>
  </si>
  <si>
    <t xml:space="preserve">&gt;'[LASATA SETUP FILE]_x000D_
Date=2006-11-08 16:23:23_x000D_
FileType=Agora XLB MacroBuilder_x000D_
Version=0_x000D_
Buffer=_x000D_
@settngMacroName:Str=JV_ENG1_x000D_
@settngMacroButtonCaption:Str=SEND_JV_x000D_
@settngMacroShortcutKey:Str=_x000D_
@recipeStep_RunDataSend_110816214154000:Str=P0=JV_ENG,P1=,P2=_x000D_
@recipeStep_SelectRange_110816215204000:Str=P0=C8,P1=,P2=_x000D_
@filenmSetupfile:Str=_x000D_
@filenmWorkbookSetupFile:Str=JV_ENG1_x000D_
</t>
  </si>
  <si>
    <t>Amount USD</t>
  </si>
  <si>
    <t>&gt;&gt;Detail Report 1</t>
  </si>
  <si>
    <t>&gt;'atb</t>
  </si>
  <si>
    <t>Journal Source:</t>
  </si>
  <si>
    <t>Data Base:</t>
  </si>
  <si>
    <t>JV Type:</t>
  </si>
  <si>
    <t>Date:</t>
  </si>
  <si>
    <t>Period:</t>
  </si>
  <si>
    <t>Acct Code</t>
  </si>
  <si>
    <t>Description</t>
  </si>
  <si>
    <t>&gt;&gt;Summary Report 1</t>
  </si>
  <si>
    <t>&gt;'adb</t>
  </si>
  <si>
    <t xml:space="preserve">&gt;'[LASATA SETUP FILE]_x000D_
Date=2006-11-08 13:59:57_x000D_
FileType=Agora XLB Data Fill_x000D_
Version=0_x000D_
Buffer=_x000D_
@systemProduct:Str=SS5_x000D_
@systemTable:Str=NC2_x000D_
@filterFrom_DbC:Str=ZPB_x000D_
@filterFrom_/NC2/1:Str=06_x000D_
@filterTo_/NC2/1:Str=14_x000D_
@outputField_/NC2/8{ExtractType}0:Str=_x000D_
@formatType:Lng=-4154_x000D_
@formatNumber:Int=1_x000D_
@formatPattern:Int=1_x000D_
@formatFont:Int=1_x000D_
@formatWidth:Int=1_x000D_
@formatAlignment:Int=1_x000D_
@formatBorder:Int=1_x000D_
@filenmSetupfile:Str=_x000D_
@filenmWorkbookSetupFile:Str=Summary Report 1_x000D_
@settngShowMessages:Str=Y_x000D_
@settngDirection:Str=S_x000D_
@settngApplyFormula:Str=Y_x000D_
@settngLock:Str=N_x000D_
@settngOutputHeaders:Int=0_x000D_
@settngOutputCaptions:Int=1_x000D_
@settngOutputTotals:Int=1_x000D_
@settngOutputFiltering:Int=0_x000D_
@settngPivotTable:Int=0_x000D_
@settngTopPercent:Str=_x000D_
@settngReportStyle:Lng=1_x000D_
</t>
  </si>
  <si>
    <t>&gt;&gt;JV_ENG</t>
  </si>
  <si>
    <t>&gt;'lsd</t>
  </si>
  <si>
    <t>&gt;&gt;JV_MULTI</t>
  </si>
  <si>
    <t xml:space="preserve">&gt;'[LASATA SETUP FILE]_x000D_
Date=2006-11-12 15:31:28_x000D_
FileType=Agora XLB MacroBuilder_x000D_
Version=0_x000D_
Buffer=_x000D_
@settngMacroName:Str=JV_LIST_x000D_
@settngMacroButtonCaption:Str=CHECK_YOUR_JV_x000D_
@settngMacroShortcutKey:Str=_x000D_
@recipeStep_ClearRange_111215311330000:Str=P0=A18:AB999,P1=,P2=_x000D_
@recipeStep_RunExtractTransactions_111215310101000:Str=P0=A18,P1=JV_LISTING,P2=_x000D_
@recipeStep_SelectRange_111215310102000:Str=P0=B8,P1=,P2=_x000D_
@filenmSetupfile:Str=_x000D_
@filenmWorkbookSetupFile:Str=JV_LIST_x000D_
</t>
  </si>
  <si>
    <t>JV/TRANZ Ref .</t>
  </si>
  <si>
    <t>&gt;&gt;ACCOUNT</t>
  </si>
  <si>
    <t xml:space="preserve">&gt;'[LASATA SETUP FILE]_x000D_
Date=2006-11-11 15:49:23_x000D_
FileType=Agora XLB MacroBuilder_x000D_
Version=0_x000D_
Buffer=_x000D_
@settngMacroName:Str=ACCOUNT_x000D_
@settngMacroButtonCaption:Str=CHECK_A/C_x000D_
@settngMacroShortcutKey:Str=_x000D_
@recipeStep_ClearRange_111115471535000:Str=P0=B11:B22,P1=,P2=_x000D_
@recipeStep_RecalculateRange_111115480754000:Str=P0=B10,P1=,P2=_x000D_
@recipeStep_SelectRange_111115481996000:Str=P0=B8,P1=,P2=_x000D_
@filenmSetupfile:Str=_x000D_
@filenmWorkbookSetupFile:Str=ACCOUNT_x000D_
</t>
  </si>
  <si>
    <t>&gt;&gt;CA</t>
  </si>
  <si>
    <t xml:space="preserve">&gt;'[LASATA SETUP FILE]_x000D_
Date=2006-11-11 15:51:47_x000D_
FileType=Agora XLB ExtractTransactions_x000D_
Version=0_x000D_
Buffer=_x000D_
@systemProduct:Str=SS5_x000D_
@systemTable:Str=CA_x000D_
@filterFrom_DbC:Str=ZPB_x000D_
@filterFrom_/CA/AccTyp:Str=&lt;ALL&gt;_x000D_
@filterFrom_/CA/Cde:Str=&lt;ALL&gt;_x000D_
@filterFrom_/CA/Susp:Str=O_x000D_
@outputField_/CA/Cde:Str=_x000D_
@outputField_/CA/Nme:Str=_x000D_
@formatType:Lng=-4154_x000D_
@formatNumber:Int=1_x000D_
@formatPattern:Int=1_x000D_
@formatFont:Int=1_x000D_
@formatWidth:Int=1_x000D_
@formatAlignment:Int=1_x000D_
@formatBorder:Int=1_x000D_
@filenmSetupfile:Str=_x000D_
@filenmWorkbookSetupFile:Str=CA_x000D_
@settngShowMessages:Str=Y_x000D_
@settngDirection:Str=D_x000D_
@settngApplyFormula:Str=Y_x000D_
@settngLock:Str=N_x000D_
@settngOutputHeaders:Int=0_x000D_
@settngOutputCaptions:Int=0_x000D_
@settngOutputTotals:Int=0_x000D_
@settngOutputFiltering:Int=0_x000D_
@settngPivotTable:Int=0_x000D_
@settngTopPercent:Str=_x000D_
@settngReportStyle:Lng=1_x000D_
</t>
  </si>
  <si>
    <t>&gt;&gt;Summary Report 2</t>
  </si>
  <si>
    <t xml:space="preserve">&gt;'[LASATA SETUP FILE]_x000D_
Date=2006-11-12 13:07:07_x000D_
FileType=Agora XLB Data Fill_x000D_
Version=0_x000D_
Buffer=_x000D_
@systemProduct:Str=SS5_x000D_
@systemTable:Str=NC2_x000D_
@filterFrom_DbC:Str=ZPB_x000D_
@filterFrom_/NC2/1:Str=06_x000D_
@filterTo_/NC2/1:Str=14_x000D_
@outputField_/NC2/1{ExtractType}0:Str=_x000D_
@outputField_/NC2/9{ExtractType}0:Str=_x000D_
@formatType:Lng=-4154_x000D_
@formatNumber:Int=1_x000D_
@formatPattern:Int=1_x000D_
@formatFont:Int=1_x000D_
@formatWidth:Int=1_x000D_
@formatAlignment:Int=1_x000D_
@formatBorder:Int=1_x000D_
@filenmSetupfile:Str=_x000D_
@filenmWorkbookSetupFile:Str=Summary Report 2_x000D_
@settngShowMessages:Str=Y_x000D_
@settngDirection:Str=D_x000D_
@settngApplyFormula:Str=Y_x000D_
@settngLock:Str=N_x000D_
@settngOutputHeaders:Int=0_x000D_
@settngOutputCaptions:Int=1_x000D_
@settngOutputTotals:Int=1_x000D_
@settngOutputFiltering:Int=0_x000D_
@settngPivotTable:Int=0_x000D_
@settngTopPercent:Str=_x000D_
@settngReportStyle:Lng=1_x000D_
</t>
  </si>
  <si>
    <t>&gt;&gt;ND</t>
  </si>
  <si>
    <t xml:space="preserve">&gt;'[LASATA SETUP FILE]_x000D_
Date=2006-11-12 13:08:26_x000D_
FileType=Agora XLB Data Fill_x000D_
Version=0_x000D_
Buffer=_x000D_
@systemProduct:Str=SS5_x000D_
@systemTable:Str=NC2_x000D_
@filterFrom_DbC:Str=ZPB_x000D_
@filterFrom_/NC2/1:Str=06_x000D_
@filterTo_/NC2/1:Str=14_x000D_
@outputField_/NC2/1:Str=_x000D_
@outputField_/NC2/9:Str=_x000D_
@formatType:Lng=-4154_x000D_
@formatNumber:Int=1_x000D_
@formatPattern:Int=1_x000D_
@formatFont:Int=1_x000D_
@formatWidth:Int=1_x000D_
@formatAlignment:Int=1_x000D_
@formatBorder:Int=1_x000D_
@filenmSetupfile:Str=_x000D_
@filenmWorkbookSetupFile:Str=ND_x000D_
@settngShowMessages:Str=Y_x000D_
@settngDirection:Str=D_x000D_
@settngApplyFormula:Str=Y_x000D_
@settngLock:Str=N_x000D_
@settngOutputHeaders:Int=0_x000D_
@settngOutputCaptions:Int=0_x000D_
@settngOutputTotals:Int=0_x000D_
@settngOutputFiltering:Int=0_x000D_
@settngPivotTable:Int=0_x000D_
@settngTopPercent:Str=_x000D_
@settngReportStyle:Lng=1_x000D_
</t>
  </si>
  <si>
    <t>&gt;&gt;NC_LIST</t>
  </si>
  <si>
    <t>&gt;&gt;NC_LIS</t>
  </si>
  <si>
    <t>&gt;&gt;JV_MULT</t>
  </si>
  <si>
    <t xml:space="preserve">&gt;'[LASATA SETUP FILE]_x000D_
Date=2006-11-09 13:06:42_x000D_
FileType=Agora XLB MacroBuilder_x000D_
Version=0_x000D_
Buffer=_x000D_
@settngMacroName:Str=JV_MULT_x000D_
@settngMacroButtonCaption:Str=SEND_JV_x000D_
@settngMacroShortcutKey:Str=_x000D_
@recipeStep_RunDataSend_110913053254000:Str=P0=JV_MULTI,P1=,P2=_x000D_
@recipeStep_SelectRange_110913054300000:Str=P0=C8,P1=,P2=_x000D_
@filenmSetupfile:Str=_x000D_
@filenmWorkbookSetupFile:Str=JV_MULT_x000D_
</t>
  </si>
  <si>
    <t xml:space="preserve">&gt;'[LASATA SETUP FILE]_x000D_
Date=2007-03-19 09:41:06_x000D_
FileType=Agora XLB MacroBuilder_x000D_
Version=0_x000D_
Buffer=_x000D_
@settngMacroName:Str=NC_LIS_x000D_
@settngMacroButtonCaption:Str=CHECK_T-CODE_x000D_
@settngMacroShortcutKey:Str=_x000D_
@recipeStep_RecalculateRange_31909404976000:Str=P0=C29,P1=,P2=_x000D_
@recipeStep_ClearRange_31909404976001:Str=P0=A31:F407,P1=,P2=_x000D_
@recipeStep_RunDataFill_31909404977000:Str=P0=A31,P1=NC_LIST,P2=_x000D_
@recipeStep_SelectRange_31909404978000:Str=P0=B29,P1=,P2=_x000D_
@filenmSetupfile:Str=_x000D_
@filenmWorkbookSetupFile:Str=NC_LIS_x000D_
</t>
  </si>
  <si>
    <t xml:space="preserve">&gt;'[LASATA SETUP FILE]_x000D_
Date=2007-03-19 09:34:21_x000D_
FileType=Agora XLB Data Fill_x000D_
Version=0_x000D_
Buffer=_x000D_
@systemProduct:Str=SS5_x000D_
@systemTable:Str=ND2_x000D_
@filterFrom_DbC:Str='MULTI-CURRANCY'!$C$3{P}1_x000D_
@filterFrom_/ND2/1:Str=$B$29{P}2_x000D_
@filterTo_/ND2/1:Str=$B$29{P}3_x000D_
@outputField_/ND2/Cde{ExtractType}0:Str=_x000D_
@outputField_/ND2/8{ExtractType}0:Str=_x000D_
@outputField_/ND2/6{ExtractType}20:Str=_x000D_
@formatType:Lng=-4154_x000D_
@formatNumber:Int=1_x000D_
@formatPattern:Int=1_x000D_
@formatFont:Int=1_x000D_
@formatWidth:Int=1_x000D_
@formatAlignment:Int=1_x000D_
@formatBorder:Int=1_x000D_
@filenmSetupfile:Str=_x000D_
@filenmWorkbookSetupFile:Str=NC_LIST_x000D_
@settngShowMessages:Str=Y_x000D_
@settngDirection:Str=D_x000D_
@settngApplyFormula:Str=Y_x000D_
@settngLock:Str=N_x000D_
@settngOutputHeaders:Int=0_x000D_
@settngOutputCaptions:Int=1_x000D_
@settngOutputTotals:Int=0_x000D_
@settngOutputFiltering:Int=0_x000D_
@settngPivotTable:Int=0_x000D_
@settngTopPercent:Str=_x000D_
@settngReportStyle:Lng=1_x000D_
</t>
  </si>
  <si>
    <t>&gt;&gt;COACOR</t>
  </si>
  <si>
    <t xml:space="preserve">&gt;'[LASATA SETUP FILE]_x000D_
Date=2007-03-19 09:25:03_x000D_
FileType=Agora XLB Data Fill_x000D_
Version=0_x000D_
Buffer=_x000D_
@systemProduct:Str=SS5_x000D_
@systemTable:Str=CA_x000D_
@filterFrom_DbC:Str=COR_x000D_
@filterFrom_/CA/AccTyp:Str=&lt;ALL&gt;_x000D_
@filterFrom_/CA/Cde:Str=&lt;ALL&gt;_x000D_
@outputField_/CA/Cde:Str=_x000D_
@outputField_/CA/Nme:Str=_x000D_
@formatType:Lng=-4154_x000D_
@formatNumber:Int=1_x000D_
@formatPattern:Int=1_x000D_
@formatFont:Int=1_x000D_
@formatWidth:Int=1_x000D_
@formatAlignment:Int=1_x000D_
@formatBorder:Int=1_x000D_
@filenmSetupfile:Str=_x000D_
@filenmWorkbookSetupFile:Str=COACOR_x000D_
@settngShowMessages:Str=Y_x000D_
@settngDirection:Str=D_x000D_
@settngApplyFormula:Str=Y_x000D_
@settngLock:Str=N_x000D_
@settngOutputHeaders:Int=0_x000D_
@settngOutputCaptions:Int=1_x000D_
@settngOutputTotals:Int=1_x000D_
@settngOutputFiltering:Int=0_x000D_
@settngPivotTable:Int=0_x000D_
@settngTopPercent:Str=_x000D_
@settngReportStyle:Lng=1_x000D_
</t>
  </si>
  <si>
    <t xml:space="preserve">&gt;'[LASATA SETUP FILE]_x000D_
Date=2007-03-27 16:32:44_x000D_
FileType=Agora XML SendData_x000D_
Version=0_x000D_
Buffer=_x000D_
@Agora XML SendData:Str=@STARTBLOCK_x000D_
setupFileVersion:2=1_x000D_
AbortIfErrorsExist:2=1_x000D_
AppendFile:2=0_x000D_
RunScript:2=1_x000D_
DatabaseOrig:8=_x000D_
DefinitionName:8=Ledger Import_x000D_
DefinitionVersion:4=2_x000D_
ErrorReference:8=D3_x000D_
CommentReference:8=$D$3_x000D_
MatrixSend:11=0_x000D_
SkipBlanks:11=-1_x000D_
CSVDelimeter:8=_x000D_
CSVIncludeHeader:2=0_x000D_
MatrixReplicatorFieldOverrideNodePath:8=/LI Header/LI Detail/PERD_x000D_
DriverFieldOverrideNodePath:8=/LI Header/CREATED_DATETIME_x000D_
Language:8=_x000D_
OutputFileNameOrig:8=_x000D_
SetupFileNameOrig:8=_x000D_
SetupFileType:2=2_x000D_
ShowMessages:2=1_x000D_
WorkBookSetupFileOrig:8=JV_MULTI_x000D_
LayoutIdetifierColumn:8=A3_x000D_
Product:8=SS5_x000D_
SuperFieldKey:8=DbC_x000D_
SuperFieldValue:8=$C$3_x000D_
FieldValueCodePath:8=/LI Header/CREATED_DATETIME_x000D_
FieldValueValue:8=$C$4_x000D_
FieldValueCodePath:8=/LI Header/DESCR_x000D_
FieldValueValue:8=$C$8_x000D_
FieldValueCodePath:8=/LI Header/POST_TYPE_x000D_
FieldValueValue:8=0_x000D_
FieldValueCodePath:8=/LI Header/POST_WRITE_TO_HOLD_x000D_
FieldValueValue:8=N_x000D_
FieldValueCodePath:8=/LI Header/POST_ROUGH_BOOK_x000D_
FieldValueValue:8=N_x000D_
FieldValueCodePath:8=/LI Header/POST_ALLOW_BAL_TRANS_x000D_
FieldValueValue:8=N_x000D_
FieldValueCodePath:8=/LI Header/POST_SUSPENSE_ACNT_x000D_
FieldValueValue:8=9999_x000D_
FieldValueCodePath:8=/LI Header/POST_OTHER_ACNT_x000D_
FieldValueValue:8=9999_x000D_
FieldValueCodePath:8=/LI Header/POST_DFLT_PERD_x000D_
FieldValueValue:8=$C$5_x000D_
FieldValueCodePath:8=/LI Header/POST_RPT_ERR_ONLY_x000D_
FieldValueValue:8=Y_x000D_
FieldValueCodePath:8=/LI Header/POST_SUPPRESS_SUB_MSG_x000D_
FieldValueValue:8=N_x000D_
FieldValueCodePath:8=/LI Header/POST_RPT_FMT_x000D_
FieldValueValue:8=_x000D_
FieldValueCodePath:8=/LI Header/JRNL_TYPE_x000D_
FieldValueValue:8=$C$7_x000D_
FieldValueCodePath:8=/LI Header/POST_RPT_ACNT_x000D_
FieldValueValue:8=9999_x000D_
FieldValueCodePath:8=/LI Header/POST_LDG_x000D_
FieldValueValue:8=A_x000D_
FieldValueCodePath:8=/LI Header/POST_ALLOW_OVER_BDGT_x000D_
FieldValueValue:8=Y_x000D_
FieldValueCodePath:8=/LI Header/POST_ALLOW_SUSPNS_ACNT_x000D_
FieldValueValue:8=Y_x000D_
FieldValueCodePath:8=/LI Header/POST_TXN_REF_BAL_x000D_
FieldValueValue:8=N_x000D_
FieldValueCodePath:8=/LI Header/LI Detail/ACNT_CODE_x000D_
FieldValueValue:8=B13_x000D_
FieldValueCodePath:8=/LI Header/LI Detail/PERD_x000D_
FieldValueValue:8=$C$5_x000D_
FieldValueCodePath:8=/LI Header/LI Detail/TXN_DATETIME_x000D_
FieldValueValue:8=$C$4_x000D_
FieldValueCodePath:8=/LI Header/LI Detail/JNL_SRCE_x000D_
FieldValueValue:8=$C$6_x000D_
FieldValueCodePath:8=/LI Header/LI Detail/TXN_REF_x000D_
FieldValueValue:8=$C$8_x000D_
FieldValueCodePath:8=/LI Header/LI Detail/DESCR_x000D_
FieldValueValue:8=C13_x000D_
FieldValueCodePath:8=/LI Header/LI Detail/DR_CR_IND_x000D_
FieldValueValue:8=_x000D_
FieldValueCodePath:8=/LI Header/LI Detail/AMT_x000D_
FieldValueValue:8=_x000D_
FieldValueCodePath:8=/LI Header/LI Detail/CONV_CODE_x000D_
FieldValueValue:8=E13_x000D_
FieldValueCodePath:8=/LI Header/LI Detail/TXN_AMT_x000D_
FieldValueValue:8=D13_x000D_
FieldValueCodePath:8=/LI Header/LI Detail/ANL_CODE_T0_x000D_
FieldValueValue:8=F13_x000D_
FieldValueCodePath:8=/LI Header/LI Detail/ANL_CODE_T1_x000D_
FieldValueValue:8=G13_x000D_
FieldValueCodePath:8=/LI Header/LI Detail/ANL_CODE_T2_x000D_
FieldValueValue:8=H13_x000D_
FieldValueCodePath:8=/LI Header/LI Detail/ANL_CODE_T3_x000D_
FieldValueValue:8=I13_x000D_
FieldValueCodePath:8=/LI Header/LI Detail/ANL_CODE_T4_x000D_
FieldValueValue:8=J13_x000D_
FieldValueCodePath:8=/LI Header/LI Detail/ANL_CODE_T5_x000D_
FieldValueValue:8=_x000D_
FieldValueCodePath:8=/LI Header/LI Detail/ANL_CODE_T6_x000D_
FieldValueValue:8=_x000D_
FieldValueCodePath:8=/LI Header/LI Detail/ANL_CODE_T7_x000D_
FieldValueValue:8=_x000D_
FieldValueCodePath:8=/LI Header/LI Detail/ANL_CODE_T9_x000D_
FieldValueValue:8=N13_x000D_
FieldValueCodePath:8=/LI Header/LI Detail/LI Detail LAD/PSTG_HDR_ID_x000D_
FieldValueValue:8=_x000D_
FieldValueCodePath:8=/LI Header/LI Detail/ANL_CODE_T8_x000D_
FieldValueValue:8=_x000D_
Param1:8=@START_x000D_
InternalName:8=IsCheckBalances_x000D_
ValueFrom:8=N_x000D_
ValueTo:8=_x000D_
_x000D_
@END_x000D_
ZeroRecordCount:3=0_x000D_
NonZeroRecordCount:3=0_x000D_
_x000D_
@ENDBLOCK_x000D_
</t>
  </si>
  <si>
    <t>Prepared by</t>
  </si>
  <si>
    <t>Approved by</t>
  </si>
  <si>
    <t>Posted by</t>
  </si>
  <si>
    <t>Asst Dir of Finance</t>
  </si>
  <si>
    <t>ddmmyyy</t>
  </si>
  <si>
    <t>Total</t>
  </si>
  <si>
    <t>GJE</t>
  </si>
  <si>
    <t>Date</t>
  </si>
  <si>
    <t xml:space="preserve">&gt;'[LASATA SETUP FILE]_x000D_
Date=2014-10-03 18:52:03_x000D_
FileType=Agora XML SendData_x000D_
Version=0_x000D_
Buffer=_x000D_
@Agora XML SendData:Str=@STARTBLOCK_x000D_
setupFileVersion:2=1_x000D_
AbortIfErrorsExist:2=1_x000D_
AppendFile:2=0_x000D_
RunScript:2=1_x000D_
DatabaseOrig:8=_x000D_
DefinitionName:8=Ledger Import_x000D_
DefinitionVersion:4=2_x000D_
ErrorReference:8=D3_x000D_
CommentReference:8=$D$3_x000D_
MatrixSend:11=0_x000D_
SkipBlanks:11=-1_x000D_
CSVDelimeter:8=_x000D_
CSVIncludeHeader:2=0_x000D_
MatrixReplicatorFieldOverrideNodePath:8=/LI Header/LI Detail/PERD_x000D_
DriverFieldOverrideNodePath:8=/LI Header/CREATED_DATETIME_x000D_
Language:8=_x000D_
OutputFileNameOrig:8=_x000D_
SetupFileNameOrig:8=_x000D_
SetupFileType:2=2_x000D_
ShowMessages:2=1_x000D_
WorkBookSetupFileOrig:8=JV_ENG_x000D_
LayoutIdetifierColumn:8=A3_x000D_
Product:8=SS5_x000D_
SuperFieldKey:8=DbC_x000D_
SuperFieldValue:8=$C$3_x000D_
FieldValueCodePath:8=/LI Header/CREATED_DATETIME_x000D_
FieldValueValue:8=$C$4_x000D_
FieldValueCodePath:8=/LI Header/DESCR_x000D_
FieldValueValue:8=$C$8_x000D_
FieldValueCodePath:8=/LI Header/POST_TYPE_x000D_
FieldValueValue:8=2_x000D_
FieldValueCodePath:8=/LI Header/POST_WRITE_TO_HOLD_x000D_
FieldValueValue:8=N_x000D_
FieldValueCodePath:8=/LI Header/POST_ROUGH_BOOK_x000D_
FieldValueValue:8=N_x000D_
FieldValueCodePath:8=/LI Header/POST_ALLOW_BAL_TRANS_x000D_
FieldValueValue:8=0_x000D_
FieldValueCodePath:8=/LI Header/POST_SUSPENSE_ACNT_x000D_
FieldValueValue:8=9999_x000D_
FieldValueCodePath:8=/LI Header/POST_OTHER_ACNT_x000D_
FieldValueValue:8=9999_x000D_
FieldValueCodePath:8=/LI Header/POST_DFLT_PERD_x000D_
FieldValueValue:8=$C$5_x000D_
FieldValueCodePath:8=/LI Header/POST_RPT_ERR_ONLY_x000D_
FieldValueValue:8=Y_x000D_
FieldValueCodePath:8=/LI Header/POST_SUPPRESS_SUB_MSG_x000D_
FieldValueValue:8=N_x000D_
FieldValueCodePath:8=/LI Header/POST_RPT_FMT_x000D_
FieldValueValue:8=_x000D_
FieldValueCodePath:8=/LI Header/JRNL_TYPE_x000D_
FieldValueValue:8=$C$7_x000D_
FieldValueCodePath:8=/LI Header/POST_RPT_ACNT_x000D_
FieldValueValue:8=9999_x000D_
FieldValueCodePath:8=/LI Header/POST_LDG_x000D_
FieldValueValue:8=A_x000D_
FieldValueCodePath:8=/LI Header/POST_ALLOW_OVER_BDGT_x000D_
FieldValueValue:8=Y_x000D_
FieldValueCodePath:8=/LI Header/POST_ALLOW_SUSPNS_ACNT_x000D_
FieldValueValue:8=Y_x000D_
FieldValueCodePath:8=/LI Header/POST_TXN_REF_BAL_x000D_
FieldValueValue:8=N_x000D_
FieldValueCodePath:8=/LI Header/LI Detail/ACNT_CODE_x000D_
FieldValueValue:8=B13_x000D_
FieldValueCodePath:8=/LI Header/LI Detail/PERD_x000D_
FieldValueValue:8=$C$5_x000D_
FieldValueCodePath:8=/LI Header/LI Detail/TXN_DATETIME_x000D_
FieldValueValue:8=$C$4_x000D_
FieldValueCodePath:8=/LI Header/LI Detail/JNL_SRCE_x000D_
FieldValueValue:8=$C$6_x000D_
FieldValueCodePath:8=/LI Header/LI Detail/TXN_REF_x000D_
FieldValueValue:8=$C$8_x000D_
FieldValueCodePath:8=/LI Header/LI Detail/DESCR_x000D_
FieldValueValue:8=C13_x000D_
FieldValueCodePath:8=/LI Header/LI Detail/DR_CR_IND_x000D_
FieldValueValue:8=_x000D_
FieldValueCodePath:8=/LI Header/LI Detail/AMT_x000D_
FieldValueValue:8=D13_x000D_
FieldValueCodePath:8=/LI Header/LI Detail/CONV_CODE_x000D_
FieldValueValue:8=USD_x000D_
FieldValueCodePath:8=/LI Header/LI Detail/TXN_AMT_x000D_
FieldValueValue:8=_x000D_
FieldValueCodePath:8=/LI Header/LI Detail/ANL_CODE_T0_x000D_
FieldValueValue:8=E13_x000D_
FieldValueCodePath:8=/LI Header/LI Detail/ANL_CODE_T1_x000D_
FieldValueValue:8=F13_x000D_
FieldValueCodePath:8=/LI Header/LI Detail/ANL_CODE_T2_x000D_
FieldValueValue:8=G13_x000D_
FieldValueCodePath:8=/LI Header/LI Detail/ANL_CODE_T3_x000D_
FieldValueValue:8=H13_x000D_
FieldValueCodePath:8=/LI Header/LI Detail/ANL_CODE_T4_x000D_
FieldValueValue:8=I13_x000D_
FieldValueCodePath:8=/LI Header/LI Detail/ANL_CODE_T5_x000D_
FieldValueValue:8=_x000D_
FieldValueCodePath:8=/LI Header/LI Detail/ANL_CODE_T6_x000D_
FieldValueValue:8=_x000D_
FieldValueCodePath:8=/LI Header/LI Detail/ANL_CODE_T7_x000D_
FieldValueValue:8=_x000D_
FieldValueCodePath:8=/LI Header/LI Detail/ANL_CODE_T9_x000D_
FieldValueValue:8=M13_x000D_
FieldValueCodePath:8=/LI Header/LI Detail/LI Detail LAD/PSTG_HDR_ID_x000D_
FieldValueValue:8=_x000D_
Param1:8=@START_x000D_
InternalName:8=IsCheckBalances_x000D_
ValueFrom:8=N_x000D_
ValueTo:8=_x000D_
_x000D_
@END_x000D_
ZeroRecordCount:3=0_x000D_
NonZeroRecordCount:3=0_x000D_
_x000D_
@ENDBLOCK_x000D_
</t>
  </si>
  <si>
    <t xml:space="preserve">   Water M3</t>
  </si>
  <si>
    <t>Days</t>
  </si>
  <si>
    <t>Four Seasons Hotel KL Energy Statistics</t>
  </si>
  <si>
    <t>MYR Journal Load</t>
  </si>
  <si>
    <t>KUA</t>
  </si>
  <si>
    <t>EL4</t>
  </si>
  <si>
    <t>Statistic P&amp;E -Jul 18</t>
  </si>
  <si>
    <t>Chief Accountant</t>
  </si>
  <si>
    <t>Day Consumption</t>
  </si>
  <si>
    <t>6B Floor</t>
  </si>
  <si>
    <t>6A Floor</t>
  </si>
  <si>
    <t>5B Floor</t>
  </si>
  <si>
    <t>WATER CONSUMPTION (m3)</t>
  </si>
  <si>
    <t>GAS CONSUMPTION (m3)</t>
  </si>
  <si>
    <t>MD</t>
  </si>
  <si>
    <t>Total MYR/kWh</t>
  </si>
  <si>
    <t>Max Demand MYR/kWh</t>
  </si>
  <si>
    <t>Note : Maximum demand measure based on highest consumption in a month</t>
  </si>
  <si>
    <t>POOL DAILY WATER READING CONSUMPTION (SWIMMING POOL)</t>
  </si>
  <si>
    <t>Previous Reading</t>
  </si>
  <si>
    <t>Water Consumption</t>
  </si>
  <si>
    <t>Water cost (MYR)</t>
  </si>
  <si>
    <t>Gas Cost (MYR)</t>
  </si>
  <si>
    <t>Total C1 Electrical Cost (MYR)</t>
  </si>
  <si>
    <t>Total MD Cost (MYR)</t>
  </si>
  <si>
    <t>ELEC TX1 LBS-1 (Guest Rooms)</t>
  </si>
  <si>
    <t>ELEC TX2-2 (Public Area)</t>
  </si>
  <si>
    <t>Chiller TX3 LBS - 3 (Main Chillers)</t>
  </si>
  <si>
    <t>Chiller TX4 LBS - 4 (Main Chillers)</t>
  </si>
  <si>
    <t>Day Consumption - C1</t>
  </si>
  <si>
    <t>Electrical Consumption (kwh) - C1</t>
  </si>
  <si>
    <t>Taken By Venus Assets</t>
  </si>
  <si>
    <t>Witness By Four Seasons Hotel</t>
  </si>
  <si>
    <t>Current day reading - C1</t>
  </si>
  <si>
    <t>Current day reading</t>
  </si>
  <si>
    <t>Site Name</t>
  </si>
  <si>
    <t>Day</t>
  </si>
  <si>
    <t>Month</t>
  </si>
  <si>
    <t>Year</t>
  </si>
  <si>
    <t>Total Electricity Kwh</t>
  </si>
  <si>
    <t>Electricity Tariff ($/Kwh)</t>
  </si>
  <si>
    <t xml:space="preserve">Natural Gas (m3) 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</si>
  <si>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</si>
  <si>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</si>
  <si>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</si>
  <si>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</si>
  <si>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</si>
  <si>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</si>
  <si>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Kuala Lumpur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</si>
</sst>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_-* #,##0.00\-;_-* &quot;-&quot;??_-;_-@_-"/>
    <numFmt numFmtId="165" formatCode="mmmm\-yyyy"/>
    <numFmt numFmtId="166" formatCode="_-* #,##0_-;_-* #,##0\-;_-* &quot;-&quot;??_-;_-@_-"/>
    <numFmt numFmtId="167" formatCode="#,##0_ ;\-#,##0\ "/>
  </numFmts>
  <fonts count="36" x14ac:knownFonts="1">
    <font>
      <sz val="10"/>
      <name val="Arial"/>
      <charset val="178"/>
    </font>
    <font>
      <sz val="11"/>
      <color theme="1"/>
      <name val="Calibri"/>
      <family val="2"/>
      <scheme val="minor"/>
    </font>
    <font>
      <sz val="10"/>
      <name val="Arial"/>
      <charset val="178"/>
    </font>
    <font>
      <b/>
      <sz val="12"/>
      <name val="Garamond"/>
      <family val="1"/>
    </font>
    <font>
      <sz val="11"/>
      <name val="Garamond"/>
      <family val="1"/>
    </font>
    <font>
      <b/>
      <sz val="11"/>
      <name val="Garamond"/>
      <family val="1"/>
    </font>
    <font>
      <b/>
      <sz val="10"/>
      <name val="Garamond"/>
      <family val="1"/>
    </font>
    <font>
      <sz val="8"/>
      <name val="Arial"/>
      <family val="2"/>
    </font>
    <font>
      <sz val="10"/>
      <color indexed="10"/>
      <name val="Arial"/>
      <family val="2"/>
    </font>
    <font>
      <sz val="24"/>
      <name val="Arial"/>
      <family val="2"/>
    </font>
    <font>
      <sz val="10"/>
      <color indexed="10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1"/>
      <color indexed="10"/>
      <name val="Garamond"/>
      <family val="1"/>
    </font>
    <font>
      <sz val="10"/>
      <color indexed="10"/>
      <name val="Times New Roman"/>
      <family val="1"/>
    </font>
    <font>
      <sz val="10"/>
      <color indexed="12"/>
      <name val="Times New Roman"/>
      <family val="1"/>
    </font>
    <font>
      <b/>
      <sz val="18"/>
      <name val="Garamond"/>
      <family val="1"/>
    </font>
    <font>
      <b/>
      <sz val="14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22"/>
      <name val="Arial"/>
      <family val="2"/>
    </font>
    <font>
      <sz val="14"/>
      <name val="Arial"/>
      <family val="2"/>
    </font>
    <font>
      <b/>
      <sz val="36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4"/>
      <color theme="0" tint="-0.499984740745262"/>
      <name val="Arial"/>
      <family val="2"/>
    </font>
    <font>
      <sz val="14"/>
      <color theme="1"/>
      <name val="Arial"/>
      <family val="2"/>
    </font>
    <font>
      <sz val="13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26" fillId="0" borderId="0"/>
    <xf numFmtId="0" fontId="1" fillId="0" borderId="0"/>
  </cellStyleXfs>
  <cellXfs count="123">
    <xf numFmtId="0" fontId="0" fillId="0" borderId="0" xfId="0"/>
    <xf numFmtId="0" fontId="4" fillId="0" borderId="0" xfId="0" applyFont="1" applyFill="1" applyBorder="1"/>
    <xf numFmtId="0" fontId="3" fillId="0" borderId="0" xfId="0" applyFont="1" applyAlignment="1">
      <alignment horizontal="center"/>
    </xf>
    <xf numFmtId="14" fontId="4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/>
    <xf numFmtId="0" fontId="6" fillId="0" borderId="0" xfId="0" applyFont="1" applyBorder="1" applyAlignment="1">
      <alignment horizontal="left"/>
    </xf>
    <xf numFmtId="0" fontId="0" fillId="0" borderId="0" xfId="0" applyBorder="1"/>
    <xf numFmtId="0" fontId="3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8" fillId="0" borderId="0" xfId="0" applyFont="1" applyFill="1" applyBorder="1" applyAlignment="1"/>
    <xf numFmtId="0" fontId="0" fillId="0" borderId="0" xfId="0" applyFill="1"/>
    <xf numFmtId="0" fontId="0" fillId="0" borderId="0" xfId="0" applyFill="1" applyBorder="1" applyAlignment="1"/>
    <xf numFmtId="0" fontId="10" fillId="0" borderId="0" xfId="0" applyFont="1" applyFill="1" applyBorder="1" applyAlignment="1"/>
    <xf numFmtId="164" fontId="2" fillId="0" borderId="0" xfId="1" applyFill="1"/>
    <xf numFmtId="164" fontId="12" fillId="3" borderId="0" xfId="1" applyFont="1" applyFill="1" applyBorder="1" applyAlignment="1">
      <alignment horizontal="right"/>
    </xf>
    <xf numFmtId="0" fontId="11" fillId="3" borderId="0" xfId="0" applyFont="1" applyFill="1" applyBorder="1" applyAlignment="1">
      <alignment horizontal="left"/>
    </xf>
    <xf numFmtId="0" fontId="13" fillId="0" borderId="1" xfId="0" applyFont="1" applyBorder="1"/>
    <xf numFmtId="0" fontId="13" fillId="0" borderId="2" xfId="0" applyFont="1" applyBorder="1"/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7" xfId="0" applyFont="1" applyBorder="1"/>
    <xf numFmtId="0" fontId="13" fillId="0" borderId="8" xfId="0" applyFont="1" applyBorder="1"/>
    <xf numFmtId="0" fontId="14" fillId="0" borderId="0" xfId="0" applyFont="1" applyFill="1" applyBorder="1"/>
    <xf numFmtId="0" fontId="11" fillId="0" borderId="0" xfId="0" applyFont="1" applyAlignment="1">
      <alignment horizontal="left"/>
    </xf>
    <xf numFmtId="0" fontId="15" fillId="3" borderId="0" xfId="0" applyFont="1" applyFill="1" applyBorder="1" applyAlignment="1">
      <alignment horizontal="left"/>
    </xf>
    <xf numFmtId="0" fontId="16" fillId="0" borderId="0" xfId="0" quotePrefix="1" applyFont="1" applyFill="1" applyBorder="1" applyAlignment="1">
      <alignment horizontal="right"/>
    </xf>
    <xf numFmtId="0" fontId="4" fillId="2" borderId="0" xfId="0" applyFont="1" applyFill="1" applyBorder="1" applyAlignment="1">
      <alignment horizontal="left"/>
    </xf>
    <xf numFmtId="14" fontId="4" fillId="4" borderId="0" xfId="0" applyNumberFormat="1" applyFont="1" applyFill="1" applyBorder="1" applyAlignment="1">
      <alignment horizontal="left"/>
    </xf>
    <xf numFmtId="40" fontId="12" fillId="3" borderId="0" xfId="1" applyNumberFormat="1" applyFont="1" applyFill="1" applyBorder="1" applyAlignment="1">
      <alignment horizontal="right"/>
    </xf>
    <xf numFmtId="40" fontId="2" fillId="0" borderId="0" xfId="1" applyNumberFormat="1" applyFill="1"/>
    <xf numFmtId="0" fontId="11" fillId="3" borderId="0" xfId="0" applyNumberFormat="1" applyFont="1" applyFill="1" applyBorder="1"/>
    <xf numFmtId="0" fontId="16" fillId="0" borderId="0" xfId="0" quotePrefix="1" applyNumberFormat="1" applyFont="1" applyFill="1" applyBorder="1" applyAlignment="1">
      <alignment horizontal="right"/>
    </xf>
    <xf numFmtId="22" fontId="0" fillId="0" borderId="0" xfId="0" applyNumberFormat="1"/>
    <xf numFmtId="0" fontId="0" fillId="5" borderId="0" xfId="0" applyFill="1"/>
    <xf numFmtId="166" fontId="0" fillId="0" borderId="0" xfId="1" applyNumberFormat="1" applyFont="1"/>
    <xf numFmtId="167" fontId="0" fillId="0" borderId="0" xfId="1" applyNumberFormat="1" applyFont="1"/>
    <xf numFmtId="167" fontId="0" fillId="0" borderId="0" xfId="1" applyNumberFormat="1" applyFont="1" applyBorder="1"/>
    <xf numFmtId="167" fontId="20" fillId="0" borderId="0" xfId="1" applyNumberFormat="1" applyFont="1"/>
    <xf numFmtId="0" fontId="21" fillId="0" borderId="0" xfId="0" applyFont="1"/>
    <xf numFmtId="164" fontId="22" fillId="0" borderId="5" xfId="1" applyFont="1" applyBorder="1"/>
    <xf numFmtId="0" fontId="19" fillId="0" borderId="0" xfId="0" applyFont="1" applyAlignment="1"/>
    <xf numFmtId="165" fontId="18" fillId="0" borderId="9" xfId="0" applyNumberFormat="1" applyFont="1" applyBorder="1" applyAlignment="1">
      <alignment horizontal="center"/>
    </xf>
    <xf numFmtId="165" fontId="18" fillId="0" borderId="0" xfId="0" applyNumberFormat="1" applyFont="1" applyAlignment="1"/>
    <xf numFmtId="165" fontId="18" fillId="0" borderId="0" xfId="0" applyNumberFormat="1" applyFont="1" applyBorder="1" applyAlignment="1">
      <alignment horizontal="center"/>
    </xf>
    <xf numFmtId="0" fontId="27" fillId="6" borderId="5" xfId="0" applyFont="1" applyFill="1" applyBorder="1" applyAlignment="1">
      <alignment horizontal="center"/>
    </xf>
    <xf numFmtId="0" fontId="22" fillId="7" borderId="7" xfId="0" applyNumberFormat="1" applyFont="1" applyFill="1" applyBorder="1" applyAlignment="1">
      <alignment horizontal="center"/>
    </xf>
    <xf numFmtId="0" fontId="28" fillId="8" borderId="5" xfId="0" applyFont="1" applyFill="1" applyBorder="1" applyAlignment="1">
      <alignment horizontal="center"/>
    </xf>
    <xf numFmtId="0" fontId="22" fillId="7" borderId="5" xfId="0" applyNumberFormat="1" applyFont="1" applyFill="1" applyBorder="1" applyAlignment="1">
      <alignment horizontal="center"/>
    </xf>
    <xf numFmtId="0" fontId="22" fillId="0" borderId="5" xfId="0" applyFont="1" applyBorder="1" applyAlignment="1">
      <alignment horizontal="center"/>
    </xf>
    <xf numFmtId="0" fontId="22" fillId="6" borderId="5" xfId="0" applyFont="1" applyFill="1" applyBorder="1" applyAlignment="1">
      <alignment horizontal="center"/>
    </xf>
    <xf numFmtId="0" fontId="22" fillId="7" borderId="5" xfId="1" applyNumberFormat="1" applyFont="1" applyFill="1" applyBorder="1" applyAlignment="1">
      <alignment horizontal="center"/>
    </xf>
    <xf numFmtId="0" fontId="22" fillId="0" borderId="5" xfId="1" applyNumberFormat="1" applyFont="1" applyFill="1" applyBorder="1" applyAlignment="1">
      <alignment horizontal="center"/>
    </xf>
    <xf numFmtId="0" fontId="22" fillId="6" borderId="5" xfId="1" applyNumberFormat="1" applyFont="1" applyFill="1" applyBorder="1" applyAlignment="1">
      <alignment horizontal="center"/>
    </xf>
    <xf numFmtId="0" fontId="0" fillId="0" borderId="5" xfId="0" applyBorder="1"/>
    <xf numFmtId="166" fontId="22" fillId="0" borderId="5" xfId="1" applyNumberFormat="1" applyFont="1" applyBorder="1" applyAlignment="1">
      <alignment horizontal="center" vertical="center"/>
    </xf>
    <xf numFmtId="166" fontId="22" fillId="0" borderId="5" xfId="1" applyNumberFormat="1" applyFont="1" applyBorder="1" applyAlignment="1">
      <alignment horizontal="center"/>
    </xf>
    <xf numFmtId="164" fontId="22" fillId="0" borderId="5" xfId="1" applyFont="1" applyBorder="1" applyAlignment="1">
      <alignment horizontal="center"/>
    </xf>
    <xf numFmtId="166" fontId="22" fillId="8" borderId="5" xfId="1" applyNumberFormat="1" applyFont="1" applyFill="1" applyBorder="1" applyAlignment="1">
      <alignment horizontal="center"/>
    </xf>
    <xf numFmtId="166" fontId="22" fillId="9" borderId="5" xfId="1" applyNumberFormat="1" applyFont="1" applyFill="1" applyBorder="1" applyAlignment="1">
      <alignment horizontal="center"/>
    </xf>
    <xf numFmtId="166" fontId="22" fillId="6" borderId="5" xfId="1" applyNumberFormat="1" applyFont="1" applyFill="1" applyBorder="1" applyAlignment="1">
      <alignment horizontal="center"/>
    </xf>
    <xf numFmtId="164" fontId="22" fillId="6" borderId="5" xfId="1" applyFont="1" applyFill="1" applyBorder="1" applyAlignment="1">
      <alignment horizontal="center"/>
    </xf>
    <xf numFmtId="166" fontId="22" fillId="8" borderId="5" xfId="1" applyNumberFormat="1" applyFont="1" applyFill="1" applyBorder="1" applyAlignment="1">
      <alignment horizontal="center" vertical="center"/>
    </xf>
    <xf numFmtId="166" fontId="22" fillId="6" borderId="5" xfId="1" applyNumberFormat="1" applyFont="1" applyFill="1" applyBorder="1" applyAlignment="1">
      <alignment horizontal="center" vertical="center"/>
    </xf>
    <xf numFmtId="164" fontId="18" fillId="0" borderId="5" xfId="1" applyFont="1" applyBorder="1" applyAlignment="1">
      <alignment horizontal="center"/>
    </xf>
    <xf numFmtId="166" fontId="18" fillId="9" borderId="5" xfId="1" applyNumberFormat="1" applyFont="1" applyFill="1" applyBorder="1" applyAlignment="1">
      <alignment horizontal="center"/>
    </xf>
    <xf numFmtId="166" fontId="18" fillId="0" borderId="5" xfId="1" applyNumberFormat="1" applyFont="1" applyBorder="1" applyAlignment="1">
      <alignment horizontal="center"/>
    </xf>
    <xf numFmtId="166" fontId="18" fillId="6" borderId="5" xfId="1" applyNumberFormat="1" applyFont="1" applyFill="1" applyBorder="1" applyAlignment="1">
      <alignment horizontal="center"/>
    </xf>
    <xf numFmtId="164" fontId="22" fillId="6" borderId="5" xfId="1" applyFont="1" applyFill="1" applyBorder="1"/>
    <xf numFmtId="0" fontId="18" fillId="10" borderId="5" xfId="0" applyFont="1" applyFill="1" applyBorder="1" applyAlignment="1">
      <alignment horizontal="center" vertical="center" wrapText="1"/>
    </xf>
    <xf numFmtId="0" fontId="18" fillId="10" borderId="5" xfId="0" applyFont="1" applyFill="1" applyBorder="1" applyAlignment="1">
      <alignment horizontal="center" vertical="center"/>
    </xf>
    <xf numFmtId="166" fontId="22" fillId="11" borderId="5" xfId="1" applyNumberFormat="1" applyFont="1" applyFill="1" applyBorder="1" applyAlignment="1">
      <alignment horizontal="center"/>
    </xf>
    <xf numFmtId="164" fontId="22" fillId="11" borderId="5" xfId="1" applyFont="1" applyFill="1" applyBorder="1" applyAlignment="1">
      <alignment horizontal="center"/>
    </xf>
    <xf numFmtId="2" fontId="22" fillId="9" borderId="5" xfId="0" applyNumberFormat="1" applyFont="1" applyFill="1" applyBorder="1"/>
    <xf numFmtId="164" fontId="22" fillId="9" borderId="5" xfId="1" applyFont="1" applyFill="1" applyBorder="1"/>
    <xf numFmtId="164" fontId="22" fillId="6" borderId="5" xfId="1" applyFont="1" applyFill="1" applyBorder="1" applyAlignment="1">
      <alignment horizontal="center" vertical="center"/>
    </xf>
    <xf numFmtId="166" fontId="22" fillId="9" borderId="5" xfId="1" applyNumberFormat="1" applyFont="1" applyFill="1" applyBorder="1" applyAlignment="1">
      <alignment horizontal="center" vertical="center" wrapText="1"/>
    </xf>
    <xf numFmtId="164" fontId="0" fillId="0" borderId="5" xfId="1" applyFont="1" applyBorder="1"/>
    <xf numFmtId="164" fontId="22" fillId="6" borderId="1" xfId="1" applyFont="1" applyFill="1" applyBorder="1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10" borderId="5" xfId="0" applyFont="1" applyFill="1" applyBorder="1" applyAlignment="1">
      <alignment horizontal="center" vertical="center" wrapText="1"/>
    </xf>
    <xf numFmtId="0" fontId="18" fillId="10" borderId="5" xfId="0" applyFont="1" applyFill="1" applyBorder="1" applyAlignment="1">
      <alignment horizontal="center" vertical="center"/>
    </xf>
    <xf numFmtId="166" fontId="22" fillId="9" borderId="10" xfId="1" applyNumberFormat="1" applyFont="1" applyFill="1" applyBorder="1" applyAlignment="1">
      <alignment horizontal="center" vertical="center" wrapText="1"/>
    </xf>
    <xf numFmtId="166" fontId="22" fillId="9" borderId="7" xfId="1" applyNumberFormat="1" applyFont="1" applyFill="1" applyBorder="1" applyAlignment="1">
      <alignment horizontal="center" vertical="center" wrapText="1"/>
    </xf>
    <xf numFmtId="166" fontId="22" fillId="9" borderId="1" xfId="1" applyNumberFormat="1" applyFont="1" applyFill="1" applyBorder="1" applyAlignment="1">
      <alignment horizontal="center" vertical="center" wrapText="1"/>
    </xf>
    <xf numFmtId="164" fontId="22" fillId="6" borderId="10" xfId="1" applyFont="1" applyFill="1" applyBorder="1" applyAlignment="1">
      <alignment horizontal="center" vertical="center"/>
    </xf>
    <xf numFmtId="164" fontId="22" fillId="6" borderId="7" xfId="1" applyFont="1" applyFill="1" applyBorder="1" applyAlignment="1">
      <alignment horizontal="center" vertical="center"/>
    </xf>
    <xf numFmtId="164" fontId="22" fillId="6" borderId="1" xfId="1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165" fontId="23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165" fontId="18" fillId="0" borderId="9" xfId="0" applyNumberFormat="1" applyFont="1" applyBorder="1" applyAlignment="1">
      <alignment horizontal="center"/>
    </xf>
    <xf numFmtId="0" fontId="22" fillId="0" borderId="10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8" borderId="10" xfId="0" applyFont="1" applyFill="1" applyBorder="1" applyAlignment="1">
      <alignment horizontal="center" wrapText="1"/>
    </xf>
    <xf numFmtId="0" fontId="30" fillId="8" borderId="1" xfId="0" applyFont="1" applyFill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17" fillId="0" borderId="11" xfId="0" applyFont="1" applyFill="1" applyBorder="1" applyAlignment="1">
      <alignment horizontal="center"/>
    </xf>
    <xf numFmtId="0" fontId="17" fillId="0" borderId="12" xfId="0" applyFont="1" applyFill="1" applyBorder="1" applyAlignment="1">
      <alignment horizontal="center"/>
    </xf>
    <xf numFmtId="0" fontId="32" fillId="0" borderId="13" xfId="3" applyFont="1" applyBorder="1" applyAlignment="1">
      <alignment horizontal="center"/>
    </xf>
    <xf numFmtId="0" fontId="33" fillId="0" borderId="13" xfId="3" applyFont="1" applyBorder="1" applyAlignment="1">
      <alignment horizontal="center"/>
    </xf>
    <xf numFmtId="1" fontId="33" fillId="0" borderId="13" xfId="3" applyNumberFormat="1" applyFont="1" applyBorder="1" applyAlignment="1">
      <alignment horizontal="center"/>
    </xf>
    <xf numFmtId="1" fontId="32" fillId="0" borderId="13" xfId="3" applyNumberFormat="1" applyFont="1" applyBorder="1" applyAlignment="1">
      <alignment horizontal="center" wrapText="1"/>
    </xf>
    <xf numFmtId="0" fontId="32" fillId="0" borderId="13" xfId="3" applyFont="1" applyBorder="1" applyAlignment="1">
      <alignment horizontal="center" wrapText="1"/>
    </xf>
    <xf numFmtId="0" fontId="32" fillId="0" borderId="0" xfId="3" applyFont="1" applyAlignment="1">
      <alignment wrapText="1"/>
    </xf>
    <xf numFmtId="0" fontId="32" fillId="0" borderId="0" xfId="3" applyFont="1"/>
    <xf numFmtId="0" fontId="34" fillId="0" borderId="0" xfId="3" applyFont="1" applyAlignment="1">
      <alignment horizontal="center"/>
    </xf>
    <xf numFmtId="0" fontId="35" fillId="0" borderId="0" xfId="3" applyFont="1" applyAlignment="1">
      <alignment horizontal="center"/>
    </xf>
    <xf numFmtId="1" fontId="35" fillId="0" borderId="0" xfId="3" applyNumberFormat="1" applyFont="1" applyAlignment="1">
      <alignment horizontal="center"/>
    </xf>
    <xf numFmtId="1" fontId="1" fillId="0" borderId="0" xfId="3" applyNumberFormat="1" applyAlignment="1">
      <alignment horizontal="center"/>
    </xf>
    <xf numFmtId="2" fontId="1" fillId="0" borderId="0" xfId="3" applyNumberFormat="1" applyAlignment="1">
      <alignment horizontal="center"/>
    </xf>
    <xf numFmtId="2" fontId="1" fillId="0" borderId="0" xfId="3" applyNumberFormat="1"/>
    <xf numFmtId="0" fontId="1" fillId="0" borderId="0" xfId="3"/>
    <xf numFmtId="0" fontId="1" fillId="0" borderId="0" xfId="3" applyAlignment="1">
      <alignment horizontal="center"/>
    </xf>
  </cellXfs>
  <cellStyles count="4">
    <cellStyle name="Comma" xfId="1" builtinId="3"/>
    <cellStyle name="Normal" xfId="0" builtinId="0"/>
    <cellStyle name="Normal 2" xfId="2" xr:uid="{00000000-0005-0000-0000-000002000000}"/>
    <cellStyle name="Normal 3" xfId="3" xr:uid="{C140FB33-133D-4632-A3EC-87F7DD1C03E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66675</xdr:colOff>
      <xdr:row>9</xdr:row>
      <xdr:rowOff>0</xdr:rowOff>
    </xdr:from>
    <xdr:to>
      <xdr:col>65</xdr:col>
      <xdr:colOff>9525</xdr:colOff>
      <xdr:row>12</xdr:row>
      <xdr:rowOff>38100</xdr:rowOff>
    </xdr:to>
    <xdr:sp macro="" textlink="">
      <xdr:nvSpPr>
        <xdr:cNvPr id="38988" name="Line 2">
          <a:extLst>
            <a:ext uri="{FF2B5EF4-FFF2-40B4-BE49-F238E27FC236}">
              <a16:creationId xmlns:a16="http://schemas.microsoft.com/office/drawing/2014/main" id="{00000000-0008-0000-0400-00004C980000}"/>
            </a:ext>
          </a:extLst>
        </xdr:cNvPr>
        <xdr:cNvSpPr>
          <a:spLocks noChangeShapeType="1"/>
        </xdr:cNvSpPr>
      </xdr:nvSpPr>
      <xdr:spPr bwMode="auto">
        <a:xfrm>
          <a:off x="42967275" y="2200275"/>
          <a:ext cx="2381250" cy="523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152400</xdr:colOff>
      <xdr:row>5</xdr:row>
      <xdr:rowOff>47625</xdr:rowOff>
    </xdr:from>
    <xdr:to>
      <xdr:col>33</xdr:col>
      <xdr:colOff>523875</xdr:colOff>
      <xdr:row>8</xdr:row>
      <xdr:rowOff>142875</xdr:rowOff>
    </xdr:to>
    <xdr:sp macro="" textlink="">
      <xdr:nvSpPr>
        <xdr:cNvPr id="38989" name="Line 3">
          <a:extLst>
            <a:ext uri="{FF2B5EF4-FFF2-40B4-BE49-F238E27FC236}">
              <a16:creationId xmlns:a16="http://schemas.microsoft.com/office/drawing/2014/main" id="{00000000-0008-0000-0400-00004D980000}"/>
            </a:ext>
          </a:extLst>
        </xdr:cNvPr>
        <xdr:cNvSpPr>
          <a:spLocks noChangeShapeType="1"/>
        </xdr:cNvSpPr>
      </xdr:nvSpPr>
      <xdr:spPr bwMode="auto">
        <a:xfrm flipH="1" flipV="1">
          <a:off x="21717000" y="1466850"/>
          <a:ext cx="4638675" cy="704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323850</xdr:colOff>
          <xdr:row>1</xdr:row>
          <xdr:rowOff>104775</xdr:rowOff>
        </xdr:from>
        <xdr:to>
          <xdr:col>7</xdr:col>
          <xdr:colOff>1381125</xdr:colOff>
          <xdr:row>1</xdr:row>
          <xdr:rowOff>514350</xdr:rowOff>
        </xdr:to>
        <xdr:sp macro="" textlink="">
          <xdr:nvSpPr>
            <xdr:cNvPr id="31745" name="Button 1" hidden="1">
              <a:extLst>
                <a:ext uri="{63B3BB69-23CF-44E3-9099-C40C66FF867C}">
                  <a14:compatExt spid="_x0000_s31745"/>
                </a:ext>
                <a:ext uri="{FF2B5EF4-FFF2-40B4-BE49-F238E27FC236}">
                  <a16:creationId xmlns:a16="http://schemas.microsoft.com/office/drawing/2014/main" id="{00000000-0008-0000-0400-0000017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SEND_JV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"/>
  <sheetViews>
    <sheetView workbookViewId="0"/>
  </sheetViews>
  <sheetFormatPr defaultRowHeight="12.75" x14ac:dyDescent="0.2"/>
  <sheetData/>
  <phoneticPr fontId="7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C17"/>
  <sheetViews>
    <sheetView workbookViewId="0"/>
  </sheetViews>
  <sheetFormatPr defaultRowHeight="12.75" x14ac:dyDescent="0.2"/>
  <sheetData>
    <row r="1" spans="1:3" ht="409.5" x14ac:dyDescent="0.2">
      <c r="A1" t="s">
        <v>27</v>
      </c>
      <c r="B1" t="s">
        <v>28</v>
      </c>
      <c r="C1" s="5" t="s">
        <v>29</v>
      </c>
    </row>
    <row r="2" spans="1:3" ht="409.5" x14ac:dyDescent="0.2">
      <c r="A2" t="s">
        <v>30</v>
      </c>
      <c r="B2" t="s">
        <v>31</v>
      </c>
      <c r="C2" s="5" t="s">
        <v>60</v>
      </c>
    </row>
    <row r="3" spans="1:3" ht="409.5" x14ac:dyDescent="0.2">
      <c r="A3" t="s">
        <v>14</v>
      </c>
      <c r="B3" t="s">
        <v>15</v>
      </c>
      <c r="C3" s="5" t="s">
        <v>16</v>
      </c>
    </row>
    <row r="4" spans="1:3" ht="409.5" x14ac:dyDescent="0.2">
      <c r="A4" t="s">
        <v>32</v>
      </c>
      <c r="B4" t="s">
        <v>31</v>
      </c>
      <c r="C4" s="5" t="s">
        <v>51</v>
      </c>
    </row>
    <row r="5" spans="1:3" ht="409.5" x14ac:dyDescent="0.2">
      <c r="A5" t="s">
        <v>45</v>
      </c>
      <c r="B5" t="s">
        <v>15</v>
      </c>
      <c r="C5" s="5" t="s">
        <v>46</v>
      </c>
    </row>
    <row r="6" spans="1:3" ht="409.5" x14ac:dyDescent="0.2">
      <c r="A6" t="s">
        <v>18</v>
      </c>
      <c r="B6" t="s">
        <v>19</v>
      </c>
      <c r="C6" s="5" t="s">
        <v>7</v>
      </c>
    </row>
    <row r="7" spans="1:3" ht="409.5" x14ac:dyDescent="0.2">
      <c r="A7" t="s">
        <v>35</v>
      </c>
      <c r="B7" t="s">
        <v>15</v>
      </c>
      <c r="C7" s="5" t="s">
        <v>36</v>
      </c>
    </row>
    <row r="8" spans="1:3" ht="409.5" x14ac:dyDescent="0.2">
      <c r="A8" t="s">
        <v>37</v>
      </c>
      <c r="B8" t="s">
        <v>19</v>
      </c>
      <c r="C8" s="5" t="s">
        <v>38</v>
      </c>
    </row>
    <row r="9" spans="1:3" ht="409.5" x14ac:dyDescent="0.2">
      <c r="A9" t="s">
        <v>39</v>
      </c>
      <c r="B9" t="s">
        <v>28</v>
      </c>
      <c r="C9" s="5" t="s">
        <v>40</v>
      </c>
    </row>
    <row r="10" spans="1:3" ht="409.5" x14ac:dyDescent="0.2">
      <c r="A10" t="s">
        <v>41</v>
      </c>
      <c r="B10" t="s">
        <v>28</v>
      </c>
      <c r="C10" s="5" t="s">
        <v>42</v>
      </c>
    </row>
    <row r="11" spans="1:3" ht="409.5" x14ac:dyDescent="0.2">
      <c r="A11" t="s">
        <v>43</v>
      </c>
      <c r="B11" t="s">
        <v>28</v>
      </c>
      <c r="C11" s="5" t="s">
        <v>48</v>
      </c>
    </row>
    <row r="12" spans="1:3" ht="409.5" x14ac:dyDescent="0.2">
      <c r="A12" t="s">
        <v>44</v>
      </c>
      <c r="B12" t="s">
        <v>15</v>
      </c>
      <c r="C12" s="5" t="s">
        <v>47</v>
      </c>
    </row>
    <row r="13" spans="1:3" ht="409.5" x14ac:dyDescent="0.2">
      <c r="A13" t="s">
        <v>0</v>
      </c>
      <c r="B13" t="s">
        <v>19</v>
      </c>
      <c r="C13" s="5" t="s">
        <v>6</v>
      </c>
    </row>
    <row r="14" spans="1:3" ht="409.5" x14ac:dyDescent="0.2">
      <c r="A14" t="s">
        <v>1</v>
      </c>
      <c r="B14" t="s">
        <v>15</v>
      </c>
      <c r="C14" s="5" t="s">
        <v>33</v>
      </c>
    </row>
    <row r="15" spans="1:3" ht="409.5" x14ac:dyDescent="0.2">
      <c r="A15" t="s">
        <v>49</v>
      </c>
      <c r="B15" t="s">
        <v>28</v>
      </c>
      <c r="C15" s="5" t="s">
        <v>50</v>
      </c>
    </row>
    <row r="16" spans="1:3" ht="409.5" x14ac:dyDescent="0.2">
      <c r="A16" t="s">
        <v>2</v>
      </c>
      <c r="B16" t="s">
        <v>19</v>
      </c>
      <c r="C16" s="5" t="s">
        <v>3</v>
      </c>
    </row>
    <row r="17" spans="1:3" ht="409.5" x14ac:dyDescent="0.2">
      <c r="A17" t="s">
        <v>4</v>
      </c>
      <c r="B17" t="s">
        <v>15</v>
      </c>
      <c r="C17" s="5" t="s">
        <v>5</v>
      </c>
    </row>
  </sheetData>
  <phoneticPr fontId="7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43858-4216-4177-B6F8-1664619838E3}">
  <dimension ref="A1:M38"/>
  <sheetViews>
    <sheetView tabSelected="1" workbookViewId="0">
      <selection activeCell="J5" sqref="J5"/>
    </sheetView>
  </sheetViews>
  <sheetFormatPr defaultColWidth="11.5703125" defaultRowHeight="15" x14ac:dyDescent="0.25"/>
  <cols>
    <col min="1" max="1" width="12.42578125" style="122" customWidth="1"/>
    <col min="2" max="3" width="11.5703125" style="116"/>
    <col min="4" max="4" width="13.42578125" style="117" customWidth="1"/>
    <col min="5" max="5" width="12.5703125" style="118" customWidth="1"/>
    <col min="6" max="6" width="12.5703125" style="122" customWidth="1"/>
    <col min="7" max="10" width="11.5703125" style="122"/>
    <col min="11" max="12" width="11.5703125" style="118"/>
    <col min="13" max="13" width="0" style="121" hidden="1" customWidth="1"/>
    <col min="14" max="256" width="11.5703125" style="121"/>
    <col min="257" max="257" width="12.42578125" style="121" customWidth="1"/>
    <col min="258" max="259" width="11.5703125" style="121"/>
    <col min="260" max="260" width="13.42578125" style="121" customWidth="1"/>
    <col min="261" max="262" width="12.5703125" style="121" customWidth="1"/>
    <col min="263" max="268" width="11.5703125" style="121"/>
    <col min="269" max="269" width="0" style="121" hidden="1" customWidth="1"/>
    <col min="270" max="512" width="11.5703125" style="121"/>
    <col min="513" max="513" width="12.42578125" style="121" customWidth="1"/>
    <col min="514" max="515" width="11.5703125" style="121"/>
    <col min="516" max="516" width="13.42578125" style="121" customWidth="1"/>
    <col min="517" max="518" width="12.5703125" style="121" customWidth="1"/>
    <col min="519" max="524" width="11.5703125" style="121"/>
    <col min="525" max="525" width="0" style="121" hidden="1" customWidth="1"/>
    <col min="526" max="768" width="11.5703125" style="121"/>
    <col min="769" max="769" width="12.42578125" style="121" customWidth="1"/>
    <col min="770" max="771" width="11.5703125" style="121"/>
    <col min="772" max="772" width="13.42578125" style="121" customWidth="1"/>
    <col min="773" max="774" width="12.5703125" style="121" customWidth="1"/>
    <col min="775" max="780" width="11.5703125" style="121"/>
    <col min="781" max="781" width="0" style="121" hidden="1" customWidth="1"/>
    <col min="782" max="1024" width="11.5703125" style="121"/>
    <col min="1025" max="1025" width="12.42578125" style="121" customWidth="1"/>
    <col min="1026" max="1027" width="11.5703125" style="121"/>
    <col min="1028" max="1028" width="13.42578125" style="121" customWidth="1"/>
    <col min="1029" max="1030" width="12.5703125" style="121" customWidth="1"/>
    <col min="1031" max="1036" width="11.5703125" style="121"/>
    <col min="1037" max="1037" width="0" style="121" hidden="1" customWidth="1"/>
    <col min="1038" max="1280" width="11.5703125" style="121"/>
    <col min="1281" max="1281" width="12.42578125" style="121" customWidth="1"/>
    <col min="1282" max="1283" width="11.5703125" style="121"/>
    <col min="1284" max="1284" width="13.42578125" style="121" customWidth="1"/>
    <col min="1285" max="1286" width="12.5703125" style="121" customWidth="1"/>
    <col min="1287" max="1292" width="11.5703125" style="121"/>
    <col min="1293" max="1293" width="0" style="121" hidden="1" customWidth="1"/>
    <col min="1294" max="1536" width="11.5703125" style="121"/>
    <col min="1537" max="1537" width="12.42578125" style="121" customWidth="1"/>
    <col min="1538" max="1539" width="11.5703125" style="121"/>
    <col min="1540" max="1540" width="13.42578125" style="121" customWidth="1"/>
    <col min="1541" max="1542" width="12.5703125" style="121" customWidth="1"/>
    <col min="1543" max="1548" width="11.5703125" style="121"/>
    <col min="1549" max="1549" width="0" style="121" hidden="1" customWidth="1"/>
    <col min="1550" max="1792" width="11.5703125" style="121"/>
    <col min="1793" max="1793" width="12.42578125" style="121" customWidth="1"/>
    <col min="1794" max="1795" width="11.5703125" style="121"/>
    <col min="1796" max="1796" width="13.42578125" style="121" customWidth="1"/>
    <col min="1797" max="1798" width="12.5703125" style="121" customWidth="1"/>
    <col min="1799" max="1804" width="11.5703125" style="121"/>
    <col min="1805" max="1805" width="0" style="121" hidden="1" customWidth="1"/>
    <col min="1806" max="2048" width="11.5703125" style="121"/>
    <col min="2049" max="2049" width="12.42578125" style="121" customWidth="1"/>
    <col min="2050" max="2051" width="11.5703125" style="121"/>
    <col min="2052" max="2052" width="13.42578125" style="121" customWidth="1"/>
    <col min="2053" max="2054" width="12.5703125" style="121" customWidth="1"/>
    <col min="2055" max="2060" width="11.5703125" style="121"/>
    <col min="2061" max="2061" width="0" style="121" hidden="1" customWidth="1"/>
    <col min="2062" max="2304" width="11.5703125" style="121"/>
    <col min="2305" max="2305" width="12.42578125" style="121" customWidth="1"/>
    <col min="2306" max="2307" width="11.5703125" style="121"/>
    <col min="2308" max="2308" width="13.42578125" style="121" customWidth="1"/>
    <col min="2309" max="2310" width="12.5703125" style="121" customWidth="1"/>
    <col min="2311" max="2316" width="11.5703125" style="121"/>
    <col min="2317" max="2317" width="0" style="121" hidden="1" customWidth="1"/>
    <col min="2318" max="2560" width="11.5703125" style="121"/>
    <col min="2561" max="2561" width="12.42578125" style="121" customWidth="1"/>
    <col min="2562" max="2563" width="11.5703125" style="121"/>
    <col min="2564" max="2564" width="13.42578125" style="121" customWidth="1"/>
    <col min="2565" max="2566" width="12.5703125" style="121" customWidth="1"/>
    <col min="2567" max="2572" width="11.5703125" style="121"/>
    <col min="2573" max="2573" width="0" style="121" hidden="1" customWidth="1"/>
    <col min="2574" max="2816" width="11.5703125" style="121"/>
    <col min="2817" max="2817" width="12.42578125" style="121" customWidth="1"/>
    <col min="2818" max="2819" width="11.5703125" style="121"/>
    <col min="2820" max="2820" width="13.42578125" style="121" customWidth="1"/>
    <col min="2821" max="2822" width="12.5703125" style="121" customWidth="1"/>
    <col min="2823" max="2828" width="11.5703125" style="121"/>
    <col min="2829" max="2829" width="0" style="121" hidden="1" customWidth="1"/>
    <col min="2830" max="3072" width="11.5703125" style="121"/>
    <col min="3073" max="3073" width="12.42578125" style="121" customWidth="1"/>
    <col min="3074" max="3075" width="11.5703125" style="121"/>
    <col min="3076" max="3076" width="13.42578125" style="121" customWidth="1"/>
    <col min="3077" max="3078" width="12.5703125" style="121" customWidth="1"/>
    <col min="3079" max="3084" width="11.5703125" style="121"/>
    <col min="3085" max="3085" width="0" style="121" hidden="1" customWidth="1"/>
    <col min="3086" max="3328" width="11.5703125" style="121"/>
    <col min="3329" max="3329" width="12.42578125" style="121" customWidth="1"/>
    <col min="3330" max="3331" width="11.5703125" style="121"/>
    <col min="3332" max="3332" width="13.42578125" style="121" customWidth="1"/>
    <col min="3333" max="3334" width="12.5703125" style="121" customWidth="1"/>
    <col min="3335" max="3340" width="11.5703125" style="121"/>
    <col min="3341" max="3341" width="0" style="121" hidden="1" customWidth="1"/>
    <col min="3342" max="3584" width="11.5703125" style="121"/>
    <col min="3585" max="3585" width="12.42578125" style="121" customWidth="1"/>
    <col min="3586" max="3587" width="11.5703125" style="121"/>
    <col min="3588" max="3588" width="13.42578125" style="121" customWidth="1"/>
    <col min="3589" max="3590" width="12.5703125" style="121" customWidth="1"/>
    <col min="3591" max="3596" width="11.5703125" style="121"/>
    <col min="3597" max="3597" width="0" style="121" hidden="1" customWidth="1"/>
    <col min="3598" max="3840" width="11.5703125" style="121"/>
    <col min="3841" max="3841" width="12.42578125" style="121" customWidth="1"/>
    <col min="3842" max="3843" width="11.5703125" style="121"/>
    <col min="3844" max="3844" width="13.42578125" style="121" customWidth="1"/>
    <col min="3845" max="3846" width="12.5703125" style="121" customWidth="1"/>
    <col min="3847" max="3852" width="11.5703125" style="121"/>
    <col min="3853" max="3853" width="0" style="121" hidden="1" customWidth="1"/>
    <col min="3854" max="4096" width="11.5703125" style="121"/>
    <col min="4097" max="4097" width="12.42578125" style="121" customWidth="1"/>
    <col min="4098" max="4099" width="11.5703125" style="121"/>
    <col min="4100" max="4100" width="13.42578125" style="121" customWidth="1"/>
    <col min="4101" max="4102" width="12.5703125" style="121" customWidth="1"/>
    <col min="4103" max="4108" width="11.5703125" style="121"/>
    <col min="4109" max="4109" width="0" style="121" hidden="1" customWidth="1"/>
    <col min="4110" max="4352" width="11.5703125" style="121"/>
    <col min="4353" max="4353" width="12.42578125" style="121" customWidth="1"/>
    <col min="4354" max="4355" width="11.5703125" style="121"/>
    <col min="4356" max="4356" width="13.42578125" style="121" customWidth="1"/>
    <col min="4357" max="4358" width="12.5703125" style="121" customWidth="1"/>
    <col min="4359" max="4364" width="11.5703125" style="121"/>
    <col min="4365" max="4365" width="0" style="121" hidden="1" customWidth="1"/>
    <col min="4366" max="4608" width="11.5703125" style="121"/>
    <col min="4609" max="4609" width="12.42578125" style="121" customWidth="1"/>
    <col min="4610" max="4611" width="11.5703125" style="121"/>
    <col min="4612" max="4612" width="13.42578125" style="121" customWidth="1"/>
    <col min="4613" max="4614" width="12.5703125" style="121" customWidth="1"/>
    <col min="4615" max="4620" width="11.5703125" style="121"/>
    <col min="4621" max="4621" width="0" style="121" hidden="1" customWidth="1"/>
    <col min="4622" max="4864" width="11.5703125" style="121"/>
    <col min="4865" max="4865" width="12.42578125" style="121" customWidth="1"/>
    <col min="4866" max="4867" width="11.5703125" style="121"/>
    <col min="4868" max="4868" width="13.42578125" style="121" customWidth="1"/>
    <col min="4869" max="4870" width="12.5703125" style="121" customWidth="1"/>
    <col min="4871" max="4876" width="11.5703125" style="121"/>
    <col min="4877" max="4877" width="0" style="121" hidden="1" customWidth="1"/>
    <col min="4878" max="5120" width="11.5703125" style="121"/>
    <col min="5121" max="5121" width="12.42578125" style="121" customWidth="1"/>
    <col min="5122" max="5123" width="11.5703125" style="121"/>
    <col min="5124" max="5124" width="13.42578125" style="121" customWidth="1"/>
    <col min="5125" max="5126" width="12.5703125" style="121" customWidth="1"/>
    <col min="5127" max="5132" width="11.5703125" style="121"/>
    <col min="5133" max="5133" width="0" style="121" hidden="1" customWidth="1"/>
    <col min="5134" max="5376" width="11.5703125" style="121"/>
    <col min="5377" max="5377" width="12.42578125" style="121" customWidth="1"/>
    <col min="5378" max="5379" width="11.5703125" style="121"/>
    <col min="5380" max="5380" width="13.42578125" style="121" customWidth="1"/>
    <col min="5381" max="5382" width="12.5703125" style="121" customWidth="1"/>
    <col min="5383" max="5388" width="11.5703125" style="121"/>
    <col min="5389" max="5389" width="0" style="121" hidden="1" customWidth="1"/>
    <col min="5390" max="5632" width="11.5703125" style="121"/>
    <col min="5633" max="5633" width="12.42578125" style="121" customWidth="1"/>
    <col min="5634" max="5635" width="11.5703125" style="121"/>
    <col min="5636" max="5636" width="13.42578125" style="121" customWidth="1"/>
    <col min="5637" max="5638" width="12.5703125" style="121" customWidth="1"/>
    <col min="5639" max="5644" width="11.5703125" style="121"/>
    <col min="5645" max="5645" width="0" style="121" hidden="1" customWidth="1"/>
    <col min="5646" max="5888" width="11.5703125" style="121"/>
    <col min="5889" max="5889" width="12.42578125" style="121" customWidth="1"/>
    <col min="5890" max="5891" width="11.5703125" style="121"/>
    <col min="5892" max="5892" width="13.42578125" style="121" customWidth="1"/>
    <col min="5893" max="5894" width="12.5703125" style="121" customWidth="1"/>
    <col min="5895" max="5900" width="11.5703125" style="121"/>
    <col min="5901" max="5901" width="0" style="121" hidden="1" customWidth="1"/>
    <col min="5902" max="6144" width="11.5703125" style="121"/>
    <col min="6145" max="6145" width="12.42578125" style="121" customWidth="1"/>
    <col min="6146" max="6147" width="11.5703125" style="121"/>
    <col min="6148" max="6148" width="13.42578125" style="121" customWidth="1"/>
    <col min="6149" max="6150" width="12.5703125" style="121" customWidth="1"/>
    <col min="6151" max="6156" width="11.5703125" style="121"/>
    <col min="6157" max="6157" width="0" style="121" hidden="1" customWidth="1"/>
    <col min="6158" max="6400" width="11.5703125" style="121"/>
    <col min="6401" max="6401" width="12.42578125" style="121" customWidth="1"/>
    <col min="6402" max="6403" width="11.5703125" style="121"/>
    <col min="6404" max="6404" width="13.42578125" style="121" customWidth="1"/>
    <col min="6405" max="6406" width="12.5703125" style="121" customWidth="1"/>
    <col min="6407" max="6412" width="11.5703125" style="121"/>
    <col min="6413" max="6413" width="0" style="121" hidden="1" customWidth="1"/>
    <col min="6414" max="6656" width="11.5703125" style="121"/>
    <col min="6657" max="6657" width="12.42578125" style="121" customWidth="1"/>
    <col min="6658" max="6659" width="11.5703125" style="121"/>
    <col min="6660" max="6660" width="13.42578125" style="121" customWidth="1"/>
    <col min="6661" max="6662" width="12.5703125" style="121" customWidth="1"/>
    <col min="6663" max="6668" width="11.5703125" style="121"/>
    <col min="6669" max="6669" width="0" style="121" hidden="1" customWidth="1"/>
    <col min="6670" max="6912" width="11.5703125" style="121"/>
    <col min="6913" max="6913" width="12.42578125" style="121" customWidth="1"/>
    <col min="6914" max="6915" width="11.5703125" style="121"/>
    <col min="6916" max="6916" width="13.42578125" style="121" customWidth="1"/>
    <col min="6917" max="6918" width="12.5703125" style="121" customWidth="1"/>
    <col min="6919" max="6924" width="11.5703125" style="121"/>
    <col min="6925" max="6925" width="0" style="121" hidden="1" customWidth="1"/>
    <col min="6926" max="7168" width="11.5703125" style="121"/>
    <col min="7169" max="7169" width="12.42578125" style="121" customWidth="1"/>
    <col min="7170" max="7171" width="11.5703125" style="121"/>
    <col min="7172" max="7172" width="13.42578125" style="121" customWidth="1"/>
    <col min="7173" max="7174" width="12.5703125" style="121" customWidth="1"/>
    <col min="7175" max="7180" width="11.5703125" style="121"/>
    <col min="7181" max="7181" width="0" style="121" hidden="1" customWidth="1"/>
    <col min="7182" max="7424" width="11.5703125" style="121"/>
    <col min="7425" max="7425" width="12.42578125" style="121" customWidth="1"/>
    <col min="7426" max="7427" width="11.5703125" style="121"/>
    <col min="7428" max="7428" width="13.42578125" style="121" customWidth="1"/>
    <col min="7429" max="7430" width="12.5703125" style="121" customWidth="1"/>
    <col min="7431" max="7436" width="11.5703125" style="121"/>
    <col min="7437" max="7437" width="0" style="121" hidden="1" customWidth="1"/>
    <col min="7438" max="7680" width="11.5703125" style="121"/>
    <col min="7681" max="7681" width="12.42578125" style="121" customWidth="1"/>
    <col min="7682" max="7683" width="11.5703125" style="121"/>
    <col min="7684" max="7684" width="13.42578125" style="121" customWidth="1"/>
    <col min="7685" max="7686" width="12.5703125" style="121" customWidth="1"/>
    <col min="7687" max="7692" width="11.5703125" style="121"/>
    <col min="7693" max="7693" width="0" style="121" hidden="1" customWidth="1"/>
    <col min="7694" max="7936" width="11.5703125" style="121"/>
    <col min="7937" max="7937" width="12.42578125" style="121" customWidth="1"/>
    <col min="7938" max="7939" width="11.5703125" style="121"/>
    <col min="7940" max="7940" width="13.42578125" style="121" customWidth="1"/>
    <col min="7941" max="7942" width="12.5703125" style="121" customWidth="1"/>
    <col min="7943" max="7948" width="11.5703125" style="121"/>
    <col min="7949" max="7949" width="0" style="121" hidden="1" customWidth="1"/>
    <col min="7950" max="8192" width="11.5703125" style="121"/>
    <col min="8193" max="8193" width="12.42578125" style="121" customWidth="1"/>
    <col min="8194" max="8195" width="11.5703125" style="121"/>
    <col min="8196" max="8196" width="13.42578125" style="121" customWidth="1"/>
    <col min="8197" max="8198" width="12.5703125" style="121" customWidth="1"/>
    <col min="8199" max="8204" width="11.5703125" style="121"/>
    <col min="8205" max="8205" width="0" style="121" hidden="1" customWidth="1"/>
    <col min="8206" max="8448" width="11.5703125" style="121"/>
    <col min="8449" max="8449" width="12.42578125" style="121" customWidth="1"/>
    <col min="8450" max="8451" width="11.5703125" style="121"/>
    <col min="8452" max="8452" width="13.42578125" style="121" customWidth="1"/>
    <col min="8453" max="8454" width="12.5703125" style="121" customWidth="1"/>
    <col min="8455" max="8460" width="11.5703125" style="121"/>
    <col min="8461" max="8461" width="0" style="121" hidden="1" customWidth="1"/>
    <col min="8462" max="8704" width="11.5703125" style="121"/>
    <col min="8705" max="8705" width="12.42578125" style="121" customWidth="1"/>
    <col min="8706" max="8707" width="11.5703125" style="121"/>
    <col min="8708" max="8708" width="13.42578125" style="121" customWidth="1"/>
    <col min="8709" max="8710" width="12.5703125" style="121" customWidth="1"/>
    <col min="8711" max="8716" width="11.5703125" style="121"/>
    <col min="8717" max="8717" width="0" style="121" hidden="1" customWidth="1"/>
    <col min="8718" max="8960" width="11.5703125" style="121"/>
    <col min="8961" max="8961" width="12.42578125" style="121" customWidth="1"/>
    <col min="8962" max="8963" width="11.5703125" style="121"/>
    <col min="8964" max="8964" width="13.42578125" style="121" customWidth="1"/>
    <col min="8965" max="8966" width="12.5703125" style="121" customWidth="1"/>
    <col min="8967" max="8972" width="11.5703125" style="121"/>
    <col min="8973" max="8973" width="0" style="121" hidden="1" customWidth="1"/>
    <col min="8974" max="9216" width="11.5703125" style="121"/>
    <col min="9217" max="9217" width="12.42578125" style="121" customWidth="1"/>
    <col min="9218" max="9219" width="11.5703125" style="121"/>
    <col min="9220" max="9220" width="13.42578125" style="121" customWidth="1"/>
    <col min="9221" max="9222" width="12.5703125" style="121" customWidth="1"/>
    <col min="9223" max="9228" width="11.5703125" style="121"/>
    <col min="9229" max="9229" width="0" style="121" hidden="1" customWidth="1"/>
    <col min="9230" max="9472" width="11.5703125" style="121"/>
    <col min="9473" max="9473" width="12.42578125" style="121" customWidth="1"/>
    <col min="9474" max="9475" width="11.5703125" style="121"/>
    <col min="9476" max="9476" width="13.42578125" style="121" customWidth="1"/>
    <col min="9477" max="9478" width="12.5703125" style="121" customWidth="1"/>
    <col min="9479" max="9484" width="11.5703125" style="121"/>
    <col min="9485" max="9485" width="0" style="121" hidden="1" customWidth="1"/>
    <col min="9486" max="9728" width="11.5703125" style="121"/>
    <col min="9729" max="9729" width="12.42578125" style="121" customWidth="1"/>
    <col min="9730" max="9731" width="11.5703125" style="121"/>
    <col min="9732" max="9732" width="13.42578125" style="121" customWidth="1"/>
    <col min="9733" max="9734" width="12.5703125" style="121" customWidth="1"/>
    <col min="9735" max="9740" width="11.5703125" style="121"/>
    <col min="9741" max="9741" width="0" style="121" hidden="1" customWidth="1"/>
    <col min="9742" max="9984" width="11.5703125" style="121"/>
    <col min="9985" max="9985" width="12.42578125" style="121" customWidth="1"/>
    <col min="9986" max="9987" width="11.5703125" style="121"/>
    <col min="9988" max="9988" width="13.42578125" style="121" customWidth="1"/>
    <col min="9989" max="9990" width="12.5703125" style="121" customWidth="1"/>
    <col min="9991" max="9996" width="11.5703125" style="121"/>
    <col min="9997" max="9997" width="0" style="121" hidden="1" customWidth="1"/>
    <col min="9998" max="10240" width="11.5703125" style="121"/>
    <col min="10241" max="10241" width="12.42578125" style="121" customWidth="1"/>
    <col min="10242" max="10243" width="11.5703125" style="121"/>
    <col min="10244" max="10244" width="13.42578125" style="121" customWidth="1"/>
    <col min="10245" max="10246" width="12.5703125" style="121" customWidth="1"/>
    <col min="10247" max="10252" width="11.5703125" style="121"/>
    <col min="10253" max="10253" width="0" style="121" hidden="1" customWidth="1"/>
    <col min="10254" max="10496" width="11.5703125" style="121"/>
    <col min="10497" max="10497" width="12.42578125" style="121" customWidth="1"/>
    <col min="10498" max="10499" width="11.5703125" style="121"/>
    <col min="10500" max="10500" width="13.42578125" style="121" customWidth="1"/>
    <col min="10501" max="10502" width="12.5703125" style="121" customWidth="1"/>
    <col min="10503" max="10508" width="11.5703125" style="121"/>
    <col min="10509" max="10509" width="0" style="121" hidden="1" customWidth="1"/>
    <col min="10510" max="10752" width="11.5703125" style="121"/>
    <col min="10753" max="10753" width="12.42578125" style="121" customWidth="1"/>
    <col min="10754" max="10755" width="11.5703125" style="121"/>
    <col min="10756" max="10756" width="13.42578125" style="121" customWidth="1"/>
    <col min="10757" max="10758" width="12.5703125" style="121" customWidth="1"/>
    <col min="10759" max="10764" width="11.5703125" style="121"/>
    <col min="10765" max="10765" width="0" style="121" hidden="1" customWidth="1"/>
    <col min="10766" max="11008" width="11.5703125" style="121"/>
    <col min="11009" max="11009" width="12.42578125" style="121" customWidth="1"/>
    <col min="11010" max="11011" width="11.5703125" style="121"/>
    <col min="11012" max="11012" width="13.42578125" style="121" customWidth="1"/>
    <col min="11013" max="11014" width="12.5703125" style="121" customWidth="1"/>
    <col min="11015" max="11020" width="11.5703125" style="121"/>
    <col min="11021" max="11021" width="0" style="121" hidden="1" customWidth="1"/>
    <col min="11022" max="11264" width="11.5703125" style="121"/>
    <col min="11265" max="11265" width="12.42578125" style="121" customWidth="1"/>
    <col min="11266" max="11267" width="11.5703125" style="121"/>
    <col min="11268" max="11268" width="13.42578125" style="121" customWidth="1"/>
    <col min="11269" max="11270" width="12.5703125" style="121" customWidth="1"/>
    <col min="11271" max="11276" width="11.5703125" style="121"/>
    <col min="11277" max="11277" width="0" style="121" hidden="1" customWidth="1"/>
    <col min="11278" max="11520" width="11.5703125" style="121"/>
    <col min="11521" max="11521" width="12.42578125" style="121" customWidth="1"/>
    <col min="11522" max="11523" width="11.5703125" style="121"/>
    <col min="11524" max="11524" width="13.42578125" style="121" customWidth="1"/>
    <col min="11525" max="11526" width="12.5703125" style="121" customWidth="1"/>
    <col min="11527" max="11532" width="11.5703125" style="121"/>
    <col min="11533" max="11533" width="0" style="121" hidden="1" customWidth="1"/>
    <col min="11534" max="11776" width="11.5703125" style="121"/>
    <col min="11777" max="11777" width="12.42578125" style="121" customWidth="1"/>
    <col min="11778" max="11779" width="11.5703125" style="121"/>
    <col min="11780" max="11780" width="13.42578125" style="121" customWidth="1"/>
    <col min="11781" max="11782" width="12.5703125" style="121" customWidth="1"/>
    <col min="11783" max="11788" width="11.5703125" style="121"/>
    <col min="11789" max="11789" width="0" style="121" hidden="1" customWidth="1"/>
    <col min="11790" max="12032" width="11.5703125" style="121"/>
    <col min="12033" max="12033" width="12.42578125" style="121" customWidth="1"/>
    <col min="12034" max="12035" width="11.5703125" style="121"/>
    <col min="12036" max="12036" width="13.42578125" style="121" customWidth="1"/>
    <col min="12037" max="12038" width="12.5703125" style="121" customWidth="1"/>
    <col min="12039" max="12044" width="11.5703125" style="121"/>
    <col min="12045" max="12045" width="0" style="121" hidden="1" customWidth="1"/>
    <col min="12046" max="12288" width="11.5703125" style="121"/>
    <col min="12289" max="12289" width="12.42578125" style="121" customWidth="1"/>
    <col min="12290" max="12291" width="11.5703125" style="121"/>
    <col min="12292" max="12292" width="13.42578125" style="121" customWidth="1"/>
    <col min="12293" max="12294" width="12.5703125" style="121" customWidth="1"/>
    <col min="12295" max="12300" width="11.5703125" style="121"/>
    <col min="12301" max="12301" width="0" style="121" hidden="1" customWidth="1"/>
    <col min="12302" max="12544" width="11.5703125" style="121"/>
    <col min="12545" max="12545" width="12.42578125" style="121" customWidth="1"/>
    <col min="12546" max="12547" width="11.5703125" style="121"/>
    <col min="12548" max="12548" width="13.42578125" style="121" customWidth="1"/>
    <col min="12549" max="12550" width="12.5703125" style="121" customWidth="1"/>
    <col min="12551" max="12556" width="11.5703125" style="121"/>
    <col min="12557" max="12557" width="0" style="121" hidden="1" customWidth="1"/>
    <col min="12558" max="12800" width="11.5703125" style="121"/>
    <col min="12801" max="12801" width="12.42578125" style="121" customWidth="1"/>
    <col min="12802" max="12803" width="11.5703125" style="121"/>
    <col min="12804" max="12804" width="13.42578125" style="121" customWidth="1"/>
    <col min="12805" max="12806" width="12.5703125" style="121" customWidth="1"/>
    <col min="12807" max="12812" width="11.5703125" style="121"/>
    <col min="12813" max="12813" width="0" style="121" hidden="1" customWidth="1"/>
    <col min="12814" max="13056" width="11.5703125" style="121"/>
    <col min="13057" max="13057" width="12.42578125" style="121" customWidth="1"/>
    <col min="13058" max="13059" width="11.5703125" style="121"/>
    <col min="13060" max="13060" width="13.42578125" style="121" customWidth="1"/>
    <col min="13061" max="13062" width="12.5703125" style="121" customWidth="1"/>
    <col min="13063" max="13068" width="11.5703125" style="121"/>
    <col min="13069" max="13069" width="0" style="121" hidden="1" customWidth="1"/>
    <col min="13070" max="13312" width="11.5703125" style="121"/>
    <col min="13313" max="13313" width="12.42578125" style="121" customWidth="1"/>
    <col min="13314" max="13315" width="11.5703125" style="121"/>
    <col min="13316" max="13316" width="13.42578125" style="121" customWidth="1"/>
    <col min="13317" max="13318" width="12.5703125" style="121" customWidth="1"/>
    <col min="13319" max="13324" width="11.5703125" style="121"/>
    <col min="13325" max="13325" width="0" style="121" hidden="1" customWidth="1"/>
    <col min="13326" max="13568" width="11.5703125" style="121"/>
    <col min="13569" max="13569" width="12.42578125" style="121" customWidth="1"/>
    <col min="13570" max="13571" width="11.5703125" style="121"/>
    <col min="13572" max="13572" width="13.42578125" style="121" customWidth="1"/>
    <col min="13573" max="13574" width="12.5703125" style="121" customWidth="1"/>
    <col min="13575" max="13580" width="11.5703125" style="121"/>
    <col min="13581" max="13581" width="0" style="121" hidden="1" customWidth="1"/>
    <col min="13582" max="13824" width="11.5703125" style="121"/>
    <col min="13825" max="13825" width="12.42578125" style="121" customWidth="1"/>
    <col min="13826" max="13827" width="11.5703125" style="121"/>
    <col min="13828" max="13828" width="13.42578125" style="121" customWidth="1"/>
    <col min="13829" max="13830" width="12.5703125" style="121" customWidth="1"/>
    <col min="13831" max="13836" width="11.5703125" style="121"/>
    <col min="13837" max="13837" width="0" style="121" hidden="1" customWidth="1"/>
    <col min="13838" max="14080" width="11.5703125" style="121"/>
    <col min="14081" max="14081" width="12.42578125" style="121" customWidth="1"/>
    <col min="14082" max="14083" width="11.5703125" style="121"/>
    <col min="14084" max="14084" width="13.42578125" style="121" customWidth="1"/>
    <col min="14085" max="14086" width="12.5703125" style="121" customWidth="1"/>
    <col min="14087" max="14092" width="11.5703125" style="121"/>
    <col min="14093" max="14093" width="0" style="121" hidden="1" customWidth="1"/>
    <col min="14094" max="14336" width="11.5703125" style="121"/>
    <col min="14337" max="14337" width="12.42578125" style="121" customWidth="1"/>
    <col min="14338" max="14339" width="11.5703125" style="121"/>
    <col min="14340" max="14340" width="13.42578125" style="121" customWidth="1"/>
    <col min="14341" max="14342" width="12.5703125" style="121" customWidth="1"/>
    <col min="14343" max="14348" width="11.5703125" style="121"/>
    <col min="14349" max="14349" width="0" style="121" hidden="1" customWidth="1"/>
    <col min="14350" max="14592" width="11.5703125" style="121"/>
    <col min="14593" max="14593" width="12.42578125" style="121" customWidth="1"/>
    <col min="14594" max="14595" width="11.5703125" style="121"/>
    <col min="14596" max="14596" width="13.42578125" style="121" customWidth="1"/>
    <col min="14597" max="14598" width="12.5703125" style="121" customWidth="1"/>
    <col min="14599" max="14604" width="11.5703125" style="121"/>
    <col min="14605" max="14605" width="0" style="121" hidden="1" customWidth="1"/>
    <col min="14606" max="14848" width="11.5703125" style="121"/>
    <col min="14849" max="14849" width="12.42578125" style="121" customWidth="1"/>
    <col min="14850" max="14851" width="11.5703125" style="121"/>
    <col min="14852" max="14852" width="13.42578125" style="121" customWidth="1"/>
    <col min="14853" max="14854" width="12.5703125" style="121" customWidth="1"/>
    <col min="14855" max="14860" width="11.5703125" style="121"/>
    <col min="14861" max="14861" width="0" style="121" hidden="1" customWidth="1"/>
    <col min="14862" max="15104" width="11.5703125" style="121"/>
    <col min="15105" max="15105" width="12.42578125" style="121" customWidth="1"/>
    <col min="15106" max="15107" width="11.5703125" style="121"/>
    <col min="15108" max="15108" width="13.42578125" style="121" customWidth="1"/>
    <col min="15109" max="15110" width="12.5703125" style="121" customWidth="1"/>
    <col min="15111" max="15116" width="11.5703125" style="121"/>
    <col min="15117" max="15117" width="0" style="121" hidden="1" customWidth="1"/>
    <col min="15118" max="15360" width="11.5703125" style="121"/>
    <col min="15361" max="15361" width="12.42578125" style="121" customWidth="1"/>
    <col min="15362" max="15363" width="11.5703125" style="121"/>
    <col min="15364" max="15364" width="13.42578125" style="121" customWidth="1"/>
    <col min="15365" max="15366" width="12.5703125" style="121" customWidth="1"/>
    <col min="15367" max="15372" width="11.5703125" style="121"/>
    <col min="15373" max="15373" width="0" style="121" hidden="1" customWidth="1"/>
    <col min="15374" max="15616" width="11.5703125" style="121"/>
    <col min="15617" max="15617" width="12.42578125" style="121" customWidth="1"/>
    <col min="15618" max="15619" width="11.5703125" style="121"/>
    <col min="15620" max="15620" width="13.42578125" style="121" customWidth="1"/>
    <col min="15621" max="15622" width="12.5703125" style="121" customWidth="1"/>
    <col min="15623" max="15628" width="11.5703125" style="121"/>
    <col min="15629" max="15629" width="0" style="121" hidden="1" customWidth="1"/>
    <col min="15630" max="15872" width="11.5703125" style="121"/>
    <col min="15873" max="15873" width="12.42578125" style="121" customWidth="1"/>
    <col min="15874" max="15875" width="11.5703125" style="121"/>
    <col min="15876" max="15876" width="13.42578125" style="121" customWidth="1"/>
    <col min="15877" max="15878" width="12.5703125" style="121" customWidth="1"/>
    <col min="15879" max="15884" width="11.5703125" style="121"/>
    <col min="15885" max="15885" width="0" style="121" hidden="1" customWidth="1"/>
    <col min="15886" max="16128" width="11.5703125" style="121"/>
    <col min="16129" max="16129" width="12.42578125" style="121" customWidth="1"/>
    <col min="16130" max="16131" width="11.5703125" style="121"/>
    <col min="16132" max="16132" width="13.42578125" style="121" customWidth="1"/>
    <col min="16133" max="16134" width="12.5703125" style="121" customWidth="1"/>
    <col min="16135" max="16140" width="11.5703125" style="121"/>
    <col min="16141" max="16141" width="0" style="121" hidden="1" customWidth="1"/>
    <col min="16142" max="16384" width="11.5703125" style="121"/>
  </cols>
  <sheetData>
    <row r="1" spans="1:13" s="114" customFormat="1" ht="60.75" thickBot="1" x14ac:dyDescent="0.3">
      <c r="A1" s="108" t="s">
        <v>96</v>
      </c>
      <c r="B1" s="109" t="s">
        <v>97</v>
      </c>
      <c r="C1" s="109" t="s">
        <v>98</v>
      </c>
      <c r="D1" s="110" t="s">
        <v>99</v>
      </c>
      <c r="E1" s="111" t="s">
        <v>100</v>
      </c>
      <c r="F1" s="112" t="s">
        <v>101</v>
      </c>
      <c r="G1" s="112" t="s">
        <v>102</v>
      </c>
      <c r="H1" s="112" t="s">
        <v>103</v>
      </c>
      <c r="I1" s="112" t="s">
        <v>104</v>
      </c>
      <c r="J1" s="112" t="s">
        <v>105</v>
      </c>
      <c r="K1" s="111" t="s">
        <v>106</v>
      </c>
      <c r="L1" s="111" t="s">
        <v>107</v>
      </c>
      <c r="M1" s="113" t="s">
        <v>108</v>
      </c>
    </row>
    <row r="2" spans="1:13" x14ac:dyDescent="0.25">
      <c r="A2" s="115" t="s">
        <v>109</v>
      </c>
      <c r="B2" s="116">
        <v>1</v>
      </c>
      <c r="C2" s="116">
        <v>11</v>
      </c>
      <c r="D2" s="117">
        <v>2020</v>
      </c>
      <c r="E2" s="118">
        <f>Data!V10</f>
        <v>25974</v>
      </c>
      <c r="F2" s="119">
        <f>Data!W10/Data!V10</f>
        <v>0.36499999999999999</v>
      </c>
      <c r="G2" s="119">
        <f>Data!AE10</f>
        <v>139</v>
      </c>
      <c r="H2" s="119">
        <f>Data!AF10/Data!AE10</f>
        <v>1.7285393258426967</v>
      </c>
      <c r="I2" s="119">
        <f>Data!AH10</f>
        <v>231</v>
      </c>
      <c r="J2" s="119">
        <f>Data!AI10/Data!AH10</f>
        <v>2.2799999999999998</v>
      </c>
      <c r="K2" s="118">
        <v>0</v>
      </c>
      <c r="L2" s="118">
        <v>0</v>
      </c>
      <c r="M2" s="120" t="e">
        <f>E2*F2+G2*H2+#REF!*#REF!+I2*J2</f>
        <v>#REF!</v>
      </c>
    </row>
    <row r="3" spans="1:13" x14ac:dyDescent="0.25">
      <c r="A3" s="115" t="s">
        <v>109</v>
      </c>
      <c r="B3" s="116">
        <f>B2+1</f>
        <v>2</v>
      </c>
      <c r="C3" s="116">
        <v>11</v>
      </c>
      <c r="D3" s="117">
        <v>2020</v>
      </c>
      <c r="E3" s="118">
        <f>Data!V11</f>
        <v>26526</v>
      </c>
      <c r="F3" s="119">
        <f>Data!W11/Data!V11</f>
        <v>0.36499999999999999</v>
      </c>
      <c r="G3" s="119">
        <f>Data!AE11</f>
        <v>161</v>
      </c>
      <c r="H3" s="119">
        <f>Data!AF11/Data!AE11</f>
        <v>1.7285393258426967</v>
      </c>
      <c r="I3" s="119">
        <f>Data!AH11</f>
        <v>271</v>
      </c>
      <c r="J3" s="119">
        <f>Data!AI11/Data!AH11</f>
        <v>2.2799999999999998</v>
      </c>
      <c r="K3" s="118">
        <v>0</v>
      </c>
      <c r="L3" s="118">
        <v>0</v>
      </c>
      <c r="M3" s="120" t="e">
        <f>E3*F3+G3*H3+#REF!*#REF!+I3*J3</f>
        <v>#REF!</v>
      </c>
    </row>
    <row r="4" spans="1:13" x14ac:dyDescent="0.25">
      <c r="A4" s="115" t="s">
        <v>109</v>
      </c>
      <c r="B4" s="116">
        <f t="shared" ref="B4:B31" si="0">B3+1</f>
        <v>3</v>
      </c>
      <c r="C4" s="116">
        <v>11</v>
      </c>
      <c r="D4" s="117">
        <v>2020</v>
      </c>
      <c r="E4" s="118">
        <f>Data!V12</f>
        <v>27739</v>
      </c>
      <c r="F4" s="119">
        <f>Data!W12/Data!V12</f>
        <v>0.36500000000000005</v>
      </c>
      <c r="G4" s="119">
        <f>Data!AE12</f>
        <v>159</v>
      </c>
      <c r="H4" s="119">
        <f>Data!AF12/Data!AE12</f>
        <v>1.7285393258426964</v>
      </c>
      <c r="I4" s="119">
        <f>Data!AH12</f>
        <v>170</v>
      </c>
      <c r="J4" s="119">
        <f>Data!AI12/Data!AH12</f>
        <v>2.2799999999999998</v>
      </c>
      <c r="K4" s="118">
        <v>0</v>
      </c>
      <c r="L4" s="118">
        <v>0</v>
      </c>
      <c r="M4" s="120" t="e">
        <f>E4*F4+G4*H4+#REF!*#REF!+I4*J4</f>
        <v>#REF!</v>
      </c>
    </row>
    <row r="5" spans="1:13" x14ac:dyDescent="0.25">
      <c r="A5" s="115" t="s">
        <v>109</v>
      </c>
      <c r="B5" s="116">
        <f t="shared" si="0"/>
        <v>4</v>
      </c>
      <c r="C5" s="116">
        <v>11</v>
      </c>
      <c r="D5" s="117">
        <v>2020</v>
      </c>
      <c r="E5" s="118">
        <f>Data!V13</f>
        <v>26740</v>
      </c>
      <c r="F5" s="119">
        <f>Data!W13/Data!V13</f>
        <v>0.36499999999999994</v>
      </c>
      <c r="G5" s="119">
        <f>Data!AE13</f>
        <v>164</v>
      </c>
      <c r="H5" s="119">
        <f>Data!AF13/Data!AE13</f>
        <v>1.7285393258426967</v>
      </c>
      <c r="I5" s="119">
        <f>Data!AH13</f>
        <v>254</v>
      </c>
      <c r="J5" s="119">
        <f>Data!AI13/Data!AH13</f>
        <v>2.2799999999999998</v>
      </c>
      <c r="K5" s="118">
        <v>0</v>
      </c>
      <c r="L5" s="118">
        <v>0</v>
      </c>
      <c r="M5" s="120" t="e">
        <f>E5*F5+G5*H5+#REF!*#REF!+I5*J5</f>
        <v>#REF!</v>
      </c>
    </row>
    <row r="6" spans="1:13" x14ac:dyDescent="0.25">
      <c r="A6" s="115" t="s">
        <v>109</v>
      </c>
      <c r="B6" s="116">
        <f t="shared" si="0"/>
        <v>5</v>
      </c>
      <c r="C6" s="116">
        <v>11</v>
      </c>
      <c r="D6" s="117">
        <v>2020</v>
      </c>
      <c r="E6" s="118">
        <f>Data!V14</f>
        <v>27533</v>
      </c>
      <c r="F6" s="119">
        <f>Data!W14/Data!V14</f>
        <v>0.36499999999999994</v>
      </c>
      <c r="G6" s="119">
        <f>Data!AE14</f>
        <v>166</v>
      </c>
      <c r="H6" s="119">
        <f>Data!AF14/Data!AE14</f>
        <v>1.7285393258426964</v>
      </c>
      <c r="I6" s="119">
        <f>Data!AH14</f>
        <v>362</v>
      </c>
      <c r="J6" s="119">
        <f>Data!AI14/Data!AH14</f>
        <v>2.2799999999999998</v>
      </c>
      <c r="K6" s="118">
        <v>0</v>
      </c>
      <c r="L6" s="118">
        <v>0</v>
      </c>
      <c r="M6" s="120" t="e">
        <f>E6*F6+G6*H6+#REF!*#REF!+I6*J6</f>
        <v>#REF!</v>
      </c>
    </row>
    <row r="7" spans="1:13" x14ac:dyDescent="0.25">
      <c r="A7" s="115" t="s">
        <v>109</v>
      </c>
      <c r="B7" s="116">
        <f t="shared" si="0"/>
        <v>6</v>
      </c>
      <c r="C7" s="116">
        <v>11</v>
      </c>
      <c r="D7" s="117">
        <v>2020</v>
      </c>
      <c r="E7" s="118">
        <f>Data!V15</f>
        <v>27932</v>
      </c>
      <c r="F7" s="119">
        <f>Data!W15/Data!V15</f>
        <v>0.36499999999999999</v>
      </c>
      <c r="G7" s="119">
        <f>Data!AE15</f>
        <v>196</v>
      </c>
      <c r="H7" s="119">
        <f>Data!AF15/Data!AE15</f>
        <v>1.7285393258426967</v>
      </c>
      <c r="I7" s="119">
        <f>Data!AH15</f>
        <v>412</v>
      </c>
      <c r="J7" s="119">
        <f>Data!AI15/Data!AH15</f>
        <v>2.2799999999999998</v>
      </c>
      <c r="K7" s="118">
        <v>0</v>
      </c>
      <c r="L7" s="118">
        <v>0</v>
      </c>
      <c r="M7" s="120" t="e">
        <f>E7*F7+G7*H7+#REF!*#REF!+I7*J7</f>
        <v>#REF!</v>
      </c>
    </row>
    <row r="8" spans="1:13" x14ac:dyDescent="0.25">
      <c r="A8" s="115" t="s">
        <v>109</v>
      </c>
      <c r="B8" s="116">
        <f t="shared" si="0"/>
        <v>7</v>
      </c>
      <c r="C8" s="116">
        <v>11</v>
      </c>
      <c r="D8" s="117">
        <v>2020</v>
      </c>
      <c r="E8" s="118">
        <f>Data!V16</f>
        <v>26466</v>
      </c>
      <c r="F8" s="119">
        <f>Data!W16/Data!V16</f>
        <v>0.36499999999999999</v>
      </c>
      <c r="G8" s="119">
        <f>Data!AE16</f>
        <v>198</v>
      </c>
      <c r="H8" s="119">
        <f>Data!AF16/Data!AE16</f>
        <v>1.7285393258426969</v>
      </c>
      <c r="I8" s="119">
        <f>Data!AH16</f>
        <v>330</v>
      </c>
      <c r="J8" s="119">
        <f>Data!AI16/Data!AH16</f>
        <v>2.2799999999999998</v>
      </c>
      <c r="K8" s="118">
        <v>0</v>
      </c>
      <c r="L8" s="118">
        <v>0</v>
      </c>
      <c r="M8" s="120" t="e">
        <f>E8*F8+G8*H8+#REF!*#REF!+I8*J8</f>
        <v>#REF!</v>
      </c>
    </row>
    <row r="9" spans="1:13" x14ac:dyDescent="0.25">
      <c r="A9" s="115" t="s">
        <v>109</v>
      </c>
      <c r="B9" s="116">
        <f t="shared" si="0"/>
        <v>8</v>
      </c>
      <c r="C9" s="116">
        <v>11</v>
      </c>
      <c r="D9" s="117">
        <v>2020</v>
      </c>
      <c r="E9" s="118">
        <f>Data!V17</f>
        <v>27144</v>
      </c>
      <c r="F9" s="119">
        <f>Data!W17/Data!V17</f>
        <v>0.36499999999999999</v>
      </c>
      <c r="G9" s="119">
        <f>Data!AE17</f>
        <v>444</v>
      </c>
      <c r="H9" s="119">
        <f>Data!AF17/Data!AE17</f>
        <v>1.7285393258426964</v>
      </c>
      <c r="I9" s="119">
        <f>Data!AH17</f>
        <v>395</v>
      </c>
      <c r="J9" s="119">
        <f>Data!AI17/Data!AH17</f>
        <v>2.2799999999999998</v>
      </c>
      <c r="K9" s="118">
        <v>0</v>
      </c>
      <c r="L9" s="118">
        <v>0</v>
      </c>
      <c r="M9" s="120" t="e">
        <f>E9*F9+G9*H9+#REF!*#REF!+I9*J9</f>
        <v>#REF!</v>
      </c>
    </row>
    <row r="10" spans="1:13" x14ac:dyDescent="0.25">
      <c r="A10" s="115" t="s">
        <v>109</v>
      </c>
      <c r="B10" s="116">
        <f t="shared" si="0"/>
        <v>9</v>
      </c>
      <c r="C10" s="116">
        <v>11</v>
      </c>
      <c r="D10" s="117">
        <v>2020</v>
      </c>
      <c r="E10" s="118">
        <f>Data!V18</f>
        <v>-6831293</v>
      </c>
      <c r="F10" s="119">
        <f>Data!W18/Data!V18</f>
        <v>0.36500000000000005</v>
      </c>
      <c r="G10" s="119">
        <f>Data!AE18</f>
        <v>-211317</v>
      </c>
      <c r="H10" s="119">
        <f>Data!AF18/Data!AE18</f>
        <v>1.7285393258426967</v>
      </c>
      <c r="I10" s="119">
        <f>Data!AH18</f>
        <v>-268301</v>
      </c>
      <c r="J10" s="119">
        <f>Data!AI18/Data!AH18</f>
        <v>2.2799999999999998</v>
      </c>
      <c r="K10" s="118">
        <v>0</v>
      </c>
      <c r="L10" s="118">
        <v>0</v>
      </c>
      <c r="M10" s="120" t="e">
        <f>E10*F10+G10*H10+#REF!*#REF!+I10*J10</f>
        <v>#REF!</v>
      </c>
    </row>
    <row r="11" spans="1:13" x14ac:dyDescent="0.25">
      <c r="A11" s="115" t="s">
        <v>109</v>
      </c>
      <c r="B11" s="116">
        <f t="shared" si="0"/>
        <v>10</v>
      </c>
      <c r="C11" s="116">
        <v>11</v>
      </c>
      <c r="D11" s="117">
        <v>2020</v>
      </c>
      <c r="E11" s="118">
        <f>Data!V19</f>
        <v>0</v>
      </c>
      <c r="F11" s="119" t="e">
        <f>Data!W19/Data!V19</f>
        <v>#DIV/0!</v>
      </c>
      <c r="G11" s="119">
        <f>Data!AE19</f>
        <v>0</v>
      </c>
      <c r="H11" s="119" t="e">
        <f>Data!AF19/Data!AE19</f>
        <v>#DIV/0!</v>
      </c>
      <c r="I11" s="119">
        <f>Data!AH19</f>
        <v>0</v>
      </c>
      <c r="J11" s="119" t="e">
        <f>Data!AI19/Data!AH19</f>
        <v>#DIV/0!</v>
      </c>
      <c r="K11" s="118">
        <v>0</v>
      </c>
      <c r="L11" s="118">
        <v>0</v>
      </c>
      <c r="M11" s="120" t="e">
        <f>E11*F11+G11*H11+#REF!*#REF!+I11*J11</f>
        <v>#DIV/0!</v>
      </c>
    </row>
    <row r="12" spans="1:13" x14ac:dyDescent="0.25">
      <c r="A12" s="115" t="s">
        <v>109</v>
      </c>
      <c r="B12" s="116">
        <f t="shared" si="0"/>
        <v>11</v>
      </c>
      <c r="C12" s="116">
        <v>11</v>
      </c>
      <c r="D12" s="117">
        <v>2020</v>
      </c>
      <c r="E12" s="118">
        <f>Data!V20</f>
        <v>0</v>
      </c>
      <c r="F12" s="119" t="e">
        <f>Data!W20/Data!V20</f>
        <v>#DIV/0!</v>
      </c>
      <c r="G12" s="119">
        <f>Data!AE20</f>
        <v>0</v>
      </c>
      <c r="H12" s="119" t="e">
        <f>Data!AF20/Data!AE20</f>
        <v>#DIV/0!</v>
      </c>
      <c r="I12" s="119">
        <f>Data!AH20</f>
        <v>0</v>
      </c>
      <c r="J12" s="119" t="e">
        <f>Data!AI20/Data!AH20</f>
        <v>#DIV/0!</v>
      </c>
      <c r="K12" s="118">
        <v>0</v>
      </c>
      <c r="L12" s="118">
        <v>0</v>
      </c>
      <c r="M12" s="120" t="e">
        <f>E12*F12+G12*H12+#REF!*#REF!+I12*J12</f>
        <v>#DIV/0!</v>
      </c>
    </row>
    <row r="13" spans="1:13" x14ac:dyDescent="0.25">
      <c r="A13" s="115" t="s">
        <v>109</v>
      </c>
      <c r="B13" s="116">
        <f t="shared" si="0"/>
        <v>12</v>
      </c>
      <c r="C13" s="116">
        <v>11</v>
      </c>
      <c r="D13" s="117">
        <v>2020</v>
      </c>
      <c r="E13" s="118">
        <f>Data!V21</f>
        <v>0</v>
      </c>
      <c r="F13" s="119" t="e">
        <f>Data!W21/Data!V21</f>
        <v>#DIV/0!</v>
      </c>
      <c r="G13" s="119">
        <f>Data!AE21</f>
        <v>0</v>
      </c>
      <c r="H13" s="119" t="e">
        <f>Data!AF21/Data!AE21</f>
        <v>#DIV/0!</v>
      </c>
      <c r="I13" s="119">
        <f>Data!AH21</f>
        <v>0</v>
      </c>
      <c r="J13" s="119" t="e">
        <f>Data!AI21/Data!AH21</f>
        <v>#DIV/0!</v>
      </c>
      <c r="K13" s="118">
        <v>0</v>
      </c>
      <c r="L13" s="118">
        <v>0</v>
      </c>
      <c r="M13" s="120" t="e">
        <f>E13*F13+G13*H13+#REF!*#REF!+I13*J13</f>
        <v>#DIV/0!</v>
      </c>
    </row>
    <row r="14" spans="1:13" x14ac:dyDescent="0.25">
      <c r="A14" s="115" t="s">
        <v>109</v>
      </c>
      <c r="B14" s="116">
        <f t="shared" si="0"/>
        <v>13</v>
      </c>
      <c r="C14" s="116">
        <v>11</v>
      </c>
      <c r="D14" s="117">
        <v>2020</v>
      </c>
      <c r="E14" s="118">
        <f>Data!V22</f>
        <v>0</v>
      </c>
      <c r="F14" s="119" t="e">
        <f>Data!W22/Data!V22</f>
        <v>#DIV/0!</v>
      </c>
      <c r="G14" s="119">
        <f>Data!AE22</f>
        <v>0</v>
      </c>
      <c r="H14" s="119" t="e">
        <f>Data!AF22/Data!AE22</f>
        <v>#DIV/0!</v>
      </c>
      <c r="I14" s="119">
        <f>Data!AH22</f>
        <v>0</v>
      </c>
      <c r="J14" s="119" t="e">
        <f>Data!AI22/Data!AH22</f>
        <v>#DIV/0!</v>
      </c>
      <c r="K14" s="118">
        <v>0</v>
      </c>
      <c r="L14" s="118">
        <v>0</v>
      </c>
      <c r="M14" s="120" t="e">
        <f>E14*F14+G14*H14+#REF!*#REF!+I14*J14</f>
        <v>#DIV/0!</v>
      </c>
    </row>
    <row r="15" spans="1:13" x14ac:dyDescent="0.25">
      <c r="A15" s="115" t="s">
        <v>109</v>
      </c>
      <c r="B15" s="116">
        <f t="shared" si="0"/>
        <v>14</v>
      </c>
      <c r="C15" s="116">
        <v>11</v>
      </c>
      <c r="D15" s="117">
        <v>2020</v>
      </c>
      <c r="E15" s="118">
        <f>Data!V23</f>
        <v>0</v>
      </c>
      <c r="F15" s="119" t="e">
        <f>Data!W23/Data!V23</f>
        <v>#DIV/0!</v>
      </c>
      <c r="G15" s="119">
        <f>Data!AE23</f>
        <v>0</v>
      </c>
      <c r="H15" s="119" t="e">
        <f>Data!AF23/Data!AE23</f>
        <v>#DIV/0!</v>
      </c>
      <c r="I15" s="119">
        <f>Data!AH23</f>
        <v>0</v>
      </c>
      <c r="J15" s="119" t="e">
        <f>Data!AI23/Data!AH23</f>
        <v>#DIV/0!</v>
      </c>
      <c r="K15" s="118">
        <v>0</v>
      </c>
      <c r="L15" s="118">
        <v>0</v>
      </c>
      <c r="M15" s="120" t="e">
        <f>E15*F15+G15*H15+#REF!*#REF!+I15*J15</f>
        <v>#DIV/0!</v>
      </c>
    </row>
    <row r="16" spans="1:13" x14ac:dyDescent="0.25">
      <c r="A16" s="115" t="s">
        <v>109</v>
      </c>
      <c r="B16" s="116">
        <f t="shared" si="0"/>
        <v>15</v>
      </c>
      <c r="C16" s="116">
        <v>11</v>
      </c>
      <c r="D16" s="117">
        <v>2020</v>
      </c>
      <c r="E16" s="118">
        <f>Data!V24</f>
        <v>0</v>
      </c>
      <c r="F16" s="119" t="e">
        <f>Data!W24/Data!V24</f>
        <v>#DIV/0!</v>
      </c>
      <c r="G16" s="119">
        <f>Data!AE24</f>
        <v>0</v>
      </c>
      <c r="H16" s="119" t="e">
        <f>Data!AF24/Data!AE24</f>
        <v>#DIV/0!</v>
      </c>
      <c r="I16" s="119">
        <f>Data!AH24</f>
        <v>0</v>
      </c>
      <c r="J16" s="119" t="e">
        <f>Data!AI24/Data!AH24</f>
        <v>#DIV/0!</v>
      </c>
      <c r="K16" s="118">
        <v>0</v>
      </c>
      <c r="L16" s="118">
        <v>0</v>
      </c>
      <c r="M16" s="120" t="e">
        <f>E16*F16+G16*H16+#REF!*#REF!+I16*J16</f>
        <v>#DIV/0!</v>
      </c>
    </row>
    <row r="17" spans="1:13" x14ac:dyDescent="0.25">
      <c r="A17" s="115" t="s">
        <v>109</v>
      </c>
      <c r="B17" s="116">
        <f t="shared" si="0"/>
        <v>16</v>
      </c>
      <c r="C17" s="116">
        <v>11</v>
      </c>
      <c r="D17" s="117">
        <v>2020</v>
      </c>
      <c r="E17" s="118">
        <f>Data!V25</f>
        <v>0</v>
      </c>
      <c r="F17" s="119" t="e">
        <f>Data!W25/Data!V25</f>
        <v>#DIV/0!</v>
      </c>
      <c r="G17" s="119">
        <f>Data!AE25</f>
        <v>0</v>
      </c>
      <c r="H17" s="119" t="e">
        <f>Data!AF25/Data!AE25</f>
        <v>#DIV/0!</v>
      </c>
      <c r="I17" s="119">
        <f>Data!AH25</f>
        <v>0</v>
      </c>
      <c r="J17" s="119" t="e">
        <f>Data!AI25/Data!AH25</f>
        <v>#DIV/0!</v>
      </c>
      <c r="K17" s="118">
        <v>0</v>
      </c>
      <c r="L17" s="118">
        <v>0</v>
      </c>
      <c r="M17" s="120" t="e">
        <f>E17*F17+G17*H17+#REF!*#REF!+I17*J17</f>
        <v>#DIV/0!</v>
      </c>
    </row>
    <row r="18" spans="1:13" x14ac:dyDescent="0.25">
      <c r="A18" s="115" t="s">
        <v>109</v>
      </c>
      <c r="B18" s="116">
        <f t="shared" si="0"/>
        <v>17</v>
      </c>
      <c r="C18" s="116">
        <v>11</v>
      </c>
      <c r="D18" s="117">
        <v>2020</v>
      </c>
      <c r="E18" s="118">
        <f>Data!V26</f>
        <v>0</v>
      </c>
      <c r="F18" s="119" t="e">
        <f>Data!W26/Data!V26</f>
        <v>#DIV/0!</v>
      </c>
      <c r="G18" s="119">
        <f>Data!AE26</f>
        <v>0</v>
      </c>
      <c r="H18" s="119" t="e">
        <f>Data!AF26/Data!AE26</f>
        <v>#DIV/0!</v>
      </c>
      <c r="I18" s="119">
        <f>Data!AH26</f>
        <v>0</v>
      </c>
      <c r="J18" s="119" t="e">
        <f>Data!AI26/Data!AH26</f>
        <v>#DIV/0!</v>
      </c>
      <c r="K18" s="118">
        <v>0</v>
      </c>
      <c r="L18" s="118">
        <v>0</v>
      </c>
      <c r="M18" s="120" t="e">
        <f>E18*F18+G18*H18+#REF!*#REF!+I18*J18</f>
        <v>#DIV/0!</v>
      </c>
    </row>
    <row r="19" spans="1:13" x14ac:dyDescent="0.25">
      <c r="A19" s="115" t="s">
        <v>109</v>
      </c>
      <c r="B19" s="116">
        <f t="shared" si="0"/>
        <v>18</v>
      </c>
      <c r="C19" s="116">
        <v>11</v>
      </c>
      <c r="D19" s="117">
        <v>2020</v>
      </c>
      <c r="E19" s="118">
        <f>Data!V27</f>
        <v>0</v>
      </c>
      <c r="F19" s="119" t="e">
        <f>Data!W27/Data!V27</f>
        <v>#DIV/0!</v>
      </c>
      <c r="G19" s="119">
        <f>Data!AE27</f>
        <v>0</v>
      </c>
      <c r="H19" s="119" t="e">
        <f>Data!AF27/Data!AE27</f>
        <v>#DIV/0!</v>
      </c>
      <c r="I19" s="119">
        <f>Data!AH27</f>
        <v>0</v>
      </c>
      <c r="J19" s="119" t="e">
        <f>Data!AI27/Data!AH27</f>
        <v>#DIV/0!</v>
      </c>
      <c r="K19" s="118">
        <v>0</v>
      </c>
      <c r="L19" s="118">
        <v>0</v>
      </c>
      <c r="M19" s="120" t="e">
        <f>E19*F19+G19*H19+#REF!*#REF!+I19*J19</f>
        <v>#DIV/0!</v>
      </c>
    </row>
    <row r="20" spans="1:13" x14ac:dyDescent="0.25">
      <c r="A20" s="115" t="s">
        <v>109</v>
      </c>
      <c r="B20" s="116">
        <f t="shared" si="0"/>
        <v>19</v>
      </c>
      <c r="C20" s="116">
        <v>11</v>
      </c>
      <c r="D20" s="117">
        <v>2020</v>
      </c>
      <c r="E20" s="118">
        <f>Data!V28</f>
        <v>0</v>
      </c>
      <c r="F20" s="119" t="e">
        <f>Data!W28/Data!V28</f>
        <v>#DIV/0!</v>
      </c>
      <c r="G20" s="119">
        <f>Data!AE28</f>
        <v>0</v>
      </c>
      <c r="H20" s="119" t="e">
        <f>Data!AF28/Data!AE28</f>
        <v>#DIV/0!</v>
      </c>
      <c r="I20" s="119">
        <f>Data!AH28</f>
        <v>0</v>
      </c>
      <c r="J20" s="119" t="e">
        <f>Data!AI28/Data!AH28</f>
        <v>#DIV/0!</v>
      </c>
      <c r="K20" s="118">
        <v>0</v>
      </c>
      <c r="L20" s="118">
        <v>0</v>
      </c>
      <c r="M20" s="120" t="e">
        <f>E20*F20+G20*H20+#REF!*#REF!+I20*J20</f>
        <v>#DIV/0!</v>
      </c>
    </row>
    <row r="21" spans="1:13" x14ac:dyDescent="0.25">
      <c r="A21" s="115" t="s">
        <v>109</v>
      </c>
      <c r="B21" s="116">
        <f t="shared" si="0"/>
        <v>20</v>
      </c>
      <c r="C21" s="116">
        <v>11</v>
      </c>
      <c r="D21" s="117">
        <v>2020</v>
      </c>
      <c r="E21" s="118">
        <f>Data!V29</f>
        <v>0</v>
      </c>
      <c r="F21" s="119" t="e">
        <f>Data!W29/Data!V29</f>
        <v>#DIV/0!</v>
      </c>
      <c r="G21" s="119">
        <f>Data!AE29</f>
        <v>0</v>
      </c>
      <c r="H21" s="119" t="e">
        <f>Data!AF29/Data!AE29</f>
        <v>#DIV/0!</v>
      </c>
      <c r="I21" s="119">
        <f>Data!AH29</f>
        <v>0</v>
      </c>
      <c r="J21" s="119" t="e">
        <f>Data!AI29/Data!AH29</f>
        <v>#DIV/0!</v>
      </c>
      <c r="K21" s="118">
        <v>0</v>
      </c>
      <c r="L21" s="118">
        <v>0</v>
      </c>
      <c r="M21" s="120" t="e">
        <f>E21*F21+G21*H21+#REF!*#REF!+I21*J21</f>
        <v>#DIV/0!</v>
      </c>
    </row>
    <row r="22" spans="1:13" x14ac:dyDescent="0.25">
      <c r="A22" s="115" t="s">
        <v>109</v>
      </c>
      <c r="B22" s="116">
        <f t="shared" si="0"/>
        <v>21</v>
      </c>
      <c r="C22" s="116">
        <v>11</v>
      </c>
      <c r="D22" s="117">
        <v>2020</v>
      </c>
      <c r="E22" s="118">
        <f>Data!V30</f>
        <v>0</v>
      </c>
      <c r="F22" s="119" t="e">
        <f>Data!W30/Data!V30</f>
        <v>#DIV/0!</v>
      </c>
      <c r="G22" s="119">
        <f>Data!AE30</f>
        <v>0</v>
      </c>
      <c r="H22" s="119" t="e">
        <f>Data!AF30/Data!AE30</f>
        <v>#DIV/0!</v>
      </c>
      <c r="I22" s="119">
        <f>Data!AH30</f>
        <v>0</v>
      </c>
      <c r="J22" s="119" t="e">
        <f>Data!AI30/Data!AH30</f>
        <v>#DIV/0!</v>
      </c>
      <c r="K22" s="118">
        <v>0</v>
      </c>
      <c r="L22" s="118">
        <v>0</v>
      </c>
      <c r="M22" s="120" t="e">
        <f>E22*F22+G22*H22+#REF!*#REF!+I22*J22</f>
        <v>#DIV/0!</v>
      </c>
    </row>
    <row r="23" spans="1:13" x14ac:dyDescent="0.25">
      <c r="A23" s="115" t="s">
        <v>109</v>
      </c>
      <c r="B23" s="116">
        <f t="shared" si="0"/>
        <v>22</v>
      </c>
      <c r="C23" s="116">
        <v>11</v>
      </c>
      <c r="D23" s="117">
        <v>2020</v>
      </c>
      <c r="E23" s="118">
        <f>Data!V31</f>
        <v>0</v>
      </c>
      <c r="F23" s="119" t="e">
        <f>Data!W31/Data!V31</f>
        <v>#DIV/0!</v>
      </c>
      <c r="G23" s="119">
        <f>Data!AE31</f>
        <v>0</v>
      </c>
      <c r="H23" s="119" t="e">
        <f>Data!AF31/Data!AE31</f>
        <v>#DIV/0!</v>
      </c>
      <c r="I23" s="119">
        <f>Data!AH31</f>
        <v>0</v>
      </c>
      <c r="J23" s="119" t="e">
        <f>Data!AI31/Data!AH31</f>
        <v>#DIV/0!</v>
      </c>
      <c r="K23" s="118">
        <v>0</v>
      </c>
      <c r="L23" s="118">
        <v>0</v>
      </c>
      <c r="M23" s="120" t="e">
        <f>E23*F23+G23*H23+#REF!*#REF!+I23*J23</f>
        <v>#DIV/0!</v>
      </c>
    </row>
    <row r="24" spans="1:13" x14ac:dyDescent="0.25">
      <c r="A24" s="115" t="s">
        <v>109</v>
      </c>
      <c r="B24" s="116">
        <f t="shared" si="0"/>
        <v>23</v>
      </c>
      <c r="C24" s="116">
        <v>11</v>
      </c>
      <c r="D24" s="117">
        <v>2020</v>
      </c>
      <c r="E24" s="118">
        <f>Data!V32</f>
        <v>0</v>
      </c>
      <c r="F24" s="119" t="e">
        <f>Data!W32/Data!V32</f>
        <v>#DIV/0!</v>
      </c>
      <c r="G24" s="119">
        <f>Data!AE32</f>
        <v>0</v>
      </c>
      <c r="H24" s="119" t="e">
        <f>Data!AF32/Data!AE32</f>
        <v>#DIV/0!</v>
      </c>
      <c r="I24" s="119">
        <f>Data!AH32</f>
        <v>0</v>
      </c>
      <c r="J24" s="119" t="e">
        <f>Data!AI32/Data!AH32</f>
        <v>#DIV/0!</v>
      </c>
      <c r="K24" s="118">
        <v>0</v>
      </c>
      <c r="L24" s="118">
        <v>0</v>
      </c>
      <c r="M24" s="120" t="e">
        <f>E24*F24+G24*H24+#REF!*#REF!+I24*J24</f>
        <v>#DIV/0!</v>
      </c>
    </row>
    <row r="25" spans="1:13" x14ac:dyDescent="0.25">
      <c r="A25" s="115" t="s">
        <v>109</v>
      </c>
      <c r="B25" s="116">
        <f t="shared" si="0"/>
        <v>24</v>
      </c>
      <c r="C25" s="116">
        <v>11</v>
      </c>
      <c r="D25" s="117">
        <v>2020</v>
      </c>
      <c r="E25" s="118">
        <f>Data!V33</f>
        <v>0</v>
      </c>
      <c r="F25" s="119" t="e">
        <f>Data!W33/Data!V33</f>
        <v>#DIV/0!</v>
      </c>
      <c r="G25" s="119">
        <f>Data!AE33</f>
        <v>0</v>
      </c>
      <c r="H25" s="119" t="e">
        <f>Data!AF33/Data!AE33</f>
        <v>#DIV/0!</v>
      </c>
      <c r="I25" s="119">
        <f>Data!AH33</f>
        <v>0</v>
      </c>
      <c r="J25" s="119" t="e">
        <f>Data!AI33/Data!AH33</f>
        <v>#DIV/0!</v>
      </c>
      <c r="K25" s="118">
        <v>0</v>
      </c>
      <c r="L25" s="118">
        <v>0</v>
      </c>
      <c r="M25" s="120" t="e">
        <f>E25*F25+G25*H25+#REF!*#REF!+I25*J25</f>
        <v>#DIV/0!</v>
      </c>
    </row>
    <row r="26" spans="1:13" x14ac:dyDescent="0.25">
      <c r="A26" s="115" t="s">
        <v>109</v>
      </c>
      <c r="B26" s="116">
        <f>B25+1</f>
        <v>25</v>
      </c>
      <c r="C26" s="116">
        <v>11</v>
      </c>
      <c r="D26" s="117">
        <v>2020</v>
      </c>
      <c r="E26" s="118">
        <f>Data!V34</f>
        <v>0</v>
      </c>
      <c r="F26" s="119" t="e">
        <f>Data!W34/Data!V34</f>
        <v>#DIV/0!</v>
      </c>
      <c r="G26" s="119">
        <f>Data!AE34</f>
        <v>0</v>
      </c>
      <c r="H26" s="119" t="e">
        <f>Data!AF34/Data!AE34</f>
        <v>#DIV/0!</v>
      </c>
      <c r="I26" s="119">
        <f>Data!AH34</f>
        <v>0</v>
      </c>
      <c r="J26" s="119" t="e">
        <f>Data!AI34/Data!AH34</f>
        <v>#DIV/0!</v>
      </c>
      <c r="K26" s="118">
        <v>0</v>
      </c>
      <c r="L26" s="118">
        <v>0</v>
      </c>
      <c r="M26" s="120" t="e">
        <f>E26*F26+G26*H26+#REF!*#REF!+I26*J26</f>
        <v>#DIV/0!</v>
      </c>
    </row>
    <row r="27" spans="1:13" x14ac:dyDescent="0.25">
      <c r="A27" s="115" t="s">
        <v>109</v>
      </c>
      <c r="B27" s="116">
        <f t="shared" si="0"/>
        <v>26</v>
      </c>
      <c r="C27" s="116">
        <v>11</v>
      </c>
      <c r="D27" s="117">
        <v>2020</v>
      </c>
      <c r="E27" s="118">
        <f>Data!V35</f>
        <v>0</v>
      </c>
      <c r="F27" s="119" t="e">
        <f>Data!W35/Data!V35</f>
        <v>#DIV/0!</v>
      </c>
      <c r="G27" s="119">
        <f>Data!AE35</f>
        <v>0</v>
      </c>
      <c r="H27" s="119" t="e">
        <f>Data!AF35/Data!AE35</f>
        <v>#DIV/0!</v>
      </c>
      <c r="I27" s="119">
        <f>Data!AH35</f>
        <v>0</v>
      </c>
      <c r="J27" s="119" t="e">
        <f>Data!AI35/Data!AH35</f>
        <v>#DIV/0!</v>
      </c>
      <c r="K27" s="118">
        <v>0</v>
      </c>
      <c r="L27" s="118">
        <v>0</v>
      </c>
      <c r="M27" s="120" t="e">
        <f>E27*F27+G27*H27+#REF!*#REF!+I27*J27</f>
        <v>#DIV/0!</v>
      </c>
    </row>
    <row r="28" spans="1:13" x14ac:dyDescent="0.25">
      <c r="A28" s="115" t="s">
        <v>109</v>
      </c>
      <c r="B28" s="116">
        <f t="shared" si="0"/>
        <v>27</v>
      </c>
      <c r="C28" s="116">
        <v>11</v>
      </c>
      <c r="D28" s="117">
        <v>2020</v>
      </c>
      <c r="E28" s="118">
        <f>Data!V36</f>
        <v>0</v>
      </c>
      <c r="F28" s="119" t="e">
        <f>Data!W36/Data!V36</f>
        <v>#DIV/0!</v>
      </c>
      <c r="G28" s="119">
        <f>Data!AE36</f>
        <v>0</v>
      </c>
      <c r="H28" s="119" t="e">
        <f>Data!AF36/Data!AE36</f>
        <v>#DIV/0!</v>
      </c>
      <c r="I28" s="119">
        <f>Data!AH36</f>
        <v>0</v>
      </c>
      <c r="J28" s="119" t="e">
        <f>Data!AI36/Data!AH36</f>
        <v>#DIV/0!</v>
      </c>
      <c r="K28" s="118">
        <v>0</v>
      </c>
      <c r="L28" s="118">
        <v>0</v>
      </c>
      <c r="M28" s="120" t="e">
        <f>E28*F28+G28*H28+#REF!*#REF!+I28*J28</f>
        <v>#DIV/0!</v>
      </c>
    </row>
    <row r="29" spans="1:13" x14ac:dyDescent="0.25">
      <c r="A29" s="115" t="s">
        <v>109</v>
      </c>
      <c r="B29" s="116">
        <f t="shared" si="0"/>
        <v>28</v>
      </c>
      <c r="C29" s="116">
        <v>11</v>
      </c>
      <c r="D29" s="117">
        <v>2020</v>
      </c>
      <c r="E29" s="118">
        <f>Data!V37</f>
        <v>0</v>
      </c>
      <c r="F29" s="119" t="e">
        <f>Data!W37/Data!V37</f>
        <v>#DIV/0!</v>
      </c>
      <c r="G29" s="119">
        <f>Data!AE37</f>
        <v>0</v>
      </c>
      <c r="H29" s="119" t="e">
        <f>Data!AF37/Data!AE37</f>
        <v>#DIV/0!</v>
      </c>
      <c r="I29" s="119">
        <f>Data!AH37</f>
        <v>0</v>
      </c>
      <c r="J29" s="119" t="e">
        <f>Data!AI37/Data!AH37</f>
        <v>#DIV/0!</v>
      </c>
      <c r="K29" s="118">
        <v>0</v>
      </c>
      <c r="L29" s="118">
        <v>0</v>
      </c>
      <c r="M29" s="120" t="e">
        <f>E29*F29+G29*H29+#REF!*#REF!+I29*J29</f>
        <v>#DIV/0!</v>
      </c>
    </row>
    <row r="30" spans="1:13" x14ac:dyDescent="0.25">
      <c r="A30" s="115" t="s">
        <v>109</v>
      </c>
      <c r="B30" s="116">
        <f t="shared" si="0"/>
        <v>29</v>
      </c>
      <c r="C30" s="116">
        <v>11</v>
      </c>
      <c r="D30" s="117">
        <v>2020</v>
      </c>
      <c r="E30" s="118">
        <f>Data!V38</f>
        <v>0</v>
      </c>
      <c r="F30" s="119" t="e">
        <f>Data!W38/Data!V38</f>
        <v>#DIV/0!</v>
      </c>
      <c r="G30" s="119">
        <f>Data!AE38</f>
        <v>0</v>
      </c>
      <c r="H30" s="119" t="e">
        <f>Data!AF38/Data!AE38</f>
        <v>#DIV/0!</v>
      </c>
      <c r="I30" s="119">
        <f>Data!AH38</f>
        <v>0</v>
      </c>
      <c r="J30" s="119" t="e">
        <f>Data!AI38/Data!AH38</f>
        <v>#DIV/0!</v>
      </c>
      <c r="K30" s="118">
        <v>0</v>
      </c>
      <c r="L30" s="118">
        <v>0</v>
      </c>
      <c r="M30" s="120" t="e">
        <f>E30*F30+G30*H30+#REF!*#REF!+I30*J30</f>
        <v>#DIV/0!</v>
      </c>
    </row>
    <row r="31" spans="1:13" x14ac:dyDescent="0.25">
      <c r="A31" s="115" t="s">
        <v>109</v>
      </c>
      <c r="B31" s="116">
        <f t="shared" si="0"/>
        <v>30</v>
      </c>
      <c r="C31" s="116">
        <v>11</v>
      </c>
      <c r="D31" s="117">
        <v>2020</v>
      </c>
      <c r="E31" s="118">
        <f>Data!V39</f>
        <v>0</v>
      </c>
      <c r="F31" s="119" t="e">
        <f>Data!W39/Data!V39</f>
        <v>#DIV/0!</v>
      </c>
      <c r="G31" s="119">
        <f>Data!AE39</f>
        <v>0</v>
      </c>
      <c r="H31" s="119" t="e">
        <f>Data!AF39/Data!AE39</f>
        <v>#DIV/0!</v>
      </c>
      <c r="I31" s="119">
        <f>Data!AH39</f>
        <v>0</v>
      </c>
      <c r="J31" s="119" t="e">
        <f>Data!AI39/Data!AH39</f>
        <v>#DIV/0!</v>
      </c>
      <c r="K31" s="118">
        <v>0</v>
      </c>
      <c r="L31" s="118">
        <v>0</v>
      </c>
      <c r="M31" s="120" t="e">
        <f>E31*F31+G31*H31+#REF!*#REF!+I31*J31</f>
        <v>#DIV/0!</v>
      </c>
    </row>
    <row r="32" spans="1:13" s="118" customFormat="1" x14ac:dyDescent="0.25">
      <c r="A32" s="122"/>
      <c r="B32" s="116"/>
      <c r="C32" s="116"/>
      <c r="D32" s="117"/>
      <c r="F32" s="119"/>
      <c r="G32" s="119"/>
      <c r="H32" s="119"/>
      <c r="I32" s="119"/>
      <c r="J32" s="119"/>
      <c r="M32" s="121"/>
    </row>
    <row r="33" spans="1:13" s="118" customFormat="1" x14ac:dyDescent="0.25">
      <c r="A33" s="122"/>
      <c r="B33" s="116"/>
      <c r="C33" s="116"/>
      <c r="D33" s="117"/>
      <c r="F33" s="119"/>
      <c r="G33" s="119"/>
      <c r="H33" s="119"/>
      <c r="I33" s="119"/>
      <c r="J33" s="119"/>
      <c r="M33" s="121"/>
    </row>
    <row r="34" spans="1:13" s="118" customFormat="1" x14ac:dyDescent="0.25">
      <c r="A34" s="122"/>
      <c r="B34" s="116"/>
      <c r="C34" s="116"/>
      <c r="D34" s="117"/>
      <c r="F34" s="119"/>
      <c r="G34" s="119"/>
      <c r="H34" s="119"/>
      <c r="I34" s="119"/>
      <c r="J34" s="119"/>
      <c r="M34" s="121"/>
    </row>
    <row r="35" spans="1:13" s="118" customFormat="1" x14ac:dyDescent="0.25">
      <c r="A35" s="122"/>
      <c r="B35" s="116"/>
      <c r="C35" s="116"/>
      <c r="D35" s="117"/>
      <c r="F35" s="119"/>
      <c r="G35" s="119"/>
      <c r="H35" s="119"/>
      <c r="I35" s="119"/>
      <c r="J35" s="119"/>
      <c r="M35" s="121"/>
    </row>
    <row r="36" spans="1:13" s="118" customFormat="1" x14ac:dyDescent="0.25">
      <c r="A36" s="122"/>
      <c r="B36" s="116"/>
      <c r="C36" s="116"/>
      <c r="D36" s="117"/>
      <c r="F36" s="119"/>
      <c r="G36" s="119"/>
      <c r="H36" s="119"/>
      <c r="I36" s="119"/>
      <c r="J36" s="119"/>
      <c r="M36" s="121"/>
    </row>
    <row r="37" spans="1:13" s="118" customFormat="1" x14ac:dyDescent="0.25">
      <c r="A37" s="122"/>
      <c r="B37" s="116"/>
      <c r="C37" s="116"/>
      <c r="D37" s="117"/>
      <c r="F37" s="119"/>
      <c r="G37" s="119"/>
      <c r="H37" s="119"/>
      <c r="I37" s="119"/>
      <c r="J37" s="119"/>
      <c r="M37" s="121"/>
    </row>
    <row r="38" spans="1:13" s="118" customFormat="1" x14ac:dyDescent="0.25">
      <c r="A38" s="122"/>
      <c r="B38" s="116"/>
      <c r="C38" s="116"/>
      <c r="D38" s="117"/>
      <c r="F38" s="119"/>
      <c r="G38" s="119"/>
      <c r="H38" s="119"/>
      <c r="I38" s="119"/>
      <c r="J38" s="119"/>
      <c r="M38" s="1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rgb="FFFFFF00"/>
    <pageSetUpPr fitToPage="1"/>
  </sheetPr>
  <dimension ref="A4:AK44"/>
  <sheetViews>
    <sheetView zoomScale="60" zoomScaleNormal="60" workbookViewId="0">
      <selection activeCell="R13" sqref="R13"/>
    </sheetView>
  </sheetViews>
  <sheetFormatPr defaultRowHeight="12.75" x14ac:dyDescent="0.2"/>
  <cols>
    <col min="1" max="1" width="8.85546875" customWidth="1"/>
    <col min="2" max="2" width="16.28515625" customWidth="1"/>
    <col min="3" max="3" width="11.85546875" customWidth="1"/>
    <col min="4" max="4" width="15.7109375" customWidth="1"/>
    <col min="5" max="5" width="20.85546875" customWidth="1"/>
    <col min="6" max="6" width="21.7109375" bestFit="1" customWidth="1"/>
    <col min="7" max="7" width="16.28515625" customWidth="1"/>
    <col min="8" max="8" width="11.140625" customWidth="1"/>
    <col min="9" max="9" width="15.7109375" customWidth="1"/>
    <col min="10" max="10" width="20.85546875" customWidth="1"/>
    <col min="11" max="11" width="18.7109375" customWidth="1"/>
    <col min="12" max="12" width="16.28515625" customWidth="1"/>
    <col min="13" max="13" width="11.42578125" customWidth="1"/>
    <col min="14" max="14" width="15.7109375" customWidth="1"/>
    <col min="15" max="15" width="20.85546875" customWidth="1"/>
    <col min="16" max="16" width="18.7109375" customWidth="1"/>
    <col min="17" max="17" width="16.28515625" customWidth="1"/>
    <col min="18" max="18" width="11" customWidth="1"/>
    <col min="19" max="19" width="15.7109375" customWidth="1"/>
    <col min="20" max="20" width="20.85546875" customWidth="1"/>
    <col min="21" max="21" width="18.7109375" customWidth="1"/>
    <col min="22" max="22" width="18.28515625" customWidth="1"/>
    <col min="23" max="24" width="17" customWidth="1"/>
    <col min="25" max="25" width="16.28515625" customWidth="1"/>
    <col min="26" max="26" width="20.85546875" customWidth="1"/>
    <col min="27" max="27" width="16.28515625" customWidth="1"/>
    <col min="28" max="28" width="20.85546875" customWidth="1"/>
    <col min="29" max="29" width="16.28515625" customWidth="1"/>
    <col min="30" max="31" width="20.85546875" customWidth="1"/>
    <col min="32" max="32" width="19.28515625" customWidth="1"/>
    <col min="33" max="33" width="16.28515625" customWidth="1"/>
    <col min="34" max="34" width="21.5703125" customWidth="1"/>
    <col min="35" max="35" width="16.7109375" customWidth="1"/>
    <col min="36" max="36" width="14" bestFit="1" customWidth="1"/>
    <col min="37" max="37" width="16.140625" bestFit="1" customWidth="1"/>
    <col min="39" max="39" width="12.42578125" bestFit="1" customWidth="1"/>
  </cols>
  <sheetData>
    <row r="4" spans="1:37" ht="45" x14ac:dyDescent="0.6">
      <c r="A4" s="93" t="s">
        <v>63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</row>
    <row r="5" spans="1:37" ht="45" x14ac:dyDescent="0.6">
      <c r="A5" s="94">
        <v>44165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</row>
    <row r="7" spans="1:37" ht="18" x14ac:dyDescent="0.2">
      <c r="A7" s="85" t="s">
        <v>59</v>
      </c>
      <c r="B7" s="85" t="s">
        <v>86</v>
      </c>
      <c r="C7" s="85"/>
      <c r="D7" s="85"/>
      <c r="E7" s="85"/>
      <c r="F7" s="85"/>
      <c r="G7" s="85" t="s">
        <v>87</v>
      </c>
      <c r="H7" s="85"/>
      <c r="I7" s="85"/>
      <c r="J7" s="85"/>
      <c r="K7" s="85"/>
      <c r="L7" s="85" t="s">
        <v>88</v>
      </c>
      <c r="M7" s="85"/>
      <c r="N7" s="85"/>
      <c r="O7" s="85"/>
      <c r="P7" s="85"/>
      <c r="Q7" s="85" t="s">
        <v>89</v>
      </c>
      <c r="R7" s="85"/>
      <c r="S7" s="85"/>
      <c r="T7" s="85"/>
      <c r="U7" s="85"/>
      <c r="V7" s="85" t="s">
        <v>91</v>
      </c>
      <c r="W7" s="85" t="s">
        <v>84</v>
      </c>
      <c r="X7" s="85" t="s">
        <v>85</v>
      </c>
      <c r="Y7" s="85" t="s">
        <v>70</v>
      </c>
      <c r="Z7" s="85"/>
      <c r="AA7" s="85" t="s">
        <v>71</v>
      </c>
      <c r="AB7" s="85"/>
      <c r="AC7" s="85" t="s">
        <v>72</v>
      </c>
      <c r="AD7" s="85"/>
      <c r="AE7" s="85" t="s">
        <v>74</v>
      </c>
      <c r="AF7" s="85" t="s">
        <v>83</v>
      </c>
      <c r="AG7" s="85" t="s">
        <v>61</v>
      </c>
      <c r="AH7" s="85"/>
      <c r="AI7" s="85" t="s">
        <v>82</v>
      </c>
      <c r="AJ7" s="84" t="s">
        <v>92</v>
      </c>
      <c r="AK7" s="84" t="s">
        <v>93</v>
      </c>
    </row>
    <row r="8" spans="1:37" ht="55.5" customHeight="1" x14ac:dyDescent="0.2">
      <c r="A8" s="85"/>
      <c r="B8" s="85" t="s">
        <v>94</v>
      </c>
      <c r="C8" s="86" t="s">
        <v>75</v>
      </c>
      <c r="D8" s="74" t="s">
        <v>77</v>
      </c>
      <c r="E8" s="85" t="s">
        <v>90</v>
      </c>
      <c r="F8" s="75" t="s">
        <v>76</v>
      </c>
      <c r="G8" s="85" t="s">
        <v>94</v>
      </c>
      <c r="H8" s="86" t="s">
        <v>75</v>
      </c>
      <c r="I8" s="74" t="s">
        <v>77</v>
      </c>
      <c r="J8" s="85" t="s">
        <v>90</v>
      </c>
      <c r="K8" s="75" t="s">
        <v>76</v>
      </c>
      <c r="L8" s="85" t="s">
        <v>94</v>
      </c>
      <c r="M8" s="86" t="s">
        <v>75</v>
      </c>
      <c r="N8" s="74" t="s">
        <v>77</v>
      </c>
      <c r="O8" s="85" t="s">
        <v>90</v>
      </c>
      <c r="P8" s="75" t="s">
        <v>76</v>
      </c>
      <c r="Q8" s="85" t="s">
        <v>94</v>
      </c>
      <c r="R8" s="86" t="s">
        <v>75</v>
      </c>
      <c r="S8" s="74" t="s">
        <v>77</v>
      </c>
      <c r="T8" s="85" t="s">
        <v>90</v>
      </c>
      <c r="U8" s="75" t="s">
        <v>76</v>
      </c>
      <c r="V8" s="85"/>
      <c r="W8" s="85"/>
      <c r="X8" s="85"/>
      <c r="Y8" s="85" t="s">
        <v>95</v>
      </c>
      <c r="Z8" s="85" t="s">
        <v>69</v>
      </c>
      <c r="AA8" s="85" t="s">
        <v>95</v>
      </c>
      <c r="AB8" s="85" t="s">
        <v>69</v>
      </c>
      <c r="AC8" s="85" t="s">
        <v>95</v>
      </c>
      <c r="AD8" s="85" t="s">
        <v>69</v>
      </c>
      <c r="AE8" s="85"/>
      <c r="AF8" s="85"/>
      <c r="AG8" s="85" t="s">
        <v>95</v>
      </c>
      <c r="AH8" s="85" t="s">
        <v>73</v>
      </c>
      <c r="AI8" s="85"/>
      <c r="AJ8" s="84"/>
      <c r="AK8" s="84"/>
    </row>
    <row r="9" spans="1:37" ht="18" x14ac:dyDescent="0.2">
      <c r="A9" s="85"/>
      <c r="B9" s="85"/>
      <c r="C9" s="86"/>
      <c r="D9" s="75">
        <v>30.3</v>
      </c>
      <c r="E9" s="85"/>
      <c r="F9" s="75">
        <v>0.36499999999999999</v>
      </c>
      <c r="G9" s="85"/>
      <c r="H9" s="86"/>
      <c r="I9" s="75">
        <v>30.3</v>
      </c>
      <c r="J9" s="85"/>
      <c r="K9" s="75">
        <v>0.36499999999999999</v>
      </c>
      <c r="L9" s="85"/>
      <c r="M9" s="86"/>
      <c r="N9" s="75">
        <v>30.3</v>
      </c>
      <c r="O9" s="85"/>
      <c r="P9" s="75">
        <v>0.36499999999999999</v>
      </c>
      <c r="Q9" s="85"/>
      <c r="R9" s="86"/>
      <c r="S9" s="75">
        <v>30.3</v>
      </c>
      <c r="T9" s="85"/>
      <c r="U9" s="75">
        <v>0.36499999999999999</v>
      </c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4"/>
      <c r="AK9" s="84"/>
    </row>
    <row r="10" spans="1:37" ht="18" x14ac:dyDescent="0.25">
      <c r="A10" s="60">
        <v>1</v>
      </c>
      <c r="B10" s="76">
        <v>2503323</v>
      </c>
      <c r="C10" s="77">
        <v>476.4</v>
      </c>
      <c r="D10" s="90">
        <f>C18*D9</f>
        <v>15643.89</v>
      </c>
      <c r="E10" s="61">
        <f>B11-B10</f>
        <v>10291</v>
      </c>
      <c r="F10" s="62">
        <f>E10*F9</f>
        <v>3756.2149999999997</v>
      </c>
      <c r="G10" s="76">
        <v>1529907</v>
      </c>
      <c r="H10" s="77">
        <v>382.4</v>
      </c>
      <c r="I10" s="90">
        <f>H18*I9</f>
        <v>11783.67</v>
      </c>
      <c r="J10" s="61">
        <f>G11-G10</f>
        <v>5922</v>
      </c>
      <c r="K10" s="62">
        <f>J10*K9</f>
        <v>2161.5299999999997</v>
      </c>
      <c r="L10" s="76">
        <v>653521</v>
      </c>
      <c r="M10" s="77">
        <v>317.10000000000002</v>
      </c>
      <c r="N10" s="90">
        <f>M18*N9</f>
        <v>9608.130000000001</v>
      </c>
      <c r="O10" s="61">
        <f>L11-L10</f>
        <v>2239</v>
      </c>
      <c r="P10" s="62">
        <f>O10*P9</f>
        <v>817.23500000000001</v>
      </c>
      <c r="Q10" s="76">
        <v>1928488</v>
      </c>
      <c r="R10" s="77">
        <v>395.4</v>
      </c>
      <c r="S10" s="90">
        <f>R18*S9</f>
        <v>12056.369999999999</v>
      </c>
      <c r="T10" s="61">
        <f>Q11-Q10</f>
        <v>7522</v>
      </c>
      <c r="U10" s="62">
        <f>T10*U9</f>
        <v>2745.5299999999997</v>
      </c>
      <c r="V10" s="63">
        <f>E10+J10+O10+T10</f>
        <v>25974</v>
      </c>
      <c r="W10" s="64">
        <f>U10+P10+K10+F10</f>
        <v>9480.51</v>
      </c>
      <c r="X10" s="87">
        <f>S10+N10+I10+D10</f>
        <v>49092.06</v>
      </c>
      <c r="Y10" s="76">
        <v>78533</v>
      </c>
      <c r="Z10" s="65">
        <f>Y11-Y10</f>
        <v>48</v>
      </c>
      <c r="AA10" s="76">
        <v>13008</v>
      </c>
      <c r="AB10" s="65">
        <f>AA11-AA10</f>
        <v>0</v>
      </c>
      <c r="AC10" s="76">
        <v>118149</v>
      </c>
      <c r="AD10" s="65">
        <f>AC11-AC10</f>
        <v>91</v>
      </c>
      <c r="AE10" s="63">
        <f>Z10+AB10+AD10</f>
        <v>139</v>
      </c>
      <c r="AF10" s="78">
        <f>(AE10/22.25)*38.46</f>
        <v>240.26696629213484</v>
      </c>
      <c r="AG10" s="76">
        <v>265876</v>
      </c>
      <c r="AH10" s="67">
        <f>AG11-AG10</f>
        <v>231</v>
      </c>
      <c r="AI10" s="79">
        <f>AH10*2.28</f>
        <v>526.67999999999995</v>
      </c>
      <c r="AJ10" s="82"/>
      <c r="AK10" s="82"/>
    </row>
    <row r="11" spans="1:37" ht="18" x14ac:dyDescent="0.25">
      <c r="A11" s="60">
        <v>2</v>
      </c>
      <c r="B11" s="76">
        <v>2513614</v>
      </c>
      <c r="C11" s="77">
        <v>476.4</v>
      </c>
      <c r="D11" s="91"/>
      <c r="E11" s="61">
        <f t="shared" ref="E11:E38" si="0">B12-B11</f>
        <v>9958</v>
      </c>
      <c r="F11" s="62">
        <f>E11*F9</f>
        <v>3634.67</v>
      </c>
      <c r="G11" s="76">
        <v>1535829</v>
      </c>
      <c r="H11" s="77">
        <v>382.4</v>
      </c>
      <c r="I11" s="91"/>
      <c r="J11" s="61">
        <f t="shared" ref="J11:J38" si="1">G12-G11</f>
        <v>5995</v>
      </c>
      <c r="K11" s="62">
        <f>J11*K9</f>
        <v>2188.1749999999997</v>
      </c>
      <c r="L11" s="76">
        <v>655760</v>
      </c>
      <c r="M11" s="77">
        <v>317.10000000000002</v>
      </c>
      <c r="N11" s="91"/>
      <c r="O11" s="61">
        <f t="shared" ref="O11:O38" si="2">L12-L11</f>
        <v>3456</v>
      </c>
      <c r="P11" s="62">
        <f>O11*P9</f>
        <v>1261.44</v>
      </c>
      <c r="Q11" s="76">
        <v>1936010</v>
      </c>
      <c r="R11" s="77">
        <v>395.4</v>
      </c>
      <c r="S11" s="91"/>
      <c r="T11" s="61">
        <f t="shared" ref="T11:T38" si="3">Q12-Q11</f>
        <v>7117</v>
      </c>
      <c r="U11" s="62">
        <f>T11*U9</f>
        <v>2597.7049999999999</v>
      </c>
      <c r="V11" s="63">
        <f>E11+J11+O11+T11</f>
        <v>26526</v>
      </c>
      <c r="W11" s="64">
        <f>U11+P11+K11+F11</f>
        <v>9681.99</v>
      </c>
      <c r="X11" s="88"/>
      <c r="Y11" s="76">
        <v>78581</v>
      </c>
      <c r="Z11" s="65">
        <f>Y12-Y11</f>
        <v>74</v>
      </c>
      <c r="AA11" s="76">
        <v>13008</v>
      </c>
      <c r="AB11" s="65">
        <f t="shared" ref="AB11:AB38" si="4">AA12-AA11</f>
        <v>0</v>
      </c>
      <c r="AC11" s="76">
        <v>118240</v>
      </c>
      <c r="AD11" s="65">
        <f t="shared" ref="AD11:AD38" si="5">AC12-AC11</f>
        <v>87</v>
      </c>
      <c r="AE11" s="63">
        <f>Z11+AB11+AD11</f>
        <v>161</v>
      </c>
      <c r="AF11" s="78">
        <f t="shared" ref="AF11:AF40" si="6">(AE11/22.25)*38.46</f>
        <v>278.29483146067417</v>
      </c>
      <c r="AG11" s="76">
        <v>266107</v>
      </c>
      <c r="AH11" s="67">
        <f t="shared" ref="AH11:AH38" si="7">AG12-AG11</f>
        <v>271</v>
      </c>
      <c r="AI11" s="79">
        <f t="shared" ref="AI11:AI40" si="8">AH11*2.28</f>
        <v>617.88</v>
      </c>
      <c r="AJ11" s="82"/>
      <c r="AK11" s="82"/>
    </row>
    <row r="12" spans="1:37" ht="18" x14ac:dyDescent="0.25">
      <c r="A12" s="60">
        <v>3</v>
      </c>
      <c r="B12" s="76">
        <v>2523572</v>
      </c>
      <c r="C12" s="77">
        <v>476.4</v>
      </c>
      <c r="D12" s="91"/>
      <c r="E12" s="61">
        <f t="shared" si="0"/>
        <v>10242</v>
      </c>
      <c r="F12" s="62">
        <f>E12*F9</f>
        <v>3738.33</v>
      </c>
      <c r="G12" s="76">
        <v>1541824</v>
      </c>
      <c r="H12" s="77">
        <v>382.4</v>
      </c>
      <c r="I12" s="91"/>
      <c r="J12" s="61">
        <f t="shared" si="1"/>
        <v>6263</v>
      </c>
      <c r="K12" s="62">
        <f>J12*K9</f>
        <v>2285.9949999999999</v>
      </c>
      <c r="L12" s="76">
        <v>659216</v>
      </c>
      <c r="M12" s="77">
        <v>317.10000000000002</v>
      </c>
      <c r="N12" s="91"/>
      <c r="O12" s="61">
        <f t="shared" si="2"/>
        <v>3902</v>
      </c>
      <c r="P12" s="62">
        <f>O12*P9</f>
        <v>1424.23</v>
      </c>
      <c r="Q12" s="76">
        <v>1943127</v>
      </c>
      <c r="R12" s="77">
        <v>395.4</v>
      </c>
      <c r="S12" s="91"/>
      <c r="T12" s="61">
        <f t="shared" si="3"/>
        <v>7332</v>
      </c>
      <c r="U12" s="62">
        <f>T12*U9</f>
        <v>2676.18</v>
      </c>
      <c r="V12" s="63">
        <f>E12+J12+O12+T12</f>
        <v>27739</v>
      </c>
      <c r="W12" s="64">
        <f>U12+P12+K12+F12</f>
        <v>10124.735000000001</v>
      </c>
      <c r="X12" s="88"/>
      <c r="Y12" s="76">
        <v>78655</v>
      </c>
      <c r="Z12" s="65">
        <f>Y13-Y12</f>
        <v>84</v>
      </c>
      <c r="AA12" s="76">
        <v>13008</v>
      </c>
      <c r="AB12" s="65">
        <f t="shared" si="4"/>
        <v>0</v>
      </c>
      <c r="AC12" s="76">
        <v>118327</v>
      </c>
      <c r="AD12" s="65">
        <f t="shared" si="5"/>
        <v>75</v>
      </c>
      <c r="AE12" s="63">
        <f>Z12+AB12+AD12</f>
        <v>159</v>
      </c>
      <c r="AF12" s="78">
        <f t="shared" si="6"/>
        <v>274.83775280898874</v>
      </c>
      <c r="AG12" s="76">
        <v>266378</v>
      </c>
      <c r="AH12" s="67">
        <f t="shared" si="7"/>
        <v>170</v>
      </c>
      <c r="AI12" s="79">
        <f t="shared" si="8"/>
        <v>387.59999999999997</v>
      </c>
      <c r="AJ12" s="82"/>
      <c r="AK12" s="82"/>
    </row>
    <row r="13" spans="1:37" ht="18" x14ac:dyDescent="0.25">
      <c r="A13" s="60">
        <v>4</v>
      </c>
      <c r="B13" s="76">
        <v>2533814</v>
      </c>
      <c r="C13" s="77">
        <v>476.4</v>
      </c>
      <c r="D13" s="91"/>
      <c r="E13" s="61">
        <f t="shared" si="0"/>
        <v>10095</v>
      </c>
      <c r="F13" s="62">
        <f>E13*F9</f>
        <v>3684.6749999999997</v>
      </c>
      <c r="G13" s="76">
        <v>1548087</v>
      </c>
      <c r="H13" s="77">
        <v>382.4</v>
      </c>
      <c r="I13" s="91"/>
      <c r="J13" s="61">
        <f t="shared" si="1"/>
        <v>6027</v>
      </c>
      <c r="K13" s="62">
        <f>J13*K9</f>
        <v>2199.855</v>
      </c>
      <c r="L13" s="76">
        <v>663118</v>
      </c>
      <c r="M13" s="77">
        <v>317.10000000000002</v>
      </c>
      <c r="N13" s="91"/>
      <c r="O13" s="61">
        <f t="shared" si="2"/>
        <v>3491</v>
      </c>
      <c r="P13" s="62">
        <f>O13*P9</f>
        <v>1274.2149999999999</v>
      </c>
      <c r="Q13" s="76">
        <v>1950459</v>
      </c>
      <c r="R13" s="77">
        <v>395.4</v>
      </c>
      <c r="S13" s="91"/>
      <c r="T13" s="61">
        <f t="shared" si="3"/>
        <v>7127</v>
      </c>
      <c r="U13" s="62">
        <f>T13*U9</f>
        <v>2601.355</v>
      </c>
      <c r="V13" s="63">
        <f>E13+J13+O13+T13</f>
        <v>26740</v>
      </c>
      <c r="W13" s="64">
        <f>U13+P13+K13+F13</f>
        <v>9760.0999999999985</v>
      </c>
      <c r="X13" s="88"/>
      <c r="Y13" s="76">
        <v>78739</v>
      </c>
      <c r="Z13" s="65">
        <f>Y14-Y13</f>
        <v>74</v>
      </c>
      <c r="AA13" s="76">
        <v>13008</v>
      </c>
      <c r="AB13" s="65">
        <f t="shared" si="4"/>
        <v>0</v>
      </c>
      <c r="AC13" s="76">
        <v>118402</v>
      </c>
      <c r="AD13" s="65">
        <f t="shared" si="5"/>
        <v>90</v>
      </c>
      <c r="AE13" s="63">
        <f>Z13+AB13+AD13</f>
        <v>164</v>
      </c>
      <c r="AF13" s="78">
        <f t="shared" si="6"/>
        <v>283.48044943820224</v>
      </c>
      <c r="AG13" s="76">
        <v>266548</v>
      </c>
      <c r="AH13" s="67">
        <f t="shared" si="7"/>
        <v>254</v>
      </c>
      <c r="AI13" s="79">
        <f t="shared" si="8"/>
        <v>579.12</v>
      </c>
      <c r="AJ13" s="82"/>
      <c r="AK13" s="82"/>
    </row>
    <row r="14" spans="1:37" ht="18" x14ac:dyDescent="0.25">
      <c r="A14" s="60">
        <v>5</v>
      </c>
      <c r="B14" s="76">
        <v>2543909</v>
      </c>
      <c r="C14" s="77">
        <v>490.5</v>
      </c>
      <c r="D14" s="91"/>
      <c r="E14" s="61">
        <f t="shared" si="0"/>
        <v>10429</v>
      </c>
      <c r="F14" s="62">
        <f>E14*F9</f>
        <v>3806.585</v>
      </c>
      <c r="G14" s="76">
        <v>1554114</v>
      </c>
      <c r="H14" s="77">
        <v>382.4</v>
      </c>
      <c r="I14" s="91"/>
      <c r="J14" s="61">
        <f t="shared" si="1"/>
        <v>6324</v>
      </c>
      <c r="K14" s="62">
        <f>J14*K9</f>
        <v>2308.2599999999998</v>
      </c>
      <c r="L14" s="76">
        <v>666609</v>
      </c>
      <c r="M14" s="77">
        <v>317.10000000000002</v>
      </c>
      <c r="N14" s="91"/>
      <c r="O14" s="61">
        <f t="shared" si="2"/>
        <v>3548</v>
      </c>
      <c r="P14" s="62">
        <f>O14*P9</f>
        <v>1295.02</v>
      </c>
      <c r="Q14" s="76">
        <v>1957586</v>
      </c>
      <c r="R14" s="77">
        <v>395.4</v>
      </c>
      <c r="S14" s="91"/>
      <c r="T14" s="61">
        <f t="shared" si="3"/>
        <v>7232</v>
      </c>
      <c r="U14" s="62">
        <f>T14*U9</f>
        <v>2639.68</v>
      </c>
      <c r="V14" s="63">
        <f>E14+J14+O14+T14</f>
        <v>27533</v>
      </c>
      <c r="W14" s="64">
        <f>U14+P14+K14+F14</f>
        <v>10049.544999999998</v>
      </c>
      <c r="X14" s="88"/>
      <c r="Y14" s="76">
        <v>78813</v>
      </c>
      <c r="Z14" s="65">
        <f t="shared" ref="Z14:Z23" si="9">SUM(Y15-Y14)</f>
        <v>81</v>
      </c>
      <c r="AA14" s="76">
        <v>13008</v>
      </c>
      <c r="AB14" s="65">
        <f t="shared" si="4"/>
        <v>0</v>
      </c>
      <c r="AC14" s="76">
        <v>118492</v>
      </c>
      <c r="AD14" s="65">
        <f t="shared" si="5"/>
        <v>85</v>
      </c>
      <c r="AE14" s="63">
        <f>Z14+AB14+AD14</f>
        <v>166</v>
      </c>
      <c r="AF14" s="78">
        <f t="shared" si="6"/>
        <v>286.93752808988762</v>
      </c>
      <c r="AG14" s="76">
        <v>266802</v>
      </c>
      <c r="AH14" s="67">
        <f t="shared" si="7"/>
        <v>362</v>
      </c>
      <c r="AI14" s="79">
        <f t="shared" si="8"/>
        <v>825.3599999999999</v>
      </c>
      <c r="AJ14" s="82"/>
      <c r="AK14" s="82"/>
    </row>
    <row r="15" spans="1:37" ht="18" x14ac:dyDescent="0.25">
      <c r="A15" s="60">
        <v>6</v>
      </c>
      <c r="B15" s="76">
        <v>2554338</v>
      </c>
      <c r="C15" s="77">
        <v>490.5</v>
      </c>
      <c r="D15" s="91"/>
      <c r="E15" s="61">
        <f>B16-B15</f>
        <v>10637</v>
      </c>
      <c r="F15" s="62">
        <f>E15*F9</f>
        <v>3882.5050000000001</v>
      </c>
      <c r="G15" s="76">
        <v>1560438</v>
      </c>
      <c r="H15" s="77">
        <v>388.9</v>
      </c>
      <c r="I15" s="91"/>
      <c r="J15" s="61">
        <f t="shared" si="1"/>
        <v>6229</v>
      </c>
      <c r="K15" s="62">
        <f>J15*K9</f>
        <v>2273.585</v>
      </c>
      <c r="L15" s="76">
        <v>670157</v>
      </c>
      <c r="M15" s="77">
        <v>317.10000000000002</v>
      </c>
      <c r="N15" s="91"/>
      <c r="O15" s="61">
        <f t="shared" si="2"/>
        <v>3660</v>
      </c>
      <c r="P15" s="62">
        <f>O15*P9</f>
        <v>1335.8999999999999</v>
      </c>
      <c r="Q15" s="76">
        <v>1964818</v>
      </c>
      <c r="R15" s="77">
        <v>395.4</v>
      </c>
      <c r="S15" s="91"/>
      <c r="T15" s="61">
        <f t="shared" si="3"/>
        <v>7406</v>
      </c>
      <c r="U15" s="62">
        <f>T15*U9</f>
        <v>2703.19</v>
      </c>
      <c r="V15" s="63">
        <f t="shared" ref="V15:V40" si="10">E15+J15+O15+T15</f>
        <v>27932</v>
      </c>
      <c r="W15" s="64">
        <f t="shared" ref="W15:W40" si="11">U15+P15+K15+F15</f>
        <v>10195.18</v>
      </c>
      <c r="X15" s="88"/>
      <c r="Y15" s="76">
        <v>78894</v>
      </c>
      <c r="Z15" s="65">
        <f t="shared" si="9"/>
        <v>83</v>
      </c>
      <c r="AA15" s="76">
        <v>13008</v>
      </c>
      <c r="AB15" s="65">
        <f t="shared" si="4"/>
        <v>0</v>
      </c>
      <c r="AC15" s="76">
        <v>118577</v>
      </c>
      <c r="AD15" s="65">
        <f t="shared" si="5"/>
        <v>113</v>
      </c>
      <c r="AE15" s="63">
        <f t="shared" ref="AE15:AE39" si="12">Z15+AB15+AD15</f>
        <v>196</v>
      </c>
      <c r="AF15" s="78">
        <f t="shared" si="6"/>
        <v>338.79370786516853</v>
      </c>
      <c r="AG15" s="76">
        <v>267164</v>
      </c>
      <c r="AH15" s="67">
        <f t="shared" si="7"/>
        <v>412</v>
      </c>
      <c r="AI15" s="79">
        <f t="shared" si="8"/>
        <v>939.3599999999999</v>
      </c>
      <c r="AJ15" s="82"/>
      <c r="AK15" s="82"/>
    </row>
    <row r="16" spans="1:37" ht="18" x14ac:dyDescent="0.25">
      <c r="A16" s="60">
        <v>7</v>
      </c>
      <c r="B16" s="76">
        <v>2564975</v>
      </c>
      <c r="C16" s="77">
        <v>504.8</v>
      </c>
      <c r="D16" s="91"/>
      <c r="E16" s="61">
        <f t="shared" si="0"/>
        <v>10355</v>
      </c>
      <c r="F16" s="62">
        <f>E16*F9</f>
        <v>3779.5749999999998</v>
      </c>
      <c r="G16" s="76">
        <v>1566667</v>
      </c>
      <c r="H16" s="77">
        <v>388.9</v>
      </c>
      <c r="I16" s="91"/>
      <c r="J16" s="61">
        <f t="shared" si="1"/>
        <v>5977</v>
      </c>
      <c r="K16" s="62">
        <f>J16*K9</f>
        <v>2181.605</v>
      </c>
      <c r="L16" s="76">
        <v>673817</v>
      </c>
      <c r="M16" s="77">
        <v>317.10000000000002</v>
      </c>
      <c r="N16" s="91"/>
      <c r="O16" s="61">
        <f t="shared" si="2"/>
        <v>3068</v>
      </c>
      <c r="P16" s="62">
        <f>O16*P9</f>
        <v>1119.82</v>
      </c>
      <c r="Q16" s="76">
        <v>1972224</v>
      </c>
      <c r="R16" s="77">
        <v>397.9</v>
      </c>
      <c r="S16" s="91"/>
      <c r="T16" s="61">
        <f t="shared" si="3"/>
        <v>7066</v>
      </c>
      <c r="U16" s="62">
        <f>T16*U9</f>
        <v>2579.09</v>
      </c>
      <c r="V16" s="63">
        <f t="shared" si="10"/>
        <v>26466</v>
      </c>
      <c r="W16" s="64">
        <f t="shared" si="11"/>
        <v>9660.09</v>
      </c>
      <c r="X16" s="88"/>
      <c r="Y16" s="76">
        <v>78977</v>
      </c>
      <c r="Z16" s="65">
        <f t="shared" si="9"/>
        <v>73</v>
      </c>
      <c r="AA16" s="76">
        <v>13008</v>
      </c>
      <c r="AB16" s="65">
        <f t="shared" si="4"/>
        <v>0</v>
      </c>
      <c r="AC16" s="76">
        <v>118690</v>
      </c>
      <c r="AD16" s="65">
        <f t="shared" si="5"/>
        <v>125</v>
      </c>
      <c r="AE16" s="63">
        <f t="shared" si="12"/>
        <v>198</v>
      </c>
      <c r="AF16" s="78">
        <f t="shared" si="6"/>
        <v>342.25078651685396</v>
      </c>
      <c r="AG16" s="76">
        <v>267576</v>
      </c>
      <c r="AH16" s="67">
        <f t="shared" si="7"/>
        <v>330</v>
      </c>
      <c r="AI16" s="79">
        <f t="shared" si="8"/>
        <v>752.4</v>
      </c>
      <c r="AJ16" s="82"/>
      <c r="AK16" s="82"/>
    </row>
    <row r="17" spans="1:37" ht="18" x14ac:dyDescent="0.25">
      <c r="A17" s="60">
        <v>8</v>
      </c>
      <c r="B17" s="76">
        <v>2575330</v>
      </c>
      <c r="C17" s="77">
        <v>516.29999999999995</v>
      </c>
      <c r="D17" s="91"/>
      <c r="E17" s="61">
        <f t="shared" si="0"/>
        <v>10596</v>
      </c>
      <c r="F17" s="62">
        <f>E17*F9</f>
        <v>3867.54</v>
      </c>
      <c r="G17" s="76">
        <v>1572644</v>
      </c>
      <c r="H17" s="77">
        <v>388.9</v>
      </c>
      <c r="I17" s="91"/>
      <c r="J17" s="61">
        <f t="shared" si="1"/>
        <v>6061</v>
      </c>
      <c r="K17" s="62">
        <f>J17*K9</f>
        <v>2212.2649999999999</v>
      </c>
      <c r="L17" s="76">
        <v>676885</v>
      </c>
      <c r="M17" s="77">
        <v>317.10000000000002</v>
      </c>
      <c r="N17" s="91"/>
      <c r="O17" s="61">
        <f t="shared" si="2"/>
        <v>3188</v>
      </c>
      <c r="P17" s="62">
        <f>O17*P9</f>
        <v>1163.6199999999999</v>
      </c>
      <c r="Q17" s="76">
        <v>1979290</v>
      </c>
      <c r="R17" s="77">
        <v>397.9</v>
      </c>
      <c r="S17" s="91"/>
      <c r="T17" s="61">
        <f t="shared" si="3"/>
        <v>7299</v>
      </c>
      <c r="U17" s="62">
        <f>T17*U9</f>
        <v>2664.1349999999998</v>
      </c>
      <c r="V17" s="63">
        <f t="shared" si="10"/>
        <v>27144</v>
      </c>
      <c r="W17" s="64">
        <f t="shared" si="11"/>
        <v>9907.56</v>
      </c>
      <c r="X17" s="88"/>
      <c r="Y17" s="76">
        <v>79050</v>
      </c>
      <c r="Z17" s="65">
        <f t="shared" si="9"/>
        <v>73</v>
      </c>
      <c r="AA17" s="76">
        <v>13008</v>
      </c>
      <c r="AB17" s="65">
        <f t="shared" si="4"/>
        <v>300</v>
      </c>
      <c r="AC17" s="76">
        <v>118815</v>
      </c>
      <c r="AD17" s="65">
        <f t="shared" si="5"/>
        <v>71</v>
      </c>
      <c r="AE17" s="63">
        <f t="shared" si="12"/>
        <v>444</v>
      </c>
      <c r="AF17" s="78">
        <f t="shared" si="6"/>
        <v>767.47146067415724</v>
      </c>
      <c r="AG17" s="76">
        <v>267906</v>
      </c>
      <c r="AH17" s="67">
        <f t="shared" si="7"/>
        <v>395</v>
      </c>
      <c r="AI17" s="79">
        <f t="shared" si="8"/>
        <v>900.59999999999991</v>
      </c>
      <c r="AJ17" s="82"/>
      <c r="AK17" s="82"/>
    </row>
    <row r="18" spans="1:37" ht="18" x14ac:dyDescent="0.25">
      <c r="A18" s="60">
        <v>9</v>
      </c>
      <c r="B18" s="76">
        <v>2585926</v>
      </c>
      <c r="C18" s="77">
        <v>516.29999999999995</v>
      </c>
      <c r="D18" s="91"/>
      <c r="E18" s="61">
        <f t="shared" si="0"/>
        <v>-2585926</v>
      </c>
      <c r="F18" s="62">
        <f>E18*F9</f>
        <v>-943862.99</v>
      </c>
      <c r="G18" s="76">
        <v>1578705</v>
      </c>
      <c r="H18" s="77">
        <v>388.9</v>
      </c>
      <c r="I18" s="91"/>
      <c r="J18" s="61">
        <f t="shared" si="1"/>
        <v>-1578705</v>
      </c>
      <c r="K18" s="62">
        <f>J18*K9</f>
        <v>-576227.32499999995</v>
      </c>
      <c r="L18" s="76">
        <v>680073</v>
      </c>
      <c r="M18" s="77">
        <v>317.10000000000002</v>
      </c>
      <c r="N18" s="91"/>
      <c r="O18" s="61">
        <f t="shared" si="2"/>
        <v>-680073</v>
      </c>
      <c r="P18" s="62">
        <f>O18*P9</f>
        <v>-248226.64499999999</v>
      </c>
      <c r="Q18" s="76">
        <v>1986589</v>
      </c>
      <c r="R18" s="77">
        <v>397.9</v>
      </c>
      <c r="S18" s="91"/>
      <c r="T18" s="61">
        <f t="shared" si="3"/>
        <v>-1986589</v>
      </c>
      <c r="U18" s="62">
        <f>T18*U9</f>
        <v>-725104.98499999999</v>
      </c>
      <c r="V18" s="63">
        <f t="shared" si="10"/>
        <v>-6831293</v>
      </c>
      <c r="W18" s="64">
        <f t="shared" si="11"/>
        <v>-2493421.9450000003</v>
      </c>
      <c r="X18" s="88"/>
      <c r="Y18" s="76">
        <v>79123</v>
      </c>
      <c r="Z18" s="65">
        <f t="shared" si="9"/>
        <v>-79123</v>
      </c>
      <c r="AA18" s="76">
        <v>13308</v>
      </c>
      <c r="AB18" s="65">
        <f t="shared" si="4"/>
        <v>-13308</v>
      </c>
      <c r="AC18" s="76">
        <v>118886</v>
      </c>
      <c r="AD18" s="65">
        <f t="shared" si="5"/>
        <v>-118886</v>
      </c>
      <c r="AE18" s="63">
        <f t="shared" si="12"/>
        <v>-211317</v>
      </c>
      <c r="AF18" s="78">
        <f t="shared" si="6"/>
        <v>-365269.74471910112</v>
      </c>
      <c r="AG18" s="76">
        <v>268301</v>
      </c>
      <c r="AH18" s="67">
        <f t="shared" si="7"/>
        <v>-268301</v>
      </c>
      <c r="AI18" s="79">
        <f t="shared" si="8"/>
        <v>-611726.27999999991</v>
      </c>
      <c r="AJ18" s="82"/>
      <c r="AK18" s="82"/>
    </row>
    <row r="19" spans="1:37" ht="18" x14ac:dyDescent="0.25">
      <c r="A19" s="68">
        <v>10</v>
      </c>
      <c r="B19" s="76"/>
      <c r="C19" s="77"/>
      <c r="D19" s="91"/>
      <c r="E19" s="61">
        <f t="shared" si="0"/>
        <v>0</v>
      </c>
      <c r="F19" s="66">
        <f>E19*F9</f>
        <v>0</v>
      </c>
      <c r="G19" s="76"/>
      <c r="H19" s="77"/>
      <c r="I19" s="91"/>
      <c r="J19" s="61">
        <f t="shared" si="1"/>
        <v>0</v>
      </c>
      <c r="K19" s="66">
        <f>J19*K9</f>
        <v>0</v>
      </c>
      <c r="L19" s="76"/>
      <c r="M19" s="77"/>
      <c r="N19" s="91"/>
      <c r="O19" s="61">
        <f t="shared" si="2"/>
        <v>0</v>
      </c>
      <c r="P19" s="66">
        <f>O19*P9</f>
        <v>0</v>
      </c>
      <c r="Q19" s="76"/>
      <c r="R19" s="77"/>
      <c r="S19" s="91"/>
      <c r="T19" s="61">
        <f t="shared" si="3"/>
        <v>0</v>
      </c>
      <c r="U19" s="66">
        <f>T19*U9</f>
        <v>0</v>
      </c>
      <c r="V19" s="63">
        <f t="shared" si="10"/>
        <v>0</v>
      </c>
      <c r="W19" s="64">
        <f t="shared" si="11"/>
        <v>0</v>
      </c>
      <c r="X19" s="88"/>
      <c r="Y19" s="76"/>
      <c r="Z19" s="65">
        <f t="shared" si="9"/>
        <v>0</v>
      </c>
      <c r="AA19" s="76"/>
      <c r="AB19" s="65">
        <f t="shared" si="4"/>
        <v>0</v>
      </c>
      <c r="AC19" s="76"/>
      <c r="AD19" s="65">
        <f t="shared" si="5"/>
        <v>0</v>
      </c>
      <c r="AE19" s="63">
        <f t="shared" si="12"/>
        <v>0</v>
      </c>
      <c r="AF19" s="78">
        <f t="shared" si="6"/>
        <v>0</v>
      </c>
      <c r="AG19" s="76"/>
      <c r="AH19" s="67">
        <f t="shared" si="7"/>
        <v>0</v>
      </c>
      <c r="AI19" s="79">
        <f t="shared" si="8"/>
        <v>0</v>
      </c>
      <c r="AJ19" s="82"/>
      <c r="AK19" s="82"/>
    </row>
    <row r="20" spans="1:37" ht="18" x14ac:dyDescent="0.25">
      <c r="A20" s="68">
        <v>11</v>
      </c>
      <c r="B20" s="76"/>
      <c r="C20" s="77"/>
      <c r="D20" s="91"/>
      <c r="E20" s="61">
        <f t="shared" si="0"/>
        <v>0</v>
      </c>
      <c r="F20" s="66">
        <f>E20*F9</f>
        <v>0</v>
      </c>
      <c r="G20" s="76"/>
      <c r="H20" s="77"/>
      <c r="I20" s="91"/>
      <c r="J20" s="61">
        <f t="shared" si="1"/>
        <v>0</v>
      </c>
      <c r="K20" s="66">
        <f>J20*K9</f>
        <v>0</v>
      </c>
      <c r="L20" s="76"/>
      <c r="M20" s="77"/>
      <c r="N20" s="91"/>
      <c r="O20" s="61">
        <f t="shared" si="2"/>
        <v>0</v>
      </c>
      <c r="P20" s="66">
        <f>O20*P9</f>
        <v>0</v>
      </c>
      <c r="Q20" s="76"/>
      <c r="R20" s="77"/>
      <c r="S20" s="91"/>
      <c r="T20" s="61">
        <f t="shared" si="3"/>
        <v>0</v>
      </c>
      <c r="U20" s="66">
        <f>T20*U9</f>
        <v>0</v>
      </c>
      <c r="V20" s="63">
        <f t="shared" si="10"/>
        <v>0</v>
      </c>
      <c r="W20" s="64">
        <f t="shared" si="11"/>
        <v>0</v>
      </c>
      <c r="X20" s="88"/>
      <c r="Y20" s="76"/>
      <c r="Z20" s="65">
        <f t="shared" si="9"/>
        <v>0</v>
      </c>
      <c r="AA20" s="76"/>
      <c r="AB20" s="65">
        <f t="shared" si="4"/>
        <v>0</v>
      </c>
      <c r="AC20" s="76"/>
      <c r="AD20" s="65">
        <f t="shared" si="5"/>
        <v>0</v>
      </c>
      <c r="AE20" s="63">
        <f t="shared" si="12"/>
        <v>0</v>
      </c>
      <c r="AF20" s="78">
        <f t="shared" si="6"/>
        <v>0</v>
      </c>
      <c r="AG20" s="76"/>
      <c r="AH20" s="67">
        <f t="shared" si="7"/>
        <v>0</v>
      </c>
      <c r="AI20" s="79">
        <f t="shared" si="8"/>
        <v>0</v>
      </c>
      <c r="AJ20" s="82"/>
      <c r="AK20" s="82"/>
    </row>
    <row r="21" spans="1:37" ht="18" x14ac:dyDescent="0.25">
      <c r="A21" s="68">
        <v>12</v>
      </c>
      <c r="B21" s="76"/>
      <c r="C21" s="77"/>
      <c r="D21" s="91"/>
      <c r="E21" s="61">
        <f t="shared" si="0"/>
        <v>0</v>
      </c>
      <c r="F21" s="66">
        <f>E21*F9</f>
        <v>0</v>
      </c>
      <c r="G21" s="76"/>
      <c r="H21" s="77"/>
      <c r="I21" s="91"/>
      <c r="J21" s="61">
        <f t="shared" si="1"/>
        <v>0</v>
      </c>
      <c r="K21" s="66">
        <f>J21*K9</f>
        <v>0</v>
      </c>
      <c r="L21" s="76"/>
      <c r="M21" s="77"/>
      <c r="N21" s="91"/>
      <c r="O21" s="61">
        <f t="shared" si="2"/>
        <v>0</v>
      </c>
      <c r="P21" s="66">
        <f>O21*P9</f>
        <v>0</v>
      </c>
      <c r="Q21" s="76"/>
      <c r="R21" s="77"/>
      <c r="S21" s="91"/>
      <c r="T21" s="61">
        <f t="shared" si="3"/>
        <v>0</v>
      </c>
      <c r="U21" s="66">
        <f>T21*U9</f>
        <v>0</v>
      </c>
      <c r="V21" s="63">
        <f t="shared" si="10"/>
        <v>0</v>
      </c>
      <c r="W21" s="64">
        <f t="shared" si="11"/>
        <v>0</v>
      </c>
      <c r="X21" s="88"/>
      <c r="Y21" s="76"/>
      <c r="Z21" s="65">
        <f t="shared" si="9"/>
        <v>0</v>
      </c>
      <c r="AA21" s="76"/>
      <c r="AB21" s="65">
        <f t="shared" si="4"/>
        <v>0</v>
      </c>
      <c r="AC21" s="76"/>
      <c r="AD21" s="65">
        <f t="shared" si="5"/>
        <v>0</v>
      </c>
      <c r="AE21" s="63">
        <f t="shared" si="12"/>
        <v>0</v>
      </c>
      <c r="AF21" s="78">
        <f t="shared" si="6"/>
        <v>0</v>
      </c>
      <c r="AG21" s="76"/>
      <c r="AH21" s="67">
        <f t="shared" si="7"/>
        <v>0</v>
      </c>
      <c r="AI21" s="79">
        <f t="shared" si="8"/>
        <v>0</v>
      </c>
      <c r="AJ21" s="82"/>
      <c r="AK21" s="82"/>
    </row>
    <row r="22" spans="1:37" ht="18" x14ac:dyDescent="0.25">
      <c r="A22" s="68">
        <v>13</v>
      </c>
      <c r="B22" s="76"/>
      <c r="C22" s="77"/>
      <c r="D22" s="91"/>
      <c r="E22" s="61">
        <f t="shared" si="0"/>
        <v>0</v>
      </c>
      <c r="F22" s="66">
        <f>E22*F9</f>
        <v>0</v>
      </c>
      <c r="G22" s="76"/>
      <c r="H22" s="77"/>
      <c r="I22" s="91"/>
      <c r="J22" s="61">
        <f t="shared" si="1"/>
        <v>0</v>
      </c>
      <c r="K22" s="66">
        <f>J22*K9</f>
        <v>0</v>
      </c>
      <c r="L22" s="76"/>
      <c r="M22" s="77"/>
      <c r="N22" s="91"/>
      <c r="O22" s="61">
        <f t="shared" si="2"/>
        <v>0</v>
      </c>
      <c r="P22" s="66">
        <f>O22*P9</f>
        <v>0</v>
      </c>
      <c r="Q22" s="76"/>
      <c r="R22" s="77"/>
      <c r="S22" s="91"/>
      <c r="T22" s="61">
        <f t="shared" si="3"/>
        <v>0</v>
      </c>
      <c r="U22" s="66">
        <f>T22*U9</f>
        <v>0</v>
      </c>
      <c r="V22" s="63">
        <f t="shared" si="10"/>
        <v>0</v>
      </c>
      <c r="W22" s="64">
        <f t="shared" si="11"/>
        <v>0</v>
      </c>
      <c r="X22" s="88"/>
      <c r="Y22" s="76"/>
      <c r="Z22" s="65">
        <f t="shared" si="9"/>
        <v>0</v>
      </c>
      <c r="AA22" s="76"/>
      <c r="AB22" s="65">
        <f t="shared" si="4"/>
        <v>0</v>
      </c>
      <c r="AC22" s="76"/>
      <c r="AD22" s="65">
        <f t="shared" si="5"/>
        <v>0</v>
      </c>
      <c r="AE22" s="63">
        <f t="shared" si="12"/>
        <v>0</v>
      </c>
      <c r="AF22" s="78">
        <f t="shared" si="6"/>
        <v>0</v>
      </c>
      <c r="AG22" s="76"/>
      <c r="AH22" s="67">
        <f t="shared" si="7"/>
        <v>0</v>
      </c>
      <c r="AI22" s="79">
        <f t="shared" si="8"/>
        <v>0</v>
      </c>
      <c r="AJ22" s="82"/>
      <c r="AK22" s="82"/>
    </row>
    <row r="23" spans="1:37" ht="18" x14ac:dyDescent="0.25">
      <c r="A23" s="68">
        <v>14</v>
      </c>
      <c r="B23" s="76"/>
      <c r="C23" s="77"/>
      <c r="D23" s="91"/>
      <c r="E23" s="61">
        <f t="shared" si="0"/>
        <v>0</v>
      </c>
      <c r="F23" s="66">
        <f>E23*F9</f>
        <v>0</v>
      </c>
      <c r="G23" s="76"/>
      <c r="H23" s="77"/>
      <c r="I23" s="91"/>
      <c r="J23" s="61">
        <f t="shared" si="1"/>
        <v>0</v>
      </c>
      <c r="K23" s="66">
        <f>J23*K9</f>
        <v>0</v>
      </c>
      <c r="L23" s="76"/>
      <c r="M23" s="77"/>
      <c r="N23" s="91"/>
      <c r="O23" s="61">
        <f t="shared" si="2"/>
        <v>0</v>
      </c>
      <c r="P23" s="66">
        <f>O23*P9</f>
        <v>0</v>
      </c>
      <c r="Q23" s="76"/>
      <c r="R23" s="77"/>
      <c r="S23" s="91"/>
      <c r="T23" s="61">
        <f t="shared" si="3"/>
        <v>0</v>
      </c>
      <c r="U23" s="66">
        <f>T23*U9</f>
        <v>0</v>
      </c>
      <c r="V23" s="63">
        <f t="shared" si="10"/>
        <v>0</v>
      </c>
      <c r="W23" s="64">
        <f t="shared" si="11"/>
        <v>0</v>
      </c>
      <c r="X23" s="88"/>
      <c r="Y23" s="76"/>
      <c r="Z23" s="65">
        <f t="shared" si="9"/>
        <v>0</v>
      </c>
      <c r="AA23" s="76"/>
      <c r="AB23" s="65">
        <f t="shared" si="4"/>
        <v>0</v>
      </c>
      <c r="AC23" s="76"/>
      <c r="AD23" s="65">
        <f t="shared" si="5"/>
        <v>0</v>
      </c>
      <c r="AE23" s="63">
        <f t="shared" si="12"/>
        <v>0</v>
      </c>
      <c r="AF23" s="78">
        <f t="shared" si="6"/>
        <v>0</v>
      </c>
      <c r="AG23" s="76"/>
      <c r="AH23" s="67">
        <f t="shared" si="7"/>
        <v>0</v>
      </c>
      <c r="AI23" s="79">
        <f t="shared" si="8"/>
        <v>0</v>
      </c>
      <c r="AJ23" s="82"/>
      <c r="AK23" s="82"/>
    </row>
    <row r="24" spans="1:37" ht="18" x14ac:dyDescent="0.25">
      <c r="A24" s="68">
        <v>15</v>
      </c>
      <c r="B24" s="76"/>
      <c r="C24" s="77"/>
      <c r="D24" s="91"/>
      <c r="E24" s="61">
        <f t="shared" si="0"/>
        <v>0</v>
      </c>
      <c r="F24" s="66">
        <f>E24*F9</f>
        <v>0</v>
      </c>
      <c r="G24" s="76"/>
      <c r="H24" s="77"/>
      <c r="I24" s="91"/>
      <c r="J24" s="61">
        <f t="shared" si="1"/>
        <v>0</v>
      </c>
      <c r="K24" s="66">
        <f>J24*K9</f>
        <v>0</v>
      </c>
      <c r="L24" s="76"/>
      <c r="M24" s="77"/>
      <c r="N24" s="91"/>
      <c r="O24" s="61">
        <f t="shared" si="2"/>
        <v>0</v>
      </c>
      <c r="P24" s="66">
        <f>O24*P9</f>
        <v>0</v>
      </c>
      <c r="Q24" s="76"/>
      <c r="R24" s="77"/>
      <c r="S24" s="91"/>
      <c r="T24" s="61">
        <f t="shared" si="3"/>
        <v>0</v>
      </c>
      <c r="U24" s="66">
        <f>T24*U9</f>
        <v>0</v>
      </c>
      <c r="V24" s="63">
        <f t="shared" si="10"/>
        <v>0</v>
      </c>
      <c r="W24" s="64">
        <f t="shared" si="11"/>
        <v>0</v>
      </c>
      <c r="X24" s="88"/>
      <c r="Y24" s="76"/>
      <c r="Z24" s="65">
        <f t="shared" ref="Z24:Z38" si="13">SUM(Y25-Y24)</f>
        <v>0</v>
      </c>
      <c r="AA24" s="76"/>
      <c r="AB24" s="65">
        <f t="shared" si="4"/>
        <v>0</v>
      </c>
      <c r="AC24" s="76"/>
      <c r="AD24" s="65">
        <f t="shared" si="5"/>
        <v>0</v>
      </c>
      <c r="AE24" s="63">
        <f t="shared" si="12"/>
        <v>0</v>
      </c>
      <c r="AF24" s="78">
        <f t="shared" si="6"/>
        <v>0</v>
      </c>
      <c r="AG24" s="76"/>
      <c r="AH24" s="67">
        <f t="shared" si="7"/>
        <v>0</v>
      </c>
      <c r="AI24" s="79">
        <f t="shared" si="8"/>
        <v>0</v>
      </c>
      <c r="AJ24" s="82"/>
      <c r="AK24" s="82"/>
    </row>
    <row r="25" spans="1:37" ht="18" x14ac:dyDescent="0.25">
      <c r="A25" s="68">
        <v>16</v>
      </c>
      <c r="B25" s="76"/>
      <c r="C25" s="77"/>
      <c r="D25" s="91"/>
      <c r="E25" s="61">
        <f t="shared" si="0"/>
        <v>0</v>
      </c>
      <c r="F25" s="66">
        <f>E25*F9</f>
        <v>0</v>
      </c>
      <c r="G25" s="76"/>
      <c r="H25" s="77"/>
      <c r="I25" s="91"/>
      <c r="J25" s="61">
        <f t="shared" si="1"/>
        <v>0</v>
      </c>
      <c r="K25" s="66">
        <f>J25*K9</f>
        <v>0</v>
      </c>
      <c r="L25" s="76"/>
      <c r="M25" s="77"/>
      <c r="N25" s="91"/>
      <c r="O25" s="61">
        <f t="shared" si="2"/>
        <v>0</v>
      </c>
      <c r="P25" s="66">
        <f>O25*P9</f>
        <v>0</v>
      </c>
      <c r="Q25" s="76"/>
      <c r="R25" s="77"/>
      <c r="S25" s="91"/>
      <c r="T25" s="61">
        <f t="shared" si="3"/>
        <v>0</v>
      </c>
      <c r="U25" s="66">
        <f>T25*U9</f>
        <v>0</v>
      </c>
      <c r="V25" s="63">
        <f t="shared" si="10"/>
        <v>0</v>
      </c>
      <c r="W25" s="64">
        <f t="shared" si="11"/>
        <v>0</v>
      </c>
      <c r="X25" s="88"/>
      <c r="Y25" s="76"/>
      <c r="Z25" s="65">
        <f t="shared" si="13"/>
        <v>0</v>
      </c>
      <c r="AA25" s="76"/>
      <c r="AB25" s="65">
        <f t="shared" si="4"/>
        <v>0</v>
      </c>
      <c r="AC25" s="76"/>
      <c r="AD25" s="65">
        <f t="shared" si="5"/>
        <v>0</v>
      </c>
      <c r="AE25" s="63">
        <f t="shared" si="12"/>
        <v>0</v>
      </c>
      <c r="AF25" s="78">
        <f t="shared" si="6"/>
        <v>0</v>
      </c>
      <c r="AG25" s="76"/>
      <c r="AH25" s="67">
        <f t="shared" si="7"/>
        <v>0</v>
      </c>
      <c r="AI25" s="79">
        <f t="shared" si="8"/>
        <v>0</v>
      </c>
      <c r="AJ25" s="82"/>
      <c r="AK25" s="82"/>
    </row>
    <row r="26" spans="1:37" ht="18" x14ac:dyDescent="0.25">
      <c r="A26" s="68">
        <v>17</v>
      </c>
      <c r="B26" s="76"/>
      <c r="C26" s="77"/>
      <c r="D26" s="91"/>
      <c r="E26" s="61">
        <f t="shared" si="0"/>
        <v>0</v>
      </c>
      <c r="F26" s="66">
        <f>E26*F9</f>
        <v>0</v>
      </c>
      <c r="G26" s="76"/>
      <c r="H26" s="77"/>
      <c r="I26" s="91"/>
      <c r="J26" s="61">
        <f t="shared" si="1"/>
        <v>0</v>
      </c>
      <c r="K26" s="66">
        <f>J26*K9</f>
        <v>0</v>
      </c>
      <c r="L26" s="76"/>
      <c r="M26" s="77"/>
      <c r="N26" s="91"/>
      <c r="O26" s="61">
        <f t="shared" si="2"/>
        <v>0</v>
      </c>
      <c r="P26" s="66">
        <f>O26*P9</f>
        <v>0</v>
      </c>
      <c r="Q26" s="76"/>
      <c r="R26" s="77"/>
      <c r="S26" s="91"/>
      <c r="T26" s="61">
        <f t="shared" si="3"/>
        <v>0</v>
      </c>
      <c r="U26" s="66">
        <f>T26*U9</f>
        <v>0</v>
      </c>
      <c r="V26" s="63">
        <f t="shared" si="10"/>
        <v>0</v>
      </c>
      <c r="W26" s="64">
        <f t="shared" si="11"/>
        <v>0</v>
      </c>
      <c r="X26" s="88"/>
      <c r="Y26" s="76"/>
      <c r="Z26" s="65">
        <f t="shared" si="13"/>
        <v>0</v>
      </c>
      <c r="AA26" s="76"/>
      <c r="AB26" s="65">
        <f t="shared" si="4"/>
        <v>0</v>
      </c>
      <c r="AC26" s="76"/>
      <c r="AD26" s="65">
        <f t="shared" si="5"/>
        <v>0</v>
      </c>
      <c r="AE26" s="63">
        <f t="shared" si="12"/>
        <v>0</v>
      </c>
      <c r="AF26" s="78">
        <f t="shared" si="6"/>
        <v>0</v>
      </c>
      <c r="AG26" s="76"/>
      <c r="AH26" s="67">
        <f t="shared" si="7"/>
        <v>0</v>
      </c>
      <c r="AI26" s="79">
        <f t="shared" si="8"/>
        <v>0</v>
      </c>
      <c r="AJ26" s="82"/>
      <c r="AK26" s="82"/>
    </row>
    <row r="27" spans="1:37" ht="18" x14ac:dyDescent="0.25">
      <c r="A27" s="68">
        <v>18</v>
      </c>
      <c r="B27" s="76"/>
      <c r="C27" s="77"/>
      <c r="D27" s="91"/>
      <c r="E27" s="61">
        <f t="shared" si="0"/>
        <v>0</v>
      </c>
      <c r="F27" s="66">
        <f>E27*F9</f>
        <v>0</v>
      </c>
      <c r="G27" s="76"/>
      <c r="H27" s="77"/>
      <c r="I27" s="91"/>
      <c r="J27" s="61">
        <f t="shared" si="1"/>
        <v>0</v>
      </c>
      <c r="K27" s="66">
        <f>J27*K9</f>
        <v>0</v>
      </c>
      <c r="L27" s="76"/>
      <c r="M27" s="77"/>
      <c r="N27" s="91"/>
      <c r="O27" s="61">
        <f t="shared" si="2"/>
        <v>0</v>
      </c>
      <c r="P27" s="66">
        <f>O27*P9</f>
        <v>0</v>
      </c>
      <c r="Q27" s="76"/>
      <c r="R27" s="77"/>
      <c r="S27" s="91"/>
      <c r="T27" s="61">
        <f t="shared" si="3"/>
        <v>0</v>
      </c>
      <c r="U27" s="66">
        <f>T27*U9</f>
        <v>0</v>
      </c>
      <c r="V27" s="63">
        <f t="shared" si="10"/>
        <v>0</v>
      </c>
      <c r="W27" s="64">
        <f t="shared" si="11"/>
        <v>0</v>
      </c>
      <c r="X27" s="88"/>
      <c r="Y27" s="76"/>
      <c r="Z27" s="65">
        <f t="shared" si="13"/>
        <v>0</v>
      </c>
      <c r="AA27" s="76"/>
      <c r="AB27" s="65">
        <f t="shared" si="4"/>
        <v>0</v>
      </c>
      <c r="AC27" s="76"/>
      <c r="AD27" s="65">
        <f t="shared" si="5"/>
        <v>0</v>
      </c>
      <c r="AE27" s="63">
        <f t="shared" si="12"/>
        <v>0</v>
      </c>
      <c r="AF27" s="78">
        <f>(AE27/22.25)*38.46</f>
        <v>0</v>
      </c>
      <c r="AG27" s="76"/>
      <c r="AH27" s="67">
        <f t="shared" si="7"/>
        <v>0</v>
      </c>
      <c r="AI27" s="79">
        <f t="shared" si="8"/>
        <v>0</v>
      </c>
      <c r="AJ27" s="82"/>
      <c r="AK27" s="82"/>
    </row>
    <row r="28" spans="1:37" ht="18" x14ac:dyDescent="0.25">
      <c r="A28" s="68">
        <v>19</v>
      </c>
      <c r="B28" s="76"/>
      <c r="C28" s="77"/>
      <c r="D28" s="91"/>
      <c r="E28" s="61">
        <f t="shared" si="0"/>
        <v>0</v>
      </c>
      <c r="F28" s="66">
        <f>E28*F9</f>
        <v>0</v>
      </c>
      <c r="G28" s="76"/>
      <c r="H28" s="77"/>
      <c r="I28" s="91"/>
      <c r="J28" s="61">
        <f t="shared" si="1"/>
        <v>0</v>
      </c>
      <c r="K28" s="66">
        <f>J28*K9</f>
        <v>0</v>
      </c>
      <c r="L28" s="76"/>
      <c r="M28" s="77"/>
      <c r="N28" s="91"/>
      <c r="O28" s="61">
        <f t="shared" si="2"/>
        <v>0</v>
      </c>
      <c r="P28" s="66">
        <f>O28*P9</f>
        <v>0</v>
      </c>
      <c r="Q28" s="76"/>
      <c r="R28" s="77"/>
      <c r="S28" s="91"/>
      <c r="T28" s="61">
        <f t="shared" si="3"/>
        <v>0</v>
      </c>
      <c r="U28" s="66">
        <f>T28*U9</f>
        <v>0</v>
      </c>
      <c r="V28" s="63">
        <f t="shared" si="10"/>
        <v>0</v>
      </c>
      <c r="W28" s="64">
        <f t="shared" si="11"/>
        <v>0</v>
      </c>
      <c r="X28" s="88"/>
      <c r="Y28" s="76"/>
      <c r="Z28" s="65">
        <f t="shared" si="13"/>
        <v>0</v>
      </c>
      <c r="AA28" s="76"/>
      <c r="AB28" s="65">
        <f t="shared" si="4"/>
        <v>0</v>
      </c>
      <c r="AC28" s="76"/>
      <c r="AD28" s="65">
        <f t="shared" si="5"/>
        <v>0</v>
      </c>
      <c r="AE28" s="63">
        <f t="shared" si="12"/>
        <v>0</v>
      </c>
      <c r="AF28" s="78">
        <f t="shared" si="6"/>
        <v>0</v>
      </c>
      <c r="AG28" s="76"/>
      <c r="AH28" s="67">
        <f t="shared" si="7"/>
        <v>0</v>
      </c>
      <c r="AI28" s="79">
        <f t="shared" si="8"/>
        <v>0</v>
      </c>
      <c r="AJ28" s="82"/>
      <c r="AK28" s="82"/>
    </row>
    <row r="29" spans="1:37" ht="18" x14ac:dyDescent="0.25">
      <c r="A29" s="68">
        <v>20</v>
      </c>
      <c r="B29" s="76"/>
      <c r="C29" s="77"/>
      <c r="D29" s="91"/>
      <c r="E29" s="61">
        <f t="shared" si="0"/>
        <v>0</v>
      </c>
      <c r="F29" s="66">
        <f>E29*F9</f>
        <v>0</v>
      </c>
      <c r="G29" s="76"/>
      <c r="H29" s="77"/>
      <c r="I29" s="91"/>
      <c r="J29" s="61">
        <f t="shared" si="1"/>
        <v>0</v>
      </c>
      <c r="K29" s="66">
        <f>J29*K9</f>
        <v>0</v>
      </c>
      <c r="L29" s="76"/>
      <c r="M29" s="77"/>
      <c r="N29" s="91"/>
      <c r="O29" s="61">
        <f t="shared" si="2"/>
        <v>0</v>
      </c>
      <c r="P29" s="66">
        <f>O29*P9</f>
        <v>0</v>
      </c>
      <c r="Q29" s="76"/>
      <c r="R29" s="77"/>
      <c r="S29" s="91"/>
      <c r="T29" s="61">
        <f t="shared" si="3"/>
        <v>0</v>
      </c>
      <c r="U29" s="66">
        <f>T29*U9</f>
        <v>0</v>
      </c>
      <c r="V29" s="63">
        <f t="shared" si="10"/>
        <v>0</v>
      </c>
      <c r="W29" s="64">
        <f t="shared" si="11"/>
        <v>0</v>
      </c>
      <c r="X29" s="88"/>
      <c r="Y29" s="76"/>
      <c r="Z29" s="65">
        <f t="shared" si="13"/>
        <v>0</v>
      </c>
      <c r="AA29" s="76"/>
      <c r="AB29" s="65">
        <f t="shared" si="4"/>
        <v>0</v>
      </c>
      <c r="AC29" s="76"/>
      <c r="AD29" s="65">
        <f t="shared" si="5"/>
        <v>0</v>
      </c>
      <c r="AE29" s="63">
        <f t="shared" si="12"/>
        <v>0</v>
      </c>
      <c r="AF29" s="78">
        <f t="shared" si="6"/>
        <v>0</v>
      </c>
      <c r="AG29" s="76"/>
      <c r="AH29" s="67">
        <f t="shared" si="7"/>
        <v>0</v>
      </c>
      <c r="AI29" s="79">
        <f t="shared" si="8"/>
        <v>0</v>
      </c>
      <c r="AJ29" s="82"/>
      <c r="AK29" s="82"/>
    </row>
    <row r="30" spans="1:37" ht="18" x14ac:dyDescent="0.25">
      <c r="A30" s="68">
        <v>21</v>
      </c>
      <c r="B30" s="76"/>
      <c r="C30" s="77"/>
      <c r="D30" s="91"/>
      <c r="E30" s="61">
        <f t="shared" si="0"/>
        <v>0</v>
      </c>
      <c r="F30" s="66">
        <f>E30*F9</f>
        <v>0</v>
      </c>
      <c r="G30" s="76"/>
      <c r="H30" s="77"/>
      <c r="I30" s="91"/>
      <c r="J30" s="61">
        <f t="shared" si="1"/>
        <v>0</v>
      </c>
      <c r="K30" s="66">
        <f>J30*K9</f>
        <v>0</v>
      </c>
      <c r="L30" s="76"/>
      <c r="M30" s="77"/>
      <c r="N30" s="91"/>
      <c r="O30" s="61">
        <f t="shared" si="2"/>
        <v>0</v>
      </c>
      <c r="P30" s="66">
        <f>O30*P9</f>
        <v>0</v>
      </c>
      <c r="Q30" s="76"/>
      <c r="R30" s="77"/>
      <c r="S30" s="91"/>
      <c r="T30" s="61">
        <f t="shared" si="3"/>
        <v>0</v>
      </c>
      <c r="U30" s="66">
        <f>T30*U9</f>
        <v>0</v>
      </c>
      <c r="V30" s="63">
        <f t="shared" si="10"/>
        <v>0</v>
      </c>
      <c r="W30" s="64">
        <f t="shared" si="11"/>
        <v>0</v>
      </c>
      <c r="X30" s="88"/>
      <c r="Y30" s="76"/>
      <c r="Z30" s="65">
        <f t="shared" si="13"/>
        <v>0</v>
      </c>
      <c r="AA30" s="76"/>
      <c r="AB30" s="65">
        <f t="shared" si="4"/>
        <v>0</v>
      </c>
      <c r="AC30" s="76"/>
      <c r="AD30" s="65">
        <f t="shared" si="5"/>
        <v>0</v>
      </c>
      <c r="AE30" s="63">
        <f t="shared" si="12"/>
        <v>0</v>
      </c>
      <c r="AF30" s="78">
        <f t="shared" si="6"/>
        <v>0</v>
      </c>
      <c r="AG30" s="76"/>
      <c r="AH30" s="67">
        <f t="shared" si="7"/>
        <v>0</v>
      </c>
      <c r="AI30" s="79">
        <f t="shared" si="8"/>
        <v>0</v>
      </c>
      <c r="AJ30" s="82"/>
      <c r="AK30" s="82"/>
    </row>
    <row r="31" spans="1:37" ht="18" x14ac:dyDescent="0.25">
      <c r="A31" s="68">
        <v>22</v>
      </c>
      <c r="B31" s="76"/>
      <c r="C31" s="77"/>
      <c r="D31" s="91"/>
      <c r="E31" s="61">
        <f t="shared" si="0"/>
        <v>0</v>
      </c>
      <c r="F31" s="66">
        <f>E31*F9</f>
        <v>0</v>
      </c>
      <c r="G31" s="76"/>
      <c r="H31" s="77"/>
      <c r="I31" s="91"/>
      <c r="J31" s="61">
        <f t="shared" si="1"/>
        <v>0</v>
      </c>
      <c r="K31" s="66">
        <f>J31*K9</f>
        <v>0</v>
      </c>
      <c r="L31" s="76"/>
      <c r="M31" s="77"/>
      <c r="N31" s="91"/>
      <c r="O31" s="61">
        <f t="shared" si="2"/>
        <v>0</v>
      </c>
      <c r="P31" s="66">
        <f>O31*P9</f>
        <v>0</v>
      </c>
      <c r="Q31" s="76"/>
      <c r="R31" s="77"/>
      <c r="S31" s="91"/>
      <c r="T31" s="61">
        <f t="shared" si="3"/>
        <v>0</v>
      </c>
      <c r="U31" s="66">
        <f>T31*U9</f>
        <v>0</v>
      </c>
      <c r="V31" s="63">
        <f t="shared" si="10"/>
        <v>0</v>
      </c>
      <c r="W31" s="64">
        <f t="shared" si="11"/>
        <v>0</v>
      </c>
      <c r="X31" s="88"/>
      <c r="Y31" s="76"/>
      <c r="Z31" s="65">
        <f t="shared" si="13"/>
        <v>0</v>
      </c>
      <c r="AA31" s="76"/>
      <c r="AB31" s="65">
        <f t="shared" si="4"/>
        <v>0</v>
      </c>
      <c r="AC31" s="76"/>
      <c r="AD31" s="65">
        <f>AC32-AC31</f>
        <v>0</v>
      </c>
      <c r="AE31" s="63">
        <f t="shared" si="12"/>
        <v>0</v>
      </c>
      <c r="AF31" s="78">
        <f t="shared" si="6"/>
        <v>0</v>
      </c>
      <c r="AG31" s="76"/>
      <c r="AH31" s="67">
        <f t="shared" si="7"/>
        <v>0</v>
      </c>
      <c r="AI31" s="79">
        <f t="shared" si="8"/>
        <v>0</v>
      </c>
      <c r="AJ31" s="82"/>
      <c r="AK31" s="82"/>
    </row>
    <row r="32" spans="1:37" ht="18" x14ac:dyDescent="0.25">
      <c r="A32" s="68">
        <v>23</v>
      </c>
      <c r="B32" s="76"/>
      <c r="C32" s="77"/>
      <c r="D32" s="91"/>
      <c r="E32" s="61">
        <f t="shared" si="0"/>
        <v>0</v>
      </c>
      <c r="F32" s="66">
        <f>E32*F9</f>
        <v>0</v>
      </c>
      <c r="G32" s="76"/>
      <c r="H32" s="77"/>
      <c r="I32" s="91"/>
      <c r="J32" s="61">
        <f t="shared" si="1"/>
        <v>0</v>
      </c>
      <c r="K32" s="66">
        <f>J32*K9</f>
        <v>0</v>
      </c>
      <c r="L32" s="76"/>
      <c r="M32" s="77"/>
      <c r="N32" s="91"/>
      <c r="O32" s="61">
        <f t="shared" si="2"/>
        <v>0</v>
      </c>
      <c r="P32" s="66">
        <f>O32*P9</f>
        <v>0</v>
      </c>
      <c r="Q32" s="76"/>
      <c r="R32" s="77"/>
      <c r="S32" s="91"/>
      <c r="T32" s="61">
        <f t="shared" si="3"/>
        <v>0</v>
      </c>
      <c r="U32" s="66">
        <f>T32*U9</f>
        <v>0</v>
      </c>
      <c r="V32" s="63">
        <f t="shared" si="10"/>
        <v>0</v>
      </c>
      <c r="W32" s="64">
        <f t="shared" si="11"/>
        <v>0</v>
      </c>
      <c r="X32" s="88"/>
      <c r="Y32" s="76"/>
      <c r="Z32" s="65">
        <f t="shared" si="13"/>
        <v>0</v>
      </c>
      <c r="AA32" s="76"/>
      <c r="AB32" s="65">
        <f t="shared" si="4"/>
        <v>0</v>
      </c>
      <c r="AC32" s="76"/>
      <c r="AD32" s="65">
        <f t="shared" si="5"/>
        <v>0</v>
      </c>
      <c r="AE32" s="63">
        <f t="shared" si="12"/>
        <v>0</v>
      </c>
      <c r="AF32" s="78">
        <f t="shared" si="6"/>
        <v>0</v>
      </c>
      <c r="AG32" s="76"/>
      <c r="AH32" s="67">
        <f t="shared" si="7"/>
        <v>0</v>
      </c>
      <c r="AI32" s="79">
        <f t="shared" si="8"/>
        <v>0</v>
      </c>
      <c r="AJ32" s="82"/>
      <c r="AK32" s="82"/>
    </row>
    <row r="33" spans="1:37" ht="18" x14ac:dyDescent="0.25">
      <c r="A33" s="68">
        <v>24</v>
      </c>
      <c r="B33" s="76"/>
      <c r="C33" s="77"/>
      <c r="D33" s="91"/>
      <c r="E33" s="61">
        <f t="shared" si="0"/>
        <v>0</v>
      </c>
      <c r="F33" s="66">
        <f>E33*F9</f>
        <v>0</v>
      </c>
      <c r="G33" s="76"/>
      <c r="H33" s="77"/>
      <c r="I33" s="91"/>
      <c r="J33" s="61">
        <f t="shared" si="1"/>
        <v>0</v>
      </c>
      <c r="K33" s="66">
        <f>J33*K9</f>
        <v>0</v>
      </c>
      <c r="L33" s="76"/>
      <c r="M33" s="77"/>
      <c r="N33" s="91"/>
      <c r="O33" s="61">
        <f t="shared" si="2"/>
        <v>0</v>
      </c>
      <c r="P33" s="66">
        <f>O33*P9</f>
        <v>0</v>
      </c>
      <c r="Q33" s="76"/>
      <c r="R33" s="77"/>
      <c r="S33" s="91"/>
      <c r="T33" s="61">
        <f t="shared" si="3"/>
        <v>0</v>
      </c>
      <c r="U33" s="66">
        <f>T33*U9</f>
        <v>0</v>
      </c>
      <c r="V33" s="63">
        <f t="shared" si="10"/>
        <v>0</v>
      </c>
      <c r="W33" s="64">
        <f t="shared" si="11"/>
        <v>0</v>
      </c>
      <c r="X33" s="88"/>
      <c r="Y33" s="76"/>
      <c r="Z33" s="65">
        <f t="shared" si="13"/>
        <v>0</v>
      </c>
      <c r="AA33" s="76"/>
      <c r="AB33" s="65">
        <f t="shared" si="4"/>
        <v>0</v>
      </c>
      <c r="AC33" s="76"/>
      <c r="AD33" s="65">
        <f t="shared" si="5"/>
        <v>0</v>
      </c>
      <c r="AE33" s="63">
        <f t="shared" si="12"/>
        <v>0</v>
      </c>
      <c r="AF33" s="78">
        <f t="shared" si="6"/>
        <v>0</v>
      </c>
      <c r="AG33" s="76"/>
      <c r="AH33" s="67">
        <f t="shared" si="7"/>
        <v>0</v>
      </c>
      <c r="AI33" s="79">
        <f t="shared" si="8"/>
        <v>0</v>
      </c>
      <c r="AJ33" s="82"/>
      <c r="AK33" s="82"/>
    </row>
    <row r="34" spans="1:37" ht="18" x14ac:dyDescent="0.25">
      <c r="A34" s="68">
        <v>25</v>
      </c>
      <c r="B34" s="76"/>
      <c r="C34" s="77"/>
      <c r="D34" s="91"/>
      <c r="E34" s="61">
        <f t="shared" si="0"/>
        <v>0</v>
      </c>
      <c r="F34" s="66">
        <f>E34*F9</f>
        <v>0</v>
      </c>
      <c r="G34" s="76"/>
      <c r="H34" s="77"/>
      <c r="I34" s="91"/>
      <c r="J34" s="61">
        <f t="shared" si="1"/>
        <v>0</v>
      </c>
      <c r="K34" s="66">
        <f>J34*K9</f>
        <v>0</v>
      </c>
      <c r="L34" s="76"/>
      <c r="M34" s="77"/>
      <c r="N34" s="91"/>
      <c r="O34" s="61">
        <f t="shared" si="2"/>
        <v>0</v>
      </c>
      <c r="P34" s="66">
        <f>O34*P9</f>
        <v>0</v>
      </c>
      <c r="Q34" s="76"/>
      <c r="R34" s="77"/>
      <c r="S34" s="91"/>
      <c r="T34" s="61">
        <f t="shared" si="3"/>
        <v>0</v>
      </c>
      <c r="U34" s="66">
        <f>T34*U9</f>
        <v>0</v>
      </c>
      <c r="V34" s="63">
        <f t="shared" si="10"/>
        <v>0</v>
      </c>
      <c r="W34" s="64">
        <f t="shared" si="11"/>
        <v>0</v>
      </c>
      <c r="X34" s="88"/>
      <c r="Y34" s="76"/>
      <c r="Z34" s="65">
        <f t="shared" si="13"/>
        <v>0</v>
      </c>
      <c r="AA34" s="76"/>
      <c r="AB34" s="65">
        <f t="shared" si="4"/>
        <v>0</v>
      </c>
      <c r="AC34" s="76"/>
      <c r="AD34" s="65">
        <f>AC35-AC34</f>
        <v>0</v>
      </c>
      <c r="AE34" s="63">
        <f t="shared" si="12"/>
        <v>0</v>
      </c>
      <c r="AF34" s="78">
        <f t="shared" si="6"/>
        <v>0</v>
      </c>
      <c r="AG34" s="76"/>
      <c r="AH34" s="67">
        <f t="shared" si="7"/>
        <v>0</v>
      </c>
      <c r="AI34" s="79">
        <f t="shared" si="8"/>
        <v>0</v>
      </c>
      <c r="AJ34" s="82"/>
      <c r="AK34" s="82"/>
    </row>
    <row r="35" spans="1:37" ht="18" x14ac:dyDescent="0.25">
      <c r="A35" s="68">
        <v>26</v>
      </c>
      <c r="B35" s="76"/>
      <c r="C35" s="77"/>
      <c r="D35" s="91"/>
      <c r="E35" s="61">
        <f t="shared" si="0"/>
        <v>0</v>
      </c>
      <c r="F35" s="66">
        <f>E35*F9</f>
        <v>0</v>
      </c>
      <c r="G35" s="76"/>
      <c r="H35" s="77"/>
      <c r="I35" s="91"/>
      <c r="J35" s="61">
        <f t="shared" si="1"/>
        <v>0</v>
      </c>
      <c r="K35" s="66">
        <f>J35*K9</f>
        <v>0</v>
      </c>
      <c r="L35" s="76"/>
      <c r="M35" s="77"/>
      <c r="N35" s="91"/>
      <c r="O35" s="61">
        <f t="shared" si="2"/>
        <v>0</v>
      </c>
      <c r="P35" s="66">
        <f>O35*P9</f>
        <v>0</v>
      </c>
      <c r="Q35" s="76"/>
      <c r="R35" s="77"/>
      <c r="S35" s="91"/>
      <c r="T35" s="61">
        <f t="shared" si="3"/>
        <v>0</v>
      </c>
      <c r="U35" s="66">
        <f>T35*U9</f>
        <v>0</v>
      </c>
      <c r="V35" s="63">
        <f t="shared" si="10"/>
        <v>0</v>
      </c>
      <c r="W35" s="64">
        <f t="shared" si="11"/>
        <v>0</v>
      </c>
      <c r="X35" s="88"/>
      <c r="Y35" s="76"/>
      <c r="Z35" s="65">
        <f t="shared" si="13"/>
        <v>0</v>
      </c>
      <c r="AA35" s="76"/>
      <c r="AB35" s="65">
        <f t="shared" si="4"/>
        <v>0</v>
      </c>
      <c r="AC35" s="76"/>
      <c r="AD35" s="65">
        <f t="shared" si="5"/>
        <v>0</v>
      </c>
      <c r="AE35" s="63">
        <f t="shared" si="12"/>
        <v>0</v>
      </c>
      <c r="AF35" s="78">
        <f t="shared" si="6"/>
        <v>0</v>
      </c>
      <c r="AG35" s="76"/>
      <c r="AH35" s="67">
        <f t="shared" si="7"/>
        <v>0</v>
      </c>
      <c r="AI35" s="79">
        <f t="shared" si="8"/>
        <v>0</v>
      </c>
      <c r="AJ35" s="82"/>
      <c r="AK35" s="82"/>
    </row>
    <row r="36" spans="1:37" ht="18" x14ac:dyDescent="0.25">
      <c r="A36" s="68">
        <v>27</v>
      </c>
      <c r="B36" s="76"/>
      <c r="C36" s="77"/>
      <c r="D36" s="91"/>
      <c r="E36" s="61">
        <f t="shared" si="0"/>
        <v>0</v>
      </c>
      <c r="F36" s="66">
        <f>E36*F9</f>
        <v>0</v>
      </c>
      <c r="G36" s="76"/>
      <c r="H36" s="77"/>
      <c r="I36" s="91"/>
      <c r="J36" s="61">
        <f t="shared" si="1"/>
        <v>0</v>
      </c>
      <c r="K36" s="66">
        <f>J36*K9</f>
        <v>0</v>
      </c>
      <c r="L36" s="76"/>
      <c r="M36" s="77"/>
      <c r="N36" s="91"/>
      <c r="O36" s="61">
        <f t="shared" si="2"/>
        <v>0</v>
      </c>
      <c r="P36" s="66">
        <f>O36*P9</f>
        <v>0</v>
      </c>
      <c r="Q36" s="76"/>
      <c r="R36" s="77"/>
      <c r="S36" s="91"/>
      <c r="T36" s="61">
        <f t="shared" si="3"/>
        <v>0</v>
      </c>
      <c r="U36" s="66">
        <f>T36*U9</f>
        <v>0</v>
      </c>
      <c r="V36" s="63">
        <f t="shared" si="10"/>
        <v>0</v>
      </c>
      <c r="W36" s="64">
        <f t="shared" si="11"/>
        <v>0</v>
      </c>
      <c r="X36" s="88"/>
      <c r="Y36" s="76"/>
      <c r="Z36" s="65">
        <f t="shared" si="13"/>
        <v>0</v>
      </c>
      <c r="AA36" s="76"/>
      <c r="AB36" s="65">
        <f t="shared" si="4"/>
        <v>0</v>
      </c>
      <c r="AC36" s="76"/>
      <c r="AD36" s="65">
        <f t="shared" si="5"/>
        <v>0</v>
      </c>
      <c r="AE36" s="63">
        <f t="shared" si="12"/>
        <v>0</v>
      </c>
      <c r="AF36" s="78">
        <f t="shared" si="6"/>
        <v>0</v>
      </c>
      <c r="AG36" s="76"/>
      <c r="AH36" s="67">
        <f t="shared" si="7"/>
        <v>0</v>
      </c>
      <c r="AI36" s="79">
        <f t="shared" si="8"/>
        <v>0</v>
      </c>
      <c r="AJ36" s="82"/>
      <c r="AK36" s="82"/>
    </row>
    <row r="37" spans="1:37" ht="18" x14ac:dyDescent="0.25">
      <c r="A37" s="68">
        <v>28</v>
      </c>
      <c r="B37" s="76"/>
      <c r="C37" s="77"/>
      <c r="D37" s="91"/>
      <c r="E37" s="61">
        <f t="shared" si="0"/>
        <v>0</v>
      </c>
      <c r="F37" s="66">
        <f>E37*F9</f>
        <v>0</v>
      </c>
      <c r="G37" s="76"/>
      <c r="H37" s="77"/>
      <c r="I37" s="91"/>
      <c r="J37" s="61">
        <f t="shared" si="1"/>
        <v>0</v>
      </c>
      <c r="K37" s="66">
        <f>J37*K9</f>
        <v>0</v>
      </c>
      <c r="L37" s="76"/>
      <c r="M37" s="77"/>
      <c r="N37" s="91"/>
      <c r="O37" s="61">
        <f t="shared" si="2"/>
        <v>0</v>
      </c>
      <c r="P37" s="66">
        <f>O37*P9</f>
        <v>0</v>
      </c>
      <c r="Q37" s="76"/>
      <c r="R37" s="77"/>
      <c r="S37" s="91"/>
      <c r="T37" s="61">
        <f t="shared" si="3"/>
        <v>0</v>
      </c>
      <c r="U37" s="66">
        <f>T37*U9</f>
        <v>0</v>
      </c>
      <c r="V37" s="63">
        <f t="shared" si="10"/>
        <v>0</v>
      </c>
      <c r="W37" s="64">
        <f t="shared" si="11"/>
        <v>0</v>
      </c>
      <c r="X37" s="88"/>
      <c r="Y37" s="76"/>
      <c r="Z37" s="65">
        <f t="shared" si="13"/>
        <v>0</v>
      </c>
      <c r="AA37" s="76"/>
      <c r="AB37" s="65">
        <f t="shared" si="4"/>
        <v>0</v>
      </c>
      <c r="AC37" s="76"/>
      <c r="AD37" s="65">
        <f t="shared" si="5"/>
        <v>0</v>
      </c>
      <c r="AE37" s="63">
        <f t="shared" si="12"/>
        <v>0</v>
      </c>
      <c r="AF37" s="78">
        <f t="shared" si="6"/>
        <v>0</v>
      </c>
      <c r="AG37" s="76"/>
      <c r="AH37" s="67">
        <f t="shared" si="7"/>
        <v>0</v>
      </c>
      <c r="AI37" s="79">
        <f t="shared" si="8"/>
        <v>0</v>
      </c>
      <c r="AJ37" s="82"/>
      <c r="AK37" s="82"/>
    </row>
    <row r="38" spans="1:37" ht="18" x14ac:dyDescent="0.25">
      <c r="A38" s="68">
        <v>29</v>
      </c>
      <c r="B38" s="76"/>
      <c r="C38" s="77"/>
      <c r="D38" s="91"/>
      <c r="E38" s="61">
        <f t="shared" si="0"/>
        <v>0</v>
      </c>
      <c r="F38" s="66">
        <f>E38*F9</f>
        <v>0</v>
      </c>
      <c r="G38" s="76"/>
      <c r="H38" s="77"/>
      <c r="I38" s="91"/>
      <c r="J38" s="61">
        <f t="shared" si="1"/>
        <v>0</v>
      </c>
      <c r="K38" s="66">
        <f>J38*K9</f>
        <v>0</v>
      </c>
      <c r="L38" s="76"/>
      <c r="M38" s="77"/>
      <c r="N38" s="91"/>
      <c r="O38" s="61">
        <f t="shared" si="2"/>
        <v>0</v>
      </c>
      <c r="P38" s="66">
        <f>O38*P9</f>
        <v>0</v>
      </c>
      <c r="Q38" s="76"/>
      <c r="R38" s="77"/>
      <c r="S38" s="91"/>
      <c r="T38" s="61">
        <f t="shared" si="3"/>
        <v>0</v>
      </c>
      <c r="U38" s="66">
        <f>T38*U9</f>
        <v>0</v>
      </c>
      <c r="V38" s="63">
        <f t="shared" si="10"/>
        <v>0</v>
      </c>
      <c r="W38" s="64">
        <f t="shared" si="11"/>
        <v>0</v>
      </c>
      <c r="X38" s="88"/>
      <c r="Y38" s="76"/>
      <c r="Z38" s="65">
        <f t="shared" si="13"/>
        <v>0</v>
      </c>
      <c r="AA38" s="76"/>
      <c r="AB38" s="65">
        <f t="shared" si="4"/>
        <v>0</v>
      </c>
      <c r="AC38" s="76"/>
      <c r="AD38" s="65">
        <f t="shared" si="5"/>
        <v>0</v>
      </c>
      <c r="AE38" s="63">
        <f t="shared" si="12"/>
        <v>0</v>
      </c>
      <c r="AF38" s="78">
        <f t="shared" si="6"/>
        <v>0</v>
      </c>
      <c r="AG38" s="76"/>
      <c r="AH38" s="67">
        <f t="shared" si="7"/>
        <v>0</v>
      </c>
      <c r="AI38" s="79">
        <f t="shared" si="8"/>
        <v>0</v>
      </c>
      <c r="AJ38" s="82"/>
      <c r="AK38" s="82"/>
    </row>
    <row r="39" spans="1:37" ht="18" x14ac:dyDescent="0.25">
      <c r="A39" s="68">
        <v>30</v>
      </c>
      <c r="B39" s="76"/>
      <c r="C39" s="77"/>
      <c r="D39" s="91"/>
      <c r="E39" s="61">
        <f>B40-B39</f>
        <v>0</v>
      </c>
      <c r="F39" s="66">
        <f>E39*F9</f>
        <v>0</v>
      </c>
      <c r="G39" s="76"/>
      <c r="H39" s="77"/>
      <c r="I39" s="91"/>
      <c r="J39" s="61">
        <f>SUM(G40-G39)</f>
        <v>0</v>
      </c>
      <c r="K39" s="66">
        <f>J39*K9</f>
        <v>0</v>
      </c>
      <c r="L39" s="76"/>
      <c r="M39" s="77"/>
      <c r="N39" s="91"/>
      <c r="O39" s="61">
        <f>SUM(L40-L39)</f>
        <v>0</v>
      </c>
      <c r="P39" s="66">
        <f>O39*P9</f>
        <v>0</v>
      </c>
      <c r="Q39" s="76"/>
      <c r="R39" s="77"/>
      <c r="S39" s="91"/>
      <c r="T39" s="61">
        <f>SUM(Q40-Q39)</f>
        <v>0</v>
      </c>
      <c r="U39" s="66">
        <f>T39*U9</f>
        <v>0</v>
      </c>
      <c r="V39" s="63">
        <f t="shared" si="10"/>
        <v>0</v>
      </c>
      <c r="W39" s="64">
        <f t="shared" si="11"/>
        <v>0</v>
      </c>
      <c r="X39" s="88"/>
      <c r="Y39" s="76"/>
      <c r="Z39" s="65">
        <f>SUM(Y40-Y39)</f>
        <v>0</v>
      </c>
      <c r="AA39" s="76"/>
      <c r="AB39" s="65">
        <f>AA40-AA39</f>
        <v>0</v>
      </c>
      <c r="AC39" s="76"/>
      <c r="AD39" s="61">
        <f>SUM(AC40-AC39)</f>
        <v>0</v>
      </c>
      <c r="AE39" s="63">
        <f t="shared" si="12"/>
        <v>0</v>
      </c>
      <c r="AF39" s="78">
        <f t="shared" si="6"/>
        <v>0</v>
      </c>
      <c r="AG39" s="76"/>
      <c r="AH39" s="67">
        <f>SUM(AG40-AG39)</f>
        <v>0</v>
      </c>
      <c r="AI39" s="79">
        <f t="shared" si="8"/>
        <v>0</v>
      </c>
      <c r="AJ39" s="82"/>
      <c r="AK39" s="82"/>
    </row>
    <row r="40" spans="1:37" ht="18" x14ac:dyDescent="0.25">
      <c r="A40" s="68">
        <v>1</v>
      </c>
      <c r="B40" s="76"/>
      <c r="C40" s="77"/>
      <c r="D40" s="92"/>
      <c r="E40" s="61">
        <f>B41-B40</f>
        <v>0</v>
      </c>
      <c r="F40" s="66">
        <f>E40*F9</f>
        <v>0</v>
      </c>
      <c r="G40" s="76"/>
      <c r="H40" s="77"/>
      <c r="I40" s="92"/>
      <c r="J40" s="61">
        <f>SUM(G41-G40)</f>
        <v>0</v>
      </c>
      <c r="K40" s="66">
        <f>J40*K9</f>
        <v>0</v>
      </c>
      <c r="L40" s="76"/>
      <c r="M40" s="77"/>
      <c r="N40" s="92"/>
      <c r="O40" s="61">
        <f>SUM(L41-L40)</f>
        <v>0</v>
      </c>
      <c r="P40" s="66">
        <f>O40*P9</f>
        <v>0</v>
      </c>
      <c r="Q40" s="76"/>
      <c r="R40" s="77"/>
      <c r="S40" s="92"/>
      <c r="T40" s="61">
        <f>SUM(Q41-Q40)</f>
        <v>0</v>
      </c>
      <c r="U40" s="66">
        <f>T40*U9</f>
        <v>0</v>
      </c>
      <c r="V40" s="63">
        <f t="shared" si="10"/>
        <v>0</v>
      </c>
      <c r="W40" s="64">
        <f t="shared" si="11"/>
        <v>0</v>
      </c>
      <c r="X40" s="89"/>
      <c r="Y40" s="76"/>
      <c r="Z40" s="65">
        <f>SUM(Y41-Y40)</f>
        <v>0</v>
      </c>
      <c r="AA40" s="76"/>
      <c r="AB40" s="65">
        <f>AA41-AA40</f>
        <v>0</v>
      </c>
      <c r="AC40" s="76"/>
      <c r="AD40" s="61">
        <f>SUM(AC41-AC40)</f>
        <v>0</v>
      </c>
      <c r="AE40" s="63">
        <f>Z40+AB40+AD40</f>
        <v>0</v>
      </c>
      <c r="AF40" s="78">
        <f t="shared" si="6"/>
        <v>0</v>
      </c>
      <c r="AG40" s="76"/>
      <c r="AH40" s="67">
        <f>SUM(AG41-AG40)</f>
        <v>0</v>
      </c>
      <c r="AI40" s="79">
        <f t="shared" si="8"/>
        <v>0</v>
      </c>
      <c r="AJ40" s="82"/>
      <c r="AK40" s="82"/>
    </row>
    <row r="41" spans="1:37" ht="18" x14ac:dyDescent="0.25">
      <c r="A41" s="68"/>
      <c r="B41" s="76"/>
      <c r="C41" s="77"/>
      <c r="D41" s="83"/>
      <c r="E41" s="65"/>
      <c r="F41" s="66"/>
      <c r="G41" s="76"/>
      <c r="H41" s="77"/>
      <c r="I41" s="83"/>
      <c r="J41" s="65"/>
      <c r="K41" s="66"/>
      <c r="L41" s="76"/>
      <c r="M41" s="77"/>
      <c r="N41" s="80"/>
      <c r="O41" s="65"/>
      <c r="P41" s="66"/>
      <c r="Q41" s="76"/>
      <c r="R41" s="77"/>
      <c r="S41" s="80"/>
      <c r="T41" s="65"/>
      <c r="U41" s="66"/>
      <c r="V41" s="63"/>
      <c r="W41" s="64"/>
      <c r="X41" s="81"/>
      <c r="Y41" s="76"/>
      <c r="Z41" s="61"/>
      <c r="AA41" s="76"/>
      <c r="AB41" s="62"/>
      <c r="AC41" s="76"/>
      <c r="AD41" s="61"/>
      <c r="AE41" s="63"/>
      <c r="AF41" s="78"/>
      <c r="AG41" s="76"/>
      <c r="AH41" s="67"/>
      <c r="AI41" s="79"/>
      <c r="AJ41" s="82"/>
      <c r="AK41" s="82"/>
    </row>
    <row r="42" spans="1:37" ht="18" x14ac:dyDescent="0.25">
      <c r="A42" s="69" t="s">
        <v>57</v>
      </c>
      <c r="B42" s="69"/>
      <c r="C42" s="69"/>
      <c r="D42" s="69"/>
      <c r="E42" s="71">
        <f>SUM(E10:E40)</f>
        <v>-2503323</v>
      </c>
      <c r="F42" s="69">
        <f>SUM(F10:F40)</f>
        <v>-913712.89500000002</v>
      </c>
      <c r="G42" s="62"/>
      <c r="H42" s="62"/>
      <c r="I42" s="62"/>
      <c r="J42" s="71">
        <f>SUM(J10:J40)</f>
        <v>-1529907</v>
      </c>
      <c r="K42" s="69">
        <f>SUM(K10:K40)</f>
        <v>-558416.05499999993</v>
      </c>
      <c r="L42" s="69"/>
      <c r="M42" s="69"/>
      <c r="N42" s="69"/>
      <c r="O42" s="71">
        <f>SUM(O10:O40)</f>
        <v>-653521</v>
      </c>
      <c r="P42" s="69">
        <f>SUM(P10:P40)</f>
        <v>-238535.16499999998</v>
      </c>
      <c r="Q42" s="71"/>
      <c r="R42" s="69"/>
      <c r="S42" s="69"/>
      <c r="T42" s="71">
        <f>SUM(T10:T40)</f>
        <v>-1928488</v>
      </c>
      <c r="U42" s="69">
        <f>SUM(U10:U40)</f>
        <v>-703898.12</v>
      </c>
      <c r="V42" s="71">
        <f>SUM(V10:V40)</f>
        <v>-6615239</v>
      </c>
      <c r="W42" s="70">
        <f>SUM(W10:W40)</f>
        <v>-2414562.2350000003</v>
      </c>
      <c r="X42" s="70">
        <f>X10</f>
        <v>49092.06</v>
      </c>
      <c r="Y42" s="45"/>
      <c r="Z42" s="72">
        <f>SUM(Z10:Z40)</f>
        <v>-78533</v>
      </c>
      <c r="AA42" s="45"/>
      <c r="AB42" s="72">
        <f>SUM(AB10:AB40)</f>
        <v>-13008</v>
      </c>
      <c r="AC42" s="45"/>
      <c r="AD42" s="72">
        <f>SUM(AD10:AD40)</f>
        <v>-118149</v>
      </c>
      <c r="AE42" s="72">
        <f>SUM(AE10:AE40)</f>
        <v>-209690</v>
      </c>
      <c r="AF42" s="70">
        <f>SUM(AF10:AF40)</f>
        <v>-362457.41123595502</v>
      </c>
      <c r="AG42" s="73"/>
      <c r="AH42" s="72">
        <f>SUM(AH10:AH40)</f>
        <v>-265876</v>
      </c>
      <c r="AI42" s="70">
        <f>SUM(AI10:AI40)</f>
        <v>-606197.27999999991</v>
      </c>
      <c r="AJ42" s="82"/>
      <c r="AK42" s="82"/>
    </row>
    <row r="43" spans="1:37" x14ac:dyDescent="0.2">
      <c r="B43" s="41"/>
      <c r="C43" s="41"/>
      <c r="D43" s="41"/>
      <c r="E43" s="41"/>
      <c r="F43" s="41"/>
      <c r="G43" s="41"/>
      <c r="H43" s="41"/>
      <c r="I43" s="41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1"/>
      <c r="Z43" s="41"/>
      <c r="AA43" s="41"/>
      <c r="AB43" s="41"/>
      <c r="AC43" s="41"/>
      <c r="AD43" s="41"/>
      <c r="AE43" s="41"/>
      <c r="AF43" s="42"/>
      <c r="AG43" s="42"/>
      <c r="AH43" s="41"/>
      <c r="AI43" s="40"/>
    </row>
    <row r="44" spans="1:37" ht="27" x14ac:dyDescent="0.35">
      <c r="A44" s="44" t="s">
        <v>78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0"/>
    </row>
  </sheetData>
  <mergeCells count="44">
    <mergeCell ref="A4:AH4"/>
    <mergeCell ref="A5:AH5"/>
    <mergeCell ref="AG7:AH7"/>
    <mergeCell ref="AC7:AD7"/>
    <mergeCell ref="Y7:Z7"/>
    <mergeCell ref="X10:X40"/>
    <mergeCell ref="D10:D40"/>
    <mergeCell ref="I10:I40"/>
    <mergeCell ref="N10:N40"/>
    <mergeCell ref="S10:S40"/>
    <mergeCell ref="A7:A9"/>
    <mergeCell ref="B8:B9"/>
    <mergeCell ref="E8:E9"/>
    <mergeCell ref="O8:O9"/>
    <mergeCell ref="C8:C9"/>
    <mergeCell ref="H8:H9"/>
    <mergeCell ref="M8:M9"/>
    <mergeCell ref="L8:L9"/>
    <mergeCell ref="B7:F7"/>
    <mergeCell ref="AB8:AB9"/>
    <mergeCell ref="G8:G9"/>
    <mergeCell ref="J8:J9"/>
    <mergeCell ref="Q7:U7"/>
    <mergeCell ref="Z8:Z9"/>
    <mergeCell ref="AA8:AA9"/>
    <mergeCell ref="Q8:Q9"/>
    <mergeCell ref="R8:R9"/>
    <mergeCell ref="T8:T9"/>
    <mergeCell ref="V7:V9"/>
    <mergeCell ref="AA7:AB7"/>
    <mergeCell ref="G7:K7"/>
    <mergeCell ref="L7:P7"/>
    <mergeCell ref="AJ7:AJ9"/>
    <mergeCell ref="AK7:AK9"/>
    <mergeCell ref="AF7:AF9"/>
    <mergeCell ref="AI7:AI9"/>
    <mergeCell ref="W7:W9"/>
    <mergeCell ref="X7:X9"/>
    <mergeCell ref="AC8:AC9"/>
    <mergeCell ref="Y8:Y9"/>
    <mergeCell ref="AE7:AE9"/>
    <mergeCell ref="AG8:AG9"/>
    <mergeCell ref="AH8:AH9"/>
    <mergeCell ref="AD8:AD9"/>
  </mergeCells>
  <pageMargins left="0.19685039370078741" right="0.19685039370078741" top="0.51181102362204722" bottom="0.23622047244094491" header="0.31496062992125984" footer="0.31496062992125984"/>
  <pageSetup paperSize="8" scale="34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38"/>
  <sheetViews>
    <sheetView topLeftCell="A7" workbookViewId="0">
      <selection activeCell="D10" sqref="D10"/>
    </sheetView>
  </sheetViews>
  <sheetFormatPr defaultRowHeight="12.75" x14ac:dyDescent="0.2"/>
  <cols>
    <col min="2" max="3" width="23.7109375" customWidth="1"/>
  </cols>
  <sheetData>
    <row r="1" spans="1:35" ht="20.25" x14ac:dyDescent="0.3">
      <c r="A1" s="95" t="s">
        <v>63</v>
      </c>
      <c r="B1" s="95"/>
      <c r="C1" s="95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</row>
    <row r="2" spans="1:35" ht="26.25" customHeight="1" x14ac:dyDescent="0.25">
      <c r="A2" s="96">
        <v>43920</v>
      </c>
      <c r="B2" s="96"/>
      <c r="C2" s="96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</row>
    <row r="3" spans="1:35" ht="26.25" customHeight="1" x14ac:dyDescent="0.25">
      <c r="A3" s="49"/>
      <c r="B3" s="47"/>
      <c r="C3" s="47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</row>
    <row r="4" spans="1:35" ht="42.75" customHeight="1" x14ac:dyDescent="0.2">
      <c r="A4" s="97" t="s">
        <v>59</v>
      </c>
      <c r="B4" s="100" t="s">
        <v>79</v>
      </c>
      <c r="C4" s="100"/>
    </row>
    <row r="5" spans="1:35" ht="12.75" customHeight="1" x14ac:dyDescent="0.2">
      <c r="A5" s="98"/>
      <c r="B5" s="101" t="s">
        <v>80</v>
      </c>
      <c r="C5" s="103" t="s">
        <v>81</v>
      </c>
    </row>
    <row r="6" spans="1:35" ht="25.5" customHeight="1" x14ac:dyDescent="0.2">
      <c r="A6" s="99"/>
      <c r="B6" s="102"/>
      <c r="C6" s="104"/>
    </row>
    <row r="7" spans="1:35" ht="18" x14ac:dyDescent="0.25">
      <c r="A7" s="50">
        <v>1</v>
      </c>
      <c r="B7" s="51">
        <v>16346</v>
      </c>
      <c r="C7" s="52">
        <f>B8-B7</f>
        <v>199</v>
      </c>
    </row>
    <row r="8" spans="1:35" ht="18" x14ac:dyDescent="0.25">
      <c r="A8" s="50">
        <v>2</v>
      </c>
      <c r="B8" s="53">
        <v>16545</v>
      </c>
      <c r="C8" s="52">
        <f t="shared" ref="C8:C32" si="0">B9-B8</f>
        <v>198</v>
      </c>
    </row>
    <row r="9" spans="1:35" ht="18" x14ac:dyDescent="0.25">
      <c r="A9" s="50">
        <v>3</v>
      </c>
      <c r="B9" s="53">
        <v>16743</v>
      </c>
      <c r="C9" s="52">
        <f t="shared" si="0"/>
        <v>240</v>
      </c>
    </row>
    <row r="10" spans="1:35" ht="18" x14ac:dyDescent="0.25">
      <c r="A10" s="50">
        <v>4</v>
      </c>
      <c r="B10" s="53">
        <v>16983</v>
      </c>
      <c r="C10" s="52">
        <f t="shared" si="0"/>
        <v>203</v>
      </c>
    </row>
    <row r="11" spans="1:35" ht="18" x14ac:dyDescent="0.25">
      <c r="A11" s="50">
        <v>5</v>
      </c>
      <c r="B11" s="53">
        <v>17186</v>
      </c>
      <c r="C11" s="52">
        <f t="shared" si="0"/>
        <v>230</v>
      </c>
    </row>
    <row r="12" spans="1:35" ht="18" x14ac:dyDescent="0.25">
      <c r="A12" s="54">
        <v>6</v>
      </c>
      <c r="B12" s="53">
        <v>17416</v>
      </c>
      <c r="C12" s="52">
        <f t="shared" si="0"/>
        <v>234</v>
      </c>
    </row>
    <row r="13" spans="1:35" ht="18" x14ac:dyDescent="0.25">
      <c r="A13" s="54">
        <v>7</v>
      </c>
      <c r="B13" s="53">
        <v>17650</v>
      </c>
      <c r="C13" s="52">
        <f t="shared" si="0"/>
        <v>112</v>
      </c>
    </row>
    <row r="14" spans="1:35" ht="18" x14ac:dyDescent="0.25">
      <c r="A14" s="54">
        <v>8</v>
      </c>
      <c r="B14" s="53">
        <v>17762</v>
      </c>
      <c r="C14" s="52">
        <f t="shared" si="0"/>
        <v>197</v>
      </c>
    </row>
    <row r="15" spans="1:35" ht="18" x14ac:dyDescent="0.25">
      <c r="A15" s="54">
        <v>9</v>
      </c>
      <c r="B15" s="53">
        <v>17959</v>
      </c>
      <c r="C15" s="52">
        <f t="shared" si="0"/>
        <v>181</v>
      </c>
    </row>
    <row r="16" spans="1:35" ht="18" x14ac:dyDescent="0.25">
      <c r="A16" s="55">
        <v>10</v>
      </c>
      <c r="B16" s="53">
        <v>18140</v>
      </c>
      <c r="C16" s="52">
        <f t="shared" si="0"/>
        <v>256</v>
      </c>
    </row>
    <row r="17" spans="1:3" ht="18" x14ac:dyDescent="0.25">
      <c r="A17" s="55">
        <v>11</v>
      </c>
      <c r="B17" s="53">
        <v>18396</v>
      </c>
      <c r="C17" s="52">
        <f t="shared" si="0"/>
        <v>113</v>
      </c>
    </row>
    <row r="18" spans="1:3" ht="18" x14ac:dyDescent="0.25">
      <c r="A18" s="55">
        <v>12</v>
      </c>
      <c r="B18" s="53">
        <v>18509</v>
      </c>
      <c r="C18" s="52">
        <f t="shared" si="0"/>
        <v>214</v>
      </c>
    </row>
    <row r="19" spans="1:3" ht="18" x14ac:dyDescent="0.25">
      <c r="A19" s="55">
        <v>13</v>
      </c>
      <c r="B19" s="53">
        <v>18723</v>
      </c>
      <c r="C19" s="52">
        <f t="shared" si="0"/>
        <v>86</v>
      </c>
    </row>
    <row r="20" spans="1:3" ht="18" x14ac:dyDescent="0.25">
      <c r="A20" s="55">
        <v>14</v>
      </c>
      <c r="B20" s="53">
        <v>18809</v>
      </c>
      <c r="C20" s="52">
        <f t="shared" si="0"/>
        <v>70</v>
      </c>
    </row>
    <row r="21" spans="1:3" ht="18" x14ac:dyDescent="0.25">
      <c r="A21" s="55">
        <v>15</v>
      </c>
      <c r="B21" s="56">
        <v>18879</v>
      </c>
      <c r="C21" s="52">
        <f t="shared" si="0"/>
        <v>83</v>
      </c>
    </row>
    <row r="22" spans="1:3" ht="18" x14ac:dyDescent="0.25">
      <c r="A22" s="55">
        <v>16</v>
      </c>
      <c r="B22" s="56">
        <v>18962</v>
      </c>
      <c r="C22" s="52">
        <f t="shared" si="0"/>
        <v>125</v>
      </c>
    </row>
    <row r="23" spans="1:3" ht="18" x14ac:dyDescent="0.25">
      <c r="A23" s="55">
        <v>17</v>
      </c>
      <c r="B23" s="56">
        <v>19087</v>
      </c>
      <c r="C23" s="52">
        <f t="shared" si="0"/>
        <v>75</v>
      </c>
    </row>
    <row r="24" spans="1:3" ht="18" x14ac:dyDescent="0.25">
      <c r="A24" s="55">
        <v>18</v>
      </c>
      <c r="B24" s="56">
        <v>19162</v>
      </c>
      <c r="C24" s="52">
        <f t="shared" si="0"/>
        <v>46</v>
      </c>
    </row>
    <row r="25" spans="1:3" ht="18" x14ac:dyDescent="0.25">
      <c r="A25" s="55">
        <v>19</v>
      </c>
      <c r="B25" s="56">
        <v>19208</v>
      </c>
      <c r="C25" s="52">
        <f t="shared" si="0"/>
        <v>41</v>
      </c>
    </row>
    <row r="26" spans="1:3" ht="18" x14ac:dyDescent="0.25">
      <c r="A26" s="55">
        <v>20</v>
      </c>
      <c r="B26" s="56">
        <v>19249</v>
      </c>
      <c r="C26" s="52">
        <f t="shared" si="0"/>
        <v>49</v>
      </c>
    </row>
    <row r="27" spans="1:3" ht="18" x14ac:dyDescent="0.25">
      <c r="A27" s="55">
        <v>21</v>
      </c>
      <c r="B27" s="56">
        <v>19298</v>
      </c>
      <c r="C27" s="52">
        <f t="shared" si="0"/>
        <v>45</v>
      </c>
    </row>
    <row r="28" spans="1:3" ht="18" x14ac:dyDescent="0.25">
      <c r="A28" s="55">
        <v>22</v>
      </c>
      <c r="B28" s="56">
        <v>19343</v>
      </c>
      <c r="C28" s="52">
        <f t="shared" si="0"/>
        <v>10</v>
      </c>
    </row>
    <row r="29" spans="1:3" ht="18" x14ac:dyDescent="0.25">
      <c r="A29" s="55">
        <v>23</v>
      </c>
      <c r="B29" s="56">
        <v>19353</v>
      </c>
      <c r="C29" s="52">
        <f t="shared" si="0"/>
        <v>10</v>
      </c>
    </row>
    <row r="30" spans="1:3" ht="18" x14ac:dyDescent="0.25">
      <c r="A30" s="55">
        <v>24</v>
      </c>
      <c r="B30" s="56">
        <v>19363</v>
      </c>
      <c r="C30" s="52">
        <f t="shared" si="0"/>
        <v>9</v>
      </c>
    </row>
    <row r="31" spans="1:3" ht="18" x14ac:dyDescent="0.25">
      <c r="A31" s="55">
        <v>25</v>
      </c>
      <c r="B31" s="56">
        <v>19372</v>
      </c>
      <c r="C31" s="52">
        <f t="shared" si="0"/>
        <v>19</v>
      </c>
    </row>
    <row r="32" spans="1:3" ht="18" x14ac:dyDescent="0.25">
      <c r="A32" s="55">
        <v>26</v>
      </c>
      <c r="B32" s="56">
        <v>19391</v>
      </c>
      <c r="C32" s="52">
        <f t="shared" si="0"/>
        <v>-19391</v>
      </c>
    </row>
    <row r="33" spans="1:3" ht="18" x14ac:dyDescent="0.25">
      <c r="A33" s="55">
        <v>27</v>
      </c>
      <c r="B33" s="57"/>
      <c r="C33" s="52" t="e">
        <f>#REF!-B33</f>
        <v>#REF!</v>
      </c>
    </row>
    <row r="34" spans="1:3" ht="18" x14ac:dyDescent="0.25">
      <c r="A34" s="55">
        <v>28</v>
      </c>
      <c r="B34" s="57"/>
      <c r="C34" s="52" t="e">
        <f>#REF!-B34</f>
        <v>#REF!</v>
      </c>
    </row>
    <row r="35" spans="1:3" ht="18" x14ac:dyDescent="0.25">
      <c r="A35" s="55">
        <v>29</v>
      </c>
      <c r="B35" s="57"/>
      <c r="C35" s="52" t="e">
        <f>#REF!-B35</f>
        <v>#REF!</v>
      </c>
    </row>
    <row r="36" spans="1:3" ht="18" x14ac:dyDescent="0.25">
      <c r="A36" s="55">
        <v>30</v>
      </c>
      <c r="B36" s="57"/>
      <c r="C36" s="52"/>
    </row>
    <row r="37" spans="1:3" ht="18" x14ac:dyDescent="0.25">
      <c r="A37" s="55">
        <v>31</v>
      </c>
      <c r="B37" s="58"/>
      <c r="C37" s="52"/>
    </row>
    <row r="38" spans="1:3" ht="18" x14ac:dyDescent="0.25">
      <c r="A38" s="59"/>
      <c r="B38" s="58"/>
      <c r="C38" s="52" t="e">
        <f>SUM(C7:C37)</f>
        <v>#REF!</v>
      </c>
    </row>
  </sheetData>
  <mergeCells count="6">
    <mergeCell ref="A1:C1"/>
    <mergeCell ref="A2:C2"/>
    <mergeCell ref="A4:A6"/>
    <mergeCell ref="B4:C4"/>
    <mergeCell ref="B5:B6"/>
    <mergeCell ref="C5:C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3">
    <tabColor theme="5" tint="-0.249977111117893"/>
    <pageSetUpPr fitToPage="1"/>
  </sheetPr>
  <dimension ref="A1:M156"/>
  <sheetViews>
    <sheetView zoomScaleNormal="100" workbookViewId="0">
      <selection activeCell="D16" sqref="D16"/>
    </sheetView>
  </sheetViews>
  <sheetFormatPr defaultRowHeight="12.75" x14ac:dyDescent="0.2"/>
  <cols>
    <col min="1" max="1" width="3.140625" style="12" customWidth="1"/>
    <col min="2" max="2" width="17.28515625" customWidth="1"/>
    <col min="3" max="3" width="44.28515625" customWidth="1"/>
    <col min="4" max="4" width="14" customWidth="1"/>
    <col min="5" max="5" width="21.85546875" customWidth="1"/>
    <col min="6" max="6" width="23.28515625" bestFit="1" customWidth="1"/>
    <col min="7" max="7" width="12.140625" bestFit="1" customWidth="1"/>
    <col min="8" max="8" width="21.7109375" bestFit="1" customWidth="1"/>
    <col min="9" max="9" width="18" customWidth="1"/>
    <col min="10" max="10" width="18.7109375" hidden="1" customWidth="1"/>
    <col min="11" max="11" width="19" hidden="1" customWidth="1"/>
    <col min="12" max="12" width="23.85546875" hidden="1" customWidth="1"/>
    <col min="13" max="13" width="18.7109375" bestFit="1" customWidth="1"/>
    <col min="14" max="14" width="19.28515625" bestFit="1" customWidth="1"/>
  </cols>
  <sheetData>
    <row r="1" spans="1:13" ht="24.75" customHeight="1" x14ac:dyDescent="0.4">
      <c r="D1" s="105"/>
      <c r="E1" s="105"/>
      <c r="F1" s="105"/>
    </row>
    <row r="2" spans="1:13" ht="41.25" customHeight="1" x14ac:dyDescent="0.4">
      <c r="D2" s="105" t="s">
        <v>64</v>
      </c>
      <c r="E2" s="105"/>
      <c r="F2" s="105"/>
    </row>
    <row r="3" spans="1:13" ht="15.75" x14ac:dyDescent="0.25">
      <c r="B3" s="9" t="s">
        <v>21</v>
      </c>
      <c r="C3" s="3" t="s">
        <v>65</v>
      </c>
      <c r="D3" s="14"/>
    </row>
    <row r="4" spans="1:13" ht="15" x14ac:dyDescent="0.25">
      <c r="B4" s="10" t="s">
        <v>23</v>
      </c>
      <c r="C4" s="33">
        <v>43312</v>
      </c>
      <c r="D4" t="s">
        <v>56</v>
      </c>
      <c r="I4" s="39">
        <f>DAY(C4)</f>
        <v>31</v>
      </c>
      <c r="M4" t="s">
        <v>62</v>
      </c>
    </row>
    <row r="5" spans="1:13" ht="15" x14ac:dyDescent="0.25">
      <c r="B5" s="10" t="s">
        <v>24</v>
      </c>
      <c r="C5" s="32">
        <v>2018007</v>
      </c>
    </row>
    <row r="6" spans="1:13" ht="16.5" thickBot="1" x14ac:dyDescent="0.3">
      <c r="B6" s="9" t="s">
        <v>20</v>
      </c>
      <c r="C6" s="1" t="s">
        <v>66</v>
      </c>
      <c r="D6" s="11"/>
      <c r="E6" s="3"/>
      <c r="F6" s="2"/>
      <c r="G6" s="2"/>
      <c r="H6" s="2"/>
      <c r="I6" s="2"/>
      <c r="M6" s="38"/>
    </row>
    <row r="7" spans="1:13" ht="15.75" thickTop="1" x14ac:dyDescent="0.25">
      <c r="B7" s="10" t="s">
        <v>22</v>
      </c>
      <c r="C7" s="4" t="s">
        <v>58</v>
      </c>
      <c r="D7" s="106"/>
      <c r="E7" s="3"/>
      <c r="F7" s="1"/>
      <c r="G7" s="1"/>
      <c r="H7" s="1"/>
      <c r="I7" s="1"/>
    </row>
    <row r="8" spans="1:13" ht="15.75" thickBot="1" x14ac:dyDescent="0.3">
      <c r="A8" s="12">
        <v>1</v>
      </c>
      <c r="B8" s="10" t="s">
        <v>34</v>
      </c>
      <c r="C8" s="1" t="s">
        <v>67</v>
      </c>
      <c r="D8" s="107"/>
      <c r="E8" s="4"/>
      <c r="F8" s="28"/>
      <c r="G8" s="1"/>
      <c r="H8" s="1"/>
      <c r="I8" s="1"/>
    </row>
    <row r="9" spans="1:13" ht="13.5" thickTop="1" x14ac:dyDescent="0.2">
      <c r="B9" s="8"/>
      <c r="C9" s="8"/>
      <c r="D9" s="8"/>
      <c r="E9" s="8"/>
    </row>
    <row r="12" spans="1:13" s="6" customFormat="1" x14ac:dyDescent="0.2">
      <c r="A12" s="12"/>
      <c r="B12" s="7" t="s">
        <v>25</v>
      </c>
      <c r="C12" s="7" t="s">
        <v>26</v>
      </c>
      <c r="D12" s="7" t="s">
        <v>17</v>
      </c>
      <c r="E12" s="7" t="s">
        <v>8</v>
      </c>
      <c r="F12" s="7" t="s">
        <v>9</v>
      </c>
      <c r="G12" s="7" t="s">
        <v>10</v>
      </c>
      <c r="H12" s="7" t="s">
        <v>11</v>
      </c>
      <c r="I12" s="7" t="s">
        <v>12</v>
      </c>
      <c r="J12" s="7"/>
      <c r="K12" s="7"/>
      <c r="L12" s="7"/>
      <c r="M12" s="7" t="s">
        <v>13</v>
      </c>
    </row>
    <row r="13" spans="1:13" ht="15" x14ac:dyDescent="0.25">
      <c r="A13" s="29">
        <v>2</v>
      </c>
      <c r="B13" s="19">
        <v>30701</v>
      </c>
      <c r="C13" s="36" t="e">
        <f ca="1">AG_DTLK("0,2,SS5,CA,F={P}1,K=DbC,F=&lt;ALL&gt;,K=/CA/AccTyp,F={P}2,K=/CA/Cde,E=0,O=/CA/Nme,",'JV Electricity'!C13,C$3,$B13)</f>
        <v>#NAME?</v>
      </c>
      <c r="D13" s="18" t="e">
        <f>+Data!#REF!</f>
        <v>#REF!</v>
      </c>
      <c r="E13" s="19">
        <v>5300</v>
      </c>
      <c r="F13" s="19">
        <v>900</v>
      </c>
      <c r="G13" s="30">
        <v>800</v>
      </c>
      <c r="H13" s="30">
        <v>850</v>
      </c>
      <c r="I13" s="37">
        <f>+I4</f>
        <v>31</v>
      </c>
      <c r="J13" s="13"/>
      <c r="K13" s="13"/>
      <c r="L13" s="13"/>
      <c r="M13" s="13"/>
    </row>
    <row r="14" spans="1:13" ht="15" x14ac:dyDescent="0.25">
      <c r="A14" s="29">
        <v>2</v>
      </c>
      <c r="B14" s="19">
        <v>30702</v>
      </c>
      <c r="C14" s="36" t="e">
        <f ca="1">AG_DTLK("0,2,SS5,CA,F={P}1,K=DbC,F=&lt;ALL&gt;,K=/CA/AccTyp,F={P}2,K=/CA/Cde,E=0,O=/CA/Nme,",'JV Electricity'!C14,C$3,$B14)</f>
        <v>#NAME?</v>
      </c>
      <c r="D14" s="18">
        <f>+Data!AE42</f>
        <v>-209690</v>
      </c>
      <c r="E14" s="19">
        <v>5300</v>
      </c>
      <c r="F14" s="19">
        <v>900</v>
      </c>
      <c r="G14" s="30">
        <v>800</v>
      </c>
      <c r="H14" s="30">
        <v>850</v>
      </c>
      <c r="I14" s="37">
        <f>+I13</f>
        <v>31</v>
      </c>
      <c r="J14" s="13"/>
      <c r="K14" s="13"/>
      <c r="L14" s="13"/>
      <c r="M14" s="13"/>
    </row>
    <row r="15" spans="1:13" ht="15" x14ac:dyDescent="0.25">
      <c r="A15" s="29">
        <v>2</v>
      </c>
      <c r="B15" s="19">
        <v>30705</v>
      </c>
      <c r="C15" s="36" t="e">
        <f ca="1">AG_DTLK("0,2,SS5,CA,F={P}1,K=DbC,F=&lt;ALL&gt;,K=/CA/AccTyp,F={P}2,K=/CA/Cde,E=0,O=/CA/Nme,",'JV Electricity'!C15,C$3,$B15)</f>
        <v>#NAME?</v>
      </c>
      <c r="D15" s="18">
        <f>+Data!AH42</f>
        <v>-265876</v>
      </c>
      <c r="E15" s="19">
        <v>5300</v>
      </c>
      <c r="F15" s="19">
        <v>900</v>
      </c>
      <c r="G15" s="30">
        <v>800</v>
      </c>
      <c r="H15" s="30">
        <v>850</v>
      </c>
      <c r="I15" s="37">
        <f>+I14</f>
        <v>31</v>
      </c>
      <c r="J15" s="13"/>
      <c r="K15" s="13"/>
      <c r="L15" s="13"/>
      <c r="M15" s="13"/>
    </row>
    <row r="16" spans="1:13" ht="15" x14ac:dyDescent="0.25">
      <c r="A16" s="29"/>
      <c r="B16" s="19"/>
      <c r="C16" s="36"/>
      <c r="D16" s="34"/>
      <c r="E16" s="19"/>
      <c r="F16" s="19"/>
      <c r="G16" s="30"/>
      <c r="H16" s="30"/>
      <c r="I16" s="31"/>
      <c r="J16" s="13"/>
      <c r="K16" s="13"/>
      <c r="L16" s="13"/>
      <c r="M16" s="13"/>
    </row>
    <row r="17" spans="1:9" ht="15" x14ac:dyDescent="0.25">
      <c r="A17" s="29"/>
      <c r="B17" s="19"/>
      <c r="C17" s="36"/>
      <c r="D17" s="34"/>
      <c r="E17" s="19"/>
      <c r="F17" s="19"/>
      <c r="G17" s="30"/>
      <c r="H17" s="30"/>
      <c r="I17" s="31"/>
    </row>
    <row r="18" spans="1:9" ht="15" x14ac:dyDescent="0.25">
      <c r="A18" s="29"/>
      <c r="B18" s="19"/>
      <c r="C18" s="36"/>
      <c r="D18" s="34"/>
      <c r="E18" s="19"/>
      <c r="F18" s="19"/>
      <c r="G18" s="30"/>
      <c r="H18" s="30"/>
      <c r="I18" s="31"/>
    </row>
    <row r="19" spans="1:9" ht="13.5" thickBot="1" x14ac:dyDescent="0.25">
      <c r="B19" s="15"/>
      <c r="C19" s="16"/>
      <c r="D19" s="35"/>
      <c r="E19" s="14"/>
    </row>
    <row r="20" spans="1:9" ht="17.25" thickTop="1" thickBot="1" x14ac:dyDescent="0.3">
      <c r="B20" s="22" t="s">
        <v>52</v>
      </c>
      <c r="C20" s="23" t="s">
        <v>53</v>
      </c>
      <c r="D20" s="23" t="s">
        <v>54</v>
      </c>
      <c r="E20" s="14"/>
    </row>
    <row r="21" spans="1:9" ht="16.5" thickTop="1" x14ac:dyDescent="0.25">
      <c r="B21" s="24" t="s">
        <v>68</v>
      </c>
      <c r="C21" s="24" t="s">
        <v>55</v>
      </c>
      <c r="D21" s="25"/>
      <c r="E21" s="14"/>
    </row>
    <row r="22" spans="1:9" ht="15.75" x14ac:dyDescent="0.25">
      <c r="B22" s="26"/>
      <c r="C22" s="27"/>
      <c r="D22" s="27"/>
      <c r="E22" s="14"/>
    </row>
    <row r="23" spans="1:9" ht="15.75" x14ac:dyDescent="0.25">
      <c r="B23" s="26"/>
      <c r="C23" s="27"/>
      <c r="D23" s="27"/>
      <c r="E23" s="14"/>
    </row>
    <row r="24" spans="1:9" ht="15.75" x14ac:dyDescent="0.25">
      <c r="B24" s="26"/>
      <c r="C24" s="27"/>
      <c r="D24" s="27"/>
      <c r="E24" s="14"/>
    </row>
    <row r="25" spans="1:9" ht="15.75" x14ac:dyDescent="0.25">
      <c r="B25" s="20"/>
      <c r="C25" s="21"/>
      <c r="D25" s="21"/>
      <c r="E25" s="14"/>
    </row>
    <row r="26" spans="1:9" x14ac:dyDescent="0.2">
      <c r="B26" s="15"/>
      <c r="C26" s="16"/>
      <c r="D26" s="17"/>
      <c r="E26" s="14"/>
    </row>
    <row r="27" spans="1:9" x14ac:dyDescent="0.2">
      <c r="B27" s="15"/>
      <c r="C27" s="16"/>
      <c r="D27" s="17"/>
      <c r="E27" s="14"/>
    </row>
    <row r="28" spans="1:9" x14ac:dyDescent="0.2">
      <c r="B28" s="15"/>
      <c r="C28" s="16"/>
      <c r="D28" s="17"/>
      <c r="E28" s="14"/>
    </row>
    <row r="29" spans="1:9" x14ac:dyDescent="0.2">
      <c r="B29" s="15"/>
      <c r="C29" s="16"/>
      <c r="D29" s="17"/>
      <c r="E29" s="14"/>
    </row>
    <row r="30" spans="1:9" x14ac:dyDescent="0.2">
      <c r="B30" s="15"/>
      <c r="C30" s="16"/>
      <c r="D30" s="17"/>
      <c r="E30" s="14"/>
    </row>
    <row r="31" spans="1:9" x14ac:dyDescent="0.2">
      <c r="B31" s="15"/>
      <c r="C31" s="16"/>
      <c r="D31" s="17"/>
      <c r="E31" s="14"/>
    </row>
    <row r="32" spans="1:9" x14ac:dyDescent="0.2">
      <c r="B32" s="15"/>
      <c r="C32" s="16"/>
      <c r="D32" s="17"/>
      <c r="E32" s="14"/>
    </row>
    <row r="33" spans="2:5" x14ac:dyDescent="0.2">
      <c r="B33" s="15"/>
      <c r="C33" s="16"/>
      <c r="D33" s="17"/>
      <c r="E33" s="14"/>
    </row>
    <row r="34" spans="2:5" x14ac:dyDescent="0.2">
      <c r="B34" s="15"/>
      <c r="C34" s="16"/>
      <c r="D34" s="17"/>
      <c r="E34" s="14"/>
    </row>
    <row r="35" spans="2:5" x14ac:dyDescent="0.2">
      <c r="B35" s="15"/>
      <c r="C35" s="16"/>
      <c r="D35" s="17"/>
      <c r="E35" s="14"/>
    </row>
    <row r="36" spans="2:5" x14ac:dyDescent="0.2">
      <c r="B36" s="15"/>
      <c r="C36" s="16"/>
      <c r="D36" s="17"/>
      <c r="E36" s="14"/>
    </row>
    <row r="37" spans="2:5" x14ac:dyDescent="0.2">
      <c r="B37" s="15"/>
      <c r="C37" s="16"/>
      <c r="D37" s="17"/>
      <c r="E37" s="14"/>
    </row>
    <row r="38" spans="2:5" x14ac:dyDescent="0.2">
      <c r="B38" s="15"/>
      <c r="C38" s="16"/>
      <c r="D38" s="14"/>
      <c r="E38" s="14"/>
    </row>
    <row r="39" spans="2:5" x14ac:dyDescent="0.2">
      <c r="B39" s="15"/>
      <c r="C39" s="16"/>
      <c r="D39" s="14"/>
      <c r="E39" s="14"/>
    </row>
    <row r="40" spans="2:5" x14ac:dyDescent="0.2">
      <c r="B40" s="15"/>
      <c r="C40" s="16"/>
      <c r="D40" s="14"/>
      <c r="E40" s="14"/>
    </row>
    <row r="41" spans="2:5" x14ac:dyDescent="0.2">
      <c r="B41" s="15"/>
      <c r="C41" s="16"/>
      <c r="D41" s="14"/>
      <c r="E41" s="14"/>
    </row>
    <row r="42" spans="2:5" x14ac:dyDescent="0.2">
      <c r="B42" s="15"/>
      <c r="C42" s="16"/>
      <c r="D42" s="14"/>
      <c r="E42" s="14"/>
    </row>
    <row r="43" spans="2:5" x14ac:dyDescent="0.2">
      <c r="B43" s="15"/>
      <c r="C43" s="16"/>
      <c r="D43" s="14"/>
      <c r="E43" s="14"/>
    </row>
    <row r="44" spans="2:5" x14ac:dyDescent="0.2">
      <c r="B44" s="15"/>
      <c r="C44" s="16"/>
      <c r="D44" s="14"/>
      <c r="E44" s="14"/>
    </row>
    <row r="45" spans="2:5" x14ac:dyDescent="0.2">
      <c r="B45" s="15"/>
      <c r="C45" s="16"/>
      <c r="D45" s="14"/>
      <c r="E45" s="14"/>
    </row>
    <row r="46" spans="2:5" x14ac:dyDescent="0.2">
      <c r="B46" s="15"/>
      <c r="C46" s="16"/>
      <c r="D46" s="14"/>
      <c r="E46" s="14"/>
    </row>
    <row r="47" spans="2:5" x14ac:dyDescent="0.2">
      <c r="B47" s="15"/>
      <c r="C47" s="16"/>
      <c r="D47" s="14"/>
      <c r="E47" s="14"/>
    </row>
    <row r="48" spans="2:5" x14ac:dyDescent="0.2">
      <c r="B48" s="15"/>
      <c r="C48" s="16"/>
      <c r="D48" s="14"/>
      <c r="E48" s="14"/>
    </row>
    <row r="49" spans="2:5" x14ac:dyDescent="0.2">
      <c r="B49" s="15"/>
      <c r="C49" s="16"/>
      <c r="D49" s="14"/>
      <c r="E49" s="14"/>
    </row>
    <row r="50" spans="2:5" x14ac:dyDescent="0.2">
      <c r="B50" s="15"/>
      <c r="C50" s="16"/>
      <c r="D50" s="14"/>
      <c r="E50" s="14"/>
    </row>
    <row r="51" spans="2:5" x14ac:dyDescent="0.2">
      <c r="B51" s="15"/>
      <c r="C51" s="16"/>
      <c r="D51" s="14"/>
      <c r="E51" s="14"/>
    </row>
    <row r="52" spans="2:5" x14ac:dyDescent="0.2">
      <c r="B52" s="15"/>
      <c r="C52" s="16"/>
      <c r="D52" s="14"/>
      <c r="E52" s="14"/>
    </row>
    <row r="53" spans="2:5" x14ac:dyDescent="0.2">
      <c r="B53" s="15"/>
      <c r="C53" s="16"/>
      <c r="D53" s="14"/>
      <c r="E53" s="14"/>
    </row>
    <row r="54" spans="2:5" x14ac:dyDescent="0.2">
      <c r="B54" s="15"/>
      <c r="C54" s="16"/>
      <c r="D54" s="14"/>
      <c r="E54" s="14"/>
    </row>
    <row r="55" spans="2:5" x14ac:dyDescent="0.2">
      <c r="B55" s="15"/>
      <c r="C55" s="16"/>
      <c r="D55" s="14"/>
      <c r="E55" s="14"/>
    </row>
    <row r="56" spans="2:5" x14ac:dyDescent="0.2">
      <c r="B56" s="15"/>
      <c r="C56" s="16"/>
      <c r="D56" s="14"/>
      <c r="E56" s="14"/>
    </row>
    <row r="57" spans="2:5" x14ac:dyDescent="0.2">
      <c r="B57" s="15"/>
      <c r="C57" s="16"/>
      <c r="D57" s="14"/>
      <c r="E57" s="14"/>
    </row>
    <row r="58" spans="2:5" x14ac:dyDescent="0.2">
      <c r="B58" s="15"/>
      <c r="C58" s="16"/>
      <c r="D58" s="14"/>
      <c r="E58" s="14"/>
    </row>
    <row r="59" spans="2:5" x14ac:dyDescent="0.2">
      <c r="B59" s="15"/>
      <c r="C59" s="16"/>
      <c r="D59" s="14"/>
      <c r="E59" s="14"/>
    </row>
    <row r="60" spans="2:5" x14ac:dyDescent="0.2">
      <c r="B60" s="15"/>
      <c r="C60" s="16"/>
      <c r="D60" s="14"/>
      <c r="E60" s="14"/>
    </row>
    <row r="61" spans="2:5" x14ac:dyDescent="0.2">
      <c r="B61" s="15"/>
      <c r="C61" s="16"/>
      <c r="D61" s="14"/>
      <c r="E61" s="14"/>
    </row>
    <row r="62" spans="2:5" x14ac:dyDescent="0.2">
      <c r="B62" s="15"/>
      <c r="C62" s="16"/>
      <c r="D62" s="14"/>
      <c r="E62" s="14"/>
    </row>
    <row r="63" spans="2:5" x14ac:dyDescent="0.2">
      <c r="C63" s="14"/>
      <c r="D63" s="14"/>
      <c r="E63" s="14"/>
    </row>
    <row r="64" spans="2:5" x14ac:dyDescent="0.2">
      <c r="C64" s="14"/>
      <c r="D64" s="14"/>
      <c r="E64" s="14"/>
    </row>
    <row r="65" spans="3:5" x14ac:dyDescent="0.2">
      <c r="C65" s="14"/>
      <c r="D65" s="14"/>
      <c r="E65" s="14"/>
    </row>
    <row r="66" spans="3:5" x14ac:dyDescent="0.2">
      <c r="C66" s="14"/>
      <c r="D66" s="14"/>
      <c r="E66" s="14"/>
    </row>
    <row r="67" spans="3:5" x14ac:dyDescent="0.2">
      <c r="C67" s="14"/>
      <c r="D67" s="14"/>
      <c r="E67" s="14"/>
    </row>
    <row r="68" spans="3:5" x14ac:dyDescent="0.2">
      <c r="C68" s="14"/>
      <c r="D68" s="14"/>
      <c r="E68" s="14"/>
    </row>
    <row r="69" spans="3:5" x14ac:dyDescent="0.2">
      <c r="C69" s="14"/>
      <c r="D69" s="14"/>
      <c r="E69" s="14"/>
    </row>
    <row r="70" spans="3:5" x14ac:dyDescent="0.2">
      <c r="C70" s="14"/>
      <c r="D70" s="14"/>
      <c r="E70" s="14"/>
    </row>
    <row r="71" spans="3:5" x14ac:dyDescent="0.2">
      <c r="C71" s="14"/>
      <c r="D71" s="14"/>
      <c r="E71" s="14"/>
    </row>
    <row r="72" spans="3:5" x14ac:dyDescent="0.2">
      <c r="C72" s="14"/>
      <c r="D72" s="14"/>
      <c r="E72" s="14"/>
    </row>
    <row r="73" spans="3:5" x14ac:dyDescent="0.2">
      <c r="C73" s="14"/>
      <c r="D73" s="14"/>
      <c r="E73" s="14"/>
    </row>
    <row r="74" spans="3:5" x14ac:dyDescent="0.2">
      <c r="C74" s="14"/>
      <c r="D74" s="14"/>
      <c r="E74" s="14"/>
    </row>
    <row r="75" spans="3:5" x14ac:dyDescent="0.2">
      <c r="C75" s="14"/>
      <c r="D75" s="14"/>
      <c r="E75" s="14"/>
    </row>
    <row r="76" spans="3:5" x14ac:dyDescent="0.2">
      <c r="C76" s="14"/>
      <c r="D76" s="14"/>
      <c r="E76" s="14"/>
    </row>
    <row r="77" spans="3:5" x14ac:dyDescent="0.2">
      <c r="C77" s="14"/>
      <c r="D77" s="14"/>
      <c r="E77" s="14"/>
    </row>
    <row r="78" spans="3:5" x14ac:dyDescent="0.2">
      <c r="C78" s="14"/>
      <c r="D78" s="14"/>
      <c r="E78" s="14"/>
    </row>
    <row r="79" spans="3:5" x14ac:dyDescent="0.2">
      <c r="C79" s="14"/>
      <c r="D79" s="14"/>
      <c r="E79" s="14"/>
    </row>
    <row r="80" spans="3:5" x14ac:dyDescent="0.2">
      <c r="C80" s="14"/>
      <c r="D80" s="14"/>
      <c r="E80" s="14"/>
    </row>
    <row r="81" spans="3:5" x14ac:dyDescent="0.2">
      <c r="C81" s="14"/>
      <c r="D81" s="14"/>
      <c r="E81" s="14"/>
    </row>
    <row r="82" spans="3:5" x14ac:dyDescent="0.2">
      <c r="C82" s="14"/>
      <c r="D82" s="14"/>
      <c r="E82" s="14"/>
    </row>
    <row r="83" spans="3:5" x14ac:dyDescent="0.2">
      <c r="C83" s="14"/>
      <c r="D83" s="14"/>
      <c r="E83" s="14"/>
    </row>
    <row r="84" spans="3:5" x14ac:dyDescent="0.2">
      <c r="C84" s="14"/>
      <c r="D84" s="14"/>
      <c r="E84" s="14"/>
    </row>
    <row r="85" spans="3:5" x14ac:dyDescent="0.2">
      <c r="C85" s="14"/>
      <c r="D85" s="14"/>
      <c r="E85" s="14"/>
    </row>
    <row r="86" spans="3:5" x14ac:dyDescent="0.2">
      <c r="C86" s="14"/>
      <c r="D86" s="14"/>
      <c r="E86" s="14"/>
    </row>
    <row r="87" spans="3:5" x14ac:dyDescent="0.2">
      <c r="C87" s="14"/>
      <c r="D87" s="14"/>
      <c r="E87" s="14"/>
    </row>
    <row r="88" spans="3:5" x14ac:dyDescent="0.2">
      <c r="C88" s="14"/>
      <c r="D88" s="14"/>
      <c r="E88" s="14"/>
    </row>
    <row r="89" spans="3:5" x14ac:dyDescent="0.2">
      <c r="C89" s="14"/>
      <c r="D89" s="14"/>
      <c r="E89" s="14"/>
    </row>
    <row r="90" spans="3:5" x14ac:dyDescent="0.2">
      <c r="C90" s="14"/>
      <c r="D90" s="14"/>
      <c r="E90" s="14"/>
    </row>
    <row r="91" spans="3:5" x14ac:dyDescent="0.2">
      <c r="C91" s="14"/>
      <c r="D91" s="14"/>
      <c r="E91" s="14"/>
    </row>
    <row r="92" spans="3:5" x14ac:dyDescent="0.2">
      <c r="C92" s="14"/>
      <c r="D92" s="14"/>
      <c r="E92" s="14"/>
    </row>
    <row r="93" spans="3:5" x14ac:dyDescent="0.2">
      <c r="C93" s="14"/>
      <c r="D93" s="14"/>
      <c r="E93" s="14"/>
    </row>
    <row r="94" spans="3:5" x14ac:dyDescent="0.2">
      <c r="C94" s="14"/>
      <c r="D94" s="14"/>
      <c r="E94" s="14"/>
    </row>
    <row r="95" spans="3:5" x14ac:dyDescent="0.2">
      <c r="C95" s="14"/>
      <c r="D95" s="14"/>
      <c r="E95" s="14"/>
    </row>
    <row r="96" spans="3:5" x14ac:dyDescent="0.2">
      <c r="C96" s="14"/>
      <c r="D96" s="14"/>
      <c r="E96" s="14"/>
    </row>
    <row r="97" spans="3:5" x14ac:dyDescent="0.2">
      <c r="C97" s="14"/>
      <c r="D97" s="14"/>
      <c r="E97" s="14"/>
    </row>
    <row r="98" spans="3:5" x14ac:dyDescent="0.2">
      <c r="C98" s="14"/>
      <c r="D98" s="14"/>
      <c r="E98" s="14"/>
    </row>
    <row r="99" spans="3:5" x14ac:dyDescent="0.2">
      <c r="C99" s="14"/>
      <c r="D99" s="14"/>
      <c r="E99" s="14"/>
    </row>
    <row r="100" spans="3:5" x14ac:dyDescent="0.2">
      <c r="C100" s="14"/>
      <c r="D100" s="14"/>
      <c r="E100" s="14"/>
    </row>
    <row r="101" spans="3:5" x14ac:dyDescent="0.2">
      <c r="C101" s="14"/>
      <c r="D101" s="14"/>
      <c r="E101" s="14"/>
    </row>
    <row r="102" spans="3:5" x14ac:dyDescent="0.2">
      <c r="C102" s="14"/>
      <c r="D102" s="14"/>
      <c r="E102" s="14"/>
    </row>
    <row r="103" spans="3:5" x14ac:dyDescent="0.2">
      <c r="C103" s="14"/>
      <c r="D103" s="14"/>
      <c r="E103" s="14"/>
    </row>
    <row r="104" spans="3:5" x14ac:dyDescent="0.2">
      <c r="C104" s="14"/>
      <c r="D104" s="14"/>
      <c r="E104" s="14"/>
    </row>
    <row r="105" spans="3:5" x14ac:dyDescent="0.2">
      <c r="C105" s="14"/>
      <c r="D105" s="14"/>
      <c r="E105" s="14"/>
    </row>
    <row r="106" spans="3:5" x14ac:dyDescent="0.2">
      <c r="C106" s="14"/>
      <c r="D106" s="14"/>
      <c r="E106" s="14"/>
    </row>
    <row r="107" spans="3:5" x14ac:dyDescent="0.2">
      <c r="C107" s="14"/>
      <c r="D107" s="14"/>
      <c r="E107" s="14"/>
    </row>
    <row r="108" spans="3:5" x14ac:dyDescent="0.2">
      <c r="C108" s="14"/>
      <c r="D108" s="14"/>
      <c r="E108" s="14"/>
    </row>
    <row r="109" spans="3:5" x14ac:dyDescent="0.2">
      <c r="C109" s="14"/>
      <c r="D109" s="14"/>
      <c r="E109" s="14"/>
    </row>
    <row r="110" spans="3:5" x14ac:dyDescent="0.2">
      <c r="C110" s="14"/>
      <c r="D110" s="14"/>
      <c r="E110" s="14"/>
    </row>
    <row r="111" spans="3:5" x14ac:dyDescent="0.2">
      <c r="C111" s="14"/>
      <c r="D111" s="14"/>
      <c r="E111" s="14"/>
    </row>
    <row r="112" spans="3:5" x14ac:dyDescent="0.2">
      <c r="C112" s="14"/>
      <c r="D112" s="14"/>
      <c r="E112" s="14"/>
    </row>
    <row r="113" spans="3:5" x14ac:dyDescent="0.2">
      <c r="C113" s="14"/>
      <c r="D113" s="14"/>
      <c r="E113" s="14"/>
    </row>
    <row r="114" spans="3:5" x14ac:dyDescent="0.2">
      <c r="C114" s="14"/>
      <c r="D114" s="14"/>
      <c r="E114" s="14"/>
    </row>
    <row r="115" spans="3:5" x14ac:dyDescent="0.2">
      <c r="C115" s="14"/>
      <c r="D115" s="14"/>
      <c r="E115" s="14"/>
    </row>
    <row r="116" spans="3:5" x14ac:dyDescent="0.2">
      <c r="C116" s="14"/>
      <c r="D116" s="14"/>
      <c r="E116" s="14"/>
    </row>
    <row r="117" spans="3:5" x14ac:dyDescent="0.2">
      <c r="C117" s="14"/>
      <c r="D117" s="14"/>
      <c r="E117" s="14"/>
    </row>
    <row r="118" spans="3:5" x14ac:dyDescent="0.2">
      <c r="C118" s="14"/>
      <c r="D118" s="14"/>
      <c r="E118" s="14"/>
    </row>
    <row r="119" spans="3:5" x14ac:dyDescent="0.2">
      <c r="C119" s="14"/>
      <c r="D119" s="14"/>
      <c r="E119" s="14"/>
    </row>
    <row r="120" spans="3:5" x14ac:dyDescent="0.2">
      <c r="C120" s="14"/>
      <c r="D120" s="14"/>
      <c r="E120" s="14"/>
    </row>
    <row r="121" spans="3:5" x14ac:dyDescent="0.2">
      <c r="C121" s="14"/>
      <c r="D121" s="14"/>
      <c r="E121" s="14"/>
    </row>
    <row r="122" spans="3:5" x14ac:dyDescent="0.2">
      <c r="C122" s="14"/>
      <c r="D122" s="14"/>
      <c r="E122" s="14"/>
    </row>
    <row r="123" spans="3:5" x14ac:dyDescent="0.2">
      <c r="C123" s="14"/>
      <c r="D123" s="14"/>
      <c r="E123" s="14"/>
    </row>
    <row r="124" spans="3:5" x14ac:dyDescent="0.2">
      <c r="C124" s="14"/>
      <c r="D124" s="14"/>
      <c r="E124" s="14"/>
    </row>
    <row r="125" spans="3:5" x14ac:dyDescent="0.2">
      <c r="C125" s="14"/>
      <c r="D125" s="14"/>
      <c r="E125" s="14"/>
    </row>
    <row r="126" spans="3:5" x14ac:dyDescent="0.2">
      <c r="C126" s="14"/>
      <c r="D126" s="14"/>
      <c r="E126" s="14"/>
    </row>
    <row r="127" spans="3:5" x14ac:dyDescent="0.2">
      <c r="C127" s="14"/>
      <c r="D127" s="14"/>
      <c r="E127" s="14"/>
    </row>
    <row r="128" spans="3:5" x14ac:dyDescent="0.2">
      <c r="C128" s="14"/>
      <c r="D128" s="14"/>
      <c r="E128" s="14"/>
    </row>
    <row r="129" spans="3:5" x14ac:dyDescent="0.2">
      <c r="C129" s="14"/>
      <c r="D129" s="14"/>
      <c r="E129" s="14"/>
    </row>
    <row r="130" spans="3:5" x14ac:dyDescent="0.2">
      <c r="C130" s="14"/>
      <c r="D130" s="14"/>
      <c r="E130" s="14"/>
    </row>
    <row r="131" spans="3:5" x14ac:dyDescent="0.2">
      <c r="C131" s="14"/>
      <c r="D131" s="14"/>
      <c r="E131" s="14"/>
    </row>
    <row r="132" spans="3:5" x14ac:dyDescent="0.2">
      <c r="C132" s="14"/>
      <c r="D132" s="14"/>
      <c r="E132" s="14"/>
    </row>
    <row r="133" spans="3:5" x14ac:dyDescent="0.2">
      <c r="C133" s="14"/>
      <c r="D133" s="14"/>
      <c r="E133" s="14"/>
    </row>
    <row r="134" spans="3:5" x14ac:dyDescent="0.2">
      <c r="C134" s="14"/>
      <c r="D134" s="14"/>
      <c r="E134" s="14"/>
    </row>
    <row r="135" spans="3:5" x14ac:dyDescent="0.2">
      <c r="C135" s="14"/>
      <c r="D135" s="14"/>
      <c r="E135" s="14"/>
    </row>
    <row r="136" spans="3:5" x14ac:dyDescent="0.2">
      <c r="C136" s="14"/>
      <c r="D136" s="14"/>
      <c r="E136" s="14"/>
    </row>
    <row r="137" spans="3:5" x14ac:dyDescent="0.2">
      <c r="C137" s="14"/>
      <c r="D137" s="14"/>
      <c r="E137" s="14"/>
    </row>
    <row r="138" spans="3:5" x14ac:dyDescent="0.2">
      <c r="C138" s="14"/>
      <c r="D138" s="14"/>
      <c r="E138" s="14"/>
    </row>
    <row r="139" spans="3:5" x14ac:dyDescent="0.2">
      <c r="C139" s="14"/>
      <c r="D139" s="14"/>
      <c r="E139" s="14"/>
    </row>
    <row r="140" spans="3:5" x14ac:dyDescent="0.2">
      <c r="C140" s="14"/>
      <c r="D140" s="14"/>
      <c r="E140" s="14"/>
    </row>
    <row r="141" spans="3:5" x14ac:dyDescent="0.2">
      <c r="C141" s="14"/>
      <c r="D141" s="14"/>
      <c r="E141" s="14"/>
    </row>
    <row r="142" spans="3:5" x14ac:dyDescent="0.2">
      <c r="C142" s="14"/>
      <c r="D142" s="14"/>
      <c r="E142" s="14"/>
    </row>
    <row r="143" spans="3:5" x14ac:dyDescent="0.2">
      <c r="C143" s="14"/>
      <c r="D143" s="14"/>
      <c r="E143" s="14"/>
    </row>
    <row r="144" spans="3:5" x14ac:dyDescent="0.2">
      <c r="C144" s="14"/>
      <c r="D144" s="14"/>
      <c r="E144" s="14"/>
    </row>
    <row r="145" spans="3:5" x14ac:dyDescent="0.2">
      <c r="C145" s="14"/>
      <c r="D145" s="14"/>
      <c r="E145" s="14"/>
    </row>
    <row r="146" spans="3:5" x14ac:dyDescent="0.2">
      <c r="C146" s="14"/>
      <c r="D146" s="14"/>
      <c r="E146" s="14"/>
    </row>
    <row r="147" spans="3:5" x14ac:dyDescent="0.2">
      <c r="C147" s="14"/>
      <c r="D147" s="14"/>
      <c r="E147" s="14"/>
    </row>
    <row r="148" spans="3:5" x14ac:dyDescent="0.2">
      <c r="C148" s="14"/>
      <c r="D148" s="14"/>
      <c r="E148" s="14"/>
    </row>
    <row r="149" spans="3:5" x14ac:dyDescent="0.2">
      <c r="C149" s="14"/>
      <c r="D149" s="14"/>
      <c r="E149" s="14"/>
    </row>
    <row r="150" spans="3:5" x14ac:dyDescent="0.2">
      <c r="C150" s="14"/>
      <c r="D150" s="14"/>
      <c r="E150" s="14"/>
    </row>
    <row r="151" spans="3:5" x14ac:dyDescent="0.2">
      <c r="C151" s="14"/>
      <c r="D151" s="14"/>
      <c r="E151" s="14"/>
    </row>
    <row r="152" spans="3:5" x14ac:dyDescent="0.2">
      <c r="C152" s="14"/>
      <c r="D152" s="14"/>
      <c r="E152" s="14"/>
    </row>
    <row r="153" spans="3:5" x14ac:dyDescent="0.2">
      <c r="C153" s="14"/>
      <c r="D153" s="14"/>
      <c r="E153" s="14"/>
    </row>
    <row r="154" spans="3:5" x14ac:dyDescent="0.2">
      <c r="C154" s="14"/>
      <c r="D154" s="14"/>
      <c r="E154" s="14"/>
    </row>
    <row r="155" spans="3:5" x14ac:dyDescent="0.2">
      <c r="C155" s="14"/>
      <c r="D155" s="14"/>
      <c r="E155" s="14"/>
    </row>
    <row r="156" spans="3:5" x14ac:dyDescent="0.2">
      <c r="C156" s="14"/>
      <c r="D156" s="14"/>
      <c r="E156" s="14"/>
    </row>
  </sheetData>
  <mergeCells count="3">
    <mergeCell ref="D1:F1"/>
    <mergeCell ref="D2:F2"/>
    <mergeCell ref="D7:D8"/>
  </mergeCells>
  <phoneticPr fontId="7" type="noConversion"/>
  <dataValidations count="6">
    <dataValidation type="textLength" errorStyle="information" allowBlank="1" showInputMessage="1" showErrorMessage="1" error="XLBVal:8=Electricity Units (KWH)_x000d__x000a_" sqref="C13" xr:uid="{00000000-0002-0000-0400-000000000000}">
      <formula1>0</formula1>
      <formula2>300</formula2>
    </dataValidation>
    <dataValidation type="textLength" errorStyle="information" allowBlank="1" showInputMessage="1" showErrorMessage="1" error="XLBVal:8=In Spa Other Treatments Guest_x000d__x000a_" sqref="C18" xr:uid="{00000000-0002-0000-0400-000001000000}">
      <formula1>0</formula1>
      <formula2>300</formula2>
    </dataValidation>
    <dataValidation type="textLength" errorStyle="information" allowBlank="1" showInputMessage="1" showErrorMessage="1" error="XLBVal:8=Gas Units (KG)_x000d__x000a_" sqref="C14" xr:uid="{00000000-0002-0000-0400-000002000000}">
      <formula1>0</formula1>
      <formula2>300</formula2>
    </dataValidation>
    <dataValidation type="textLength" errorStyle="information" allowBlank="1" showInputMessage="1" showErrorMessage="1" error="XLBVal:8=In Spa Body Treatments Guests_x000d__x000a_" sqref="C16" xr:uid="{00000000-0002-0000-0400-000003000000}">
      <formula1>0</formula1>
      <formula2>300</formula2>
    </dataValidation>
    <dataValidation type="textLength" errorStyle="information" allowBlank="1" showInputMessage="1" showErrorMessage="1" error="XLBVal:8=In Spa Facial Treatments Guest_x000d__x000a_" sqref="C17" xr:uid="{00000000-0002-0000-0400-000004000000}">
      <formula1>0</formula1>
      <formula2>300</formula2>
    </dataValidation>
    <dataValidation type="textLength" errorStyle="information" allowBlank="1" showInputMessage="1" showErrorMessage="1" error="XLBVal:8=Water Units (m3)_x000d__x000a_" sqref="C15" xr:uid="{00000000-0002-0000-0400-000005000000}">
      <formula1>0</formula1>
      <formula2>300</formula2>
    </dataValidation>
  </dataValidations>
  <pageMargins left="0.75" right="0.75" top="1" bottom="1" header="0.5" footer="0.5"/>
  <pageSetup scale="63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745" r:id="rId4" name="Button 1">
              <controlPr defaultSize="0" print="0" autoFill="0" autoPict="0" macro="[0]!JV_ENG1">
                <anchor moveWithCells="1" sizeWithCells="1">
                  <from>
                    <xdr:col>6</xdr:col>
                    <xdr:colOff>323850</xdr:colOff>
                    <xdr:row>1</xdr:row>
                    <xdr:rowOff>104775</xdr:rowOff>
                  </from>
                  <to>
                    <xdr:col>7</xdr:col>
                    <xdr:colOff>1381125</xdr:colOff>
                    <xdr:row>1</xdr:row>
                    <xdr:rowOff>514350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TOTAL</vt:lpstr>
      <vt:lpstr>Data</vt:lpstr>
      <vt:lpstr>Pool</vt:lpstr>
      <vt:lpstr>JV Electricity</vt:lpstr>
      <vt:lpstr>Data!Print_Area</vt:lpstr>
      <vt:lpstr>'JV Electricity'!Print_Area</vt:lpstr>
    </vt:vector>
  </TitlesOfParts>
  <Company>HAYTHAM JAMOUS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haytham jamous</dc:creator>
  <cp:lastModifiedBy>Joe J. El Khoury</cp:lastModifiedBy>
  <cp:lastPrinted>2020-09-01T01:41:59Z</cp:lastPrinted>
  <dcterms:created xsi:type="dcterms:W3CDTF">2006-11-08T09:55:56Z</dcterms:created>
  <dcterms:modified xsi:type="dcterms:W3CDTF">2020-12-08T17:40:08Z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