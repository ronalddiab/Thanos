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37" i="3" l="1"/>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AA39" i="3"/>
  <c r="AC39" i="3"/>
  <c r="AE39" i="3"/>
  <c r="AG39"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39" i="3" s="1"/>
  <c r="AI8" i="3"/>
  <c r="AY31" i="5" l="1"/>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M37" i="3" l="1"/>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M8" i="3"/>
  <c r="K8" i="3"/>
  <c r="F8" i="3"/>
  <c r="D8" i="3"/>
  <c r="C41" i="9" l="1"/>
  <c r="H8" i="3" l="1"/>
  <c r="I8" i="3" s="1"/>
  <c r="O8" i="3" l="1"/>
  <c r="P8" i="3" s="1"/>
  <c r="R8" i="3"/>
  <c r="S8" i="3" s="1"/>
  <c r="U8" i="3"/>
  <c r="V8" i="3" s="1"/>
  <c r="AN9" i="5" l="1"/>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V18" i="5" l="1"/>
  <c r="H11" i="3" l="1"/>
  <c r="X8" i="3" l="1"/>
  <c r="Y8" i="3" s="1"/>
  <c r="H9" i="3"/>
  <c r="I9" i="3" s="1"/>
  <c r="O9" i="3"/>
  <c r="P9" i="3" s="1"/>
  <c r="R9" i="3"/>
  <c r="S9" i="3" s="1"/>
  <c r="U9" i="3"/>
  <c r="V9" i="3" s="1"/>
  <c r="Y9" i="3"/>
  <c r="H10" i="3"/>
  <c r="I10" i="3" s="1"/>
  <c r="O10" i="3"/>
  <c r="P10" i="3" s="1"/>
  <c r="R10" i="3"/>
  <c r="S10" i="3"/>
  <c r="U10" i="3"/>
  <c r="V10" i="3" s="1"/>
  <c r="Y10" i="3"/>
  <c r="I11" i="3"/>
  <c r="O11" i="3"/>
  <c r="P11" i="3" s="1"/>
  <c r="R11" i="3"/>
  <c r="S11" i="3" s="1"/>
  <c r="U11" i="3"/>
  <c r="V11" i="3" s="1"/>
  <c r="Y11" i="3"/>
  <c r="H12" i="3"/>
  <c r="I12" i="3" s="1"/>
  <c r="O12" i="3"/>
  <c r="P12" i="3" s="1"/>
  <c r="R12" i="3"/>
  <c r="S12" i="3" s="1"/>
  <c r="U12" i="3"/>
  <c r="V12" i="3" s="1"/>
  <c r="Y12" i="3"/>
  <c r="H13" i="3"/>
  <c r="I13" i="3" s="1"/>
  <c r="O13" i="3"/>
  <c r="P13" i="3" s="1"/>
  <c r="R13" i="3"/>
  <c r="S13" i="3" s="1"/>
  <c r="U13" i="3"/>
  <c r="V13" i="3" s="1"/>
  <c r="Y13" i="3"/>
  <c r="H14" i="3"/>
  <c r="I14" i="3" s="1"/>
  <c r="O14" i="3"/>
  <c r="P14" i="3" s="1"/>
  <c r="R14" i="3"/>
  <c r="S14" i="3" s="1"/>
  <c r="U14" i="3"/>
  <c r="V14" i="3" s="1"/>
  <c r="Y14" i="3"/>
  <c r="H15" i="3"/>
  <c r="I15" i="3" s="1"/>
  <c r="O15" i="3"/>
  <c r="P15" i="3" s="1"/>
  <c r="R15" i="3"/>
  <c r="S15" i="3" s="1"/>
  <c r="U15" i="3"/>
  <c r="V15" i="3" s="1"/>
  <c r="Y15" i="3"/>
  <c r="O16" i="3"/>
  <c r="P16" i="3" s="1"/>
  <c r="U16" i="3"/>
  <c r="V16" i="3" s="1"/>
  <c r="H17" i="3"/>
  <c r="I17" i="3" s="1"/>
  <c r="O17" i="3"/>
  <c r="P17" i="3" s="1"/>
  <c r="R17" i="3"/>
  <c r="S17" i="3" s="1"/>
  <c r="U17" i="3"/>
  <c r="V17" i="3" s="1"/>
  <c r="Y17" i="3"/>
  <c r="H18" i="3"/>
  <c r="I18" i="3" s="1"/>
  <c r="O18" i="3"/>
  <c r="P18" i="3" s="1"/>
  <c r="R18" i="3"/>
  <c r="S18" i="3" s="1"/>
  <c r="U18" i="3"/>
  <c r="V18" i="3" s="1"/>
  <c r="Y18" i="3"/>
  <c r="H19" i="3"/>
  <c r="I19" i="3" s="1"/>
  <c r="O19" i="3"/>
  <c r="P19" i="3" s="1"/>
  <c r="R19" i="3"/>
  <c r="S19" i="3" s="1"/>
  <c r="U19" i="3"/>
  <c r="V19" i="3" s="1"/>
  <c r="Y19" i="3"/>
  <c r="H20" i="3"/>
  <c r="I20" i="3" s="1"/>
  <c r="O20" i="3"/>
  <c r="P20" i="3" s="1"/>
  <c r="R20" i="3"/>
  <c r="S20" i="3" s="1"/>
  <c r="U20" i="3"/>
  <c r="V20" i="3" s="1"/>
  <c r="Y20" i="3"/>
  <c r="H21" i="3"/>
  <c r="I21" i="3" s="1"/>
  <c r="O21" i="3"/>
  <c r="P21" i="3" s="1"/>
  <c r="R21" i="3"/>
  <c r="S21" i="3" s="1"/>
  <c r="U21" i="3"/>
  <c r="V21" i="3" s="1"/>
  <c r="Y21" i="3"/>
  <c r="H22" i="3"/>
  <c r="I22" i="3" s="1"/>
  <c r="O22" i="3"/>
  <c r="P22" i="3" s="1"/>
  <c r="R22" i="3"/>
  <c r="S22" i="3" s="1"/>
  <c r="U22" i="3"/>
  <c r="V22" i="3" s="1"/>
  <c r="Y22" i="3"/>
  <c r="H23" i="3"/>
  <c r="I23" i="3" s="1"/>
  <c r="O23" i="3"/>
  <c r="P23" i="3" s="1"/>
  <c r="R23" i="3"/>
  <c r="S23" i="3" s="1"/>
  <c r="U23" i="3"/>
  <c r="V23" i="3" s="1"/>
  <c r="Y23" i="3"/>
  <c r="H24" i="3"/>
  <c r="I24" i="3" s="1"/>
  <c r="O24" i="3"/>
  <c r="P24" i="3" s="1"/>
  <c r="R24" i="3"/>
  <c r="S24" i="3" s="1"/>
  <c r="U24" i="3"/>
  <c r="V24" i="3" s="1"/>
  <c r="Y24" i="3"/>
  <c r="H25" i="3"/>
  <c r="I25" i="3" s="1"/>
  <c r="O25" i="3"/>
  <c r="P25" i="3" s="1"/>
  <c r="R25" i="3"/>
  <c r="S25" i="3" s="1"/>
  <c r="U25" i="3"/>
  <c r="V25" i="3" s="1"/>
  <c r="Y25" i="3"/>
  <c r="H26" i="3"/>
  <c r="I26" i="3" s="1"/>
  <c r="O26" i="3"/>
  <c r="P26" i="3" s="1"/>
  <c r="R26" i="3"/>
  <c r="S26" i="3" s="1"/>
  <c r="U26" i="3"/>
  <c r="V26" i="3" s="1"/>
  <c r="Y26" i="3"/>
  <c r="H27" i="3"/>
  <c r="I27" i="3" s="1"/>
  <c r="O27" i="3"/>
  <c r="P27" i="3" s="1"/>
  <c r="R27" i="3"/>
  <c r="S27" i="3" s="1"/>
  <c r="U27" i="3"/>
  <c r="V27" i="3" s="1"/>
  <c r="Y27" i="3"/>
  <c r="H28" i="3"/>
  <c r="I28" i="3" s="1"/>
  <c r="O28" i="3"/>
  <c r="P28" i="3" s="1"/>
  <c r="R28" i="3"/>
  <c r="S28" i="3" s="1"/>
  <c r="U28" i="3"/>
  <c r="V28" i="3" s="1"/>
  <c r="Y28" i="3"/>
  <c r="H29" i="3"/>
  <c r="I29" i="3" s="1"/>
  <c r="O29" i="3"/>
  <c r="P29" i="3" s="1"/>
  <c r="R29" i="3"/>
  <c r="S29" i="3" s="1"/>
  <c r="U29" i="3"/>
  <c r="V29" i="3" s="1"/>
  <c r="Y29" i="3"/>
  <c r="H30" i="3"/>
  <c r="I30" i="3" s="1"/>
  <c r="O30" i="3"/>
  <c r="P30" i="3" s="1"/>
  <c r="R30" i="3"/>
  <c r="S30" i="3" s="1"/>
  <c r="U30" i="3"/>
  <c r="V30" i="3" s="1"/>
  <c r="Y30" i="3"/>
  <c r="H31" i="3"/>
  <c r="I31" i="3" s="1"/>
  <c r="O31" i="3"/>
  <c r="P31" i="3" s="1"/>
  <c r="R31" i="3"/>
  <c r="S31" i="3" s="1"/>
  <c r="U31" i="3"/>
  <c r="V31" i="3" s="1"/>
  <c r="Y31" i="3"/>
  <c r="H32" i="3"/>
  <c r="I32" i="3" s="1"/>
  <c r="O32" i="3"/>
  <c r="P32" i="3" s="1"/>
  <c r="R32" i="3"/>
  <c r="S32" i="3" s="1"/>
  <c r="U32" i="3"/>
  <c r="V32" i="3" s="1"/>
  <c r="Y32" i="3"/>
  <c r="H33" i="3"/>
  <c r="I33" i="3" s="1"/>
  <c r="O33" i="3"/>
  <c r="P33" i="3" s="1"/>
  <c r="R33" i="3"/>
  <c r="S33" i="3" s="1"/>
  <c r="U33" i="3"/>
  <c r="V33" i="3" s="1"/>
  <c r="Y33" i="3"/>
  <c r="H34" i="3"/>
  <c r="I34" i="3" s="1"/>
  <c r="O34" i="3"/>
  <c r="P34" i="3" s="1"/>
  <c r="R34" i="3"/>
  <c r="S34" i="3" s="1"/>
  <c r="U34" i="3"/>
  <c r="V34" i="3" s="1"/>
  <c r="Y34" i="3"/>
  <c r="H35" i="3"/>
  <c r="I35" i="3" s="1"/>
  <c r="O35" i="3"/>
  <c r="P35" i="3" s="1"/>
  <c r="R35" i="3"/>
  <c r="S35" i="3" s="1"/>
  <c r="U35" i="3"/>
  <c r="V35" i="3" s="1"/>
  <c r="Y35" i="3"/>
  <c r="H36" i="3"/>
  <c r="I36" i="3" s="1"/>
  <c r="O36" i="3"/>
  <c r="P36" i="3" s="1"/>
  <c r="R36" i="3"/>
  <c r="S36" i="3" s="1"/>
  <c r="U36" i="3"/>
  <c r="V36" i="3" s="1"/>
  <c r="Y36" i="3"/>
  <c r="H37" i="3"/>
  <c r="I37" i="3" s="1"/>
  <c r="O37" i="3"/>
  <c r="P37" i="3" s="1"/>
  <c r="R37" i="3"/>
  <c r="S37" i="3" s="1"/>
  <c r="U37" i="3"/>
  <c r="V37" i="3" s="1"/>
  <c r="Y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Y16" i="3"/>
  <c r="Y39" i="3" s="1"/>
  <c r="R16" i="3"/>
  <c r="S16" i="3" s="1"/>
  <c r="H16" i="3"/>
  <c r="I16" i="3" s="1"/>
  <c r="AL16" i="3" l="1"/>
  <c r="AK16" i="3"/>
  <c r="AL38" i="5"/>
  <c r="AL37" i="5"/>
  <c r="AH38" i="5"/>
  <c r="AH37" i="5"/>
  <c r="AF38" i="5"/>
  <c r="AF37" i="5"/>
  <c r="AD38" i="5"/>
  <c r="AD37" i="5"/>
  <c r="AB38" i="5"/>
  <c r="AB37" i="5"/>
  <c r="AB36" i="5"/>
  <c r="Z38" i="5"/>
  <c r="Z37" i="5"/>
  <c r="X38" i="5"/>
  <c r="X37" i="5"/>
  <c r="V38" i="5"/>
  <c r="V37" i="5"/>
  <c r="T38" i="5"/>
  <c r="T37" i="5"/>
  <c r="R38" i="5"/>
  <c r="R37" i="5"/>
  <c r="P38" i="5"/>
  <c r="P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R34" i="4"/>
  <c r="H30" i="8" s="1"/>
  <c r="R20" i="4"/>
  <c r="H16" i="8" s="1"/>
  <c r="S8" i="4"/>
  <c r="M23" i="4"/>
  <c r="M28" i="4"/>
  <c r="N31" i="4"/>
  <c r="S31" i="4" s="1"/>
  <c r="N24" i="4"/>
  <c r="S24" i="4" s="1"/>
  <c r="M27" i="4"/>
  <c r="R12" i="4"/>
  <c r="H8" i="8" s="1"/>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M3" i="8" l="1"/>
  <c r="G2" i="10" s="1"/>
  <c r="G2" i="6"/>
  <c r="G4" i="6" l="1"/>
  <c r="M5" i="8"/>
  <c r="G4" i="10" s="1"/>
  <c r="G5" i="6"/>
  <c r="M6" i="8"/>
  <c r="G5" i="10" s="1"/>
  <c r="M4" i="8"/>
  <c r="G3" i="10" s="1"/>
  <c r="G3" i="6"/>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<sst xmlns="http://schemas.openxmlformats.org/spreadsheetml/2006/main" count="1420" uniqueCount="404">
  <si>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</si>
  <si>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</si>
  <si>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</si>
  <si>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</si>
  <si>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</si>
  <si>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</si>
  <si>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</si>
  <si>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</si>
  <si>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</si>
  <si>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</si>
  <si>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</si>
  <si>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</si>
  <si>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</si>
  <si>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</si>
  <si>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</si>
  <si>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</si>
  <si>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</si>
  <si>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</si>
  <si>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</si>
  <si>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</si>
  <si>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</si>
  <si>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</si>
  <si>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</si>
  <si>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</si>
  <si>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</si>
  <si>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</si>
  <si>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</si>
  <si>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</si>
  <si>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</si>
  <si>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</si>
  <si>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</si>
  <si>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</si>
  <si>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</si>
  <si>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</si>
  <si>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</si>
  <si>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</si>
  <si>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</si>
  <si>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</si>
  <si>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</si>
  <si>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</si>
  <si>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</si>
  <si>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</si>
  <si>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</si>
  <si>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</si>
  <si>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</si>
  <si>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</si>
  <si>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</si>
  <si>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</si>
  <si>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</si>
  <si>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</si>
  <si>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</si>
  <si>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</si>
  <si>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</si>
  <si>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</si>
  <si>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</si>
  <si>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</si>
  <si>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</si>
  <si>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</si>
  <si>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</si>
  <si>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</si>
  <si>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</si>
  <si>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</si>
  <si>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</si>
  <si>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</si>
  <si>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</si>
  <si>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</si>
  <si>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</si>
  <si>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</si>
  <si>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</si>
  <si>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</si>
  <si>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</si>
  <si>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</si>
  <si>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</si>
  <si>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</si>
  <si>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</si>
  <si>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</si>
  <si>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</si>
  <si>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</si>
  <si>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</si>
  <si>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</si>
  <si>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</si>
  <si>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</si>
  <si>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</si>
  <si>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</si>
  <si>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</si>
  <si>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</si>
  <si>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</si>
  <si>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</si>
  <si>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</si>
  <si>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</si>
  <si>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</si>
  <si>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</si>
  <si>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</si>
  <si>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</si>
  <si>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</si>
  <si>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</si>
  <si>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</si>
  <si>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</si>
  <si>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</si>
  <si>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</si>
  <si>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</si>
  <si>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</si>
  <si>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</si>
  <si>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</si>
  <si>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</si>
  <si>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</si>
  <si>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</si>
  <si>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</si>
  <si>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</si>
  <si>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</si>
  <si>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</si>
  <si>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</si>
  <si>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</si>
  <si>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</si>
  <si>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</si>
  <si>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</si>
  <si>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</si>
  <si>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</si>
  <si>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</si>
  <si>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</si>
  <si>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</si>
  <si>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</si>
  <si>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</si>
  <si>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</si>
  <si>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</si>
  <si>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</si>
  <si>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</si>
  <si>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</si>
  <si>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</si>
  <si>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</si>
  <si>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</si>
  <si>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</si>
  <si>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</si>
  <si>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</si>
  <si>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</si>
  <si>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</si>
  <si>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</si>
  <si>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</si>
  <si>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</si>
  <si>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</si>
  <si>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</si>
  <si>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</si>
  <si>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</si>
  <si>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</si>
  <si>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</si>
  <si>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</si>
  <si>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</si>
  <si>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</si>
  <si>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</si>
  <si>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</si>
  <si>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</si>
  <si>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</si>
  <si>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</si>
  <si>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</si>
  <si>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</si>
  <si>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</si>
  <si>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</si>
  <si>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</si>
  <si>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</si>
  <si>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</si>
  <si>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</si>
  <si>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</si>
  <si>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</si>
  <si>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</si>
  <si>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</si>
  <si>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</si>
  <si>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</si>
  <si>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</si>
  <si>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</si>
  <si>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</si>
  <si>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</si>
  <si>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</si>
  <si>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</si>
  <si>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</si>
  <si>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</si>
  <si>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</si>
  <si>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</si>
  <si>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</si>
  <si>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</si>
  <si>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</si>
  <si>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</si>
  <si>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</si>
  <si>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</si>
  <si>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</si>
  <si>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</si>
  <si>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</si>
  <si>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</si>
  <si>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</si>
  <si>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</si>
  <si>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</si>
  <si>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</si>
  <si>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</si>
  <si>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</si>
  <si>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</si>
  <si>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</si>
  <si>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</si>
  <si>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</si>
  <si>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</si>
  <si>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</si>
  <si>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</si>
  <si>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</si>
  <si>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</si>
  <si>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</si>
  <si>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</si>
  <si>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</si>
  <si>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</si>
  <si>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</si>
  <si>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</si>
  <si>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</si>
  <si>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</si>
  <si>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</si>
  <si>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</si>
  <si>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</si>
  <si>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</si>
  <si>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</si>
  <si>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</si>
  <si>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</si>
  <si>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</si>
  <si>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</si>
  <si>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</si>
  <si>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</si>
  <si>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</si>
  <si>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</si>
  <si>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</si>
  <si>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</si>
  <si>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</si>
  <si>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</si>
  <si>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</si>
  <si>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</si>
  <si>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</si>
  <si>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</si>
  <si>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</si>
  <si>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</si>
  <si>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</si>
  <si>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</si>
  <si>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</si>
  <si>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</si>
  <si>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</si>
  <si>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</si>
  <si>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</si>
  <si>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</si>
  <si>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</si>
  <si>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</si>
  <si>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</si>
  <si>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</si>
  <si>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</si>
  <si>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</si>
  <si>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</si>
  <si>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</si>
  <si>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</si>
  <si>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</si>
  <si>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</si>
  <si>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</si>
  <si>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</si>
  <si>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</si>
  <si>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</si>
  <si>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</si>
  <si>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</si>
  <si>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</si>
  <si>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</si>
  <si>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</si>
  <si>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</si>
  <si>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</si>
  <si>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</si>
  <si>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</si>
  <si>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</si>
  <si>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</si>
  <si>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</si>
  <si>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</si>
  <si>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</si>
  <si>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</si>
  <si>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</si>
  <si>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</si>
  <si>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</si>
  <si>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</si>
  <si>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</si>
  <si>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</si>
  <si>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</si>
  <si>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</si>
  <si>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</si>
  <si>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</si>
  <si>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</si>
  <si>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</si>
  <si>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</si>
  <si>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</si>
  <si>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</si>
  <si>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</si>
  <si>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</si>
  <si>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</si>
  <si>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</si>
  <si>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</si>
  <si>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</si>
  <si>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</si>
  <si>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</si>
  <si>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</si>
  <si>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</si>
  <si>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</si>
  <si>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</si>
  <si>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</si>
  <si>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</si>
  <si>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</si>
  <si>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</si>
  <si>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</si>
  <si>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</si>
  <si>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</si>
  <si>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</si>
  <si>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</si>
  <si>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</si>
  <si>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</si>
  <si>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</si>
  <si>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</si>
  <si>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</si>
  <si>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</si>
  <si>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</si>
  <si>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</si>
  <si>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</si>
  <si>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</si>
  <si>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</si>
  <si>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</si>
  <si>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</si>
  <si>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</si>
  <si>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</si>
  <si>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</si>
  <si>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</si>
  <si>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</si>
  <si>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</si>
  <si>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</si>
  <si>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</si>
  <si>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</si>
  <si>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</si>
  <si>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</si>
  <si>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</si>
  <si>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</si>
  <si>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</si>
  <si>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</si>
  <si>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</si>
  <si>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</si>
  <si>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</si>
  <si>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</si>
  <si>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</si>
  <si>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</si>
  <si>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</si>
  <si>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</si>
  <si>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</si>
  <si>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</si>
  <si>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</si>
  <si>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</si>
  <si>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</si>
  <si>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</si>
  <si>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</si>
  <si>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</si>
  <si>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</si>
  <si>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</si>
  <si>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</si>
  <si>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</si>
  <si>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</si>
  <si>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</si>
  <si>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</si>
  <si>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</si>
  <si>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</si>
  <si>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</si>
  <si>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</si>
  <si>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</si>
  <si>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</si>
  <si>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</si>
  <si>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</si>
  <si>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</si>
  <si>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</si>
  <si>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</si>
  <si>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</si>
  <si>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</si>
  <si>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</si>
  <si>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</si>
  <si>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</si>
  <si>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</si>
  <si>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</si>
  <si>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</si>
  <si>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</si>
  <si>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</si>
  <si>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</si>
  <si>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</si>
  <si>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</si>
  <si>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</si>
  <si>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</si>
  <si>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</si>
  <si>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</si>
  <si>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</si>
  <si>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</si>
  <si>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</si>
  <si>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</si>
  <si>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</si>
  <si>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</si>
  <si>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</si>
  <si>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</si>
  <si>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</si>
  <si>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</si>
  <si>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</si>
  <si>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</si>
  <si>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</si>
  <si>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</si>
  <si>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</si>
  <si>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</si>
  <si>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</si>
  <si>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September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</si>
</sst>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3">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20"/>
      <color theme="1"/>
      <name val="Calibri"/>
      <family val="2"/>
      <scheme val="minor"/>
    </font>
    <font>
      <sz val="10"/>
      <color theme="1"/>
      <name val="Calibri"/>
      <family val="2"/>
      <scheme val="minor"/>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5" applyNumberFormat="0" applyFill="0" applyAlignment="0" applyProtection="0"/>
    <xf numFmtId="0" fontId="32" fillId="0" borderId="36" applyNumberFormat="0" applyFill="0" applyAlignment="0" applyProtection="0"/>
    <xf numFmtId="0" fontId="33" fillId="0" borderId="37"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8" applyNumberFormat="0" applyAlignment="0" applyProtection="0"/>
    <xf numFmtId="0" fontId="38" fillId="24" borderId="39" applyNumberFormat="0" applyAlignment="0" applyProtection="0"/>
    <xf numFmtId="0" fontId="39" fillId="24" borderId="38" applyNumberFormat="0" applyAlignment="0" applyProtection="0"/>
    <xf numFmtId="0" fontId="40" fillId="0" borderId="40" applyNumberFormat="0" applyFill="0" applyAlignment="0" applyProtection="0"/>
    <xf numFmtId="0" fontId="41" fillId="25" borderId="41" applyNumberFormat="0" applyAlignment="0" applyProtection="0"/>
    <xf numFmtId="0" fontId="42" fillId="0" borderId="0" applyNumberFormat="0" applyFill="0" applyBorder="0" applyAlignment="0" applyProtection="0"/>
    <xf numFmtId="0" fontId="24" fillId="26" borderId="42" applyNumberFormat="0" applyFont="0" applyAlignment="0" applyProtection="0"/>
    <xf numFmtId="0" fontId="43" fillId="0" borderId="0" applyNumberFormat="0" applyFill="0" applyBorder="0" applyAlignment="0" applyProtection="0"/>
    <xf numFmtId="0" fontId="44" fillId="0" borderId="43"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0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4" fillId="4" borderId="33"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8" fontId="0" fillId="0" borderId="0" xfId="0" applyNumberFormat="1" applyAlignment="1">
      <alignment horizontal="center"/>
    </xf>
    <xf numFmtId="0" fontId="1" fillId="0" borderId="2" xfId="0" applyFont="1" applyBorder="1" applyAlignment="1">
      <alignment horizontal="center" vertical="center"/>
    </xf>
    <xf numFmtId="0" fontId="50" fillId="0" borderId="2" xfId="0" applyFont="1" applyBorder="1" applyAlignment="1">
      <alignment horizontal="center" vertical="center"/>
    </xf>
    <xf numFmtId="0" fontId="50" fillId="0" borderId="0" xfId="0" applyFont="1" applyAlignment="1">
      <alignment horizontal="center" vertical="center"/>
    </xf>
    <xf numFmtId="0" fontId="0" fillId="0" borderId="2" xfId="0" applyFont="1" applyBorder="1" applyAlignment="1">
      <alignment horizontal="center" vertical="center"/>
    </xf>
    <xf numFmtId="0" fontId="0" fillId="0" borderId="0" xfId="0" applyFont="1" applyAlignment="1">
      <alignment horizontal="center" vertical="center"/>
    </xf>
    <xf numFmtId="0" fontId="51" fillId="0" borderId="2" xfId="0" applyFont="1" applyBorder="1" applyAlignment="1">
      <alignment horizontal="center" vertical="center"/>
    </xf>
    <xf numFmtId="0" fontId="51" fillId="0" borderId="0" xfId="0" applyFont="1" applyAlignment="1">
      <alignment horizontal="center" vertical="center"/>
    </xf>
    <xf numFmtId="0" fontId="3" fillId="0" borderId="0" xfId="0" applyFont="1" applyAlignment="1">
      <alignment horizontal="center" vertical="center"/>
    </xf>
    <xf numFmtId="0" fontId="0" fillId="4" borderId="0" xfId="0" applyFont="1" applyFill="1" applyBorder="1"/>
    <xf numFmtId="0" fontId="46" fillId="0" borderId="2" xfId="0" applyFont="1" applyFill="1" applyBorder="1" applyAlignment="1" applyProtection="1">
      <alignment horizontal="center" vertical="center"/>
      <protection locked="0"/>
    </xf>
    <xf numFmtId="0" fontId="52" fillId="0" borderId="2" xfId="0" applyFont="1" applyBorder="1" applyAlignment="1">
      <alignment horizontal="center" vertical="center"/>
    </xf>
    <xf numFmtId="0" fontId="0" fillId="4" borderId="0" xfId="0" applyFont="1" applyFill="1"/>
    <xf numFmtId="1" fontId="52"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0" fillId="0" borderId="0" xfId="0" applyFont="1" applyAlignment="1">
      <alignment vertical="center"/>
    </xf>
    <xf numFmtId="0" fontId="0" fillId="0" borderId="2" xfId="0" applyFont="1" applyBorder="1"/>
    <xf numFmtId="0" fontId="0" fillId="0" borderId="0" xfId="0" applyFont="1"/>
    <xf numFmtId="164" fontId="23" fillId="0" borderId="0" xfId="0" applyNumberFormat="1" applyFont="1" applyAlignment="1">
      <alignment horizontal="center" vertical="center"/>
    </xf>
    <xf numFmtId="0" fontId="23" fillId="0" borderId="0" xfId="0" applyFont="1" applyAlignment="1">
      <alignment vertical="center"/>
    </xf>
    <xf numFmtId="0" fontId="46" fillId="0" borderId="12" xfId="0" applyFont="1" applyFill="1" applyBorder="1" applyAlignment="1" applyProtection="1">
      <alignment horizontal="center" vertical="center"/>
      <protection locked="0"/>
    </xf>
    <xf numFmtId="0" fontId="23" fillId="0" borderId="0" xfId="0" applyFont="1" applyAlignment="1">
      <alignment horizontal="center" vertical="center"/>
    </xf>
    <xf numFmtId="0" fontId="0" fillId="0" borderId="0" xfId="0" applyFon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0" fillId="0" borderId="3" xfId="0" applyFont="1" applyBorder="1" applyAlignment="1">
      <alignment horizontal="center" vertical="center"/>
    </xf>
    <xf numFmtId="0" fontId="50" fillId="0" borderId="5" xfId="0" applyFont="1" applyBorder="1" applyAlignment="1">
      <alignment horizontal="center" vertical="center"/>
    </xf>
    <xf numFmtId="0" fontId="50" fillId="0" borderId="4" xfId="0" applyFont="1" applyBorder="1" applyAlignment="1">
      <alignment horizontal="center" vertical="center"/>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4" xfId="0" applyFont="1" applyBorder="1" applyAlignment="1">
      <alignment horizontal="center" vertical="center" wrapText="1"/>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4"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51" fillId="0" borderId="5" xfId="0" applyFont="1" applyBorder="1" applyAlignment="1">
      <alignment horizontal="center" vertical="center"/>
    </xf>
    <xf numFmtId="0" fontId="0" fillId="0" borderId="2" xfId="0" applyFont="1" applyBorder="1" applyAlignment="1">
      <alignment horizontal="center" vertical="center" wrapText="1"/>
    </xf>
    <xf numFmtId="0" fontId="50" fillId="0" borderId="2" xfId="0" applyFont="1" applyBorder="1" applyAlignment="1">
      <alignment horizontal="center" vertical="center"/>
    </xf>
    <xf numFmtId="0" fontId="3"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4"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63</v>
      </c>
      <c r="E1" s="177" t="s">
        <v>394</v>
      </c>
      <c r="F1" s="178" t="s">
        <v>395</v>
      </c>
      <c r="G1" s="177" t="s">
        <v>401</v>
      </c>
      <c r="H1" s="178" t="s">
        <v>396</v>
      </c>
      <c r="I1" s="177" t="s">
        <v>397</v>
      </c>
      <c r="J1" s="179" t="s">
        <v>398</v>
      </c>
      <c r="K1" s="177" t="s">
        <v>399</v>
      </c>
      <c r="L1" s="177" t="s">
        <v>62</v>
      </c>
    </row>
    <row r="2" spans="1:12">
      <c r="A2" s="180" t="s">
        <v>400</v>
      </c>
      <c r="B2" s="181">
        <v>1</v>
      </c>
      <c r="C2" s="182">
        <v>9</v>
      </c>
      <c r="D2" s="181">
        <v>2020</v>
      </c>
      <c r="E2" s="113">
        <f>Combine!G3</f>
        <v>257170</v>
      </c>
      <c r="F2" s="183">
        <v>1.2547999999999999</v>
      </c>
      <c r="G2" s="113">
        <f>Combine!M3</f>
        <v>2418.1756021755928</v>
      </c>
      <c r="H2" s="184">
        <v>8.3661999999999992</v>
      </c>
      <c r="I2" s="113">
        <f>Combine!J3</f>
        <v>565.55370000000039</v>
      </c>
      <c r="J2" s="183">
        <v>8.3085000000000004</v>
      </c>
      <c r="K2" s="113">
        <f>Combine!N3</f>
        <v>33</v>
      </c>
      <c r="L2" s="113">
        <f>Combine!O3</f>
        <v>60</v>
      </c>
    </row>
    <row r="3" spans="1:12">
      <c r="A3" s="180" t="s">
        <v>400</v>
      </c>
      <c r="B3" s="181">
        <v>2</v>
      </c>
      <c r="C3" s="182">
        <v>9</v>
      </c>
      <c r="D3" s="181">
        <v>2020</v>
      </c>
      <c r="E3" s="113">
        <f>Combine!G4</f>
        <v>250410</v>
      </c>
      <c r="F3" s="183">
        <v>1.2547999999999999</v>
      </c>
      <c r="G3" s="113">
        <f>Combine!M4</f>
        <v>2391.7327117327227</v>
      </c>
      <c r="H3" s="184">
        <v>8.3661999999999992</v>
      </c>
      <c r="I3" s="113">
        <f>Combine!J4</f>
        <v>497.09709999999995</v>
      </c>
      <c r="J3" s="183">
        <v>8.3085000000000004</v>
      </c>
      <c r="K3" s="113">
        <f>Combine!N4</f>
        <v>29</v>
      </c>
      <c r="L3" s="113">
        <f>Combine!O4</f>
        <v>46</v>
      </c>
    </row>
    <row r="4" spans="1:12">
      <c r="A4" s="180" t="s">
        <v>400</v>
      </c>
      <c r="B4" s="181">
        <v>3</v>
      </c>
      <c r="C4" s="182">
        <v>9</v>
      </c>
      <c r="D4" s="181">
        <v>2020</v>
      </c>
      <c r="E4" s="113">
        <f>Combine!G5</f>
        <v>253870</v>
      </c>
      <c r="F4" s="183">
        <v>1.2547999999999999</v>
      </c>
      <c r="G4" s="113">
        <f>Combine!M5</f>
        <v>2395.2161616161566</v>
      </c>
      <c r="H4" s="184">
        <v>8.3661999999999992</v>
      </c>
      <c r="I4" s="113">
        <f>Combine!J5</f>
        <v>367.33179999999993</v>
      </c>
      <c r="J4" s="183">
        <v>8.3085000000000004</v>
      </c>
      <c r="K4" s="113">
        <f>Combine!N5</f>
        <v>36</v>
      </c>
      <c r="L4" s="113">
        <f>Combine!O5</f>
        <v>63</v>
      </c>
    </row>
    <row r="5" spans="1:12">
      <c r="A5" s="180" t="s">
        <v>400</v>
      </c>
      <c r="B5" s="181">
        <v>4</v>
      </c>
      <c r="C5" s="182">
        <v>9</v>
      </c>
      <c r="D5" s="181">
        <v>2020</v>
      </c>
      <c r="E5" s="113">
        <f>Combine!G6</f>
        <v>257985</v>
      </c>
      <c r="F5" s="183">
        <v>1.2547999999999999</v>
      </c>
      <c r="G5" s="113">
        <f>Combine!M6</f>
        <v>2219.5754467754527</v>
      </c>
      <c r="H5" s="184">
        <v>8.3661999999999992</v>
      </c>
      <c r="I5" s="113">
        <f>Combine!J6</f>
        <v>319.34869999999955</v>
      </c>
      <c r="J5" s="183">
        <v>8.3085000000000004</v>
      </c>
      <c r="K5" s="113">
        <f>Combine!N6</f>
        <v>59</v>
      </c>
      <c r="L5" s="113">
        <f>Combine!O6</f>
        <v>105</v>
      </c>
    </row>
    <row r="6" spans="1:12">
      <c r="A6" s="180" t="s">
        <v>400</v>
      </c>
      <c r="B6" s="181">
        <v>5</v>
      </c>
      <c r="C6" s="182">
        <v>9</v>
      </c>
      <c r="D6" s="181">
        <v>2020</v>
      </c>
      <c r="E6" s="113">
        <f>Combine!G7</f>
        <v>258170</v>
      </c>
      <c r="F6" s="183">
        <v>1.2547999999999999</v>
      </c>
      <c r="G6" s="113">
        <f>Combine!M7</f>
        <v>2493.0523698523684</v>
      </c>
      <c r="H6" s="184">
        <v>8.3661999999999992</v>
      </c>
      <c r="I6" s="113">
        <f>Combine!J7</f>
        <v>366.58250000000044</v>
      </c>
      <c r="J6" s="183">
        <v>8.3085000000000004</v>
      </c>
      <c r="K6" s="113">
        <f>Combine!N7</f>
        <v>96</v>
      </c>
      <c r="L6" s="113">
        <f>Combine!O7</f>
        <v>192</v>
      </c>
    </row>
    <row r="7" spans="1:12">
      <c r="A7" s="180" t="s">
        <v>400</v>
      </c>
      <c r="B7" s="181">
        <v>6</v>
      </c>
      <c r="C7" s="182">
        <v>9</v>
      </c>
      <c r="D7" s="181">
        <v>2020</v>
      </c>
      <c r="E7" s="113">
        <f>Combine!G8</f>
        <v>254975</v>
      </c>
      <c r="F7" s="183">
        <v>1.2547999999999999</v>
      </c>
      <c r="G7" s="113">
        <f>Combine!M8</f>
        <v>2364.8944832944721</v>
      </c>
      <c r="H7" s="184">
        <v>8.3661999999999992</v>
      </c>
      <c r="I7" s="113">
        <f>Combine!J8</f>
        <v>371.06570000000011</v>
      </c>
      <c r="J7" s="183">
        <v>8.3085000000000004</v>
      </c>
      <c r="K7" s="113">
        <f>Combine!N8</f>
        <v>59</v>
      </c>
      <c r="L7" s="113">
        <f>Combine!O8</f>
        <v>109</v>
      </c>
    </row>
    <row r="8" spans="1:12">
      <c r="A8" s="180" t="s">
        <v>400</v>
      </c>
      <c r="B8" s="181">
        <v>7</v>
      </c>
      <c r="C8" s="182">
        <v>9</v>
      </c>
      <c r="D8" s="181">
        <v>2020</v>
      </c>
      <c r="E8" s="113">
        <f>Combine!G9</f>
        <v>260900</v>
      </c>
      <c r="F8" s="183">
        <v>1.2547999999999999</v>
      </c>
      <c r="G8" s="113">
        <f>Combine!M9</f>
        <v>2455.9204351204348</v>
      </c>
      <c r="H8" s="184">
        <v>8.3661999999999992</v>
      </c>
      <c r="I8" s="113">
        <f>Combine!J9</f>
        <v>367.79249999999956</v>
      </c>
      <c r="J8" s="183">
        <v>8.3085000000000004</v>
      </c>
      <c r="K8" s="113">
        <f>Combine!N9</f>
        <v>50</v>
      </c>
      <c r="L8" s="113">
        <f>Combine!O9</f>
        <v>86</v>
      </c>
    </row>
    <row r="9" spans="1:12">
      <c r="A9" s="180" t="s">
        <v>400</v>
      </c>
      <c r="B9" s="181">
        <v>8</v>
      </c>
      <c r="C9" s="182">
        <v>9</v>
      </c>
      <c r="D9" s="181">
        <v>2020</v>
      </c>
      <c r="E9" s="113">
        <f>Combine!G10</f>
        <v>262380</v>
      </c>
      <c r="F9" s="183">
        <v>1.2547999999999999</v>
      </c>
      <c r="G9" s="113">
        <f>Combine!M10</f>
        <v>2500.9516705516703</v>
      </c>
      <c r="H9" s="184">
        <v>8.3661999999999992</v>
      </c>
      <c r="I9" s="113">
        <f>Combine!J10</f>
        <v>457.94740000000002</v>
      </c>
      <c r="J9" s="183">
        <v>8.3085000000000004</v>
      </c>
      <c r="K9" s="113">
        <f>Combine!N10</f>
        <v>63</v>
      </c>
      <c r="L9" s="113">
        <f>Combine!O10</f>
        <v>104</v>
      </c>
    </row>
    <row r="10" spans="1:12">
      <c r="A10" s="180" t="s">
        <v>400</v>
      </c>
      <c r="B10" s="181">
        <v>9</v>
      </c>
      <c r="C10" s="182">
        <v>9</v>
      </c>
      <c r="D10" s="181">
        <v>2020</v>
      </c>
      <c r="E10" s="113">
        <f>Combine!G11</f>
        <v>257715</v>
      </c>
      <c r="F10" s="183">
        <v>1.2547999999999999</v>
      </c>
      <c r="G10" s="113">
        <f>Combine!M11</f>
        <v>2292.5140637140644</v>
      </c>
      <c r="H10" s="184">
        <v>8.3661999999999992</v>
      </c>
      <c r="I10" s="113">
        <f>Combine!J11</f>
        <v>521.49449999999979</v>
      </c>
      <c r="J10" s="183">
        <v>8.3085000000000004</v>
      </c>
      <c r="K10" s="113">
        <f>Combine!N11</f>
        <v>61</v>
      </c>
      <c r="L10" s="113">
        <f>Combine!O11</f>
        <v>102</v>
      </c>
    </row>
    <row r="11" spans="1:12">
      <c r="A11" s="180" t="s">
        <v>400</v>
      </c>
      <c r="B11" s="181">
        <v>10</v>
      </c>
      <c r="C11" s="182">
        <v>9</v>
      </c>
      <c r="D11" s="181">
        <v>2020</v>
      </c>
      <c r="E11" s="113">
        <f>Combine!G12</f>
        <v>262500</v>
      </c>
      <c r="F11" s="183">
        <v>1.2547999999999999</v>
      </c>
      <c r="G11" s="113">
        <f>Combine!M12</f>
        <v>2375.1881895882057</v>
      </c>
      <c r="H11" s="184">
        <v>8.3661999999999992</v>
      </c>
      <c r="I11" s="113">
        <f>Combine!J12</f>
        <v>480.1867000000002</v>
      </c>
      <c r="J11" s="183">
        <v>8.3085000000000004</v>
      </c>
      <c r="K11" s="113">
        <f>Combine!N12</f>
        <v>59</v>
      </c>
      <c r="L11" s="113">
        <f>Combine!O12</f>
        <v>95</v>
      </c>
    </row>
    <row r="12" spans="1:12">
      <c r="A12" s="180" t="s">
        <v>400</v>
      </c>
      <c r="B12" s="181">
        <v>11</v>
      </c>
      <c r="C12" s="182">
        <v>9</v>
      </c>
      <c r="D12" s="181">
        <v>2020</v>
      </c>
      <c r="E12" s="113">
        <f>Combine!G13</f>
        <v>261065</v>
      </c>
      <c r="F12" s="183">
        <v>1.2547999999999999</v>
      </c>
      <c r="G12" s="113">
        <f>Combine!M13</f>
        <v>2329.4321678321639</v>
      </c>
      <c r="H12" s="184">
        <v>8.3661999999999992</v>
      </c>
      <c r="I12" s="113">
        <f>Combine!J13</f>
        <v>355.49459999999999</v>
      </c>
      <c r="J12" s="183">
        <v>8.3085000000000004</v>
      </c>
      <c r="K12" s="113">
        <f>Combine!N13</f>
        <v>80</v>
      </c>
      <c r="L12" s="113">
        <f>Combine!O13</f>
        <v>146</v>
      </c>
    </row>
    <row r="13" spans="1:12">
      <c r="A13" s="180" t="s">
        <v>400</v>
      </c>
      <c r="B13" s="181">
        <v>12</v>
      </c>
      <c r="C13" s="182">
        <v>9</v>
      </c>
      <c r="D13" s="181">
        <v>2020</v>
      </c>
      <c r="E13" s="113">
        <f>Combine!G14</f>
        <v>270895</v>
      </c>
      <c r="F13" s="183">
        <v>1.2547999999999999</v>
      </c>
      <c r="G13" s="113">
        <f>Combine!M14</f>
        <v>2519.6705516705451</v>
      </c>
      <c r="H13" s="184">
        <v>8.3661999999999992</v>
      </c>
      <c r="I13" s="113">
        <f>Combine!J14</f>
        <v>421.56999999999971</v>
      </c>
      <c r="J13" s="183">
        <v>8.3085000000000004</v>
      </c>
      <c r="K13" s="113">
        <f>Combine!N14</f>
        <v>142</v>
      </c>
      <c r="L13" s="113">
        <f>Combine!O14</f>
        <v>290</v>
      </c>
    </row>
    <row r="14" spans="1:12">
      <c r="A14" s="180" t="s">
        <v>400</v>
      </c>
      <c r="B14" s="181">
        <v>13</v>
      </c>
      <c r="C14" s="182">
        <v>9</v>
      </c>
      <c r="D14" s="181">
        <v>2020</v>
      </c>
      <c r="E14" s="113">
        <f>Combine!G15</f>
        <v>263435</v>
      </c>
      <c r="F14" s="183">
        <v>1.2547999999999999</v>
      </c>
      <c r="G14" s="113">
        <f>Combine!M15</f>
        <v>2468.0354312354393</v>
      </c>
      <c r="H14" s="184">
        <v>8.3661999999999992</v>
      </c>
      <c r="I14" s="113">
        <f>Combine!J15</f>
        <v>458.14969999999994</v>
      </c>
      <c r="J14" s="183">
        <v>8.3085000000000004</v>
      </c>
      <c r="K14" s="113">
        <f>Combine!N15</f>
        <v>57</v>
      </c>
      <c r="L14" s="113">
        <f>Combine!O15</f>
        <v>106</v>
      </c>
    </row>
    <row r="15" spans="1:12">
      <c r="A15" s="180" t="s">
        <v>400</v>
      </c>
      <c r="B15" s="181">
        <v>14</v>
      </c>
      <c r="C15" s="182">
        <v>9</v>
      </c>
      <c r="D15" s="181">
        <v>2020</v>
      </c>
      <c r="E15" s="113">
        <f>Combine!G16</f>
        <v>254720</v>
      </c>
      <c r="F15" s="183">
        <v>1.2547999999999999</v>
      </c>
      <c r="G15" s="113">
        <f>Combine!M16</f>
        <v>2393.9070707070623</v>
      </c>
      <c r="H15" s="184">
        <v>8.3661999999999992</v>
      </c>
      <c r="I15" s="113">
        <f>Combine!J16</f>
        <v>431.07110000000011</v>
      </c>
      <c r="J15" s="183">
        <v>8.3085000000000004</v>
      </c>
      <c r="K15" s="113">
        <f>Combine!N16</f>
        <v>39</v>
      </c>
      <c r="L15" s="113">
        <f>Combine!O16</f>
        <v>69</v>
      </c>
    </row>
    <row r="16" spans="1:12">
      <c r="A16" s="180" t="s">
        <v>400</v>
      </c>
      <c r="B16" s="181">
        <v>15</v>
      </c>
      <c r="C16" s="182">
        <v>9</v>
      </c>
      <c r="D16" s="181">
        <v>2020</v>
      </c>
      <c r="E16" s="113">
        <f>Combine!G17</f>
        <v>255595</v>
      </c>
      <c r="F16" s="183">
        <v>1.2547999999999999</v>
      </c>
      <c r="G16" s="113">
        <f>Combine!M17</f>
        <v>2634.9986013985999</v>
      </c>
      <c r="H16" s="184">
        <v>8.3661999999999992</v>
      </c>
      <c r="I16" s="113">
        <f>Combine!J17</f>
        <v>365.58269999999993</v>
      </c>
      <c r="J16" s="183">
        <v>8.3085000000000004</v>
      </c>
      <c r="K16" s="113">
        <f>Combine!N17</f>
        <v>45</v>
      </c>
      <c r="L16" s="113">
        <f>Combine!O17</f>
        <v>75</v>
      </c>
    </row>
    <row r="17" spans="1:12">
      <c r="A17" s="180" t="s">
        <v>400</v>
      </c>
      <c r="B17" s="181">
        <v>16</v>
      </c>
      <c r="C17" s="182">
        <v>9</v>
      </c>
      <c r="D17" s="181">
        <v>2020</v>
      </c>
      <c r="E17" s="113">
        <f>Combine!G18</f>
        <v>260985</v>
      </c>
      <c r="F17" s="183">
        <v>1.2547999999999999</v>
      </c>
      <c r="G17" s="113">
        <f>Combine!M18</f>
        <v>2290.6989898990005</v>
      </c>
      <c r="H17" s="184">
        <v>8.3661999999999992</v>
      </c>
      <c r="I17" s="113">
        <f>Combine!J18</f>
        <v>355.69280000000072</v>
      </c>
      <c r="J17" s="183">
        <v>8.3085000000000004</v>
      </c>
      <c r="K17" s="113">
        <f>Combine!N18</f>
        <v>44</v>
      </c>
      <c r="L17" s="113">
        <f>Combine!O18</f>
        <v>75</v>
      </c>
    </row>
    <row r="18" spans="1:12">
      <c r="A18" s="180" t="s">
        <v>400</v>
      </c>
      <c r="B18" s="181">
        <v>17</v>
      </c>
      <c r="C18" s="182">
        <v>9</v>
      </c>
      <c r="D18" s="181">
        <v>2020</v>
      </c>
      <c r="E18" s="113">
        <f>Combine!G19</f>
        <v>260315</v>
      </c>
      <c r="F18" s="183">
        <v>1.2547999999999999</v>
      </c>
      <c r="G18" s="113">
        <f>Combine!M19</f>
        <v>2503.3261849261744</v>
      </c>
      <c r="H18" s="184">
        <v>8.3661999999999992</v>
      </c>
      <c r="I18" s="113">
        <f>Combine!J19</f>
        <v>407.73949999999968</v>
      </c>
      <c r="J18" s="183">
        <v>8.3085000000000004</v>
      </c>
      <c r="K18" s="113">
        <f>Combine!N19</f>
        <v>72</v>
      </c>
      <c r="L18" s="113">
        <f>Combine!O19</f>
        <v>133</v>
      </c>
    </row>
    <row r="19" spans="1:12">
      <c r="A19" s="180" t="s">
        <v>400</v>
      </c>
      <c r="B19" s="181">
        <v>18</v>
      </c>
      <c r="C19" s="182">
        <v>9</v>
      </c>
      <c r="D19" s="181">
        <v>2020</v>
      </c>
      <c r="E19" s="113">
        <f>Combine!G20</f>
        <v>267775</v>
      </c>
      <c r="F19" s="183">
        <v>1.2547999999999999</v>
      </c>
      <c r="G19" s="113">
        <f>Combine!M20</f>
        <v>2357.0225330225426</v>
      </c>
      <c r="H19" s="184">
        <v>8.3661999999999992</v>
      </c>
      <c r="I19" s="113">
        <f>Combine!J20</f>
        <v>424.59910000000036</v>
      </c>
      <c r="J19" s="183">
        <v>8.3085000000000004</v>
      </c>
      <c r="K19" s="113">
        <f>Combine!N20</f>
        <v>107</v>
      </c>
      <c r="L19" s="113">
        <f>Combine!O20</f>
        <v>213</v>
      </c>
    </row>
    <row r="20" spans="1:12">
      <c r="A20" s="180" t="s">
        <v>400</v>
      </c>
      <c r="B20" s="181">
        <v>19</v>
      </c>
      <c r="C20" s="182">
        <v>9</v>
      </c>
      <c r="D20" s="181">
        <v>2020</v>
      </c>
      <c r="E20" s="113">
        <f>Combine!G21</f>
        <v>271200</v>
      </c>
      <c r="F20" s="183">
        <v>1.2547999999999999</v>
      </c>
      <c r="G20" s="113">
        <f>Combine!M21</f>
        <v>2603.124164724165</v>
      </c>
      <c r="H20" s="184">
        <v>8.3661999999999992</v>
      </c>
      <c r="I20" s="113">
        <f>Combine!J21</f>
        <v>445.93559999999979</v>
      </c>
      <c r="J20" s="183">
        <v>8.3085000000000004</v>
      </c>
      <c r="K20" s="113">
        <f>Combine!N21</f>
        <v>162</v>
      </c>
      <c r="L20" s="113">
        <f>Combine!O21</f>
        <v>347</v>
      </c>
    </row>
    <row r="21" spans="1:12">
      <c r="A21" s="180" t="s">
        <v>400</v>
      </c>
      <c r="B21" s="181">
        <v>20</v>
      </c>
      <c r="C21" s="182">
        <v>9</v>
      </c>
      <c r="D21" s="181">
        <v>2020</v>
      </c>
      <c r="E21" s="113">
        <f>Combine!G22</f>
        <v>270400</v>
      </c>
      <c r="F21" s="183">
        <v>1.2547999999999999</v>
      </c>
      <c r="G21" s="113">
        <f>Combine!M22</f>
        <v>2626.3459207459191</v>
      </c>
      <c r="H21" s="184">
        <v>8.3661999999999992</v>
      </c>
      <c r="I21" s="113">
        <f>Combine!J22</f>
        <v>480.80310000000009</v>
      </c>
      <c r="J21" s="183">
        <v>8.3085000000000004</v>
      </c>
      <c r="K21" s="113">
        <f>Combine!N22</f>
        <v>99</v>
      </c>
      <c r="L21" s="113">
        <f>Combine!O22</f>
        <v>201</v>
      </c>
    </row>
    <row r="22" spans="1:12">
      <c r="A22" s="180" t="s">
        <v>400</v>
      </c>
      <c r="B22" s="181">
        <v>21</v>
      </c>
      <c r="C22" s="182">
        <v>9</v>
      </c>
      <c r="D22" s="181">
        <v>2020</v>
      </c>
      <c r="E22" s="113">
        <f>Combine!G23</f>
        <v>268345</v>
      </c>
      <c r="F22" s="183">
        <v>1.2547999999999999</v>
      </c>
      <c r="G22" s="113">
        <f>Combine!M23</f>
        <v>2826.9700077700008</v>
      </c>
      <c r="H22" s="184">
        <v>8.3661999999999992</v>
      </c>
      <c r="I22" s="113">
        <f>Combine!J23</f>
        <v>476.98549999999977</v>
      </c>
      <c r="J22" s="183">
        <v>8.3085000000000004</v>
      </c>
      <c r="K22" s="113">
        <f>Combine!N23</f>
        <v>59</v>
      </c>
      <c r="L22" s="113">
        <f>Combine!O23</f>
        <v>117</v>
      </c>
    </row>
    <row r="23" spans="1:12">
      <c r="A23" s="180" t="s">
        <v>400</v>
      </c>
      <c r="B23" s="181">
        <v>22</v>
      </c>
      <c r="C23" s="182">
        <v>9</v>
      </c>
      <c r="D23" s="181">
        <v>2020</v>
      </c>
      <c r="E23" s="113">
        <f>Combine!G24</f>
        <v>257740</v>
      </c>
      <c r="F23" s="183">
        <v>1.2547999999999999</v>
      </c>
      <c r="G23" s="113">
        <f>Combine!M24</f>
        <v>2837.6466200466284</v>
      </c>
      <c r="H23" s="184">
        <v>8.3661999999999992</v>
      </c>
      <c r="I23" s="113">
        <f>Combine!J24</f>
        <v>419.88040000000001</v>
      </c>
      <c r="J23" s="183">
        <v>8.3085000000000004</v>
      </c>
      <c r="K23" s="113">
        <f>Combine!N24</f>
        <v>59</v>
      </c>
      <c r="L23" s="113">
        <f>Combine!O24</f>
        <v>114</v>
      </c>
    </row>
    <row r="24" spans="1:12">
      <c r="A24" s="180" t="s">
        <v>400</v>
      </c>
      <c r="B24" s="181">
        <v>23</v>
      </c>
      <c r="C24" s="182">
        <v>9</v>
      </c>
      <c r="D24" s="181">
        <v>2020</v>
      </c>
      <c r="E24" s="113">
        <f>Combine!G25</f>
        <v>255830</v>
      </c>
      <c r="F24" s="183">
        <v>1.2547999999999999</v>
      </c>
      <c r="G24" s="113">
        <f>Combine!M25</f>
        <v>2595.1925407925319</v>
      </c>
      <c r="H24" s="184">
        <v>8.3661999999999992</v>
      </c>
      <c r="I24" s="113">
        <f>Combine!J25</f>
        <v>363.69620000000032</v>
      </c>
      <c r="J24" s="183">
        <v>8.3085000000000004</v>
      </c>
      <c r="K24" s="113">
        <f>Combine!N25</f>
        <v>67</v>
      </c>
      <c r="L24" s="113">
        <f>Combine!O25</f>
        <v>133</v>
      </c>
    </row>
    <row r="25" spans="1:12">
      <c r="A25" s="180" t="s">
        <v>400</v>
      </c>
      <c r="B25" s="181">
        <v>24</v>
      </c>
      <c r="C25" s="182">
        <v>9</v>
      </c>
      <c r="D25" s="181">
        <v>2020</v>
      </c>
      <c r="E25" s="113">
        <f>Combine!G26</f>
        <v>266360</v>
      </c>
      <c r="F25" s="183">
        <v>1.2547999999999999</v>
      </c>
      <c r="G25" s="113">
        <f>Combine!M26</f>
        <v>2016.5557109557092</v>
      </c>
      <c r="H25" s="184">
        <v>8.3661999999999992</v>
      </c>
      <c r="I25" s="113">
        <f>Combine!J26</f>
        <v>398.98239999999987</v>
      </c>
      <c r="J25" s="183">
        <v>8.3085000000000004</v>
      </c>
      <c r="K25" s="113">
        <f>Combine!N26</f>
        <v>92</v>
      </c>
      <c r="L25" s="113">
        <f>Combine!O26</f>
        <v>177</v>
      </c>
    </row>
    <row r="26" spans="1:12">
      <c r="A26" s="180" t="s">
        <v>400</v>
      </c>
      <c r="B26" s="181">
        <v>25</v>
      </c>
      <c r="C26" s="182">
        <v>9</v>
      </c>
      <c r="D26" s="181">
        <v>2020</v>
      </c>
      <c r="E26" s="113">
        <f>Combine!G27</f>
        <v>273420</v>
      </c>
      <c r="F26" s="183">
        <v>1.2547999999999999</v>
      </c>
      <c r="G26" s="113">
        <f>Combine!M27</f>
        <v>3385.6671328671355</v>
      </c>
      <c r="H26" s="184">
        <v>8.3661999999999992</v>
      </c>
      <c r="I26" s="113">
        <f>Combine!J27</f>
        <v>410.99469999999928</v>
      </c>
      <c r="J26" s="183">
        <v>8.3085000000000004</v>
      </c>
      <c r="K26" s="113">
        <f>Combine!N27</f>
        <v>158</v>
      </c>
      <c r="L26" s="113">
        <f>Combine!O27</f>
        <v>348</v>
      </c>
    </row>
    <row r="27" spans="1:12">
      <c r="A27" s="180" t="s">
        <v>400</v>
      </c>
      <c r="B27" s="181">
        <v>26</v>
      </c>
      <c r="C27" s="182">
        <v>9</v>
      </c>
      <c r="D27" s="181">
        <v>2020</v>
      </c>
      <c r="E27" s="113">
        <f>Combine!G28</f>
        <v>280100</v>
      </c>
      <c r="F27" s="183">
        <v>1.2547999999999999</v>
      </c>
      <c r="G27" s="113">
        <f>Combine!M28</f>
        <v>2896.5830613830558</v>
      </c>
      <c r="H27" s="184">
        <v>8.3661999999999992</v>
      </c>
      <c r="I27" s="113">
        <f>Combine!J28</f>
        <v>484.62670000000071</v>
      </c>
      <c r="J27" s="183">
        <v>8.3085000000000004</v>
      </c>
      <c r="K27" s="113">
        <f>Combine!N28</f>
        <v>186</v>
      </c>
      <c r="L27" s="113">
        <f>Combine!O28</f>
        <v>415</v>
      </c>
    </row>
    <row r="28" spans="1:12">
      <c r="A28" s="180" t="s">
        <v>400</v>
      </c>
      <c r="B28" s="181">
        <v>27</v>
      </c>
      <c r="C28" s="182">
        <v>9</v>
      </c>
      <c r="D28" s="181">
        <v>2020</v>
      </c>
      <c r="E28" s="113">
        <f>Combine!G29</f>
        <v>286000</v>
      </c>
      <c r="F28" s="183">
        <v>1.2547999999999999</v>
      </c>
      <c r="G28" s="113">
        <f>Combine!M29</f>
        <v>3036.8919968920004</v>
      </c>
      <c r="H28" s="184">
        <v>8.3661999999999992</v>
      </c>
      <c r="I28" s="113">
        <f>Combine!J29</f>
        <v>514.58169999999973</v>
      </c>
      <c r="J28" s="183">
        <v>8.3085000000000004</v>
      </c>
      <c r="K28" s="113">
        <f>Combine!N29</f>
        <v>155</v>
      </c>
      <c r="L28" s="113">
        <f>Combine!O29</f>
        <v>328</v>
      </c>
    </row>
    <row r="29" spans="1:12">
      <c r="A29" s="180" t="s">
        <v>400</v>
      </c>
      <c r="B29" s="181">
        <v>28</v>
      </c>
      <c r="C29" s="182">
        <v>9</v>
      </c>
      <c r="D29" s="181">
        <v>2020</v>
      </c>
      <c r="E29" s="113">
        <f>Combine!G30</f>
        <v>275885</v>
      </c>
      <c r="F29" s="183">
        <v>1.2547999999999999</v>
      </c>
      <c r="G29" s="113">
        <f>Combine!M30</f>
        <v>3077.747319347327</v>
      </c>
      <c r="H29" s="184">
        <v>8.3661999999999992</v>
      </c>
      <c r="I29" s="113">
        <f>Combine!J30</f>
        <v>509.34720000000016</v>
      </c>
      <c r="J29" s="183">
        <v>8.3085000000000004</v>
      </c>
      <c r="K29" s="113">
        <f>Combine!N30</f>
        <v>110</v>
      </c>
      <c r="L29" s="113">
        <f>Combine!O30</f>
        <v>217</v>
      </c>
    </row>
    <row r="30" spans="1:12">
      <c r="A30" s="180" t="s">
        <v>400</v>
      </c>
      <c r="B30" s="181">
        <v>29</v>
      </c>
      <c r="C30" s="182">
        <v>9</v>
      </c>
      <c r="D30" s="181">
        <v>2020</v>
      </c>
      <c r="E30" s="113">
        <f>Combine!G31</f>
        <v>275885</v>
      </c>
      <c r="F30" s="183">
        <v>1.2547999999999999</v>
      </c>
      <c r="G30" s="113">
        <f>Combine!M31</f>
        <v>3121.6994560994576</v>
      </c>
      <c r="H30" s="184">
        <v>8.3661999999999992</v>
      </c>
      <c r="I30" s="113">
        <f>Combine!J31</f>
        <v>489.90009999999984</v>
      </c>
      <c r="J30" s="183">
        <v>8.3085000000000004</v>
      </c>
      <c r="K30" s="113">
        <f>Combine!N31</f>
        <v>91</v>
      </c>
      <c r="L30" s="113">
        <f>Combine!O31</f>
        <v>179</v>
      </c>
    </row>
    <row r="31" spans="1:12">
      <c r="A31" s="180" t="s">
        <v>400</v>
      </c>
      <c r="B31" s="181">
        <v>30</v>
      </c>
      <c r="C31" s="182">
        <v>9</v>
      </c>
      <c r="D31" s="181">
        <v>2020</v>
      </c>
      <c r="E31" s="113">
        <f>Combine!G32</f>
        <v>281350</v>
      </c>
      <c r="F31" s="183">
        <v>1.2547999999999999</v>
      </c>
      <c r="G31" s="113">
        <f>Combine!M32</f>
        <v>3025.4073038073029</v>
      </c>
      <c r="H31" s="184">
        <v>8.3661999999999992</v>
      </c>
      <c r="I31" s="113">
        <f>Combine!J32</f>
        <v>429.0027</v>
      </c>
      <c r="J31" s="183">
        <v>8.3085000000000004</v>
      </c>
      <c r="K31" s="113">
        <f>Combine!N32</f>
        <v>113</v>
      </c>
      <c r="L31" s="113">
        <f>Combine!O32</f>
        <v>248</v>
      </c>
    </row>
    <row r="32" spans="1:12">
      <c r="A32" s="180"/>
      <c r="B32" s="181"/>
      <c r="C32" s="182"/>
      <c r="D32" s="181"/>
      <c r="E32" s="113"/>
      <c r="F32" s="183"/>
      <c r="G32" s="113"/>
      <c r="H32" s="184"/>
      <c r="I32" s="113"/>
      <c r="J32" s="183"/>
      <c r="K32" s="113"/>
      <c r="L32" s="1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0"/>
      <c r="C1" s="110"/>
      <c r="D1" s="110"/>
      <c r="E1" s="114" t="s">
        <v>0</v>
      </c>
      <c r="F1" s="115" t="s">
        <v>1</v>
      </c>
      <c r="G1" s="121" t="s">
        <v>2</v>
      </c>
      <c r="H1" s="114" t="s">
        <v>0</v>
      </c>
      <c r="I1" s="115" t="s">
        <v>1</v>
      </c>
      <c r="J1" s="118" t="s">
        <v>2</v>
      </c>
      <c r="K1" s="114" t="s">
        <v>0</v>
      </c>
      <c r="L1" s="115" t="s">
        <v>1</v>
      </c>
      <c r="M1" s="121" t="s">
        <v>2</v>
      </c>
      <c r="N1" s="209" t="s">
        <v>65</v>
      </c>
      <c r="O1" s="210"/>
      <c r="P1" s="211"/>
    </row>
    <row r="2" spans="1:17" s="2" customFormat="1" ht="60" customHeight="1">
      <c r="A2" s="4" t="s">
        <v>3</v>
      </c>
      <c r="B2" s="5" t="s">
        <v>4</v>
      </c>
      <c r="C2" s="5" t="s">
        <v>5</v>
      </c>
      <c r="D2" s="111"/>
      <c r="E2" s="116" t="s">
        <v>6</v>
      </c>
      <c r="F2" s="137" t="s">
        <v>6</v>
      </c>
      <c r="G2" s="145" t="s">
        <v>6</v>
      </c>
      <c r="H2" s="146" t="s">
        <v>9</v>
      </c>
      <c r="I2" s="138" t="s">
        <v>9</v>
      </c>
      <c r="J2" s="145" t="s">
        <v>9</v>
      </c>
      <c r="K2" s="116" t="s">
        <v>7</v>
      </c>
      <c r="L2" s="116" t="s">
        <v>7</v>
      </c>
      <c r="M2" s="122" t="s">
        <v>8</v>
      </c>
      <c r="N2" s="152" t="s">
        <v>10</v>
      </c>
      <c r="O2" s="5" t="s">
        <v>11</v>
      </c>
      <c r="P2" s="151" t="s">
        <v>12</v>
      </c>
      <c r="Q2" s="140" t="s">
        <v>393</v>
      </c>
    </row>
    <row r="3" spans="1:17" ht="15.75">
      <c r="A3" s="7" t="s">
        <v>14</v>
      </c>
      <c r="B3" s="7">
        <v>1</v>
      </c>
      <c r="C3" s="182">
        <v>9</v>
      </c>
      <c r="D3" s="112">
        <v>2020</v>
      </c>
      <c r="E3" s="141">
        <f>'Athens Daily - EL'!AK8</f>
        <v>257170</v>
      </c>
      <c r="F3" s="143"/>
      <c r="G3" s="123">
        <f>SUM(E3,F3)</f>
        <v>257170</v>
      </c>
      <c r="H3" s="141">
        <f>'Athens Daily - Water'!R7</f>
        <v>565.55370000000039</v>
      </c>
      <c r="I3" s="113"/>
      <c r="J3" s="119">
        <f t="shared" ref="J3:J33" si="0">SUM(H3,I3)</f>
        <v>565.55370000000039</v>
      </c>
      <c r="K3" s="141">
        <f>'Athens Daily - Gas'!BH9</f>
        <v>93365.759999999631</v>
      </c>
      <c r="L3" s="113"/>
      <c r="M3" s="123">
        <f>SUM(K3,L3)/38.61</f>
        <v>2418.1756021755928</v>
      </c>
      <c r="N3" s="150">
        <f>Occ!G10</f>
        <v>33</v>
      </c>
      <c r="O3" s="96">
        <f>Occ!H10</f>
        <v>60</v>
      </c>
      <c r="P3" s="149">
        <v>918</v>
      </c>
      <c r="Q3" s="158"/>
    </row>
    <row r="4" spans="1:17" ht="15.75">
      <c r="A4" s="7" t="s">
        <v>14</v>
      </c>
      <c r="B4" s="7">
        <v>2</v>
      </c>
      <c r="C4" s="182">
        <v>9</v>
      </c>
      <c r="D4" s="112">
        <v>2020</v>
      </c>
      <c r="E4" s="141">
        <f>'Athens Daily - EL'!AK9</f>
        <v>250410</v>
      </c>
      <c r="F4" s="143"/>
      <c r="G4" s="123">
        <f t="shared" ref="G4:G33" si="1">SUM(E4,F4)</f>
        <v>250410</v>
      </c>
      <c r="H4" s="141">
        <f>'Athens Daily - Water'!R8</f>
        <v>497.09709999999995</v>
      </c>
      <c r="I4" s="113"/>
      <c r="J4" s="119">
        <f t="shared" si="0"/>
        <v>497.09709999999995</v>
      </c>
      <c r="K4" s="141">
        <f>'Athens Daily - Gas'!BH10</f>
        <v>92344.800000000425</v>
      </c>
      <c r="L4" s="113"/>
      <c r="M4" s="123">
        <f t="shared" ref="M4:M33" si="2">SUM(K4,L4)/38.61</f>
        <v>2391.7327117327227</v>
      </c>
      <c r="N4" s="150">
        <f>Occ!G11</f>
        <v>29</v>
      </c>
      <c r="O4" s="96">
        <f>Occ!H11</f>
        <v>46</v>
      </c>
      <c r="P4" s="149">
        <v>918</v>
      </c>
      <c r="Q4" s="158"/>
    </row>
    <row r="5" spans="1:17" ht="15.75">
      <c r="A5" s="7" t="s">
        <v>14</v>
      </c>
      <c r="B5" s="7">
        <v>3</v>
      </c>
      <c r="C5" s="182">
        <v>9</v>
      </c>
      <c r="D5" s="112">
        <v>2020</v>
      </c>
      <c r="E5" s="141">
        <f>'Athens Daily - EL'!AK10</f>
        <v>253870</v>
      </c>
      <c r="F5" s="143"/>
      <c r="G5" s="123">
        <f t="shared" si="1"/>
        <v>253870</v>
      </c>
      <c r="H5" s="141">
        <f>'Athens Daily - Water'!R9</f>
        <v>367.33179999999993</v>
      </c>
      <c r="I5" s="113"/>
      <c r="J5" s="119">
        <f t="shared" si="0"/>
        <v>367.33179999999993</v>
      </c>
      <c r="K5" s="141">
        <f>'Athens Daily - Gas'!BH11</f>
        <v>92479.295999999798</v>
      </c>
      <c r="L5" s="113"/>
      <c r="M5" s="123">
        <f t="shared" si="2"/>
        <v>2395.2161616161566</v>
      </c>
      <c r="N5" s="150">
        <f>Occ!G12</f>
        <v>36</v>
      </c>
      <c r="O5" s="96">
        <f>Occ!H12</f>
        <v>63</v>
      </c>
      <c r="P5" s="149">
        <v>918</v>
      </c>
      <c r="Q5" s="158"/>
    </row>
    <row r="6" spans="1:17" ht="15.75">
      <c r="A6" s="7" t="s">
        <v>14</v>
      </c>
      <c r="B6" s="7">
        <v>4</v>
      </c>
      <c r="C6" s="182">
        <v>9</v>
      </c>
      <c r="D6" s="112">
        <v>2020</v>
      </c>
      <c r="E6" s="141">
        <f>'Athens Daily - EL'!AK11</f>
        <v>257985</v>
      </c>
      <c r="F6" s="143"/>
      <c r="G6" s="123">
        <f t="shared" si="1"/>
        <v>257985</v>
      </c>
      <c r="H6" s="141">
        <f>'Athens Daily - Water'!R10</f>
        <v>319.34869999999955</v>
      </c>
      <c r="I6" s="113"/>
      <c r="J6" s="119">
        <f t="shared" si="0"/>
        <v>319.34869999999955</v>
      </c>
      <c r="K6" s="141">
        <f>'Athens Daily - Gas'!BH12</f>
        <v>85697.808000000237</v>
      </c>
      <c r="L6" s="113"/>
      <c r="M6" s="123">
        <f t="shared" si="2"/>
        <v>2219.5754467754527</v>
      </c>
      <c r="N6" s="150">
        <f>Occ!G13</f>
        <v>59</v>
      </c>
      <c r="O6" s="96">
        <f>Occ!H13</f>
        <v>105</v>
      </c>
      <c r="P6" s="149">
        <v>918</v>
      </c>
      <c r="Q6" s="158"/>
    </row>
    <row r="7" spans="1:17" ht="15.75">
      <c r="A7" s="7" t="s">
        <v>14</v>
      </c>
      <c r="B7" s="7">
        <v>5</v>
      </c>
      <c r="C7" s="182">
        <v>9</v>
      </c>
      <c r="D7" s="112">
        <v>2020</v>
      </c>
      <c r="E7" s="141">
        <f>'Athens Daily - EL'!AK12</f>
        <v>258170</v>
      </c>
      <c r="F7" s="143"/>
      <c r="G7" s="123">
        <f t="shared" si="1"/>
        <v>258170</v>
      </c>
      <c r="H7" s="141">
        <f>'Athens Daily - Water'!R11</f>
        <v>366.58250000000044</v>
      </c>
      <c r="I7" s="113"/>
      <c r="J7" s="119">
        <f t="shared" si="0"/>
        <v>366.58250000000044</v>
      </c>
      <c r="K7" s="141">
        <f>'Athens Daily - Gas'!BH13</f>
        <v>96256.751999999949</v>
      </c>
      <c r="L7" s="113"/>
      <c r="M7" s="123">
        <f t="shared" si="2"/>
        <v>2493.0523698523684</v>
      </c>
      <c r="N7" s="150">
        <f>Occ!G14</f>
        <v>96</v>
      </c>
      <c r="O7" s="96">
        <f>Occ!H14</f>
        <v>192</v>
      </c>
      <c r="P7" s="149">
        <v>918</v>
      </c>
      <c r="Q7" s="158"/>
    </row>
    <row r="8" spans="1:17" ht="15.75">
      <c r="A8" s="7" t="s">
        <v>14</v>
      </c>
      <c r="B8" s="7">
        <v>6</v>
      </c>
      <c r="C8" s="182">
        <v>9</v>
      </c>
      <c r="D8" s="112">
        <v>2020</v>
      </c>
      <c r="E8" s="141">
        <f>'Athens Daily - EL'!AK13</f>
        <v>254975</v>
      </c>
      <c r="F8" s="143"/>
      <c r="G8" s="123">
        <f t="shared" si="1"/>
        <v>254975</v>
      </c>
      <c r="H8" s="141">
        <f>'Athens Daily - Water'!R12</f>
        <v>371.06570000000011</v>
      </c>
      <c r="I8" s="113"/>
      <c r="J8" s="119">
        <f t="shared" si="0"/>
        <v>371.06570000000011</v>
      </c>
      <c r="K8" s="141">
        <f>'Athens Daily - Gas'!BH14</f>
        <v>91308.575999999564</v>
      </c>
      <c r="L8" s="113"/>
      <c r="M8" s="123">
        <f t="shared" si="2"/>
        <v>2364.8944832944721</v>
      </c>
      <c r="N8" s="150">
        <f>Occ!G15</f>
        <v>59</v>
      </c>
      <c r="O8" s="96">
        <f>Occ!H15</f>
        <v>109</v>
      </c>
      <c r="P8" s="149">
        <v>918</v>
      </c>
      <c r="Q8" s="158"/>
    </row>
    <row r="9" spans="1:17" ht="15.75">
      <c r="A9" s="7" t="s">
        <v>14</v>
      </c>
      <c r="B9" s="7">
        <v>7</v>
      </c>
      <c r="C9" s="182">
        <v>9</v>
      </c>
      <c r="D9" s="112">
        <v>2020</v>
      </c>
      <c r="E9" s="141">
        <f>'Athens Daily - EL'!AK14</f>
        <v>260900</v>
      </c>
      <c r="F9" s="143"/>
      <c r="G9" s="123">
        <f t="shared" si="1"/>
        <v>260900</v>
      </c>
      <c r="H9" s="141">
        <f>'Athens Daily - Water'!R13</f>
        <v>367.79249999999956</v>
      </c>
      <c r="I9" s="113"/>
      <c r="J9" s="119">
        <f t="shared" si="0"/>
        <v>367.79249999999956</v>
      </c>
      <c r="K9" s="141">
        <f>'Athens Daily - Gas'!BH15</f>
        <v>94823.087999999989</v>
      </c>
      <c r="L9" s="113"/>
      <c r="M9" s="123">
        <f t="shared" si="2"/>
        <v>2455.9204351204348</v>
      </c>
      <c r="N9" s="150">
        <f>Occ!G16</f>
        <v>50</v>
      </c>
      <c r="O9" s="96">
        <f>Occ!H16</f>
        <v>86</v>
      </c>
      <c r="P9" s="149">
        <v>918</v>
      </c>
      <c r="Q9" s="158"/>
    </row>
    <row r="10" spans="1:17">
      <c r="A10" s="7" t="s">
        <v>14</v>
      </c>
      <c r="B10" s="7">
        <v>8</v>
      </c>
      <c r="C10" s="182">
        <v>9</v>
      </c>
      <c r="D10" s="112">
        <v>2020</v>
      </c>
      <c r="E10" s="141">
        <f>'Athens Daily - EL'!AK15</f>
        <v>262380</v>
      </c>
      <c r="F10" s="143"/>
      <c r="G10" s="123">
        <f t="shared" si="1"/>
        <v>262380</v>
      </c>
      <c r="H10" s="141">
        <f>'Athens Daily - Water'!R14</f>
        <v>457.94740000000002</v>
      </c>
      <c r="I10" s="113"/>
      <c r="J10" s="119">
        <f t="shared" si="0"/>
        <v>457.94740000000002</v>
      </c>
      <c r="K10" s="141">
        <f>'Athens Daily - Gas'!BH16</f>
        <v>96561.743999999992</v>
      </c>
      <c r="L10" s="113"/>
      <c r="M10" s="123">
        <f t="shared" si="2"/>
        <v>2500.9516705516703</v>
      </c>
      <c r="N10" s="150">
        <f>Occ!G17</f>
        <v>63</v>
      </c>
      <c r="O10" s="96">
        <f>Occ!H17</f>
        <v>104</v>
      </c>
      <c r="P10" s="149">
        <v>918</v>
      </c>
      <c r="Q10" s="94"/>
    </row>
    <row r="11" spans="1:17">
      <c r="A11" s="7" t="s">
        <v>14</v>
      </c>
      <c r="B11" s="7">
        <v>9</v>
      </c>
      <c r="C11" s="182">
        <v>9</v>
      </c>
      <c r="D11" s="112">
        <v>2020</v>
      </c>
      <c r="E11" s="141">
        <f>'Athens Daily - EL'!AK16</f>
        <v>257715</v>
      </c>
      <c r="F11" s="143"/>
      <c r="G11" s="123">
        <f t="shared" si="1"/>
        <v>257715</v>
      </c>
      <c r="H11" s="141">
        <f>'Athens Daily - Water'!R15</f>
        <v>521.49449999999979</v>
      </c>
      <c r="I11" s="113"/>
      <c r="J11" s="119">
        <f t="shared" si="0"/>
        <v>521.49449999999979</v>
      </c>
      <c r="K11" s="141">
        <f>'Athens Daily - Gas'!BH17</f>
        <v>88513.968000000023</v>
      </c>
      <c r="L11" s="113"/>
      <c r="M11" s="123">
        <f t="shared" si="2"/>
        <v>2292.5140637140644</v>
      </c>
      <c r="N11" s="150">
        <f>Occ!G18</f>
        <v>61</v>
      </c>
      <c r="O11" s="96">
        <f>Occ!H18</f>
        <v>102</v>
      </c>
      <c r="P11" s="149">
        <v>918</v>
      </c>
      <c r="Q11" s="94"/>
    </row>
    <row r="12" spans="1:17" ht="15.75">
      <c r="A12" s="7" t="s">
        <v>14</v>
      </c>
      <c r="B12" s="7">
        <v>10</v>
      </c>
      <c r="C12" s="182">
        <v>9</v>
      </c>
      <c r="D12" s="112">
        <v>2020</v>
      </c>
      <c r="E12" s="141">
        <f>'Athens Daily - EL'!AK17</f>
        <v>262500</v>
      </c>
      <c r="F12" s="143"/>
      <c r="G12" s="123">
        <f t="shared" si="1"/>
        <v>262500</v>
      </c>
      <c r="H12" s="141">
        <f>'Athens Daily - Water'!R16</f>
        <v>480.1867000000002</v>
      </c>
      <c r="I12" s="113"/>
      <c r="J12" s="119">
        <f t="shared" si="0"/>
        <v>480.1867000000002</v>
      </c>
      <c r="K12" s="141">
        <f>'Athens Daily - Gas'!BH18</f>
        <v>91706.016000000614</v>
      </c>
      <c r="L12" s="113"/>
      <c r="M12" s="123">
        <f t="shared" si="2"/>
        <v>2375.1881895882057</v>
      </c>
      <c r="N12" s="150">
        <f>Occ!G19</f>
        <v>59</v>
      </c>
      <c r="O12" s="96">
        <f>Occ!H19</f>
        <v>95</v>
      </c>
      <c r="P12" s="149">
        <v>918</v>
      </c>
      <c r="Q12" s="158"/>
    </row>
    <row r="13" spans="1:17" ht="15.75">
      <c r="A13" s="7" t="s">
        <v>14</v>
      </c>
      <c r="B13" s="7">
        <v>11</v>
      </c>
      <c r="C13" s="182">
        <v>9</v>
      </c>
      <c r="D13" s="112">
        <v>2020</v>
      </c>
      <c r="E13" s="141">
        <f>'Athens Daily - EL'!AK18</f>
        <v>261065</v>
      </c>
      <c r="F13" s="143"/>
      <c r="G13" s="123">
        <f t="shared" si="1"/>
        <v>261065</v>
      </c>
      <c r="H13" s="141">
        <f>'Athens Daily - Water'!R17</f>
        <v>355.49459999999999</v>
      </c>
      <c r="I13" s="113"/>
      <c r="J13" s="119">
        <f t="shared" si="0"/>
        <v>355.49459999999999</v>
      </c>
      <c r="K13" s="141">
        <f>'Athens Daily - Gas'!BH19</f>
        <v>89939.375999999844</v>
      </c>
      <c r="L13" s="113"/>
      <c r="M13" s="123">
        <f t="shared" si="2"/>
        <v>2329.4321678321639</v>
      </c>
      <c r="N13" s="150">
        <f>Occ!G20</f>
        <v>80</v>
      </c>
      <c r="O13" s="96">
        <f>Occ!H20</f>
        <v>146</v>
      </c>
      <c r="P13" s="149">
        <v>918</v>
      </c>
      <c r="Q13" s="158"/>
    </row>
    <row r="14" spans="1:17" ht="15.75">
      <c r="A14" s="7" t="s">
        <v>14</v>
      </c>
      <c r="B14" s="7">
        <v>12</v>
      </c>
      <c r="C14" s="182">
        <v>9</v>
      </c>
      <c r="D14" s="112">
        <v>2020</v>
      </c>
      <c r="E14" s="141">
        <f>'Athens Daily - EL'!AK19</f>
        <v>270895</v>
      </c>
      <c r="F14" s="143"/>
      <c r="G14" s="123">
        <f t="shared" si="1"/>
        <v>270895</v>
      </c>
      <c r="H14" s="141">
        <f>'Athens Daily - Water'!R18</f>
        <v>421.56999999999971</v>
      </c>
      <c r="I14" s="113"/>
      <c r="J14" s="119">
        <f t="shared" si="0"/>
        <v>421.56999999999971</v>
      </c>
      <c r="K14" s="141">
        <f>'Athens Daily - Gas'!BH20</f>
        <v>97284.479999999749</v>
      </c>
      <c r="L14" s="113"/>
      <c r="M14" s="123">
        <f t="shared" si="2"/>
        <v>2519.6705516705451</v>
      </c>
      <c r="N14" s="150">
        <f>Occ!G21</f>
        <v>142</v>
      </c>
      <c r="O14" s="96">
        <f>Occ!H21</f>
        <v>290</v>
      </c>
      <c r="P14" s="149">
        <v>918</v>
      </c>
      <c r="Q14" s="158"/>
    </row>
    <row r="15" spans="1:17">
      <c r="A15" s="7" t="s">
        <v>14</v>
      </c>
      <c r="B15" s="7">
        <v>13</v>
      </c>
      <c r="C15" s="182">
        <v>9</v>
      </c>
      <c r="D15" s="112">
        <v>2020</v>
      </c>
      <c r="E15" s="141">
        <f>'Athens Daily - EL'!AK20</f>
        <v>263435</v>
      </c>
      <c r="F15" s="159"/>
      <c r="G15" s="123">
        <f t="shared" si="1"/>
        <v>263435</v>
      </c>
      <c r="H15" s="141">
        <f>'Athens Daily - Water'!R19</f>
        <v>458.14969999999994</v>
      </c>
      <c r="I15" s="113"/>
      <c r="J15" s="119">
        <f t="shared" si="0"/>
        <v>458.14969999999994</v>
      </c>
      <c r="K15" s="141">
        <f>'Athens Daily - Gas'!BH21</f>
        <v>95290.848000000318</v>
      </c>
      <c r="L15" s="113"/>
      <c r="M15" s="123">
        <f t="shared" si="2"/>
        <v>2468.0354312354393</v>
      </c>
      <c r="N15" s="150">
        <f>Occ!G22</f>
        <v>57</v>
      </c>
      <c r="O15" s="96">
        <f>Occ!H22</f>
        <v>106</v>
      </c>
      <c r="P15" s="149">
        <v>918</v>
      </c>
      <c r="Q15" s="155"/>
    </row>
    <row r="16" spans="1:17">
      <c r="A16" s="7" t="s">
        <v>14</v>
      </c>
      <c r="B16" s="7">
        <v>14</v>
      </c>
      <c r="C16" s="182">
        <v>9</v>
      </c>
      <c r="D16" s="112">
        <v>2020</v>
      </c>
      <c r="E16" s="141">
        <f>'Athens Daily - EL'!AK21</f>
        <v>254720</v>
      </c>
      <c r="F16" s="143"/>
      <c r="G16" s="123">
        <f t="shared" si="1"/>
        <v>254720</v>
      </c>
      <c r="H16" s="141">
        <f>'Athens Daily - Water'!R20</f>
        <v>431.07110000000011</v>
      </c>
      <c r="I16" s="113"/>
      <c r="J16" s="119">
        <f t="shared" si="0"/>
        <v>431.07110000000011</v>
      </c>
      <c r="K16" s="141">
        <f>'Athens Daily - Gas'!BH22</f>
        <v>92428.751999999673</v>
      </c>
      <c r="L16" s="113"/>
      <c r="M16" s="123">
        <f t="shared" si="2"/>
        <v>2393.9070707070623</v>
      </c>
      <c r="N16" s="150">
        <f>Occ!G23</f>
        <v>39</v>
      </c>
      <c r="O16" s="96">
        <f>Occ!H23</f>
        <v>69</v>
      </c>
      <c r="P16" s="149">
        <v>918</v>
      </c>
      <c r="Q16" s="155"/>
    </row>
    <row r="17" spans="1:17">
      <c r="A17" s="7" t="s">
        <v>14</v>
      </c>
      <c r="B17" s="7">
        <v>15</v>
      </c>
      <c r="C17" s="182">
        <v>9</v>
      </c>
      <c r="D17" s="112">
        <v>2020</v>
      </c>
      <c r="E17" s="141">
        <f>'Athens Daily - EL'!AK22</f>
        <v>255595</v>
      </c>
      <c r="F17" s="143"/>
      <c r="G17" s="123">
        <f t="shared" si="1"/>
        <v>255595</v>
      </c>
      <c r="H17" s="141">
        <f>'Athens Daily - Water'!R21</f>
        <v>365.58269999999993</v>
      </c>
      <c r="I17" s="113"/>
      <c r="J17" s="119">
        <f t="shared" si="0"/>
        <v>365.58269999999993</v>
      </c>
      <c r="K17" s="141">
        <f>'Athens Daily - Gas'!BH23</f>
        <v>101737.29599999994</v>
      </c>
      <c r="L17" s="113"/>
      <c r="M17" s="123">
        <f t="shared" si="2"/>
        <v>2634.9986013985999</v>
      </c>
      <c r="N17" s="150">
        <f>Occ!G24</f>
        <v>45</v>
      </c>
      <c r="O17" s="96">
        <f>Occ!H24</f>
        <v>75</v>
      </c>
      <c r="P17" s="149">
        <v>918</v>
      </c>
      <c r="Q17" s="155"/>
    </row>
    <row r="18" spans="1:17">
      <c r="A18" s="7" t="s">
        <v>14</v>
      </c>
      <c r="B18" s="7">
        <v>16</v>
      </c>
      <c r="C18" s="182">
        <v>9</v>
      </c>
      <c r="D18" s="112">
        <v>2020</v>
      </c>
      <c r="E18" s="141">
        <f>'Athens Daily - EL'!AK23</f>
        <v>260985</v>
      </c>
      <c r="F18" s="143"/>
      <c r="G18" s="123">
        <f t="shared" si="1"/>
        <v>260985</v>
      </c>
      <c r="H18" s="141">
        <f>'Athens Daily - Water'!R22</f>
        <v>355.69280000000072</v>
      </c>
      <c r="I18" s="113"/>
      <c r="J18" s="119">
        <f t="shared" si="0"/>
        <v>355.69280000000072</v>
      </c>
      <c r="K18" s="141">
        <f>'Athens Daily - Gas'!BH24</f>
        <v>88443.888000000414</v>
      </c>
      <c r="L18" s="113"/>
      <c r="M18" s="123">
        <f t="shared" si="2"/>
        <v>2290.6989898990005</v>
      </c>
      <c r="N18" s="150">
        <f>Occ!G25</f>
        <v>44</v>
      </c>
      <c r="O18" s="96">
        <f>Occ!H25</f>
        <v>75</v>
      </c>
      <c r="P18" s="149">
        <v>918</v>
      </c>
      <c r="Q18" s="154"/>
    </row>
    <row r="19" spans="1:17">
      <c r="A19" s="7" t="s">
        <v>14</v>
      </c>
      <c r="B19" s="7">
        <v>17</v>
      </c>
      <c r="C19" s="182">
        <v>9</v>
      </c>
      <c r="D19" s="112">
        <v>2020</v>
      </c>
      <c r="E19" s="141">
        <f>'Athens Daily - EL'!AK24</f>
        <v>260315</v>
      </c>
      <c r="F19" s="143"/>
      <c r="G19" s="123">
        <f t="shared" si="1"/>
        <v>260315</v>
      </c>
      <c r="H19" s="141">
        <f>'Athens Daily - Water'!R23</f>
        <v>407.73949999999968</v>
      </c>
      <c r="I19" s="113"/>
      <c r="J19" s="119">
        <f t="shared" si="0"/>
        <v>407.73949999999968</v>
      </c>
      <c r="K19" s="141">
        <f>'Athens Daily - Gas'!BH25</f>
        <v>96653.423999999592</v>
      </c>
      <c r="L19" s="113"/>
      <c r="M19" s="123">
        <f t="shared" si="2"/>
        <v>2503.3261849261744</v>
      </c>
      <c r="N19" s="150">
        <f>Occ!G26</f>
        <v>72</v>
      </c>
      <c r="O19" s="96">
        <f>Occ!H26</f>
        <v>133</v>
      </c>
      <c r="P19" s="149">
        <v>918</v>
      </c>
      <c r="Q19" s="154"/>
    </row>
    <row r="20" spans="1:17">
      <c r="A20" s="7" t="s">
        <v>14</v>
      </c>
      <c r="B20" s="7">
        <v>18</v>
      </c>
      <c r="C20" s="182">
        <v>9</v>
      </c>
      <c r="D20" s="112">
        <v>2020</v>
      </c>
      <c r="E20" s="141">
        <f>'Athens Daily - EL'!AK25</f>
        <v>267775</v>
      </c>
      <c r="F20" s="143"/>
      <c r="G20" s="123">
        <f t="shared" si="1"/>
        <v>267775</v>
      </c>
      <c r="H20" s="141">
        <f>'Athens Daily - Water'!R24</f>
        <v>424.59910000000036</v>
      </c>
      <c r="I20" s="113"/>
      <c r="J20" s="119">
        <f t="shared" si="0"/>
        <v>424.59910000000036</v>
      </c>
      <c r="K20" s="141">
        <f>'Athens Daily - Gas'!BH26</f>
        <v>91004.640000000363</v>
      </c>
      <c r="L20" s="113"/>
      <c r="M20" s="123">
        <f t="shared" si="2"/>
        <v>2357.0225330225426</v>
      </c>
      <c r="N20" s="150">
        <f>Occ!G27</f>
        <v>107</v>
      </c>
      <c r="O20" s="96">
        <f>Occ!H27</f>
        <v>213</v>
      </c>
      <c r="P20" s="149">
        <v>918</v>
      </c>
      <c r="Q20" s="154"/>
    </row>
    <row r="21" spans="1:17">
      <c r="A21" s="7" t="s">
        <v>14</v>
      </c>
      <c r="B21" s="7">
        <v>19</v>
      </c>
      <c r="C21" s="182">
        <v>9</v>
      </c>
      <c r="D21" s="112">
        <v>2020</v>
      </c>
      <c r="E21" s="141">
        <f>'Athens Daily - EL'!AK26</f>
        <v>271200</v>
      </c>
      <c r="F21" s="143"/>
      <c r="G21" s="123">
        <f t="shared" si="1"/>
        <v>271200</v>
      </c>
      <c r="H21" s="141">
        <f>'Athens Daily - Water'!R25</f>
        <v>445.93559999999979</v>
      </c>
      <c r="I21" s="113"/>
      <c r="J21" s="119">
        <f t="shared" si="0"/>
        <v>445.93559999999979</v>
      </c>
      <c r="K21" s="141">
        <f>'Athens Daily - Gas'!BH27</f>
        <v>100506.62400000001</v>
      </c>
      <c r="L21" s="163"/>
      <c r="M21" s="123">
        <f t="shared" si="2"/>
        <v>2603.124164724165</v>
      </c>
      <c r="N21" s="150">
        <f>Occ!G28</f>
        <v>162</v>
      </c>
      <c r="O21" s="96">
        <f>Occ!H28</f>
        <v>347</v>
      </c>
      <c r="P21" s="149">
        <v>918</v>
      </c>
      <c r="Q21" s="154"/>
    </row>
    <row r="22" spans="1:17">
      <c r="A22" s="7" t="s">
        <v>14</v>
      </c>
      <c r="B22" s="7">
        <v>20</v>
      </c>
      <c r="C22" s="182">
        <v>9</v>
      </c>
      <c r="D22" s="112">
        <v>2020</v>
      </c>
      <c r="E22" s="141">
        <f>'Athens Daily - EL'!AK27</f>
        <v>270400</v>
      </c>
      <c r="F22" s="143"/>
      <c r="G22" s="123">
        <f t="shared" si="1"/>
        <v>270400</v>
      </c>
      <c r="H22" s="141">
        <f>'Athens Daily - Water'!R26</f>
        <v>480.80310000000009</v>
      </c>
      <c r="I22" s="113"/>
      <c r="J22" s="119">
        <f t="shared" si="0"/>
        <v>480.80310000000009</v>
      </c>
      <c r="K22" s="141">
        <f>'Athens Daily - Gas'!BH28</f>
        <v>101403.21599999993</v>
      </c>
      <c r="L22" s="113"/>
      <c r="M22" s="123">
        <f t="shared" si="2"/>
        <v>2626.3459207459191</v>
      </c>
      <c r="N22" s="150">
        <f>Occ!G29</f>
        <v>99</v>
      </c>
      <c r="O22" s="96">
        <f>Occ!H29</f>
        <v>201</v>
      </c>
      <c r="P22" s="149">
        <v>918</v>
      </c>
      <c r="Q22" s="155"/>
    </row>
    <row r="23" spans="1:17">
      <c r="A23" s="7" t="s">
        <v>14</v>
      </c>
      <c r="B23" s="7">
        <v>21</v>
      </c>
      <c r="C23" s="182">
        <v>9</v>
      </c>
      <c r="D23" s="112">
        <v>2020</v>
      </c>
      <c r="E23" s="141">
        <f>'Athens Daily - EL'!AK28</f>
        <v>268345</v>
      </c>
      <c r="F23" s="143"/>
      <c r="G23" s="123">
        <f t="shared" si="1"/>
        <v>268345</v>
      </c>
      <c r="H23" s="162">
        <f>'Athens Daily - Water'!R27</f>
        <v>476.98549999999977</v>
      </c>
      <c r="I23" s="163"/>
      <c r="J23" s="119">
        <f t="shared" si="0"/>
        <v>476.98549999999977</v>
      </c>
      <c r="K23" s="141">
        <f>'Athens Daily - Gas'!BH29</f>
        <v>109149.31199999973</v>
      </c>
      <c r="L23" s="113"/>
      <c r="M23" s="123">
        <f t="shared" si="2"/>
        <v>2826.9700077700008</v>
      </c>
      <c r="N23" s="150">
        <f>Occ!G30</f>
        <v>59</v>
      </c>
      <c r="O23" s="96">
        <f>Occ!H30</f>
        <v>117</v>
      </c>
      <c r="P23" s="149">
        <v>918</v>
      </c>
      <c r="Q23" s="155"/>
    </row>
    <row r="24" spans="1:17">
      <c r="A24" s="7" t="s">
        <v>14</v>
      </c>
      <c r="B24" s="7">
        <v>22</v>
      </c>
      <c r="C24" s="182">
        <v>9</v>
      </c>
      <c r="D24" s="112">
        <v>2020</v>
      </c>
      <c r="E24" s="141">
        <f>'Athens Daily - EL'!AK29</f>
        <v>257740</v>
      </c>
      <c r="F24" s="143"/>
      <c r="G24" s="123">
        <f t="shared" si="1"/>
        <v>257740</v>
      </c>
      <c r="H24" s="162">
        <f>'Athens Daily - Water'!R28</f>
        <v>419.88040000000001</v>
      </c>
      <c r="I24" s="163"/>
      <c r="J24" s="119">
        <f t="shared" si="0"/>
        <v>419.88040000000001</v>
      </c>
      <c r="K24" s="141">
        <f>'Athens Daily - Gas'!BH30</f>
        <v>109561.53600000031</v>
      </c>
      <c r="L24" s="113"/>
      <c r="M24" s="123">
        <f t="shared" si="2"/>
        <v>2837.6466200466284</v>
      </c>
      <c r="N24" s="150">
        <f>Occ!G31</f>
        <v>59</v>
      </c>
      <c r="O24" s="96">
        <f>Occ!H31</f>
        <v>114</v>
      </c>
      <c r="P24" s="149">
        <v>918</v>
      </c>
      <c r="Q24" s="155"/>
    </row>
    <row r="25" spans="1:17">
      <c r="A25" s="7" t="s">
        <v>14</v>
      </c>
      <c r="B25" s="7">
        <v>23</v>
      </c>
      <c r="C25" s="182">
        <v>9</v>
      </c>
      <c r="D25" s="112">
        <v>2020</v>
      </c>
      <c r="E25" s="141">
        <f>'Athens Daily - EL'!AK30</f>
        <v>255830</v>
      </c>
      <c r="F25" s="143"/>
      <c r="G25" s="123">
        <f t="shared" si="1"/>
        <v>255830</v>
      </c>
      <c r="H25" s="162">
        <f>'Athens Daily - Water'!R29</f>
        <v>363.69620000000032</v>
      </c>
      <c r="I25" s="163"/>
      <c r="J25" s="119">
        <f t="shared" si="0"/>
        <v>363.69620000000032</v>
      </c>
      <c r="K25" s="162">
        <f>'Athens Daily - Gas'!BH31</f>
        <v>100200.38399999966</v>
      </c>
      <c r="L25" s="113"/>
      <c r="M25" s="123">
        <f t="shared" si="2"/>
        <v>2595.1925407925319</v>
      </c>
      <c r="N25" s="150">
        <f>Occ!G32</f>
        <v>67</v>
      </c>
      <c r="O25" s="96">
        <f>Occ!H32</f>
        <v>133</v>
      </c>
      <c r="P25" s="149">
        <v>918</v>
      </c>
      <c r="Q25" s="155"/>
    </row>
    <row r="26" spans="1:17">
      <c r="A26" s="7" t="s">
        <v>14</v>
      </c>
      <c r="B26" s="7">
        <v>24</v>
      </c>
      <c r="C26" s="182">
        <v>9</v>
      </c>
      <c r="D26" s="112">
        <v>2020</v>
      </c>
      <c r="E26" s="141">
        <f>'Athens Daily - EL'!AK31</f>
        <v>266360</v>
      </c>
      <c r="F26" s="143"/>
      <c r="G26" s="123">
        <f t="shared" si="1"/>
        <v>266360</v>
      </c>
      <c r="H26" s="162">
        <f>'Athens Daily - Water'!R30</f>
        <v>398.98239999999987</v>
      </c>
      <c r="I26" s="163"/>
      <c r="J26" s="119">
        <f t="shared" si="0"/>
        <v>398.98239999999987</v>
      </c>
      <c r="K26" s="141">
        <f>'Athens Daily - Gas'!BH32</f>
        <v>77859.215999999928</v>
      </c>
      <c r="L26" s="113"/>
      <c r="M26" s="123">
        <f t="shared" si="2"/>
        <v>2016.5557109557092</v>
      </c>
      <c r="N26" s="150">
        <f>Occ!G33</f>
        <v>92</v>
      </c>
      <c r="O26" s="96">
        <f>Occ!H33</f>
        <v>177</v>
      </c>
      <c r="P26" s="149">
        <v>918</v>
      </c>
      <c r="Q26" s="155"/>
    </row>
    <row r="27" spans="1:17">
      <c r="A27" s="7" t="s">
        <v>14</v>
      </c>
      <c r="B27" s="7">
        <v>25</v>
      </c>
      <c r="C27" s="182">
        <v>9</v>
      </c>
      <c r="D27" s="112">
        <v>2020</v>
      </c>
      <c r="E27" s="141">
        <f>'Athens Daily - EL'!AK32</f>
        <v>273420</v>
      </c>
      <c r="F27" s="143"/>
      <c r="G27" s="123">
        <f t="shared" si="1"/>
        <v>273420</v>
      </c>
      <c r="H27" s="162">
        <f>'Athens Daily - Water'!R31</f>
        <v>410.99469999999928</v>
      </c>
      <c r="I27" s="163"/>
      <c r="J27" s="119">
        <f t="shared" si="0"/>
        <v>410.99469999999928</v>
      </c>
      <c r="K27" s="141">
        <f>'Athens Daily - Gas'!BH33</f>
        <v>130720.60800000009</v>
      </c>
      <c r="L27" s="113"/>
      <c r="M27" s="123">
        <f t="shared" si="2"/>
        <v>3385.6671328671355</v>
      </c>
      <c r="N27" s="150">
        <f>Occ!G34</f>
        <v>158</v>
      </c>
      <c r="O27" s="96">
        <f>Occ!H34</f>
        <v>348</v>
      </c>
      <c r="P27" s="149">
        <v>918</v>
      </c>
      <c r="Q27" s="153"/>
    </row>
    <row r="28" spans="1:17">
      <c r="A28" s="7" t="s">
        <v>14</v>
      </c>
      <c r="B28" s="7">
        <v>26</v>
      </c>
      <c r="C28" s="182">
        <v>9</v>
      </c>
      <c r="D28" s="112">
        <v>2020</v>
      </c>
      <c r="E28" s="141">
        <f>'Athens Daily - EL'!AK33</f>
        <v>280100</v>
      </c>
      <c r="F28" s="143"/>
      <c r="G28" s="123">
        <f t="shared" si="1"/>
        <v>280100</v>
      </c>
      <c r="H28" s="141">
        <f>'Athens Daily - Water'!R32</f>
        <v>484.62670000000071</v>
      </c>
      <c r="I28" s="113"/>
      <c r="J28" s="119">
        <f t="shared" si="0"/>
        <v>484.62670000000071</v>
      </c>
      <c r="K28" s="141">
        <f>'Athens Daily - Gas'!BH34</f>
        <v>111837.07199999978</v>
      </c>
      <c r="L28" s="113"/>
      <c r="M28" s="123">
        <f t="shared" si="2"/>
        <v>2896.5830613830558</v>
      </c>
      <c r="N28" s="150">
        <f>Occ!G35</f>
        <v>186</v>
      </c>
      <c r="O28" s="96">
        <f>Occ!H35</f>
        <v>415</v>
      </c>
      <c r="P28" s="149">
        <v>918</v>
      </c>
      <c r="Q28" s="153"/>
    </row>
    <row r="29" spans="1:17">
      <c r="A29" s="7" t="s">
        <v>14</v>
      </c>
      <c r="B29" s="7">
        <v>27</v>
      </c>
      <c r="C29" s="182">
        <v>9</v>
      </c>
      <c r="D29" s="112">
        <v>2020</v>
      </c>
      <c r="E29" s="141">
        <f>'Athens Daily - EL'!AK34</f>
        <v>286000</v>
      </c>
      <c r="F29" s="143"/>
      <c r="G29" s="123">
        <f t="shared" si="1"/>
        <v>286000</v>
      </c>
      <c r="H29" s="141">
        <f>'Athens Daily - Water'!R33</f>
        <v>514.58169999999973</v>
      </c>
      <c r="I29" s="113"/>
      <c r="J29" s="119">
        <f t="shared" si="0"/>
        <v>514.58169999999973</v>
      </c>
      <c r="K29" s="141">
        <f>'Athens Daily - Gas'!BH35</f>
        <v>117254.40000000014</v>
      </c>
      <c r="L29" s="113"/>
      <c r="M29" s="123">
        <f t="shared" si="2"/>
        <v>3036.8919968920004</v>
      </c>
      <c r="N29" s="150">
        <f>Occ!G36</f>
        <v>155</v>
      </c>
      <c r="O29" s="96">
        <f>Occ!H36</f>
        <v>328</v>
      </c>
      <c r="P29" s="149">
        <v>918</v>
      </c>
      <c r="Q29" s="153"/>
    </row>
    <row r="30" spans="1:17">
      <c r="A30" s="7" t="s">
        <v>14</v>
      </c>
      <c r="B30" s="7">
        <v>28</v>
      </c>
      <c r="C30" s="182">
        <v>9</v>
      </c>
      <c r="D30" s="112">
        <v>2020</v>
      </c>
      <c r="E30" s="141">
        <f>'Athens Daily - EL'!AK35</f>
        <v>275885</v>
      </c>
      <c r="F30" s="143"/>
      <c r="G30" s="123">
        <f t="shared" si="1"/>
        <v>275885</v>
      </c>
      <c r="H30" s="141">
        <f>'Athens Daily - Water'!R34</f>
        <v>509.34720000000016</v>
      </c>
      <c r="I30" s="113"/>
      <c r="J30" s="119">
        <f t="shared" si="0"/>
        <v>509.34720000000016</v>
      </c>
      <c r="K30" s="141">
        <f>'Athens Daily - Gas'!BH36</f>
        <v>118831.8240000003</v>
      </c>
      <c r="L30" s="113"/>
      <c r="M30" s="123">
        <f t="shared" si="2"/>
        <v>3077.747319347327</v>
      </c>
      <c r="N30" s="150">
        <f>Occ!G37</f>
        <v>110</v>
      </c>
      <c r="O30" s="96">
        <f>Occ!H37</f>
        <v>217</v>
      </c>
      <c r="P30" s="149">
        <v>918</v>
      </c>
      <c r="Q30" s="153"/>
    </row>
    <row r="31" spans="1:17">
      <c r="A31" s="7" t="s">
        <v>14</v>
      </c>
      <c r="B31" s="7">
        <v>29</v>
      </c>
      <c r="C31" s="182">
        <v>9</v>
      </c>
      <c r="D31" s="112">
        <v>2020</v>
      </c>
      <c r="E31" s="141">
        <f>'Athens Daily - EL'!AK36</f>
        <v>275885</v>
      </c>
      <c r="F31" s="143"/>
      <c r="G31" s="123">
        <f t="shared" si="1"/>
        <v>275885</v>
      </c>
      <c r="H31" s="141">
        <f>'Athens Daily - Water'!R35</f>
        <v>489.90009999999984</v>
      </c>
      <c r="I31" s="113"/>
      <c r="J31" s="119">
        <f t="shared" si="0"/>
        <v>489.90009999999984</v>
      </c>
      <c r="K31" s="141">
        <f>'Athens Daily - Gas'!BH37</f>
        <v>120528.81600000005</v>
      </c>
      <c r="L31" s="113"/>
      <c r="M31" s="123">
        <f t="shared" si="2"/>
        <v>3121.6994560994576</v>
      </c>
      <c r="N31" s="150">
        <f>Occ!G38</f>
        <v>91</v>
      </c>
      <c r="O31" s="96">
        <f>Occ!H38</f>
        <v>179</v>
      </c>
      <c r="P31" s="149">
        <v>918</v>
      </c>
      <c r="Q31" s="153"/>
    </row>
    <row r="32" spans="1:17">
      <c r="A32" s="7" t="s">
        <v>14</v>
      </c>
      <c r="B32" s="7">
        <v>30</v>
      </c>
      <c r="C32" s="182">
        <v>9</v>
      </c>
      <c r="D32" s="112">
        <v>2020</v>
      </c>
      <c r="E32" s="141">
        <f>'Athens Daily - EL'!AK37</f>
        <v>281350</v>
      </c>
      <c r="F32" s="143"/>
      <c r="G32" s="123">
        <f t="shared" si="1"/>
        <v>281350</v>
      </c>
      <c r="H32" s="141">
        <f>'Athens Daily - Water'!R36</f>
        <v>429.0027</v>
      </c>
      <c r="I32" s="113"/>
      <c r="J32" s="119">
        <f t="shared" si="0"/>
        <v>429.0027</v>
      </c>
      <c r="K32" s="141">
        <f>'Athens Daily - Gas'!BH38</f>
        <v>116810.97599999997</v>
      </c>
      <c r="L32" s="113"/>
      <c r="M32" s="123">
        <f t="shared" si="2"/>
        <v>3025.4073038073029</v>
      </c>
      <c r="N32" s="150">
        <f>Occ!G39</f>
        <v>113</v>
      </c>
      <c r="O32" s="96">
        <f>Occ!H39</f>
        <v>248</v>
      </c>
      <c r="P32" s="149">
        <v>918</v>
      </c>
      <c r="Q32" s="153"/>
    </row>
    <row r="33" spans="1:17" ht="15.75" thickBot="1">
      <c r="A33" s="7" t="s">
        <v>14</v>
      </c>
      <c r="B33" s="7">
        <v>31</v>
      </c>
      <c r="C33" s="182">
        <v>9</v>
      </c>
      <c r="D33" s="112">
        <v>2020</v>
      </c>
      <c r="E33" s="142">
        <f>'Athens Daily - EL'!AK38</f>
        <v>0</v>
      </c>
      <c r="F33" s="144"/>
      <c r="G33" s="124">
        <f t="shared" si="1"/>
        <v>0</v>
      </c>
      <c r="H33" s="142">
        <f>'Athens Daily - Water'!R37</f>
        <v>0</v>
      </c>
      <c r="I33" s="117"/>
      <c r="J33" s="120">
        <f t="shared" si="0"/>
        <v>0</v>
      </c>
      <c r="K33" s="142">
        <f>'Athens Daily - Gas'!BH39</f>
        <v>0</v>
      </c>
      <c r="L33" s="117"/>
      <c r="M33" s="124">
        <f t="shared" si="2"/>
        <v>0</v>
      </c>
      <c r="N33" s="157">
        <f>Occ!G40</f>
        <v>0</v>
      </c>
      <c r="O33" s="148">
        <f>Occ!H40</f>
        <v>0</v>
      </c>
      <c r="P33" s="147">
        <v>918</v>
      </c>
      <c r="Q33" s="153"/>
    </row>
    <row r="35" spans="1:17">
      <c r="N35" s="185"/>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0" sqref="E10:F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12" t="s">
        <v>22</v>
      </c>
      <c r="H8" s="213"/>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35">
        <v>33</v>
      </c>
      <c r="D10" s="136">
        <v>60</v>
      </c>
      <c r="E10" s="135"/>
      <c r="F10" s="136"/>
      <c r="G10" s="156">
        <f>SUM(C10+E10)</f>
        <v>33</v>
      </c>
      <c r="H10" s="136">
        <f>D10+F10</f>
        <v>60</v>
      </c>
      <c r="I10" s="133">
        <v>918</v>
      </c>
      <c r="J10" s="125"/>
      <c r="K10" s="125"/>
      <c r="L10" s="125"/>
      <c r="M10" s="125"/>
      <c r="N10" s="125"/>
    </row>
    <row r="11" spans="1:14">
      <c r="A11" s="125"/>
      <c r="B11" s="134" t="s">
        <v>29</v>
      </c>
      <c r="C11" s="135">
        <v>29</v>
      </c>
      <c r="D11" s="136">
        <v>46</v>
      </c>
      <c r="E11" s="135"/>
      <c r="F11" s="136"/>
      <c r="G11" s="156">
        <f t="shared" ref="G11:G40" si="0">SUM(C11+E11)</f>
        <v>29</v>
      </c>
      <c r="H11" s="136">
        <f t="shared" ref="H11:H14" si="1">D11+F11</f>
        <v>46</v>
      </c>
      <c r="I11" s="133">
        <v>918</v>
      </c>
      <c r="J11" s="125"/>
      <c r="K11" s="125"/>
      <c r="L11" s="125"/>
      <c r="M11" s="125"/>
      <c r="N11" s="125"/>
    </row>
    <row r="12" spans="1:14">
      <c r="A12" s="125"/>
      <c r="B12" s="134" t="s">
        <v>30</v>
      </c>
      <c r="C12" s="135">
        <v>36</v>
      </c>
      <c r="D12" s="136">
        <v>63</v>
      </c>
      <c r="E12" s="135"/>
      <c r="F12" s="136"/>
      <c r="G12" s="156">
        <f t="shared" si="0"/>
        <v>36</v>
      </c>
      <c r="H12" s="136">
        <f t="shared" si="1"/>
        <v>63</v>
      </c>
      <c r="I12" s="133">
        <v>918</v>
      </c>
      <c r="J12" s="125"/>
      <c r="K12" s="125"/>
      <c r="L12" s="125"/>
      <c r="M12" s="125"/>
      <c r="N12" s="125"/>
    </row>
    <row r="13" spans="1:14">
      <c r="A13" s="125"/>
      <c r="B13" s="134" t="s">
        <v>31</v>
      </c>
      <c r="C13" s="135">
        <v>59</v>
      </c>
      <c r="D13" s="136">
        <v>105</v>
      </c>
      <c r="E13" s="135"/>
      <c r="F13" s="136"/>
      <c r="G13" s="156">
        <f t="shared" si="0"/>
        <v>59</v>
      </c>
      <c r="H13" s="136">
        <f t="shared" si="1"/>
        <v>105</v>
      </c>
      <c r="I13" s="133">
        <v>918</v>
      </c>
      <c r="J13" s="125"/>
      <c r="K13" s="125"/>
      <c r="L13" s="125"/>
      <c r="M13" s="125"/>
      <c r="N13" s="125"/>
    </row>
    <row r="14" spans="1:14">
      <c r="A14" s="125"/>
      <c r="B14" s="134" t="s">
        <v>32</v>
      </c>
      <c r="C14" s="135">
        <v>96</v>
      </c>
      <c r="D14" s="136">
        <v>192</v>
      </c>
      <c r="E14" s="135"/>
      <c r="F14" s="136"/>
      <c r="G14" s="156">
        <f t="shared" si="0"/>
        <v>96</v>
      </c>
      <c r="H14" s="136">
        <f t="shared" si="1"/>
        <v>192</v>
      </c>
      <c r="I14" s="133">
        <v>918</v>
      </c>
      <c r="J14" s="125"/>
      <c r="K14" s="125"/>
      <c r="L14" s="125"/>
      <c r="M14" s="125"/>
      <c r="N14" s="125"/>
    </row>
    <row r="15" spans="1:14">
      <c r="A15" s="125"/>
      <c r="B15" s="134" t="s">
        <v>33</v>
      </c>
      <c r="C15" s="135">
        <v>59</v>
      </c>
      <c r="D15" s="136">
        <v>109</v>
      </c>
      <c r="E15" s="135"/>
      <c r="F15" s="136"/>
      <c r="G15" s="156">
        <f t="shared" si="0"/>
        <v>59</v>
      </c>
      <c r="H15" s="136">
        <f t="shared" ref="H15:H40" si="2">D15+F15</f>
        <v>109</v>
      </c>
      <c r="I15" s="133">
        <v>918</v>
      </c>
      <c r="J15" s="125"/>
      <c r="K15" s="125"/>
      <c r="L15" s="125"/>
      <c r="M15" s="125"/>
      <c r="N15" s="125"/>
    </row>
    <row r="16" spans="1:14">
      <c r="A16" s="125"/>
      <c r="B16" s="134" t="s">
        <v>34</v>
      </c>
      <c r="C16" s="135">
        <v>50</v>
      </c>
      <c r="D16" s="136">
        <v>86</v>
      </c>
      <c r="E16" s="135"/>
      <c r="F16" s="136"/>
      <c r="G16" s="156">
        <f t="shared" si="0"/>
        <v>50</v>
      </c>
      <c r="H16" s="136">
        <f t="shared" si="2"/>
        <v>86</v>
      </c>
      <c r="I16" s="133">
        <v>918</v>
      </c>
      <c r="J16" s="125"/>
      <c r="K16" s="125"/>
      <c r="L16" s="125"/>
      <c r="M16" s="125"/>
      <c r="N16" s="125"/>
    </row>
    <row r="17" spans="1:14">
      <c r="A17" s="125"/>
      <c r="B17" s="134" t="s">
        <v>35</v>
      </c>
      <c r="C17" s="135">
        <v>63</v>
      </c>
      <c r="D17" s="136">
        <v>104</v>
      </c>
      <c r="E17" s="135"/>
      <c r="F17" s="136"/>
      <c r="G17" s="156">
        <f t="shared" si="0"/>
        <v>63</v>
      </c>
      <c r="H17" s="136">
        <f t="shared" si="2"/>
        <v>104</v>
      </c>
      <c r="I17" s="133">
        <v>918</v>
      </c>
      <c r="J17" s="125"/>
      <c r="K17" s="125"/>
      <c r="L17" s="125"/>
      <c r="M17" s="125"/>
      <c r="N17" s="125"/>
    </row>
    <row r="18" spans="1:14">
      <c r="A18" s="125"/>
      <c r="B18" s="134" t="s">
        <v>36</v>
      </c>
      <c r="C18" s="135">
        <v>61</v>
      </c>
      <c r="D18" s="136">
        <v>102</v>
      </c>
      <c r="E18" s="135"/>
      <c r="F18" s="136"/>
      <c r="G18" s="156">
        <f t="shared" si="0"/>
        <v>61</v>
      </c>
      <c r="H18" s="136">
        <f t="shared" si="2"/>
        <v>102</v>
      </c>
      <c r="I18" s="133">
        <v>918</v>
      </c>
      <c r="J18" s="125"/>
      <c r="K18" s="125"/>
      <c r="L18" s="125"/>
      <c r="M18" s="125"/>
      <c r="N18" s="125"/>
    </row>
    <row r="19" spans="1:14">
      <c r="A19" s="125"/>
      <c r="B19" s="134" t="s">
        <v>37</v>
      </c>
      <c r="C19" s="135">
        <v>59</v>
      </c>
      <c r="D19" s="136">
        <v>95</v>
      </c>
      <c r="E19" s="135"/>
      <c r="F19" s="136"/>
      <c r="G19" s="156">
        <f t="shared" si="0"/>
        <v>59</v>
      </c>
      <c r="H19" s="136">
        <f t="shared" si="2"/>
        <v>95</v>
      </c>
      <c r="I19" s="133">
        <v>918</v>
      </c>
      <c r="J19" s="125"/>
      <c r="K19" s="125"/>
      <c r="L19" s="125"/>
      <c r="M19" s="125"/>
      <c r="N19" s="125"/>
    </row>
    <row r="20" spans="1:14">
      <c r="A20" s="125"/>
      <c r="B20" s="134" t="s">
        <v>38</v>
      </c>
      <c r="C20" s="135">
        <v>80</v>
      </c>
      <c r="D20" s="136">
        <v>146</v>
      </c>
      <c r="E20" s="135"/>
      <c r="F20" s="136"/>
      <c r="G20" s="156">
        <f t="shared" si="0"/>
        <v>80</v>
      </c>
      <c r="H20" s="136">
        <f t="shared" si="2"/>
        <v>146</v>
      </c>
      <c r="I20" s="133">
        <v>918</v>
      </c>
      <c r="J20" s="125"/>
      <c r="K20" s="125"/>
      <c r="L20" s="125"/>
      <c r="M20" s="125"/>
      <c r="N20" s="125"/>
    </row>
    <row r="21" spans="1:14">
      <c r="A21" s="125"/>
      <c r="B21" s="134" t="s">
        <v>39</v>
      </c>
      <c r="C21" s="135">
        <v>142</v>
      </c>
      <c r="D21" s="136">
        <v>290</v>
      </c>
      <c r="E21" s="156"/>
      <c r="F21" s="136"/>
      <c r="G21" s="156">
        <f t="shared" ref="G21:G34" si="3">SUM(C21+E21)</f>
        <v>142</v>
      </c>
      <c r="H21" s="136">
        <f t="shared" ref="H21:H34" si="4">D21+F21</f>
        <v>290</v>
      </c>
      <c r="I21" s="133">
        <v>918</v>
      </c>
      <c r="J21" s="125"/>
      <c r="K21" s="125"/>
      <c r="L21" s="125"/>
      <c r="M21" s="125"/>
      <c r="N21" s="125"/>
    </row>
    <row r="22" spans="1:14">
      <c r="A22" s="125"/>
      <c r="B22" s="134" t="s">
        <v>40</v>
      </c>
      <c r="C22" s="135">
        <v>57</v>
      </c>
      <c r="D22" s="136">
        <v>106</v>
      </c>
      <c r="E22" s="156"/>
      <c r="F22" s="136"/>
      <c r="G22" s="156">
        <f t="shared" si="3"/>
        <v>57</v>
      </c>
      <c r="H22" s="136">
        <f t="shared" si="4"/>
        <v>106</v>
      </c>
      <c r="I22" s="133">
        <v>918</v>
      </c>
      <c r="J22" s="125"/>
      <c r="K22" s="125"/>
      <c r="L22" s="125"/>
      <c r="M22" s="125"/>
      <c r="N22" s="125"/>
    </row>
    <row r="23" spans="1:14">
      <c r="A23" s="125"/>
      <c r="B23" s="134" t="s">
        <v>41</v>
      </c>
      <c r="C23" s="135">
        <v>39</v>
      </c>
      <c r="D23" s="136">
        <v>69</v>
      </c>
      <c r="E23" s="156"/>
      <c r="F23" s="136"/>
      <c r="G23" s="156">
        <f t="shared" si="3"/>
        <v>39</v>
      </c>
      <c r="H23" s="136">
        <f t="shared" si="4"/>
        <v>69</v>
      </c>
      <c r="I23" s="133">
        <v>918</v>
      </c>
      <c r="J23" s="125"/>
      <c r="K23" s="125"/>
      <c r="L23" s="125"/>
      <c r="M23" s="125"/>
      <c r="N23" s="125"/>
    </row>
    <row r="24" spans="1:14">
      <c r="A24" s="125"/>
      <c r="B24" s="134" t="s">
        <v>42</v>
      </c>
      <c r="C24" s="135">
        <v>45</v>
      </c>
      <c r="D24" s="136">
        <v>75</v>
      </c>
      <c r="E24" s="156"/>
      <c r="F24" s="136"/>
      <c r="G24" s="156">
        <f t="shared" si="3"/>
        <v>45</v>
      </c>
      <c r="H24" s="136">
        <f t="shared" si="4"/>
        <v>75</v>
      </c>
      <c r="I24" s="133">
        <v>918</v>
      </c>
      <c r="J24" s="125"/>
      <c r="K24" s="125"/>
      <c r="L24" s="125"/>
      <c r="M24" s="125"/>
      <c r="N24" s="125"/>
    </row>
    <row r="25" spans="1:14">
      <c r="A25" s="125"/>
      <c r="B25" s="134" t="s">
        <v>43</v>
      </c>
      <c r="C25" s="135">
        <v>44</v>
      </c>
      <c r="D25" s="136">
        <v>75</v>
      </c>
      <c r="E25" s="156"/>
      <c r="F25" s="136"/>
      <c r="G25" s="156">
        <f t="shared" si="3"/>
        <v>44</v>
      </c>
      <c r="H25" s="136">
        <f t="shared" si="4"/>
        <v>75</v>
      </c>
      <c r="I25" s="133">
        <v>918</v>
      </c>
      <c r="J25" s="125"/>
      <c r="K25" s="125"/>
      <c r="L25" s="125"/>
      <c r="M25" s="125"/>
      <c r="N25" s="125"/>
    </row>
    <row r="26" spans="1:14">
      <c r="A26" s="125"/>
      <c r="B26" s="134" t="s">
        <v>44</v>
      </c>
      <c r="C26" s="135">
        <v>72</v>
      </c>
      <c r="D26" s="136">
        <v>133</v>
      </c>
      <c r="E26" s="156"/>
      <c r="F26" s="136"/>
      <c r="G26" s="156">
        <f t="shared" si="3"/>
        <v>72</v>
      </c>
      <c r="H26" s="136">
        <f t="shared" si="4"/>
        <v>133</v>
      </c>
      <c r="I26" s="133">
        <v>918</v>
      </c>
      <c r="J26" s="125"/>
      <c r="K26" s="125"/>
      <c r="L26" s="125"/>
      <c r="M26" s="125"/>
      <c r="N26" s="125"/>
    </row>
    <row r="27" spans="1:14">
      <c r="A27" s="125"/>
      <c r="B27" s="134" t="s">
        <v>45</v>
      </c>
      <c r="C27" s="135">
        <v>107</v>
      </c>
      <c r="D27" s="136">
        <v>213</v>
      </c>
      <c r="E27" s="156"/>
      <c r="F27" s="136"/>
      <c r="G27" s="156">
        <f t="shared" si="3"/>
        <v>107</v>
      </c>
      <c r="H27" s="136">
        <f t="shared" si="4"/>
        <v>213</v>
      </c>
      <c r="I27" s="133">
        <v>918</v>
      </c>
      <c r="J27" s="125"/>
      <c r="K27" s="125"/>
      <c r="L27" s="125"/>
      <c r="M27" s="125"/>
      <c r="N27" s="125"/>
    </row>
    <row r="28" spans="1:14">
      <c r="A28" s="125"/>
      <c r="B28" s="134" t="s">
        <v>46</v>
      </c>
      <c r="C28" s="135">
        <v>162</v>
      </c>
      <c r="D28" s="136">
        <v>347</v>
      </c>
      <c r="E28" s="156"/>
      <c r="F28" s="136"/>
      <c r="G28" s="156">
        <f t="shared" si="3"/>
        <v>162</v>
      </c>
      <c r="H28" s="136">
        <f t="shared" si="4"/>
        <v>347</v>
      </c>
      <c r="I28" s="133">
        <v>918</v>
      </c>
      <c r="J28" s="125"/>
      <c r="K28" s="125"/>
      <c r="L28" s="125"/>
      <c r="M28" s="125"/>
      <c r="N28" s="125"/>
    </row>
    <row r="29" spans="1:14">
      <c r="A29" s="125"/>
      <c r="B29" s="134" t="s">
        <v>47</v>
      </c>
      <c r="C29" s="135">
        <v>99</v>
      </c>
      <c r="D29" s="136">
        <v>201</v>
      </c>
      <c r="E29" s="156"/>
      <c r="F29" s="136"/>
      <c r="G29" s="156">
        <f t="shared" si="3"/>
        <v>99</v>
      </c>
      <c r="H29" s="136">
        <f t="shared" si="4"/>
        <v>201</v>
      </c>
      <c r="I29" s="133">
        <v>918</v>
      </c>
      <c r="J29" s="125"/>
      <c r="K29" s="125"/>
      <c r="L29" s="125"/>
      <c r="M29" s="125"/>
      <c r="N29" s="125"/>
    </row>
    <row r="30" spans="1:14">
      <c r="A30" s="125"/>
      <c r="B30" s="134" t="s">
        <v>48</v>
      </c>
      <c r="C30" s="135">
        <v>59</v>
      </c>
      <c r="D30" s="136">
        <v>117</v>
      </c>
      <c r="E30" s="156"/>
      <c r="F30" s="136"/>
      <c r="G30" s="156">
        <f t="shared" si="3"/>
        <v>59</v>
      </c>
      <c r="H30" s="136">
        <f t="shared" si="4"/>
        <v>117</v>
      </c>
      <c r="I30" s="133">
        <v>918</v>
      </c>
      <c r="J30" s="125"/>
      <c r="K30" s="125"/>
      <c r="L30" s="125"/>
      <c r="M30" s="125"/>
      <c r="N30" s="125"/>
    </row>
    <row r="31" spans="1:14">
      <c r="A31" s="125"/>
      <c r="B31" s="134" t="s">
        <v>49</v>
      </c>
      <c r="C31" s="135">
        <v>59</v>
      </c>
      <c r="D31" s="136">
        <v>114</v>
      </c>
      <c r="E31" s="156"/>
      <c r="F31" s="136"/>
      <c r="G31" s="156">
        <f t="shared" si="3"/>
        <v>59</v>
      </c>
      <c r="H31" s="136">
        <f t="shared" si="4"/>
        <v>114</v>
      </c>
      <c r="I31" s="133">
        <v>918</v>
      </c>
      <c r="J31" s="125"/>
      <c r="K31" s="125"/>
      <c r="L31" s="125"/>
      <c r="M31" s="125"/>
      <c r="N31" s="125"/>
    </row>
    <row r="32" spans="1:14">
      <c r="A32" s="125"/>
      <c r="B32" s="134" t="s">
        <v>50</v>
      </c>
      <c r="C32" s="135">
        <v>67</v>
      </c>
      <c r="D32" s="136">
        <v>133</v>
      </c>
      <c r="E32" s="156"/>
      <c r="F32" s="136"/>
      <c r="G32" s="156">
        <f t="shared" si="3"/>
        <v>67</v>
      </c>
      <c r="H32" s="136">
        <f t="shared" si="4"/>
        <v>133</v>
      </c>
      <c r="I32" s="133">
        <v>918</v>
      </c>
      <c r="J32" s="125"/>
      <c r="K32" s="125"/>
      <c r="L32" s="125"/>
      <c r="M32" s="125"/>
      <c r="N32" s="125"/>
    </row>
    <row r="33" spans="1:14">
      <c r="A33" s="125"/>
      <c r="B33" s="134" t="s">
        <v>51</v>
      </c>
      <c r="C33" s="135">
        <v>92</v>
      </c>
      <c r="D33" s="136">
        <v>177</v>
      </c>
      <c r="E33" s="156"/>
      <c r="F33" s="136"/>
      <c r="G33" s="156">
        <f t="shared" si="3"/>
        <v>92</v>
      </c>
      <c r="H33" s="136">
        <f t="shared" si="4"/>
        <v>177</v>
      </c>
      <c r="I33" s="133">
        <v>918</v>
      </c>
      <c r="J33" s="125"/>
      <c r="K33" s="125"/>
      <c r="L33" s="125"/>
      <c r="M33" s="125"/>
      <c r="N33" s="125"/>
    </row>
    <row r="34" spans="1:14">
      <c r="A34" s="125"/>
      <c r="B34" s="134" t="s">
        <v>52</v>
      </c>
      <c r="C34" s="135">
        <v>158</v>
      </c>
      <c r="D34" s="136">
        <v>348</v>
      </c>
      <c r="E34" s="156"/>
      <c r="F34" s="136"/>
      <c r="G34" s="156">
        <f t="shared" si="3"/>
        <v>158</v>
      </c>
      <c r="H34" s="136">
        <f t="shared" si="4"/>
        <v>348</v>
      </c>
      <c r="I34" s="133">
        <v>918</v>
      </c>
      <c r="J34" s="125"/>
      <c r="K34" s="125"/>
      <c r="L34" s="125"/>
      <c r="M34" s="125"/>
      <c r="N34" s="125"/>
    </row>
    <row r="35" spans="1:14">
      <c r="A35" s="125"/>
      <c r="B35" s="134" t="s">
        <v>53</v>
      </c>
      <c r="C35" s="135">
        <v>186</v>
      </c>
      <c r="D35" s="136">
        <v>415</v>
      </c>
      <c r="E35" s="135"/>
      <c r="F35" s="136"/>
      <c r="G35" s="156">
        <f t="shared" si="0"/>
        <v>186</v>
      </c>
      <c r="H35" s="136">
        <f t="shared" si="2"/>
        <v>415</v>
      </c>
      <c r="I35" s="133">
        <v>918</v>
      </c>
      <c r="J35" s="125"/>
      <c r="K35" s="125"/>
      <c r="L35" s="125"/>
      <c r="M35" s="125"/>
      <c r="N35" s="125"/>
    </row>
    <row r="36" spans="1:14">
      <c r="A36" s="125"/>
      <c r="B36" s="134" t="s">
        <v>54</v>
      </c>
      <c r="C36" s="135">
        <v>155</v>
      </c>
      <c r="D36" s="136">
        <v>328</v>
      </c>
      <c r="E36" s="135"/>
      <c r="F36" s="136"/>
      <c r="G36" s="156">
        <f t="shared" si="0"/>
        <v>155</v>
      </c>
      <c r="H36" s="136">
        <f t="shared" si="2"/>
        <v>328</v>
      </c>
      <c r="I36" s="133">
        <v>918</v>
      </c>
      <c r="J36" s="125"/>
      <c r="K36" s="125"/>
      <c r="L36" s="125"/>
      <c r="M36" s="125"/>
      <c r="N36" s="125"/>
    </row>
    <row r="37" spans="1:14">
      <c r="A37" s="125"/>
      <c r="B37" s="134" t="s">
        <v>55</v>
      </c>
      <c r="C37" s="135">
        <v>110</v>
      </c>
      <c r="D37" s="136">
        <v>217</v>
      </c>
      <c r="E37" s="135"/>
      <c r="F37" s="136"/>
      <c r="G37" s="156">
        <f t="shared" si="0"/>
        <v>110</v>
      </c>
      <c r="H37" s="136">
        <f t="shared" si="2"/>
        <v>217</v>
      </c>
      <c r="I37" s="133">
        <v>918</v>
      </c>
      <c r="J37" s="125"/>
      <c r="K37" s="125"/>
      <c r="L37" s="125"/>
      <c r="M37" s="125"/>
      <c r="N37" s="125"/>
    </row>
    <row r="38" spans="1:14" s="170" customFormat="1">
      <c r="A38" s="164"/>
      <c r="B38" s="165" t="s">
        <v>56</v>
      </c>
      <c r="C38" s="166">
        <v>91</v>
      </c>
      <c r="D38" s="167">
        <v>179</v>
      </c>
      <c r="E38" s="166"/>
      <c r="F38" s="167"/>
      <c r="G38" s="168">
        <f t="shared" si="0"/>
        <v>91</v>
      </c>
      <c r="H38" s="167">
        <f t="shared" si="2"/>
        <v>179</v>
      </c>
      <c r="I38" s="169">
        <v>918</v>
      </c>
      <c r="J38" s="164"/>
      <c r="K38" s="164"/>
      <c r="L38" s="164"/>
      <c r="M38" s="164"/>
      <c r="N38" s="164"/>
    </row>
    <row r="39" spans="1:14" s="170" customFormat="1">
      <c r="A39" s="164"/>
      <c r="B39" s="165" t="s">
        <v>57</v>
      </c>
      <c r="C39" s="166">
        <v>113</v>
      </c>
      <c r="D39" s="167">
        <v>248</v>
      </c>
      <c r="E39" s="166"/>
      <c r="F39" s="167"/>
      <c r="G39" s="168">
        <f t="shared" si="0"/>
        <v>113</v>
      </c>
      <c r="H39" s="167">
        <f t="shared" si="2"/>
        <v>248</v>
      </c>
      <c r="I39" s="169">
        <v>918</v>
      </c>
      <c r="J39" s="164"/>
      <c r="K39" s="164"/>
      <c r="L39" s="164"/>
      <c r="M39" s="164"/>
      <c r="N39" s="164"/>
    </row>
    <row r="40" spans="1:14" s="170" customFormat="1" ht="15.75" thickBot="1">
      <c r="A40" s="164"/>
      <c r="B40" s="165" t="s">
        <v>402</v>
      </c>
      <c r="C40" s="171"/>
      <c r="D40" s="172"/>
      <c r="E40" s="171"/>
      <c r="F40" s="172"/>
      <c r="G40" s="173">
        <f t="shared" si="0"/>
        <v>0</v>
      </c>
      <c r="H40" s="172">
        <f t="shared" si="2"/>
        <v>0</v>
      </c>
      <c r="I40" s="169">
        <v>918</v>
      </c>
      <c r="J40" s="164"/>
      <c r="K40" s="164"/>
      <c r="L40" s="164"/>
      <c r="M40" s="164"/>
      <c r="N40" s="164"/>
    </row>
    <row r="41" spans="1:14">
      <c r="C41" s="3">
        <f>SUM(C10:C40)</f>
        <v>2482</v>
      </c>
    </row>
    <row r="42" spans="1:14" ht="13.5" customHeight="1"/>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6">
        <f>'Athens Daily - EL'!AK8</f>
        <v>257170</v>
      </c>
      <c r="F2" s="96"/>
      <c r="G2" s="96">
        <f>'Athens Daily - Gas'!BH9</f>
        <v>93365.759999999631</v>
      </c>
      <c r="H2" s="96">
        <f>G2/38.3</f>
        <v>2437.748302872053</v>
      </c>
      <c r="I2" s="96"/>
      <c r="J2" s="96">
        <f>'Athens Daily - Water'!R7</f>
        <v>565.55370000000039</v>
      </c>
      <c r="K2" s="96"/>
      <c r="L2" s="97">
        <v>142</v>
      </c>
      <c r="M2" s="96">
        <f>L2*2</f>
        <v>284</v>
      </c>
      <c r="N2" s="94">
        <v>10</v>
      </c>
    </row>
    <row r="3" spans="1:14">
      <c r="A3" s="7" t="s">
        <v>14</v>
      </c>
      <c r="B3" s="7">
        <v>2</v>
      </c>
      <c r="C3" s="7">
        <v>1</v>
      </c>
      <c r="D3" s="7">
        <v>2021</v>
      </c>
      <c r="E3" s="96">
        <f>'Athens Daily - EL'!AK9</f>
        <v>250410</v>
      </c>
      <c r="F3" s="96"/>
      <c r="G3" s="96">
        <f>'Athens Daily - Gas'!BH10</f>
        <v>92344.800000000425</v>
      </c>
      <c r="H3" s="96">
        <f t="shared" ref="H3:H32" si="0">G3/38.3</f>
        <v>2411.0913838120218</v>
      </c>
      <c r="I3" s="96"/>
      <c r="J3" s="96">
        <f>'Athens Daily - Water'!R8</f>
        <v>497.09709999999995</v>
      </c>
      <c r="K3" s="96"/>
      <c r="L3" s="97">
        <v>102</v>
      </c>
      <c r="M3" s="96">
        <f t="shared" ref="M3:M32" si="1">L3*2</f>
        <v>204</v>
      </c>
      <c r="N3" s="94">
        <v>12</v>
      </c>
    </row>
    <row r="4" spans="1:14">
      <c r="A4" s="7" t="s">
        <v>14</v>
      </c>
      <c r="B4" s="7">
        <v>3</v>
      </c>
      <c r="C4" s="7">
        <v>1</v>
      </c>
      <c r="D4" s="7">
        <v>2021</v>
      </c>
      <c r="E4" s="96">
        <f>'Athens Daily - EL'!AK10</f>
        <v>253870</v>
      </c>
      <c r="F4" s="96"/>
      <c r="G4" s="96">
        <f>'Athens Daily - Gas'!BH11</f>
        <v>92479.295999999798</v>
      </c>
      <c r="H4" s="96">
        <f t="shared" si="0"/>
        <v>2414.6030287206218</v>
      </c>
      <c r="I4" s="96"/>
      <c r="J4" s="96">
        <f>'Athens Daily - Water'!R9</f>
        <v>367.33179999999993</v>
      </c>
      <c r="K4" s="96"/>
      <c r="L4" s="97">
        <v>55</v>
      </c>
      <c r="M4" s="96">
        <f t="shared" si="1"/>
        <v>110</v>
      </c>
      <c r="N4" s="94">
        <v>15</v>
      </c>
    </row>
    <row r="5" spans="1:14">
      <c r="A5" s="7" t="s">
        <v>14</v>
      </c>
      <c r="B5" s="7">
        <v>4</v>
      </c>
      <c r="C5" s="7">
        <v>1</v>
      </c>
      <c r="D5" s="7">
        <v>2021</v>
      </c>
      <c r="E5" s="96">
        <f>'Athens Daily - EL'!AK11</f>
        <v>257985</v>
      </c>
      <c r="F5" s="96"/>
      <c r="G5" s="96">
        <f>'Athens Daily - Gas'!BH12</f>
        <v>85697.808000000237</v>
      </c>
      <c r="H5" s="96">
        <f t="shared" si="0"/>
        <v>2237.5406788511814</v>
      </c>
      <c r="I5" s="96"/>
      <c r="J5" s="96">
        <f>'Athens Daily - Water'!R10</f>
        <v>319.34869999999955</v>
      </c>
      <c r="K5" s="96"/>
      <c r="L5" s="97">
        <v>45</v>
      </c>
      <c r="M5" s="96">
        <f t="shared" si="1"/>
        <v>90</v>
      </c>
      <c r="N5" s="94">
        <v>17</v>
      </c>
    </row>
    <row r="6" spans="1:14">
      <c r="A6" s="7" t="s">
        <v>14</v>
      </c>
      <c r="B6" s="7">
        <v>5</v>
      </c>
      <c r="C6" s="7">
        <v>1</v>
      </c>
      <c r="D6" s="7">
        <v>2021</v>
      </c>
      <c r="E6" s="96">
        <f>'Athens Daily - EL'!AK12</f>
        <v>258170</v>
      </c>
      <c r="F6" s="96"/>
      <c r="G6" s="96">
        <f>'Athens Daily - Gas'!BH13</f>
        <v>96256.751999999949</v>
      </c>
      <c r="H6" s="96">
        <f t="shared" si="0"/>
        <v>2513.2311227154037</v>
      </c>
      <c r="I6" s="96"/>
      <c r="J6" s="96">
        <f>'Athens Daily - Water'!R11</f>
        <v>366.58250000000044</v>
      </c>
      <c r="K6" s="96"/>
      <c r="L6" s="97">
        <v>34</v>
      </c>
      <c r="M6" s="96">
        <f t="shared" si="1"/>
        <v>68</v>
      </c>
      <c r="N6" s="94">
        <v>15</v>
      </c>
    </row>
    <row r="7" spans="1:14">
      <c r="A7" s="7" t="s">
        <v>14</v>
      </c>
      <c r="B7" s="7">
        <v>6</v>
      </c>
      <c r="C7" s="7">
        <v>1</v>
      </c>
      <c r="D7" s="7">
        <v>2021</v>
      </c>
      <c r="E7" s="96">
        <f>'Athens Daily - EL'!AK13</f>
        <v>254975</v>
      </c>
      <c r="F7" s="96"/>
      <c r="G7" s="96">
        <f>'Athens Daily - Gas'!BH14</f>
        <v>91308.575999999564</v>
      </c>
      <c r="H7" s="96">
        <f t="shared" si="0"/>
        <v>2384.0359268929392</v>
      </c>
      <c r="I7" s="96"/>
      <c r="J7" s="96">
        <f>'Athens Daily - Water'!R12</f>
        <v>371.06570000000011</v>
      </c>
      <c r="K7" s="96"/>
      <c r="L7" s="97">
        <v>36</v>
      </c>
      <c r="M7" s="96">
        <f t="shared" si="1"/>
        <v>72</v>
      </c>
      <c r="N7" s="94"/>
    </row>
    <row r="8" spans="1:14">
      <c r="A8" s="7" t="s">
        <v>14</v>
      </c>
      <c r="B8" s="7">
        <v>7</v>
      </c>
      <c r="C8" s="7">
        <v>1</v>
      </c>
      <c r="D8" s="7">
        <v>2021</v>
      </c>
      <c r="E8" s="96">
        <f>'Athens Daily - EL'!AK14</f>
        <v>260900</v>
      </c>
      <c r="F8" s="96"/>
      <c r="G8" s="96">
        <f>'Athens Daily - Gas'!BH15</f>
        <v>94823.087999999989</v>
      </c>
      <c r="H8" s="96">
        <f t="shared" si="0"/>
        <v>2475.7986422976501</v>
      </c>
      <c r="I8" s="96"/>
      <c r="J8" s="96">
        <f>'Athens Daily - Water'!R13</f>
        <v>367.79249999999956</v>
      </c>
      <c r="K8" s="96"/>
      <c r="L8" s="97">
        <v>60</v>
      </c>
      <c r="M8" s="96">
        <f t="shared" si="1"/>
        <v>120</v>
      </c>
      <c r="N8" s="94"/>
    </row>
    <row r="9" spans="1:14">
      <c r="A9" s="7" t="s">
        <v>14</v>
      </c>
      <c r="B9" s="7">
        <v>8</v>
      </c>
      <c r="C9" s="7">
        <v>1</v>
      </c>
      <c r="D9" s="7">
        <v>2021</v>
      </c>
      <c r="E9" s="96">
        <f>'Athens Daily - EL'!AK15</f>
        <v>262380</v>
      </c>
      <c r="F9" s="96"/>
      <c r="G9" s="96">
        <f>'Athens Daily - Gas'!BH16</f>
        <v>96561.743999999992</v>
      </c>
      <c r="H9" s="96">
        <f t="shared" si="0"/>
        <v>2521.1943603133159</v>
      </c>
      <c r="I9" s="96"/>
      <c r="J9" s="96">
        <f>'Athens Daily - Water'!R14</f>
        <v>457.94740000000002</v>
      </c>
      <c r="K9" s="96"/>
      <c r="L9" s="97">
        <v>64</v>
      </c>
      <c r="M9" s="96">
        <f t="shared" si="1"/>
        <v>128</v>
      </c>
      <c r="N9" s="94"/>
    </row>
    <row r="10" spans="1:14">
      <c r="A10" s="7" t="s">
        <v>14</v>
      </c>
      <c r="B10" s="7">
        <v>9</v>
      </c>
      <c r="C10" s="7">
        <v>1</v>
      </c>
      <c r="D10" s="7">
        <v>2021</v>
      </c>
      <c r="E10" s="96">
        <f>'Athens Daily - EL'!AK16</f>
        <v>257715</v>
      </c>
      <c r="F10" s="96"/>
      <c r="G10" s="96">
        <f>'Athens Daily - Gas'!BH17</f>
        <v>88513.968000000023</v>
      </c>
      <c r="H10" s="96">
        <f t="shared" si="0"/>
        <v>2311.0696605744133</v>
      </c>
      <c r="I10" s="96"/>
      <c r="J10" s="96">
        <f>'Athens Daily - Water'!R15</f>
        <v>521.49449999999979</v>
      </c>
      <c r="K10" s="96"/>
      <c r="L10" s="97">
        <v>100</v>
      </c>
      <c r="M10" s="96">
        <f t="shared" si="1"/>
        <v>200</v>
      </c>
      <c r="N10" s="94">
        <v>9</v>
      </c>
    </row>
    <row r="11" spans="1:14">
      <c r="A11" s="7" t="s">
        <v>14</v>
      </c>
      <c r="B11" s="7">
        <v>10</v>
      </c>
      <c r="C11" s="7">
        <v>1</v>
      </c>
      <c r="D11" s="7">
        <v>2021</v>
      </c>
      <c r="E11" s="96">
        <f>'Athens Daily - EL'!AK17</f>
        <v>262500</v>
      </c>
      <c r="F11" s="96"/>
      <c r="G11" s="96">
        <f>'Athens Daily - Gas'!BH18</f>
        <v>91706.016000000614</v>
      </c>
      <c r="H11" s="96">
        <f t="shared" si="0"/>
        <v>2394.4129503916611</v>
      </c>
      <c r="I11" s="96"/>
      <c r="J11" s="96">
        <f>'Athens Daily - Water'!R16</f>
        <v>480.1867000000002</v>
      </c>
      <c r="K11" s="96"/>
      <c r="L11" s="97">
        <v>63</v>
      </c>
      <c r="M11" s="96">
        <f t="shared" si="1"/>
        <v>126</v>
      </c>
      <c r="N11" s="94">
        <v>12</v>
      </c>
    </row>
    <row r="12" spans="1:14">
      <c r="A12" s="7" t="s">
        <v>14</v>
      </c>
      <c r="B12" s="7">
        <v>11</v>
      </c>
      <c r="C12" s="7">
        <v>1</v>
      </c>
      <c r="D12" s="7">
        <v>2021</v>
      </c>
      <c r="E12" s="96">
        <f>'Athens Daily - EL'!AK18</f>
        <v>261065</v>
      </c>
      <c r="F12" s="96"/>
      <c r="G12" s="96">
        <f>'Athens Daily - Gas'!BH19</f>
        <v>89939.375999999844</v>
      </c>
      <c r="H12" s="96">
        <f t="shared" si="0"/>
        <v>2348.2865796344608</v>
      </c>
      <c r="I12" s="96"/>
      <c r="J12" s="96">
        <f>'Athens Daily - Water'!R17</f>
        <v>355.49459999999999</v>
      </c>
      <c r="K12" s="96"/>
      <c r="L12" s="97">
        <v>39</v>
      </c>
      <c r="M12" s="96">
        <f t="shared" si="1"/>
        <v>78</v>
      </c>
      <c r="N12" s="94">
        <v>12</v>
      </c>
    </row>
    <row r="13" spans="1:14">
      <c r="A13" s="7" t="s">
        <v>14</v>
      </c>
      <c r="B13" s="7">
        <v>12</v>
      </c>
      <c r="C13" s="7">
        <v>1</v>
      </c>
      <c r="D13" s="7">
        <v>2021</v>
      </c>
      <c r="E13" s="96">
        <f>'Athens Daily - EL'!AK19</f>
        <v>270895</v>
      </c>
      <c r="F13" s="96"/>
      <c r="G13" s="96">
        <f>'Athens Daily - Gas'!BH20</f>
        <v>97284.479999999749</v>
      </c>
      <c r="H13" s="96">
        <f t="shared" si="0"/>
        <v>2540.064751958218</v>
      </c>
      <c r="I13" s="96"/>
      <c r="J13" s="96">
        <f>'Athens Daily - Water'!R18</f>
        <v>421.56999999999971</v>
      </c>
      <c r="K13" s="96"/>
      <c r="L13" s="97">
        <v>43</v>
      </c>
      <c r="M13" s="96">
        <f t="shared" si="1"/>
        <v>86</v>
      </c>
      <c r="N13" s="94">
        <v>10</v>
      </c>
    </row>
    <row r="14" spans="1:14">
      <c r="A14" s="7" t="s">
        <v>14</v>
      </c>
      <c r="B14" s="7">
        <v>13</v>
      </c>
      <c r="C14" s="7">
        <v>1</v>
      </c>
      <c r="D14" s="7">
        <v>2021</v>
      </c>
      <c r="E14" s="96">
        <f>'Athens Daily - EL'!AK20</f>
        <v>263435</v>
      </c>
      <c r="F14" s="96"/>
      <c r="G14" s="96">
        <f>'Athens Daily - Gas'!BH21</f>
        <v>95290.848000000318</v>
      </c>
      <c r="H14" s="96">
        <f t="shared" si="0"/>
        <v>2488.0116971279458</v>
      </c>
      <c r="I14" s="96"/>
      <c r="J14" s="96">
        <f>'Athens Daily - Water'!R19</f>
        <v>458.14969999999994</v>
      </c>
      <c r="K14" s="96"/>
      <c r="L14" s="97">
        <v>46</v>
      </c>
      <c r="M14" s="96">
        <f t="shared" si="1"/>
        <v>92</v>
      </c>
      <c r="N14" s="94">
        <v>12</v>
      </c>
    </row>
    <row r="15" spans="1:14">
      <c r="A15" s="7" t="s">
        <v>14</v>
      </c>
      <c r="B15" s="7">
        <v>14</v>
      </c>
      <c r="C15" s="7">
        <v>1</v>
      </c>
      <c r="D15" s="7">
        <v>2021</v>
      </c>
      <c r="E15" s="96">
        <f>'Athens Daily - EL'!AK21</f>
        <v>254720</v>
      </c>
      <c r="F15" s="96"/>
      <c r="G15" s="96">
        <f>'Athens Daily - Gas'!BH22</f>
        <v>92428.751999999673</v>
      </c>
      <c r="H15" s="96">
        <f t="shared" si="0"/>
        <v>2413.283342036545</v>
      </c>
      <c r="I15" s="96"/>
      <c r="J15" s="96">
        <f>'Athens Daily - Water'!R20</f>
        <v>431.07110000000011</v>
      </c>
      <c r="K15" s="96"/>
      <c r="L15" s="97">
        <v>55</v>
      </c>
      <c r="M15" s="96">
        <f t="shared" si="1"/>
        <v>110</v>
      </c>
      <c r="N15" s="94">
        <v>13</v>
      </c>
    </row>
    <row r="16" spans="1:14">
      <c r="A16" s="7" t="s">
        <v>14</v>
      </c>
      <c r="B16" s="7">
        <v>15</v>
      </c>
      <c r="C16" s="7">
        <v>1</v>
      </c>
      <c r="D16" s="7">
        <v>2021</v>
      </c>
      <c r="E16" s="96">
        <f>'Athens Daily - EL'!AK22</f>
        <v>255595</v>
      </c>
      <c r="F16" s="96"/>
      <c r="G16" s="96">
        <f>'Athens Daily - Gas'!BH23</f>
        <v>101737.29599999994</v>
      </c>
      <c r="H16" s="96">
        <f t="shared" si="0"/>
        <v>2656.3262663185365</v>
      </c>
      <c r="I16" s="96"/>
      <c r="J16" s="96">
        <f>'Athens Daily - Water'!R21</f>
        <v>365.58269999999993</v>
      </c>
      <c r="K16" s="96"/>
      <c r="L16" s="97">
        <v>74</v>
      </c>
      <c r="M16" s="96">
        <f t="shared" si="1"/>
        <v>148</v>
      </c>
      <c r="N16" s="94">
        <v>13</v>
      </c>
    </row>
    <row r="17" spans="1:14">
      <c r="A17" s="7" t="s">
        <v>14</v>
      </c>
      <c r="B17" s="7">
        <v>16</v>
      </c>
      <c r="C17" s="7">
        <v>1</v>
      </c>
      <c r="D17" s="7">
        <v>2021</v>
      </c>
      <c r="E17" s="96">
        <f>'Athens Daily - EL'!AK23</f>
        <v>260985</v>
      </c>
      <c r="F17" s="96"/>
      <c r="G17" s="96">
        <f>'Athens Daily - Gas'!BH24</f>
        <v>88443.888000000414</v>
      </c>
      <c r="H17" s="96">
        <f t="shared" si="0"/>
        <v>2309.2398955613685</v>
      </c>
      <c r="I17" s="96"/>
      <c r="J17" s="96">
        <f>'Athens Daily - Water'!R22</f>
        <v>355.69280000000072</v>
      </c>
      <c r="K17" s="96"/>
      <c r="L17" s="97">
        <v>149</v>
      </c>
      <c r="M17" s="96">
        <f t="shared" si="1"/>
        <v>298</v>
      </c>
      <c r="N17" s="98"/>
    </row>
    <row r="18" spans="1:14">
      <c r="A18" s="7" t="s">
        <v>14</v>
      </c>
      <c r="B18" s="7">
        <v>17</v>
      </c>
      <c r="C18" s="7">
        <v>1</v>
      </c>
      <c r="D18" s="7">
        <v>2021</v>
      </c>
      <c r="E18" s="96">
        <f>'Athens Daily - EL'!AK24</f>
        <v>260315</v>
      </c>
      <c r="F18" s="96"/>
      <c r="G18" s="96">
        <f>'Athens Daily - Gas'!BH25</f>
        <v>96653.423999999592</v>
      </c>
      <c r="H18" s="96">
        <f t="shared" si="0"/>
        <v>2523.5880939947674</v>
      </c>
      <c r="I18" s="96"/>
      <c r="J18" s="96">
        <f>'Athens Daily - Water'!R23</f>
        <v>407.73949999999968</v>
      </c>
      <c r="K18" s="96"/>
      <c r="L18" s="97">
        <v>64</v>
      </c>
      <c r="M18" s="96">
        <f t="shared" si="1"/>
        <v>128</v>
      </c>
      <c r="N18" s="98"/>
    </row>
    <row r="19" spans="1:14">
      <c r="A19" s="7" t="s">
        <v>14</v>
      </c>
      <c r="B19" s="7">
        <v>18</v>
      </c>
      <c r="C19" s="7">
        <v>1</v>
      </c>
      <c r="D19" s="7">
        <v>2021</v>
      </c>
      <c r="E19" s="96">
        <f>'Athens Daily - EL'!AK25</f>
        <v>267775</v>
      </c>
      <c r="F19" s="96"/>
      <c r="G19" s="96">
        <f>'Athens Daily - Gas'!BH26</f>
        <v>91004.640000000363</v>
      </c>
      <c r="H19" s="96">
        <f t="shared" si="0"/>
        <v>2376.1002610966152</v>
      </c>
      <c r="I19" s="96"/>
      <c r="J19" s="96">
        <f>'Athens Daily - Water'!R24</f>
        <v>424.59910000000036</v>
      </c>
      <c r="K19" s="96"/>
      <c r="L19" s="97">
        <v>58</v>
      </c>
      <c r="M19" s="96">
        <f t="shared" si="1"/>
        <v>116</v>
      </c>
      <c r="N19" s="98"/>
    </row>
    <row r="20" spans="1:14">
      <c r="A20" s="7" t="s">
        <v>14</v>
      </c>
      <c r="B20" s="7">
        <v>19</v>
      </c>
      <c r="C20" s="7">
        <v>1</v>
      </c>
      <c r="D20" s="7">
        <v>2021</v>
      </c>
      <c r="E20" s="96">
        <f>'Athens Daily - EL'!AK26</f>
        <v>271200</v>
      </c>
      <c r="F20" s="96"/>
      <c r="G20" s="96">
        <f>'Athens Daily - Gas'!BH27</f>
        <v>100506.62400000001</v>
      </c>
      <c r="H20" s="96">
        <f t="shared" si="0"/>
        <v>2624.1938381201048</v>
      </c>
      <c r="I20" s="96"/>
      <c r="J20" s="96">
        <f>'Athens Daily - Water'!R25</f>
        <v>445.93559999999979</v>
      </c>
      <c r="K20" s="96"/>
      <c r="L20" s="97">
        <v>69</v>
      </c>
      <c r="M20" s="96">
        <f t="shared" si="1"/>
        <v>138</v>
      </c>
      <c r="N20" s="98"/>
    </row>
    <row r="21" spans="1:14">
      <c r="A21" s="7" t="s">
        <v>14</v>
      </c>
      <c r="B21" s="7">
        <v>20</v>
      </c>
      <c r="C21" s="7">
        <v>1</v>
      </c>
      <c r="D21" s="7">
        <v>2021</v>
      </c>
      <c r="E21" s="96">
        <f>'Athens Daily - EL'!AK27</f>
        <v>270400</v>
      </c>
      <c r="F21" s="96"/>
      <c r="G21" s="96">
        <f>'Athens Daily - Gas'!BH28</f>
        <v>101403.21599999993</v>
      </c>
      <c r="H21" s="96">
        <f t="shared" si="0"/>
        <v>2647.6035509138364</v>
      </c>
      <c r="I21" s="96"/>
      <c r="J21" s="96">
        <f>'Athens Daily - Water'!R26</f>
        <v>480.80310000000009</v>
      </c>
      <c r="K21" s="96"/>
      <c r="L21" s="97">
        <v>42</v>
      </c>
      <c r="M21" s="96">
        <f t="shared" si="1"/>
        <v>84</v>
      </c>
      <c r="N21" s="94"/>
    </row>
    <row r="22" spans="1:14">
      <c r="A22" s="7" t="s">
        <v>14</v>
      </c>
      <c r="B22" s="7">
        <v>21</v>
      </c>
      <c r="C22" s="7">
        <v>1</v>
      </c>
      <c r="D22" s="7">
        <v>2021</v>
      </c>
      <c r="E22" s="96">
        <f>'Athens Daily - EL'!AK28</f>
        <v>268345</v>
      </c>
      <c r="F22" s="96"/>
      <c r="G22" s="96">
        <f>'Athens Daily - Gas'!BH29</f>
        <v>109149.31199999973</v>
      </c>
      <c r="H22" s="96">
        <f t="shared" si="0"/>
        <v>2849.8514882506461</v>
      </c>
      <c r="I22" s="96"/>
      <c r="J22" s="96">
        <f>'Athens Daily - Water'!R27</f>
        <v>476.98549999999977</v>
      </c>
      <c r="K22" s="96"/>
      <c r="L22" s="97">
        <v>45</v>
      </c>
      <c r="M22" s="96">
        <f t="shared" si="1"/>
        <v>90</v>
      </c>
      <c r="N22" s="94"/>
    </row>
    <row r="23" spans="1:14">
      <c r="A23" s="7" t="s">
        <v>14</v>
      </c>
      <c r="B23" s="7">
        <v>22</v>
      </c>
      <c r="C23" s="7">
        <v>1</v>
      </c>
      <c r="D23" s="7">
        <v>2021</v>
      </c>
      <c r="E23" s="96">
        <f>'Athens Daily - EL'!AK29</f>
        <v>257740</v>
      </c>
      <c r="F23" s="96"/>
      <c r="G23" s="96">
        <f>'Athens Daily - Gas'!BH30</f>
        <v>109561.53600000031</v>
      </c>
      <c r="H23" s="96">
        <f t="shared" si="0"/>
        <v>2860.6145169712877</v>
      </c>
      <c r="I23" s="96"/>
      <c r="J23" s="96">
        <f>'Athens Daily - Water'!R28</f>
        <v>419.88040000000001</v>
      </c>
      <c r="K23" s="96"/>
      <c r="L23" s="97">
        <v>82</v>
      </c>
      <c r="M23" s="96">
        <f t="shared" si="1"/>
        <v>164</v>
      </c>
      <c r="N23" s="94">
        <v>19</v>
      </c>
    </row>
    <row r="24" spans="1:14">
      <c r="A24" s="7" t="s">
        <v>14</v>
      </c>
      <c r="B24" s="7">
        <v>23</v>
      </c>
      <c r="C24" s="7">
        <v>1</v>
      </c>
      <c r="D24" s="7">
        <v>2021</v>
      </c>
      <c r="E24" s="96">
        <f>'Athens Daily - EL'!AK30</f>
        <v>255830</v>
      </c>
      <c r="F24" s="96"/>
      <c r="G24" s="96">
        <f>'Athens Daily - Gas'!BH31</f>
        <v>100200.38399999966</v>
      </c>
      <c r="H24" s="96">
        <f t="shared" si="0"/>
        <v>2616.1980156657874</v>
      </c>
      <c r="I24" s="96"/>
      <c r="J24" s="96">
        <f>'Athens Daily - Water'!R29</f>
        <v>363.69620000000032</v>
      </c>
      <c r="K24" s="96"/>
      <c r="L24" s="97">
        <v>170</v>
      </c>
      <c r="M24" s="96">
        <f t="shared" si="1"/>
        <v>340</v>
      </c>
      <c r="N24" s="94">
        <v>20</v>
      </c>
    </row>
    <row r="25" spans="1:14">
      <c r="A25" s="7" t="s">
        <v>14</v>
      </c>
      <c r="B25" s="7">
        <v>24</v>
      </c>
      <c r="C25" s="7">
        <v>1</v>
      </c>
      <c r="D25" s="7">
        <v>2021</v>
      </c>
      <c r="E25" s="96">
        <f>'Athens Daily - EL'!AK31</f>
        <v>266360</v>
      </c>
      <c r="F25" s="96"/>
      <c r="G25" s="96">
        <f>'Athens Daily - Gas'!BH32</f>
        <v>77859.215999999928</v>
      </c>
      <c r="H25" s="96">
        <f t="shared" si="0"/>
        <v>2032.8777023498676</v>
      </c>
      <c r="I25" s="96"/>
      <c r="J25" s="96">
        <f>'Athens Daily - Water'!R30</f>
        <v>398.98239999999987</v>
      </c>
      <c r="K25" s="96"/>
      <c r="L25" s="97">
        <v>91</v>
      </c>
      <c r="M25" s="96">
        <f t="shared" si="1"/>
        <v>182</v>
      </c>
      <c r="N25" s="94">
        <v>19</v>
      </c>
    </row>
    <row r="26" spans="1:14">
      <c r="A26" s="7" t="s">
        <v>14</v>
      </c>
      <c r="B26" s="7">
        <v>25</v>
      </c>
      <c r="C26" s="7">
        <v>1</v>
      </c>
      <c r="D26" s="7">
        <v>2021</v>
      </c>
      <c r="E26" s="96">
        <f>'Athens Daily - EL'!AK32</f>
        <v>273420</v>
      </c>
      <c r="F26" s="96"/>
      <c r="G26" s="96">
        <f>'Athens Daily - Gas'!BH33</f>
        <v>130720.60800000009</v>
      </c>
      <c r="H26" s="96">
        <f t="shared" si="0"/>
        <v>3413.0707049608382</v>
      </c>
      <c r="I26" s="96"/>
      <c r="J26" s="96">
        <f>'Athens Daily - Water'!R31</f>
        <v>410.99469999999928</v>
      </c>
      <c r="K26" s="96"/>
      <c r="L26" s="97">
        <v>56</v>
      </c>
      <c r="M26" s="96">
        <f t="shared" si="1"/>
        <v>112</v>
      </c>
      <c r="N26" s="95"/>
    </row>
    <row r="27" spans="1:14">
      <c r="A27" s="7" t="s">
        <v>14</v>
      </c>
      <c r="B27" s="7">
        <v>26</v>
      </c>
      <c r="C27" s="7">
        <v>1</v>
      </c>
      <c r="D27" s="7">
        <v>2021</v>
      </c>
      <c r="E27" s="96">
        <f>'Athens Daily - EL'!AK33</f>
        <v>280100</v>
      </c>
      <c r="F27" s="96"/>
      <c r="G27" s="96">
        <f>'Athens Daily - Gas'!BH34</f>
        <v>111837.07199999978</v>
      </c>
      <c r="H27" s="96">
        <f t="shared" si="0"/>
        <v>2920.0279895561303</v>
      </c>
      <c r="I27" s="96"/>
      <c r="J27" s="96">
        <f>'Athens Daily - Water'!R32</f>
        <v>484.62670000000071</v>
      </c>
      <c r="K27" s="96"/>
      <c r="L27" s="96"/>
      <c r="M27" s="96">
        <f t="shared" si="1"/>
        <v>0</v>
      </c>
      <c r="N27" s="95"/>
    </row>
    <row r="28" spans="1:14">
      <c r="A28" s="7" t="s">
        <v>14</v>
      </c>
      <c r="B28" s="7">
        <v>27</v>
      </c>
      <c r="C28" s="7">
        <v>1</v>
      </c>
      <c r="D28" s="7">
        <v>2021</v>
      </c>
      <c r="E28" s="96">
        <f>'Athens Daily - EL'!AK34</f>
        <v>286000</v>
      </c>
      <c r="F28" s="96"/>
      <c r="G28" s="96">
        <f>'Athens Daily - Gas'!BH35</f>
        <v>117254.40000000014</v>
      </c>
      <c r="H28" s="96">
        <f t="shared" si="0"/>
        <v>3061.4725848564008</v>
      </c>
      <c r="I28" s="96"/>
      <c r="J28" s="96">
        <f>'Athens Daily - Water'!R33</f>
        <v>514.58169999999973</v>
      </c>
      <c r="K28" s="96"/>
      <c r="L28" s="96"/>
      <c r="M28" s="96">
        <f t="shared" si="1"/>
        <v>0</v>
      </c>
      <c r="N28" s="95"/>
    </row>
    <row r="29" spans="1:14">
      <c r="A29" s="7" t="s">
        <v>14</v>
      </c>
      <c r="B29" s="7">
        <v>28</v>
      </c>
      <c r="C29" s="7">
        <v>1</v>
      </c>
      <c r="D29" s="7">
        <v>2021</v>
      </c>
      <c r="E29" s="96">
        <f>'Athens Daily - EL'!AK35</f>
        <v>275885</v>
      </c>
      <c r="F29" s="96"/>
      <c r="G29" s="96">
        <f>'Athens Daily - Gas'!BH36</f>
        <v>118831.8240000003</v>
      </c>
      <c r="H29" s="96">
        <f t="shared" si="0"/>
        <v>3102.6585900783371</v>
      </c>
      <c r="I29" s="96"/>
      <c r="J29" s="96">
        <f>'Athens Daily - Water'!R34</f>
        <v>509.34720000000016</v>
      </c>
      <c r="K29" s="96"/>
      <c r="L29" s="96"/>
      <c r="M29" s="96">
        <f t="shared" si="1"/>
        <v>0</v>
      </c>
      <c r="N29" s="95"/>
    </row>
    <row r="30" spans="1:14">
      <c r="A30" s="7" t="s">
        <v>14</v>
      </c>
      <c r="B30" s="7">
        <v>29</v>
      </c>
      <c r="C30" s="7">
        <v>1</v>
      </c>
      <c r="D30" s="7">
        <v>2021</v>
      </c>
      <c r="E30" s="96">
        <f>'Athens Daily - EL'!AK36</f>
        <v>275885</v>
      </c>
      <c r="F30" s="96"/>
      <c r="G30" s="96">
        <f>'Athens Daily - Gas'!BH37</f>
        <v>120528.81600000005</v>
      </c>
      <c r="H30" s="96">
        <f t="shared" si="0"/>
        <v>3146.9664751958239</v>
      </c>
      <c r="I30" s="96"/>
      <c r="J30" s="96">
        <f>'Athens Daily - Water'!R35</f>
        <v>489.90009999999984</v>
      </c>
      <c r="K30" s="96"/>
      <c r="L30" s="96"/>
      <c r="M30" s="96">
        <f t="shared" si="1"/>
        <v>0</v>
      </c>
      <c r="N30" s="95"/>
    </row>
    <row r="31" spans="1:14">
      <c r="A31" s="7" t="s">
        <v>14</v>
      </c>
      <c r="B31" s="7">
        <v>30</v>
      </c>
      <c r="C31" s="7">
        <v>1</v>
      </c>
      <c r="D31" s="7">
        <v>2021</v>
      </c>
      <c r="E31" s="96">
        <f>'Athens Daily - EL'!AK37</f>
        <v>281350</v>
      </c>
      <c r="F31" s="96"/>
      <c r="G31" s="96">
        <f>'Athens Daily - Gas'!BH38</f>
        <v>116810.97599999997</v>
      </c>
      <c r="H31" s="96">
        <f t="shared" si="0"/>
        <v>3049.8949347258481</v>
      </c>
      <c r="I31" s="96"/>
      <c r="J31" s="96">
        <f>'Athens Daily - Water'!R37</f>
        <v>0</v>
      </c>
      <c r="K31" s="96"/>
      <c r="L31" s="96"/>
      <c r="M31" s="96">
        <f t="shared" si="1"/>
        <v>0</v>
      </c>
      <c r="N31" s="95"/>
    </row>
    <row r="32" spans="1:14">
      <c r="A32" s="7" t="s">
        <v>14</v>
      </c>
      <c r="B32" s="7">
        <v>31</v>
      </c>
      <c r="C32" s="7">
        <v>1</v>
      </c>
      <c r="D32" s="7">
        <v>2021</v>
      </c>
      <c r="E32" s="96">
        <f>'Athens Daily - EL'!AK38</f>
        <v>0</v>
      </c>
      <c r="F32" s="96"/>
      <c r="G32" s="96">
        <f>'Athens Daily - Gas'!BH39</f>
        <v>0</v>
      </c>
      <c r="H32" s="96">
        <f t="shared" si="0"/>
        <v>0</v>
      </c>
      <c r="I32" s="96"/>
      <c r="J32" s="96">
        <f>'Athens Daily - Water'!R38</f>
        <v>0</v>
      </c>
      <c r="K32" s="96"/>
      <c r="L32" s="96"/>
      <c r="M32" s="96">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35490</v>
      </c>
      <c r="F2" s="7"/>
      <c r="G2" s="37">
        <f>'Athens Daily - Gas'!BI9</f>
        <v>53049.599999999999</v>
      </c>
      <c r="H2" s="7"/>
      <c r="I2" s="38">
        <f>'Athens Daily - Water'!S7</f>
        <v>131.4</v>
      </c>
      <c r="J2" s="7"/>
      <c r="K2" s="7">
        <v>286</v>
      </c>
      <c r="L2" s="7">
        <v>2</v>
      </c>
    </row>
    <row r="3" spans="1:12">
      <c r="A3" s="7" t="s">
        <v>14</v>
      </c>
      <c r="B3" s="7">
        <v>2</v>
      </c>
      <c r="C3" s="7">
        <v>1</v>
      </c>
      <c r="D3" s="7">
        <v>2021</v>
      </c>
      <c r="E3" s="7">
        <f>'Athens Daily - EL'!AL9</f>
        <v>34885</v>
      </c>
      <c r="F3" s="7"/>
      <c r="G3" s="37">
        <f>'Athens Daily - Gas'!BI10</f>
        <v>54326.400000000001</v>
      </c>
      <c r="H3" s="7"/>
      <c r="I3" s="38">
        <f>'Athens Daily - Water'!S8</f>
        <v>123.65</v>
      </c>
      <c r="J3" s="7"/>
      <c r="K3" s="7">
        <v>285</v>
      </c>
      <c r="L3" s="7">
        <v>2</v>
      </c>
    </row>
    <row r="4" spans="1:12">
      <c r="A4" s="7" t="s">
        <v>14</v>
      </c>
      <c r="B4" s="7">
        <v>3</v>
      </c>
      <c r="C4" s="7">
        <v>1</v>
      </c>
      <c r="D4" s="7">
        <v>2021</v>
      </c>
      <c r="E4" s="7">
        <f>'Athens Daily - EL'!AL10</f>
        <v>36430</v>
      </c>
      <c r="F4" s="7"/>
      <c r="G4" s="37">
        <f>'Athens Daily - Gas'!BI11</f>
        <v>55603.200000000004</v>
      </c>
      <c r="H4" s="7"/>
      <c r="I4" s="38">
        <f>'Athens Daily - Water'!S9</f>
        <v>131</v>
      </c>
      <c r="J4" s="7"/>
      <c r="K4" s="7">
        <v>282</v>
      </c>
      <c r="L4" s="7">
        <v>2</v>
      </c>
    </row>
    <row r="5" spans="1:12">
      <c r="A5" s="7" t="s">
        <v>14</v>
      </c>
      <c r="B5" s="7">
        <v>4</v>
      </c>
      <c r="C5" s="7">
        <v>1</v>
      </c>
      <c r="D5" s="7">
        <v>2021</v>
      </c>
      <c r="E5" s="7">
        <f>'Athens Daily - EL'!AL11</f>
        <v>36730</v>
      </c>
      <c r="F5" s="7"/>
      <c r="G5" s="37">
        <f>'Athens Daily - Gas'!BI12</f>
        <v>51820.800000000003</v>
      </c>
      <c r="H5" s="7"/>
      <c r="I5" s="38">
        <f>'Athens Daily - Water'!S10</f>
        <v>134.65</v>
      </c>
      <c r="J5" s="7"/>
      <c r="K5" s="7">
        <v>284</v>
      </c>
      <c r="L5" s="7">
        <v>2</v>
      </c>
    </row>
    <row r="6" spans="1:12">
      <c r="A6" s="7" t="s">
        <v>14</v>
      </c>
      <c r="B6" s="7">
        <v>5</v>
      </c>
      <c r="C6" s="7">
        <v>1</v>
      </c>
      <c r="D6" s="7">
        <v>2021</v>
      </c>
      <c r="E6" s="7">
        <f>'Athens Daily - EL'!AL12</f>
        <v>34220</v>
      </c>
      <c r="F6" s="7"/>
      <c r="G6" s="37">
        <f>'Athens Daily - Gas'!BI13</f>
        <v>57033.599999999999</v>
      </c>
      <c r="H6" s="7"/>
      <c r="I6" s="38">
        <f>'Athens Daily - Water'!S11</f>
        <v>123</v>
      </c>
      <c r="J6" s="7"/>
      <c r="K6" s="7">
        <v>286</v>
      </c>
      <c r="L6" s="7">
        <v>2</v>
      </c>
    </row>
    <row r="7" spans="1:12">
      <c r="A7" s="7" t="s">
        <v>14</v>
      </c>
      <c r="B7" s="7">
        <v>6</v>
      </c>
      <c r="C7" s="7">
        <v>1</v>
      </c>
      <c r="D7" s="7">
        <v>2021</v>
      </c>
      <c r="E7" s="7">
        <f>'Athens Daily - EL'!AL13</f>
        <v>34395</v>
      </c>
      <c r="F7" s="7"/>
      <c r="G7" s="37">
        <f>'Athens Daily - Gas'!BI14</f>
        <v>54902.400000000001</v>
      </c>
      <c r="H7" s="7"/>
      <c r="I7" s="38">
        <f>'Athens Daily - Water'!S12</f>
        <v>128.85</v>
      </c>
      <c r="J7" s="7"/>
      <c r="K7" s="7">
        <v>288</v>
      </c>
      <c r="L7" s="7">
        <v>2</v>
      </c>
    </row>
    <row r="8" spans="1:12">
      <c r="A8" s="7" t="s">
        <v>14</v>
      </c>
      <c r="B8" s="7">
        <v>7</v>
      </c>
      <c r="C8" s="7">
        <v>1</v>
      </c>
      <c r="D8" s="7">
        <v>2021</v>
      </c>
      <c r="E8" s="7">
        <f>'Athens Daily - EL'!AL14</f>
        <v>34190</v>
      </c>
      <c r="F8" s="7"/>
      <c r="G8" s="37">
        <f>'Athens Daily - Gas'!BI15</f>
        <v>56400</v>
      </c>
      <c r="H8" s="7"/>
      <c r="I8" s="38">
        <f>'Athens Daily - Water'!S13</f>
        <v>137.1</v>
      </c>
      <c r="J8" s="7"/>
      <c r="K8" s="7">
        <v>286</v>
      </c>
      <c r="L8" s="7">
        <v>2</v>
      </c>
    </row>
    <row r="9" spans="1:12">
      <c r="A9" s="7" t="s">
        <v>14</v>
      </c>
      <c r="B9" s="7">
        <v>8</v>
      </c>
      <c r="C9" s="7">
        <v>1</v>
      </c>
      <c r="D9" s="7">
        <v>2021</v>
      </c>
      <c r="E9" s="7">
        <f>'Athens Daily - EL'!AL15</f>
        <v>29575</v>
      </c>
      <c r="F9" s="7"/>
      <c r="G9" s="37">
        <f>'Athens Daily - Gas'!BI16</f>
        <v>56716.800000000003</v>
      </c>
      <c r="H9" s="7"/>
      <c r="I9" s="38">
        <f>'Athens Daily - Water'!S14</f>
        <v>120.4</v>
      </c>
      <c r="J9" s="7"/>
      <c r="K9" s="7">
        <v>287</v>
      </c>
      <c r="L9" s="7">
        <v>2</v>
      </c>
    </row>
    <row r="10" spans="1:12">
      <c r="A10" s="7" t="s">
        <v>14</v>
      </c>
      <c r="B10" s="7">
        <v>9</v>
      </c>
      <c r="C10" s="7">
        <v>1</v>
      </c>
      <c r="D10" s="7">
        <v>2021</v>
      </c>
      <c r="E10" s="7">
        <f>'Athens Daily - EL'!AL16</f>
        <v>28860</v>
      </c>
      <c r="F10" s="7"/>
      <c r="G10" s="37">
        <f>'Athens Daily - Gas'!BI17</f>
        <v>54710.400000000001</v>
      </c>
      <c r="H10" s="7"/>
      <c r="I10" s="38">
        <f>'Athens Daily - Water'!S15</f>
        <v>129.80000000000001</v>
      </c>
      <c r="J10" s="7"/>
      <c r="K10" s="7">
        <v>284</v>
      </c>
      <c r="L10" s="7">
        <v>2</v>
      </c>
    </row>
    <row r="11" spans="1:12">
      <c r="A11" s="7" t="s">
        <v>14</v>
      </c>
      <c r="B11" s="7">
        <v>10</v>
      </c>
      <c r="C11" s="7">
        <v>1</v>
      </c>
      <c r="D11" s="7">
        <v>2021</v>
      </c>
      <c r="E11" s="7">
        <f>'Athens Daily - EL'!AL17</f>
        <v>29620</v>
      </c>
      <c r="F11" s="7"/>
      <c r="G11" s="37">
        <f>'Athens Daily - Gas'!BI18</f>
        <v>55641.599999999999</v>
      </c>
      <c r="H11" s="7"/>
      <c r="I11" s="38">
        <f>'Athens Daily - Water'!S16</f>
        <v>115.95</v>
      </c>
      <c r="J11" s="7"/>
      <c r="K11" s="7">
        <v>284</v>
      </c>
      <c r="L11" s="7">
        <v>2</v>
      </c>
    </row>
    <row r="12" spans="1:12">
      <c r="A12" s="7" t="s">
        <v>14</v>
      </c>
      <c r="B12" s="7">
        <v>11</v>
      </c>
      <c r="C12" s="7">
        <v>1</v>
      </c>
      <c r="D12" s="7">
        <v>2021</v>
      </c>
      <c r="E12" s="7">
        <f>'Athens Daily - EL'!AL18</f>
        <v>29705</v>
      </c>
      <c r="F12" s="7"/>
      <c r="G12" s="37">
        <f>'Athens Daily - Gas'!BI19</f>
        <v>54950.400000000001</v>
      </c>
      <c r="H12" s="7"/>
      <c r="I12" s="38">
        <f>'Athens Daily - Water'!S17</f>
        <v>131.5</v>
      </c>
      <c r="J12" s="7"/>
      <c r="K12" s="7">
        <v>284</v>
      </c>
      <c r="L12" s="7">
        <v>2</v>
      </c>
    </row>
    <row r="13" spans="1:12">
      <c r="A13" s="7" t="s">
        <v>14</v>
      </c>
      <c r="B13" s="7">
        <v>12</v>
      </c>
      <c r="C13" s="7">
        <v>1</v>
      </c>
      <c r="D13" s="7">
        <v>2021</v>
      </c>
      <c r="E13" s="7">
        <f>'Athens Daily - EL'!AL19</f>
        <v>32635</v>
      </c>
      <c r="F13" s="7"/>
      <c r="G13" s="37">
        <f>'Athens Daily - Gas'!BI20</f>
        <v>59280</v>
      </c>
      <c r="H13" s="7"/>
      <c r="I13" s="38">
        <f>'Athens Daily - Water'!S18</f>
        <v>131.4</v>
      </c>
      <c r="J13" s="7"/>
      <c r="K13" s="7">
        <v>286</v>
      </c>
      <c r="L13" s="7">
        <v>2</v>
      </c>
    </row>
    <row r="14" spans="1:12">
      <c r="A14" s="7" t="s">
        <v>14</v>
      </c>
      <c r="B14" s="7">
        <v>13</v>
      </c>
      <c r="C14" s="7">
        <v>1</v>
      </c>
      <c r="D14" s="7">
        <v>2021</v>
      </c>
      <c r="E14" s="7">
        <f>'Athens Daily - EL'!AL20</f>
        <v>34395</v>
      </c>
      <c r="F14" s="7"/>
      <c r="G14" s="37">
        <f>'Athens Daily - Gas'!BI21</f>
        <v>56313.599999999999</v>
      </c>
      <c r="H14" s="7"/>
      <c r="I14" s="38">
        <f>'Athens Daily - Water'!S19</f>
        <v>135.19999999999999</v>
      </c>
      <c r="J14" s="7"/>
      <c r="K14" s="7">
        <v>287</v>
      </c>
      <c r="L14" s="7">
        <v>2</v>
      </c>
    </row>
    <row r="15" spans="1:12">
      <c r="A15" s="7" t="s">
        <v>14</v>
      </c>
      <c r="B15" s="7">
        <v>14</v>
      </c>
      <c r="C15" s="7">
        <v>1</v>
      </c>
      <c r="D15" s="7">
        <v>2021</v>
      </c>
      <c r="E15" s="7">
        <f>'Athens Daily - EL'!AL21</f>
        <v>34460</v>
      </c>
      <c r="F15" s="7"/>
      <c r="G15" s="37">
        <f>'Athens Daily - Gas'!BI22</f>
        <v>53356.800000000003</v>
      </c>
      <c r="H15" s="7"/>
      <c r="I15" s="38">
        <f>'Athens Daily - Water'!S20</f>
        <v>113</v>
      </c>
      <c r="J15" s="7"/>
      <c r="K15" s="7">
        <v>287</v>
      </c>
      <c r="L15" s="7">
        <v>2</v>
      </c>
    </row>
    <row r="16" spans="1:12">
      <c r="A16" s="7" t="s">
        <v>14</v>
      </c>
      <c r="B16" s="7">
        <v>15</v>
      </c>
      <c r="C16" s="7">
        <v>1</v>
      </c>
      <c r="D16" s="7">
        <v>2021</v>
      </c>
      <c r="E16" s="7">
        <f>'Athens Daily - EL'!AL22</f>
        <v>35125</v>
      </c>
      <c r="F16" s="7"/>
      <c r="G16" s="37">
        <f>'Athens Daily - Gas'!BI23</f>
        <v>60969.600000000006</v>
      </c>
      <c r="H16" s="7"/>
      <c r="I16" s="38">
        <f>'Athens Daily - Water'!S21</f>
        <v>126.1</v>
      </c>
      <c r="J16" s="7"/>
      <c r="K16" s="7">
        <v>288</v>
      </c>
      <c r="L16" s="7">
        <v>2</v>
      </c>
    </row>
    <row r="17" spans="1:12">
      <c r="A17" s="7" t="s">
        <v>14</v>
      </c>
      <c r="B17" s="7">
        <v>16</v>
      </c>
      <c r="C17" s="7">
        <v>1</v>
      </c>
      <c r="D17" s="7">
        <v>2021</v>
      </c>
      <c r="E17" s="7">
        <f>'Athens Daily - EL'!AL23</f>
        <v>37315</v>
      </c>
      <c r="F17" s="7"/>
      <c r="G17" s="37">
        <f>'Athens Daily - Gas'!BI24</f>
        <v>54086.400000000001</v>
      </c>
      <c r="H17" s="7"/>
      <c r="I17" s="38">
        <f>'Athens Daily - Water'!S22</f>
        <v>135.9</v>
      </c>
      <c r="J17" s="7"/>
      <c r="K17" s="7">
        <v>288</v>
      </c>
      <c r="L17" s="7">
        <v>2</v>
      </c>
    </row>
    <row r="18" spans="1:12">
      <c r="A18" s="7" t="s">
        <v>14</v>
      </c>
      <c r="B18" s="7">
        <v>17</v>
      </c>
      <c r="C18" s="7">
        <v>1</v>
      </c>
      <c r="D18" s="7">
        <v>2021</v>
      </c>
      <c r="E18" s="7">
        <f>'Athens Daily - EL'!AL24</f>
        <v>35795</v>
      </c>
      <c r="F18" s="7"/>
      <c r="G18" s="37">
        <f>'Athens Daily - Gas'!BI25</f>
        <v>60979.200000000004</v>
      </c>
      <c r="H18" s="7"/>
      <c r="I18" s="38">
        <f>'Athens Daily - Water'!S23</f>
        <v>127.05000000000001</v>
      </c>
      <c r="J18" s="7"/>
      <c r="K18" s="7">
        <v>288</v>
      </c>
      <c r="L18" s="7">
        <v>2</v>
      </c>
    </row>
    <row r="19" spans="1:12">
      <c r="A19" s="7" t="s">
        <v>14</v>
      </c>
      <c r="B19" s="7">
        <v>18</v>
      </c>
      <c r="C19" s="7">
        <v>1</v>
      </c>
      <c r="D19" s="7">
        <v>2021</v>
      </c>
      <c r="E19" s="7">
        <f>'Athens Daily - EL'!AL25</f>
        <v>35590</v>
      </c>
      <c r="F19" s="7"/>
      <c r="G19" s="37">
        <f>'Athens Daily - Gas'!BI26</f>
        <v>56256</v>
      </c>
      <c r="H19" s="7"/>
      <c r="I19" s="38">
        <f>'Athens Daily - Water'!S24</f>
        <v>136.55000000000001</v>
      </c>
      <c r="J19" s="7"/>
      <c r="K19" s="7">
        <v>291</v>
      </c>
      <c r="L19" s="7">
        <v>2</v>
      </c>
    </row>
    <row r="20" spans="1:12">
      <c r="A20" s="7" t="s">
        <v>14</v>
      </c>
      <c r="B20" s="7">
        <v>19</v>
      </c>
      <c r="C20" s="7">
        <v>1</v>
      </c>
      <c r="D20" s="7">
        <v>2021</v>
      </c>
      <c r="E20" s="7">
        <f>'Athens Daily - EL'!AL26</f>
        <v>34785</v>
      </c>
      <c r="F20" s="7"/>
      <c r="G20" s="37">
        <f>'Athens Daily - Gas'!BI27</f>
        <v>60163.200000000004</v>
      </c>
      <c r="H20" s="7"/>
      <c r="I20" s="38">
        <f>'Athens Daily - Water'!S25</f>
        <v>118.15</v>
      </c>
      <c r="J20" s="7"/>
      <c r="K20" s="7">
        <v>290</v>
      </c>
      <c r="L20" s="7">
        <v>2</v>
      </c>
    </row>
    <row r="21" spans="1:12">
      <c r="A21" s="7" t="s">
        <v>14</v>
      </c>
      <c r="B21" s="7">
        <v>20</v>
      </c>
      <c r="C21" s="7">
        <v>1</v>
      </c>
      <c r="D21" s="7">
        <v>2021</v>
      </c>
      <c r="E21" s="7">
        <f>'Athens Daily - EL'!AL27</f>
        <v>34955</v>
      </c>
      <c r="F21" s="7"/>
      <c r="G21" s="37">
        <f>'Athens Daily - Gas'!BI28</f>
        <v>60854.400000000001</v>
      </c>
      <c r="H21" s="7"/>
      <c r="I21" s="38">
        <f>'Athens Daily - Water'!S26</f>
        <v>137</v>
      </c>
      <c r="J21" s="7"/>
      <c r="K21" s="7">
        <v>292</v>
      </c>
      <c r="L21" s="7">
        <v>2</v>
      </c>
    </row>
    <row r="22" spans="1:12">
      <c r="A22" s="7" t="s">
        <v>14</v>
      </c>
      <c r="B22" s="7">
        <v>21</v>
      </c>
      <c r="C22" s="7">
        <v>1</v>
      </c>
      <c r="D22" s="7">
        <v>2021</v>
      </c>
      <c r="E22" s="7">
        <f>'Athens Daily - EL'!AL28</f>
        <v>34790</v>
      </c>
      <c r="F22" s="7"/>
      <c r="G22" s="37">
        <f>'Athens Daily - Gas'!BI29</f>
        <v>61564.800000000003</v>
      </c>
      <c r="H22" s="7"/>
      <c r="I22" s="38">
        <f>'Athens Daily - Water'!S27</f>
        <v>143.30000000000001</v>
      </c>
      <c r="J22" s="7"/>
      <c r="K22" s="7">
        <v>293</v>
      </c>
      <c r="L22" s="7">
        <v>2</v>
      </c>
    </row>
    <row r="23" spans="1:12">
      <c r="A23" s="7" t="s">
        <v>14</v>
      </c>
      <c r="B23" s="7">
        <v>22</v>
      </c>
      <c r="C23" s="7">
        <v>1</v>
      </c>
      <c r="D23" s="7">
        <v>2021</v>
      </c>
      <c r="E23" s="7">
        <f>'Athens Daily - EL'!AL29</f>
        <v>34805</v>
      </c>
      <c r="F23" s="7"/>
      <c r="G23" s="37">
        <f>'Athens Daily - Gas'!BI30</f>
        <v>64992</v>
      </c>
      <c r="H23" s="7"/>
      <c r="I23" s="38">
        <f>'Athens Daily - Water'!S28</f>
        <v>137.4</v>
      </c>
      <c r="J23" s="7"/>
      <c r="K23" s="7">
        <v>293</v>
      </c>
      <c r="L23" s="7">
        <v>2</v>
      </c>
    </row>
    <row r="24" spans="1:12">
      <c r="A24" s="7" t="s">
        <v>14</v>
      </c>
      <c r="B24" s="7">
        <v>23</v>
      </c>
      <c r="C24" s="7">
        <v>1</v>
      </c>
      <c r="D24" s="7">
        <v>2021</v>
      </c>
      <c r="E24" s="7">
        <f>'Athens Daily - EL'!AL30</f>
        <v>34925</v>
      </c>
      <c r="F24" s="7"/>
      <c r="G24" s="37">
        <f>'Athens Daily - Gas'!BI31</f>
        <v>59836.800000000003</v>
      </c>
      <c r="H24" s="7"/>
      <c r="I24" s="38">
        <f>'Athens Daily - Water'!S29</f>
        <v>132.65</v>
      </c>
      <c r="J24" s="7"/>
      <c r="K24" s="7">
        <v>294</v>
      </c>
      <c r="L24" s="7">
        <v>2</v>
      </c>
    </row>
    <row r="25" spans="1:12">
      <c r="A25" s="7" t="s">
        <v>14</v>
      </c>
      <c r="B25" s="7">
        <v>24</v>
      </c>
      <c r="C25" s="7">
        <v>1</v>
      </c>
      <c r="D25" s="7">
        <v>2021</v>
      </c>
      <c r="E25" s="7">
        <f>'Athens Daily - EL'!AL31</f>
        <v>33565</v>
      </c>
      <c r="F25" s="7"/>
      <c r="G25" s="37">
        <f>'Athens Daily - Gas'!BI32</f>
        <v>60710.400000000001</v>
      </c>
      <c r="H25" s="7"/>
      <c r="I25" s="38">
        <f>'Athens Daily - Water'!S30</f>
        <v>121.30000000000001</v>
      </c>
      <c r="J25" s="7"/>
      <c r="K25" s="7">
        <v>294</v>
      </c>
      <c r="L25" s="7">
        <v>2</v>
      </c>
    </row>
    <row r="26" spans="1:12">
      <c r="A26" s="7" t="s">
        <v>14</v>
      </c>
      <c r="B26" s="7">
        <v>25</v>
      </c>
      <c r="C26" s="7">
        <v>1</v>
      </c>
      <c r="D26" s="7">
        <v>2021</v>
      </c>
      <c r="E26" s="7">
        <f>'Athens Daily - EL'!AL32</f>
        <v>28910</v>
      </c>
      <c r="F26" s="7"/>
      <c r="G26" s="37">
        <f>'Athens Daily - Gas'!BI33</f>
        <v>60873.599999999999</v>
      </c>
      <c r="H26" s="7"/>
      <c r="I26" s="38">
        <f>'Athens Daily - Water'!S31</f>
        <v>133.25</v>
      </c>
      <c r="J26" s="7"/>
      <c r="K26" s="7">
        <v>291</v>
      </c>
      <c r="L26" s="7">
        <v>2</v>
      </c>
    </row>
    <row r="27" spans="1:12">
      <c r="A27" s="7" t="s">
        <v>14</v>
      </c>
      <c r="B27" s="7">
        <v>26</v>
      </c>
      <c r="C27" s="7">
        <v>1</v>
      </c>
      <c r="D27" s="7">
        <v>2021</v>
      </c>
      <c r="E27" s="7">
        <f>'Athens Daily - EL'!AL33</f>
        <v>29330</v>
      </c>
      <c r="F27" s="7"/>
      <c r="G27" s="37">
        <f>'Athens Daily - Gas'!BI34</f>
        <v>62601.600000000006</v>
      </c>
      <c r="H27" s="7"/>
      <c r="I27" s="38">
        <f>'Athens Daily - Water'!S32</f>
        <v>136.55000000000001</v>
      </c>
      <c r="J27" s="7"/>
      <c r="K27" s="7">
        <v>291</v>
      </c>
      <c r="L27" s="7">
        <v>2</v>
      </c>
    </row>
    <row r="28" spans="1:12">
      <c r="A28" s="7" t="s">
        <v>14</v>
      </c>
      <c r="B28" s="7">
        <v>27</v>
      </c>
      <c r="C28" s="7">
        <v>1</v>
      </c>
      <c r="D28" s="7">
        <v>2021</v>
      </c>
      <c r="E28" s="7">
        <f>'Athens Daily - EL'!AL34</f>
        <v>29825</v>
      </c>
      <c r="F28" s="7"/>
      <c r="G28" s="37">
        <f>'Athens Daily - Gas'!BI35</f>
        <v>63120</v>
      </c>
      <c r="H28" s="7"/>
      <c r="I28" s="38">
        <f>'Athens Daily - Water'!S33</f>
        <v>134.85</v>
      </c>
      <c r="J28" s="7"/>
      <c r="K28" s="7">
        <v>288</v>
      </c>
      <c r="L28" s="7">
        <v>2</v>
      </c>
    </row>
    <row r="29" spans="1:12">
      <c r="A29" s="7" t="s">
        <v>14</v>
      </c>
      <c r="B29" s="7">
        <v>28</v>
      </c>
      <c r="C29" s="7">
        <v>1</v>
      </c>
      <c r="D29" s="7">
        <v>2021</v>
      </c>
      <c r="E29" s="7">
        <f>'Athens Daily - EL'!AL35</f>
        <v>28727.5</v>
      </c>
      <c r="F29" s="7"/>
      <c r="G29" s="37">
        <f>'Athens Daily - Gas'!BI36</f>
        <v>69820.800000000003</v>
      </c>
      <c r="H29" s="7"/>
      <c r="I29" s="38">
        <f>'Athens Daily - Water'!S34</f>
        <v>125.25</v>
      </c>
      <c r="J29" s="7"/>
      <c r="K29" s="7">
        <v>290</v>
      </c>
      <c r="L29" s="7">
        <v>2</v>
      </c>
    </row>
    <row r="30" spans="1:12">
      <c r="A30" s="7" t="s">
        <v>14</v>
      </c>
      <c r="B30" s="7">
        <v>29</v>
      </c>
      <c r="C30" s="7">
        <v>1</v>
      </c>
      <c r="D30" s="7">
        <v>2021</v>
      </c>
      <c r="E30" s="7">
        <f>'Athens Daily - EL'!AL36</f>
        <v>28727.5</v>
      </c>
      <c r="F30" s="7"/>
      <c r="G30" s="37">
        <f>'Athens Daily - Gas'!BI37</f>
        <v>70963.200000000012</v>
      </c>
      <c r="H30" s="7"/>
      <c r="I30" s="38">
        <f>'Athens Daily - Water'!S35</f>
        <v>144.30000000000001</v>
      </c>
      <c r="J30" s="7"/>
      <c r="K30" s="7">
        <v>291</v>
      </c>
      <c r="L30" s="7">
        <v>2</v>
      </c>
    </row>
    <row r="31" spans="1:12">
      <c r="A31" s="7" t="s">
        <v>14</v>
      </c>
      <c r="B31" s="7">
        <v>30</v>
      </c>
      <c r="C31" s="7">
        <v>1</v>
      </c>
      <c r="D31" s="7">
        <v>2021</v>
      </c>
      <c r="E31" s="7">
        <f>'Athens Daily - EL'!AL37</f>
        <v>30810</v>
      </c>
      <c r="F31" s="7"/>
      <c r="G31" s="37">
        <f>'Athens Daily - Gas'!BI38</f>
        <v>67651.200000000012</v>
      </c>
      <c r="H31" s="7"/>
      <c r="I31" s="38">
        <f>'Athens Daily - Water'!S37</f>
        <v>0</v>
      </c>
      <c r="J31" s="7"/>
      <c r="K31" s="7">
        <v>290</v>
      </c>
      <c r="L31" s="7">
        <v>2</v>
      </c>
    </row>
    <row r="32" spans="1:12">
      <c r="A32" s="7" t="s">
        <v>14</v>
      </c>
      <c r="B32" s="7">
        <v>31</v>
      </c>
      <c r="C32" s="7">
        <v>1</v>
      </c>
      <c r="D32" s="7">
        <v>2021</v>
      </c>
      <c r="E32" s="7">
        <f>'Athens Daily - EL'!AL38</f>
        <v>0</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16" activePane="bottomRight" state="frozen"/>
      <selection pane="topRight" activeCell="C2" sqref="C2"/>
      <selection pane="bottomLeft" activeCell="A7" sqref="A7"/>
      <selection pane="bottomRight" activeCell="AI8" sqref="AI8"/>
    </sheetView>
  </sheetViews>
  <sheetFormatPr defaultRowHeight="21"/>
  <cols>
    <col min="1" max="1" width="15.7109375" style="9" customWidth="1"/>
    <col min="2" max="2" width="2.42578125" style="203" customWidth="1"/>
    <col min="3" max="3" width="30.7109375" style="203" customWidth="1"/>
    <col min="4" max="4" width="30.7109375" style="208" customWidth="1"/>
    <col min="5" max="35" width="30.7109375" style="203" customWidth="1"/>
    <col min="36" max="36" width="9.140625" style="203"/>
    <col min="37" max="38" width="35.7109375" style="203" customWidth="1"/>
    <col min="39" max="16384" width="9.140625" style="203"/>
  </cols>
  <sheetData>
    <row r="1" spans="1:38" s="188" customFormat="1" ht="49.5" customHeight="1">
      <c r="A1" s="187"/>
      <c r="B1" s="187"/>
      <c r="C1" s="230" t="s">
        <v>64</v>
      </c>
      <c r="D1" s="230"/>
      <c r="E1" s="230" t="s">
        <v>64</v>
      </c>
      <c r="F1" s="230"/>
      <c r="G1" s="230" t="s">
        <v>64</v>
      </c>
      <c r="H1" s="230"/>
      <c r="I1" s="187"/>
      <c r="J1" s="230" t="s">
        <v>64</v>
      </c>
      <c r="K1" s="230"/>
      <c r="L1" s="230" t="s">
        <v>64</v>
      </c>
      <c r="M1" s="230"/>
      <c r="N1" s="216" t="s">
        <v>65</v>
      </c>
      <c r="O1" s="217"/>
      <c r="P1" s="218"/>
      <c r="Q1" s="216" t="s">
        <v>65</v>
      </c>
      <c r="R1" s="217"/>
      <c r="S1" s="218"/>
      <c r="T1" s="216" t="s">
        <v>65</v>
      </c>
      <c r="U1" s="217"/>
      <c r="V1" s="218"/>
      <c r="W1" s="216" t="s">
        <v>65</v>
      </c>
      <c r="X1" s="217"/>
      <c r="Y1" s="218"/>
      <c r="Z1" s="230" t="s">
        <v>66</v>
      </c>
      <c r="AA1" s="230"/>
      <c r="AB1" s="230" t="s">
        <v>66</v>
      </c>
      <c r="AC1" s="230"/>
      <c r="AD1" s="230" t="s">
        <v>66</v>
      </c>
      <c r="AE1" s="230"/>
      <c r="AF1" s="230" t="s">
        <v>66</v>
      </c>
      <c r="AG1" s="230"/>
      <c r="AH1" s="230" t="s">
        <v>66</v>
      </c>
      <c r="AI1" s="230"/>
    </row>
    <row r="2" spans="1:38" s="190" customFormat="1" ht="113.25" customHeight="1">
      <c r="A2" s="13"/>
      <c r="B2" s="189"/>
      <c r="C2" s="229" t="s">
        <v>67</v>
      </c>
      <c r="D2" s="229"/>
      <c r="E2" s="229" t="s">
        <v>68</v>
      </c>
      <c r="F2" s="229"/>
      <c r="G2" s="219" t="s">
        <v>69</v>
      </c>
      <c r="H2" s="220"/>
      <c r="I2" s="221"/>
      <c r="J2" s="229" t="s">
        <v>70</v>
      </c>
      <c r="K2" s="229"/>
      <c r="L2" s="229" t="s">
        <v>71</v>
      </c>
      <c r="M2" s="229"/>
      <c r="N2" s="219" t="s">
        <v>72</v>
      </c>
      <c r="O2" s="220"/>
      <c r="P2" s="221"/>
      <c r="Q2" s="219" t="s">
        <v>73</v>
      </c>
      <c r="R2" s="220"/>
      <c r="S2" s="221"/>
      <c r="T2" s="219" t="s">
        <v>74</v>
      </c>
      <c r="U2" s="220"/>
      <c r="V2" s="221"/>
      <c r="W2" s="219" t="s">
        <v>75</v>
      </c>
      <c r="X2" s="220"/>
      <c r="Y2" s="221"/>
      <c r="Z2" s="229" t="s">
        <v>76</v>
      </c>
      <c r="AA2" s="229"/>
      <c r="AB2" s="229" t="s">
        <v>77</v>
      </c>
      <c r="AC2" s="229"/>
      <c r="AD2" s="229" t="s">
        <v>78</v>
      </c>
      <c r="AE2" s="229"/>
      <c r="AF2" s="229" t="s">
        <v>77</v>
      </c>
      <c r="AG2" s="229"/>
      <c r="AH2" s="229" t="s">
        <v>79</v>
      </c>
      <c r="AI2" s="229"/>
    </row>
    <row r="3" spans="1:38" s="56" customFormat="1" ht="30" customHeight="1">
      <c r="A3" s="13"/>
      <c r="B3" s="57"/>
      <c r="C3" s="222">
        <v>5003566</v>
      </c>
      <c r="D3" s="224"/>
      <c r="E3" s="222">
        <v>5003596</v>
      </c>
      <c r="F3" s="224"/>
      <c r="G3" s="222">
        <v>507329</v>
      </c>
      <c r="H3" s="223"/>
      <c r="I3" s="224"/>
      <c r="J3" s="222">
        <v>5003563</v>
      </c>
      <c r="K3" s="224"/>
      <c r="L3" s="222">
        <v>5003562</v>
      </c>
      <c r="M3" s="224"/>
      <c r="N3" s="222">
        <v>507155</v>
      </c>
      <c r="O3" s="223"/>
      <c r="P3" s="224"/>
      <c r="Q3" s="222">
        <v>5003077</v>
      </c>
      <c r="R3" s="223"/>
      <c r="S3" s="224"/>
      <c r="T3" s="222">
        <v>5003079</v>
      </c>
      <c r="U3" s="223"/>
      <c r="V3" s="224"/>
      <c r="W3" s="222">
        <v>5003078</v>
      </c>
      <c r="X3" s="223"/>
      <c r="Y3" s="224"/>
      <c r="Z3" s="222">
        <v>5003565</v>
      </c>
      <c r="AA3" s="224"/>
      <c r="AB3" s="222">
        <v>5003564</v>
      </c>
      <c r="AC3" s="224"/>
      <c r="AD3" s="222">
        <v>5003597</v>
      </c>
      <c r="AE3" s="224"/>
      <c r="AF3" s="222">
        <v>5003598</v>
      </c>
      <c r="AG3" s="224"/>
      <c r="AH3" s="222">
        <v>5003599</v>
      </c>
      <c r="AI3" s="224"/>
      <c r="AK3" s="231" t="s">
        <v>80</v>
      </c>
      <c r="AL3" s="231"/>
    </row>
    <row r="4" spans="1:38" s="80" customFormat="1" ht="30" customHeight="1">
      <c r="A4" s="13"/>
      <c r="B4" s="186"/>
      <c r="C4" s="225" t="s">
        <v>81</v>
      </c>
      <c r="D4" s="227"/>
      <c r="E4" s="225" t="s">
        <v>82</v>
      </c>
      <c r="F4" s="227"/>
      <c r="G4" s="225" t="s">
        <v>83</v>
      </c>
      <c r="H4" s="226"/>
      <c r="I4" s="227"/>
      <c r="J4" s="225" t="s">
        <v>84</v>
      </c>
      <c r="K4" s="227"/>
      <c r="L4" s="225" t="s">
        <v>85</v>
      </c>
      <c r="M4" s="227"/>
      <c r="N4" s="225" t="s">
        <v>86</v>
      </c>
      <c r="O4" s="226"/>
      <c r="P4" s="227"/>
      <c r="Q4" s="225" t="s">
        <v>87</v>
      </c>
      <c r="R4" s="226"/>
      <c r="S4" s="227"/>
      <c r="T4" s="225" t="s">
        <v>88</v>
      </c>
      <c r="U4" s="226"/>
      <c r="V4" s="227"/>
      <c r="W4" s="225" t="s">
        <v>89</v>
      </c>
      <c r="X4" s="226"/>
      <c r="Y4" s="227"/>
      <c r="Z4" s="225" t="s">
        <v>90</v>
      </c>
      <c r="AA4" s="227"/>
      <c r="AB4" s="225" t="s">
        <v>91</v>
      </c>
      <c r="AC4" s="227"/>
      <c r="AD4" s="225" t="s">
        <v>92</v>
      </c>
      <c r="AE4" s="227"/>
      <c r="AF4" s="225" t="s">
        <v>93</v>
      </c>
      <c r="AG4" s="227"/>
      <c r="AH4" s="225" t="s">
        <v>94</v>
      </c>
      <c r="AI4" s="227"/>
      <c r="AK4" s="231"/>
      <c r="AL4" s="231"/>
    </row>
    <row r="5" spans="1:38" s="192" customFormat="1" ht="30" customHeight="1">
      <c r="A5" s="13" t="s">
        <v>95</v>
      </c>
      <c r="B5" s="191"/>
      <c r="C5" s="214" t="s">
        <v>96</v>
      </c>
      <c r="D5" s="215"/>
      <c r="E5" s="214" t="s">
        <v>96</v>
      </c>
      <c r="F5" s="215"/>
      <c r="G5" s="214" t="s">
        <v>96</v>
      </c>
      <c r="H5" s="228"/>
      <c r="I5" s="215"/>
      <c r="J5" s="191" t="s">
        <v>96</v>
      </c>
      <c r="K5" s="191"/>
      <c r="L5" s="214" t="s">
        <v>96</v>
      </c>
      <c r="M5" s="215"/>
      <c r="N5" s="214" t="s">
        <v>96</v>
      </c>
      <c r="O5" s="228"/>
      <c r="P5" s="215"/>
      <c r="Q5" s="214" t="s">
        <v>97</v>
      </c>
      <c r="R5" s="228"/>
      <c r="S5" s="215"/>
      <c r="T5" s="214" t="s">
        <v>97</v>
      </c>
      <c r="U5" s="228"/>
      <c r="V5" s="215"/>
      <c r="W5" s="214" t="s">
        <v>97</v>
      </c>
      <c r="X5" s="228"/>
      <c r="Y5" s="215"/>
      <c r="Z5" s="214" t="s">
        <v>96</v>
      </c>
      <c r="AA5" s="215"/>
      <c r="AB5" s="214" t="s">
        <v>96</v>
      </c>
      <c r="AC5" s="215"/>
      <c r="AD5" s="214" t="s">
        <v>96</v>
      </c>
      <c r="AE5" s="215"/>
      <c r="AF5" s="214" t="s">
        <v>96</v>
      </c>
      <c r="AG5" s="215"/>
      <c r="AH5" s="214" t="s">
        <v>96</v>
      </c>
      <c r="AI5" s="215"/>
    </row>
    <row r="6" spans="1:38" s="193" customFormat="1" ht="50.1" hidden="1" customHeight="1">
      <c r="A6" s="13" t="s">
        <v>98</v>
      </c>
      <c r="B6" s="13"/>
      <c r="C6" s="13" t="s">
        <v>99</v>
      </c>
      <c r="D6" s="13" t="s">
        <v>100</v>
      </c>
      <c r="E6" s="13" t="s">
        <v>99</v>
      </c>
      <c r="F6" s="13" t="s">
        <v>100</v>
      </c>
      <c r="G6" s="13" t="s">
        <v>99</v>
      </c>
      <c r="H6" s="13" t="s">
        <v>100</v>
      </c>
      <c r="I6" s="13" t="s">
        <v>101</v>
      </c>
      <c r="J6" s="13" t="s">
        <v>99</v>
      </c>
      <c r="K6" s="13" t="s">
        <v>100</v>
      </c>
      <c r="L6" s="13" t="s">
        <v>99</v>
      </c>
      <c r="M6" s="13" t="s">
        <v>100</v>
      </c>
      <c r="N6" s="13" t="s">
        <v>99</v>
      </c>
      <c r="O6" s="13" t="s">
        <v>100</v>
      </c>
      <c r="P6" s="13" t="s">
        <v>101</v>
      </c>
      <c r="Q6" s="13" t="s">
        <v>99</v>
      </c>
      <c r="R6" s="13" t="s">
        <v>100</v>
      </c>
      <c r="S6" s="13" t="s">
        <v>101</v>
      </c>
      <c r="T6" s="13" t="s">
        <v>99</v>
      </c>
      <c r="U6" s="13" t="s">
        <v>100</v>
      </c>
      <c r="V6" s="13" t="s">
        <v>101</v>
      </c>
      <c r="W6" s="13" t="s">
        <v>99</v>
      </c>
      <c r="X6" s="13" t="s">
        <v>100</v>
      </c>
      <c r="Y6" s="13" t="s">
        <v>101</v>
      </c>
      <c r="Z6" s="13" t="s">
        <v>99</v>
      </c>
      <c r="AA6" s="13" t="s">
        <v>100</v>
      </c>
      <c r="AB6" s="13" t="s">
        <v>99</v>
      </c>
      <c r="AC6" s="13" t="s">
        <v>100</v>
      </c>
      <c r="AD6" s="13" t="s">
        <v>99</v>
      </c>
      <c r="AE6" s="13" t="s">
        <v>100</v>
      </c>
      <c r="AF6" s="13" t="s">
        <v>99</v>
      </c>
      <c r="AG6" s="13" t="s">
        <v>100</v>
      </c>
      <c r="AH6" s="13" t="s">
        <v>99</v>
      </c>
      <c r="AI6" s="13" t="s">
        <v>100</v>
      </c>
      <c r="AK6" s="13" t="s">
        <v>64</v>
      </c>
      <c r="AL6" s="13" t="s">
        <v>66</v>
      </c>
    </row>
    <row r="7" spans="1:38" s="197" customFormat="1" ht="39.950000000000003" customHeight="1">
      <c r="A7" s="139">
        <v>44074</v>
      </c>
      <c r="B7" s="194"/>
      <c r="C7" s="195">
        <v>5343</v>
      </c>
      <c r="D7" s="196"/>
      <c r="E7" s="195">
        <v>7570</v>
      </c>
      <c r="F7" s="196"/>
      <c r="G7" s="195">
        <v>744169</v>
      </c>
      <c r="H7" s="196"/>
      <c r="I7" s="196"/>
      <c r="J7" s="195">
        <v>7066</v>
      </c>
      <c r="K7" s="196"/>
      <c r="L7" s="195">
        <v>10623</v>
      </c>
      <c r="M7" s="196"/>
      <c r="N7" s="195">
        <v>721791</v>
      </c>
      <c r="O7" s="196"/>
      <c r="P7" s="196"/>
      <c r="Q7" s="195">
        <v>92722</v>
      </c>
      <c r="R7" s="196"/>
      <c r="S7" s="196"/>
      <c r="T7" s="195">
        <v>36289</v>
      </c>
      <c r="U7" s="196"/>
      <c r="V7" s="196"/>
      <c r="W7" s="195">
        <v>94735</v>
      </c>
      <c r="X7" s="196"/>
      <c r="Y7" s="196"/>
      <c r="Z7" s="195">
        <v>5602</v>
      </c>
      <c r="AA7" s="196"/>
      <c r="AB7" s="195">
        <v>10375</v>
      </c>
      <c r="AC7" s="196"/>
      <c r="AD7" s="195">
        <v>19798</v>
      </c>
      <c r="AE7" s="196"/>
      <c r="AF7" s="195">
        <v>11035</v>
      </c>
      <c r="AG7" s="196"/>
      <c r="AH7" s="195">
        <v>54572</v>
      </c>
      <c r="AI7" s="196"/>
      <c r="AK7" s="198"/>
      <c r="AL7" s="199"/>
    </row>
    <row r="8" spans="1:38" s="201" customFormat="1" ht="39.950000000000003" customHeight="1">
      <c r="A8" s="139">
        <v>44075</v>
      </c>
      <c r="B8" s="200"/>
      <c r="C8" s="158">
        <v>5742</v>
      </c>
      <c r="D8" s="196">
        <f>(C8-C7)*100</f>
        <v>39900</v>
      </c>
      <c r="E8" s="158">
        <v>8152</v>
      </c>
      <c r="F8" s="196">
        <f>(E8-E7)*100</f>
        <v>58200</v>
      </c>
      <c r="G8" s="158">
        <v>744543</v>
      </c>
      <c r="H8" s="196">
        <f>(G8-G7)*10</f>
        <v>3740</v>
      </c>
      <c r="I8" s="196">
        <f>H8*50%</f>
        <v>1870</v>
      </c>
      <c r="J8" s="158">
        <v>7606</v>
      </c>
      <c r="K8" s="196">
        <f>(J8-J7)*100</f>
        <v>54000</v>
      </c>
      <c r="L8" s="158">
        <v>11479</v>
      </c>
      <c r="M8" s="196">
        <f>(L8-L7)*100</f>
        <v>85600</v>
      </c>
      <c r="N8" s="158">
        <v>723384</v>
      </c>
      <c r="O8" s="196">
        <f t="shared" ref="O8:O24" si="0">(N8-N7)*10</f>
        <v>15930</v>
      </c>
      <c r="P8" s="196">
        <f>O8*50%</f>
        <v>7965</v>
      </c>
      <c r="Q8" s="158">
        <v>93777</v>
      </c>
      <c r="R8" s="196">
        <f t="shared" ref="R8:R24" si="1">(Q8-Q7)*10</f>
        <v>10550</v>
      </c>
      <c r="S8" s="196">
        <f>R8*50%</f>
        <v>5275</v>
      </c>
      <c r="T8" s="158">
        <v>36394</v>
      </c>
      <c r="U8" s="196">
        <f>(T8-T7)*10</f>
        <v>1050</v>
      </c>
      <c r="V8" s="196">
        <f>U8*50%</f>
        <v>525</v>
      </c>
      <c r="W8" s="158">
        <v>95502</v>
      </c>
      <c r="X8" s="196">
        <f>(W8-W7)*10</f>
        <v>7670</v>
      </c>
      <c r="Y8" s="196">
        <f>X8*50%</f>
        <v>3835</v>
      </c>
      <c r="Z8" s="158">
        <v>5691</v>
      </c>
      <c r="AA8" s="196">
        <f>(Z8-Z7)*10</f>
        <v>890</v>
      </c>
      <c r="AB8" s="158">
        <v>10554</v>
      </c>
      <c r="AC8" s="196">
        <f>(AB8-AB7)*10</f>
        <v>1790</v>
      </c>
      <c r="AD8" s="158">
        <v>20154</v>
      </c>
      <c r="AE8" s="196">
        <f>(AD8-AD7)*10</f>
        <v>3560</v>
      </c>
      <c r="AF8" s="158">
        <v>11227</v>
      </c>
      <c r="AG8" s="196">
        <f>(AF8-AF7)*10</f>
        <v>1920</v>
      </c>
      <c r="AH8" s="158">
        <v>55545</v>
      </c>
      <c r="AI8" s="196">
        <f>(AH8-AH7)*10</f>
        <v>9730</v>
      </c>
      <c r="AK8" s="198">
        <f>SUM(D8,F8,I8,K8,M8,P8,S8,V8,Y8)</f>
        <v>257170</v>
      </c>
      <c r="AL8" s="199">
        <f>SUM(P8,S8,V8,Y8,AA8,AC8,AE8,AG8,AI8)</f>
        <v>35490</v>
      </c>
    </row>
    <row r="9" spans="1:38" ht="39.950000000000003" customHeight="1">
      <c r="A9" s="139">
        <v>44076</v>
      </c>
      <c r="B9" s="202"/>
      <c r="C9" s="158">
        <v>6120</v>
      </c>
      <c r="D9" s="196">
        <f t="shared" ref="D9:D37" si="2">(C9-C8)*100</f>
        <v>37800</v>
      </c>
      <c r="E9" s="158">
        <v>8672</v>
      </c>
      <c r="F9" s="196">
        <f t="shared" ref="F9:F37" si="3">(E9-E8)*100</f>
        <v>52000</v>
      </c>
      <c r="G9" s="158">
        <v>744910</v>
      </c>
      <c r="H9" s="196">
        <f t="shared" ref="H9" si="4">(G9-G8)*10</f>
        <v>3670</v>
      </c>
      <c r="I9" s="196">
        <f t="shared" ref="I9:I24" si="5">H9*50%</f>
        <v>1835</v>
      </c>
      <c r="J9" s="158">
        <v>8155</v>
      </c>
      <c r="K9" s="196">
        <f t="shared" ref="K9:K37" si="6">(J9-J8)*100</f>
        <v>54900</v>
      </c>
      <c r="L9" s="158">
        <v>12347</v>
      </c>
      <c r="M9" s="196">
        <f t="shared" ref="M9:M37" si="7">(L9-L8)*100</f>
        <v>86800</v>
      </c>
      <c r="N9" s="158">
        <v>724920</v>
      </c>
      <c r="O9" s="196">
        <f t="shared" si="0"/>
        <v>15360</v>
      </c>
      <c r="P9" s="196">
        <f t="shared" ref="P9:P24" si="8">O9*50%</f>
        <v>7680</v>
      </c>
      <c r="Q9" s="158">
        <v>94802</v>
      </c>
      <c r="R9" s="196">
        <f t="shared" si="1"/>
        <v>10250</v>
      </c>
      <c r="S9" s="196">
        <f t="shared" ref="S9:S24" si="9">R9*50%</f>
        <v>5125</v>
      </c>
      <c r="T9" s="158">
        <v>36513</v>
      </c>
      <c r="U9" s="196">
        <f t="shared" ref="U9" si="10">(T9-T8)*10</f>
        <v>1190</v>
      </c>
      <c r="V9" s="196">
        <f t="shared" ref="V9:V24" si="11">U9*50%</f>
        <v>595</v>
      </c>
      <c r="W9" s="158">
        <v>96237</v>
      </c>
      <c r="X9" s="196">
        <f t="shared" ref="X9:X37" si="12">(W9-W8)*10</f>
        <v>7350</v>
      </c>
      <c r="Y9" s="196">
        <f t="shared" ref="Y9:Y24" si="13">X9*50%</f>
        <v>3675</v>
      </c>
      <c r="Z9" s="158">
        <v>5780</v>
      </c>
      <c r="AA9" s="196">
        <f t="shared" ref="AA9" si="14">(Z9-Z8)*10</f>
        <v>890</v>
      </c>
      <c r="AB9" s="158">
        <v>10729</v>
      </c>
      <c r="AC9" s="196">
        <f t="shared" ref="AC9" si="15">(AB9-AB8)*10</f>
        <v>1750</v>
      </c>
      <c r="AD9" s="158">
        <v>20526</v>
      </c>
      <c r="AE9" s="196">
        <f t="shared" ref="AE9" si="16">(AD9-AD8)*10</f>
        <v>3720</v>
      </c>
      <c r="AF9" s="158">
        <v>11420</v>
      </c>
      <c r="AG9" s="196">
        <f t="shared" ref="AG9:AI37" si="17">(AF9-AF8)*10</f>
        <v>1930</v>
      </c>
      <c r="AH9" s="158">
        <v>56497</v>
      </c>
      <c r="AI9" s="196">
        <f t="shared" si="17"/>
        <v>9520</v>
      </c>
      <c r="AK9" s="198">
        <f t="shared" ref="AK9:AK24" si="18">SUM(D9,F9,I9,K9,M9,P9,S9,V9,Y9)</f>
        <v>250410</v>
      </c>
      <c r="AL9" s="199">
        <f t="shared" ref="AL9:AL24" si="19">SUM(P9,S9,V9,Y9,AA9,AC9,AE9,AG9,AI9)</f>
        <v>34885</v>
      </c>
    </row>
    <row r="10" spans="1:38" ht="39.950000000000003" customHeight="1">
      <c r="A10" s="139">
        <v>44077</v>
      </c>
      <c r="B10" s="202"/>
      <c r="C10" s="158">
        <v>6505</v>
      </c>
      <c r="D10" s="196">
        <f t="shared" si="2"/>
        <v>38500</v>
      </c>
      <c r="E10" s="158">
        <v>9217</v>
      </c>
      <c r="F10" s="196">
        <f t="shared" si="3"/>
        <v>54500</v>
      </c>
      <c r="G10" s="158">
        <v>745296</v>
      </c>
      <c r="H10" s="196">
        <f t="shared" ref="H10" si="20">(G10-G9)*10</f>
        <v>3860</v>
      </c>
      <c r="I10" s="196">
        <f t="shared" si="5"/>
        <v>1930</v>
      </c>
      <c r="J10" s="158">
        <v>8704</v>
      </c>
      <c r="K10" s="196">
        <f t="shared" si="6"/>
        <v>54900</v>
      </c>
      <c r="L10" s="158">
        <v>13206</v>
      </c>
      <c r="M10" s="196">
        <f t="shared" si="7"/>
        <v>85900</v>
      </c>
      <c r="N10" s="158">
        <v>726663</v>
      </c>
      <c r="O10" s="196">
        <f t="shared" si="0"/>
        <v>17430</v>
      </c>
      <c r="P10" s="196">
        <f t="shared" si="8"/>
        <v>8715</v>
      </c>
      <c r="Q10" s="158">
        <v>95467</v>
      </c>
      <c r="R10" s="196">
        <f t="shared" si="1"/>
        <v>6650</v>
      </c>
      <c r="S10" s="196">
        <f t="shared" si="9"/>
        <v>3325</v>
      </c>
      <c r="T10" s="158">
        <v>36958</v>
      </c>
      <c r="U10" s="196">
        <f t="shared" ref="U10" si="21">(T10-T9)*10</f>
        <v>4450</v>
      </c>
      <c r="V10" s="196">
        <f t="shared" si="11"/>
        <v>2225</v>
      </c>
      <c r="W10" s="158">
        <v>97012</v>
      </c>
      <c r="X10" s="196">
        <f t="shared" si="12"/>
        <v>7750</v>
      </c>
      <c r="Y10" s="196">
        <f t="shared" si="13"/>
        <v>3875</v>
      </c>
      <c r="Z10" s="158">
        <v>5870</v>
      </c>
      <c r="AA10" s="196">
        <f t="shared" ref="AA10" si="22">(Z10-Z9)*10</f>
        <v>900</v>
      </c>
      <c r="AB10" s="158">
        <v>10920</v>
      </c>
      <c r="AC10" s="196">
        <f t="shared" ref="AC10" si="23">(AB10-AB9)*10</f>
        <v>1910</v>
      </c>
      <c r="AD10" s="158">
        <v>20896</v>
      </c>
      <c r="AE10" s="196">
        <f t="shared" ref="AE10" si="24">(AD10-AD9)*10</f>
        <v>3700</v>
      </c>
      <c r="AF10" s="158">
        <v>11612</v>
      </c>
      <c r="AG10" s="196">
        <f t="shared" si="17"/>
        <v>1920</v>
      </c>
      <c r="AH10" s="158">
        <v>57483</v>
      </c>
      <c r="AI10" s="196">
        <f t="shared" si="17"/>
        <v>9860</v>
      </c>
      <c r="AK10" s="198">
        <f t="shared" si="18"/>
        <v>253870</v>
      </c>
      <c r="AL10" s="199">
        <f t="shared" si="19"/>
        <v>36430</v>
      </c>
    </row>
    <row r="11" spans="1:38" ht="39.950000000000003" customHeight="1">
      <c r="A11" s="139">
        <v>44078</v>
      </c>
      <c r="B11" s="202"/>
      <c r="C11" s="158">
        <v>6884</v>
      </c>
      <c r="D11" s="196">
        <f t="shared" si="2"/>
        <v>37900</v>
      </c>
      <c r="E11" s="158">
        <v>9765</v>
      </c>
      <c r="F11" s="196">
        <f t="shared" si="3"/>
        <v>54800</v>
      </c>
      <c r="G11" s="158">
        <v>745609</v>
      </c>
      <c r="H11" s="196">
        <f>(G11-G10)*10</f>
        <v>3130</v>
      </c>
      <c r="I11" s="196">
        <f t="shared" si="5"/>
        <v>1565</v>
      </c>
      <c r="J11" s="158">
        <v>9272</v>
      </c>
      <c r="K11" s="196">
        <f t="shared" si="6"/>
        <v>56800</v>
      </c>
      <c r="L11" s="158">
        <v>14093</v>
      </c>
      <c r="M11" s="196">
        <f t="shared" si="7"/>
        <v>88700</v>
      </c>
      <c r="N11" s="158">
        <v>728392</v>
      </c>
      <c r="O11" s="196">
        <f t="shared" si="0"/>
        <v>17290</v>
      </c>
      <c r="P11" s="196">
        <f t="shared" si="8"/>
        <v>8645</v>
      </c>
      <c r="Q11" s="158">
        <v>95469</v>
      </c>
      <c r="R11" s="196">
        <f t="shared" si="1"/>
        <v>20</v>
      </c>
      <c r="S11" s="196">
        <f t="shared" si="9"/>
        <v>10</v>
      </c>
      <c r="T11" s="158">
        <v>38003</v>
      </c>
      <c r="U11" s="196">
        <f t="shared" ref="U11" si="25">(T11-T10)*10</f>
        <v>10450</v>
      </c>
      <c r="V11" s="196">
        <f t="shared" si="11"/>
        <v>5225</v>
      </c>
      <c r="W11" s="158">
        <v>97880</v>
      </c>
      <c r="X11" s="196">
        <f t="shared" si="12"/>
        <v>8680</v>
      </c>
      <c r="Y11" s="196">
        <f t="shared" si="13"/>
        <v>4340</v>
      </c>
      <c r="Z11" s="158">
        <v>5962</v>
      </c>
      <c r="AA11" s="196">
        <f t="shared" ref="AA11" si="26">(Z11-Z10)*10</f>
        <v>920</v>
      </c>
      <c r="AB11" s="158">
        <v>11126</v>
      </c>
      <c r="AC11" s="196">
        <f t="shared" ref="AC11" si="27">(AB11-AB10)*10</f>
        <v>2060</v>
      </c>
      <c r="AD11" s="158">
        <v>21270</v>
      </c>
      <c r="AE11" s="196">
        <f t="shared" ref="AE11" si="28">(AD11-AD10)*10</f>
        <v>3740</v>
      </c>
      <c r="AF11" s="158">
        <v>11807</v>
      </c>
      <c r="AG11" s="196">
        <f t="shared" si="17"/>
        <v>1950</v>
      </c>
      <c r="AH11" s="158">
        <v>58467</v>
      </c>
      <c r="AI11" s="196">
        <f t="shared" si="17"/>
        <v>9840</v>
      </c>
      <c r="AK11" s="198">
        <f t="shared" si="18"/>
        <v>257985</v>
      </c>
      <c r="AL11" s="199">
        <f t="shared" si="19"/>
        <v>36730</v>
      </c>
    </row>
    <row r="12" spans="1:38" ht="39.950000000000003" customHeight="1">
      <c r="A12" s="139">
        <v>44079</v>
      </c>
      <c r="B12" s="202"/>
      <c r="C12" s="158">
        <v>7274</v>
      </c>
      <c r="D12" s="196">
        <f t="shared" si="2"/>
        <v>39000</v>
      </c>
      <c r="E12" s="158">
        <v>10332</v>
      </c>
      <c r="F12" s="196">
        <f t="shared" si="3"/>
        <v>56700</v>
      </c>
      <c r="G12" s="158">
        <v>745921</v>
      </c>
      <c r="H12" s="196">
        <f t="shared" ref="H12" si="29">(G12-G11)*10</f>
        <v>3120</v>
      </c>
      <c r="I12" s="196">
        <f t="shared" si="5"/>
        <v>1560</v>
      </c>
      <c r="J12" s="158">
        <v>9836</v>
      </c>
      <c r="K12" s="196">
        <f t="shared" si="6"/>
        <v>56400</v>
      </c>
      <c r="L12" s="158">
        <v>14975</v>
      </c>
      <c r="M12" s="196">
        <f t="shared" si="7"/>
        <v>88200</v>
      </c>
      <c r="N12" s="158">
        <v>729996</v>
      </c>
      <c r="O12" s="196">
        <f t="shared" si="0"/>
        <v>16040</v>
      </c>
      <c r="P12" s="196">
        <f t="shared" si="8"/>
        <v>8020</v>
      </c>
      <c r="Q12" s="158">
        <v>95471</v>
      </c>
      <c r="R12" s="196">
        <f t="shared" si="1"/>
        <v>20</v>
      </c>
      <c r="S12" s="196">
        <f t="shared" si="9"/>
        <v>10</v>
      </c>
      <c r="T12" s="158">
        <v>38905</v>
      </c>
      <c r="U12" s="196">
        <f t="shared" ref="U12" si="30">(T12-T11)*10</f>
        <v>9020</v>
      </c>
      <c r="V12" s="196">
        <f t="shared" si="11"/>
        <v>4510</v>
      </c>
      <c r="W12" s="158">
        <v>98634</v>
      </c>
      <c r="X12" s="196">
        <f t="shared" si="12"/>
        <v>7540</v>
      </c>
      <c r="Y12" s="196">
        <f t="shared" si="13"/>
        <v>3770</v>
      </c>
      <c r="Z12" s="158">
        <v>6055</v>
      </c>
      <c r="AA12" s="196">
        <f t="shared" ref="AA12" si="31">(Z12-Z11)*10</f>
        <v>930</v>
      </c>
      <c r="AB12" s="158">
        <v>11322</v>
      </c>
      <c r="AC12" s="196">
        <f t="shared" ref="AC12" si="32">(AB12-AB11)*10</f>
        <v>1960</v>
      </c>
      <c r="AD12" s="158">
        <v>21632</v>
      </c>
      <c r="AE12" s="196">
        <f t="shared" ref="AE12" si="33">(AD12-AD11)*10</f>
        <v>3620</v>
      </c>
      <c r="AF12" s="158">
        <v>12002</v>
      </c>
      <c r="AG12" s="196">
        <f t="shared" si="17"/>
        <v>1950</v>
      </c>
      <c r="AH12" s="158">
        <v>59412</v>
      </c>
      <c r="AI12" s="196">
        <f t="shared" si="17"/>
        <v>9450</v>
      </c>
      <c r="AK12" s="198">
        <f t="shared" si="18"/>
        <v>258170</v>
      </c>
      <c r="AL12" s="199">
        <f t="shared" si="19"/>
        <v>34220</v>
      </c>
    </row>
    <row r="13" spans="1:38" ht="39.950000000000003" customHeight="1">
      <c r="A13" s="139">
        <v>44080</v>
      </c>
      <c r="B13" s="202"/>
      <c r="C13" s="158">
        <v>7662</v>
      </c>
      <c r="D13" s="196">
        <f t="shared" si="2"/>
        <v>38800</v>
      </c>
      <c r="E13" s="158">
        <v>10890</v>
      </c>
      <c r="F13" s="196">
        <f t="shared" si="3"/>
        <v>55800</v>
      </c>
      <c r="G13" s="158">
        <v>746237</v>
      </c>
      <c r="H13" s="196">
        <f t="shared" ref="H13" si="34">(G13-G12)*10</f>
        <v>3160</v>
      </c>
      <c r="I13" s="196">
        <f t="shared" si="5"/>
        <v>1580</v>
      </c>
      <c r="J13" s="158">
        <v>10379</v>
      </c>
      <c r="K13" s="196">
        <f t="shared" si="6"/>
        <v>54300</v>
      </c>
      <c r="L13" s="158">
        <v>15854</v>
      </c>
      <c r="M13" s="196">
        <f t="shared" si="7"/>
        <v>87900</v>
      </c>
      <c r="N13" s="158">
        <v>731649</v>
      </c>
      <c r="O13" s="196">
        <f t="shared" si="0"/>
        <v>16530</v>
      </c>
      <c r="P13" s="196">
        <f t="shared" si="8"/>
        <v>8265</v>
      </c>
      <c r="Q13" s="158">
        <v>95473</v>
      </c>
      <c r="R13" s="196">
        <f t="shared" si="1"/>
        <v>20</v>
      </c>
      <c r="S13" s="196">
        <f t="shared" si="9"/>
        <v>10</v>
      </c>
      <c r="T13" s="158">
        <v>39835</v>
      </c>
      <c r="U13" s="196">
        <f t="shared" ref="U13" si="35">(T13-T12)*10</f>
        <v>9300</v>
      </c>
      <c r="V13" s="196">
        <f t="shared" si="11"/>
        <v>4650</v>
      </c>
      <c r="W13" s="158">
        <v>99368</v>
      </c>
      <c r="X13" s="196">
        <f t="shared" si="12"/>
        <v>7340</v>
      </c>
      <c r="Y13" s="196">
        <f t="shared" si="13"/>
        <v>3670</v>
      </c>
      <c r="Z13" s="158">
        <v>6152</v>
      </c>
      <c r="AA13" s="196">
        <f t="shared" ref="AA13" si="36">(Z13-Z12)*10</f>
        <v>970</v>
      </c>
      <c r="AB13" s="158">
        <v>11507</v>
      </c>
      <c r="AC13" s="196">
        <f t="shared" ref="AC13" si="37">(AB13-AB12)*10</f>
        <v>1850</v>
      </c>
      <c r="AD13" s="158">
        <v>21980</v>
      </c>
      <c r="AE13" s="196">
        <f t="shared" ref="AE13" si="38">(AD13-AD12)*10</f>
        <v>3480</v>
      </c>
      <c r="AF13" s="158">
        <v>12190</v>
      </c>
      <c r="AG13" s="196">
        <f t="shared" si="17"/>
        <v>1880</v>
      </c>
      <c r="AH13" s="158">
        <v>60374</v>
      </c>
      <c r="AI13" s="196">
        <f t="shared" si="17"/>
        <v>9620</v>
      </c>
      <c r="AK13" s="198">
        <f t="shared" si="18"/>
        <v>254975</v>
      </c>
      <c r="AL13" s="199">
        <f t="shared" si="19"/>
        <v>34395</v>
      </c>
    </row>
    <row r="14" spans="1:38" ht="39.950000000000003" customHeight="1">
      <c r="A14" s="139">
        <v>44081</v>
      </c>
      <c r="B14" s="202"/>
      <c r="C14" s="158">
        <v>8066</v>
      </c>
      <c r="D14" s="196">
        <f t="shared" si="2"/>
        <v>40400</v>
      </c>
      <c r="E14" s="158">
        <v>11458</v>
      </c>
      <c r="F14" s="196">
        <f t="shared" si="3"/>
        <v>56800</v>
      </c>
      <c r="G14" s="158">
        <v>747029</v>
      </c>
      <c r="H14" s="196">
        <f t="shared" ref="H14" si="39">(G14-G13)*10</f>
        <v>7920</v>
      </c>
      <c r="I14" s="196">
        <f t="shared" si="5"/>
        <v>3960</v>
      </c>
      <c r="J14" s="158">
        <v>10946</v>
      </c>
      <c r="K14" s="196">
        <f t="shared" si="6"/>
        <v>56700</v>
      </c>
      <c r="L14" s="158">
        <v>16726</v>
      </c>
      <c r="M14" s="196">
        <f t="shared" si="7"/>
        <v>87200</v>
      </c>
      <c r="N14" s="158">
        <v>733331</v>
      </c>
      <c r="O14" s="196">
        <f t="shared" si="0"/>
        <v>16820</v>
      </c>
      <c r="P14" s="196">
        <f t="shared" si="8"/>
        <v>8410</v>
      </c>
      <c r="Q14" s="158">
        <v>95627</v>
      </c>
      <c r="R14" s="196">
        <f t="shared" si="1"/>
        <v>1540</v>
      </c>
      <c r="S14" s="196">
        <f t="shared" si="9"/>
        <v>770</v>
      </c>
      <c r="T14" s="158">
        <v>40514</v>
      </c>
      <c r="U14" s="196">
        <f t="shared" ref="U14" si="40">(T14-T13)*10</f>
        <v>6790</v>
      </c>
      <c r="V14" s="196">
        <f t="shared" si="11"/>
        <v>3395</v>
      </c>
      <c r="W14" s="158">
        <v>100021</v>
      </c>
      <c r="X14" s="196">
        <f t="shared" si="12"/>
        <v>6530</v>
      </c>
      <c r="Y14" s="196">
        <f t="shared" si="13"/>
        <v>3265</v>
      </c>
      <c r="Z14" s="158">
        <v>6245</v>
      </c>
      <c r="AA14" s="196">
        <f t="shared" ref="AA14" si="41">(Z14-Z13)*10</f>
        <v>930</v>
      </c>
      <c r="AB14" s="158">
        <v>11706</v>
      </c>
      <c r="AC14" s="196">
        <f t="shared" ref="AC14" si="42">(AB14-AB13)*10</f>
        <v>1990</v>
      </c>
      <c r="AD14" s="158">
        <v>22346</v>
      </c>
      <c r="AE14" s="196">
        <f t="shared" ref="AE14" si="43">(AD14-AD13)*10</f>
        <v>3660</v>
      </c>
      <c r="AF14" s="158">
        <v>12390</v>
      </c>
      <c r="AG14" s="196">
        <f t="shared" si="17"/>
        <v>2000</v>
      </c>
      <c r="AH14" s="158">
        <v>61351</v>
      </c>
      <c r="AI14" s="196">
        <f t="shared" si="17"/>
        <v>9770</v>
      </c>
      <c r="AK14" s="198">
        <f t="shared" si="18"/>
        <v>260900</v>
      </c>
      <c r="AL14" s="199">
        <f t="shared" si="19"/>
        <v>34190</v>
      </c>
    </row>
    <row r="15" spans="1:38" ht="39.950000000000003" customHeight="1">
      <c r="A15" s="139">
        <v>44082</v>
      </c>
      <c r="B15" s="202"/>
      <c r="C15" s="158">
        <v>8472</v>
      </c>
      <c r="D15" s="196">
        <f t="shared" si="2"/>
        <v>40600</v>
      </c>
      <c r="E15" s="158">
        <v>12034</v>
      </c>
      <c r="F15" s="196">
        <f t="shared" si="3"/>
        <v>57600</v>
      </c>
      <c r="G15" s="158">
        <v>748524</v>
      </c>
      <c r="H15" s="196">
        <f t="shared" ref="H15" si="44">(G15-G14)*10</f>
        <v>14950</v>
      </c>
      <c r="I15" s="196">
        <f t="shared" si="5"/>
        <v>7475</v>
      </c>
      <c r="J15" s="158">
        <v>11512</v>
      </c>
      <c r="K15" s="196">
        <f t="shared" si="6"/>
        <v>56600</v>
      </c>
      <c r="L15" s="158">
        <v>17613</v>
      </c>
      <c r="M15" s="196">
        <f t="shared" si="7"/>
        <v>88700</v>
      </c>
      <c r="N15" s="158">
        <v>734691</v>
      </c>
      <c r="O15" s="196">
        <f t="shared" si="0"/>
        <v>13600</v>
      </c>
      <c r="P15" s="196">
        <f t="shared" si="8"/>
        <v>6800</v>
      </c>
      <c r="Q15" s="158">
        <v>95908</v>
      </c>
      <c r="R15" s="196">
        <f t="shared" si="1"/>
        <v>2810</v>
      </c>
      <c r="S15" s="196">
        <f t="shared" si="9"/>
        <v>1405</v>
      </c>
      <c r="T15" s="158">
        <v>41110</v>
      </c>
      <c r="U15" s="196">
        <f t="shared" ref="U15" si="45">(T15-T14)*10</f>
        <v>5960</v>
      </c>
      <c r="V15" s="196">
        <f t="shared" si="11"/>
        <v>2980</v>
      </c>
      <c r="W15" s="158">
        <v>100065</v>
      </c>
      <c r="X15" s="196">
        <f t="shared" si="12"/>
        <v>440</v>
      </c>
      <c r="Y15" s="196">
        <f t="shared" si="13"/>
        <v>220</v>
      </c>
      <c r="Z15" s="158">
        <v>6343</v>
      </c>
      <c r="AA15" s="196">
        <f t="shared" ref="AA15" si="46">(Z15-Z14)*10</f>
        <v>980</v>
      </c>
      <c r="AB15" s="158">
        <v>11908</v>
      </c>
      <c r="AC15" s="196">
        <f t="shared" ref="AC15" si="47">(AB15-AB14)*10</f>
        <v>2020</v>
      </c>
      <c r="AD15" s="158">
        <v>22714</v>
      </c>
      <c r="AE15" s="196">
        <f t="shared" ref="AE15" si="48">(AD15-AD14)*10</f>
        <v>3680</v>
      </c>
      <c r="AF15" s="158">
        <v>12588</v>
      </c>
      <c r="AG15" s="196">
        <f t="shared" si="17"/>
        <v>1980</v>
      </c>
      <c r="AH15" s="158">
        <v>62302</v>
      </c>
      <c r="AI15" s="196">
        <f t="shared" si="17"/>
        <v>9510</v>
      </c>
      <c r="AK15" s="198">
        <f t="shared" si="18"/>
        <v>262380</v>
      </c>
      <c r="AL15" s="199">
        <f t="shared" si="19"/>
        <v>29575</v>
      </c>
    </row>
    <row r="16" spans="1:38" ht="39.950000000000003" customHeight="1">
      <c r="A16" s="139">
        <v>44083</v>
      </c>
      <c r="B16" s="202"/>
      <c r="C16" s="158">
        <v>8883</v>
      </c>
      <c r="D16" s="196">
        <f t="shared" si="2"/>
        <v>41100</v>
      </c>
      <c r="E16" s="158">
        <v>12587</v>
      </c>
      <c r="F16" s="196">
        <f t="shared" si="3"/>
        <v>55300</v>
      </c>
      <c r="G16" s="158">
        <v>749967</v>
      </c>
      <c r="H16" s="196">
        <f t="shared" ref="H16" si="49">(G16-G15)*10</f>
        <v>14430</v>
      </c>
      <c r="I16" s="196">
        <f t="shared" si="5"/>
        <v>7215</v>
      </c>
      <c r="J16" s="158">
        <v>12079</v>
      </c>
      <c r="K16" s="196">
        <f t="shared" si="6"/>
        <v>56700</v>
      </c>
      <c r="L16" s="158">
        <v>18475</v>
      </c>
      <c r="M16" s="196">
        <f t="shared" si="7"/>
        <v>86200</v>
      </c>
      <c r="N16" s="158">
        <v>735242</v>
      </c>
      <c r="O16" s="196">
        <f t="shared" si="0"/>
        <v>5510</v>
      </c>
      <c r="P16" s="196">
        <f t="shared" si="8"/>
        <v>2755</v>
      </c>
      <c r="Q16" s="158">
        <v>95918</v>
      </c>
      <c r="R16" s="196">
        <f t="shared" si="1"/>
        <v>100</v>
      </c>
      <c r="S16" s="196">
        <f t="shared" si="9"/>
        <v>50</v>
      </c>
      <c r="T16" s="158">
        <v>41992</v>
      </c>
      <c r="U16" s="196">
        <f t="shared" ref="U16" si="50">(T16-T15)*10</f>
        <v>8820</v>
      </c>
      <c r="V16" s="196">
        <f t="shared" si="11"/>
        <v>4410</v>
      </c>
      <c r="W16" s="158">
        <v>100862</v>
      </c>
      <c r="X16" s="196">
        <f t="shared" si="12"/>
        <v>7970</v>
      </c>
      <c r="Y16" s="196">
        <f t="shared" si="13"/>
        <v>3985</v>
      </c>
      <c r="Z16" s="158">
        <v>6436</v>
      </c>
      <c r="AA16" s="196">
        <f t="shared" ref="AA16" si="51">(Z16-Z15)*10</f>
        <v>930</v>
      </c>
      <c r="AB16" s="158">
        <v>12110</v>
      </c>
      <c r="AC16" s="196">
        <f t="shared" ref="AC16" si="52">(AB16-AB15)*10</f>
        <v>2020</v>
      </c>
      <c r="AD16" s="158">
        <v>23070</v>
      </c>
      <c r="AE16" s="196">
        <f t="shared" ref="AE16" si="53">(AD16-AD15)*10</f>
        <v>3560</v>
      </c>
      <c r="AF16" s="158">
        <v>12779</v>
      </c>
      <c r="AG16" s="196">
        <f t="shared" si="17"/>
        <v>1910</v>
      </c>
      <c r="AH16" s="158">
        <v>63226</v>
      </c>
      <c r="AI16" s="196">
        <f t="shared" si="17"/>
        <v>9240</v>
      </c>
      <c r="AK16" s="198">
        <f t="shared" si="18"/>
        <v>257715</v>
      </c>
      <c r="AL16" s="199">
        <f t="shared" si="19"/>
        <v>28860</v>
      </c>
    </row>
    <row r="17" spans="1:38" ht="39.950000000000003" customHeight="1">
      <c r="A17" s="139">
        <v>44084</v>
      </c>
      <c r="B17" s="202"/>
      <c r="C17" s="158">
        <v>9298</v>
      </c>
      <c r="D17" s="196">
        <f t="shared" si="2"/>
        <v>41500</v>
      </c>
      <c r="E17" s="158">
        <v>13158</v>
      </c>
      <c r="F17" s="196">
        <f t="shared" si="3"/>
        <v>57100</v>
      </c>
      <c r="G17" s="158">
        <v>751417</v>
      </c>
      <c r="H17" s="196">
        <f t="shared" ref="H17" si="54">(G17-G16)*10</f>
        <v>14500</v>
      </c>
      <c r="I17" s="196">
        <f t="shared" si="5"/>
        <v>7250</v>
      </c>
      <c r="J17" s="158">
        <v>12643</v>
      </c>
      <c r="K17" s="196">
        <f t="shared" si="6"/>
        <v>56400</v>
      </c>
      <c r="L17" s="158">
        <v>19361</v>
      </c>
      <c r="M17" s="196">
        <f t="shared" si="7"/>
        <v>88600</v>
      </c>
      <c r="N17" s="158">
        <v>735770</v>
      </c>
      <c r="O17" s="196">
        <f t="shared" si="0"/>
        <v>5280</v>
      </c>
      <c r="P17" s="196">
        <f t="shared" si="8"/>
        <v>2640</v>
      </c>
      <c r="Q17" s="158">
        <v>95920</v>
      </c>
      <c r="R17" s="196">
        <f t="shared" si="1"/>
        <v>20</v>
      </c>
      <c r="S17" s="196">
        <f t="shared" si="9"/>
        <v>10</v>
      </c>
      <c r="T17" s="158">
        <v>42691</v>
      </c>
      <c r="U17" s="196">
        <f t="shared" ref="U17" si="55">(T17-T16)*10</f>
        <v>6990</v>
      </c>
      <c r="V17" s="196">
        <f t="shared" si="11"/>
        <v>3495</v>
      </c>
      <c r="W17" s="158">
        <v>101963</v>
      </c>
      <c r="X17" s="196">
        <f t="shared" si="12"/>
        <v>11010</v>
      </c>
      <c r="Y17" s="196">
        <f t="shared" si="13"/>
        <v>5505</v>
      </c>
      <c r="Z17" s="158">
        <v>6529</v>
      </c>
      <c r="AA17" s="196">
        <f t="shared" ref="AA17" si="56">(Z17-Z16)*10</f>
        <v>930</v>
      </c>
      <c r="AB17" s="158">
        <v>12322</v>
      </c>
      <c r="AC17" s="196">
        <f t="shared" ref="AC17" si="57">(AB17-AB16)*10</f>
        <v>2120</v>
      </c>
      <c r="AD17" s="158">
        <v>23432</v>
      </c>
      <c r="AE17" s="196">
        <f t="shared" ref="AE17" si="58">(AD17-AD16)*10</f>
        <v>3620</v>
      </c>
      <c r="AF17" s="158">
        <v>12973</v>
      </c>
      <c r="AG17" s="196">
        <f t="shared" si="17"/>
        <v>1940</v>
      </c>
      <c r="AH17" s="158">
        <v>64162</v>
      </c>
      <c r="AI17" s="196">
        <f t="shared" si="17"/>
        <v>9360</v>
      </c>
      <c r="AK17" s="198">
        <f t="shared" si="18"/>
        <v>262500</v>
      </c>
      <c r="AL17" s="199">
        <f t="shared" si="19"/>
        <v>29620</v>
      </c>
    </row>
    <row r="18" spans="1:38" ht="39.950000000000003" customHeight="1">
      <c r="A18" s="139">
        <v>44085</v>
      </c>
      <c r="B18" s="202"/>
      <c r="C18" s="158">
        <v>9709</v>
      </c>
      <c r="D18" s="196">
        <f t="shared" si="2"/>
        <v>41100</v>
      </c>
      <c r="E18" s="158">
        <v>13738</v>
      </c>
      <c r="F18" s="196">
        <f t="shared" si="3"/>
        <v>58000</v>
      </c>
      <c r="G18" s="158">
        <v>752891</v>
      </c>
      <c r="H18" s="196">
        <f t="shared" ref="H18" si="59">(G18-G17)*10</f>
        <v>14740</v>
      </c>
      <c r="I18" s="196">
        <f t="shared" si="5"/>
        <v>7370</v>
      </c>
      <c r="J18" s="158">
        <v>13201</v>
      </c>
      <c r="K18" s="196">
        <f t="shared" si="6"/>
        <v>55800</v>
      </c>
      <c r="L18" s="158">
        <v>20232</v>
      </c>
      <c r="M18" s="196">
        <f t="shared" si="7"/>
        <v>87100</v>
      </c>
      <c r="N18" s="158">
        <v>736324</v>
      </c>
      <c r="O18" s="196">
        <f t="shared" si="0"/>
        <v>5540</v>
      </c>
      <c r="P18" s="196">
        <f t="shared" si="8"/>
        <v>2770</v>
      </c>
      <c r="Q18" s="158">
        <v>95922</v>
      </c>
      <c r="R18" s="196">
        <f t="shared" si="1"/>
        <v>20</v>
      </c>
      <c r="S18" s="196">
        <f t="shared" si="9"/>
        <v>10</v>
      </c>
      <c r="T18" s="158">
        <v>43376</v>
      </c>
      <c r="U18" s="196">
        <f t="shared" ref="U18" si="60">(T18-T17)*10</f>
        <v>6850</v>
      </c>
      <c r="V18" s="196">
        <f t="shared" si="11"/>
        <v>3425</v>
      </c>
      <c r="W18" s="158">
        <v>103061</v>
      </c>
      <c r="X18" s="196">
        <f t="shared" si="12"/>
        <v>10980</v>
      </c>
      <c r="Y18" s="196">
        <f t="shared" si="13"/>
        <v>5490</v>
      </c>
      <c r="Z18" s="158">
        <v>6622</v>
      </c>
      <c r="AA18" s="196">
        <f t="shared" ref="AA18" si="61">(Z18-Z17)*10</f>
        <v>930</v>
      </c>
      <c r="AB18" s="158">
        <v>12529</v>
      </c>
      <c r="AC18" s="196">
        <f t="shared" ref="AC18" si="62">(AB18-AB17)*10</f>
        <v>2070</v>
      </c>
      <c r="AD18" s="158">
        <v>23790</v>
      </c>
      <c r="AE18" s="196">
        <f t="shared" ref="AE18" si="63">(AD18-AD17)*10</f>
        <v>3580</v>
      </c>
      <c r="AF18" s="158">
        <v>13169</v>
      </c>
      <c r="AG18" s="196">
        <f t="shared" si="17"/>
        <v>1960</v>
      </c>
      <c r="AH18" s="158">
        <v>65109</v>
      </c>
      <c r="AI18" s="196">
        <f t="shared" si="17"/>
        <v>9470</v>
      </c>
      <c r="AK18" s="198">
        <f t="shared" si="18"/>
        <v>261065</v>
      </c>
      <c r="AL18" s="199">
        <f t="shared" si="19"/>
        <v>29705</v>
      </c>
    </row>
    <row r="19" spans="1:38" ht="39.950000000000003" customHeight="1">
      <c r="A19" s="139">
        <v>44086</v>
      </c>
      <c r="B19" s="202"/>
      <c r="C19" s="158">
        <v>10130</v>
      </c>
      <c r="D19" s="196">
        <f t="shared" si="2"/>
        <v>42100</v>
      </c>
      <c r="E19" s="158">
        <v>14346</v>
      </c>
      <c r="F19" s="196">
        <f t="shared" si="3"/>
        <v>60800</v>
      </c>
      <c r="G19" s="158">
        <v>753865</v>
      </c>
      <c r="H19" s="196">
        <f t="shared" ref="H19" si="64">(G19-G18)*10</f>
        <v>9740</v>
      </c>
      <c r="I19" s="196">
        <f t="shared" si="5"/>
        <v>4870</v>
      </c>
      <c r="J19" s="158">
        <v>13778</v>
      </c>
      <c r="K19" s="196">
        <f t="shared" si="6"/>
        <v>57700</v>
      </c>
      <c r="L19" s="158">
        <v>21142</v>
      </c>
      <c r="M19" s="196">
        <f t="shared" si="7"/>
        <v>91000</v>
      </c>
      <c r="N19" s="158">
        <v>736883</v>
      </c>
      <c r="O19" s="196">
        <f t="shared" si="0"/>
        <v>5590</v>
      </c>
      <c r="P19" s="196">
        <f t="shared" si="8"/>
        <v>2795</v>
      </c>
      <c r="Q19" s="158">
        <v>96411</v>
      </c>
      <c r="R19" s="196">
        <f t="shared" si="1"/>
        <v>4890</v>
      </c>
      <c r="S19" s="196">
        <f t="shared" si="9"/>
        <v>2445</v>
      </c>
      <c r="T19" s="158">
        <v>44088</v>
      </c>
      <c r="U19" s="196">
        <f t="shared" ref="U19" si="65">(T19-T18)*10</f>
        <v>7120</v>
      </c>
      <c r="V19" s="196">
        <f t="shared" si="11"/>
        <v>3560</v>
      </c>
      <c r="W19" s="158">
        <v>104186</v>
      </c>
      <c r="X19" s="196">
        <f t="shared" si="12"/>
        <v>11250</v>
      </c>
      <c r="Y19" s="196">
        <f t="shared" si="13"/>
        <v>5625</v>
      </c>
      <c r="Z19" s="158">
        <v>6715</v>
      </c>
      <c r="AA19" s="196">
        <f t="shared" ref="AA19" si="66">(Z19-Z18)*10</f>
        <v>930</v>
      </c>
      <c r="AB19" s="158">
        <v>12734</v>
      </c>
      <c r="AC19" s="196">
        <f t="shared" ref="AC19" si="67">(AB19-AB18)*10</f>
        <v>2050</v>
      </c>
      <c r="AD19" s="158">
        <v>24154</v>
      </c>
      <c r="AE19" s="196">
        <f t="shared" ref="AE19" si="68">(AD19-AD18)*10</f>
        <v>3640</v>
      </c>
      <c r="AF19" s="158">
        <v>13364</v>
      </c>
      <c r="AG19" s="196">
        <f t="shared" si="17"/>
        <v>1950</v>
      </c>
      <c r="AH19" s="158">
        <v>66073</v>
      </c>
      <c r="AI19" s="196">
        <f t="shared" si="17"/>
        <v>9640</v>
      </c>
      <c r="AK19" s="198">
        <f t="shared" si="18"/>
        <v>270895</v>
      </c>
      <c r="AL19" s="199">
        <f t="shared" si="19"/>
        <v>32635</v>
      </c>
    </row>
    <row r="20" spans="1:38" ht="39.950000000000003" customHeight="1">
      <c r="A20" s="139">
        <v>44087</v>
      </c>
      <c r="B20" s="202"/>
      <c r="C20" s="158">
        <v>10544</v>
      </c>
      <c r="D20" s="196">
        <f t="shared" si="2"/>
        <v>41400</v>
      </c>
      <c r="E20" s="158">
        <v>14942</v>
      </c>
      <c r="F20" s="196">
        <f t="shared" si="3"/>
        <v>59600</v>
      </c>
      <c r="G20" s="158">
        <v>754187</v>
      </c>
      <c r="H20" s="196">
        <f t="shared" ref="H20" si="69">(G20-G19)*10</f>
        <v>3220</v>
      </c>
      <c r="I20" s="196">
        <f t="shared" si="5"/>
        <v>1610</v>
      </c>
      <c r="J20" s="158">
        <v>14334</v>
      </c>
      <c r="K20" s="196">
        <f t="shared" si="6"/>
        <v>55600</v>
      </c>
      <c r="L20" s="158">
        <v>22027</v>
      </c>
      <c r="M20" s="196">
        <f t="shared" si="7"/>
        <v>88500</v>
      </c>
      <c r="N20" s="158">
        <v>737440</v>
      </c>
      <c r="O20" s="196">
        <f t="shared" si="0"/>
        <v>5570</v>
      </c>
      <c r="P20" s="196">
        <f t="shared" si="8"/>
        <v>2785</v>
      </c>
      <c r="Q20" s="158">
        <v>97449</v>
      </c>
      <c r="R20" s="196">
        <f t="shared" si="1"/>
        <v>10380</v>
      </c>
      <c r="S20" s="196">
        <f t="shared" si="9"/>
        <v>5190</v>
      </c>
      <c r="T20" s="158">
        <v>44992</v>
      </c>
      <c r="U20" s="196">
        <f t="shared" ref="U20" si="70">(T20-T19)*10</f>
        <v>9040</v>
      </c>
      <c r="V20" s="196">
        <f t="shared" si="11"/>
        <v>4520</v>
      </c>
      <c r="W20" s="158">
        <v>105032</v>
      </c>
      <c r="X20" s="196">
        <f t="shared" si="12"/>
        <v>8460</v>
      </c>
      <c r="Y20" s="196">
        <f t="shared" si="13"/>
        <v>4230</v>
      </c>
      <c r="Z20" s="158">
        <v>6799</v>
      </c>
      <c r="AA20" s="196">
        <f t="shared" ref="AA20" si="71">(Z20-Z19)*10</f>
        <v>840</v>
      </c>
      <c r="AB20" s="158">
        <v>12926</v>
      </c>
      <c r="AC20" s="196">
        <f t="shared" ref="AC20" si="72">(AB20-AB19)*10</f>
        <v>1920</v>
      </c>
      <c r="AD20" s="158">
        <v>24503</v>
      </c>
      <c r="AE20" s="196">
        <f t="shared" ref="AE20" si="73">(AD20-AD19)*10</f>
        <v>3490</v>
      </c>
      <c r="AF20" s="158">
        <v>13554</v>
      </c>
      <c r="AG20" s="196">
        <f t="shared" si="17"/>
        <v>1900</v>
      </c>
      <c r="AH20" s="158">
        <v>67025</v>
      </c>
      <c r="AI20" s="196">
        <f t="shared" si="17"/>
        <v>9520</v>
      </c>
      <c r="AK20" s="198">
        <f t="shared" si="18"/>
        <v>263435</v>
      </c>
      <c r="AL20" s="199">
        <f t="shared" si="19"/>
        <v>34395</v>
      </c>
    </row>
    <row r="21" spans="1:38" ht="39.950000000000003" customHeight="1">
      <c r="A21" s="139">
        <v>44088</v>
      </c>
      <c r="B21" s="202"/>
      <c r="C21" s="158">
        <v>10928</v>
      </c>
      <c r="D21" s="196">
        <f t="shared" si="2"/>
        <v>38400</v>
      </c>
      <c r="E21" s="158">
        <v>15517</v>
      </c>
      <c r="F21" s="196">
        <f t="shared" si="3"/>
        <v>57500</v>
      </c>
      <c r="G21" s="158">
        <v>754501</v>
      </c>
      <c r="H21" s="196">
        <f t="shared" ref="H21" si="74">(G21-G20)*10</f>
        <v>3140</v>
      </c>
      <c r="I21" s="196">
        <f t="shared" si="5"/>
        <v>1570</v>
      </c>
      <c r="J21" s="158">
        <v>14878</v>
      </c>
      <c r="K21" s="196">
        <f t="shared" si="6"/>
        <v>54400</v>
      </c>
      <c r="L21" s="158">
        <v>22890</v>
      </c>
      <c r="M21" s="196">
        <f t="shared" si="7"/>
        <v>86300</v>
      </c>
      <c r="N21" s="158">
        <v>737961</v>
      </c>
      <c r="O21" s="196">
        <f t="shared" si="0"/>
        <v>5210</v>
      </c>
      <c r="P21" s="196">
        <f t="shared" si="8"/>
        <v>2605</v>
      </c>
      <c r="Q21" s="158">
        <v>98511</v>
      </c>
      <c r="R21" s="196">
        <f t="shared" si="1"/>
        <v>10620</v>
      </c>
      <c r="S21" s="196">
        <f t="shared" si="9"/>
        <v>5310</v>
      </c>
      <c r="T21" s="158">
        <v>45892</v>
      </c>
      <c r="U21" s="196">
        <f t="shared" ref="U21" si="75">(T21-T20)*10</f>
        <v>9000</v>
      </c>
      <c r="V21" s="196">
        <f t="shared" si="11"/>
        <v>4500</v>
      </c>
      <c r="W21" s="158">
        <v>105859</v>
      </c>
      <c r="X21" s="196">
        <f t="shared" si="12"/>
        <v>8270</v>
      </c>
      <c r="Y21" s="196">
        <f t="shared" si="13"/>
        <v>4135</v>
      </c>
      <c r="Z21" s="158">
        <v>6891</v>
      </c>
      <c r="AA21" s="196">
        <f t="shared" ref="AA21" si="76">(Z21-Z20)*10</f>
        <v>920</v>
      </c>
      <c r="AB21" s="158">
        <v>13135</v>
      </c>
      <c r="AC21" s="196">
        <f t="shared" ref="AC21" si="77">(AB21-AB20)*10</f>
        <v>2090</v>
      </c>
      <c r="AD21" s="158">
        <v>24862</v>
      </c>
      <c r="AE21" s="196">
        <f t="shared" ref="AE21" si="78">(AD21-AD20)*10</f>
        <v>3590</v>
      </c>
      <c r="AF21" s="158">
        <v>13748</v>
      </c>
      <c r="AG21" s="196">
        <f t="shared" si="17"/>
        <v>1940</v>
      </c>
      <c r="AH21" s="158">
        <v>67962</v>
      </c>
      <c r="AI21" s="196">
        <f t="shared" si="17"/>
        <v>9370</v>
      </c>
      <c r="AK21" s="198">
        <f t="shared" si="18"/>
        <v>254720</v>
      </c>
      <c r="AL21" s="199">
        <f t="shared" si="19"/>
        <v>34460</v>
      </c>
    </row>
    <row r="22" spans="1:38" ht="39.950000000000003" customHeight="1">
      <c r="A22" s="139">
        <v>44089</v>
      </c>
      <c r="B22" s="202"/>
      <c r="C22" s="158">
        <v>11304</v>
      </c>
      <c r="D22" s="196">
        <f t="shared" si="2"/>
        <v>37600</v>
      </c>
      <c r="E22" s="158">
        <v>16073</v>
      </c>
      <c r="F22" s="196">
        <f t="shared" si="3"/>
        <v>55600</v>
      </c>
      <c r="G22" s="158">
        <v>754825</v>
      </c>
      <c r="H22" s="196">
        <f t="shared" ref="H22" si="79">(G22-G21)*10</f>
        <v>3240</v>
      </c>
      <c r="I22" s="196">
        <f t="shared" si="5"/>
        <v>1620</v>
      </c>
      <c r="J22" s="158">
        <v>15428</v>
      </c>
      <c r="K22" s="196">
        <f t="shared" si="6"/>
        <v>55000</v>
      </c>
      <c r="L22" s="158">
        <v>23775</v>
      </c>
      <c r="M22" s="196">
        <f t="shared" si="7"/>
        <v>88500</v>
      </c>
      <c r="N22" s="158">
        <v>738455</v>
      </c>
      <c r="O22" s="196">
        <f t="shared" si="0"/>
        <v>4940</v>
      </c>
      <c r="P22" s="196">
        <f t="shared" si="8"/>
        <v>2470</v>
      </c>
      <c r="Q22" s="158">
        <v>99672</v>
      </c>
      <c r="R22" s="196">
        <f t="shared" si="1"/>
        <v>11610</v>
      </c>
      <c r="S22" s="196">
        <f t="shared" si="9"/>
        <v>5805</v>
      </c>
      <c r="T22" s="158">
        <v>46813</v>
      </c>
      <c r="U22" s="196">
        <f t="shared" ref="U22" si="80">(T22-T21)*10</f>
        <v>9210</v>
      </c>
      <c r="V22" s="196">
        <f t="shared" si="11"/>
        <v>4605</v>
      </c>
      <c r="W22" s="158">
        <v>106738</v>
      </c>
      <c r="X22" s="196">
        <f t="shared" si="12"/>
        <v>8790</v>
      </c>
      <c r="Y22" s="196">
        <f t="shared" si="13"/>
        <v>4395</v>
      </c>
      <c r="Z22" s="158">
        <v>6982</v>
      </c>
      <c r="AA22" s="196">
        <f t="shared" ref="AA22" si="81">(Z22-Z21)*10</f>
        <v>910</v>
      </c>
      <c r="AB22" s="158">
        <v>13348</v>
      </c>
      <c r="AC22" s="196">
        <f t="shared" ref="AC22" si="82">(AB22-AB21)*10</f>
        <v>2130</v>
      </c>
      <c r="AD22" s="158">
        <v>25223</v>
      </c>
      <c r="AE22" s="196">
        <f t="shared" ref="AE22" si="83">(AD22-AD21)*10</f>
        <v>3610</v>
      </c>
      <c r="AF22" s="158">
        <v>13945</v>
      </c>
      <c r="AG22" s="196">
        <f t="shared" si="17"/>
        <v>1970</v>
      </c>
      <c r="AH22" s="158">
        <v>68885</v>
      </c>
      <c r="AI22" s="196">
        <f t="shared" si="17"/>
        <v>9230</v>
      </c>
      <c r="AK22" s="198">
        <f t="shared" si="18"/>
        <v>255595</v>
      </c>
      <c r="AL22" s="199">
        <f t="shared" si="19"/>
        <v>35125</v>
      </c>
    </row>
    <row r="23" spans="1:38" ht="39.950000000000003" customHeight="1">
      <c r="A23" s="139">
        <v>44090</v>
      </c>
      <c r="B23" s="202"/>
      <c r="C23" s="158">
        <v>11698</v>
      </c>
      <c r="D23" s="196">
        <f t="shared" si="2"/>
        <v>39400</v>
      </c>
      <c r="E23" s="158">
        <v>16641</v>
      </c>
      <c r="F23" s="196">
        <f t="shared" si="3"/>
        <v>56800</v>
      </c>
      <c r="G23" s="158">
        <v>755153</v>
      </c>
      <c r="H23" s="196">
        <f t="shared" ref="H23" si="84">(G23-G22)*10</f>
        <v>3280</v>
      </c>
      <c r="I23" s="196">
        <f t="shared" si="5"/>
        <v>1640</v>
      </c>
      <c r="J23" s="158">
        <v>15983</v>
      </c>
      <c r="K23" s="196">
        <f t="shared" si="6"/>
        <v>55500</v>
      </c>
      <c r="L23" s="158">
        <v>24665</v>
      </c>
      <c r="M23" s="196">
        <f t="shared" si="7"/>
        <v>89000</v>
      </c>
      <c r="N23" s="158">
        <v>739005</v>
      </c>
      <c r="O23" s="196">
        <f t="shared" si="0"/>
        <v>5500</v>
      </c>
      <c r="P23" s="196">
        <f t="shared" si="8"/>
        <v>2750</v>
      </c>
      <c r="Q23" s="158">
        <v>100534</v>
      </c>
      <c r="R23" s="196">
        <f t="shared" si="1"/>
        <v>8620</v>
      </c>
      <c r="S23" s="196">
        <f t="shared" si="9"/>
        <v>4310</v>
      </c>
      <c r="T23" s="158">
        <v>47886</v>
      </c>
      <c r="U23" s="196">
        <f t="shared" ref="U23" si="85">(T23-T22)*10</f>
        <v>10730</v>
      </c>
      <c r="V23" s="196">
        <f t="shared" si="11"/>
        <v>5365</v>
      </c>
      <c r="W23" s="158">
        <v>107982</v>
      </c>
      <c r="X23" s="196">
        <f t="shared" si="12"/>
        <v>12440</v>
      </c>
      <c r="Y23" s="196">
        <f t="shared" si="13"/>
        <v>6220</v>
      </c>
      <c r="Z23" s="158">
        <v>7073</v>
      </c>
      <c r="AA23" s="196">
        <f t="shared" ref="AA23" si="86">(Z23-Z22)*10</f>
        <v>910</v>
      </c>
      <c r="AB23" s="158">
        <v>13563</v>
      </c>
      <c r="AC23" s="196">
        <f t="shared" ref="AC23" si="87">(AB23-AB22)*10</f>
        <v>2150</v>
      </c>
      <c r="AD23" s="158">
        <v>25596</v>
      </c>
      <c r="AE23" s="196">
        <f t="shared" ref="AE23" si="88">(AD23-AD22)*10</f>
        <v>3730</v>
      </c>
      <c r="AF23" s="158">
        <v>14144</v>
      </c>
      <c r="AG23" s="196">
        <f t="shared" si="17"/>
        <v>1990</v>
      </c>
      <c r="AH23" s="158">
        <v>69874</v>
      </c>
      <c r="AI23" s="196">
        <f t="shared" si="17"/>
        <v>9890</v>
      </c>
      <c r="AK23" s="198">
        <f t="shared" si="18"/>
        <v>260985</v>
      </c>
      <c r="AL23" s="199">
        <f t="shared" si="19"/>
        <v>37315</v>
      </c>
    </row>
    <row r="24" spans="1:38" ht="39.950000000000003" customHeight="1">
      <c r="A24" s="139">
        <v>44091</v>
      </c>
      <c r="B24" s="202"/>
      <c r="C24" s="158">
        <v>12093</v>
      </c>
      <c r="D24" s="196">
        <f t="shared" si="2"/>
        <v>39500</v>
      </c>
      <c r="E24" s="158">
        <v>17207</v>
      </c>
      <c r="F24" s="196">
        <f t="shared" si="3"/>
        <v>56600</v>
      </c>
      <c r="G24" s="158">
        <v>755475</v>
      </c>
      <c r="H24" s="196">
        <f t="shared" ref="H24" si="89">(G24-G23)*10</f>
        <v>3220</v>
      </c>
      <c r="I24" s="196">
        <f t="shared" si="5"/>
        <v>1610</v>
      </c>
      <c r="J24" s="158">
        <v>16550</v>
      </c>
      <c r="K24" s="196">
        <f t="shared" si="6"/>
        <v>56700</v>
      </c>
      <c r="L24" s="158">
        <v>25548</v>
      </c>
      <c r="M24" s="196">
        <f t="shared" si="7"/>
        <v>88300</v>
      </c>
      <c r="N24" s="158">
        <v>740193</v>
      </c>
      <c r="O24" s="196">
        <f t="shared" si="0"/>
        <v>11880</v>
      </c>
      <c r="P24" s="196">
        <f t="shared" si="8"/>
        <v>5940</v>
      </c>
      <c r="Q24" s="158">
        <v>100680</v>
      </c>
      <c r="R24" s="196">
        <f t="shared" si="1"/>
        <v>1460</v>
      </c>
      <c r="S24" s="196">
        <f t="shared" si="9"/>
        <v>730</v>
      </c>
      <c r="T24" s="158">
        <v>48883</v>
      </c>
      <c r="U24" s="196">
        <f t="shared" ref="U24" si="90">(T24-T23)*10</f>
        <v>9970</v>
      </c>
      <c r="V24" s="196">
        <f t="shared" si="11"/>
        <v>4985</v>
      </c>
      <c r="W24" s="158">
        <v>109172</v>
      </c>
      <c r="X24" s="196">
        <f t="shared" si="12"/>
        <v>11900</v>
      </c>
      <c r="Y24" s="196">
        <f t="shared" si="13"/>
        <v>5950</v>
      </c>
      <c r="Z24" s="158">
        <v>7165</v>
      </c>
      <c r="AA24" s="196">
        <f t="shared" ref="AA24" si="91">(Z24-Z23)*10</f>
        <v>920</v>
      </c>
      <c r="AB24" s="158">
        <v>13776</v>
      </c>
      <c r="AC24" s="196">
        <f t="shared" ref="AC24" si="92">(AB24-AB23)*10</f>
        <v>2130</v>
      </c>
      <c r="AD24" s="158">
        <v>25956</v>
      </c>
      <c r="AE24" s="196">
        <f t="shared" ref="AE24" si="93">(AD24-AD23)*10</f>
        <v>3600</v>
      </c>
      <c r="AF24" s="158">
        <v>14340</v>
      </c>
      <c r="AG24" s="196">
        <f t="shared" si="17"/>
        <v>1960</v>
      </c>
      <c r="AH24" s="158">
        <v>70832</v>
      </c>
      <c r="AI24" s="196">
        <f t="shared" si="17"/>
        <v>9580</v>
      </c>
      <c r="AK24" s="198">
        <f t="shared" si="18"/>
        <v>260315</v>
      </c>
      <c r="AL24" s="199">
        <f t="shared" si="19"/>
        <v>35795</v>
      </c>
    </row>
    <row r="25" spans="1:38" ht="39.950000000000003" customHeight="1">
      <c r="A25" s="139">
        <v>44092</v>
      </c>
      <c r="B25" s="202"/>
      <c r="C25" s="158">
        <v>12503</v>
      </c>
      <c r="D25" s="196">
        <f t="shared" si="2"/>
        <v>41000</v>
      </c>
      <c r="E25" s="158">
        <v>17811</v>
      </c>
      <c r="F25" s="196">
        <f t="shared" si="3"/>
        <v>60400</v>
      </c>
      <c r="G25" s="158">
        <v>755832</v>
      </c>
      <c r="H25" s="196">
        <f t="shared" ref="H25:H35" si="94">(G25-G24)*10</f>
        <v>3570</v>
      </c>
      <c r="I25" s="196">
        <f t="shared" ref="I25:I35" si="95">H25*50%</f>
        <v>1785</v>
      </c>
      <c r="J25" s="158">
        <v>17122</v>
      </c>
      <c r="K25" s="196">
        <f t="shared" si="6"/>
        <v>57200</v>
      </c>
      <c r="L25" s="158">
        <v>26449</v>
      </c>
      <c r="M25" s="196">
        <f t="shared" si="7"/>
        <v>90100</v>
      </c>
      <c r="N25" s="158">
        <v>741734</v>
      </c>
      <c r="O25" s="196">
        <f t="shared" ref="O25:O35" si="96">(N25-N24)*10</f>
        <v>15410</v>
      </c>
      <c r="P25" s="196">
        <f t="shared" ref="P25:P35" si="97">O25*50%</f>
        <v>7705</v>
      </c>
      <c r="Q25" s="158">
        <v>100682</v>
      </c>
      <c r="R25" s="196">
        <f t="shared" ref="R25:R35" si="98">(Q25-Q24)*10</f>
        <v>20</v>
      </c>
      <c r="S25" s="196">
        <f t="shared" ref="S25:S35" si="99">R25*50%</f>
        <v>10</v>
      </c>
      <c r="T25" s="158">
        <v>49838</v>
      </c>
      <c r="U25" s="196">
        <f t="shared" ref="U25:U35" si="100">(T25-T24)*10</f>
        <v>9550</v>
      </c>
      <c r="V25" s="196">
        <f t="shared" ref="V25:V35" si="101">U25*50%</f>
        <v>4775</v>
      </c>
      <c r="W25" s="158">
        <v>110132</v>
      </c>
      <c r="X25" s="196">
        <f t="shared" si="12"/>
        <v>9600</v>
      </c>
      <c r="Y25" s="196">
        <f t="shared" ref="Y25:Y35" si="102">X25*50%</f>
        <v>4800</v>
      </c>
      <c r="Z25" s="158">
        <v>7259</v>
      </c>
      <c r="AA25" s="196">
        <f t="shared" ref="AA25" si="103">(Z25-Z24)*10</f>
        <v>940</v>
      </c>
      <c r="AB25" s="158">
        <v>13983</v>
      </c>
      <c r="AC25" s="196">
        <f t="shared" ref="AC25" si="104">(AB25-AB24)*10</f>
        <v>2070</v>
      </c>
      <c r="AD25" s="158">
        <v>26320</v>
      </c>
      <c r="AE25" s="196">
        <f t="shared" ref="AE25" si="105">(AD25-AD24)*10</f>
        <v>3640</v>
      </c>
      <c r="AF25" s="158">
        <v>14537</v>
      </c>
      <c r="AG25" s="196">
        <f t="shared" si="17"/>
        <v>1970</v>
      </c>
      <c r="AH25" s="158">
        <v>71800</v>
      </c>
      <c r="AI25" s="196">
        <f t="shared" si="17"/>
        <v>9680</v>
      </c>
      <c r="AK25" s="198">
        <f t="shared" ref="AK25:AK35" si="106">SUM(D25,F25,I25,K25,M25,P25,S25,V25,Y25)</f>
        <v>267775</v>
      </c>
      <c r="AL25" s="199">
        <f t="shared" ref="AL25:AL35" si="107">SUM(P25,S25,V25,Y25,AA25,AC25,AE25,AG25,AI25)</f>
        <v>35590</v>
      </c>
    </row>
    <row r="26" spans="1:38" ht="39.950000000000003" customHeight="1">
      <c r="A26" s="139">
        <v>44093</v>
      </c>
      <c r="B26" s="202"/>
      <c r="C26" s="158">
        <v>12926</v>
      </c>
      <c r="D26" s="196">
        <f t="shared" si="2"/>
        <v>42300</v>
      </c>
      <c r="E26" s="158">
        <v>18438</v>
      </c>
      <c r="F26" s="196">
        <f t="shared" si="3"/>
        <v>62700</v>
      </c>
      <c r="G26" s="158">
        <v>756187</v>
      </c>
      <c r="H26" s="196">
        <f t="shared" si="94"/>
        <v>3550</v>
      </c>
      <c r="I26" s="196">
        <f t="shared" si="95"/>
        <v>1775</v>
      </c>
      <c r="J26" s="158">
        <v>17694</v>
      </c>
      <c r="K26" s="196">
        <f t="shared" si="6"/>
        <v>57200</v>
      </c>
      <c r="L26" s="158">
        <v>27357</v>
      </c>
      <c r="M26" s="196">
        <f t="shared" si="7"/>
        <v>90800</v>
      </c>
      <c r="N26" s="158">
        <v>743242</v>
      </c>
      <c r="O26" s="196">
        <f t="shared" si="96"/>
        <v>15080</v>
      </c>
      <c r="P26" s="196">
        <f t="shared" si="97"/>
        <v>7540</v>
      </c>
      <c r="Q26" s="158">
        <v>100684</v>
      </c>
      <c r="R26" s="196">
        <f t="shared" si="98"/>
        <v>20</v>
      </c>
      <c r="S26" s="196">
        <f t="shared" si="99"/>
        <v>10</v>
      </c>
      <c r="T26" s="158">
        <v>50785</v>
      </c>
      <c r="U26" s="196">
        <f t="shared" si="100"/>
        <v>9470</v>
      </c>
      <c r="V26" s="196">
        <f t="shared" si="101"/>
        <v>4735</v>
      </c>
      <c r="W26" s="158">
        <v>110960</v>
      </c>
      <c r="X26" s="196">
        <f t="shared" si="12"/>
        <v>8280</v>
      </c>
      <c r="Y26" s="196">
        <f t="shared" si="102"/>
        <v>4140</v>
      </c>
      <c r="Z26" s="158">
        <v>7356</v>
      </c>
      <c r="AA26" s="196">
        <f t="shared" ref="AA26" si="108">(Z26-Z25)*10</f>
        <v>970</v>
      </c>
      <c r="AB26" s="158">
        <v>14188</v>
      </c>
      <c r="AC26" s="196">
        <f t="shared" ref="AC26" si="109">(AB26-AB25)*10</f>
        <v>2050</v>
      </c>
      <c r="AD26" s="158">
        <v>26692</v>
      </c>
      <c r="AE26" s="196">
        <f t="shared" ref="AE26" si="110">(AD26-AD25)*10</f>
        <v>3720</v>
      </c>
      <c r="AF26" s="158">
        <v>14727</v>
      </c>
      <c r="AG26" s="196">
        <f t="shared" si="17"/>
        <v>1900</v>
      </c>
      <c r="AH26" s="158">
        <v>72772</v>
      </c>
      <c r="AI26" s="196">
        <f t="shared" si="17"/>
        <v>9720</v>
      </c>
      <c r="AK26" s="198">
        <f t="shared" si="106"/>
        <v>271200</v>
      </c>
      <c r="AL26" s="199">
        <f t="shared" si="107"/>
        <v>34785</v>
      </c>
    </row>
    <row r="27" spans="1:38" ht="39.950000000000003" customHeight="1">
      <c r="A27" s="139">
        <v>44094</v>
      </c>
      <c r="B27" s="202"/>
      <c r="C27" s="158">
        <v>13346</v>
      </c>
      <c r="D27" s="196">
        <f t="shared" si="2"/>
        <v>42000</v>
      </c>
      <c r="E27" s="158">
        <v>19079</v>
      </c>
      <c r="F27" s="196">
        <f t="shared" si="3"/>
        <v>64100</v>
      </c>
      <c r="G27" s="158">
        <v>756574</v>
      </c>
      <c r="H27" s="196">
        <f t="shared" si="94"/>
        <v>3870</v>
      </c>
      <c r="I27" s="196">
        <f t="shared" si="95"/>
        <v>1935</v>
      </c>
      <c r="J27" s="158">
        <v>18252</v>
      </c>
      <c r="K27" s="196">
        <f t="shared" si="6"/>
        <v>55800</v>
      </c>
      <c r="L27" s="158">
        <v>28253</v>
      </c>
      <c r="M27" s="196">
        <f t="shared" si="7"/>
        <v>89600</v>
      </c>
      <c r="N27" s="158">
        <v>744769</v>
      </c>
      <c r="O27" s="196">
        <f t="shared" si="96"/>
        <v>15270</v>
      </c>
      <c r="P27" s="196">
        <f t="shared" si="97"/>
        <v>7635</v>
      </c>
      <c r="Q27" s="158">
        <v>100791</v>
      </c>
      <c r="R27" s="196">
        <f t="shared" si="98"/>
        <v>1070</v>
      </c>
      <c r="S27" s="196">
        <f t="shared" si="99"/>
        <v>535</v>
      </c>
      <c r="T27" s="158">
        <v>51413</v>
      </c>
      <c r="U27" s="196">
        <f t="shared" si="100"/>
        <v>6280</v>
      </c>
      <c r="V27" s="196">
        <f t="shared" si="101"/>
        <v>3140</v>
      </c>
      <c r="W27" s="158">
        <v>112091</v>
      </c>
      <c r="X27" s="196">
        <f t="shared" si="12"/>
        <v>11310</v>
      </c>
      <c r="Y27" s="196">
        <f t="shared" si="102"/>
        <v>5655</v>
      </c>
      <c r="Z27" s="158">
        <v>7448</v>
      </c>
      <c r="AA27" s="196">
        <f t="shared" ref="AA27" si="111">(Z27-Z26)*10</f>
        <v>920</v>
      </c>
      <c r="AB27" s="158">
        <v>14385</v>
      </c>
      <c r="AC27" s="196">
        <f t="shared" ref="AC27" si="112">(AB27-AB26)*10</f>
        <v>1970</v>
      </c>
      <c r="AD27" s="158">
        <v>27051</v>
      </c>
      <c r="AE27" s="196">
        <f t="shared" ref="AE27" si="113">(AD27-AD26)*10</f>
        <v>3590</v>
      </c>
      <c r="AF27" s="158">
        <v>14914</v>
      </c>
      <c r="AG27" s="196">
        <f t="shared" si="17"/>
        <v>1870</v>
      </c>
      <c r="AH27" s="158">
        <v>73736</v>
      </c>
      <c r="AI27" s="196">
        <f t="shared" si="17"/>
        <v>9640</v>
      </c>
      <c r="AK27" s="198">
        <f t="shared" si="106"/>
        <v>270400</v>
      </c>
      <c r="AL27" s="199">
        <f t="shared" si="107"/>
        <v>34955</v>
      </c>
    </row>
    <row r="28" spans="1:38" ht="39.950000000000003" customHeight="1">
      <c r="A28" s="139">
        <v>44095</v>
      </c>
      <c r="B28" s="202"/>
      <c r="C28" s="158">
        <v>13750</v>
      </c>
      <c r="D28" s="196">
        <f t="shared" si="2"/>
        <v>40400</v>
      </c>
      <c r="E28" s="158">
        <v>19718</v>
      </c>
      <c r="F28" s="196">
        <f t="shared" si="3"/>
        <v>63900</v>
      </c>
      <c r="G28" s="158">
        <v>756981</v>
      </c>
      <c r="H28" s="196">
        <f t="shared" si="94"/>
        <v>4070</v>
      </c>
      <c r="I28" s="196">
        <f t="shared" si="95"/>
        <v>2035</v>
      </c>
      <c r="J28" s="158">
        <v>18803</v>
      </c>
      <c r="K28" s="196">
        <f t="shared" si="6"/>
        <v>55100</v>
      </c>
      <c r="L28" s="158">
        <v>29157</v>
      </c>
      <c r="M28" s="196">
        <f t="shared" si="7"/>
        <v>90400</v>
      </c>
      <c r="N28" s="158">
        <v>746266</v>
      </c>
      <c r="O28" s="196">
        <f t="shared" si="96"/>
        <v>14970</v>
      </c>
      <c r="P28" s="196">
        <f t="shared" si="97"/>
        <v>7485</v>
      </c>
      <c r="Q28" s="158">
        <v>101263</v>
      </c>
      <c r="R28" s="196">
        <f t="shared" si="98"/>
        <v>4720</v>
      </c>
      <c r="S28" s="196">
        <f t="shared" si="99"/>
        <v>2360</v>
      </c>
      <c r="T28" s="158">
        <v>51644</v>
      </c>
      <c r="U28" s="196">
        <f t="shared" si="100"/>
        <v>2310</v>
      </c>
      <c r="V28" s="196">
        <f t="shared" si="101"/>
        <v>1155</v>
      </c>
      <c r="W28" s="158">
        <v>113193</v>
      </c>
      <c r="X28" s="196">
        <f t="shared" si="12"/>
        <v>11020</v>
      </c>
      <c r="Y28" s="196">
        <f t="shared" si="102"/>
        <v>5510</v>
      </c>
      <c r="Z28" s="158">
        <v>7539</v>
      </c>
      <c r="AA28" s="196">
        <f t="shared" ref="AA28" si="114">(Z28-Z27)*10</f>
        <v>910</v>
      </c>
      <c r="AB28" s="158">
        <v>14596</v>
      </c>
      <c r="AC28" s="196">
        <f t="shared" ref="AC28" si="115">(AB28-AB27)*10</f>
        <v>2110</v>
      </c>
      <c r="AD28" s="158">
        <v>27425</v>
      </c>
      <c r="AE28" s="196">
        <f t="shared" ref="AE28" si="116">(AD28-AD27)*10</f>
        <v>3740</v>
      </c>
      <c r="AF28" s="158">
        <v>15109</v>
      </c>
      <c r="AG28" s="196">
        <f t="shared" si="17"/>
        <v>1950</v>
      </c>
      <c r="AH28" s="158">
        <v>74693</v>
      </c>
      <c r="AI28" s="196">
        <f t="shared" si="17"/>
        <v>9570</v>
      </c>
      <c r="AK28" s="198">
        <f t="shared" si="106"/>
        <v>268345</v>
      </c>
      <c r="AL28" s="199">
        <f t="shared" si="107"/>
        <v>34790</v>
      </c>
    </row>
    <row r="29" spans="1:38" ht="39.950000000000003" customHeight="1">
      <c r="A29" s="139">
        <v>44096</v>
      </c>
      <c r="B29" s="202"/>
      <c r="C29" s="158">
        <v>14147</v>
      </c>
      <c r="D29" s="196">
        <f t="shared" si="2"/>
        <v>39700</v>
      </c>
      <c r="E29" s="158">
        <v>20327</v>
      </c>
      <c r="F29" s="196">
        <f t="shared" si="3"/>
        <v>60900</v>
      </c>
      <c r="G29" s="158">
        <v>757386</v>
      </c>
      <c r="H29" s="196">
        <f t="shared" si="94"/>
        <v>4050</v>
      </c>
      <c r="I29" s="196">
        <f t="shared" si="95"/>
        <v>2025</v>
      </c>
      <c r="J29" s="158">
        <v>19341</v>
      </c>
      <c r="K29" s="196">
        <f t="shared" si="6"/>
        <v>53800</v>
      </c>
      <c r="L29" s="158">
        <v>30006</v>
      </c>
      <c r="M29" s="196">
        <f t="shared" si="7"/>
        <v>84900</v>
      </c>
      <c r="N29" s="158">
        <v>747815</v>
      </c>
      <c r="O29" s="196">
        <f t="shared" si="96"/>
        <v>15490</v>
      </c>
      <c r="P29" s="196">
        <f t="shared" si="97"/>
        <v>7745</v>
      </c>
      <c r="Q29" s="158">
        <v>101875</v>
      </c>
      <c r="R29" s="196">
        <f t="shared" si="98"/>
        <v>6120</v>
      </c>
      <c r="S29" s="196">
        <f t="shared" si="99"/>
        <v>3060</v>
      </c>
      <c r="T29" s="158">
        <v>51646</v>
      </c>
      <c r="U29" s="196">
        <f t="shared" si="100"/>
        <v>20</v>
      </c>
      <c r="V29" s="196">
        <f t="shared" si="101"/>
        <v>10</v>
      </c>
      <c r="W29" s="158">
        <v>114313</v>
      </c>
      <c r="X29" s="196">
        <f t="shared" si="12"/>
        <v>11200</v>
      </c>
      <c r="Y29" s="196">
        <f t="shared" si="102"/>
        <v>5600</v>
      </c>
      <c r="Z29" s="158">
        <v>7631</v>
      </c>
      <c r="AA29" s="196">
        <f t="shared" ref="AA29" si="117">(Z29-Z28)*10</f>
        <v>920</v>
      </c>
      <c r="AB29" s="158">
        <v>14807</v>
      </c>
      <c r="AC29" s="196">
        <f t="shared" ref="AC29" si="118">(AB29-AB28)*10</f>
        <v>2110</v>
      </c>
      <c r="AD29" s="158">
        <v>27792</v>
      </c>
      <c r="AE29" s="196">
        <f t="shared" ref="AE29" si="119">(AD29-AD28)*10</f>
        <v>3670</v>
      </c>
      <c r="AF29" s="158">
        <v>15305</v>
      </c>
      <c r="AG29" s="196">
        <f t="shared" si="17"/>
        <v>1960</v>
      </c>
      <c r="AH29" s="158">
        <v>75666</v>
      </c>
      <c r="AI29" s="196">
        <f t="shared" si="17"/>
        <v>9730</v>
      </c>
      <c r="AK29" s="198">
        <f t="shared" si="106"/>
        <v>257740</v>
      </c>
      <c r="AL29" s="199">
        <f t="shared" si="107"/>
        <v>34805</v>
      </c>
    </row>
    <row r="30" spans="1:38" ht="39.950000000000003" customHeight="1">
      <c r="A30" s="139">
        <v>44097</v>
      </c>
      <c r="B30" s="202"/>
      <c r="C30" s="158">
        <v>14534</v>
      </c>
      <c r="D30" s="196">
        <f t="shared" si="2"/>
        <v>38700</v>
      </c>
      <c r="E30" s="158">
        <v>20867</v>
      </c>
      <c r="F30" s="196">
        <f t="shared" si="3"/>
        <v>54000</v>
      </c>
      <c r="G30" s="158">
        <v>757787</v>
      </c>
      <c r="H30" s="196">
        <f t="shared" si="94"/>
        <v>4010</v>
      </c>
      <c r="I30" s="196">
        <f t="shared" si="95"/>
        <v>2005</v>
      </c>
      <c r="J30" s="158">
        <v>19895</v>
      </c>
      <c r="K30" s="196">
        <f t="shared" si="6"/>
        <v>55400</v>
      </c>
      <c r="L30" s="158">
        <v>30901</v>
      </c>
      <c r="M30" s="196">
        <f t="shared" si="7"/>
        <v>89500</v>
      </c>
      <c r="N30" s="158">
        <v>749273</v>
      </c>
      <c r="O30" s="196">
        <f t="shared" si="96"/>
        <v>14580</v>
      </c>
      <c r="P30" s="196">
        <f t="shared" si="97"/>
        <v>7290</v>
      </c>
      <c r="Q30" s="158">
        <v>102554</v>
      </c>
      <c r="R30" s="196">
        <f t="shared" si="98"/>
        <v>6790</v>
      </c>
      <c r="S30" s="196">
        <f t="shared" si="99"/>
        <v>3395</v>
      </c>
      <c r="T30" s="158">
        <v>51648</v>
      </c>
      <c r="U30" s="196">
        <f t="shared" si="100"/>
        <v>20</v>
      </c>
      <c r="V30" s="196">
        <f t="shared" si="101"/>
        <v>10</v>
      </c>
      <c r="W30" s="158">
        <v>115419</v>
      </c>
      <c r="X30" s="196">
        <f t="shared" si="12"/>
        <v>11060</v>
      </c>
      <c r="Y30" s="196">
        <f t="shared" si="102"/>
        <v>5530</v>
      </c>
      <c r="Z30" s="158">
        <v>7729</v>
      </c>
      <c r="AA30" s="196">
        <f t="shared" ref="AA30" si="120">(Z30-Z29)*10</f>
        <v>980</v>
      </c>
      <c r="AB30" s="158">
        <v>15015</v>
      </c>
      <c r="AC30" s="196">
        <f t="shared" ref="AC30" si="121">(AB30-AB29)*10</f>
        <v>2080</v>
      </c>
      <c r="AD30" s="158">
        <v>28167</v>
      </c>
      <c r="AE30" s="196">
        <f t="shared" ref="AE30" si="122">(AD30-AD29)*10</f>
        <v>3750</v>
      </c>
      <c r="AF30" s="158">
        <v>15500</v>
      </c>
      <c r="AG30" s="196">
        <f t="shared" si="17"/>
        <v>1950</v>
      </c>
      <c r="AH30" s="158">
        <v>76660</v>
      </c>
      <c r="AI30" s="196">
        <f t="shared" si="17"/>
        <v>9940</v>
      </c>
      <c r="AK30" s="198">
        <f t="shared" si="106"/>
        <v>255830</v>
      </c>
      <c r="AL30" s="199">
        <f t="shared" si="107"/>
        <v>34925</v>
      </c>
    </row>
    <row r="31" spans="1:38" ht="39.950000000000003" customHeight="1">
      <c r="A31" s="139">
        <v>44098</v>
      </c>
      <c r="B31" s="202"/>
      <c r="C31" s="158">
        <v>14952</v>
      </c>
      <c r="D31" s="196">
        <f t="shared" si="2"/>
        <v>41800</v>
      </c>
      <c r="E31" s="158">
        <v>21463</v>
      </c>
      <c r="F31" s="196">
        <f t="shared" si="3"/>
        <v>59600</v>
      </c>
      <c r="G31" s="158">
        <v>758620</v>
      </c>
      <c r="H31" s="196">
        <f t="shared" si="94"/>
        <v>8330</v>
      </c>
      <c r="I31" s="196">
        <f t="shared" si="95"/>
        <v>4165</v>
      </c>
      <c r="J31" s="158">
        <v>20457</v>
      </c>
      <c r="K31" s="196">
        <f t="shared" si="6"/>
        <v>56200</v>
      </c>
      <c r="L31" s="158">
        <v>31802</v>
      </c>
      <c r="M31" s="196">
        <f t="shared" si="7"/>
        <v>90100</v>
      </c>
      <c r="N31" s="158">
        <v>750825</v>
      </c>
      <c r="O31" s="196">
        <f t="shared" si="96"/>
        <v>15520</v>
      </c>
      <c r="P31" s="196">
        <f t="shared" si="97"/>
        <v>7760</v>
      </c>
      <c r="Q31" s="158">
        <v>103243</v>
      </c>
      <c r="R31" s="196">
        <f t="shared" si="98"/>
        <v>6890</v>
      </c>
      <c r="S31" s="196">
        <f t="shared" si="99"/>
        <v>3445</v>
      </c>
      <c r="T31" s="158">
        <v>51650</v>
      </c>
      <c r="U31" s="196">
        <f t="shared" si="100"/>
        <v>20</v>
      </c>
      <c r="V31" s="196">
        <f t="shared" si="101"/>
        <v>10</v>
      </c>
      <c r="W31" s="158">
        <v>116075</v>
      </c>
      <c r="X31" s="196">
        <f t="shared" si="12"/>
        <v>6560</v>
      </c>
      <c r="Y31" s="196">
        <f t="shared" si="102"/>
        <v>3280</v>
      </c>
      <c r="Z31" s="158">
        <v>7826</v>
      </c>
      <c r="AA31" s="196">
        <f t="shared" ref="AA31" si="123">(Z31-Z30)*10</f>
        <v>970</v>
      </c>
      <c r="AB31" s="158">
        <v>15229</v>
      </c>
      <c r="AC31" s="196">
        <f t="shared" ref="AC31" si="124">(AB31-AB30)*10</f>
        <v>2140</v>
      </c>
      <c r="AD31" s="158">
        <v>28555</v>
      </c>
      <c r="AE31" s="196">
        <f t="shared" ref="AE31" si="125">(AD31-AD30)*10</f>
        <v>3880</v>
      </c>
      <c r="AF31" s="158">
        <v>15699</v>
      </c>
      <c r="AG31" s="196">
        <f t="shared" si="17"/>
        <v>1990</v>
      </c>
      <c r="AH31" s="158">
        <v>77669</v>
      </c>
      <c r="AI31" s="196">
        <f t="shared" si="17"/>
        <v>10090</v>
      </c>
      <c r="AK31" s="198">
        <f t="shared" si="106"/>
        <v>266360</v>
      </c>
      <c r="AL31" s="199">
        <f t="shared" si="107"/>
        <v>33565</v>
      </c>
    </row>
    <row r="32" spans="1:38" ht="39.950000000000003" customHeight="1">
      <c r="A32" s="139">
        <v>44099</v>
      </c>
      <c r="B32" s="202"/>
      <c r="C32" s="195">
        <v>15372</v>
      </c>
      <c r="D32" s="196">
        <f t="shared" si="2"/>
        <v>42000</v>
      </c>
      <c r="E32" s="195">
        <v>22105</v>
      </c>
      <c r="F32" s="196">
        <f t="shared" si="3"/>
        <v>64200</v>
      </c>
      <c r="G32" s="195">
        <v>760064</v>
      </c>
      <c r="H32" s="196">
        <f t="shared" si="94"/>
        <v>14440</v>
      </c>
      <c r="I32" s="196">
        <f t="shared" si="95"/>
        <v>7220</v>
      </c>
      <c r="J32" s="195">
        <v>21042</v>
      </c>
      <c r="K32" s="196">
        <f t="shared" si="6"/>
        <v>58500</v>
      </c>
      <c r="L32" s="195">
        <v>32708</v>
      </c>
      <c r="M32" s="196">
        <f t="shared" si="7"/>
        <v>90600</v>
      </c>
      <c r="N32" s="195">
        <v>752392</v>
      </c>
      <c r="O32" s="196">
        <f t="shared" si="96"/>
        <v>15670</v>
      </c>
      <c r="P32" s="196">
        <f t="shared" si="97"/>
        <v>7835</v>
      </c>
      <c r="Q32" s="195">
        <v>103245</v>
      </c>
      <c r="R32" s="196">
        <f t="shared" si="98"/>
        <v>20</v>
      </c>
      <c r="S32" s="196">
        <f t="shared" si="99"/>
        <v>10</v>
      </c>
      <c r="T32" s="195">
        <v>52220</v>
      </c>
      <c r="U32" s="196">
        <f t="shared" si="100"/>
        <v>5700</v>
      </c>
      <c r="V32" s="196">
        <f t="shared" si="101"/>
        <v>2850</v>
      </c>
      <c r="W32" s="195">
        <v>116116</v>
      </c>
      <c r="X32" s="196">
        <f t="shared" si="12"/>
        <v>410</v>
      </c>
      <c r="Y32" s="196">
        <f t="shared" si="102"/>
        <v>205</v>
      </c>
      <c r="Z32" s="195">
        <v>7925</v>
      </c>
      <c r="AA32" s="196">
        <f t="shared" ref="AA32" si="126">(Z32-Z31)*10</f>
        <v>990</v>
      </c>
      <c r="AB32" s="195">
        <v>15428</v>
      </c>
      <c r="AC32" s="196">
        <f t="shared" ref="AC32" si="127">(AB32-AB31)*10</f>
        <v>1990</v>
      </c>
      <c r="AD32" s="195">
        <v>28918</v>
      </c>
      <c r="AE32" s="196">
        <f t="shared" ref="AE32" si="128">(AD32-AD31)*10</f>
        <v>3630</v>
      </c>
      <c r="AF32" s="195">
        <v>15887</v>
      </c>
      <c r="AG32" s="196">
        <f t="shared" si="17"/>
        <v>1880</v>
      </c>
      <c r="AH32" s="195">
        <v>78621</v>
      </c>
      <c r="AI32" s="196">
        <f t="shared" si="17"/>
        <v>9520</v>
      </c>
      <c r="AK32" s="198">
        <f t="shared" si="106"/>
        <v>273420</v>
      </c>
      <c r="AL32" s="199">
        <f t="shared" si="107"/>
        <v>28910</v>
      </c>
    </row>
    <row r="33" spans="1:38" ht="39.950000000000003" customHeight="1">
      <c r="A33" s="139">
        <v>44100</v>
      </c>
      <c r="B33" s="202"/>
      <c r="C33" s="195">
        <v>15816</v>
      </c>
      <c r="D33" s="196">
        <f t="shared" si="2"/>
        <v>44400</v>
      </c>
      <c r="E33" s="195">
        <v>22773</v>
      </c>
      <c r="F33" s="196">
        <f t="shared" si="3"/>
        <v>66800</v>
      </c>
      <c r="G33" s="195">
        <v>761446</v>
      </c>
      <c r="H33" s="196">
        <f t="shared" si="94"/>
        <v>13820</v>
      </c>
      <c r="I33" s="196">
        <f t="shared" si="95"/>
        <v>6910</v>
      </c>
      <c r="J33" s="195">
        <v>21626</v>
      </c>
      <c r="K33" s="196">
        <f t="shared" si="6"/>
        <v>58400</v>
      </c>
      <c r="L33" s="195">
        <v>33636</v>
      </c>
      <c r="M33" s="196">
        <f t="shared" si="7"/>
        <v>92800</v>
      </c>
      <c r="N33" s="195">
        <v>753937</v>
      </c>
      <c r="O33" s="196">
        <f t="shared" si="96"/>
        <v>15450</v>
      </c>
      <c r="P33" s="196">
        <f t="shared" si="97"/>
        <v>7725</v>
      </c>
      <c r="Q33" s="195">
        <v>103247</v>
      </c>
      <c r="R33" s="196">
        <f t="shared" si="98"/>
        <v>20</v>
      </c>
      <c r="S33" s="196">
        <f t="shared" si="99"/>
        <v>10</v>
      </c>
      <c r="T33" s="195">
        <v>52222</v>
      </c>
      <c r="U33" s="196">
        <f t="shared" si="100"/>
        <v>20</v>
      </c>
      <c r="V33" s="196">
        <f t="shared" si="101"/>
        <v>10</v>
      </c>
      <c r="W33" s="195">
        <v>116725</v>
      </c>
      <c r="X33" s="196">
        <f t="shared" si="12"/>
        <v>6090</v>
      </c>
      <c r="Y33" s="196">
        <f t="shared" si="102"/>
        <v>3045</v>
      </c>
      <c r="Z33" s="195">
        <v>8027</v>
      </c>
      <c r="AA33" s="196">
        <f t="shared" ref="AA33" si="129">(Z33-Z32)*10</f>
        <v>1020</v>
      </c>
      <c r="AB33" s="195">
        <v>15635</v>
      </c>
      <c r="AC33" s="196">
        <f t="shared" ref="AC33" si="130">(AB33-AB32)*10</f>
        <v>2070</v>
      </c>
      <c r="AD33" s="195">
        <v>29293</v>
      </c>
      <c r="AE33" s="196">
        <f t="shared" ref="AE33" si="131">(AD33-AD32)*10</f>
        <v>3750</v>
      </c>
      <c r="AF33" s="195">
        <v>16089</v>
      </c>
      <c r="AG33" s="196">
        <f t="shared" si="17"/>
        <v>2020</v>
      </c>
      <c r="AH33" s="195">
        <v>79589</v>
      </c>
      <c r="AI33" s="196">
        <f t="shared" si="17"/>
        <v>9680</v>
      </c>
      <c r="AK33" s="198">
        <f t="shared" si="106"/>
        <v>280100</v>
      </c>
      <c r="AL33" s="199">
        <f t="shared" si="107"/>
        <v>29330</v>
      </c>
    </row>
    <row r="34" spans="1:38" ht="39.950000000000003" customHeight="1">
      <c r="A34" s="139">
        <v>44101</v>
      </c>
      <c r="B34" s="202"/>
      <c r="C34" s="195">
        <v>16263</v>
      </c>
      <c r="D34" s="196">
        <f t="shared" si="2"/>
        <v>44700</v>
      </c>
      <c r="E34" s="195">
        <v>23474</v>
      </c>
      <c r="F34" s="196">
        <f t="shared" si="3"/>
        <v>70100</v>
      </c>
      <c r="G34" s="195">
        <v>762931</v>
      </c>
      <c r="H34" s="196">
        <f t="shared" si="94"/>
        <v>14850</v>
      </c>
      <c r="I34" s="196">
        <f t="shared" si="95"/>
        <v>7425</v>
      </c>
      <c r="J34" s="195">
        <v>22215</v>
      </c>
      <c r="K34" s="196">
        <f t="shared" si="6"/>
        <v>58900</v>
      </c>
      <c r="L34" s="195">
        <v>34571</v>
      </c>
      <c r="M34" s="196">
        <f t="shared" si="7"/>
        <v>93500</v>
      </c>
      <c r="N34" s="195">
        <v>755579</v>
      </c>
      <c r="O34" s="196">
        <f t="shared" si="96"/>
        <v>16420</v>
      </c>
      <c r="P34" s="196">
        <f t="shared" si="97"/>
        <v>8210</v>
      </c>
      <c r="Q34" s="195">
        <v>103249</v>
      </c>
      <c r="R34" s="196">
        <f t="shared" si="98"/>
        <v>20</v>
      </c>
      <c r="S34" s="196">
        <f t="shared" si="99"/>
        <v>10</v>
      </c>
      <c r="T34" s="195">
        <v>52224</v>
      </c>
      <c r="U34" s="196">
        <f t="shared" si="100"/>
        <v>20</v>
      </c>
      <c r="V34" s="196">
        <f t="shared" si="101"/>
        <v>10</v>
      </c>
      <c r="W34" s="195">
        <v>117354</v>
      </c>
      <c r="X34" s="196">
        <f t="shared" si="12"/>
        <v>6290</v>
      </c>
      <c r="Y34" s="196">
        <f t="shared" si="102"/>
        <v>3145</v>
      </c>
      <c r="Z34" s="195">
        <v>8126</v>
      </c>
      <c r="AA34" s="196">
        <f t="shared" ref="AA34" si="132">(Z34-Z33)*10</f>
        <v>990</v>
      </c>
      <c r="AB34" s="195">
        <v>15837</v>
      </c>
      <c r="AC34" s="196">
        <f t="shared" ref="AC34" si="133">(AB34-AB33)*10</f>
        <v>2020</v>
      </c>
      <c r="AD34" s="195">
        <v>29663</v>
      </c>
      <c r="AE34" s="196">
        <f t="shared" ref="AE34" si="134">(AD34-AD33)*10</f>
        <v>3700</v>
      </c>
      <c r="AF34" s="195">
        <v>16292</v>
      </c>
      <c r="AG34" s="196">
        <f t="shared" si="17"/>
        <v>2030</v>
      </c>
      <c r="AH34" s="195">
        <v>80560</v>
      </c>
      <c r="AI34" s="196">
        <f t="shared" si="17"/>
        <v>9710</v>
      </c>
      <c r="AK34" s="198">
        <f t="shared" si="106"/>
        <v>286000</v>
      </c>
      <c r="AL34" s="199">
        <f t="shared" si="107"/>
        <v>29825</v>
      </c>
    </row>
    <row r="35" spans="1:38" ht="39.950000000000003" customHeight="1">
      <c r="A35" s="139">
        <v>44102</v>
      </c>
      <c r="B35" s="202"/>
      <c r="C35" s="195">
        <v>16679.5</v>
      </c>
      <c r="D35" s="196">
        <f t="shared" si="2"/>
        <v>41650</v>
      </c>
      <c r="E35" s="195">
        <v>24138.5</v>
      </c>
      <c r="F35" s="196">
        <f t="shared" si="3"/>
        <v>66450</v>
      </c>
      <c r="G35" s="195">
        <v>764434.5</v>
      </c>
      <c r="H35" s="196">
        <f t="shared" si="94"/>
        <v>15035</v>
      </c>
      <c r="I35" s="196">
        <f t="shared" si="95"/>
        <v>7517.5</v>
      </c>
      <c r="J35" s="195">
        <v>22794.5</v>
      </c>
      <c r="K35" s="196">
        <f t="shared" si="6"/>
        <v>57950</v>
      </c>
      <c r="L35" s="195">
        <v>35489</v>
      </c>
      <c r="M35" s="196">
        <f t="shared" si="7"/>
        <v>91800</v>
      </c>
      <c r="N35" s="195">
        <v>756903.5</v>
      </c>
      <c r="O35" s="196">
        <f t="shared" si="96"/>
        <v>13245</v>
      </c>
      <c r="P35" s="196">
        <f t="shared" si="97"/>
        <v>6622.5</v>
      </c>
      <c r="Q35" s="195">
        <v>103251</v>
      </c>
      <c r="R35" s="196">
        <f t="shared" si="98"/>
        <v>20</v>
      </c>
      <c r="S35" s="196">
        <f t="shared" si="99"/>
        <v>10</v>
      </c>
      <c r="T35" s="195">
        <v>52520</v>
      </c>
      <c r="U35" s="196">
        <f t="shared" si="100"/>
        <v>2960</v>
      </c>
      <c r="V35" s="196">
        <f t="shared" si="101"/>
        <v>1480</v>
      </c>
      <c r="W35" s="195">
        <v>117835</v>
      </c>
      <c r="X35" s="196">
        <f t="shared" si="12"/>
        <v>4810</v>
      </c>
      <c r="Y35" s="196">
        <f t="shared" si="102"/>
        <v>2405</v>
      </c>
      <c r="Z35" s="195">
        <v>8222.5</v>
      </c>
      <c r="AA35" s="196">
        <f t="shared" ref="AA35" si="135">(Z35-Z34)*10</f>
        <v>965</v>
      </c>
      <c r="AB35" s="195">
        <v>16046</v>
      </c>
      <c r="AC35" s="196">
        <f t="shared" ref="AC35" si="136">(AB35-AB34)*10</f>
        <v>2090</v>
      </c>
      <c r="AD35" s="195">
        <v>30028.5</v>
      </c>
      <c r="AE35" s="196">
        <f t="shared" ref="AE35" si="137">(AD35-AD34)*10</f>
        <v>3655</v>
      </c>
      <c r="AF35" s="195">
        <v>16495.5</v>
      </c>
      <c r="AG35" s="196">
        <f t="shared" si="17"/>
        <v>2035</v>
      </c>
      <c r="AH35" s="195">
        <v>81506.5</v>
      </c>
      <c r="AI35" s="196">
        <f t="shared" si="17"/>
        <v>9465</v>
      </c>
      <c r="AK35" s="198">
        <f t="shared" si="106"/>
        <v>275885</v>
      </c>
      <c r="AL35" s="199">
        <f t="shared" si="107"/>
        <v>28727.5</v>
      </c>
    </row>
    <row r="36" spans="1:38" ht="39.950000000000003" customHeight="1">
      <c r="A36" s="139">
        <v>44103</v>
      </c>
      <c r="B36" s="202"/>
      <c r="C36" s="195">
        <v>17096</v>
      </c>
      <c r="D36" s="196">
        <f t="shared" si="2"/>
        <v>41650</v>
      </c>
      <c r="E36" s="195">
        <v>24803</v>
      </c>
      <c r="F36" s="196">
        <f t="shared" si="3"/>
        <v>66450</v>
      </c>
      <c r="G36" s="195">
        <v>765938</v>
      </c>
      <c r="H36" s="196">
        <f t="shared" ref="H36:H37" si="138">(G36-G35)*10</f>
        <v>15035</v>
      </c>
      <c r="I36" s="196">
        <f t="shared" ref="I36:I37" si="139">H36*50%</f>
        <v>7517.5</v>
      </c>
      <c r="J36" s="195">
        <v>23374</v>
      </c>
      <c r="K36" s="196">
        <f t="shared" si="6"/>
        <v>57950</v>
      </c>
      <c r="L36" s="195">
        <v>36407</v>
      </c>
      <c r="M36" s="196">
        <f t="shared" si="7"/>
        <v>91800</v>
      </c>
      <c r="N36" s="195">
        <v>758228</v>
      </c>
      <c r="O36" s="196">
        <f t="shared" ref="O36:O37" si="140">(N36-N35)*10</f>
        <v>13245</v>
      </c>
      <c r="P36" s="196">
        <f t="shared" ref="P36:P37" si="141">O36*50%</f>
        <v>6622.5</v>
      </c>
      <c r="Q36" s="195">
        <v>103253</v>
      </c>
      <c r="R36" s="196">
        <f t="shared" ref="R36:R37" si="142">(Q36-Q35)*10</f>
        <v>20</v>
      </c>
      <c r="S36" s="196">
        <f t="shared" ref="S36:S37" si="143">R36*50%</f>
        <v>10</v>
      </c>
      <c r="T36" s="195">
        <v>52816</v>
      </c>
      <c r="U36" s="196">
        <f t="shared" ref="U36:U37" si="144">(T36-T35)*10</f>
        <v>2960</v>
      </c>
      <c r="V36" s="196">
        <f t="shared" ref="V36:V37" si="145">U36*50%</f>
        <v>1480</v>
      </c>
      <c r="W36" s="195">
        <v>118316</v>
      </c>
      <c r="X36" s="196">
        <f t="shared" si="12"/>
        <v>4810</v>
      </c>
      <c r="Y36" s="196">
        <f t="shared" ref="Y36:Y37" si="146">X36*50%</f>
        <v>2405</v>
      </c>
      <c r="Z36" s="195">
        <v>8319</v>
      </c>
      <c r="AA36" s="196">
        <f t="shared" ref="AA36" si="147">(Z36-Z35)*10</f>
        <v>965</v>
      </c>
      <c r="AB36" s="195">
        <v>16255</v>
      </c>
      <c r="AC36" s="196">
        <f t="shared" ref="AC36" si="148">(AB36-AB35)*10</f>
        <v>2090</v>
      </c>
      <c r="AD36" s="195">
        <v>30394</v>
      </c>
      <c r="AE36" s="196">
        <f t="shared" ref="AE36" si="149">(AD36-AD35)*10</f>
        <v>3655</v>
      </c>
      <c r="AF36" s="195">
        <v>16699</v>
      </c>
      <c r="AG36" s="196">
        <f t="shared" si="17"/>
        <v>2035</v>
      </c>
      <c r="AH36" s="195">
        <v>82453</v>
      </c>
      <c r="AI36" s="196">
        <f t="shared" si="17"/>
        <v>9465</v>
      </c>
      <c r="AK36" s="198">
        <f t="shared" ref="AK36:AK37" si="150">SUM(D36,F36,I36,K36,M36,P36,S36,V36,Y36)</f>
        <v>275885</v>
      </c>
      <c r="AL36" s="199">
        <f t="shared" ref="AL36:AL37" si="151">SUM(P36,S36,V36,Y36,AA36,AC36,AE36,AG36,AI36)</f>
        <v>28727.5</v>
      </c>
    </row>
    <row r="37" spans="1:38" ht="39.950000000000003" customHeight="1">
      <c r="A37" s="139">
        <v>44104</v>
      </c>
      <c r="B37" s="202"/>
      <c r="C37" s="195">
        <v>17521</v>
      </c>
      <c r="D37" s="196">
        <f t="shared" si="2"/>
        <v>42500</v>
      </c>
      <c r="E37" s="195">
        <v>25449</v>
      </c>
      <c r="F37" s="196">
        <f t="shared" si="3"/>
        <v>64600</v>
      </c>
      <c r="G37" s="195">
        <v>767558</v>
      </c>
      <c r="H37" s="196">
        <f t="shared" si="138"/>
        <v>16200</v>
      </c>
      <c r="I37" s="196">
        <f t="shared" si="139"/>
        <v>8100</v>
      </c>
      <c r="J37" s="195">
        <v>23971</v>
      </c>
      <c r="K37" s="196">
        <f t="shared" si="6"/>
        <v>59700</v>
      </c>
      <c r="L37" s="195">
        <v>37356</v>
      </c>
      <c r="M37" s="196">
        <f t="shared" si="7"/>
        <v>94900</v>
      </c>
      <c r="N37" s="195">
        <v>759848</v>
      </c>
      <c r="O37" s="196">
        <f t="shared" si="140"/>
        <v>16200</v>
      </c>
      <c r="P37" s="196">
        <f t="shared" si="141"/>
        <v>8100</v>
      </c>
      <c r="Q37" s="195">
        <v>103256</v>
      </c>
      <c r="R37" s="196">
        <f t="shared" si="142"/>
        <v>30</v>
      </c>
      <c r="S37" s="196">
        <f t="shared" si="143"/>
        <v>15</v>
      </c>
      <c r="T37" s="195">
        <v>52845</v>
      </c>
      <c r="U37" s="196">
        <f t="shared" si="144"/>
        <v>290</v>
      </c>
      <c r="V37" s="196">
        <f t="shared" si="145"/>
        <v>145</v>
      </c>
      <c r="W37" s="195">
        <v>118974</v>
      </c>
      <c r="X37" s="196">
        <f t="shared" si="12"/>
        <v>6580</v>
      </c>
      <c r="Y37" s="196">
        <f t="shared" si="146"/>
        <v>3290</v>
      </c>
      <c r="Z37" s="195">
        <v>8419</v>
      </c>
      <c r="AA37" s="196">
        <f t="shared" ref="AA37" si="152">(Z37-Z36)*10</f>
        <v>1000</v>
      </c>
      <c r="AB37" s="195">
        <v>16472</v>
      </c>
      <c r="AC37" s="196">
        <f t="shared" ref="AC37" si="153">(AB37-AB36)*10</f>
        <v>2170</v>
      </c>
      <c r="AD37" s="195">
        <v>30779</v>
      </c>
      <c r="AE37" s="196">
        <f t="shared" ref="AE37" si="154">(AD37-AD36)*10</f>
        <v>3850</v>
      </c>
      <c r="AF37" s="195">
        <v>16907</v>
      </c>
      <c r="AG37" s="196">
        <f t="shared" si="17"/>
        <v>2080</v>
      </c>
      <c r="AH37" s="195">
        <v>83469</v>
      </c>
      <c r="AI37" s="196">
        <f t="shared" si="17"/>
        <v>10160</v>
      </c>
      <c r="AK37" s="198">
        <f t="shared" si="150"/>
        <v>281350</v>
      </c>
      <c r="AL37" s="199">
        <f t="shared" si="151"/>
        <v>30810</v>
      </c>
    </row>
    <row r="38" spans="1:38" s="197" customFormat="1" ht="39.950000000000003" customHeight="1">
      <c r="A38" s="139"/>
      <c r="B38" s="194"/>
      <c r="C38" s="195"/>
      <c r="D38" s="196"/>
      <c r="E38" s="195"/>
      <c r="F38" s="196"/>
      <c r="G38" s="195"/>
      <c r="H38" s="196"/>
      <c r="I38" s="196"/>
      <c r="J38" s="195"/>
      <c r="K38" s="196"/>
      <c r="L38" s="195"/>
      <c r="M38" s="196"/>
      <c r="N38" s="195"/>
      <c r="O38" s="196"/>
      <c r="P38" s="196"/>
      <c r="Q38" s="195"/>
      <c r="R38" s="196"/>
      <c r="S38" s="196"/>
      <c r="T38" s="195"/>
      <c r="U38" s="196"/>
      <c r="V38" s="196"/>
      <c r="W38" s="195"/>
      <c r="X38" s="196"/>
      <c r="Y38" s="196"/>
      <c r="Z38" s="195"/>
      <c r="AA38" s="196"/>
      <c r="AB38" s="195"/>
      <c r="AC38" s="196"/>
      <c r="AD38" s="195"/>
      <c r="AE38" s="196"/>
      <c r="AF38" s="195"/>
      <c r="AG38" s="196"/>
      <c r="AH38" s="195"/>
      <c r="AI38" s="196"/>
      <c r="AK38" s="198"/>
      <c r="AL38" s="199"/>
    </row>
    <row r="39" spans="1:38" s="205" customFormat="1" ht="39.950000000000003" customHeight="1">
      <c r="A39" s="204"/>
      <c r="C39" s="206"/>
      <c r="D39" s="207"/>
      <c r="F39" s="207"/>
      <c r="H39" s="207"/>
      <c r="I39" s="207"/>
      <c r="K39" s="207"/>
      <c r="M39" s="207"/>
      <c r="O39" s="207"/>
      <c r="P39" s="207"/>
      <c r="R39" s="207"/>
      <c r="S39" s="207"/>
      <c r="U39" s="207"/>
      <c r="V39" s="207"/>
      <c r="X39" s="207"/>
      <c r="Y39" s="207">
        <f>SUM(Y8:Y38)</f>
        <v>121195</v>
      </c>
      <c r="AA39" s="207">
        <f>SUM(AA8:AA38)</f>
        <v>28170</v>
      </c>
      <c r="AC39" s="207">
        <f>SUM(AC8:AC38)</f>
        <v>60970</v>
      </c>
      <c r="AE39" s="207">
        <f>SUM(AE8:AE38)</f>
        <v>109810</v>
      </c>
      <c r="AG39" s="207">
        <f>SUM(AG8:AG38)</f>
        <v>58720</v>
      </c>
      <c r="AI39" s="207">
        <f>SUM(AI8:AI38)</f>
        <v>288970</v>
      </c>
    </row>
    <row r="40" spans="1:38" s="17" customFormat="1" ht="39.950000000000003" customHeight="1">
      <c r="A40" s="16"/>
      <c r="D40" s="18"/>
    </row>
    <row r="41" spans="1:38" s="17" customFormat="1" ht="39.950000000000003" customHeight="1">
      <c r="A41" s="16"/>
      <c r="D41" s="18"/>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7" activePane="bottomRight" state="frozen"/>
      <selection pane="topRight" activeCell="C1" sqref="C1"/>
      <selection pane="bottomLeft" activeCell="A5" sqref="A5"/>
      <selection pane="bottomRight" activeCell="T38" sqref="T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3"/>
      <c r="B1" s="103"/>
      <c r="C1" s="237" t="s">
        <v>64</v>
      </c>
      <c r="D1" s="237"/>
      <c r="E1" s="237" t="s">
        <v>64</v>
      </c>
      <c r="F1" s="237"/>
      <c r="G1" s="237" t="s">
        <v>64</v>
      </c>
      <c r="H1" s="237"/>
      <c r="I1" s="237" t="s">
        <v>64</v>
      </c>
      <c r="J1" s="237"/>
      <c r="K1" s="249" t="s">
        <v>65</v>
      </c>
      <c r="L1" s="250"/>
      <c r="M1" s="250"/>
      <c r="N1" s="251"/>
      <c r="O1" s="237" t="s">
        <v>66</v>
      </c>
      <c r="P1" s="237"/>
    </row>
    <row r="2" spans="1:19" s="25" customFormat="1" ht="113.25" customHeight="1">
      <c r="A2" s="24"/>
      <c r="B2" s="24"/>
      <c r="C2" s="232" t="s">
        <v>102</v>
      </c>
      <c r="D2" s="233"/>
      <c r="E2" s="232" t="s">
        <v>103</v>
      </c>
      <c r="F2" s="233"/>
      <c r="G2" s="232" t="s">
        <v>104</v>
      </c>
      <c r="H2" s="233"/>
      <c r="I2" s="232" t="s">
        <v>105</v>
      </c>
      <c r="J2" s="233"/>
      <c r="K2" s="234" t="s">
        <v>106</v>
      </c>
      <c r="L2" s="235"/>
      <c r="M2" s="235"/>
      <c r="N2" s="236"/>
      <c r="O2" s="232" t="s">
        <v>107</v>
      </c>
      <c r="P2" s="233"/>
    </row>
    <row r="3" spans="1:19" s="30" customFormat="1" ht="50.1" customHeight="1">
      <c r="A3" s="39"/>
      <c r="B3" s="39"/>
      <c r="C3" s="241" t="s">
        <v>108</v>
      </c>
      <c r="D3" s="242"/>
      <c r="E3" s="243" t="s">
        <v>109</v>
      </c>
      <c r="F3" s="244"/>
      <c r="G3" s="243" t="s">
        <v>110</v>
      </c>
      <c r="H3" s="244"/>
      <c r="I3" s="243" t="s">
        <v>111</v>
      </c>
      <c r="J3" s="244"/>
      <c r="K3" s="245" t="s">
        <v>112</v>
      </c>
      <c r="L3" s="246"/>
      <c r="M3" s="246"/>
      <c r="N3" s="247"/>
      <c r="O3" s="241" t="s">
        <v>113</v>
      </c>
      <c r="P3" s="242"/>
      <c r="R3" s="248" t="s">
        <v>80</v>
      </c>
      <c r="S3" s="248"/>
    </row>
    <row r="4" spans="1:19" s="8" customFormat="1" ht="30" customHeight="1">
      <c r="A4" s="102" t="s">
        <v>95</v>
      </c>
      <c r="B4" s="48"/>
      <c r="C4" s="238"/>
      <c r="D4" s="239"/>
      <c r="E4" s="238"/>
      <c r="F4" s="239"/>
      <c r="G4" s="238"/>
      <c r="H4" s="239"/>
      <c r="I4" s="238"/>
      <c r="J4" s="239"/>
      <c r="K4" s="238"/>
      <c r="L4" s="240"/>
      <c r="M4" s="240"/>
      <c r="N4" s="239"/>
      <c r="O4" s="48"/>
      <c r="P4" s="48"/>
      <c r="R4" s="248"/>
      <c r="S4" s="248"/>
    </row>
    <row r="5" spans="1:19" s="10" customFormat="1" ht="50.1" customHeight="1">
      <c r="A5" s="102" t="s">
        <v>98</v>
      </c>
      <c r="B5" s="102"/>
      <c r="C5" s="102" t="s">
        <v>114</v>
      </c>
      <c r="D5" s="102" t="s">
        <v>115</v>
      </c>
      <c r="E5" s="102" t="s">
        <v>114</v>
      </c>
      <c r="F5" s="102" t="s">
        <v>115</v>
      </c>
      <c r="G5" s="102" t="s">
        <v>114</v>
      </c>
      <c r="H5" s="102" t="s">
        <v>115</v>
      </c>
      <c r="I5" s="102" t="s">
        <v>114</v>
      </c>
      <c r="J5" s="102" t="s">
        <v>115</v>
      </c>
      <c r="K5" s="102" t="s">
        <v>114</v>
      </c>
      <c r="L5" s="102" t="s">
        <v>115</v>
      </c>
      <c r="M5" s="102" t="s">
        <v>64</v>
      </c>
      <c r="N5" s="102" t="s">
        <v>66</v>
      </c>
      <c r="O5" s="102" t="s">
        <v>114</v>
      </c>
      <c r="P5" s="102" t="s">
        <v>115</v>
      </c>
      <c r="R5" s="102"/>
      <c r="S5" s="102"/>
    </row>
    <row r="6" spans="1:19" ht="39.950000000000003" customHeight="1">
      <c r="A6" s="139">
        <v>44074</v>
      </c>
      <c r="B6" s="15"/>
      <c r="C6" s="79">
        <v>170085</v>
      </c>
      <c r="D6" s="174">
        <v>386</v>
      </c>
      <c r="E6" s="79">
        <v>148152</v>
      </c>
      <c r="F6" s="174">
        <v>228</v>
      </c>
      <c r="G6" s="79">
        <v>5292.5994000000001</v>
      </c>
      <c r="H6" s="174">
        <v>3.8968999999997322</v>
      </c>
      <c r="I6" s="79">
        <v>10177</v>
      </c>
      <c r="J6" s="174">
        <v>6</v>
      </c>
      <c r="K6" s="79">
        <v>115202</v>
      </c>
      <c r="L6" s="71">
        <v>107</v>
      </c>
      <c r="M6" s="174">
        <v>58.85</v>
      </c>
      <c r="N6" s="174">
        <v>48.15</v>
      </c>
      <c r="O6" s="79">
        <v>84953</v>
      </c>
      <c r="P6" s="174">
        <v>70</v>
      </c>
      <c r="R6" s="92">
        <v>617.89689999999973</v>
      </c>
      <c r="S6" s="93">
        <v>118.15</v>
      </c>
    </row>
    <row r="7" spans="1:19" s="2" customFormat="1" ht="39.950000000000003" customHeight="1">
      <c r="A7" s="139">
        <v>44075</v>
      </c>
      <c r="B7" s="14"/>
      <c r="C7" s="79">
        <v>170421</v>
      </c>
      <c r="D7" s="174">
        <f>(C7-C6)</f>
        <v>336</v>
      </c>
      <c r="E7" s="79">
        <v>148377</v>
      </c>
      <c r="F7" s="174">
        <f>(E7-E6)</f>
        <v>225</v>
      </c>
      <c r="G7" s="79">
        <v>5297.1531000000004</v>
      </c>
      <c r="H7" s="174">
        <f>(G7-G6)</f>
        <v>4.55370000000039</v>
      </c>
      <c r="I7" s="79">
        <v>10185</v>
      </c>
      <c r="J7" s="174">
        <f>(I7-I6)</f>
        <v>8</v>
      </c>
      <c r="K7" s="79">
        <v>115314</v>
      </c>
      <c r="L7" s="71">
        <f>(K7-K6)</f>
        <v>112</v>
      </c>
      <c r="M7" s="174">
        <f>L7*55%</f>
        <v>61.600000000000009</v>
      </c>
      <c r="N7" s="174">
        <f>L7*45%</f>
        <v>50.4</v>
      </c>
      <c r="O7" s="79">
        <v>85034</v>
      </c>
      <c r="P7" s="174">
        <f>(O7-O6)</f>
        <v>81</v>
      </c>
      <c r="R7" s="101">
        <f t="shared" ref="R7:R34" si="0">SUM(D7,F7,M71,H7)</f>
        <v>565.55370000000039</v>
      </c>
      <c r="S7" s="93">
        <f>SUM(N7,P7)</f>
        <v>131.4</v>
      </c>
    </row>
    <row r="8" spans="1:19" ht="39.950000000000003" customHeight="1">
      <c r="A8" s="139">
        <v>44076</v>
      </c>
      <c r="B8" s="15"/>
      <c r="C8" s="79">
        <v>170673</v>
      </c>
      <c r="D8" s="174">
        <f t="shared" ref="D8:F35" si="1">(C8-C7)</f>
        <v>252</v>
      </c>
      <c r="E8" s="79">
        <v>148618</v>
      </c>
      <c r="F8" s="174">
        <f t="shared" si="1"/>
        <v>241</v>
      </c>
      <c r="G8" s="79">
        <v>5301.2502000000004</v>
      </c>
      <c r="H8" s="174">
        <f t="shared" ref="H8" si="2">(G8-G7)</f>
        <v>4.0970999999999549</v>
      </c>
      <c r="I8" s="79">
        <v>10192</v>
      </c>
      <c r="J8" s="174">
        <f t="shared" ref="J8" si="3">(I8-I7)</f>
        <v>7</v>
      </c>
      <c r="K8" s="79">
        <v>115431</v>
      </c>
      <c r="L8" s="71">
        <f t="shared" ref="L8" si="4">(K8-K7)</f>
        <v>117</v>
      </c>
      <c r="M8" s="174">
        <f t="shared" ref="M8:M34" si="5">L8*55%</f>
        <v>64.350000000000009</v>
      </c>
      <c r="N8" s="174">
        <f t="shared" ref="N8:N34" si="6">L8*45%</f>
        <v>52.65</v>
      </c>
      <c r="O8" s="79">
        <v>85105</v>
      </c>
      <c r="P8" s="174">
        <f t="shared" ref="P8" si="7">(O8-O7)</f>
        <v>71</v>
      </c>
      <c r="R8" s="101">
        <f t="shared" si="0"/>
        <v>497.09709999999995</v>
      </c>
      <c r="S8" s="93">
        <f t="shared" ref="S8:S34" si="8">SUM(N8,P8)</f>
        <v>123.65</v>
      </c>
    </row>
    <row r="9" spans="1:19" ht="39.950000000000003" customHeight="1">
      <c r="A9" s="139">
        <v>44077</v>
      </c>
      <c r="B9" s="15"/>
      <c r="C9" s="79">
        <v>170805</v>
      </c>
      <c r="D9" s="174">
        <f t="shared" si="1"/>
        <v>132</v>
      </c>
      <c r="E9" s="79">
        <v>148851</v>
      </c>
      <c r="F9" s="174">
        <f t="shared" si="1"/>
        <v>233</v>
      </c>
      <c r="G9" s="79">
        <v>5303.5820000000003</v>
      </c>
      <c r="H9" s="174">
        <f t="shared" ref="H9" si="9">(G9-G8)</f>
        <v>2.3317999999999302</v>
      </c>
      <c r="I9" s="79">
        <v>10199</v>
      </c>
      <c r="J9" s="174">
        <f t="shared" ref="J9" si="10">(I9-I8)</f>
        <v>7</v>
      </c>
      <c r="K9" s="79">
        <v>115551</v>
      </c>
      <c r="L9" s="71">
        <f t="shared" ref="L9" si="11">(K9-K8)</f>
        <v>120</v>
      </c>
      <c r="M9" s="174">
        <f t="shared" si="5"/>
        <v>66</v>
      </c>
      <c r="N9" s="174">
        <f t="shared" si="6"/>
        <v>54</v>
      </c>
      <c r="O9" s="79">
        <v>85182</v>
      </c>
      <c r="P9" s="174">
        <f t="shared" ref="P9" si="12">(O9-O8)</f>
        <v>77</v>
      </c>
      <c r="R9" s="101">
        <f t="shared" si="0"/>
        <v>367.33179999999993</v>
      </c>
      <c r="S9" s="93">
        <f t="shared" si="8"/>
        <v>131</v>
      </c>
    </row>
    <row r="10" spans="1:19" ht="39.950000000000003" customHeight="1">
      <c r="A10" s="139">
        <v>44078</v>
      </c>
      <c r="B10" s="15"/>
      <c r="C10" s="79">
        <v>170905</v>
      </c>
      <c r="D10" s="174">
        <f t="shared" si="1"/>
        <v>100</v>
      </c>
      <c r="E10" s="79">
        <v>149068</v>
      </c>
      <c r="F10" s="174">
        <f t="shared" si="1"/>
        <v>217</v>
      </c>
      <c r="G10" s="79">
        <v>5305.9306999999999</v>
      </c>
      <c r="H10" s="174">
        <f t="shared" ref="H10" si="13">(G10-G9)</f>
        <v>2.3486999999995533</v>
      </c>
      <c r="I10" s="79">
        <v>10207</v>
      </c>
      <c r="J10" s="174">
        <f t="shared" ref="J10" si="14">(I10-I9)</f>
        <v>8</v>
      </c>
      <c r="K10" s="79">
        <v>115668</v>
      </c>
      <c r="L10" s="71">
        <f t="shared" ref="L10" si="15">(K10-K9)</f>
        <v>117</v>
      </c>
      <c r="M10" s="174">
        <f t="shared" si="5"/>
        <v>64.350000000000009</v>
      </c>
      <c r="N10" s="174">
        <f t="shared" si="6"/>
        <v>52.65</v>
      </c>
      <c r="O10" s="79">
        <v>85264</v>
      </c>
      <c r="P10" s="174">
        <f t="shared" ref="P10" si="16">(O10-O9)</f>
        <v>82</v>
      </c>
      <c r="R10" s="101">
        <f t="shared" si="0"/>
        <v>319.34869999999955</v>
      </c>
      <c r="S10" s="93">
        <f t="shared" si="8"/>
        <v>134.65</v>
      </c>
    </row>
    <row r="11" spans="1:19" ht="39.950000000000003" customHeight="1">
      <c r="A11" s="139">
        <v>44079</v>
      </c>
      <c r="B11" s="15"/>
      <c r="C11" s="79">
        <v>171019</v>
      </c>
      <c r="D11" s="174">
        <f t="shared" si="1"/>
        <v>114</v>
      </c>
      <c r="E11" s="79">
        <v>149315</v>
      </c>
      <c r="F11" s="174">
        <f t="shared" si="1"/>
        <v>247</v>
      </c>
      <c r="G11" s="79">
        <v>5311.5132000000003</v>
      </c>
      <c r="H11" s="174">
        <f t="shared" ref="H11" si="17">(G11-G10)</f>
        <v>5.5825000000004366</v>
      </c>
      <c r="I11" s="79">
        <v>10215</v>
      </c>
      <c r="J11" s="174">
        <f t="shared" ref="J11" si="18">(I11-I10)</f>
        <v>8</v>
      </c>
      <c r="K11" s="79">
        <v>115788</v>
      </c>
      <c r="L11" s="71">
        <f t="shared" ref="L11" si="19">(K11-K10)</f>
        <v>120</v>
      </c>
      <c r="M11" s="174">
        <f t="shared" si="5"/>
        <v>66</v>
      </c>
      <c r="N11" s="174">
        <f t="shared" si="6"/>
        <v>54</v>
      </c>
      <c r="O11" s="79">
        <v>85333</v>
      </c>
      <c r="P11" s="174">
        <f t="shared" ref="P11" si="20">(O11-O10)</f>
        <v>69</v>
      </c>
      <c r="R11" s="101">
        <f t="shared" si="0"/>
        <v>366.58250000000044</v>
      </c>
      <c r="S11" s="93">
        <f t="shared" si="8"/>
        <v>123</v>
      </c>
    </row>
    <row r="12" spans="1:19" ht="39.950000000000003" customHeight="1">
      <c r="A12" s="139">
        <v>44080</v>
      </c>
      <c r="B12" s="15"/>
      <c r="C12" s="79">
        <v>171158</v>
      </c>
      <c r="D12" s="174">
        <f t="shared" si="1"/>
        <v>139</v>
      </c>
      <c r="E12" s="79">
        <v>149545</v>
      </c>
      <c r="F12" s="174">
        <f t="shared" si="1"/>
        <v>230</v>
      </c>
      <c r="G12" s="79">
        <v>5313.5789000000004</v>
      </c>
      <c r="H12" s="174">
        <f t="shared" ref="H12" si="21">(G12-G11)</f>
        <v>2.0657000000001062</v>
      </c>
      <c r="I12" s="79">
        <v>10223</v>
      </c>
      <c r="J12" s="174">
        <f t="shared" ref="J12" si="22">(I12-I11)</f>
        <v>8</v>
      </c>
      <c r="K12" s="79">
        <v>115901</v>
      </c>
      <c r="L12" s="71">
        <f t="shared" ref="L12" si="23">(K12-K11)</f>
        <v>113</v>
      </c>
      <c r="M12" s="174">
        <f t="shared" si="5"/>
        <v>62.150000000000006</v>
      </c>
      <c r="N12" s="174">
        <f t="shared" si="6"/>
        <v>50.85</v>
      </c>
      <c r="O12" s="79">
        <v>85411</v>
      </c>
      <c r="P12" s="174">
        <f t="shared" ref="P12" si="24">(O12-O11)</f>
        <v>78</v>
      </c>
      <c r="R12" s="101">
        <f t="shared" si="0"/>
        <v>371.06570000000011</v>
      </c>
      <c r="S12" s="93">
        <f t="shared" si="8"/>
        <v>128.85</v>
      </c>
    </row>
    <row r="13" spans="1:19" ht="39.950000000000003" customHeight="1">
      <c r="A13" s="139">
        <v>44081</v>
      </c>
      <c r="B13" s="15"/>
      <c r="C13" s="79">
        <v>171282</v>
      </c>
      <c r="D13" s="174">
        <f t="shared" si="1"/>
        <v>124</v>
      </c>
      <c r="E13" s="79">
        <v>149787</v>
      </c>
      <c r="F13" s="174">
        <f t="shared" si="1"/>
        <v>242</v>
      </c>
      <c r="G13" s="79">
        <v>5315.3714</v>
      </c>
      <c r="H13" s="174">
        <f t="shared" ref="H13" si="25">(G13-G12)</f>
        <v>1.7924999999995634</v>
      </c>
      <c r="I13" s="79">
        <v>10229</v>
      </c>
      <c r="J13" s="174">
        <f t="shared" ref="J13" si="26">(I13-I12)</f>
        <v>6</v>
      </c>
      <c r="K13" s="79">
        <v>116019</v>
      </c>
      <c r="L13" s="71">
        <f t="shared" ref="L13" si="27">(K13-K12)</f>
        <v>118</v>
      </c>
      <c r="M13" s="174">
        <f t="shared" si="5"/>
        <v>64.900000000000006</v>
      </c>
      <c r="N13" s="174">
        <f t="shared" si="6"/>
        <v>53.1</v>
      </c>
      <c r="O13" s="79">
        <v>85495</v>
      </c>
      <c r="P13" s="174">
        <f t="shared" ref="P13" si="28">(O13-O12)</f>
        <v>84</v>
      </c>
      <c r="R13" s="101">
        <f t="shared" si="0"/>
        <v>367.79249999999956</v>
      </c>
      <c r="S13" s="93">
        <f t="shared" si="8"/>
        <v>137.1</v>
      </c>
    </row>
    <row r="14" spans="1:19" ht="39.950000000000003" customHeight="1">
      <c r="A14" s="139">
        <v>44082</v>
      </c>
      <c r="B14" s="15"/>
      <c r="C14" s="79">
        <v>171494</v>
      </c>
      <c r="D14" s="174">
        <f t="shared" si="1"/>
        <v>212</v>
      </c>
      <c r="E14" s="79">
        <v>150031</v>
      </c>
      <c r="F14" s="174">
        <f t="shared" si="1"/>
        <v>244</v>
      </c>
      <c r="G14" s="79">
        <v>5317.3188</v>
      </c>
      <c r="H14" s="174">
        <f t="shared" ref="H14" si="29">(G14-G13)</f>
        <v>1.947400000000016</v>
      </c>
      <c r="I14" s="79">
        <v>10237</v>
      </c>
      <c r="J14" s="174">
        <f t="shared" ref="J14" si="30">(I14-I13)</f>
        <v>8</v>
      </c>
      <c r="K14" s="79">
        <v>116131</v>
      </c>
      <c r="L14" s="71">
        <f t="shared" ref="L14" si="31">(K14-K13)</f>
        <v>112</v>
      </c>
      <c r="M14" s="174">
        <f t="shared" si="5"/>
        <v>61.600000000000009</v>
      </c>
      <c r="N14" s="174">
        <f t="shared" si="6"/>
        <v>50.4</v>
      </c>
      <c r="O14" s="79">
        <v>85565</v>
      </c>
      <c r="P14" s="174">
        <f t="shared" ref="P14" si="32">(O14-O13)</f>
        <v>70</v>
      </c>
      <c r="R14" s="101">
        <f t="shared" si="0"/>
        <v>457.94740000000002</v>
      </c>
      <c r="S14" s="93">
        <f t="shared" si="8"/>
        <v>120.4</v>
      </c>
    </row>
    <row r="15" spans="1:19" ht="39.950000000000003" customHeight="1">
      <c r="A15" s="139">
        <v>44083</v>
      </c>
      <c r="B15" s="15"/>
      <c r="C15" s="79">
        <v>171806</v>
      </c>
      <c r="D15" s="174">
        <f t="shared" si="1"/>
        <v>312</v>
      </c>
      <c r="E15" s="79">
        <v>150239</v>
      </c>
      <c r="F15" s="174">
        <f t="shared" si="1"/>
        <v>208</v>
      </c>
      <c r="G15" s="79">
        <v>5318.8132999999998</v>
      </c>
      <c r="H15" s="174">
        <f t="shared" ref="H15" si="33">(G15-G14)</f>
        <v>1.494499999999789</v>
      </c>
      <c r="I15" s="79">
        <v>10245</v>
      </c>
      <c r="J15" s="174">
        <f t="shared" ref="J15" si="34">(I15-I14)</f>
        <v>8</v>
      </c>
      <c r="K15" s="79">
        <v>116235</v>
      </c>
      <c r="L15" s="71">
        <f t="shared" ref="L15" si="35">(K15-K14)</f>
        <v>104</v>
      </c>
      <c r="M15" s="174">
        <f t="shared" si="5"/>
        <v>57.2</v>
      </c>
      <c r="N15" s="174">
        <f t="shared" si="6"/>
        <v>46.800000000000004</v>
      </c>
      <c r="O15" s="79">
        <v>85648</v>
      </c>
      <c r="P15" s="174">
        <f t="shared" ref="P15" si="36">(O15-O14)</f>
        <v>83</v>
      </c>
      <c r="R15" s="101">
        <f t="shared" si="0"/>
        <v>521.49449999999979</v>
      </c>
      <c r="S15" s="93">
        <f t="shared" si="8"/>
        <v>129.80000000000001</v>
      </c>
    </row>
    <row r="16" spans="1:19" ht="39.950000000000003" customHeight="1">
      <c r="A16" s="139">
        <v>44084</v>
      </c>
      <c r="B16" s="15"/>
      <c r="C16" s="79">
        <v>172075</v>
      </c>
      <c r="D16" s="174">
        <f t="shared" si="1"/>
        <v>269</v>
      </c>
      <c r="E16" s="79">
        <v>150449</v>
      </c>
      <c r="F16" s="174">
        <f t="shared" si="1"/>
        <v>210</v>
      </c>
      <c r="G16" s="79">
        <v>5320</v>
      </c>
      <c r="H16" s="174">
        <f t="shared" ref="H16" si="37">(G16-G15)</f>
        <v>1.1867000000002008</v>
      </c>
      <c r="I16" s="79">
        <v>10250</v>
      </c>
      <c r="J16" s="174">
        <f t="shared" ref="J16" si="38">(I16-I15)</f>
        <v>5</v>
      </c>
      <c r="K16" s="79">
        <v>116346</v>
      </c>
      <c r="L16" s="71">
        <f t="shared" ref="L16" si="39">(K16-K15)</f>
        <v>111</v>
      </c>
      <c r="M16" s="174">
        <f t="shared" si="5"/>
        <v>61.050000000000004</v>
      </c>
      <c r="N16" s="174">
        <f t="shared" si="6"/>
        <v>49.95</v>
      </c>
      <c r="O16" s="79">
        <v>85714</v>
      </c>
      <c r="P16" s="174">
        <f t="shared" ref="P16" si="40">(O16-O15)</f>
        <v>66</v>
      </c>
      <c r="R16" s="101">
        <f t="shared" si="0"/>
        <v>480.1867000000002</v>
      </c>
      <c r="S16" s="93">
        <f t="shared" si="8"/>
        <v>115.95</v>
      </c>
    </row>
    <row r="17" spans="1:19" ht="39.950000000000003" customHeight="1">
      <c r="A17" s="139">
        <v>44085</v>
      </c>
      <c r="B17" s="15"/>
      <c r="C17" s="78">
        <v>172178</v>
      </c>
      <c r="D17" s="174">
        <f t="shared" si="1"/>
        <v>103</v>
      </c>
      <c r="E17" s="78">
        <v>150699</v>
      </c>
      <c r="F17" s="174">
        <f t="shared" si="1"/>
        <v>250</v>
      </c>
      <c r="G17" s="78">
        <v>5322.4946</v>
      </c>
      <c r="H17" s="174">
        <f t="shared" ref="H17" si="41">(G17-G16)</f>
        <v>2.4945999999999913</v>
      </c>
      <c r="I17" s="78">
        <v>10256</v>
      </c>
      <c r="J17" s="174">
        <f t="shared" ref="J17" si="42">(I17-I16)</f>
        <v>6</v>
      </c>
      <c r="K17" s="78">
        <v>116456</v>
      </c>
      <c r="L17" s="71">
        <f t="shared" ref="L17" si="43">(K17-K16)</f>
        <v>110</v>
      </c>
      <c r="M17" s="174">
        <f t="shared" si="5"/>
        <v>60.500000000000007</v>
      </c>
      <c r="N17" s="174">
        <f t="shared" si="6"/>
        <v>49.5</v>
      </c>
      <c r="O17" s="78">
        <v>85796</v>
      </c>
      <c r="P17" s="174">
        <f t="shared" ref="P17" si="44">(O17-O16)</f>
        <v>82</v>
      </c>
      <c r="R17" s="101">
        <f t="shared" si="0"/>
        <v>355.49459999999999</v>
      </c>
      <c r="S17" s="93">
        <f t="shared" si="8"/>
        <v>131.5</v>
      </c>
    </row>
    <row r="18" spans="1:19" ht="39.950000000000003" customHeight="1">
      <c r="A18" s="139">
        <v>44086</v>
      </c>
      <c r="B18" s="15"/>
      <c r="C18" s="78">
        <v>172332</v>
      </c>
      <c r="D18" s="174">
        <f t="shared" si="1"/>
        <v>154</v>
      </c>
      <c r="E18" s="78">
        <v>150965</v>
      </c>
      <c r="F18" s="174">
        <f t="shared" si="1"/>
        <v>266</v>
      </c>
      <c r="G18" s="78">
        <v>5324.0645999999997</v>
      </c>
      <c r="H18" s="174">
        <f t="shared" ref="H18" si="45">(G18-G17)</f>
        <v>1.569999999999709</v>
      </c>
      <c r="I18" s="78">
        <v>10261</v>
      </c>
      <c r="J18" s="174">
        <f t="shared" ref="J18" si="46">(I18-I17)</f>
        <v>5</v>
      </c>
      <c r="K18" s="78">
        <v>116568</v>
      </c>
      <c r="L18" s="71">
        <f t="shared" ref="L18" si="47">(K18-K17)</f>
        <v>112</v>
      </c>
      <c r="M18" s="174">
        <f t="shared" si="5"/>
        <v>61.600000000000009</v>
      </c>
      <c r="N18" s="174">
        <f t="shared" si="6"/>
        <v>50.4</v>
      </c>
      <c r="O18" s="78">
        <v>85877</v>
      </c>
      <c r="P18" s="174">
        <f t="shared" ref="P18" si="48">(O18-O17)</f>
        <v>81</v>
      </c>
      <c r="R18" s="101">
        <f t="shared" si="0"/>
        <v>421.56999999999971</v>
      </c>
      <c r="S18" s="93">
        <f t="shared" si="8"/>
        <v>131.4</v>
      </c>
    </row>
    <row r="19" spans="1:19" s="74" customFormat="1" ht="39.950000000000003" customHeight="1">
      <c r="A19" s="139">
        <v>44087</v>
      </c>
      <c r="B19" s="77"/>
      <c r="C19" s="79">
        <v>172527</v>
      </c>
      <c r="D19" s="174">
        <f t="shared" si="1"/>
        <v>195</v>
      </c>
      <c r="E19" s="79">
        <v>151225</v>
      </c>
      <c r="F19" s="174">
        <f t="shared" si="1"/>
        <v>260</v>
      </c>
      <c r="G19" s="79">
        <v>5327.2142999999996</v>
      </c>
      <c r="H19" s="174">
        <f t="shared" ref="H19" si="49">(G19-G18)</f>
        <v>3.1496999999999389</v>
      </c>
      <c r="I19" s="79">
        <v>10268</v>
      </c>
      <c r="J19" s="174">
        <f t="shared" ref="J19" si="50">(I19-I18)</f>
        <v>7</v>
      </c>
      <c r="K19" s="79">
        <v>116664</v>
      </c>
      <c r="L19" s="71">
        <f t="shared" ref="L19" si="51">(K19-K18)</f>
        <v>96</v>
      </c>
      <c r="M19" s="174">
        <f t="shared" si="5"/>
        <v>52.800000000000004</v>
      </c>
      <c r="N19" s="174">
        <f t="shared" si="6"/>
        <v>43.2</v>
      </c>
      <c r="O19" s="79">
        <v>85969</v>
      </c>
      <c r="P19" s="174">
        <f t="shared" ref="P19" si="52">(O19-O18)</f>
        <v>92</v>
      </c>
      <c r="R19" s="160">
        <f t="shared" si="0"/>
        <v>458.14969999999994</v>
      </c>
      <c r="S19" s="100">
        <f t="shared" si="8"/>
        <v>135.19999999999999</v>
      </c>
    </row>
    <row r="20" spans="1:19" s="74" customFormat="1" ht="39.950000000000003" customHeight="1">
      <c r="A20" s="139">
        <v>44088</v>
      </c>
      <c r="B20" s="77"/>
      <c r="C20" s="79">
        <v>172700</v>
      </c>
      <c r="D20" s="174">
        <f t="shared" si="1"/>
        <v>173</v>
      </c>
      <c r="E20" s="79">
        <v>151481</v>
      </c>
      <c r="F20" s="174">
        <f t="shared" si="1"/>
        <v>256</v>
      </c>
      <c r="G20" s="79">
        <v>5329.2853999999998</v>
      </c>
      <c r="H20" s="174">
        <f t="shared" ref="H20" si="53">(G20-G19)</f>
        <v>2.071100000000115</v>
      </c>
      <c r="I20" s="79">
        <v>10274</v>
      </c>
      <c r="J20" s="174">
        <f t="shared" ref="J20" si="54">(I20-I19)</f>
        <v>6</v>
      </c>
      <c r="K20" s="79">
        <v>116764</v>
      </c>
      <c r="L20" s="71">
        <f t="shared" ref="L20" si="55">(K20-K19)</f>
        <v>100</v>
      </c>
      <c r="M20" s="174">
        <f t="shared" si="5"/>
        <v>55.000000000000007</v>
      </c>
      <c r="N20" s="174">
        <f t="shared" si="6"/>
        <v>45</v>
      </c>
      <c r="O20" s="79">
        <v>86037</v>
      </c>
      <c r="P20" s="174">
        <f t="shared" ref="P20" si="56">(O20-O19)</f>
        <v>68</v>
      </c>
      <c r="R20" s="160">
        <f t="shared" si="0"/>
        <v>431.07110000000011</v>
      </c>
      <c r="S20" s="100">
        <f t="shared" si="8"/>
        <v>113</v>
      </c>
    </row>
    <row r="21" spans="1:19" s="74" customFormat="1" ht="39.950000000000003" customHeight="1">
      <c r="A21" s="139">
        <v>44089</v>
      </c>
      <c r="B21" s="77"/>
      <c r="C21" s="79">
        <v>172839</v>
      </c>
      <c r="D21" s="174">
        <f t="shared" si="1"/>
        <v>139</v>
      </c>
      <c r="E21" s="79">
        <v>151707</v>
      </c>
      <c r="F21" s="174">
        <f>(E21-E20)</f>
        <v>226</v>
      </c>
      <c r="G21" s="79">
        <v>5329.8680999999997</v>
      </c>
      <c r="H21" s="174">
        <f t="shared" ref="H21" si="57">(G21-G20)</f>
        <v>0.58269999999993161</v>
      </c>
      <c r="I21" s="79">
        <v>10279</v>
      </c>
      <c r="J21" s="174">
        <f t="shared" ref="J21" si="58">(I21-I20)</f>
        <v>5</v>
      </c>
      <c r="K21" s="79">
        <v>116862</v>
      </c>
      <c r="L21" s="71">
        <f t="shared" ref="L21" si="59">(K21-K20)</f>
        <v>98</v>
      </c>
      <c r="M21" s="174">
        <f t="shared" si="5"/>
        <v>53.900000000000006</v>
      </c>
      <c r="N21" s="174">
        <f t="shared" si="6"/>
        <v>44.1</v>
      </c>
      <c r="O21" s="79">
        <v>86119</v>
      </c>
      <c r="P21" s="174">
        <f t="shared" ref="P21" si="60">(O21-O20)</f>
        <v>82</v>
      </c>
      <c r="R21" s="160">
        <f t="shared" si="0"/>
        <v>365.58269999999993</v>
      </c>
      <c r="S21" s="100">
        <f t="shared" si="8"/>
        <v>126.1</v>
      </c>
    </row>
    <row r="22" spans="1:19" s="74" customFormat="1" ht="39.950000000000003" customHeight="1">
      <c r="A22" s="139">
        <v>44090</v>
      </c>
      <c r="B22" s="77"/>
      <c r="C22" s="78">
        <v>172976</v>
      </c>
      <c r="D22" s="174">
        <f t="shared" si="1"/>
        <v>137</v>
      </c>
      <c r="E22" s="78">
        <v>151925</v>
      </c>
      <c r="F22" s="174">
        <f>(E22-E21)</f>
        <v>218</v>
      </c>
      <c r="G22" s="78">
        <v>5330.5609000000004</v>
      </c>
      <c r="H22" s="174">
        <f t="shared" ref="H22" si="61">(G22-G21)</f>
        <v>0.69280000000071595</v>
      </c>
      <c r="I22" s="78">
        <v>10298</v>
      </c>
      <c r="J22" s="174">
        <f t="shared" ref="J22" si="62">(I22-I21)</f>
        <v>19</v>
      </c>
      <c r="K22" s="78">
        <v>116984</v>
      </c>
      <c r="L22" s="71">
        <f t="shared" ref="L22" si="63">(K22-K21)</f>
        <v>122</v>
      </c>
      <c r="M22" s="174">
        <f t="shared" si="5"/>
        <v>67.100000000000009</v>
      </c>
      <c r="N22" s="174">
        <f t="shared" si="6"/>
        <v>54.9</v>
      </c>
      <c r="O22" s="78">
        <v>86200</v>
      </c>
      <c r="P22" s="174">
        <f t="shared" ref="P22" si="64">(O22-O21)</f>
        <v>81</v>
      </c>
      <c r="R22" s="160">
        <f t="shared" si="0"/>
        <v>355.69280000000072</v>
      </c>
      <c r="S22" s="100">
        <f t="shared" si="8"/>
        <v>135.9</v>
      </c>
    </row>
    <row r="23" spans="1:19" s="74" customFormat="1" ht="39.950000000000003" customHeight="1">
      <c r="A23" s="139">
        <v>44091</v>
      </c>
      <c r="B23" s="77"/>
      <c r="C23" s="78">
        <v>173159</v>
      </c>
      <c r="D23" s="174">
        <f t="shared" si="1"/>
        <v>183</v>
      </c>
      <c r="E23" s="78">
        <v>152148</v>
      </c>
      <c r="F23" s="174">
        <f>(E23-E22)</f>
        <v>223</v>
      </c>
      <c r="G23" s="78">
        <v>5332.3004000000001</v>
      </c>
      <c r="H23" s="174">
        <f t="shared" ref="H23" si="65">(G23-G22)</f>
        <v>1.7394999999996799</v>
      </c>
      <c r="I23" s="78">
        <v>10307</v>
      </c>
      <c r="J23" s="174">
        <f t="shared" ref="J23" si="66">(I23-I22)</f>
        <v>9</v>
      </c>
      <c r="K23" s="78">
        <v>117113</v>
      </c>
      <c r="L23" s="71">
        <f t="shared" ref="L23" si="67">(K23-K22)</f>
        <v>129</v>
      </c>
      <c r="M23" s="174">
        <f t="shared" si="5"/>
        <v>70.95</v>
      </c>
      <c r="N23" s="174">
        <f t="shared" si="6"/>
        <v>58.050000000000004</v>
      </c>
      <c r="O23" s="78">
        <v>86269</v>
      </c>
      <c r="P23" s="174">
        <f t="shared" ref="P23" si="68">(O23-O22)</f>
        <v>69</v>
      </c>
      <c r="R23" s="160">
        <f t="shared" si="0"/>
        <v>407.73949999999968</v>
      </c>
      <c r="S23" s="100">
        <f t="shared" si="8"/>
        <v>127.05000000000001</v>
      </c>
    </row>
    <row r="24" spans="1:19" s="74" customFormat="1" ht="39.950000000000003" customHeight="1">
      <c r="A24" s="139">
        <v>44092</v>
      </c>
      <c r="B24" s="77"/>
      <c r="C24" s="78">
        <v>173344</v>
      </c>
      <c r="D24" s="174">
        <f t="shared" si="1"/>
        <v>185</v>
      </c>
      <c r="E24" s="78">
        <v>152387</v>
      </c>
      <c r="F24" s="174">
        <f t="shared" si="1"/>
        <v>239</v>
      </c>
      <c r="G24" s="78">
        <v>5332.8995000000004</v>
      </c>
      <c r="H24" s="174">
        <f t="shared" ref="H24" si="69">(G24-G23)</f>
        <v>0.59910000000036234</v>
      </c>
      <c r="I24" s="78">
        <v>10313</v>
      </c>
      <c r="J24" s="174">
        <f t="shared" ref="J24" si="70">(I24-I23)</f>
        <v>6</v>
      </c>
      <c r="K24" s="78">
        <v>117232</v>
      </c>
      <c r="L24" s="71">
        <f t="shared" ref="L24" si="71">(K24-K23)</f>
        <v>119</v>
      </c>
      <c r="M24" s="174">
        <f t="shared" si="5"/>
        <v>65.45</v>
      </c>
      <c r="N24" s="174">
        <f t="shared" si="6"/>
        <v>53.550000000000004</v>
      </c>
      <c r="O24" s="78">
        <v>86352</v>
      </c>
      <c r="P24" s="174">
        <f t="shared" ref="P24" si="72">(O24-O23)</f>
        <v>83</v>
      </c>
      <c r="R24" s="160">
        <f t="shared" si="0"/>
        <v>424.59910000000036</v>
      </c>
      <c r="S24" s="100">
        <f t="shared" si="8"/>
        <v>136.55000000000001</v>
      </c>
    </row>
    <row r="25" spans="1:19" s="74" customFormat="1" ht="39.950000000000003" customHeight="1">
      <c r="A25" s="139">
        <v>44093</v>
      </c>
      <c r="B25" s="77"/>
      <c r="C25" s="78">
        <v>173529</v>
      </c>
      <c r="D25" s="174">
        <f t="shared" si="1"/>
        <v>185</v>
      </c>
      <c r="E25" s="78">
        <v>152647</v>
      </c>
      <c r="F25" s="174">
        <f t="shared" si="1"/>
        <v>260</v>
      </c>
      <c r="G25" s="78">
        <v>5333.8351000000002</v>
      </c>
      <c r="H25" s="174">
        <f t="shared" ref="H25" si="73">(G25-G24)</f>
        <v>0.93559999999979482</v>
      </c>
      <c r="I25" s="78">
        <v>10329</v>
      </c>
      <c r="J25" s="174">
        <f t="shared" ref="J25" si="74">(I25-I24)</f>
        <v>16</v>
      </c>
      <c r="K25" s="78">
        <v>117339</v>
      </c>
      <c r="L25" s="71">
        <f t="shared" ref="L25" si="75">(K25-K24)</f>
        <v>107</v>
      </c>
      <c r="M25" s="174">
        <f t="shared" si="5"/>
        <v>58.85</v>
      </c>
      <c r="N25" s="174">
        <f t="shared" si="6"/>
        <v>48.15</v>
      </c>
      <c r="O25" s="78">
        <v>86422</v>
      </c>
      <c r="P25" s="174">
        <f t="shared" ref="P25" si="76">(O25-O24)</f>
        <v>70</v>
      </c>
      <c r="R25" s="160">
        <f t="shared" si="0"/>
        <v>445.93559999999979</v>
      </c>
      <c r="S25" s="100">
        <f t="shared" si="8"/>
        <v>118.15</v>
      </c>
    </row>
    <row r="26" spans="1:19" ht="39.950000000000003" customHeight="1">
      <c r="A26" s="139">
        <v>44094</v>
      </c>
      <c r="B26" s="77"/>
      <c r="C26" s="78">
        <v>173710</v>
      </c>
      <c r="D26" s="174">
        <f t="shared" si="1"/>
        <v>181</v>
      </c>
      <c r="E26" s="78">
        <v>152946</v>
      </c>
      <c r="F26" s="174">
        <f t="shared" si="1"/>
        <v>299</v>
      </c>
      <c r="G26" s="78">
        <v>5334.6382000000003</v>
      </c>
      <c r="H26" s="174">
        <f t="shared" ref="H26" si="77">(G26-G25)</f>
        <v>0.80310000000008586</v>
      </c>
      <c r="I26" s="78">
        <v>10340</v>
      </c>
      <c r="J26" s="174">
        <f t="shared" ref="J26" si="78">(I26-I25)</f>
        <v>11</v>
      </c>
      <c r="K26" s="78">
        <v>117459</v>
      </c>
      <c r="L26" s="71">
        <f t="shared" ref="L26" si="79">(K26-K25)</f>
        <v>120</v>
      </c>
      <c r="M26" s="174">
        <f t="shared" si="5"/>
        <v>66</v>
      </c>
      <c r="N26" s="174">
        <f t="shared" si="6"/>
        <v>54</v>
      </c>
      <c r="O26" s="78">
        <v>86505</v>
      </c>
      <c r="P26" s="174">
        <f t="shared" ref="P26" si="80">(O26-O25)</f>
        <v>83</v>
      </c>
      <c r="R26" s="101">
        <f t="shared" si="0"/>
        <v>480.80310000000009</v>
      </c>
      <c r="S26" s="93">
        <f t="shared" si="8"/>
        <v>137</v>
      </c>
    </row>
    <row r="27" spans="1:19" ht="39.950000000000003" customHeight="1">
      <c r="A27" s="139">
        <v>44095</v>
      </c>
      <c r="B27" s="77"/>
      <c r="C27" s="79">
        <v>173908</v>
      </c>
      <c r="D27" s="174">
        <f t="shared" si="1"/>
        <v>198</v>
      </c>
      <c r="E27" s="79">
        <v>153220</v>
      </c>
      <c r="F27" s="174">
        <f t="shared" si="1"/>
        <v>274</v>
      </c>
      <c r="G27" s="79">
        <v>5339.6237000000001</v>
      </c>
      <c r="H27" s="174">
        <f t="shared" ref="H27" si="81">(G27-G26)</f>
        <v>4.9854999999997744</v>
      </c>
      <c r="I27" s="79">
        <v>10347</v>
      </c>
      <c r="J27" s="174">
        <f t="shared" ref="J27" si="82">(I27-I26)</f>
        <v>7</v>
      </c>
      <c r="K27" s="79">
        <v>117593</v>
      </c>
      <c r="L27" s="71">
        <f t="shared" ref="L27" si="83">(K27-K26)</f>
        <v>134</v>
      </c>
      <c r="M27" s="174">
        <f t="shared" si="5"/>
        <v>73.7</v>
      </c>
      <c r="N27" s="174">
        <f t="shared" si="6"/>
        <v>60.300000000000004</v>
      </c>
      <c r="O27" s="79">
        <v>86588</v>
      </c>
      <c r="P27" s="174">
        <f t="shared" ref="P27" si="84">(O27-O26)</f>
        <v>83</v>
      </c>
      <c r="R27" s="101">
        <f t="shared" si="0"/>
        <v>476.98549999999977</v>
      </c>
      <c r="S27" s="93">
        <f t="shared" si="8"/>
        <v>143.30000000000001</v>
      </c>
    </row>
    <row r="28" spans="1:19" ht="39.950000000000003" customHeight="1">
      <c r="A28" s="139">
        <v>44096</v>
      </c>
      <c r="B28" s="77"/>
      <c r="C28" s="78">
        <v>174061</v>
      </c>
      <c r="D28" s="174">
        <f t="shared" si="1"/>
        <v>153</v>
      </c>
      <c r="E28" s="78">
        <v>153486</v>
      </c>
      <c r="F28" s="174">
        <f t="shared" si="1"/>
        <v>266</v>
      </c>
      <c r="G28" s="78">
        <v>5340.5041000000001</v>
      </c>
      <c r="H28" s="174">
        <f t="shared" ref="H28" si="85">(G28-G27)</f>
        <v>0.88040000000000873</v>
      </c>
      <c r="I28" s="78">
        <v>10355</v>
      </c>
      <c r="J28" s="174">
        <f t="shared" ref="J28" si="86">(I28-I27)</f>
        <v>8</v>
      </c>
      <c r="K28" s="78">
        <v>117725</v>
      </c>
      <c r="L28" s="71">
        <f t="shared" ref="L28" si="87">(K28-K27)</f>
        <v>132</v>
      </c>
      <c r="M28" s="174">
        <f t="shared" si="5"/>
        <v>72.600000000000009</v>
      </c>
      <c r="N28" s="174">
        <f t="shared" si="6"/>
        <v>59.4</v>
      </c>
      <c r="O28" s="78">
        <v>86666</v>
      </c>
      <c r="P28" s="174">
        <f t="shared" ref="P28" si="88">(O28-O27)</f>
        <v>78</v>
      </c>
      <c r="R28" s="101">
        <f t="shared" si="0"/>
        <v>419.88040000000001</v>
      </c>
      <c r="S28" s="93">
        <f t="shared" si="8"/>
        <v>137.4</v>
      </c>
    </row>
    <row r="29" spans="1:19" ht="39.950000000000003" customHeight="1">
      <c r="A29" s="139">
        <v>44097</v>
      </c>
      <c r="B29" s="77"/>
      <c r="C29" s="78">
        <v>174184</v>
      </c>
      <c r="D29" s="174">
        <f t="shared" si="1"/>
        <v>123</v>
      </c>
      <c r="E29" s="78">
        <v>153726</v>
      </c>
      <c r="F29" s="174">
        <f t="shared" si="1"/>
        <v>240</v>
      </c>
      <c r="G29" s="78">
        <v>5341.2003000000004</v>
      </c>
      <c r="H29" s="174">
        <f t="shared" ref="H29" si="89">(G29-G28)</f>
        <v>0.69620000000031723</v>
      </c>
      <c r="I29" s="78">
        <v>10363</v>
      </c>
      <c r="J29" s="174">
        <f t="shared" ref="J29" si="90">(I29-I28)</f>
        <v>8</v>
      </c>
      <c r="K29" s="78">
        <v>117842</v>
      </c>
      <c r="L29" s="71">
        <f t="shared" ref="L29" si="91">(K29-K28)</f>
        <v>117</v>
      </c>
      <c r="M29" s="174">
        <f t="shared" si="5"/>
        <v>64.350000000000009</v>
      </c>
      <c r="N29" s="174">
        <f t="shared" si="6"/>
        <v>52.65</v>
      </c>
      <c r="O29" s="78">
        <v>86746</v>
      </c>
      <c r="P29" s="174">
        <f t="shared" ref="P29" si="92">(O29-O28)</f>
        <v>80</v>
      </c>
      <c r="R29" s="101">
        <f t="shared" si="0"/>
        <v>363.69620000000032</v>
      </c>
      <c r="S29" s="93">
        <f t="shared" si="8"/>
        <v>132.65</v>
      </c>
    </row>
    <row r="30" spans="1:19" ht="39.950000000000003" customHeight="1">
      <c r="A30" s="139">
        <v>44098</v>
      </c>
      <c r="B30" s="77"/>
      <c r="C30" s="78">
        <v>174322</v>
      </c>
      <c r="D30" s="174">
        <f t="shared" si="1"/>
        <v>138</v>
      </c>
      <c r="E30" s="78">
        <v>153981</v>
      </c>
      <c r="F30" s="174">
        <f t="shared" si="1"/>
        <v>255</v>
      </c>
      <c r="G30" s="78">
        <v>5347.1827000000003</v>
      </c>
      <c r="H30" s="174">
        <f t="shared" ref="H30" si="93">(G30-G29)</f>
        <v>5.9823999999998705</v>
      </c>
      <c r="I30" s="78">
        <v>10373</v>
      </c>
      <c r="J30" s="174">
        <f t="shared" ref="J30" si="94">(I30-I29)</f>
        <v>10</v>
      </c>
      <c r="K30" s="78">
        <v>117956</v>
      </c>
      <c r="L30" s="71">
        <f t="shared" ref="L30" si="95">(K30-K29)</f>
        <v>114</v>
      </c>
      <c r="M30" s="174">
        <f t="shared" si="5"/>
        <v>62.7</v>
      </c>
      <c r="N30" s="174">
        <f t="shared" si="6"/>
        <v>51.300000000000004</v>
      </c>
      <c r="O30" s="78">
        <v>86816</v>
      </c>
      <c r="P30" s="174">
        <f t="shared" ref="P30" si="96">(O30-O29)</f>
        <v>70</v>
      </c>
      <c r="R30" s="101">
        <f t="shared" si="0"/>
        <v>398.98239999999987</v>
      </c>
      <c r="S30" s="93">
        <f t="shared" si="8"/>
        <v>121.30000000000001</v>
      </c>
    </row>
    <row r="31" spans="1:19" ht="39.950000000000003" customHeight="1">
      <c r="A31" s="139">
        <v>44099</v>
      </c>
      <c r="B31" s="77"/>
      <c r="C31" s="78">
        <v>174480</v>
      </c>
      <c r="D31" s="174">
        <f t="shared" si="1"/>
        <v>158</v>
      </c>
      <c r="E31" s="78">
        <v>154228</v>
      </c>
      <c r="F31" s="174">
        <f t="shared" si="1"/>
        <v>247</v>
      </c>
      <c r="G31" s="78">
        <v>5353.1773999999996</v>
      </c>
      <c r="H31" s="174">
        <f t="shared" ref="H31" si="97">(G31-G30)</f>
        <v>5.994699999999284</v>
      </c>
      <c r="I31" s="78">
        <v>10386</v>
      </c>
      <c r="J31" s="174">
        <f t="shared" ref="J31" si="98">(I31-I30)</f>
        <v>13</v>
      </c>
      <c r="K31" s="78">
        <v>118081</v>
      </c>
      <c r="L31" s="71">
        <f t="shared" ref="L31" si="99">(K31-K30)</f>
        <v>125</v>
      </c>
      <c r="M31" s="174">
        <f t="shared" si="5"/>
        <v>68.75</v>
      </c>
      <c r="N31" s="174">
        <f t="shared" si="6"/>
        <v>56.25</v>
      </c>
      <c r="O31" s="78">
        <v>86893</v>
      </c>
      <c r="P31" s="174">
        <f t="shared" ref="P31" si="100">(O31-O30)</f>
        <v>77</v>
      </c>
      <c r="R31" s="101">
        <f t="shared" si="0"/>
        <v>410.99469999999928</v>
      </c>
      <c r="S31" s="93">
        <f t="shared" si="8"/>
        <v>133.25</v>
      </c>
    </row>
    <row r="32" spans="1:19" ht="39.950000000000003" customHeight="1">
      <c r="A32" s="139">
        <v>44100</v>
      </c>
      <c r="B32" s="77"/>
      <c r="C32" s="78">
        <v>174690</v>
      </c>
      <c r="D32" s="174">
        <f t="shared" si="1"/>
        <v>210</v>
      </c>
      <c r="E32" s="78">
        <v>154500</v>
      </c>
      <c r="F32" s="174">
        <f t="shared" si="1"/>
        <v>272</v>
      </c>
      <c r="G32" s="78">
        <v>5355.8041000000003</v>
      </c>
      <c r="H32" s="174">
        <f t="shared" ref="H32" si="101">(G32-G31)</f>
        <v>2.6267000000007101</v>
      </c>
      <c r="I32" s="78">
        <v>10415</v>
      </c>
      <c r="J32" s="174">
        <f t="shared" ref="J32" si="102">(I32-I31)</f>
        <v>29</v>
      </c>
      <c r="K32" s="78">
        <v>118200</v>
      </c>
      <c r="L32" s="71">
        <f t="shared" ref="L32" si="103">(K32-K31)</f>
        <v>119</v>
      </c>
      <c r="M32" s="174">
        <f t="shared" si="5"/>
        <v>65.45</v>
      </c>
      <c r="N32" s="174">
        <f t="shared" si="6"/>
        <v>53.550000000000004</v>
      </c>
      <c r="O32" s="78">
        <v>86976</v>
      </c>
      <c r="P32" s="174">
        <f t="shared" ref="P32" si="104">(O32-O31)</f>
        <v>83</v>
      </c>
      <c r="R32" s="101">
        <f t="shared" si="0"/>
        <v>484.62670000000071</v>
      </c>
      <c r="S32" s="93">
        <f t="shared" si="8"/>
        <v>136.55000000000001</v>
      </c>
    </row>
    <row r="33" spans="1:19" ht="39.950000000000003" customHeight="1">
      <c r="A33" s="139">
        <v>44101</v>
      </c>
      <c r="B33" s="77"/>
      <c r="C33" s="78">
        <v>174920</v>
      </c>
      <c r="D33" s="174">
        <f t="shared" si="1"/>
        <v>230</v>
      </c>
      <c r="E33" s="78">
        <v>154784</v>
      </c>
      <c r="F33" s="174">
        <f t="shared" si="1"/>
        <v>284</v>
      </c>
      <c r="G33" s="78">
        <v>5356.3858</v>
      </c>
      <c r="H33" s="174">
        <f t="shared" ref="H33" si="105">(G33-G32)</f>
        <v>0.58169999999972788</v>
      </c>
      <c r="I33" s="78">
        <v>10428</v>
      </c>
      <c r="J33" s="174">
        <f t="shared" ref="J33" si="106">(I33-I32)</f>
        <v>13</v>
      </c>
      <c r="K33" s="78">
        <v>118313</v>
      </c>
      <c r="L33" s="71">
        <f t="shared" ref="L33" si="107">(K33-K32)</f>
        <v>113</v>
      </c>
      <c r="M33" s="174">
        <f t="shared" si="5"/>
        <v>62.150000000000006</v>
      </c>
      <c r="N33" s="174">
        <f t="shared" si="6"/>
        <v>50.85</v>
      </c>
      <c r="O33" s="78">
        <v>87060</v>
      </c>
      <c r="P33" s="174">
        <f t="shared" ref="P33" si="108">(O33-O32)</f>
        <v>84</v>
      </c>
      <c r="R33" s="101">
        <f t="shared" si="0"/>
        <v>514.58169999999973</v>
      </c>
      <c r="S33" s="93">
        <f t="shared" si="8"/>
        <v>134.85</v>
      </c>
    </row>
    <row r="34" spans="1:19" ht="39.950000000000003" customHeight="1">
      <c r="A34" s="139">
        <v>44102</v>
      </c>
      <c r="B34" s="77"/>
      <c r="C34" s="78">
        <v>175141</v>
      </c>
      <c r="D34" s="174">
        <f t="shared" si="1"/>
        <v>221</v>
      </c>
      <c r="E34" s="78">
        <v>155071</v>
      </c>
      <c r="F34" s="174">
        <f t="shared" si="1"/>
        <v>287</v>
      </c>
      <c r="G34" s="78">
        <v>5357.7330000000002</v>
      </c>
      <c r="H34" s="174">
        <f t="shared" ref="H34:H36" si="109">(G34-G33)</f>
        <v>1.3472000000001572</v>
      </c>
      <c r="I34" s="78">
        <v>10437</v>
      </c>
      <c r="J34" s="174">
        <f t="shared" ref="J34:J36" si="110">(I34-I33)</f>
        <v>9</v>
      </c>
      <c r="K34" s="78">
        <v>118438</v>
      </c>
      <c r="L34" s="71">
        <f t="shared" ref="L34" si="111">(K34-K33)</f>
        <v>125</v>
      </c>
      <c r="M34" s="174">
        <f t="shared" si="5"/>
        <v>68.75</v>
      </c>
      <c r="N34" s="174">
        <f t="shared" si="6"/>
        <v>56.25</v>
      </c>
      <c r="O34" s="78">
        <v>87129</v>
      </c>
      <c r="P34" s="174">
        <f t="shared" ref="P34:P36" si="112">(O34-O33)</f>
        <v>69</v>
      </c>
      <c r="R34" s="101">
        <f t="shared" si="0"/>
        <v>509.34720000000016</v>
      </c>
      <c r="S34" s="93">
        <f t="shared" si="8"/>
        <v>125.25</v>
      </c>
    </row>
    <row r="35" spans="1:19" ht="39.950000000000003" customHeight="1">
      <c r="A35" s="139">
        <v>44103</v>
      </c>
      <c r="B35" s="77"/>
      <c r="C35" s="78">
        <v>175333</v>
      </c>
      <c r="D35" s="174">
        <f t="shared" si="1"/>
        <v>192</v>
      </c>
      <c r="E35" s="78">
        <v>155367</v>
      </c>
      <c r="F35" s="174">
        <f t="shared" si="1"/>
        <v>296</v>
      </c>
      <c r="G35" s="78">
        <v>5359.6331</v>
      </c>
      <c r="H35" s="174">
        <f t="shared" si="109"/>
        <v>1.9000999999998385</v>
      </c>
      <c r="I35" s="78">
        <v>10444</v>
      </c>
      <c r="J35" s="174">
        <f t="shared" si="110"/>
        <v>7</v>
      </c>
      <c r="K35" s="78">
        <v>118572</v>
      </c>
      <c r="L35" s="71">
        <f t="shared" ref="L35:L36" si="113">(K35-K34)</f>
        <v>134</v>
      </c>
      <c r="M35" s="174">
        <f t="shared" ref="M35:M36" si="114">L35*55%</f>
        <v>73.7</v>
      </c>
      <c r="N35" s="174">
        <f t="shared" ref="N35:N36" si="115">L35*45%</f>
        <v>60.300000000000004</v>
      </c>
      <c r="O35" s="78">
        <v>87213</v>
      </c>
      <c r="P35" s="174">
        <f t="shared" si="112"/>
        <v>84</v>
      </c>
      <c r="R35" s="101">
        <f t="shared" ref="R35:R36" si="116">SUM(D35,F35,M99,H35)</f>
        <v>489.90009999999984</v>
      </c>
      <c r="S35" s="93">
        <f t="shared" ref="S35:S36" si="117">SUM(N35,P35)</f>
        <v>144.30000000000001</v>
      </c>
    </row>
    <row r="36" spans="1:19" ht="39.950000000000003" customHeight="1">
      <c r="A36" s="139">
        <v>44104</v>
      </c>
      <c r="B36" s="77"/>
      <c r="C36" s="78">
        <v>175505</v>
      </c>
      <c r="D36" s="174">
        <f t="shared" ref="D36" si="118">(C36-C35)</f>
        <v>172</v>
      </c>
      <c r="E36" s="78">
        <v>155621</v>
      </c>
      <c r="F36" s="174">
        <f t="shared" ref="F36" si="119">(E36-E35)</f>
        <v>254</v>
      </c>
      <c r="G36" s="78">
        <v>5362.6358</v>
      </c>
      <c r="H36" s="174">
        <f t="shared" si="109"/>
        <v>3.0027000000000044</v>
      </c>
      <c r="I36" s="78">
        <v>10452</v>
      </c>
      <c r="J36" s="174">
        <f t="shared" si="110"/>
        <v>8</v>
      </c>
      <c r="K36" s="78">
        <v>118742</v>
      </c>
      <c r="L36" s="71">
        <f t="shared" si="113"/>
        <v>170</v>
      </c>
      <c r="M36" s="174">
        <f t="shared" si="114"/>
        <v>93.500000000000014</v>
      </c>
      <c r="N36" s="174">
        <f t="shared" si="115"/>
        <v>76.5</v>
      </c>
      <c r="O36" s="78">
        <v>87295</v>
      </c>
      <c r="P36" s="174">
        <f t="shared" si="112"/>
        <v>82</v>
      </c>
      <c r="R36" s="101">
        <f t="shared" si="116"/>
        <v>429.0027</v>
      </c>
      <c r="S36" s="93">
        <f t="shared" si="117"/>
        <v>158.5</v>
      </c>
    </row>
    <row r="37" spans="1:19" ht="39.950000000000003" customHeight="1">
      <c r="A37" s="139"/>
      <c r="B37" s="15"/>
      <c r="C37" s="79"/>
      <c r="D37" s="174"/>
      <c r="E37" s="79"/>
      <c r="F37" s="174"/>
      <c r="G37" s="79"/>
      <c r="H37" s="174"/>
      <c r="I37" s="79"/>
      <c r="J37" s="174"/>
      <c r="K37" s="79"/>
      <c r="L37" s="71"/>
      <c r="M37" s="174"/>
      <c r="N37" s="174"/>
      <c r="O37" s="79"/>
      <c r="P37" s="174"/>
      <c r="R37" s="92"/>
      <c r="S37" s="93"/>
    </row>
    <row r="38" spans="1:19" s="20" customFormat="1" ht="39.950000000000003" customHeight="1">
      <c r="A38" s="19"/>
      <c r="D38" s="21">
        <f>SUM(D7:D37)</f>
        <v>5420</v>
      </c>
      <c r="F38" s="21">
        <f>SUM(F7:F37)</f>
        <v>7469</v>
      </c>
      <c r="H38" s="21">
        <f>SUM(H7:H37)</f>
        <v>70.036399999999958</v>
      </c>
      <c r="J38" s="21">
        <f>SUM(J7:J37)</f>
        <v>275</v>
      </c>
      <c r="L38" s="21">
        <f>SUM(L7:L37)</f>
        <v>3540</v>
      </c>
      <c r="M38" s="21"/>
      <c r="N38" s="21"/>
      <c r="P38" s="21">
        <f>SUM(P7:P37)</f>
        <v>2342</v>
      </c>
    </row>
    <row r="39" spans="1:19" s="17" customFormat="1" ht="39.950000000000003" customHeight="1">
      <c r="A39" s="16"/>
      <c r="D39" s="18"/>
    </row>
    <row r="40" spans="1:19" s="17" customFormat="1" ht="39.950000000000003" customHeight="1">
      <c r="A40" s="16"/>
      <c r="D40" s="18"/>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3" activePane="bottomRight" state="frozen"/>
      <selection pane="topRight" activeCell="C1" sqref="C1"/>
      <selection pane="bottomLeft" activeCell="A8" sqref="A8"/>
      <selection pane="bottomRight" activeCell="BI33" sqref="BI33"/>
    </sheetView>
  </sheetViews>
  <sheetFormatPr defaultRowHeight="31.5"/>
  <cols>
    <col min="1" max="1" width="15.7109375" style="9" customWidth="1"/>
    <col min="2" max="2" width="2.42578125" customWidth="1"/>
    <col min="3" max="3" width="30.7109375" style="74" customWidth="1"/>
    <col min="4" max="4" width="30.7109375" customWidth="1"/>
    <col min="5" max="5" width="30.7109375" style="74" customWidth="1"/>
    <col min="6" max="6" width="30.7109375" customWidth="1"/>
    <col min="7" max="7" width="30.7109375" style="74" customWidth="1"/>
    <col min="8" max="8" width="30.7109375" customWidth="1"/>
    <col min="9" max="9" width="30.7109375" style="74" customWidth="1"/>
    <col min="10" max="10" width="30.7109375" customWidth="1"/>
    <col min="11" max="11" width="30.7109375" style="74" customWidth="1"/>
    <col min="12" max="12" width="30.7109375" customWidth="1"/>
    <col min="13" max="13" width="30.7109375" style="74" customWidth="1"/>
    <col min="14" max="14" width="30.7109375" customWidth="1"/>
    <col min="15" max="15" width="30.7109375" style="74" customWidth="1"/>
    <col min="16" max="16" width="30.7109375" customWidth="1"/>
    <col min="17" max="17" width="30.7109375" style="74" customWidth="1"/>
    <col min="18" max="18" width="30.7109375" customWidth="1"/>
    <col min="19" max="19" width="30.7109375" style="74" customWidth="1"/>
    <col min="20" max="20" width="30.7109375" customWidth="1"/>
    <col min="21" max="21" width="30.7109375" style="74" customWidth="1"/>
    <col min="22" max="22" width="30.7109375" customWidth="1"/>
    <col min="23" max="23" width="30.7109375" style="74" customWidth="1"/>
    <col min="24" max="24" width="30.7109375" customWidth="1"/>
    <col min="25" max="25" width="30.7109375" style="74" customWidth="1"/>
    <col min="26" max="26" width="30.7109375" customWidth="1"/>
    <col min="27" max="27" width="30.7109375" style="74" customWidth="1"/>
    <col min="28" max="28" width="30.7109375" customWidth="1"/>
    <col min="29" max="29" width="30.7109375" style="74" customWidth="1"/>
    <col min="30" max="30" width="30.7109375" style="1" customWidth="1"/>
    <col min="31" max="31" width="30.7109375" style="74" customWidth="1"/>
    <col min="32" max="32" width="30.7109375" customWidth="1"/>
    <col min="33" max="33" width="30.7109375" style="74" customWidth="1"/>
    <col min="34" max="34" width="30.7109375" customWidth="1"/>
    <col min="35" max="35" width="30.7109375" style="74" customWidth="1"/>
    <col min="36" max="36" width="30.7109375" customWidth="1"/>
    <col min="37" max="37" width="30.7109375" style="74" customWidth="1"/>
    <col min="38" max="38" width="30.7109375" customWidth="1"/>
    <col min="39" max="39" width="30.7109375" style="74" customWidth="1"/>
    <col min="40" max="40" width="30.7109375" customWidth="1"/>
    <col min="41" max="41" width="30.7109375" style="74" customWidth="1"/>
    <col min="42" max="42" width="30.7109375" customWidth="1"/>
    <col min="43" max="43" width="30.7109375" style="74" customWidth="1"/>
    <col min="44" max="44" width="30.7109375" customWidth="1"/>
    <col min="45" max="45" width="30.7109375" style="74" customWidth="1"/>
    <col min="46" max="46" width="30.7109375" customWidth="1"/>
    <col min="47" max="47" width="30.7109375" style="74" customWidth="1"/>
    <col min="48" max="48" width="30.7109375" customWidth="1"/>
    <col min="49" max="49" width="30.7109375" style="74" customWidth="1"/>
    <col min="50" max="50" width="30.7109375" customWidth="1"/>
    <col min="51" max="51" width="30.7109375" style="74" customWidth="1"/>
    <col min="52" max="52" width="30.7109375" customWidth="1"/>
    <col min="53" max="53" width="30.7109375" style="74" customWidth="1"/>
    <col min="54" max="54" width="30.7109375" customWidth="1"/>
    <col min="55" max="55" width="30.7109375" style="74" customWidth="1"/>
    <col min="56" max="56" width="30.7109375" customWidth="1"/>
    <col min="57" max="57" width="30.7109375" style="74" customWidth="1"/>
    <col min="58" max="58" width="30.7109375" customWidth="1"/>
    <col min="60" max="61" width="30.7109375" style="32" customWidth="1"/>
  </cols>
  <sheetData>
    <row r="1" spans="1:61" s="12" customFormat="1" ht="49.5" customHeight="1">
      <c r="A1" s="103"/>
      <c r="B1" s="103"/>
      <c r="C1" s="237" t="s">
        <v>65</v>
      </c>
      <c r="D1" s="237"/>
      <c r="E1" s="237"/>
      <c r="F1" s="237"/>
      <c r="G1" s="237" t="s">
        <v>64</v>
      </c>
      <c r="H1" s="237"/>
      <c r="I1" s="237" t="s">
        <v>64</v>
      </c>
      <c r="J1" s="237"/>
      <c r="K1" s="237" t="s">
        <v>64</v>
      </c>
      <c r="L1" s="237"/>
      <c r="M1" s="237" t="s">
        <v>64</v>
      </c>
      <c r="N1" s="237"/>
      <c r="O1" s="237" t="s">
        <v>64</v>
      </c>
      <c r="P1" s="237"/>
      <c r="Q1" s="249" t="s">
        <v>64</v>
      </c>
      <c r="R1" s="250"/>
      <c r="S1" s="249" t="s">
        <v>64</v>
      </c>
      <c r="T1" s="250"/>
      <c r="U1" s="249" t="s">
        <v>64</v>
      </c>
      <c r="V1" s="250"/>
      <c r="W1" s="249" t="s">
        <v>64</v>
      </c>
      <c r="X1" s="251"/>
      <c r="Y1" s="237" t="s">
        <v>64</v>
      </c>
      <c r="Z1" s="237"/>
      <c r="AA1" s="249" t="s">
        <v>64</v>
      </c>
      <c r="AB1" s="250"/>
      <c r="AC1" s="237" t="s">
        <v>64</v>
      </c>
      <c r="AD1" s="237"/>
      <c r="AE1" s="237" t="s">
        <v>64</v>
      </c>
      <c r="AF1" s="237"/>
      <c r="AG1" s="237" t="s">
        <v>64</v>
      </c>
      <c r="AH1" s="237"/>
      <c r="AI1" s="237" t="s">
        <v>64</v>
      </c>
      <c r="AJ1" s="237"/>
      <c r="AK1" s="237" t="s">
        <v>64</v>
      </c>
      <c r="AL1" s="237"/>
      <c r="AM1" s="237" t="s">
        <v>66</v>
      </c>
      <c r="AN1" s="237"/>
      <c r="AO1" s="237" t="s">
        <v>66</v>
      </c>
      <c r="AP1" s="237"/>
      <c r="AQ1" s="237" t="s">
        <v>66</v>
      </c>
      <c r="AR1" s="237"/>
      <c r="AS1" s="237" t="s">
        <v>66</v>
      </c>
      <c r="AT1" s="237"/>
      <c r="AU1" s="237" t="s">
        <v>66</v>
      </c>
      <c r="AV1" s="237"/>
      <c r="AW1" s="237" t="s">
        <v>66</v>
      </c>
      <c r="AX1" s="237"/>
      <c r="AY1" s="237" t="s">
        <v>66</v>
      </c>
      <c r="AZ1" s="237"/>
      <c r="BA1" s="237" t="s">
        <v>66</v>
      </c>
      <c r="BB1" s="237"/>
      <c r="BC1" s="237" t="s">
        <v>66</v>
      </c>
      <c r="BD1" s="237"/>
      <c r="BE1" s="237" t="s">
        <v>66</v>
      </c>
      <c r="BF1" s="237"/>
      <c r="BH1" s="31"/>
      <c r="BI1" s="31"/>
    </row>
    <row r="2" spans="1:61" s="23" customFormat="1" ht="75.75" customHeight="1">
      <c r="A2" s="47"/>
      <c r="B2" s="47"/>
      <c r="C2" s="254" t="s">
        <v>116</v>
      </c>
      <c r="D2" s="254"/>
      <c r="E2" s="254"/>
      <c r="F2" s="254"/>
      <c r="G2" s="254" t="s">
        <v>117</v>
      </c>
      <c r="H2" s="254"/>
      <c r="I2" s="254" t="s">
        <v>118</v>
      </c>
      <c r="J2" s="254"/>
      <c r="K2" s="254" t="s">
        <v>119</v>
      </c>
      <c r="L2" s="254"/>
      <c r="M2" s="254" t="s">
        <v>120</v>
      </c>
      <c r="N2" s="254"/>
      <c r="O2" s="252" t="s">
        <v>121</v>
      </c>
      <c r="P2" s="253"/>
      <c r="Q2" s="252" t="s">
        <v>122</v>
      </c>
      <c r="R2" s="253"/>
      <c r="S2" s="252" t="s">
        <v>123</v>
      </c>
      <c r="T2" s="253"/>
      <c r="U2" s="252" t="s">
        <v>124</v>
      </c>
      <c r="V2" s="253"/>
      <c r="W2" s="252" t="s">
        <v>125</v>
      </c>
      <c r="X2" s="258"/>
      <c r="Y2" s="254" t="s">
        <v>126</v>
      </c>
      <c r="Z2" s="254"/>
      <c r="AA2" s="252" t="s">
        <v>127</v>
      </c>
      <c r="AB2" s="253"/>
      <c r="AC2" s="254" t="s">
        <v>128</v>
      </c>
      <c r="AD2" s="254"/>
      <c r="AE2" s="254" t="s">
        <v>129</v>
      </c>
      <c r="AF2" s="254"/>
      <c r="AG2" s="254" t="s">
        <v>129</v>
      </c>
      <c r="AH2" s="254"/>
      <c r="AI2" s="254" t="s">
        <v>129</v>
      </c>
      <c r="AJ2" s="254"/>
      <c r="AK2" s="254" t="s">
        <v>129</v>
      </c>
      <c r="AL2" s="254"/>
      <c r="AM2" s="254" t="s">
        <v>130</v>
      </c>
      <c r="AN2" s="254"/>
      <c r="AO2" s="254" t="s">
        <v>131</v>
      </c>
      <c r="AP2" s="254"/>
      <c r="AQ2" s="254" t="s">
        <v>132</v>
      </c>
      <c r="AR2" s="254"/>
      <c r="AS2" s="254" t="s">
        <v>132</v>
      </c>
      <c r="AT2" s="254"/>
      <c r="AU2" s="254" t="s">
        <v>133</v>
      </c>
      <c r="AV2" s="254"/>
      <c r="AW2" s="254" t="s">
        <v>134</v>
      </c>
      <c r="AX2" s="254"/>
      <c r="AY2" s="254" t="s">
        <v>135</v>
      </c>
      <c r="AZ2" s="254"/>
      <c r="BA2" s="254" t="s">
        <v>135</v>
      </c>
      <c r="BB2" s="254"/>
      <c r="BC2" s="254" t="s">
        <v>136</v>
      </c>
      <c r="BD2" s="254"/>
      <c r="BE2" s="254" t="s">
        <v>136</v>
      </c>
      <c r="BF2" s="254"/>
      <c r="BH2" s="31"/>
      <c r="BI2" s="31"/>
    </row>
    <row r="3" spans="1:61" s="10" customFormat="1" ht="87.75" customHeight="1">
      <c r="A3" s="102"/>
      <c r="B3" s="102"/>
      <c r="C3" s="262" t="s">
        <v>137</v>
      </c>
      <c r="D3" s="263"/>
      <c r="E3" s="102" t="s">
        <v>64</v>
      </c>
      <c r="F3" s="103" t="s">
        <v>66</v>
      </c>
      <c r="G3" s="261" t="s">
        <v>138</v>
      </c>
      <c r="H3" s="260"/>
      <c r="I3" s="261" t="s">
        <v>138</v>
      </c>
      <c r="J3" s="260"/>
      <c r="K3" s="261" t="s">
        <v>138</v>
      </c>
      <c r="L3" s="260"/>
      <c r="M3" s="264" t="s">
        <v>139</v>
      </c>
      <c r="N3" s="265"/>
      <c r="O3" s="261" t="s">
        <v>138</v>
      </c>
      <c r="P3" s="260"/>
      <c r="Q3" s="261" t="s">
        <v>138</v>
      </c>
      <c r="R3" s="260"/>
      <c r="S3" s="268" t="s">
        <v>138</v>
      </c>
      <c r="T3" s="269"/>
      <c r="U3" s="261" t="s">
        <v>138</v>
      </c>
      <c r="V3" s="260"/>
      <c r="W3" s="261" t="s">
        <v>138</v>
      </c>
      <c r="X3" s="260"/>
      <c r="Y3" s="259" t="s">
        <v>140</v>
      </c>
      <c r="Z3" s="260"/>
      <c r="AA3" s="261" t="s">
        <v>141</v>
      </c>
      <c r="AB3" s="260"/>
      <c r="AC3" s="261" t="s">
        <v>142</v>
      </c>
      <c r="AD3" s="260"/>
      <c r="AE3" s="261" t="s">
        <v>142</v>
      </c>
      <c r="AF3" s="260"/>
      <c r="AG3" s="259" t="s">
        <v>143</v>
      </c>
      <c r="AH3" s="260"/>
      <c r="AI3" s="261" t="s">
        <v>144</v>
      </c>
      <c r="AJ3" s="260"/>
      <c r="AK3" s="259" t="s">
        <v>145</v>
      </c>
      <c r="AL3" s="260"/>
      <c r="AM3" s="261" t="s">
        <v>146</v>
      </c>
      <c r="AN3" s="260"/>
      <c r="AO3" s="261" t="s">
        <v>146</v>
      </c>
      <c r="AP3" s="260"/>
      <c r="AQ3" s="259" t="s">
        <v>147</v>
      </c>
      <c r="AR3" s="260"/>
      <c r="AS3" s="261" t="s">
        <v>148</v>
      </c>
      <c r="AT3" s="260"/>
      <c r="AU3" s="259" t="s">
        <v>149</v>
      </c>
      <c r="AV3" s="260"/>
      <c r="AW3" s="259" t="s">
        <v>149</v>
      </c>
      <c r="AX3" s="260"/>
      <c r="AY3" s="261" t="s">
        <v>144</v>
      </c>
      <c r="AZ3" s="260"/>
      <c r="BA3" s="259" t="s">
        <v>145</v>
      </c>
      <c r="BB3" s="260"/>
      <c r="BC3" s="261" t="s">
        <v>144</v>
      </c>
      <c r="BD3" s="260"/>
      <c r="BE3" s="259" t="s">
        <v>145</v>
      </c>
      <c r="BF3" s="260"/>
      <c r="BH3" s="31"/>
      <c r="BI3" s="31"/>
    </row>
    <row r="4" spans="1:61" s="23" customFormat="1" ht="50.1" customHeight="1">
      <c r="A4" s="102"/>
      <c r="B4" s="47"/>
      <c r="C4" s="255" t="s">
        <v>150</v>
      </c>
      <c r="D4" s="257"/>
      <c r="E4" s="266" t="s">
        <v>151</v>
      </c>
      <c r="F4" s="267"/>
      <c r="G4" s="255" t="s">
        <v>152</v>
      </c>
      <c r="H4" s="257"/>
      <c r="I4" s="255" t="s">
        <v>153</v>
      </c>
      <c r="J4" s="257"/>
      <c r="K4" s="255" t="s">
        <v>154</v>
      </c>
      <c r="L4" s="257"/>
      <c r="M4" s="255">
        <v>7092801222</v>
      </c>
      <c r="N4" s="257"/>
      <c r="O4" s="255" t="s">
        <v>155</v>
      </c>
      <c r="P4" s="256"/>
      <c r="Q4" s="255" t="s">
        <v>156</v>
      </c>
      <c r="R4" s="256"/>
      <c r="S4" s="255" t="s">
        <v>157</v>
      </c>
      <c r="T4" s="256"/>
      <c r="U4" s="255" t="s">
        <v>158</v>
      </c>
      <c r="V4" s="256"/>
      <c r="W4" s="255" t="s">
        <v>159</v>
      </c>
      <c r="X4" s="257"/>
      <c r="Y4" s="255" t="s">
        <v>160</v>
      </c>
      <c r="Z4" s="257"/>
      <c r="AA4" s="255" t="s">
        <v>161</v>
      </c>
      <c r="AB4" s="256"/>
      <c r="AC4" s="255" t="s">
        <v>162</v>
      </c>
      <c r="AD4" s="257"/>
      <c r="AE4" s="255" t="s">
        <v>163</v>
      </c>
      <c r="AF4" s="257"/>
      <c r="AG4" s="255" t="s">
        <v>164</v>
      </c>
      <c r="AH4" s="257"/>
      <c r="AI4" s="255">
        <v>7105826734</v>
      </c>
      <c r="AJ4" s="257"/>
      <c r="AK4" s="255">
        <v>7105825932</v>
      </c>
      <c r="AL4" s="257"/>
      <c r="AM4" s="255" t="s">
        <v>165</v>
      </c>
      <c r="AN4" s="257"/>
      <c r="AO4" s="255" t="s">
        <v>166</v>
      </c>
      <c r="AP4" s="257"/>
      <c r="AQ4" s="255" t="s">
        <v>167</v>
      </c>
      <c r="AR4" s="257"/>
      <c r="AS4" s="255" t="s">
        <v>168</v>
      </c>
      <c r="AT4" s="257"/>
      <c r="AU4" s="255" t="s">
        <v>169</v>
      </c>
      <c r="AV4" s="257"/>
      <c r="AW4" s="255" t="s">
        <v>170</v>
      </c>
      <c r="AX4" s="257"/>
      <c r="AY4" s="255">
        <v>7111912486</v>
      </c>
      <c r="AZ4" s="257"/>
      <c r="BA4" s="255">
        <v>7111911842</v>
      </c>
      <c r="BB4" s="257"/>
      <c r="BC4" s="255">
        <v>7111913281</v>
      </c>
      <c r="BD4" s="257"/>
      <c r="BE4" s="255">
        <v>7111912723</v>
      </c>
      <c r="BF4" s="257"/>
      <c r="BH4" s="248" t="s">
        <v>80</v>
      </c>
      <c r="BI4" s="248"/>
    </row>
    <row r="5" spans="1:61" s="23" customFormat="1" ht="50.1" customHeight="1">
      <c r="A5" s="47" t="s">
        <v>171</v>
      </c>
      <c r="B5" s="47"/>
      <c r="C5" s="255" t="s">
        <v>172</v>
      </c>
      <c r="D5" s="257"/>
      <c r="E5" s="75">
        <v>0.6</v>
      </c>
      <c r="F5" s="29">
        <v>0.4</v>
      </c>
      <c r="G5" s="255" t="s">
        <v>173</v>
      </c>
      <c r="H5" s="257"/>
      <c r="I5" s="255" t="s">
        <v>174</v>
      </c>
      <c r="J5" s="257"/>
      <c r="K5" s="255" t="s">
        <v>175</v>
      </c>
      <c r="L5" s="257"/>
      <c r="M5" s="255" t="s">
        <v>176</v>
      </c>
      <c r="N5" s="257"/>
      <c r="O5" s="255" t="s">
        <v>177</v>
      </c>
      <c r="P5" s="256"/>
      <c r="Q5" s="255" t="s">
        <v>178</v>
      </c>
      <c r="R5" s="256"/>
      <c r="S5" s="255" t="s">
        <v>179</v>
      </c>
      <c r="T5" s="256"/>
      <c r="U5" s="255" t="s">
        <v>180</v>
      </c>
      <c r="V5" s="256"/>
      <c r="W5" s="255" t="s">
        <v>181</v>
      </c>
      <c r="X5" s="257"/>
      <c r="Y5" s="255" t="s">
        <v>182</v>
      </c>
      <c r="Z5" s="257"/>
      <c r="AA5" s="255" t="s">
        <v>183</v>
      </c>
      <c r="AB5" s="256"/>
      <c r="AC5" s="255" t="s">
        <v>184</v>
      </c>
      <c r="AD5" s="257"/>
      <c r="AE5" s="255" t="s">
        <v>185</v>
      </c>
      <c r="AF5" s="257"/>
      <c r="AG5" s="255" t="s">
        <v>186</v>
      </c>
      <c r="AH5" s="257"/>
      <c r="AI5" s="255" t="s">
        <v>187</v>
      </c>
      <c r="AJ5" s="257"/>
      <c r="AK5" s="255" t="s">
        <v>188</v>
      </c>
      <c r="AL5" s="257"/>
      <c r="AM5" s="255" t="s">
        <v>189</v>
      </c>
      <c r="AN5" s="257"/>
      <c r="AO5" s="255" t="s">
        <v>190</v>
      </c>
      <c r="AP5" s="257"/>
      <c r="AQ5" s="255" t="s">
        <v>191</v>
      </c>
      <c r="AR5" s="257"/>
      <c r="AS5" s="255" t="s">
        <v>192</v>
      </c>
      <c r="AT5" s="257"/>
      <c r="AU5" s="255" t="s">
        <v>193</v>
      </c>
      <c r="AV5" s="257"/>
      <c r="AW5" s="255" t="s">
        <v>194</v>
      </c>
      <c r="AX5" s="257"/>
      <c r="AY5" s="255">
        <v>744483</v>
      </c>
      <c r="AZ5" s="257"/>
      <c r="BA5" s="255">
        <v>119314</v>
      </c>
      <c r="BB5" s="257"/>
      <c r="BC5" s="255">
        <v>1053229</v>
      </c>
      <c r="BD5" s="257"/>
      <c r="BE5" s="255">
        <v>1053215</v>
      </c>
      <c r="BF5" s="257"/>
      <c r="BH5" s="248"/>
      <c r="BI5" s="248"/>
    </row>
    <row r="6" spans="1:61" s="8" customFormat="1" ht="30" customHeight="1">
      <c r="A6" s="102" t="s">
        <v>95</v>
      </c>
      <c r="B6" s="48"/>
      <c r="C6" s="238"/>
      <c r="D6" s="239"/>
      <c r="E6" s="76"/>
      <c r="F6" s="106"/>
      <c r="G6" s="102"/>
      <c r="H6" s="48"/>
      <c r="I6" s="238"/>
      <c r="J6" s="239"/>
      <c r="K6" s="238"/>
      <c r="L6" s="239"/>
      <c r="M6" s="238"/>
      <c r="N6" s="239"/>
      <c r="O6" s="238"/>
      <c r="P6" s="240"/>
      <c r="Q6" s="238"/>
      <c r="R6" s="240"/>
      <c r="S6" s="238"/>
      <c r="T6" s="240"/>
      <c r="U6" s="238"/>
      <c r="V6" s="240"/>
      <c r="W6" s="238"/>
      <c r="X6" s="239"/>
      <c r="Y6" s="238"/>
      <c r="Z6" s="239"/>
      <c r="AA6" s="238"/>
      <c r="AB6" s="240"/>
      <c r="AC6" s="238"/>
      <c r="AD6" s="239"/>
      <c r="AE6" s="238"/>
      <c r="AF6" s="239"/>
      <c r="AG6" s="238"/>
      <c r="AH6" s="239"/>
      <c r="AI6" s="238"/>
      <c r="AJ6" s="239"/>
      <c r="AK6" s="238"/>
      <c r="AL6" s="239"/>
      <c r="AM6" s="238"/>
      <c r="AN6" s="239"/>
      <c r="AO6" s="238"/>
      <c r="AP6" s="239"/>
      <c r="AQ6" s="238"/>
      <c r="AR6" s="239"/>
      <c r="AS6" s="238"/>
      <c r="AT6" s="239"/>
      <c r="AU6" s="238"/>
      <c r="AV6" s="239"/>
      <c r="AW6" s="238"/>
      <c r="AX6" s="239"/>
      <c r="AY6" s="238"/>
      <c r="AZ6" s="239"/>
      <c r="BA6" s="238"/>
      <c r="BB6" s="239"/>
      <c r="BC6" s="238"/>
      <c r="BD6" s="239"/>
      <c r="BE6" s="238"/>
      <c r="BF6" s="239"/>
      <c r="BH6" s="31"/>
      <c r="BI6" s="31"/>
    </row>
    <row r="7" spans="1:61" s="10" customFormat="1" ht="50.1" customHeight="1">
      <c r="A7" s="102" t="s">
        <v>98</v>
      </c>
      <c r="B7" s="102"/>
      <c r="C7" s="102" t="s">
        <v>114</v>
      </c>
      <c r="D7" s="102" t="s">
        <v>195</v>
      </c>
      <c r="E7" s="102" t="s">
        <v>195</v>
      </c>
      <c r="F7" s="102" t="s">
        <v>195</v>
      </c>
      <c r="G7" s="102" t="s">
        <v>114</v>
      </c>
      <c r="H7" s="102" t="s">
        <v>195</v>
      </c>
      <c r="I7" s="102" t="s">
        <v>114</v>
      </c>
      <c r="J7" s="102" t="s">
        <v>195</v>
      </c>
      <c r="K7" s="102" t="s">
        <v>114</v>
      </c>
      <c r="L7" s="102" t="s">
        <v>195</v>
      </c>
      <c r="M7" s="102" t="s">
        <v>114</v>
      </c>
      <c r="N7" s="102" t="s">
        <v>195</v>
      </c>
      <c r="O7" s="102" t="s">
        <v>114</v>
      </c>
      <c r="P7" s="102" t="s">
        <v>195</v>
      </c>
      <c r="Q7" s="102" t="s">
        <v>114</v>
      </c>
      <c r="R7" s="102" t="s">
        <v>195</v>
      </c>
      <c r="S7" s="102" t="s">
        <v>114</v>
      </c>
      <c r="T7" s="102" t="s">
        <v>195</v>
      </c>
      <c r="U7" s="102" t="s">
        <v>114</v>
      </c>
      <c r="V7" s="102" t="s">
        <v>195</v>
      </c>
      <c r="W7" s="102" t="s">
        <v>114</v>
      </c>
      <c r="X7" s="102" t="s">
        <v>195</v>
      </c>
      <c r="Y7" s="102" t="s">
        <v>114</v>
      </c>
      <c r="Z7" s="102" t="s">
        <v>195</v>
      </c>
      <c r="AA7" s="102" t="s">
        <v>114</v>
      </c>
      <c r="AB7" s="102" t="s">
        <v>195</v>
      </c>
      <c r="AC7" s="102" t="s">
        <v>114</v>
      </c>
      <c r="AD7" s="102" t="s">
        <v>195</v>
      </c>
      <c r="AE7" s="13" t="s">
        <v>114</v>
      </c>
      <c r="AF7" s="102" t="s">
        <v>195</v>
      </c>
      <c r="AG7" s="13" t="s">
        <v>114</v>
      </c>
      <c r="AH7" s="102" t="s">
        <v>195</v>
      </c>
      <c r="AI7" s="13" t="s">
        <v>114</v>
      </c>
      <c r="AJ7" s="102" t="s">
        <v>195</v>
      </c>
      <c r="AK7" s="13" t="s">
        <v>114</v>
      </c>
      <c r="AL7" s="102" t="s">
        <v>195</v>
      </c>
      <c r="AM7" s="13" t="s">
        <v>114</v>
      </c>
      <c r="AN7" s="102" t="s">
        <v>195</v>
      </c>
      <c r="AO7" s="13" t="s">
        <v>114</v>
      </c>
      <c r="AP7" s="102" t="s">
        <v>195</v>
      </c>
      <c r="AQ7" s="13" t="s">
        <v>114</v>
      </c>
      <c r="AR7" s="102" t="s">
        <v>195</v>
      </c>
      <c r="AS7" s="13" t="s">
        <v>114</v>
      </c>
      <c r="AT7" s="102" t="s">
        <v>195</v>
      </c>
      <c r="AU7" s="13" t="s">
        <v>114</v>
      </c>
      <c r="AV7" s="102" t="s">
        <v>195</v>
      </c>
      <c r="AW7" s="13" t="s">
        <v>114</v>
      </c>
      <c r="AX7" s="102" t="s">
        <v>195</v>
      </c>
      <c r="AY7" s="13" t="s">
        <v>114</v>
      </c>
      <c r="AZ7" s="102" t="s">
        <v>195</v>
      </c>
      <c r="BA7" s="13" t="s">
        <v>114</v>
      </c>
      <c r="BB7" s="102" t="s">
        <v>195</v>
      </c>
      <c r="BC7" s="13" t="s">
        <v>114</v>
      </c>
      <c r="BD7" s="102" t="s">
        <v>195</v>
      </c>
      <c r="BE7" s="13" t="s">
        <v>114</v>
      </c>
      <c r="BF7" s="102" t="s">
        <v>195</v>
      </c>
      <c r="BH7" s="102" t="s">
        <v>64</v>
      </c>
      <c r="BI7" s="102" t="s">
        <v>66</v>
      </c>
    </row>
    <row r="8" spans="1:61" s="34" customFormat="1" ht="39.950000000000003" customHeight="1">
      <c r="A8" s="139">
        <v>44074</v>
      </c>
      <c r="B8" s="33"/>
      <c r="C8" s="72">
        <v>5444507</v>
      </c>
      <c r="D8" s="99">
        <v>95232</v>
      </c>
      <c r="E8" s="36"/>
      <c r="F8" s="99"/>
      <c r="G8" s="73">
        <v>273928</v>
      </c>
      <c r="H8" s="99"/>
      <c r="I8" s="73">
        <v>80013</v>
      </c>
      <c r="J8" s="99"/>
      <c r="K8" s="73">
        <v>254288</v>
      </c>
      <c r="L8" s="99"/>
      <c r="M8" s="73">
        <v>24364</v>
      </c>
      <c r="N8" s="99"/>
      <c r="O8" s="72">
        <v>215057</v>
      </c>
      <c r="P8" s="99"/>
      <c r="Q8" s="72">
        <v>431876</v>
      </c>
      <c r="R8" s="99"/>
      <c r="S8" s="72">
        <v>690852</v>
      </c>
      <c r="T8" s="99"/>
      <c r="U8" s="79">
        <v>94200.292000000001</v>
      </c>
      <c r="V8" s="99"/>
      <c r="W8" s="72">
        <v>77258</v>
      </c>
      <c r="X8" s="99"/>
      <c r="Y8" s="72">
        <v>1474042</v>
      </c>
      <c r="Z8" s="99"/>
      <c r="AA8" s="72">
        <v>13166</v>
      </c>
      <c r="AB8" s="99"/>
      <c r="AC8" s="72">
        <v>428729</v>
      </c>
      <c r="AD8" s="99"/>
      <c r="AE8" s="72">
        <v>505916</v>
      </c>
      <c r="AF8" s="99"/>
      <c r="AG8" s="72">
        <v>48638</v>
      </c>
      <c r="AH8" s="99"/>
      <c r="AI8" s="72">
        <v>388614</v>
      </c>
      <c r="AJ8" s="99"/>
      <c r="AK8" s="73">
        <v>102371</v>
      </c>
      <c r="AL8" s="99"/>
      <c r="AM8" s="72">
        <v>551872</v>
      </c>
      <c r="AN8" s="99"/>
      <c r="AO8" s="72">
        <v>885845</v>
      </c>
      <c r="AP8" s="99"/>
      <c r="AQ8" s="72">
        <v>65500</v>
      </c>
      <c r="AR8" s="99"/>
      <c r="AS8" s="73">
        <v>2204</v>
      </c>
      <c r="AT8" s="99"/>
      <c r="AU8" s="73">
        <v>918</v>
      </c>
      <c r="AV8" s="99"/>
      <c r="AW8" s="73">
        <v>3108</v>
      </c>
      <c r="AX8" s="99"/>
      <c r="AY8" s="72">
        <v>296783</v>
      </c>
      <c r="AZ8" s="99"/>
      <c r="BA8" s="73">
        <v>160167</v>
      </c>
      <c r="BB8" s="99"/>
      <c r="BC8" s="72">
        <v>203254</v>
      </c>
      <c r="BD8" s="99"/>
      <c r="BE8" s="73">
        <v>5347</v>
      </c>
      <c r="BF8" s="99"/>
      <c r="BH8" s="100"/>
      <c r="BI8" s="100"/>
    </row>
    <row r="9" spans="1:61" s="27" customFormat="1" ht="39.950000000000003" customHeight="1">
      <c r="A9" s="139">
        <v>44075</v>
      </c>
      <c r="B9" s="26"/>
      <c r="C9" s="73">
        <v>5446345</v>
      </c>
      <c r="D9" s="36">
        <f>(+C9-+C8)*48</f>
        <v>88224</v>
      </c>
      <c r="E9" s="36">
        <f>D9*0.6</f>
        <v>52934.400000000001</v>
      </c>
      <c r="F9" s="36">
        <f>D9*0.4</f>
        <v>35289.599999999999</v>
      </c>
      <c r="G9" s="73">
        <v>273956</v>
      </c>
      <c r="H9" s="36">
        <f>(+G9-+G8)*48</f>
        <v>1344</v>
      </c>
      <c r="I9" s="73">
        <v>80170</v>
      </c>
      <c r="J9" s="36">
        <f>(+I9-+I8)*48</f>
        <v>7536</v>
      </c>
      <c r="K9" s="73">
        <v>254292</v>
      </c>
      <c r="L9" s="36">
        <f>(+K9-+K8)*48</f>
        <v>192</v>
      </c>
      <c r="M9" s="73">
        <v>24364</v>
      </c>
      <c r="N9" s="36">
        <f>(+M9-+M8)*48</f>
        <v>0</v>
      </c>
      <c r="O9" s="73">
        <v>215233</v>
      </c>
      <c r="P9" s="36">
        <f>(+O9-+O8)*48</f>
        <v>8448</v>
      </c>
      <c r="Q9" s="73">
        <v>431964</v>
      </c>
      <c r="R9" s="36">
        <f>(+Q9-+Q8)*48</f>
        <v>4224</v>
      </c>
      <c r="S9" s="73">
        <v>690976</v>
      </c>
      <c r="T9" s="36">
        <f>(+S9-+S8)*48</f>
        <v>5952</v>
      </c>
      <c r="U9" s="78">
        <v>94215.611999999994</v>
      </c>
      <c r="V9" s="99">
        <f>(+U9-+U8)*48</f>
        <v>735.35999999963678</v>
      </c>
      <c r="W9" s="73">
        <v>77261</v>
      </c>
      <c r="X9" s="36">
        <f>(+W9-+W8)*48</f>
        <v>144</v>
      </c>
      <c r="Y9" s="73">
        <v>1474042</v>
      </c>
      <c r="Z9" s="36">
        <f>(+Y9-+Y8)*48</f>
        <v>0</v>
      </c>
      <c r="AA9" s="73">
        <v>13166</v>
      </c>
      <c r="AB9" s="36">
        <f>(+AA9-+AA8)*48</f>
        <v>0</v>
      </c>
      <c r="AC9" s="73">
        <v>428810</v>
      </c>
      <c r="AD9" s="36">
        <f>(+AC9-+AC8)*48</f>
        <v>3888</v>
      </c>
      <c r="AE9" s="73">
        <v>506005</v>
      </c>
      <c r="AF9" s="36">
        <f>(+AE9-+AE8)*48</f>
        <v>4272</v>
      </c>
      <c r="AG9" s="73">
        <v>48642</v>
      </c>
      <c r="AH9" s="36">
        <f>(+AG9-+AG8)*48</f>
        <v>192</v>
      </c>
      <c r="AI9" s="73">
        <v>388687</v>
      </c>
      <c r="AJ9" s="36">
        <f>(+AI9-+AI8)*48</f>
        <v>3504</v>
      </c>
      <c r="AK9" s="73">
        <v>102371</v>
      </c>
      <c r="AL9" s="36">
        <f>(+AK9-+AK8)*48</f>
        <v>0</v>
      </c>
      <c r="AM9" s="73">
        <v>551964</v>
      </c>
      <c r="AN9" s="36">
        <f>(+AM9-+AM8)*48</f>
        <v>4416</v>
      </c>
      <c r="AO9" s="73">
        <v>886013</v>
      </c>
      <c r="AP9" s="36">
        <f>(+AO9-+AO8)*48</f>
        <v>8064</v>
      </c>
      <c r="AQ9" s="73">
        <v>65500</v>
      </c>
      <c r="AR9" s="36">
        <f>(+AQ9-+AQ8)*48</f>
        <v>0</v>
      </c>
      <c r="AS9" s="73">
        <v>2204</v>
      </c>
      <c r="AT9" s="36">
        <f>(+AS9-+AS8)*48</f>
        <v>0</v>
      </c>
      <c r="AU9" s="73">
        <v>918</v>
      </c>
      <c r="AV9" s="36">
        <f>(+AU9-+AU8)*48</f>
        <v>0</v>
      </c>
      <c r="AW9" s="73">
        <v>3108</v>
      </c>
      <c r="AX9" s="36">
        <f>(+AW9-+AW8)*48</f>
        <v>0</v>
      </c>
      <c r="AY9" s="73">
        <v>296845</v>
      </c>
      <c r="AZ9" s="36">
        <f>(+AY9-+AY8)*48</f>
        <v>2976</v>
      </c>
      <c r="BA9" s="73">
        <v>160167</v>
      </c>
      <c r="BB9" s="36">
        <f>(+BA9-+BA8)*48</f>
        <v>0</v>
      </c>
      <c r="BC9" s="73">
        <v>203302</v>
      </c>
      <c r="BD9" s="36">
        <f>(+BC9-+BC8)*48</f>
        <v>2304</v>
      </c>
      <c r="BE9" s="73">
        <v>5347</v>
      </c>
      <c r="BF9" s="36">
        <f>(+BE9-+BE8)*48</f>
        <v>0</v>
      </c>
      <c r="BH9" s="100">
        <f t="shared" ref="BH9:BH36" si="0">SUM(E9,J9,P9,H9,L9,R9,T9,V9,X9,N9,AB9,Z9,AD9,AF9,AH9,AL9,AJ9)</f>
        <v>93365.759999999631</v>
      </c>
      <c r="BI9" s="100">
        <f t="shared" ref="BI9:BI36" si="1">SUM(F9,AN9,AP9,AT9,AV9,AX9,AR9,AZ9,BB9,BD9,BF9)</f>
        <v>53049.599999999999</v>
      </c>
    </row>
    <row r="10" spans="1:61" s="34" customFormat="1" ht="39.950000000000003" customHeight="1">
      <c r="A10" s="139">
        <v>44076</v>
      </c>
      <c r="B10" s="33"/>
      <c r="C10" s="79">
        <v>5448212</v>
      </c>
      <c r="D10" s="36">
        <f t="shared" ref="D10" si="2">(+C10-+C9)*48</f>
        <v>89616</v>
      </c>
      <c r="E10" s="36">
        <f t="shared" ref="E10:E38" si="3">D10*0.6</f>
        <v>53769.599999999999</v>
      </c>
      <c r="F10" s="99">
        <f t="shared" ref="F10:F36" si="4">D10*0.4</f>
        <v>35846.400000000001</v>
      </c>
      <c r="G10" s="79">
        <v>273983</v>
      </c>
      <c r="H10" s="36">
        <f t="shared" ref="H10:H38" si="5">(+G10-+G9)*48</f>
        <v>1296</v>
      </c>
      <c r="I10" s="79">
        <v>80341</v>
      </c>
      <c r="J10" s="36">
        <f t="shared" ref="J10" si="6">(+I10-+I9)*48</f>
        <v>8208</v>
      </c>
      <c r="K10" s="79">
        <v>254293</v>
      </c>
      <c r="L10" s="36">
        <f t="shared" ref="L10:N10" si="7">(+K10-+K9)*48</f>
        <v>48</v>
      </c>
      <c r="M10" s="79">
        <v>24364</v>
      </c>
      <c r="N10" s="36">
        <f t="shared" si="7"/>
        <v>0</v>
      </c>
      <c r="O10" s="79">
        <v>215400</v>
      </c>
      <c r="P10" s="36">
        <f t="shared" ref="P10" si="8">(+O10-+O9)*48</f>
        <v>8016</v>
      </c>
      <c r="Q10" s="79">
        <v>431999</v>
      </c>
      <c r="R10" s="36">
        <f t="shared" ref="R10" si="9">(+Q10-+Q9)*48</f>
        <v>1680</v>
      </c>
      <c r="S10" s="79">
        <v>691107</v>
      </c>
      <c r="T10" s="36">
        <f t="shared" ref="T10" si="10">(+S10-+S9)*48</f>
        <v>6288</v>
      </c>
      <c r="U10" s="79">
        <v>94232.262000000002</v>
      </c>
      <c r="V10" s="99">
        <f t="shared" ref="V10" si="11">(+U10-+U9)*48</f>
        <v>799.2000000004191</v>
      </c>
      <c r="W10" s="79">
        <v>77268</v>
      </c>
      <c r="X10" s="36">
        <f t="shared" ref="X10" si="12">(+W10-+W9)*48</f>
        <v>336</v>
      </c>
      <c r="Y10" s="79">
        <v>1474042</v>
      </c>
      <c r="Z10" s="36">
        <f t="shared" ref="Z10" si="13">(+Y10-+Y9)*48</f>
        <v>0</v>
      </c>
      <c r="AA10" s="79">
        <v>13166</v>
      </c>
      <c r="AB10" s="36">
        <f t="shared" ref="AB10" si="14">(+AA10-+AA9)*48</f>
        <v>0</v>
      </c>
      <c r="AC10" s="79">
        <v>428897</v>
      </c>
      <c r="AD10" s="36">
        <f t="shared" ref="AD10:AF37" si="15">(+AC10-+AC9)*48</f>
        <v>4176</v>
      </c>
      <c r="AE10" s="79">
        <v>506100</v>
      </c>
      <c r="AF10" s="36">
        <f t="shared" si="15"/>
        <v>4560</v>
      </c>
      <c r="AG10" s="79">
        <v>48645</v>
      </c>
      <c r="AH10" s="36">
        <f t="shared" ref="AH10" si="16">(+AG10-+AG9)*48</f>
        <v>144</v>
      </c>
      <c r="AI10" s="79">
        <v>388750</v>
      </c>
      <c r="AJ10" s="36">
        <f t="shared" ref="AJ10" si="17">(+AI10-+AI9)*48</f>
        <v>3024</v>
      </c>
      <c r="AK10" s="79">
        <v>102371</v>
      </c>
      <c r="AL10" s="36">
        <f t="shared" ref="AL10" si="18">(+AK10-+AK9)*48</f>
        <v>0</v>
      </c>
      <c r="AM10" s="79">
        <v>552060</v>
      </c>
      <c r="AN10" s="36">
        <f t="shared" ref="AN10" si="19">(+AM10-+AM9)*48</f>
        <v>4608</v>
      </c>
      <c r="AO10" s="79">
        <v>886191</v>
      </c>
      <c r="AP10" s="36">
        <f t="shared" ref="AP10" si="20">(+AO10-+AO9)*48</f>
        <v>8544</v>
      </c>
      <c r="AQ10" s="79">
        <v>65500</v>
      </c>
      <c r="AR10" s="36">
        <f t="shared" ref="AR10" si="21">(+AQ10-+AQ9)*48</f>
        <v>0</v>
      </c>
      <c r="AS10" s="79">
        <v>2204</v>
      </c>
      <c r="AT10" s="36">
        <f t="shared" ref="AT10" si="22">(+AS10-+AS9)*48</f>
        <v>0</v>
      </c>
      <c r="AU10" s="79">
        <v>918</v>
      </c>
      <c r="AV10" s="36">
        <f t="shared" ref="AV10" si="23">(+AU10-+AU9)*48</f>
        <v>0</v>
      </c>
      <c r="AW10" s="79">
        <v>3108</v>
      </c>
      <c r="AX10" s="36">
        <f t="shared" ref="AX10" si="24">(+AW10-+AW9)*48</f>
        <v>0</v>
      </c>
      <c r="AY10" s="79">
        <v>296909</v>
      </c>
      <c r="AZ10" s="36">
        <f t="shared" ref="AZ10" si="25">(+AY10-+AY9)*48</f>
        <v>3072</v>
      </c>
      <c r="BA10" s="79">
        <v>160167</v>
      </c>
      <c r="BB10" s="36">
        <f t="shared" ref="BB10" si="26">(+BA10-+BA9)*48</f>
        <v>0</v>
      </c>
      <c r="BC10" s="79">
        <v>203349</v>
      </c>
      <c r="BD10" s="36">
        <f t="shared" ref="BD10" si="27">(+BC10-+BC9)*48</f>
        <v>2256</v>
      </c>
      <c r="BE10" s="73">
        <v>5347</v>
      </c>
      <c r="BF10" s="36">
        <f t="shared" ref="BF10" si="28">(+BE10-+BE9)*48</f>
        <v>0</v>
      </c>
      <c r="BH10" s="100">
        <f t="shared" si="0"/>
        <v>92344.800000000425</v>
      </c>
      <c r="BI10" s="100">
        <f t="shared" si="1"/>
        <v>54326.400000000001</v>
      </c>
    </row>
    <row r="11" spans="1:61" s="34" customFormat="1" ht="39.950000000000003" customHeight="1">
      <c r="A11" s="139">
        <v>44077</v>
      </c>
      <c r="B11" s="33"/>
      <c r="C11" s="79">
        <v>5450153</v>
      </c>
      <c r="D11" s="36">
        <f t="shared" ref="D11" si="29">(+C11-+C10)*48</f>
        <v>93168</v>
      </c>
      <c r="E11" s="36">
        <f t="shared" si="3"/>
        <v>55900.799999999996</v>
      </c>
      <c r="F11" s="99">
        <f t="shared" si="4"/>
        <v>37267.200000000004</v>
      </c>
      <c r="G11" s="79">
        <v>274013</v>
      </c>
      <c r="H11" s="36">
        <f t="shared" si="5"/>
        <v>1440</v>
      </c>
      <c r="I11" s="79">
        <v>80517</v>
      </c>
      <c r="J11" s="36">
        <f t="shared" ref="J11" si="30">(+I11-+I10)*48</f>
        <v>8448</v>
      </c>
      <c r="K11" s="79">
        <v>254293</v>
      </c>
      <c r="L11" s="36">
        <f t="shared" ref="L11:N11" si="31">(+K11-+K10)*48</f>
        <v>0</v>
      </c>
      <c r="M11" s="79">
        <v>24364</v>
      </c>
      <c r="N11" s="36">
        <f t="shared" si="31"/>
        <v>0</v>
      </c>
      <c r="O11" s="79">
        <v>215577</v>
      </c>
      <c r="P11" s="36">
        <f t="shared" ref="P11" si="32">(+O11-+O10)*48</f>
        <v>8496</v>
      </c>
      <c r="Q11" s="79">
        <v>432020</v>
      </c>
      <c r="R11" s="36">
        <f t="shared" ref="R11" si="33">(+Q11-+Q10)*48</f>
        <v>1008</v>
      </c>
      <c r="S11" s="79">
        <v>691204</v>
      </c>
      <c r="T11" s="36">
        <f t="shared" ref="T11" si="34">(+S11-+S10)*48</f>
        <v>4656</v>
      </c>
      <c r="U11" s="79">
        <v>94246.313999999998</v>
      </c>
      <c r="V11" s="99">
        <f t="shared" ref="V11" si="35">(+U11-+U10)*48</f>
        <v>674.49599999981001</v>
      </c>
      <c r="W11" s="79">
        <v>77272</v>
      </c>
      <c r="X11" s="36">
        <f t="shared" ref="X11" si="36">(+W11-+W10)*48</f>
        <v>192</v>
      </c>
      <c r="Y11" s="79">
        <v>1474042</v>
      </c>
      <c r="Z11" s="36">
        <f t="shared" ref="Z11" si="37">(+Y11-+Y10)*48</f>
        <v>0</v>
      </c>
      <c r="AA11" s="79">
        <v>13166</v>
      </c>
      <c r="AB11" s="36">
        <f t="shared" ref="AB11" si="38">(+AA11-+AA10)*48</f>
        <v>0</v>
      </c>
      <c r="AC11" s="79">
        <v>428983</v>
      </c>
      <c r="AD11" s="36">
        <f t="shared" si="15"/>
        <v>4128</v>
      </c>
      <c r="AE11" s="79">
        <v>506196</v>
      </c>
      <c r="AF11" s="36">
        <f t="shared" si="15"/>
        <v>4608</v>
      </c>
      <c r="AG11" s="79">
        <v>48648</v>
      </c>
      <c r="AH11" s="36">
        <f t="shared" ref="AH11" si="39">(+AG11-+AG10)*48</f>
        <v>144</v>
      </c>
      <c r="AI11" s="79">
        <v>388808</v>
      </c>
      <c r="AJ11" s="36">
        <f t="shared" ref="AJ11" si="40">(+AI11-+AI10)*48</f>
        <v>2784</v>
      </c>
      <c r="AK11" s="79">
        <v>102371</v>
      </c>
      <c r="AL11" s="36">
        <f t="shared" ref="AL11" si="41">(+AK11-+AK10)*48</f>
        <v>0</v>
      </c>
      <c r="AM11" s="79">
        <v>552155</v>
      </c>
      <c r="AN11" s="36">
        <f t="shared" ref="AN11" si="42">(+AM11-+AM10)*48</f>
        <v>4560</v>
      </c>
      <c r="AO11" s="79">
        <v>886367</v>
      </c>
      <c r="AP11" s="36">
        <f t="shared" ref="AP11" si="43">(+AO11-+AO10)*48</f>
        <v>8448</v>
      </c>
      <c r="AQ11" s="79">
        <v>65500</v>
      </c>
      <c r="AR11" s="36">
        <f t="shared" ref="AR11" si="44">(+AQ11-+AQ10)*48</f>
        <v>0</v>
      </c>
      <c r="AS11" s="79">
        <v>2204</v>
      </c>
      <c r="AT11" s="36">
        <f t="shared" ref="AT11" si="45">(+AS11-+AS10)*48</f>
        <v>0</v>
      </c>
      <c r="AU11" s="79">
        <v>918</v>
      </c>
      <c r="AV11" s="36">
        <f t="shared" ref="AV11" si="46">(+AU11-+AU10)*48</f>
        <v>0</v>
      </c>
      <c r="AW11" s="79">
        <v>3108</v>
      </c>
      <c r="AX11" s="36">
        <f t="shared" ref="AX11" si="47">(+AW11-+AW10)*48</f>
        <v>0</v>
      </c>
      <c r="AY11" s="79">
        <v>296972</v>
      </c>
      <c r="AZ11" s="36">
        <f t="shared" ref="AZ11" si="48">(+AY11-+AY10)*48</f>
        <v>3024</v>
      </c>
      <c r="BA11" s="79">
        <v>160167</v>
      </c>
      <c r="BB11" s="36">
        <f t="shared" ref="BB11" si="49">(+BA11-+BA10)*48</f>
        <v>0</v>
      </c>
      <c r="BC11" s="79">
        <v>203397</v>
      </c>
      <c r="BD11" s="36">
        <f t="shared" ref="BD11" si="50">(+BC11-+BC10)*48</f>
        <v>2304</v>
      </c>
      <c r="BE11" s="73">
        <v>5347</v>
      </c>
      <c r="BF11" s="36">
        <f t="shared" ref="BF11" si="51">(+BE11-+BE10)*48</f>
        <v>0</v>
      </c>
      <c r="BH11" s="100">
        <f t="shared" si="0"/>
        <v>92479.295999999798</v>
      </c>
      <c r="BI11" s="100">
        <f t="shared" si="1"/>
        <v>55603.200000000004</v>
      </c>
    </row>
    <row r="12" spans="1:61" s="34" customFormat="1" ht="39.950000000000003" customHeight="1">
      <c r="A12" s="139">
        <v>44078</v>
      </c>
      <c r="B12" s="33"/>
      <c r="C12" s="79">
        <v>5451882</v>
      </c>
      <c r="D12" s="36">
        <f t="shared" ref="D12" si="52">(+C12-+C11)*48</f>
        <v>82992</v>
      </c>
      <c r="E12" s="36">
        <f t="shared" si="3"/>
        <v>49795.199999999997</v>
      </c>
      <c r="F12" s="99">
        <f t="shared" si="4"/>
        <v>33196.800000000003</v>
      </c>
      <c r="G12" s="79">
        <v>274047</v>
      </c>
      <c r="H12" s="36">
        <f t="shared" si="5"/>
        <v>1632</v>
      </c>
      <c r="I12" s="79">
        <v>80688</v>
      </c>
      <c r="J12" s="36">
        <f t="shared" ref="J12" si="53">(+I12-+I11)*48</f>
        <v>8208</v>
      </c>
      <c r="K12" s="79">
        <v>254294</v>
      </c>
      <c r="L12" s="36">
        <f t="shared" ref="L12:N12" si="54">(+K12-+K11)*48</f>
        <v>48</v>
      </c>
      <c r="M12" s="79">
        <v>24364</v>
      </c>
      <c r="N12" s="36">
        <f t="shared" si="54"/>
        <v>0</v>
      </c>
      <c r="O12" s="79">
        <v>215737</v>
      </c>
      <c r="P12" s="36">
        <f t="shared" ref="P12" si="55">(+O12-+O11)*48</f>
        <v>7680</v>
      </c>
      <c r="Q12" s="79">
        <v>432020</v>
      </c>
      <c r="R12" s="36">
        <f t="shared" ref="R12" si="56">(+Q12-+Q11)*48</f>
        <v>0</v>
      </c>
      <c r="S12" s="79">
        <v>691326</v>
      </c>
      <c r="T12" s="36">
        <f t="shared" ref="T12" si="57">(+S12-+S11)*48</f>
        <v>5856</v>
      </c>
      <c r="U12" s="79">
        <v>94261.285000000003</v>
      </c>
      <c r="V12" s="99">
        <f t="shared" ref="V12" si="58">(+U12-+U11)*48</f>
        <v>718.60800000024028</v>
      </c>
      <c r="W12" s="79">
        <v>77278</v>
      </c>
      <c r="X12" s="36">
        <f t="shared" ref="X12" si="59">(+W12-+W11)*48</f>
        <v>288</v>
      </c>
      <c r="Y12" s="79">
        <v>1474042</v>
      </c>
      <c r="Z12" s="36">
        <f t="shared" ref="Z12" si="60">(+Y12-+Y11)*48</f>
        <v>0</v>
      </c>
      <c r="AA12" s="79">
        <v>13166</v>
      </c>
      <c r="AB12" s="36">
        <f t="shared" ref="AB12" si="61">(+AA12-+AA11)*48</f>
        <v>0</v>
      </c>
      <c r="AC12" s="79">
        <v>429069</v>
      </c>
      <c r="AD12" s="36">
        <f t="shared" si="15"/>
        <v>4128</v>
      </c>
      <c r="AE12" s="79">
        <v>506291</v>
      </c>
      <c r="AF12" s="36">
        <f t="shared" si="15"/>
        <v>4560</v>
      </c>
      <c r="AG12" s="79">
        <v>48651</v>
      </c>
      <c r="AH12" s="36">
        <f t="shared" ref="AH12" si="62">(+AG12-+AG11)*48</f>
        <v>144</v>
      </c>
      <c r="AI12" s="79">
        <v>388863</v>
      </c>
      <c r="AJ12" s="36">
        <f t="shared" ref="AJ12" si="63">(+AI12-+AI11)*48</f>
        <v>2640</v>
      </c>
      <c r="AK12" s="79">
        <v>102371</v>
      </c>
      <c r="AL12" s="36">
        <f t="shared" ref="AL12" si="64">(+AK12-+AK11)*48</f>
        <v>0</v>
      </c>
      <c r="AM12" s="79">
        <v>552253</v>
      </c>
      <c r="AN12" s="36">
        <f t="shared" ref="AN12" si="65">(+AM12-+AM11)*48</f>
        <v>4704</v>
      </c>
      <c r="AO12" s="79">
        <v>886545</v>
      </c>
      <c r="AP12" s="36">
        <f t="shared" ref="AP12" si="66">(+AO12-+AO11)*48</f>
        <v>8544</v>
      </c>
      <c r="AQ12" s="79">
        <v>65500</v>
      </c>
      <c r="AR12" s="36">
        <f t="shared" ref="AR12" si="67">(+AQ12-+AQ11)*48</f>
        <v>0</v>
      </c>
      <c r="AS12" s="79">
        <v>2204</v>
      </c>
      <c r="AT12" s="36">
        <f t="shared" ref="AT12" si="68">(+AS12-+AS11)*48</f>
        <v>0</v>
      </c>
      <c r="AU12" s="79">
        <v>918</v>
      </c>
      <c r="AV12" s="36">
        <f t="shared" ref="AV12" si="69">(+AU12-+AU11)*48</f>
        <v>0</v>
      </c>
      <c r="AW12" s="79">
        <v>3108</v>
      </c>
      <c r="AX12" s="36">
        <f t="shared" ref="AX12" si="70">(+AW12-+AW11)*48</f>
        <v>0</v>
      </c>
      <c r="AY12" s="79">
        <v>297036</v>
      </c>
      <c r="AZ12" s="36">
        <f t="shared" ref="AZ12" si="71">(+AY12-+AY11)*48</f>
        <v>3072</v>
      </c>
      <c r="BA12" s="79">
        <v>160167</v>
      </c>
      <c r="BB12" s="36">
        <f t="shared" ref="BB12" si="72">(+BA12-+BA11)*48</f>
        <v>0</v>
      </c>
      <c r="BC12" s="79">
        <v>203445</v>
      </c>
      <c r="BD12" s="36">
        <f t="shared" ref="BD12" si="73">(+BC12-+BC11)*48</f>
        <v>2304</v>
      </c>
      <c r="BE12" s="73">
        <v>5347</v>
      </c>
      <c r="BF12" s="36">
        <f t="shared" ref="BF12" si="74">(+BE12-+BE11)*48</f>
        <v>0</v>
      </c>
      <c r="BH12" s="100">
        <f t="shared" si="0"/>
        <v>85697.808000000237</v>
      </c>
      <c r="BI12" s="100">
        <f t="shared" si="1"/>
        <v>51820.800000000003</v>
      </c>
    </row>
    <row r="13" spans="1:61" s="34" customFormat="1" ht="39.950000000000003" customHeight="1">
      <c r="A13" s="139">
        <v>44079</v>
      </c>
      <c r="B13" s="33"/>
      <c r="C13" s="79">
        <v>5453865</v>
      </c>
      <c r="D13" s="36">
        <f t="shared" ref="D13" si="75">(+C13-+C12)*48</f>
        <v>95184</v>
      </c>
      <c r="E13" s="36">
        <f t="shared" si="3"/>
        <v>57110.400000000001</v>
      </c>
      <c r="F13" s="99">
        <f t="shared" si="4"/>
        <v>38073.599999999999</v>
      </c>
      <c r="G13" s="79">
        <v>274077</v>
      </c>
      <c r="H13" s="36">
        <f t="shared" si="5"/>
        <v>1440</v>
      </c>
      <c r="I13" s="79">
        <v>80855</v>
      </c>
      <c r="J13" s="36">
        <f t="shared" ref="J13" si="76">(+I13-+I12)*48</f>
        <v>8016</v>
      </c>
      <c r="K13" s="79">
        <v>254294</v>
      </c>
      <c r="L13" s="36">
        <f t="shared" ref="L13:N13" si="77">(+K13-+K12)*48</f>
        <v>0</v>
      </c>
      <c r="M13" s="79">
        <v>24364</v>
      </c>
      <c r="N13" s="36">
        <f t="shared" si="77"/>
        <v>0</v>
      </c>
      <c r="O13" s="79">
        <v>215911</v>
      </c>
      <c r="P13" s="36">
        <f t="shared" ref="P13" si="78">(+O13-+O12)*48</f>
        <v>8352</v>
      </c>
      <c r="Q13" s="79">
        <v>432070</v>
      </c>
      <c r="R13" s="36">
        <f t="shared" ref="R13" si="79">(+Q13-+Q12)*48</f>
        <v>2400</v>
      </c>
      <c r="S13" s="79">
        <v>691450</v>
      </c>
      <c r="T13" s="36">
        <f t="shared" ref="T13" si="80">(+S13-+S12)*48</f>
        <v>5952</v>
      </c>
      <c r="U13" s="79">
        <v>94278.834000000003</v>
      </c>
      <c r="V13" s="99">
        <f t="shared" ref="V13" si="81">(+U13-+U12)*48</f>
        <v>842.3519999999553</v>
      </c>
      <c r="W13" s="79">
        <v>77282</v>
      </c>
      <c r="X13" s="36">
        <f t="shared" ref="X13" si="82">(+W13-+W12)*48</f>
        <v>192</v>
      </c>
      <c r="Y13" s="79">
        <v>1474042</v>
      </c>
      <c r="Z13" s="36">
        <f t="shared" ref="Z13" si="83">(+Y13-+Y12)*48</f>
        <v>0</v>
      </c>
      <c r="AA13" s="79">
        <v>13166</v>
      </c>
      <c r="AB13" s="36">
        <f t="shared" ref="AB13" si="84">(+AA13-+AA12)*48</f>
        <v>0</v>
      </c>
      <c r="AC13" s="79">
        <v>429158</v>
      </c>
      <c r="AD13" s="36">
        <f t="shared" si="15"/>
        <v>4272</v>
      </c>
      <c r="AE13" s="79">
        <v>506387</v>
      </c>
      <c r="AF13" s="36">
        <f t="shared" si="15"/>
        <v>4608</v>
      </c>
      <c r="AG13" s="79">
        <v>48654</v>
      </c>
      <c r="AH13" s="36">
        <f t="shared" ref="AH13" si="85">(+AG13-+AG12)*48</f>
        <v>144</v>
      </c>
      <c r="AI13" s="79">
        <v>388924</v>
      </c>
      <c r="AJ13" s="36">
        <f t="shared" ref="AJ13:AJ14" si="86">(+AI13-+AI12)*48</f>
        <v>2928</v>
      </c>
      <c r="AK13" s="79">
        <v>102371</v>
      </c>
      <c r="AL13" s="36">
        <f t="shared" ref="AL13" si="87">(+AK13-+AK12)*48</f>
        <v>0</v>
      </c>
      <c r="AM13" s="79">
        <v>552356</v>
      </c>
      <c r="AN13" s="36">
        <f t="shared" ref="AN13" si="88">(+AM13-+AM12)*48</f>
        <v>4944</v>
      </c>
      <c r="AO13" s="79">
        <v>886725</v>
      </c>
      <c r="AP13" s="36">
        <f t="shared" ref="AP13" si="89">(+AO13-+AO12)*48</f>
        <v>8640</v>
      </c>
      <c r="AQ13" s="79">
        <v>65500</v>
      </c>
      <c r="AR13" s="36">
        <f t="shared" ref="AR13" si="90">(+AQ13-+AQ12)*48</f>
        <v>0</v>
      </c>
      <c r="AS13" s="79">
        <v>2204</v>
      </c>
      <c r="AT13" s="36">
        <f t="shared" ref="AT13" si="91">(+AS13-+AS12)*48</f>
        <v>0</v>
      </c>
      <c r="AU13" s="79">
        <v>918</v>
      </c>
      <c r="AV13" s="36">
        <f t="shared" ref="AV13" si="92">(+AU13-+AU12)*48</f>
        <v>0</v>
      </c>
      <c r="AW13" s="79">
        <v>3108</v>
      </c>
      <c r="AX13" s="36">
        <f t="shared" ref="AX13" si="93">(+AW13-+AW12)*48</f>
        <v>0</v>
      </c>
      <c r="AY13" s="79">
        <v>297101</v>
      </c>
      <c r="AZ13" s="36">
        <f t="shared" ref="AZ13" si="94">(+AY13-+AY12)*48</f>
        <v>3120</v>
      </c>
      <c r="BA13" s="79">
        <v>160167</v>
      </c>
      <c r="BB13" s="36">
        <f t="shared" ref="BB13" si="95">(+BA13-+BA12)*48</f>
        <v>0</v>
      </c>
      <c r="BC13" s="79">
        <v>203492</v>
      </c>
      <c r="BD13" s="36">
        <f t="shared" ref="BD13" si="96">(+BC13-+BC12)*48</f>
        <v>2256</v>
      </c>
      <c r="BE13" s="73">
        <v>5347</v>
      </c>
      <c r="BF13" s="36">
        <f t="shared" ref="BF13" si="97">(+BE13-+BE12)*48</f>
        <v>0</v>
      </c>
      <c r="BH13" s="100">
        <f t="shared" si="0"/>
        <v>96256.751999999949</v>
      </c>
      <c r="BI13" s="100">
        <f t="shared" si="1"/>
        <v>57033.599999999999</v>
      </c>
    </row>
    <row r="14" spans="1:61" s="34" customFormat="1" ht="39.950000000000003" customHeight="1">
      <c r="A14" s="139">
        <v>44080</v>
      </c>
      <c r="B14" s="33"/>
      <c r="C14" s="79">
        <v>5455727</v>
      </c>
      <c r="D14" s="36">
        <f t="shared" ref="D14" si="98">(+C14-+C13)*48</f>
        <v>89376</v>
      </c>
      <c r="E14" s="36">
        <f t="shared" si="3"/>
        <v>53625.599999999999</v>
      </c>
      <c r="F14" s="99">
        <f t="shared" si="4"/>
        <v>35750.400000000001</v>
      </c>
      <c r="G14" s="79">
        <v>274109</v>
      </c>
      <c r="H14" s="36">
        <f t="shared" si="5"/>
        <v>1536</v>
      </c>
      <c r="I14" s="79">
        <v>81016</v>
      </c>
      <c r="J14" s="36">
        <f t="shared" ref="J14" si="99">(+I14-+I13)*48</f>
        <v>7728</v>
      </c>
      <c r="K14" s="79">
        <v>254296</v>
      </c>
      <c r="L14" s="36">
        <f t="shared" ref="L14:N14" si="100">(+K14-+K13)*48</f>
        <v>96</v>
      </c>
      <c r="M14" s="79">
        <v>24364</v>
      </c>
      <c r="N14" s="36">
        <f t="shared" si="100"/>
        <v>0</v>
      </c>
      <c r="O14" s="79">
        <v>216098</v>
      </c>
      <c r="P14" s="36">
        <f t="shared" ref="P14" si="101">(+O14-+O13)*48</f>
        <v>8976</v>
      </c>
      <c r="Q14" s="79">
        <v>432083</v>
      </c>
      <c r="R14" s="36">
        <f t="shared" ref="R14" si="102">(+Q14-+Q13)*48</f>
        <v>624</v>
      </c>
      <c r="S14" s="79">
        <v>691568</v>
      </c>
      <c r="T14" s="36">
        <f t="shared" ref="T14" si="103">(+S14-+S13)*48</f>
        <v>5664</v>
      </c>
      <c r="U14" s="79">
        <v>94293.895999999993</v>
      </c>
      <c r="V14" s="99">
        <f>(+U14-+U13)*48</f>
        <v>722.97599999955855</v>
      </c>
      <c r="W14" s="79">
        <v>77288</v>
      </c>
      <c r="X14" s="36">
        <f t="shared" ref="X14" si="104">(+W14-+W13)*48</f>
        <v>288</v>
      </c>
      <c r="Y14" s="79">
        <v>1474042</v>
      </c>
      <c r="Z14" s="36">
        <f t="shared" ref="Z14" si="105">(+Y14-+Y13)*48</f>
        <v>0</v>
      </c>
      <c r="AA14" s="79">
        <v>13166</v>
      </c>
      <c r="AB14" s="36">
        <f t="shared" ref="AB14" si="106">(+AA14-+AA13)*48</f>
        <v>0</v>
      </c>
      <c r="AC14" s="79">
        <v>429245</v>
      </c>
      <c r="AD14" s="36">
        <f t="shared" si="15"/>
        <v>4176</v>
      </c>
      <c r="AE14" s="79">
        <v>506480</v>
      </c>
      <c r="AF14" s="36">
        <f t="shared" si="15"/>
        <v>4464</v>
      </c>
      <c r="AG14" s="79">
        <v>48657</v>
      </c>
      <c r="AH14" s="36">
        <f t="shared" ref="AH14" si="107">(+AG14-+AG13)*48</f>
        <v>144</v>
      </c>
      <c r="AI14" s="79">
        <v>388992</v>
      </c>
      <c r="AJ14" s="36">
        <f t="shared" si="86"/>
        <v>3264</v>
      </c>
      <c r="AK14" s="79">
        <v>102371</v>
      </c>
      <c r="AL14" s="36">
        <f t="shared" ref="AL14" si="108">(+AK14-+AK13)*48</f>
        <v>0</v>
      </c>
      <c r="AM14" s="79">
        <v>552461</v>
      </c>
      <c r="AN14" s="36">
        <f t="shared" ref="AN14" si="109">(+AM14-+AM13)*48</f>
        <v>5040</v>
      </c>
      <c r="AO14" s="79">
        <v>886904</v>
      </c>
      <c r="AP14" s="36">
        <f t="shared" ref="AP14" si="110">(+AO14-+AO13)*48</f>
        <v>8592</v>
      </c>
      <c r="AQ14" s="79">
        <v>65500</v>
      </c>
      <c r="AR14" s="36">
        <f t="shared" ref="AR14" si="111">(+AQ14-+AQ13)*48</f>
        <v>0</v>
      </c>
      <c r="AS14" s="79">
        <v>2204</v>
      </c>
      <c r="AT14" s="36">
        <f t="shared" ref="AT14" si="112">(+AS14-+AS13)*48</f>
        <v>0</v>
      </c>
      <c r="AU14" s="79">
        <v>918</v>
      </c>
      <c r="AV14" s="36">
        <f t="shared" ref="AV14" si="113">(+AU14-+AU13)*48</f>
        <v>0</v>
      </c>
      <c r="AW14" s="79">
        <v>3108</v>
      </c>
      <c r="AX14" s="36">
        <f t="shared" ref="AX14" si="114">(+AW14-+AW13)*48</f>
        <v>0</v>
      </c>
      <c r="AY14" s="79">
        <v>297168</v>
      </c>
      <c r="AZ14" s="36">
        <f t="shared" ref="AZ14" si="115">(+AY14-+AY13)*48</f>
        <v>3216</v>
      </c>
      <c r="BA14" s="79">
        <v>160167</v>
      </c>
      <c r="BB14" s="36">
        <f t="shared" ref="BB14" si="116">(+BA14-+BA13)*48</f>
        <v>0</v>
      </c>
      <c r="BC14" s="79">
        <v>203540</v>
      </c>
      <c r="BD14" s="36">
        <f t="shared" ref="BD14" si="117">(+BC14-+BC13)*48</f>
        <v>2304</v>
      </c>
      <c r="BE14" s="73">
        <v>5347</v>
      </c>
      <c r="BF14" s="36">
        <f t="shared" ref="BF14" si="118">(+BE14-+BE13)*48</f>
        <v>0</v>
      </c>
      <c r="BH14" s="100">
        <f t="shared" si="0"/>
        <v>91308.575999999564</v>
      </c>
      <c r="BI14" s="100">
        <f t="shared" si="1"/>
        <v>54902.400000000001</v>
      </c>
    </row>
    <row r="15" spans="1:61" s="34" customFormat="1" ht="39.950000000000003" customHeight="1">
      <c r="A15" s="139">
        <v>44081</v>
      </c>
      <c r="B15" s="33"/>
      <c r="C15" s="73">
        <v>5457667</v>
      </c>
      <c r="D15" s="36">
        <f t="shared" ref="D15" si="119">(+C15-+C14)*48</f>
        <v>93120</v>
      </c>
      <c r="E15" s="36">
        <f t="shared" si="3"/>
        <v>55872</v>
      </c>
      <c r="F15" s="99">
        <f t="shared" si="4"/>
        <v>37248</v>
      </c>
      <c r="G15" s="73">
        <v>274140</v>
      </c>
      <c r="H15" s="36">
        <f t="shared" si="5"/>
        <v>1488</v>
      </c>
      <c r="I15" s="73">
        <v>81182</v>
      </c>
      <c r="J15" s="36">
        <f t="shared" ref="J15" si="120">(+I15-+I14)*48</f>
        <v>7968</v>
      </c>
      <c r="K15" s="73">
        <v>254297</v>
      </c>
      <c r="L15" s="36">
        <f t="shared" ref="L15:N15" si="121">(+K15-+K14)*48</f>
        <v>48</v>
      </c>
      <c r="M15" s="73">
        <v>24364</v>
      </c>
      <c r="N15" s="36">
        <f t="shared" si="121"/>
        <v>0</v>
      </c>
      <c r="O15" s="73">
        <v>216286</v>
      </c>
      <c r="P15" s="36">
        <f t="shared" ref="P15" si="122">(+O15-+O14)*48</f>
        <v>9024</v>
      </c>
      <c r="Q15" s="73">
        <v>432106</v>
      </c>
      <c r="R15" s="36">
        <f t="shared" ref="R15" si="123">(+Q15-+Q14)*48</f>
        <v>1104</v>
      </c>
      <c r="S15" s="73">
        <v>691683</v>
      </c>
      <c r="T15" s="36">
        <f t="shared" ref="T15" si="124">(+S15-+S14)*48</f>
        <v>5520</v>
      </c>
      <c r="U15" s="78">
        <v>94319.376999999993</v>
      </c>
      <c r="V15" s="99">
        <f t="shared" ref="V15" si="125">(+U15-+U14)*48</f>
        <v>1223.0879999999888</v>
      </c>
      <c r="W15" s="73">
        <v>77293</v>
      </c>
      <c r="X15" s="36">
        <f t="shared" ref="X15" si="126">(+W15-+W14)*48</f>
        <v>240</v>
      </c>
      <c r="Y15" s="73">
        <v>1474042</v>
      </c>
      <c r="Z15" s="36">
        <f t="shared" ref="Z15" si="127">(+Y15-+Y14)*48</f>
        <v>0</v>
      </c>
      <c r="AA15" s="73">
        <v>13166</v>
      </c>
      <c r="AB15" s="36">
        <f t="shared" ref="AB15" si="128">(+AA15-+AA14)*48</f>
        <v>0</v>
      </c>
      <c r="AC15" s="73">
        <v>429335</v>
      </c>
      <c r="AD15" s="36">
        <f t="shared" si="15"/>
        <v>4320</v>
      </c>
      <c r="AE15" s="73">
        <v>506570</v>
      </c>
      <c r="AF15" s="36">
        <f t="shared" si="15"/>
        <v>4320</v>
      </c>
      <c r="AG15" s="73">
        <v>48661</v>
      </c>
      <c r="AH15" s="36">
        <f t="shared" ref="AH15" si="129">(+AG15-+AG14)*48</f>
        <v>192</v>
      </c>
      <c r="AI15" s="73">
        <v>389065</v>
      </c>
      <c r="AJ15" s="36">
        <f t="shared" ref="AJ15" si="130">(+AI15-+AI14)*48</f>
        <v>3504</v>
      </c>
      <c r="AK15" s="73">
        <v>102371</v>
      </c>
      <c r="AL15" s="36">
        <f t="shared" ref="AL15" si="131">(+AK15-+AK14)*48</f>
        <v>0</v>
      </c>
      <c r="AM15" s="73">
        <v>552567</v>
      </c>
      <c r="AN15" s="36">
        <f t="shared" ref="AN15" si="132">(+AM15-+AM14)*48</f>
        <v>5088</v>
      </c>
      <c r="AO15" s="73">
        <v>887083</v>
      </c>
      <c r="AP15" s="36">
        <f t="shared" ref="AP15" si="133">(+AO15-+AO14)*48</f>
        <v>8592</v>
      </c>
      <c r="AQ15" s="73">
        <v>65500</v>
      </c>
      <c r="AR15" s="36">
        <f t="shared" ref="AR15" si="134">(+AQ15-+AQ14)*48</f>
        <v>0</v>
      </c>
      <c r="AS15" s="73">
        <v>2204</v>
      </c>
      <c r="AT15" s="36">
        <f t="shared" ref="AT15" si="135">(+AS15-+AS14)*48</f>
        <v>0</v>
      </c>
      <c r="AU15" s="73">
        <v>918</v>
      </c>
      <c r="AV15" s="36">
        <f t="shared" ref="AV15" si="136">(+AU15-+AU14)*48</f>
        <v>0</v>
      </c>
      <c r="AW15" s="73">
        <v>3108</v>
      </c>
      <c r="AX15" s="36">
        <f t="shared" ref="AX15" si="137">(+AW15-+AW14)*48</f>
        <v>0</v>
      </c>
      <c r="AY15" s="73">
        <v>297234</v>
      </c>
      <c r="AZ15" s="36">
        <f t="shared" ref="AZ15" si="138">(+AY15-+AY14)*48</f>
        <v>3168</v>
      </c>
      <c r="BA15" s="73">
        <v>160167</v>
      </c>
      <c r="BB15" s="36">
        <f t="shared" ref="BB15" si="139">(+BA15-+BA14)*48</f>
        <v>0</v>
      </c>
      <c r="BC15" s="73">
        <v>203588</v>
      </c>
      <c r="BD15" s="36">
        <f t="shared" ref="BD15" si="140">(+BC15-+BC14)*48</f>
        <v>2304</v>
      </c>
      <c r="BE15" s="73">
        <v>5347</v>
      </c>
      <c r="BF15" s="36">
        <f t="shared" ref="BF15" si="141">(+BE15-+BE14)*48</f>
        <v>0</v>
      </c>
      <c r="BH15" s="100">
        <f t="shared" si="0"/>
        <v>94823.087999999989</v>
      </c>
      <c r="BI15" s="100">
        <f t="shared" si="1"/>
        <v>56400</v>
      </c>
    </row>
    <row r="16" spans="1:61" s="34" customFormat="1" ht="39.950000000000003" customHeight="1">
      <c r="A16" s="139">
        <v>44082</v>
      </c>
      <c r="B16" s="33"/>
      <c r="C16" s="73">
        <v>5459616</v>
      </c>
      <c r="D16" s="36">
        <f t="shared" ref="D16" si="142">(+C16-+C15)*48</f>
        <v>93552</v>
      </c>
      <c r="E16" s="36">
        <f t="shared" si="3"/>
        <v>56131.199999999997</v>
      </c>
      <c r="F16" s="99">
        <f t="shared" si="4"/>
        <v>37420.800000000003</v>
      </c>
      <c r="G16" s="73">
        <v>274176</v>
      </c>
      <c r="H16" s="36">
        <f t="shared" si="5"/>
        <v>1728</v>
      </c>
      <c r="I16" s="73">
        <v>81348</v>
      </c>
      <c r="J16" s="36">
        <f t="shared" ref="J16" si="143">(+I16-+I15)*48</f>
        <v>7968</v>
      </c>
      <c r="K16" s="73">
        <v>254306</v>
      </c>
      <c r="L16" s="36">
        <f t="shared" ref="L16:N16" si="144">(+K16-+K15)*48</f>
        <v>432</v>
      </c>
      <c r="M16" s="73">
        <v>24364</v>
      </c>
      <c r="N16" s="36">
        <f t="shared" si="144"/>
        <v>0</v>
      </c>
      <c r="O16" s="73">
        <v>216451</v>
      </c>
      <c r="P16" s="36">
        <f t="shared" ref="P16" si="145">(+O16-+O15)*48</f>
        <v>7920</v>
      </c>
      <c r="Q16" s="73">
        <v>432131</v>
      </c>
      <c r="R16" s="36">
        <f t="shared" ref="R16" si="146">(+Q16-+Q15)*48</f>
        <v>1200</v>
      </c>
      <c r="S16" s="73">
        <v>691818</v>
      </c>
      <c r="T16" s="36">
        <f t="shared" ref="T16" si="147">(+S16-+S15)*48</f>
        <v>6480</v>
      </c>
      <c r="U16" s="78">
        <v>94334.68</v>
      </c>
      <c r="V16" s="99">
        <f t="shared" ref="V16" si="148">(+U16-+U15)*48</f>
        <v>734.54399999999441</v>
      </c>
      <c r="W16" s="73">
        <v>77300</v>
      </c>
      <c r="X16" s="36">
        <f t="shared" ref="X16" si="149">(+W16-+W15)*48</f>
        <v>336</v>
      </c>
      <c r="Y16" s="73">
        <v>1474042</v>
      </c>
      <c r="Z16" s="36">
        <f t="shared" ref="Z16" si="150">(+Y16-+Y15)*48</f>
        <v>0</v>
      </c>
      <c r="AA16" s="73">
        <v>13166</v>
      </c>
      <c r="AB16" s="36">
        <f t="shared" ref="AB16" si="151">(+AA16-+AA15)*48</f>
        <v>0</v>
      </c>
      <c r="AC16" s="73">
        <v>429442</v>
      </c>
      <c r="AD16" s="36">
        <f t="shared" si="15"/>
        <v>5136</v>
      </c>
      <c r="AE16" s="73">
        <v>506688</v>
      </c>
      <c r="AF16" s="36">
        <f t="shared" si="15"/>
        <v>5664</v>
      </c>
      <c r="AG16" s="73">
        <v>48663</v>
      </c>
      <c r="AH16" s="36">
        <f t="shared" ref="AH16" si="152">(+AG16-+AG15)*48</f>
        <v>96</v>
      </c>
      <c r="AI16" s="73">
        <v>389122</v>
      </c>
      <c r="AJ16" s="36">
        <f t="shared" ref="AJ16" si="153">(+AI16-+AI15)*48</f>
        <v>2736</v>
      </c>
      <c r="AK16" s="73">
        <v>102371</v>
      </c>
      <c r="AL16" s="36">
        <f t="shared" ref="AL16" si="154">(+AK16-+AK15)*48</f>
        <v>0</v>
      </c>
      <c r="AM16" s="73">
        <v>552674</v>
      </c>
      <c r="AN16" s="36">
        <f t="shared" ref="AN16" si="155">(+AM16-+AM15)*48</f>
        <v>5136</v>
      </c>
      <c r="AO16" s="73">
        <v>887263</v>
      </c>
      <c r="AP16" s="36">
        <f t="shared" ref="AP16" si="156">(+AO16-+AO15)*48</f>
        <v>8640</v>
      </c>
      <c r="AQ16" s="73">
        <v>65500</v>
      </c>
      <c r="AR16" s="36">
        <f t="shared" ref="AR16" si="157">(+AQ16-+AQ15)*48</f>
        <v>0</v>
      </c>
      <c r="AS16" s="73">
        <v>2204</v>
      </c>
      <c r="AT16" s="36">
        <f t="shared" ref="AT16" si="158">(+AS16-+AS15)*48</f>
        <v>0</v>
      </c>
      <c r="AU16" s="73">
        <v>918</v>
      </c>
      <c r="AV16" s="36">
        <f t="shared" ref="AV16" si="159">(+AU16-+AU15)*48</f>
        <v>0</v>
      </c>
      <c r="AW16" s="73">
        <v>3108</v>
      </c>
      <c r="AX16" s="36">
        <f t="shared" ref="AX16" si="160">(+AW16-+AW15)*48</f>
        <v>0</v>
      </c>
      <c r="AY16" s="73">
        <v>297300</v>
      </c>
      <c r="AZ16" s="36">
        <f t="shared" ref="AZ16" si="161">(+AY16-+AY15)*48</f>
        <v>3168</v>
      </c>
      <c r="BA16" s="73">
        <v>160167</v>
      </c>
      <c r="BB16" s="36">
        <f t="shared" ref="BB16" si="162">(+BA16-+BA15)*48</f>
        <v>0</v>
      </c>
      <c r="BC16" s="73">
        <v>203637</v>
      </c>
      <c r="BD16" s="36">
        <f t="shared" ref="BD16" si="163">(+BC16-+BC15)*48</f>
        <v>2352</v>
      </c>
      <c r="BE16" s="73">
        <v>5347</v>
      </c>
      <c r="BF16" s="36">
        <f t="shared" ref="BF16" si="164">(+BE16-+BE15)*48</f>
        <v>0</v>
      </c>
      <c r="BH16" s="100">
        <f t="shared" si="0"/>
        <v>96561.743999999992</v>
      </c>
      <c r="BI16" s="100">
        <f t="shared" si="1"/>
        <v>56716.800000000003</v>
      </c>
    </row>
    <row r="17" spans="1:61" s="34" customFormat="1" ht="39.950000000000003" customHeight="1">
      <c r="A17" s="139">
        <v>44083</v>
      </c>
      <c r="B17" s="33"/>
      <c r="C17" s="73">
        <v>5461368</v>
      </c>
      <c r="D17" s="36">
        <f t="shared" ref="D17" si="165">(+C17-+C16)*48</f>
        <v>84096</v>
      </c>
      <c r="E17" s="36">
        <f t="shared" si="3"/>
        <v>50457.599999999999</v>
      </c>
      <c r="F17" s="99">
        <f t="shared" si="4"/>
        <v>33638.400000000001</v>
      </c>
      <c r="G17" s="73">
        <v>274205</v>
      </c>
      <c r="H17" s="36">
        <f t="shared" si="5"/>
        <v>1392</v>
      </c>
      <c r="I17" s="73">
        <v>81518</v>
      </c>
      <c r="J17" s="36">
        <f t="shared" ref="J17" si="166">(+I17-+I16)*48</f>
        <v>8160</v>
      </c>
      <c r="K17" s="73">
        <v>254318</v>
      </c>
      <c r="L17" s="36">
        <f t="shared" ref="L17:N17" si="167">(+K17-+K16)*48</f>
        <v>576</v>
      </c>
      <c r="M17" s="73">
        <v>24364</v>
      </c>
      <c r="N17" s="36">
        <f t="shared" si="167"/>
        <v>0</v>
      </c>
      <c r="O17" s="73">
        <v>216618</v>
      </c>
      <c r="P17" s="36">
        <f t="shared" ref="P17" si="168">(+O17-+O16)*48</f>
        <v>8016</v>
      </c>
      <c r="Q17" s="73">
        <v>432149</v>
      </c>
      <c r="R17" s="36">
        <f t="shared" ref="R17" si="169">(+Q17-+Q16)*48</f>
        <v>864</v>
      </c>
      <c r="S17" s="73">
        <v>691936</v>
      </c>
      <c r="T17" s="36">
        <f t="shared" ref="T17" si="170">(+S17-+S16)*48</f>
        <v>5664</v>
      </c>
      <c r="U17" s="78">
        <v>94349.520999999993</v>
      </c>
      <c r="V17" s="99">
        <f t="shared" ref="V17" si="171">(+U17-+U16)*48</f>
        <v>712.36800000001676</v>
      </c>
      <c r="W17" s="73">
        <v>77305</v>
      </c>
      <c r="X17" s="36">
        <f t="shared" ref="X17" si="172">(+W17-+W16)*48</f>
        <v>240</v>
      </c>
      <c r="Y17" s="73">
        <v>1474042</v>
      </c>
      <c r="Z17" s="36">
        <f t="shared" ref="Z17" si="173">(+Y17-+Y16)*48</f>
        <v>0</v>
      </c>
      <c r="AA17" s="73">
        <v>13166</v>
      </c>
      <c r="AB17" s="36">
        <f t="shared" ref="AB17" si="174">(+AA17-+AA16)*48</f>
        <v>0</v>
      </c>
      <c r="AC17" s="73">
        <v>429537</v>
      </c>
      <c r="AD17" s="36">
        <f t="shared" si="15"/>
        <v>4560</v>
      </c>
      <c r="AE17" s="73">
        <v>506791</v>
      </c>
      <c r="AF17" s="36">
        <f t="shared" si="15"/>
        <v>4944</v>
      </c>
      <c r="AG17" s="73">
        <v>48667</v>
      </c>
      <c r="AH17" s="36">
        <f t="shared" ref="AH17" si="175">(+AG17-+AG16)*48</f>
        <v>192</v>
      </c>
      <c r="AI17" s="73">
        <v>389179</v>
      </c>
      <c r="AJ17" s="36">
        <f t="shared" ref="AJ17" si="176">(+AI17-+AI16)*48</f>
        <v>2736</v>
      </c>
      <c r="AK17" s="73">
        <v>102371</v>
      </c>
      <c r="AL17" s="36">
        <f t="shared" ref="AL17" si="177">(+AK17-+AK16)*48</f>
        <v>0</v>
      </c>
      <c r="AM17" s="73">
        <v>552799</v>
      </c>
      <c r="AN17" s="36">
        <f t="shared" ref="AN17" si="178">(+AM17-+AM16)*48</f>
        <v>6000</v>
      </c>
      <c r="AO17" s="73">
        <v>887461</v>
      </c>
      <c r="AP17" s="36">
        <f t="shared" ref="AP17" si="179">(+AO17-+AO16)*48</f>
        <v>9504</v>
      </c>
      <c r="AQ17" s="73">
        <v>65500</v>
      </c>
      <c r="AR17" s="36">
        <f t="shared" ref="AR17" si="180">(+AQ17-+AQ16)*48</f>
        <v>0</v>
      </c>
      <c r="AS17" s="73">
        <v>2204</v>
      </c>
      <c r="AT17" s="36">
        <f t="shared" ref="AT17" si="181">(+AS17-+AS16)*48</f>
        <v>0</v>
      </c>
      <c r="AU17" s="73">
        <v>918</v>
      </c>
      <c r="AV17" s="36">
        <f t="shared" ref="AV17" si="182">(+AU17-+AU16)*48</f>
        <v>0</v>
      </c>
      <c r="AW17" s="73">
        <v>3108</v>
      </c>
      <c r="AX17" s="36">
        <f t="shared" ref="AX17" si="183">(+AW17-+AW16)*48</f>
        <v>0</v>
      </c>
      <c r="AY17" s="73">
        <v>297367</v>
      </c>
      <c r="AZ17" s="36">
        <f t="shared" ref="AZ17" si="184">(+AY17-+AY16)*48</f>
        <v>3216</v>
      </c>
      <c r="BA17" s="73">
        <v>160167</v>
      </c>
      <c r="BB17" s="36">
        <f t="shared" ref="BB17" si="185">(+BA17-+BA16)*48</f>
        <v>0</v>
      </c>
      <c r="BC17" s="73">
        <v>203686</v>
      </c>
      <c r="BD17" s="36">
        <f t="shared" ref="BD17" si="186">(+BC17-+BC16)*48</f>
        <v>2352</v>
      </c>
      <c r="BE17" s="73">
        <v>5347</v>
      </c>
      <c r="BF17" s="36">
        <f t="shared" ref="BF17" si="187">(+BE17-+BE16)*48</f>
        <v>0</v>
      </c>
      <c r="BH17" s="100">
        <f t="shared" si="0"/>
        <v>88513.968000000023</v>
      </c>
      <c r="BI17" s="100">
        <f t="shared" si="1"/>
        <v>54710.400000000001</v>
      </c>
    </row>
    <row r="18" spans="1:61" s="34" customFormat="1" ht="39.950000000000003" customHeight="1">
      <c r="A18" s="139">
        <v>44084</v>
      </c>
      <c r="B18" s="33"/>
      <c r="C18" s="73">
        <v>5463226</v>
      </c>
      <c r="D18" s="36">
        <f t="shared" ref="D18" si="188">(+C18-+C17)*48</f>
        <v>89184</v>
      </c>
      <c r="E18" s="36">
        <f t="shared" si="3"/>
        <v>53510.400000000001</v>
      </c>
      <c r="F18" s="99">
        <f t="shared" si="4"/>
        <v>35673.599999999999</v>
      </c>
      <c r="G18" s="73">
        <v>274235</v>
      </c>
      <c r="H18" s="36">
        <f t="shared" si="5"/>
        <v>1440</v>
      </c>
      <c r="I18" s="73">
        <v>81689</v>
      </c>
      <c r="J18" s="36">
        <f t="shared" ref="J18" si="189">(+I18-+I17)*48</f>
        <v>8208</v>
      </c>
      <c r="K18" s="73">
        <v>254343</v>
      </c>
      <c r="L18" s="36">
        <f t="shared" ref="L18:N18" si="190">(+K18-+K17)*48</f>
        <v>1200</v>
      </c>
      <c r="M18" s="73">
        <v>24364</v>
      </c>
      <c r="N18" s="36">
        <f t="shared" si="190"/>
        <v>0</v>
      </c>
      <c r="O18" s="73">
        <v>216787</v>
      </c>
      <c r="P18" s="36">
        <f t="shared" ref="P18" si="191">(+O18-+O17)*48</f>
        <v>8112</v>
      </c>
      <c r="Q18" s="73">
        <v>432150</v>
      </c>
      <c r="R18" s="36">
        <f t="shared" ref="R18" si="192">(+Q18-+Q17)*48</f>
        <v>48</v>
      </c>
      <c r="S18" s="73">
        <v>692069</v>
      </c>
      <c r="T18" s="36">
        <f t="shared" ref="T18" si="193">(+S18-+S17)*48</f>
        <v>6384</v>
      </c>
      <c r="U18" s="78">
        <v>94365.263000000006</v>
      </c>
      <c r="V18" s="99">
        <f>(+U18-+U17)*48</f>
        <v>755.61600000062026</v>
      </c>
      <c r="W18" s="73">
        <v>77309</v>
      </c>
      <c r="X18" s="36">
        <f t="shared" ref="X18" si="194">(+W18-+W17)*48</f>
        <v>192</v>
      </c>
      <c r="Y18" s="73">
        <v>1474042</v>
      </c>
      <c r="Z18" s="36">
        <f t="shared" ref="Z18" si="195">(+Y18-+Y17)*48</f>
        <v>0</v>
      </c>
      <c r="AA18" s="73">
        <v>13166</v>
      </c>
      <c r="AB18" s="36">
        <f t="shared" ref="AB18" si="196">(+AA18-+AA17)*48</f>
        <v>0</v>
      </c>
      <c r="AC18" s="73">
        <v>429625</v>
      </c>
      <c r="AD18" s="36">
        <f t="shared" si="15"/>
        <v>4224</v>
      </c>
      <c r="AE18" s="73">
        <v>506889</v>
      </c>
      <c r="AF18" s="36">
        <f t="shared" si="15"/>
        <v>4704</v>
      </c>
      <c r="AG18" s="73">
        <v>48669</v>
      </c>
      <c r="AH18" s="36">
        <f t="shared" ref="AH18" si="197">(+AG18-+AG17)*48</f>
        <v>96</v>
      </c>
      <c r="AI18" s="73">
        <v>389238</v>
      </c>
      <c r="AJ18" s="36">
        <f t="shared" ref="AJ18" si="198">(+AI18-+AI17)*48</f>
        <v>2832</v>
      </c>
      <c r="AK18" s="73">
        <v>102371</v>
      </c>
      <c r="AL18" s="36">
        <f t="shared" ref="AL18" si="199">(+AK18-+AK17)*48</f>
        <v>0</v>
      </c>
      <c r="AM18" s="73">
        <v>552902</v>
      </c>
      <c r="AN18" s="36">
        <f t="shared" ref="AN18" si="200">(+AM18-+AM17)*48</f>
        <v>4944</v>
      </c>
      <c r="AO18" s="73">
        <v>887662</v>
      </c>
      <c r="AP18" s="36">
        <f t="shared" ref="AP18" si="201">(+AO18-+AO17)*48</f>
        <v>9648</v>
      </c>
      <c r="AQ18" s="73">
        <v>65500</v>
      </c>
      <c r="AR18" s="36">
        <f t="shared" ref="AR18" si="202">(+AQ18-+AQ17)*48</f>
        <v>0</v>
      </c>
      <c r="AS18" s="73">
        <v>2204</v>
      </c>
      <c r="AT18" s="36">
        <f t="shared" ref="AT18" si="203">(+AS18-+AS17)*48</f>
        <v>0</v>
      </c>
      <c r="AU18" s="73">
        <v>918</v>
      </c>
      <c r="AV18" s="36">
        <f t="shared" ref="AV18" si="204">(+AU18-+AU17)*48</f>
        <v>0</v>
      </c>
      <c r="AW18" s="73">
        <v>3108</v>
      </c>
      <c r="AX18" s="36">
        <f t="shared" ref="AX18" si="205">(+AW18-+AW17)*48</f>
        <v>0</v>
      </c>
      <c r="AY18" s="73">
        <v>297431</v>
      </c>
      <c r="AZ18" s="36">
        <f t="shared" ref="AZ18" si="206">(+AY18-+AY17)*48</f>
        <v>3072</v>
      </c>
      <c r="BA18" s="73">
        <v>160167</v>
      </c>
      <c r="BB18" s="36">
        <f t="shared" ref="BB18" si="207">(+BA18-+BA17)*48</f>
        <v>0</v>
      </c>
      <c r="BC18" s="73">
        <v>203734</v>
      </c>
      <c r="BD18" s="36">
        <f t="shared" ref="BD18" si="208">(+BC18-+BC17)*48</f>
        <v>2304</v>
      </c>
      <c r="BE18" s="73">
        <v>5347</v>
      </c>
      <c r="BF18" s="36">
        <f t="shared" ref="BF18" si="209">(+BE18-+BE17)*48</f>
        <v>0</v>
      </c>
      <c r="BH18" s="100">
        <f t="shared" si="0"/>
        <v>91706.016000000614</v>
      </c>
      <c r="BI18" s="100">
        <f t="shared" si="1"/>
        <v>55641.599999999999</v>
      </c>
    </row>
    <row r="19" spans="1:61" s="34" customFormat="1" ht="39.950000000000003" customHeight="1">
      <c r="A19" s="139">
        <v>44085</v>
      </c>
      <c r="B19" s="33"/>
      <c r="C19" s="78">
        <v>5465028</v>
      </c>
      <c r="D19" s="36">
        <f t="shared" ref="D19" si="210">(+C19-+C18)*48</f>
        <v>86496</v>
      </c>
      <c r="E19" s="36">
        <f t="shared" si="3"/>
        <v>51897.599999999999</v>
      </c>
      <c r="F19" s="99">
        <f t="shared" si="4"/>
        <v>34598.400000000001</v>
      </c>
      <c r="G19" s="78">
        <v>274269</v>
      </c>
      <c r="H19" s="36">
        <f t="shared" si="5"/>
        <v>1632</v>
      </c>
      <c r="I19" s="78">
        <v>81859</v>
      </c>
      <c r="J19" s="36">
        <f t="shared" ref="J19" si="211">(+I19-+I18)*48</f>
        <v>8160</v>
      </c>
      <c r="K19" s="78">
        <v>254356</v>
      </c>
      <c r="L19" s="36">
        <f t="shared" ref="L19:N19" si="212">(+K19-+K18)*48</f>
        <v>624</v>
      </c>
      <c r="M19" s="78">
        <v>24364</v>
      </c>
      <c r="N19" s="36">
        <f t="shared" si="212"/>
        <v>0</v>
      </c>
      <c r="O19" s="78">
        <v>216959</v>
      </c>
      <c r="P19" s="36">
        <f t="shared" ref="P19" si="213">(+O19-+O18)*48</f>
        <v>8256</v>
      </c>
      <c r="Q19" s="78">
        <v>432178</v>
      </c>
      <c r="R19" s="36">
        <f t="shared" ref="R19" si="214">(+Q19-+Q18)*48</f>
        <v>1344</v>
      </c>
      <c r="S19" s="78">
        <v>692183</v>
      </c>
      <c r="T19" s="36">
        <f t="shared" ref="T19" si="215">(+S19-+S18)*48</f>
        <v>5472</v>
      </c>
      <c r="U19" s="78">
        <v>94381.8</v>
      </c>
      <c r="V19" s="99">
        <f t="shared" ref="V19" si="216">(+U19-+U18)*48</f>
        <v>793.77599999983795</v>
      </c>
      <c r="W19" s="78">
        <v>77314</v>
      </c>
      <c r="X19" s="36">
        <f t="shared" ref="X19" si="217">(+W19-+W18)*48</f>
        <v>240</v>
      </c>
      <c r="Y19" s="78">
        <v>1474042</v>
      </c>
      <c r="Z19" s="36">
        <f t="shared" ref="Z19" si="218">(+Y19-+Y18)*48</f>
        <v>0</v>
      </c>
      <c r="AA19" s="78">
        <v>13166</v>
      </c>
      <c r="AB19" s="36">
        <f t="shared" ref="AB19" si="219">(+AA19-+AA18)*48</f>
        <v>0</v>
      </c>
      <c r="AC19" s="78">
        <v>429705</v>
      </c>
      <c r="AD19" s="36">
        <f t="shared" si="15"/>
        <v>3840</v>
      </c>
      <c r="AE19" s="78">
        <v>506987</v>
      </c>
      <c r="AF19" s="36">
        <f t="shared" si="15"/>
        <v>4704</v>
      </c>
      <c r="AG19" s="78">
        <v>48673</v>
      </c>
      <c r="AH19" s="36">
        <f t="shared" ref="AH19" si="220">(+AG19-+AG18)*48</f>
        <v>192</v>
      </c>
      <c r="AI19" s="78">
        <v>389296</v>
      </c>
      <c r="AJ19" s="36">
        <f t="shared" ref="AJ19" si="221">(+AI19-+AI18)*48</f>
        <v>2784</v>
      </c>
      <c r="AK19" s="78">
        <v>102371</v>
      </c>
      <c r="AL19" s="36">
        <f t="shared" ref="AL19" si="222">(+AK19-+AK18)*48</f>
        <v>0</v>
      </c>
      <c r="AM19" s="78">
        <v>553011</v>
      </c>
      <c r="AN19" s="36">
        <f t="shared" ref="AN19" si="223">(+AM19-+AM18)*48</f>
        <v>5232</v>
      </c>
      <c r="AO19" s="78">
        <v>887860</v>
      </c>
      <c r="AP19" s="36">
        <f t="shared" ref="AP19" si="224">(+AO19-+AO18)*48</f>
        <v>9504</v>
      </c>
      <c r="AQ19" s="78">
        <v>65500</v>
      </c>
      <c r="AR19" s="36">
        <f t="shared" ref="AR19" si="225">(+AQ19-+AQ18)*48</f>
        <v>0</v>
      </c>
      <c r="AS19" s="78">
        <v>2204</v>
      </c>
      <c r="AT19" s="36">
        <f t="shared" ref="AT19" si="226">(+AS19-+AS18)*48</f>
        <v>0</v>
      </c>
      <c r="AU19" s="78">
        <v>918</v>
      </c>
      <c r="AV19" s="36">
        <f t="shared" ref="AV19" si="227">(+AU19-+AU18)*48</f>
        <v>0</v>
      </c>
      <c r="AW19" s="78">
        <v>3108</v>
      </c>
      <c r="AX19" s="36">
        <f t="shared" ref="AX19" si="228">(+AW19-+AW18)*48</f>
        <v>0</v>
      </c>
      <c r="AY19" s="78">
        <v>297499</v>
      </c>
      <c r="AZ19" s="36">
        <f t="shared" ref="AZ19" si="229">(+AY19-+AY18)*48</f>
        <v>3264</v>
      </c>
      <c r="BA19" s="78">
        <v>160167</v>
      </c>
      <c r="BB19" s="36">
        <f t="shared" ref="BB19" si="230">(+BA19-+BA18)*48</f>
        <v>0</v>
      </c>
      <c r="BC19" s="78">
        <v>203783</v>
      </c>
      <c r="BD19" s="36">
        <f t="shared" ref="BD19" si="231">(+BC19-+BC18)*48</f>
        <v>2352</v>
      </c>
      <c r="BE19" s="73">
        <v>5347</v>
      </c>
      <c r="BF19" s="36">
        <f t="shared" ref="BF19" si="232">(+BE19-+BE18)*48</f>
        <v>0</v>
      </c>
      <c r="BH19" s="161">
        <f t="shared" si="0"/>
        <v>89939.375999999844</v>
      </c>
      <c r="BI19" s="161">
        <f t="shared" si="1"/>
        <v>54950.400000000001</v>
      </c>
    </row>
    <row r="20" spans="1:61" s="34" customFormat="1" ht="39.950000000000003" customHeight="1">
      <c r="A20" s="139">
        <v>44086</v>
      </c>
      <c r="B20" s="33"/>
      <c r="C20" s="78">
        <v>5467003</v>
      </c>
      <c r="D20" s="36">
        <f t="shared" ref="D20" si="233">(+C20-+C19)*48</f>
        <v>94800</v>
      </c>
      <c r="E20" s="36">
        <f t="shared" si="3"/>
        <v>56880</v>
      </c>
      <c r="F20" s="99">
        <f t="shared" si="4"/>
        <v>37920</v>
      </c>
      <c r="G20" s="78">
        <v>274302</v>
      </c>
      <c r="H20" s="36">
        <f t="shared" si="5"/>
        <v>1584</v>
      </c>
      <c r="I20" s="78">
        <v>82043</v>
      </c>
      <c r="J20" s="36">
        <f t="shared" ref="J20" si="234">(+I20-+I19)*48</f>
        <v>8832</v>
      </c>
      <c r="K20" s="78">
        <v>254357</v>
      </c>
      <c r="L20" s="36">
        <f t="shared" ref="L20:N20" si="235">(+K20-+K19)*48</f>
        <v>48</v>
      </c>
      <c r="M20" s="78">
        <v>24364</v>
      </c>
      <c r="N20" s="36">
        <f t="shared" si="235"/>
        <v>0</v>
      </c>
      <c r="O20" s="78">
        <v>217137</v>
      </c>
      <c r="P20" s="36">
        <f t="shared" ref="P20" si="236">(+O20-+O19)*48</f>
        <v>8544</v>
      </c>
      <c r="Q20" s="78">
        <v>432209</v>
      </c>
      <c r="R20" s="36">
        <f t="shared" ref="R20" si="237">(+Q20-+Q19)*48</f>
        <v>1488</v>
      </c>
      <c r="S20" s="78">
        <v>692304</v>
      </c>
      <c r="T20" s="36">
        <f t="shared" ref="T20" si="238">(+S20-+S19)*48</f>
        <v>5808</v>
      </c>
      <c r="U20" s="78">
        <v>94400.56</v>
      </c>
      <c r="V20" s="99">
        <f t="shared" ref="V20" si="239">(+U20-+U19)*48</f>
        <v>900.47999999974854</v>
      </c>
      <c r="W20" s="78">
        <v>77320</v>
      </c>
      <c r="X20" s="36">
        <f t="shared" ref="X20" si="240">(+W20-+W19)*48</f>
        <v>288</v>
      </c>
      <c r="Y20" s="78">
        <v>1474042</v>
      </c>
      <c r="Z20" s="36">
        <f t="shared" ref="Z20" si="241">(+Y20-+Y19)*48</f>
        <v>0</v>
      </c>
      <c r="AA20" s="78">
        <v>13166</v>
      </c>
      <c r="AB20" s="36">
        <f t="shared" ref="AB20" si="242">(+AA20-+AA19)*48</f>
        <v>0</v>
      </c>
      <c r="AC20" s="78">
        <v>429796</v>
      </c>
      <c r="AD20" s="36">
        <f t="shared" si="15"/>
        <v>4368</v>
      </c>
      <c r="AE20" s="78">
        <v>507088</v>
      </c>
      <c r="AF20" s="36">
        <f t="shared" si="15"/>
        <v>4848</v>
      </c>
      <c r="AG20" s="78">
        <v>48676</v>
      </c>
      <c r="AH20" s="36">
        <f t="shared" ref="AH20" si="243">(+AG20-+AG19)*48</f>
        <v>144</v>
      </c>
      <c r="AI20" s="78">
        <v>389370</v>
      </c>
      <c r="AJ20" s="36">
        <f t="shared" ref="AJ20" si="244">(+AI20-+AI19)*48</f>
        <v>3552</v>
      </c>
      <c r="AK20" s="78">
        <v>102371</v>
      </c>
      <c r="AL20" s="36">
        <f t="shared" ref="AL20" si="245">(+AK20-+AK19)*48</f>
        <v>0</v>
      </c>
      <c r="AM20" s="78">
        <v>553136</v>
      </c>
      <c r="AN20" s="36">
        <f t="shared" ref="AN20" si="246">(+AM20-+AM19)*48</f>
        <v>6000</v>
      </c>
      <c r="AO20" s="78">
        <v>888060</v>
      </c>
      <c r="AP20" s="36">
        <f t="shared" ref="AP20" si="247">(+AO20-+AO19)*48</f>
        <v>9600</v>
      </c>
      <c r="AQ20" s="78">
        <v>65505</v>
      </c>
      <c r="AR20" s="36">
        <f t="shared" ref="AR20" si="248">(+AQ20-+AQ19)*48</f>
        <v>240</v>
      </c>
      <c r="AS20" s="78">
        <v>2204</v>
      </c>
      <c r="AT20" s="36">
        <f t="shared" ref="AT20" si="249">(+AS20-+AS19)*48</f>
        <v>0</v>
      </c>
      <c r="AU20" s="78">
        <v>918</v>
      </c>
      <c r="AV20" s="36">
        <f t="shared" ref="AV20" si="250">(+AU20-+AU19)*48</f>
        <v>0</v>
      </c>
      <c r="AW20" s="78">
        <v>3108</v>
      </c>
      <c r="AX20" s="36">
        <f t="shared" ref="AX20" si="251">(+AW20-+AW19)*48</f>
        <v>0</v>
      </c>
      <c r="AY20" s="78">
        <v>297564</v>
      </c>
      <c r="AZ20" s="36">
        <f t="shared" ref="AZ20" si="252">(+AY20-+AY19)*48</f>
        <v>3120</v>
      </c>
      <c r="BA20" s="78">
        <v>160167</v>
      </c>
      <c r="BB20" s="36">
        <f t="shared" ref="BB20" si="253">(+BA20-+BA19)*48</f>
        <v>0</v>
      </c>
      <c r="BC20" s="78">
        <v>203833</v>
      </c>
      <c r="BD20" s="36">
        <f t="shared" ref="BD20" si="254">(+BC20-+BC19)*48</f>
        <v>2400</v>
      </c>
      <c r="BE20" s="73">
        <v>5347</v>
      </c>
      <c r="BF20" s="36">
        <f t="shared" ref="BF20" si="255">(+BE20-+BE19)*48</f>
        <v>0</v>
      </c>
      <c r="BH20" s="161">
        <f t="shared" si="0"/>
        <v>97284.479999999749</v>
      </c>
      <c r="BI20" s="161">
        <f t="shared" si="1"/>
        <v>59280</v>
      </c>
    </row>
    <row r="21" spans="1:61" s="34" customFormat="1" ht="39.950000000000003" customHeight="1">
      <c r="A21" s="139">
        <v>44087</v>
      </c>
      <c r="B21" s="33"/>
      <c r="C21" s="78">
        <v>5468856</v>
      </c>
      <c r="D21" s="36">
        <f t="shared" ref="D21" si="256">(+C21-+C20)*48</f>
        <v>88944</v>
      </c>
      <c r="E21" s="36">
        <f t="shared" si="3"/>
        <v>53366.400000000001</v>
      </c>
      <c r="F21" s="99">
        <f t="shared" si="4"/>
        <v>35577.599999999999</v>
      </c>
      <c r="G21" s="78">
        <v>274332</v>
      </c>
      <c r="H21" s="36">
        <f t="shared" si="5"/>
        <v>1440</v>
      </c>
      <c r="I21" s="78">
        <v>82220</v>
      </c>
      <c r="J21" s="36">
        <f t="shared" ref="J21" si="257">(+I21-+I20)*48</f>
        <v>8496</v>
      </c>
      <c r="K21" s="78">
        <v>254357</v>
      </c>
      <c r="L21" s="36">
        <f t="shared" ref="L21:N21" si="258">(+K21-+K20)*48</f>
        <v>0</v>
      </c>
      <c r="M21" s="78">
        <v>24364</v>
      </c>
      <c r="N21" s="36">
        <f t="shared" si="258"/>
        <v>0</v>
      </c>
      <c r="O21" s="78">
        <v>217337</v>
      </c>
      <c r="P21" s="36">
        <f t="shared" ref="P21" si="259">(+O21-+O20)*48</f>
        <v>9600</v>
      </c>
      <c r="Q21" s="78">
        <v>432237</v>
      </c>
      <c r="R21" s="36">
        <f t="shared" ref="R21" si="260">(+Q21-+Q20)*48</f>
        <v>1344</v>
      </c>
      <c r="S21" s="78">
        <v>692429</v>
      </c>
      <c r="T21" s="36">
        <f t="shared" ref="T21" si="261">(+S21-+S20)*48</f>
        <v>6000</v>
      </c>
      <c r="U21" s="78">
        <v>94420.986000000004</v>
      </c>
      <c r="V21" s="99">
        <f t="shared" ref="V21" si="262">(+U21-+U20)*48</f>
        <v>980.4480000003241</v>
      </c>
      <c r="W21" s="78">
        <v>77325</v>
      </c>
      <c r="X21" s="36">
        <f t="shared" ref="X21" si="263">(+W21-+W20)*48</f>
        <v>240</v>
      </c>
      <c r="Y21" s="78">
        <v>1474042</v>
      </c>
      <c r="Z21" s="36">
        <f t="shared" ref="Z21" si="264">(+Y21-+Y20)*48</f>
        <v>0</v>
      </c>
      <c r="AA21" s="78">
        <v>13166</v>
      </c>
      <c r="AB21" s="36">
        <f t="shared" ref="AB21" si="265">(+AA21-+AA20)*48</f>
        <v>0</v>
      </c>
      <c r="AC21" s="78">
        <v>429887</v>
      </c>
      <c r="AD21" s="36">
        <f t="shared" si="15"/>
        <v>4368</v>
      </c>
      <c r="AE21" s="78">
        <v>507188</v>
      </c>
      <c r="AF21" s="36">
        <f t="shared" si="15"/>
        <v>4800</v>
      </c>
      <c r="AG21" s="78">
        <v>48679</v>
      </c>
      <c r="AH21" s="36">
        <f t="shared" ref="AH21" si="266">(+AG21-+AG20)*48</f>
        <v>144</v>
      </c>
      <c r="AI21" s="78">
        <v>389464</v>
      </c>
      <c r="AJ21" s="36">
        <f t="shared" ref="AJ21" si="267">(+AI21-+AI20)*48</f>
        <v>4512</v>
      </c>
      <c r="AK21" s="78">
        <v>102371</v>
      </c>
      <c r="AL21" s="36">
        <f t="shared" ref="AL21" si="268">(+AK21-+AK20)*48</f>
        <v>0</v>
      </c>
      <c r="AM21" s="78">
        <v>553250</v>
      </c>
      <c r="AN21" s="36">
        <f t="shared" ref="AN21" si="269">(+AM21-+AM20)*48</f>
        <v>5472</v>
      </c>
      <c r="AO21" s="78">
        <v>888261</v>
      </c>
      <c r="AP21" s="36">
        <f t="shared" ref="AP21" si="270">(+AO21-+AO20)*48</f>
        <v>9648</v>
      </c>
      <c r="AQ21" s="78">
        <v>65505</v>
      </c>
      <c r="AR21" s="36">
        <f t="shared" ref="AR21" si="271">(+AQ21-+AQ20)*48</f>
        <v>0</v>
      </c>
      <c r="AS21" s="78">
        <v>2204</v>
      </c>
      <c r="AT21" s="36">
        <f t="shared" ref="AT21" si="272">(+AS21-+AS20)*48</f>
        <v>0</v>
      </c>
      <c r="AU21" s="78">
        <v>918</v>
      </c>
      <c r="AV21" s="36">
        <f t="shared" ref="AV21" si="273">(+AU21-+AU20)*48</f>
        <v>0</v>
      </c>
      <c r="AW21" s="78">
        <v>3108</v>
      </c>
      <c r="AX21" s="36">
        <f t="shared" ref="AX21" si="274">(+AW21-+AW20)*48</f>
        <v>0</v>
      </c>
      <c r="AY21" s="78">
        <v>297631</v>
      </c>
      <c r="AZ21" s="36">
        <f t="shared" ref="AZ21" si="275">(+AY21-+AY20)*48</f>
        <v>3216</v>
      </c>
      <c r="BA21" s="78">
        <v>160167</v>
      </c>
      <c r="BB21" s="36">
        <f t="shared" ref="BB21" si="276">(+BA21-+BA20)*48</f>
        <v>0</v>
      </c>
      <c r="BC21" s="78">
        <v>203883</v>
      </c>
      <c r="BD21" s="36">
        <f t="shared" ref="BD21" si="277">(+BC21-+BC20)*48</f>
        <v>2400</v>
      </c>
      <c r="BE21" s="73">
        <v>5347</v>
      </c>
      <c r="BF21" s="36">
        <f t="shared" ref="BF21" si="278">(+BE21-+BE20)*48</f>
        <v>0</v>
      </c>
      <c r="BH21" s="161">
        <f t="shared" si="0"/>
        <v>95290.848000000318</v>
      </c>
      <c r="BI21" s="161">
        <f t="shared" si="1"/>
        <v>56313.599999999999</v>
      </c>
    </row>
    <row r="22" spans="1:61" s="34" customFormat="1" ht="39.950000000000003" customHeight="1">
      <c r="A22" s="139">
        <v>44088</v>
      </c>
      <c r="B22" s="33"/>
      <c r="C22" s="73">
        <v>5470610</v>
      </c>
      <c r="D22" s="36">
        <f t="shared" ref="D22" si="279">(+C22-+C21)*48</f>
        <v>84192</v>
      </c>
      <c r="E22" s="36">
        <f t="shared" si="3"/>
        <v>50515.199999999997</v>
      </c>
      <c r="F22" s="99">
        <f t="shared" si="4"/>
        <v>33676.800000000003</v>
      </c>
      <c r="G22" s="73">
        <v>274365</v>
      </c>
      <c r="H22" s="36">
        <f t="shared" si="5"/>
        <v>1584</v>
      </c>
      <c r="I22" s="73">
        <v>82386</v>
      </c>
      <c r="J22" s="36">
        <f t="shared" ref="J22" si="280">(+I22-+I21)*48</f>
        <v>7968</v>
      </c>
      <c r="K22" s="73">
        <v>254357</v>
      </c>
      <c r="L22" s="36">
        <f t="shared" ref="L22:N22" si="281">(+K22-+K21)*48</f>
        <v>0</v>
      </c>
      <c r="M22" s="73">
        <v>24364</v>
      </c>
      <c r="N22" s="36">
        <f t="shared" si="281"/>
        <v>0</v>
      </c>
      <c r="O22" s="73">
        <v>217531</v>
      </c>
      <c r="P22" s="36">
        <f t="shared" ref="P22" si="282">(+O22-+O21)*48</f>
        <v>9312</v>
      </c>
      <c r="Q22" s="73">
        <v>432292</v>
      </c>
      <c r="R22" s="36">
        <f t="shared" ref="R22" si="283">(+Q22-+Q21)*48</f>
        <v>2640</v>
      </c>
      <c r="S22" s="73">
        <v>692547</v>
      </c>
      <c r="T22" s="36">
        <f t="shared" ref="T22" si="284">(+S22-+S21)*48</f>
        <v>5664</v>
      </c>
      <c r="U22" s="78">
        <v>94441.184999999998</v>
      </c>
      <c r="V22" s="99">
        <f t="shared" ref="V22" si="285">(+U22-+U21)*48</f>
        <v>969.5519999996759</v>
      </c>
      <c r="W22" s="73">
        <v>77330</v>
      </c>
      <c r="X22" s="36">
        <f t="shared" ref="X22" si="286">(+W22-+W21)*48</f>
        <v>240</v>
      </c>
      <c r="Y22" s="73">
        <v>1474042</v>
      </c>
      <c r="Z22" s="36">
        <f t="shared" ref="Z22" si="287">(+Y22-+Y21)*48</f>
        <v>0</v>
      </c>
      <c r="AA22" s="73">
        <v>13166</v>
      </c>
      <c r="AB22" s="36">
        <f t="shared" ref="AB22" si="288">(+AA22-+AA21)*48</f>
        <v>0</v>
      </c>
      <c r="AC22" s="73">
        <v>429974</v>
      </c>
      <c r="AD22" s="36">
        <f t="shared" si="15"/>
        <v>4176</v>
      </c>
      <c r="AE22" s="73">
        <v>507285</v>
      </c>
      <c r="AF22" s="36">
        <f t="shared" si="15"/>
        <v>4656</v>
      </c>
      <c r="AG22" s="73">
        <v>48682</v>
      </c>
      <c r="AH22" s="36">
        <f t="shared" ref="AH22" si="289">(+AG22-+AG21)*48</f>
        <v>144</v>
      </c>
      <c r="AI22" s="73">
        <v>389559</v>
      </c>
      <c r="AJ22" s="36">
        <f t="shared" ref="AJ22" si="290">(+AI22-+AI21)*48</f>
        <v>4560</v>
      </c>
      <c r="AK22" s="73">
        <v>102371</v>
      </c>
      <c r="AL22" s="36">
        <f t="shared" ref="AL22" si="291">(+AK22-+AK21)*48</f>
        <v>0</v>
      </c>
      <c r="AM22" s="73">
        <v>553362</v>
      </c>
      <c r="AN22" s="36">
        <f t="shared" ref="AN22" si="292">(+AM22-+AM21)*48</f>
        <v>5376</v>
      </c>
      <c r="AO22" s="73">
        <v>888445</v>
      </c>
      <c r="AP22" s="36">
        <f t="shared" ref="AP22" si="293">(+AO22-+AO21)*48</f>
        <v>8832</v>
      </c>
      <c r="AQ22" s="73">
        <v>65505</v>
      </c>
      <c r="AR22" s="36">
        <f t="shared" ref="AR22" si="294">(+AQ22-+AQ21)*48</f>
        <v>0</v>
      </c>
      <c r="AS22" s="73">
        <v>2204</v>
      </c>
      <c r="AT22" s="36">
        <f t="shared" ref="AT22" si="295">(+AS22-+AS21)*48</f>
        <v>0</v>
      </c>
      <c r="AU22" s="73">
        <v>918</v>
      </c>
      <c r="AV22" s="36">
        <f t="shared" ref="AV22" si="296">(+AU22-+AU21)*48</f>
        <v>0</v>
      </c>
      <c r="AW22" s="73">
        <v>3108</v>
      </c>
      <c r="AX22" s="36">
        <f t="shared" ref="AX22" si="297">(+AW22-+AW21)*48</f>
        <v>0</v>
      </c>
      <c r="AY22" s="73">
        <v>297699</v>
      </c>
      <c r="AZ22" s="36">
        <f t="shared" ref="AZ22" si="298">(+AY22-+AY21)*48</f>
        <v>3264</v>
      </c>
      <c r="BA22" s="73">
        <v>160167</v>
      </c>
      <c r="BB22" s="36">
        <f>(+BA23-+BA21)*48</f>
        <v>0</v>
      </c>
      <c r="BC22" s="73">
        <v>203929</v>
      </c>
      <c r="BD22" s="36">
        <f t="shared" ref="BD22" si="299">(+BC22-+BC21)*48</f>
        <v>2208</v>
      </c>
      <c r="BE22" s="73">
        <v>5347</v>
      </c>
      <c r="BF22" s="36">
        <f t="shared" ref="BF22" si="300">(+BE22-+BE21)*48</f>
        <v>0</v>
      </c>
      <c r="BH22" s="161">
        <f t="shared" si="0"/>
        <v>92428.751999999673</v>
      </c>
      <c r="BI22" s="161">
        <f t="shared" si="1"/>
        <v>53356.800000000003</v>
      </c>
    </row>
    <row r="23" spans="1:61" s="34" customFormat="1" ht="39.950000000000003" customHeight="1">
      <c r="A23" s="139">
        <v>44089</v>
      </c>
      <c r="B23" s="33"/>
      <c r="C23" s="73">
        <v>5472698</v>
      </c>
      <c r="D23" s="36">
        <f t="shared" ref="D23" si="301">(+C23-+C22)*48</f>
        <v>100224</v>
      </c>
      <c r="E23" s="36">
        <f t="shared" si="3"/>
        <v>60134.399999999994</v>
      </c>
      <c r="F23" s="99">
        <f t="shared" si="4"/>
        <v>40089.600000000006</v>
      </c>
      <c r="G23" s="73">
        <v>274399</v>
      </c>
      <c r="H23" s="36">
        <f t="shared" si="5"/>
        <v>1632</v>
      </c>
      <c r="I23" s="73">
        <v>82557</v>
      </c>
      <c r="J23" s="36">
        <f t="shared" ref="J23" si="302">(+I23-+I22)*48</f>
        <v>8208</v>
      </c>
      <c r="K23" s="73">
        <v>254357</v>
      </c>
      <c r="L23" s="36">
        <f t="shared" ref="L23:N23" si="303">(+K23-+K22)*48</f>
        <v>0</v>
      </c>
      <c r="M23" s="73">
        <v>24364</v>
      </c>
      <c r="N23" s="36">
        <f t="shared" si="303"/>
        <v>0</v>
      </c>
      <c r="O23" s="73">
        <v>217705</v>
      </c>
      <c r="P23" s="36">
        <f t="shared" ref="P23" si="304">(+O23-+O22)*48</f>
        <v>8352</v>
      </c>
      <c r="Q23" s="73">
        <v>432301</v>
      </c>
      <c r="R23" s="36">
        <f t="shared" ref="R23" si="305">(+Q23-+Q22)*48</f>
        <v>432</v>
      </c>
      <c r="S23" s="73">
        <v>692678</v>
      </c>
      <c r="T23" s="36">
        <f t="shared" ref="T23" si="306">(+S23-+S22)*48</f>
        <v>6288</v>
      </c>
      <c r="U23" s="78">
        <v>94456.911999999997</v>
      </c>
      <c r="V23" s="99">
        <f t="shared" ref="V23" si="307">(+U23-+U22)*48</f>
        <v>754.89599999994971</v>
      </c>
      <c r="W23" s="73">
        <v>77336</v>
      </c>
      <c r="X23" s="36">
        <f t="shared" ref="X23" si="308">(+W23-+W22)*48</f>
        <v>288</v>
      </c>
      <c r="Y23" s="73">
        <v>1474097</v>
      </c>
      <c r="Z23" s="36">
        <f t="shared" ref="Z23" si="309">(+Y23-+Y22)*48</f>
        <v>2640</v>
      </c>
      <c r="AA23" s="73">
        <v>13166</v>
      </c>
      <c r="AB23" s="36">
        <f t="shared" ref="AB23" si="310">(+AA23-+AA22)*48</f>
        <v>0</v>
      </c>
      <c r="AC23" s="73">
        <v>430066</v>
      </c>
      <c r="AD23" s="36">
        <f t="shared" si="15"/>
        <v>4416</v>
      </c>
      <c r="AE23" s="73">
        <v>507383</v>
      </c>
      <c r="AF23" s="36">
        <f t="shared" si="15"/>
        <v>4704</v>
      </c>
      <c r="AG23" s="73">
        <v>48685</v>
      </c>
      <c r="AH23" s="36">
        <f t="shared" ref="AH23" si="311">(+AG23-+AG22)*48</f>
        <v>144</v>
      </c>
      <c r="AI23" s="73">
        <v>389637</v>
      </c>
      <c r="AJ23" s="36">
        <f t="shared" ref="AJ23" si="312">(+AI23-+AI22)*48</f>
        <v>3744</v>
      </c>
      <c r="AK23" s="73">
        <v>102371</v>
      </c>
      <c r="AL23" s="36">
        <f t="shared" ref="AL23" si="313">(+AK23-+AK22)*48</f>
        <v>0</v>
      </c>
      <c r="AM23" s="73">
        <v>553481</v>
      </c>
      <c r="AN23" s="36">
        <f t="shared" ref="AN23" si="314">(+AM23-+AM22)*48</f>
        <v>5712</v>
      </c>
      <c r="AO23" s="73">
        <v>888645</v>
      </c>
      <c r="AP23" s="36">
        <f t="shared" ref="AP23" si="315">(+AO23-+AO22)*48</f>
        <v>9600</v>
      </c>
      <c r="AQ23" s="73">
        <v>65505</v>
      </c>
      <c r="AR23" s="36">
        <f t="shared" ref="AR23" si="316">(+AQ23-+AQ22)*48</f>
        <v>0</v>
      </c>
      <c r="AS23" s="73">
        <v>2204</v>
      </c>
      <c r="AT23" s="36">
        <f t="shared" ref="AT23" si="317">(+AS23-+AS22)*48</f>
        <v>0</v>
      </c>
      <c r="AU23" s="73">
        <v>918</v>
      </c>
      <c r="AV23" s="36">
        <f t="shared" ref="AV23" si="318">(+AU23-+AU22)*48</f>
        <v>0</v>
      </c>
      <c r="AW23" s="73">
        <v>3108</v>
      </c>
      <c r="AX23" s="36">
        <f t="shared" ref="AX23" si="319">(+AW23-+AW22)*48</f>
        <v>0</v>
      </c>
      <c r="AY23" s="73">
        <v>297767</v>
      </c>
      <c r="AZ23" s="36">
        <f t="shared" ref="AZ23" si="320">(+AY23-+AY22)*48</f>
        <v>3264</v>
      </c>
      <c r="BA23" s="73">
        <v>160167</v>
      </c>
      <c r="BB23" s="99">
        <f t="shared" ref="BB23:BB25" si="321">(+BA23-+BA22)*48</f>
        <v>0</v>
      </c>
      <c r="BC23" s="73">
        <v>203977</v>
      </c>
      <c r="BD23" s="36">
        <f t="shared" ref="BD23" si="322">(+BC23-+BC22)*48</f>
        <v>2304</v>
      </c>
      <c r="BE23" s="73">
        <v>5347</v>
      </c>
      <c r="BF23" s="36">
        <f t="shared" ref="BF23" si="323">(+BE23-+BE22)*48</f>
        <v>0</v>
      </c>
      <c r="BH23" s="100">
        <f t="shared" si="0"/>
        <v>101737.29599999994</v>
      </c>
      <c r="BI23" s="100">
        <f t="shared" si="1"/>
        <v>60969.600000000006</v>
      </c>
    </row>
    <row r="24" spans="1:61" s="34" customFormat="1" ht="39.950000000000003" customHeight="1">
      <c r="A24" s="139">
        <v>44090</v>
      </c>
      <c r="B24" s="33"/>
      <c r="C24" s="73">
        <v>5474400</v>
      </c>
      <c r="D24" s="99">
        <f t="shared" ref="D24" si="324">(+C24-+C23)*48</f>
        <v>81696</v>
      </c>
      <c r="E24" s="36">
        <f t="shared" si="3"/>
        <v>49017.599999999999</v>
      </c>
      <c r="F24" s="99">
        <f t="shared" si="4"/>
        <v>32678.400000000001</v>
      </c>
      <c r="G24" s="73">
        <v>274434</v>
      </c>
      <c r="H24" s="36">
        <f t="shared" si="5"/>
        <v>1680</v>
      </c>
      <c r="I24" s="73">
        <v>82730</v>
      </c>
      <c r="J24" s="36">
        <f t="shared" ref="J24" si="325">(+I24-+I23)*48</f>
        <v>8304</v>
      </c>
      <c r="K24" s="73">
        <v>254359</v>
      </c>
      <c r="L24" s="36">
        <f t="shared" ref="L24:N24" si="326">(+K24-+K23)*48</f>
        <v>96</v>
      </c>
      <c r="M24" s="73">
        <v>24364</v>
      </c>
      <c r="N24" s="36">
        <f t="shared" si="326"/>
        <v>0</v>
      </c>
      <c r="O24" s="73">
        <v>217878</v>
      </c>
      <c r="P24" s="99">
        <f t="shared" ref="P24" si="327">(+O24-+O23)*48</f>
        <v>8304</v>
      </c>
      <c r="Q24" s="73">
        <v>432312</v>
      </c>
      <c r="R24" s="99">
        <f t="shared" ref="R24" si="328">(+Q24-+Q23)*48</f>
        <v>528</v>
      </c>
      <c r="S24" s="73">
        <v>692818</v>
      </c>
      <c r="T24" s="99">
        <f t="shared" ref="T24" si="329">(+S24-+S23)*48</f>
        <v>6720</v>
      </c>
      <c r="U24" s="78">
        <v>94471.293000000005</v>
      </c>
      <c r="V24" s="99">
        <f t="shared" ref="V24" si="330">(+U24-+U23)*48</f>
        <v>690.28800000040792</v>
      </c>
      <c r="W24" s="73">
        <v>77342</v>
      </c>
      <c r="X24" s="99">
        <f t="shared" ref="X24" si="331">(+W24-+W23)*48</f>
        <v>288</v>
      </c>
      <c r="Y24" s="73">
        <v>1474097</v>
      </c>
      <c r="Z24" s="99">
        <f t="shared" ref="Z24" si="332">(+Y24-+Y23)*48</f>
        <v>0</v>
      </c>
      <c r="AA24" s="73">
        <v>13166</v>
      </c>
      <c r="AB24" s="99">
        <f t="shared" ref="AB24" si="333">(+AA24-+AA23)*48</f>
        <v>0</v>
      </c>
      <c r="AC24" s="73">
        <v>430159</v>
      </c>
      <c r="AD24" s="99">
        <f t="shared" si="15"/>
        <v>4464</v>
      </c>
      <c r="AE24" s="73">
        <v>507470</v>
      </c>
      <c r="AF24" s="99">
        <f t="shared" si="15"/>
        <v>4176</v>
      </c>
      <c r="AG24" s="73">
        <v>48688</v>
      </c>
      <c r="AH24" s="99">
        <f t="shared" ref="AH24" si="334">(+AG24-+AG23)*48</f>
        <v>144</v>
      </c>
      <c r="AI24" s="73">
        <v>389721</v>
      </c>
      <c r="AJ24" s="99">
        <f t="shared" ref="AJ24" si="335">(+AI24-+AI23)*48</f>
        <v>4032</v>
      </c>
      <c r="AK24" s="73">
        <v>102371</v>
      </c>
      <c r="AL24" s="99">
        <f t="shared" ref="AL24" si="336">(+AK24-+AK23)*48</f>
        <v>0</v>
      </c>
      <c r="AM24" s="73">
        <v>553603</v>
      </c>
      <c r="AN24" s="99">
        <f t="shared" ref="AN24" si="337">(+AM24-+AM23)*48</f>
        <v>5856</v>
      </c>
      <c r="AO24" s="73">
        <v>888851</v>
      </c>
      <c r="AP24" s="99">
        <f t="shared" ref="AP24" si="338">(+AO24-+AO23)*48</f>
        <v>9888</v>
      </c>
      <c r="AQ24" s="73">
        <v>65505</v>
      </c>
      <c r="AR24" s="99">
        <f t="shared" ref="AR24" si="339">(+AQ24-+AQ23)*48</f>
        <v>0</v>
      </c>
      <c r="AS24" s="73">
        <v>2204</v>
      </c>
      <c r="AT24" s="99">
        <f t="shared" ref="AT24" si="340">(+AS24-+AS23)*48</f>
        <v>0</v>
      </c>
      <c r="AU24" s="73">
        <v>918</v>
      </c>
      <c r="AV24" s="99">
        <f t="shared" ref="AV24" si="341">(+AU24-+AU23)*48</f>
        <v>0</v>
      </c>
      <c r="AW24" s="73">
        <v>3108</v>
      </c>
      <c r="AX24" s="99">
        <f t="shared" ref="AX24" si="342">(+AW24-+AW23)*48</f>
        <v>0</v>
      </c>
      <c r="AY24" s="73">
        <v>297837</v>
      </c>
      <c r="AZ24" s="99">
        <f t="shared" ref="AZ24" si="343">(+AY24-+AY23)*48</f>
        <v>3360</v>
      </c>
      <c r="BA24" s="73">
        <v>160167</v>
      </c>
      <c r="BB24" s="99">
        <f t="shared" si="321"/>
        <v>0</v>
      </c>
      <c r="BC24" s="73">
        <v>204025</v>
      </c>
      <c r="BD24" s="99">
        <f t="shared" ref="BD24" si="344">(+BC24-+BC23)*48</f>
        <v>2304</v>
      </c>
      <c r="BE24" s="73">
        <v>5347</v>
      </c>
      <c r="BF24" s="99">
        <f t="shared" ref="BF24" si="345">(+BE24-+BE23)*48</f>
        <v>0</v>
      </c>
      <c r="BH24" s="100">
        <f t="shared" si="0"/>
        <v>88443.888000000414</v>
      </c>
      <c r="BI24" s="100">
        <f t="shared" si="1"/>
        <v>54086.400000000001</v>
      </c>
    </row>
    <row r="25" spans="1:61" s="34" customFormat="1" ht="39.950000000000003" customHeight="1">
      <c r="A25" s="139">
        <v>44091</v>
      </c>
      <c r="B25" s="33"/>
      <c r="C25" s="73">
        <v>5476356</v>
      </c>
      <c r="D25" s="99">
        <f t="shared" ref="D25" si="346">(+C25-+C24)*48</f>
        <v>93888</v>
      </c>
      <c r="E25" s="36">
        <f t="shared" si="3"/>
        <v>56332.799999999996</v>
      </c>
      <c r="F25" s="99">
        <f t="shared" si="4"/>
        <v>37555.200000000004</v>
      </c>
      <c r="G25" s="73">
        <v>274464</v>
      </c>
      <c r="H25" s="36">
        <f t="shared" si="5"/>
        <v>1440</v>
      </c>
      <c r="I25" s="73">
        <v>82898</v>
      </c>
      <c r="J25" s="36">
        <f t="shared" ref="J25" si="347">(+I25-+I24)*48</f>
        <v>8064</v>
      </c>
      <c r="K25" s="73">
        <v>254360</v>
      </c>
      <c r="L25" s="36">
        <f t="shared" ref="L25:N25" si="348">(+K25-+K24)*48</f>
        <v>48</v>
      </c>
      <c r="M25" s="73">
        <v>24364</v>
      </c>
      <c r="N25" s="36">
        <f t="shared" si="348"/>
        <v>0</v>
      </c>
      <c r="O25" s="73">
        <v>218043</v>
      </c>
      <c r="P25" s="99">
        <f t="shared" ref="P25" si="349">(+O25-+O24)*48</f>
        <v>7920</v>
      </c>
      <c r="Q25" s="73">
        <v>432341</v>
      </c>
      <c r="R25" s="99">
        <f t="shared" ref="R25" si="350">(+Q25-+Q24)*48</f>
        <v>1392</v>
      </c>
      <c r="S25" s="73">
        <v>692950</v>
      </c>
      <c r="T25" s="99">
        <f t="shared" ref="T25" si="351">(+S25-+S24)*48</f>
        <v>6336</v>
      </c>
      <c r="U25" s="78">
        <v>94489.305999999997</v>
      </c>
      <c r="V25" s="99">
        <f t="shared" ref="V25" si="352">(+U25-+U24)*48</f>
        <v>864.62399999960326</v>
      </c>
      <c r="W25" s="73">
        <v>77346</v>
      </c>
      <c r="X25" s="99">
        <f t="shared" ref="X25" si="353">(+W25-+W24)*48</f>
        <v>192</v>
      </c>
      <c r="Y25" s="73">
        <v>1474140</v>
      </c>
      <c r="Z25" s="99">
        <f t="shared" ref="Z25" si="354">(+Y25-+Y24)*48</f>
        <v>2064</v>
      </c>
      <c r="AA25" s="73">
        <v>13166</v>
      </c>
      <c r="AB25" s="99">
        <f t="shared" ref="AB25" si="355">(+AA25-+AA24)*48</f>
        <v>0</v>
      </c>
      <c r="AC25" s="73">
        <v>430245</v>
      </c>
      <c r="AD25" s="99">
        <f t="shared" si="15"/>
        <v>4128</v>
      </c>
      <c r="AE25" s="73">
        <v>507534</v>
      </c>
      <c r="AF25" s="99">
        <f t="shared" si="15"/>
        <v>3072</v>
      </c>
      <c r="AG25" s="73">
        <v>48692</v>
      </c>
      <c r="AH25" s="99">
        <f t="shared" ref="AH25" si="356">(+AG25-+AG24)*48</f>
        <v>192</v>
      </c>
      <c r="AI25" s="73">
        <v>389817</v>
      </c>
      <c r="AJ25" s="99">
        <f t="shared" ref="AJ25" si="357">(+AI25-+AI24)*48</f>
        <v>4608</v>
      </c>
      <c r="AK25" s="73">
        <v>102371</v>
      </c>
      <c r="AL25" s="99">
        <f t="shared" ref="AL25" si="358">(+AK25-+AK24)*48</f>
        <v>0</v>
      </c>
      <c r="AM25" s="73">
        <v>553719</v>
      </c>
      <c r="AN25" s="99">
        <f t="shared" ref="AN25" si="359">(+AM25-+AM24)*48</f>
        <v>5568</v>
      </c>
      <c r="AO25" s="73">
        <v>889055</v>
      </c>
      <c r="AP25" s="99">
        <f t="shared" ref="AP25" si="360">(+AO25-+AO24)*48</f>
        <v>9792</v>
      </c>
      <c r="AQ25" s="73">
        <v>65557</v>
      </c>
      <c r="AR25" s="99">
        <f t="shared" ref="AR25" si="361">(+AQ25-+AQ24)*48</f>
        <v>2496</v>
      </c>
      <c r="AS25" s="73">
        <v>2204</v>
      </c>
      <c r="AT25" s="99">
        <f t="shared" ref="AT25" si="362">(+AS25-+AS24)*48</f>
        <v>0</v>
      </c>
      <c r="AU25" s="73">
        <v>918</v>
      </c>
      <c r="AV25" s="99">
        <f t="shared" ref="AV25" si="363">(+AU25-+AU24)*48</f>
        <v>0</v>
      </c>
      <c r="AW25" s="73">
        <v>3108</v>
      </c>
      <c r="AX25" s="99">
        <f t="shared" ref="AX25" si="364">(+AW25-+AW24)*48</f>
        <v>0</v>
      </c>
      <c r="AY25" s="73">
        <v>297905</v>
      </c>
      <c r="AZ25" s="99">
        <f t="shared" ref="AZ25" si="365">(+AY25-+AY24)*48</f>
        <v>3264</v>
      </c>
      <c r="BA25" s="73">
        <v>160167</v>
      </c>
      <c r="BB25" s="99">
        <f t="shared" si="321"/>
        <v>0</v>
      </c>
      <c r="BC25" s="73">
        <v>204073</v>
      </c>
      <c r="BD25" s="99">
        <f t="shared" ref="BD25" si="366">(+BC25-+BC24)*48</f>
        <v>2304</v>
      </c>
      <c r="BE25" s="73">
        <v>5347</v>
      </c>
      <c r="BF25" s="99">
        <f t="shared" ref="BF25" si="367">(+BE25-+BE24)*48</f>
        <v>0</v>
      </c>
      <c r="BH25" s="100">
        <f t="shared" si="0"/>
        <v>96653.423999999592</v>
      </c>
      <c r="BI25" s="100">
        <f t="shared" si="1"/>
        <v>60979.200000000004</v>
      </c>
    </row>
    <row r="26" spans="1:61" s="34" customFormat="1" ht="39.950000000000003" customHeight="1">
      <c r="A26" s="139">
        <v>44092</v>
      </c>
      <c r="B26" s="33"/>
      <c r="C26" s="73">
        <v>5478051</v>
      </c>
      <c r="D26" s="99">
        <f t="shared" ref="D26" si="368">(+C26-+C25)*48</f>
        <v>81360</v>
      </c>
      <c r="E26" s="36">
        <f t="shared" si="3"/>
        <v>48816</v>
      </c>
      <c r="F26" s="99">
        <f t="shared" si="4"/>
        <v>32544</v>
      </c>
      <c r="G26" s="73">
        <v>274495</v>
      </c>
      <c r="H26" s="36">
        <f t="shared" si="5"/>
        <v>1488</v>
      </c>
      <c r="I26" s="73">
        <v>83056</v>
      </c>
      <c r="J26" s="36">
        <f t="shared" ref="J26" si="369">(+I26-+I25)*48</f>
        <v>7584</v>
      </c>
      <c r="K26" s="73">
        <v>254365</v>
      </c>
      <c r="L26" s="36">
        <f t="shared" ref="L26:N26" si="370">(+K26-+K25)*48</f>
        <v>240</v>
      </c>
      <c r="M26" s="73">
        <v>24364</v>
      </c>
      <c r="N26" s="36">
        <f t="shared" si="370"/>
        <v>0</v>
      </c>
      <c r="O26" s="73">
        <v>218226</v>
      </c>
      <c r="P26" s="99">
        <f t="shared" ref="P26" si="371">(+O26-+O25)*48</f>
        <v>8784</v>
      </c>
      <c r="Q26" s="73">
        <v>432397</v>
      </c>
      <c r="R26" s="99">
        <f t="shared" ref="R26" si="372">(+Q26-+Q25)*48</f>
        <v>2688</v>
      </c>
      <c r="S26" s="73">
        <v>693083</v>
      </c>
      <c r="T26" s="99">
        <f t="shared" ref="T26" si="373">(+S26-+S25)*48</f>
        <v>6384</v>
      </c>
      <c r="U26" s="78">
        <v>94507.236000000004</v>
      </c>
      <c r="V26" s="99">
        <f t="shared" ref="V26" si="374">(+U26-+U25)*48</f>
        <v>860.64000000036322</v>
      </c>
      <c r="W26" s="73">
        <v>77352</v>
      </c>
      <c r="X26" s="99">
        <f t="shared" ref="X26" si="375">(+W26-+W25)*48</f>
        <v>288</v>
      </c>
      <c r="Y26" s="73">
        <v>1474168</v>
      </c>
      <c r="Z26" s="99">
        <f t="shared" ref="Z26" si="376">(+Y26-+Y25)*48</f>
        <v>1344</v>
      </c>
      <c r="AA26" s="73">
        <v>13166</v>
      </c>
      <c r="AB26" s="99">
        <f t="shared" ref="AB26" si="377">(+AA26-+AA25)*48</f>
        <v>0</v>
      </c>
      <c r="AC26" s="73">
        <v>430332</v>
      </c>
      <c r="AD26" s="99">
        <f t="shared" si="15"/>
        <v>4176</v>
      </c>
      <c r="AE26" s="73">
        <v>507613</v>
      </c>
      <c r="AF26" s="99">
        <f t="shared" si="15"/>
        <v>3792</v>
      </c>
      <c r="AG26" s="73">
        <v>48695</v>
      </c>
      <c r="AH26" s="99">
        <f t="shared" ref="AH26" si="378">(+AG26-+AG25)*48</f>
        <v>144</v>
      </c>
      <c r="AI26" s="73">
        <v>389909</v>
      </c>
      <c r="AJ26" s="99">
        <f t="shared" ref="AJ26" si="379">(+AI26-+AI25)*48</f>
        <v>4416</v>
      </c>
      <c r="AK26" s="73">
        <v>102371</v>
      </c>
      <c r="AL26" s="99">
        <f t="shared" ref="AL26" si="380">(+AK26-+AK25)*48</f>
        <v>0</v>
      </c>
      <c r="AM26" s="73">
        <v>553838</v>
      </c>
      <c r="AN26" s="99">
        <f t="shared" ref="AN26" si="381">(+AM26-+AM25)*48</f>
        <v>5712</v>
      </c>
      <c r="AO26" s="73">
        <v>889261</v>
      </c>
      <c r="AP26" s="99">
        <f t="shared" ref="AP26" si="382">(+AO26-+AO25)*48</f>
        <v>9888</v>
      </c>
      <c r="AQ26" s="73">
        <v>65609</v>
      </c>
      <c r="AR26" s="99">
        <f t="shared" ref="AR26" si="383">(+AQ26-+AQ25)*48</f>
        <v>2496</v>
      </c>
      <c r="AS26" s="73">
        <v>2204</v>
      </c>
      <c r="AT26" s="99">
        <f t="shared" ref="AT26" si="384">(+AS26-+AS25)*48</f>
        <v>0</v>
      </c>
      <c r="AU26" s="73">
        <v>918</v>
      </c>
      <c r="AV26" s="99">
        <f t="shared" ref="AV26" si="385">(+AU26-+AU25)*48</f>
        <v>0</v>
      </c>
      <c r="AW26" s="73">
        <v>3108</v>
      </c>
      <c r="AX26" s="99">
        <f t="shared" ref="AX26" si="386">(+AW26-+AW25)*48</f>
        <v>0</v>
      </c>
      <c r="AY26" s="73">
        <v>297972</v>
      </c>
      <c r="AZ26" s="99">
        <f>(+AY26-+AY25)*48</f>
        <v>3216</v>
      </c>
      <c r="BA26" s="73">
        <v>160167</v>
      </c>
      <c r="BB26" s="99">
        <f>(+BA26-+BA25)*48</f>
        <v>0</v>
      </c>
      <c r="BC26" s="73">
        <v>204123</v>
      </c>
      <c r="BD26" s="99">
        <f t="shared" ref="BD26" si="387">(+BC26-+BC25)*48</f>
        <v>2400</v>
      </c>
      <c r="BE26" s="73">
        <v>5347</v>
      </c>
      <c r="BF26" s="99">
        <f t="shared" ref="BF26" si="388">(+BE26-+BE25)*48</f>
        <v>0</v>
      </c>
      <c r="BH26" s="100">
        <f t="shared" si="0"/>
        <v>91004.640000000363</v>
      </c>
      <c r="BI26" s="100">
        <f t="shared" si="1"/>
        <v>56256</v>
      </c>
    </row>
    <row r="27" spans="1:61" s="34" customFormat="1" ht="39.950000000000003" customHeight="1">
      <c r="A27" s="139">
        <v>44093</v>
      </c>
      <c r="B27" s="33"/>
      <c r="C27" s="73">
        <v>5479947</v>
      </c>
      <c r="D27" s="99">
        <f t="shared" ref="D27" si="389">(+C27-+C26)*48</f>
        <v>91008</v>
      </c>
      <c r="E27" s="36">
        <f t="shared" si="3"/>
        <v>54604.799999999996</v>
      </c>
      <c r="F27" s="99">
        <f t="shared" si="4"/>
        <v>36403.200000000004</v>
      </c>
      <c r="G27" s="73">
        <v>274529</v>
      </c>
      <c r="H27" s="36">
        <f t="shared" si="5"/>
        <v>1632</v>
      </c>
      <c r="I27" s="73">
        <v>83231</v>
      </c>
      <c r="J27" s="36">
        <f t="shared" ref="J27" si="390">(+I27-+I26)*48</f>
        <v>8400</v>
      </c>
      <c r="K27" s="73">
        <v>254378</v>
      </c>
      <c r="L27" s="36">
        <f t="shared" ref="L27:N27" si="391">(+K27-+K26)*48</f>
        <v>624</v>
      </c>
      <c r="M27" s="73">
        <v>24364</v>
      </c>
      <c r="N27" s="36">
        <f t="shared" si="391"/>
        <v>0</v>
      </c>
      <c r="O27" s="73">
        <v>218418</v>
      </c>
      <c r="P27" s="99">
        <f t="shared" ref="P27" si="392">(+O27-+O26)*48</f>
        <v>9216</v>
      </c>
      <c r="Q27" s="73">
        <v>432461</v>
      </c>
      <c r="R27" s="99">
        <f t="shared" ref="R27" si="393">(+Q27-+Q26)*48</f>
        <v>3072</v>
      </c>
      <c r="S27" s="73">
        <v>693209</v>
      </c>
      <c r="T27" s="99">
        <f t="shared" ref="T27" si="394">(+S27-+S26)*48</f>
        <v>6048</v>
      </c>
      <c r="U27" s="78">
        <v>94524.524000000005</v>
      </c>
      <c r="V27" s="99">
        <f t="shared" ref="V27" si="395">(+U27-+U26)*48</f>
        <v>829.82400000002235</v>
      </c>
      <c r="W27" s="73">
        <v>77366</v>
      </c>
      <c r="X27" s="99">
        <f t="shared" ref="X27" si="396">(+W27-+W26)*48</f>
        <v>672</v>
      </c>
      <c r="Y27" s="73">
        <v>1474197</v>
      </c>
      <c r="Z27" s="99">
        <f t="shared" ref="Z27" si="397">(+Y27-+Y26)*48</f>
        <v>1392</v>
      </c>
      <c r="AA27" s="73">
        <v>13166</v>
      </c>
      <c r="AB27" s="99">
        <f t="shared" ref="AB27" si="398">(+AA27-+AA26)*48</f>
        <v>0</v>
      </c>
      <c r="AC27" s="73">
        <v>430422</v>
      </c>
      <c r="AD27" s="99">
        <f t="shared" si="15"/>
        <v>4320</v>
      </c>
      <c r="AE27" s="73">
        <v>507710</v>
      </c>
      <c r="AF27" s="99">
        <f t="shared" si="15"/>
        <v>4656</v>
      </c>
      <c r="AG27" s="73">
        <v>48698</v>
      </c>
      <c r="AH27" s="99">
        <f t="shared" ref="AH27" si="399">(+AG27-+AG26)*48</f>
        <v>144</v>
      </c>
      <c r="AI27" s="73">
        <v>390011</v>
      </c>
      <c r="AJ27" s="99">
        <f t="shared" ref="AJ27" si="400">(+AI27-+AI26)*48</f>
        <v>4896</v>
      </c>
      <c r="AK27" s="73">
        <v>102371</v>
      </c>
      <c r="AL27" s="99">
        <f t="shared" ref="AL27" si="401">(+AK27-+AK26)*48</f>
        <v>0</v>
      </c>
      <c r="AM27" s="73">
        <v>553956</v>
      </c>
      <c r="AN27" s="99">
        <f t="shared" ref="AN27" si="402">(+AM27-+AM26)*48</f>
        <v>5664</v>
      </c>
      <c r="AO27" s="73">
        <v>889468</v>
      </c>
      <c r="AP27" s="99">
        <f t="shared" ref="AP27" si="403">(+AO27-+AO26)*48</f>
        <v>9936</v>
      </c>
      <c r="AQ27" s="73">
        <v>65665</v>
      </c>
      <c r="AR27" s="99">
        <f t="shared" ref="AR27" si="404">(+AQ27-+AQ26)*48</f>
        <v>2688</v>
      </c>
      <c r="AS27" s="73">
        <v>2204</v>
      </c>
      <c r="AT27" s="99">
        <f t="shared" ref="AT27" si="405">(+AS27-+AS26)*48</f>
        <v>0</v>
      </c>
      <c r="AU27" s="73">
        <v>918</v>
      </c>
      <c r="AV27" s="99">
        <f t="shared" ref="AV27" si="406">(+AU27-+AU26)*48</f>
        <v>0</v>
      </c>
      <c r="AW27" s="73">
        <v>3108</v>
      </c>
      <c r="AX27" s="99">
        <f t="shared" ref="AX27" si="407">(+AW27-+AW26)*48</f>
        <v>0</v>
      </c>
      <c r="AY27" s="73">
        <v>298039</v>
      </c>
      <c r="AZ27" s="99">
        <f t="shared" ref="AZ27" si="408">(+AY27-+AY26)*48</f>
        <v>3216</v>
      </c>
      <c r="BA27" s="73">
        <v>160167</v>
      </c>
      <c r="BB27" s="99">
        <f>(+BA27-+BA26)*48</f>
        <v>0</v>
      </c>
      <c r="BC27" s="73">
        <v>204170</v>
      </c>
      <c r="BD27" s="99">
        <f t="shared" ref="BD27" si="409">(+BC27-+BC26)*48</f>
        <v>2256</v>
      </c>
      <c r="BE27" s="73">
        <v>5347</v>
      </c>
      <c r="BF27" s="99">
        <f t="shared" ref="BF27" si="410">(+BE27-+BE26)*48</f>
        <v>0</v>
      </c>
      <c r="BH27" s="100">
        <f t="shared" si="0"/>
        <v>100506.62400000001</v>
      </c>
      <c r="BI27" s="100">
        <f t="shared" si="1"/>
        <v>60163.200000000004</v>
      </c>
    </row>
    <row r="28" spans="1:61" s="34" customFormat="1" ht="39.950000000000003" customHeight="1">
      <c r="A28" s="139">
        <v>44094</v>
      </c>
      <c r="B28" s="33"/>
      <c r="C28" s="73">
        <v>5481789</v>
      </c>
      <c r="D28" s="99">
        <f t="shared" ref="D28" si="411">(+C28-+C27)*48</f>
        <v>88416</v>
      </c>
      <c r="E28" s="36">
        <f t="shared" si="3"/>
        <v>53049.599999999999</v>
      </c>
      <c r="F28" s="99">
        <f t="shared" si="4"/>
        <v>35366.400000000001</v>
      </c>
      <c r="G28" s="73">
        <v>274569</v>
      </c>
      <c r="H28" s="36">
        <f t="shared" si="5"/>
        <v>1920</v>
      </c>
      <c r="I28" s="73">
        <v>83407</v>
      </c>
      <c r="J28" s="36">
        <f t="shared" ref="J28" si="412">(+I28-+I27)*48</f>
        <v>8448</v>
      </c>
      <c r="K28" s="73">
        <v>254380</v>
      </c>
      <c r="L28" s="36">
        <f t="shared" ref="L28:N28" si="413">(+K28-+K27)*48</f>
        <v>96</v>
      </c>
      <c r="M28" s="73">
        <v>24364</v>
      </c>
      <c r="N28" s="36">
        <f t="shared" si="413"/>
        <v>0</v>
      </c>
      <c r="O28" s="73">
        <v>218615</v>
      </c>
      <c r="P28" s="99">
        <f t="shared" ref="P28" si="414">(+O28-+O27)*48</f>
        <v>9456</v>
      </c>
      <c r="Q28" s="73">
        <v>432554</v>
      </c>
      <c r="R28" s="99">
        <f t="shared" ref="R28" si="415">(+Q28-+Q27)*48</f>
        <v>4464</v>
      </c>
      <c r="S28" s="73">
        <v>693347</v>
      </c>
      <c r="T28" s="99">
        <f t="shared" ref="T28" si="416">(+S28-+S27)*48</f>
        <v>6624</v>
      </c>
      <c r="U28" s="78">
        <v>94545.891000000003</v>
      </c>
      <c r="V28" s="99">
        <f t="shared" ref="V28" si="417">(+U28-+U27)*48</f>
        <v>1025.6159999999218</v>
      </c>
      <c r="W28" s="73">
        <v>77384</v>
      </c>
      <c r="X28" s="99">
        <f t="shared" ref="X28" si="418">(+W28-+W27)*48</f>
        <v>864</v>
      </c>
      <c r="Y28" s="73">
        <v>1474227</v>
      </c>
      <c r="Z28" s="99">
        <f t="shared" ref="Z28" si="419">(+Y28-+Y27)*48</f>
        <v>1440</v>
      </c>
      <c r="AA28" s="73">
        <v>13166</v>
      </c>
      <c r="AB28" s="99">
        <f t="shared" ref="AB28" si="420">(+AA28-+AA27)*48</f>
        <v>0</v>
      </c>
      <c r="AC28" s="73">
        <v>430513</v>
      </c>
      <c r="AD28" s="99">
        <f t="shared" si="15"/>
        <v>4368</v>
      </c>
      <c r="AE28" s="73">
        <v>507807</v>
      </c>
      <c r="AF28" s="99">
        <f t="shared" si="15"/>
        <v>4656</v>
      </c>
      <c r="AG28" s="73">
        <v>48702</v>
      </c>
      <c r="AH28" s="99">
        <f t="shared" ref="AH28" si="421">(+AG28-+AG27)*48</f>
        <v>192</v>
      </c>
      <c r="AI28" s="73">
        <v>390111</v>
      </c>
      <c r="AJ28" s="99">
        <f t="shared" ref="AJ28" si="422">(+AI28-+AI27)*48</f>
        <v>4800</v>
      </c>
      <c r="AK28" s="73">
        <v>102371</v>
      </c>
      <c r="AL28" s="99">
        <f t="shared" ref="AL28" si="423">(+AK28-+AK27)*48</f>
        <v>0</v>
      </c>
      <c r="AM28" s="73">
        <v>554073</v>
      </c>
      <c r="AN28" s="99">
        <f t="shared" ref="AN28" si="424">(+AM28-+AM27)*48</f>
        <v>5616</v>
      </c>
      <c r="AO28" s="73">
        <v>889670</v>
      </c>
      <c r="AP28" s="99">
        <f t="shared" ref="AP28" si="425">(+AO28-+AO27)*48</f>
        <v>9696</v>
      </c>
      <c r="AQ28" s="73">
        <v>65760</v>
      </c>
      <c r="AR28" s="99">
        <f t="shared" ref="AR28" si="426">(+AQ28-+AQ27)*48</f>
        <v>4560</v>
      </c>
      <c r="AS28" s="73">
        <v>2204</v>
      </c>
      <c r="AT28" s="99">
        <f t="shared" ref="AT28" si="427">(+AS28-+AS27)*48</f>
        <v>0</v>
      </c>
      <c r="AU28" s="73">
        <v>918</v>
      </c>
      <c r="AV28" s="99">
        <f t="shared" ref="AV28" si="428">(+AU28-+AU27)*48</f>
        <v>0</v>
      </c>
      <c r="AW28" s="73">
        <v>3108</v>
      </c>
      <c r="AX28" s="99">
        <f t="shared" ref="AX28" si="429">(+AW28-+AW27)*48</f>
        <v>0</v>
      </c>
      <c r="AY28" s="73">
        <v>298107</v>
      </c>
      <c r="AZ28" s="99">
        <f t="shared" ref="AZ28" si="430">(+AY28-+AY27)*48</f>
        <v>3264</v>
      </c>
      <c r="BA28" s="73">
        <v>160167</v>
      </c>
      <c r="BB28" s="99">
        <f t="shared" ref="BB28" si="431">(+BA28-+BA27)*48</f>
        <v>0</v>
      </c>
      <c r="BC28" s="73">
        <v>204219</v>
      </c>
      <c r="BD28" s="99">
        <f t="shared" ref="BD28" si="432">(+BC28-+BC27)*48</f>
        <v>2352</v>
      </c>
      <c r="BE28" s="73">
        <v>5347</v>
      </c>
      <c r="BF28" s="99">
        <f t="shared" ref="BF28" si="433">(+BE28-+BE27)*48</f>
        <v>0</v>
      </c>
      <c r="BH28" s="100">
        <f t="shared" si="0"/>
        <v>101403.21599999993</v>
      </c>
      <c r="BI28" s="100">
        <f t="shared" si="1"/>
        <v>60854.400000000001</v>
      </c>
    </row>
    <row r="29" spans="1:61" s="34" customFormat="1" ht="39.950000000000003" customHeight="1">
      <c r="A29" s="139">
        <v>44095</v>
      </c>
      <c r="B29" s="33"/>
      <c r="C29" s="78">
        <v>5483808</v>
      </c>
      <c r="D29" s="99">
        <f t="shared" ref="D29" si="434">(+C29-+C28)*48</f>
        <v>96912</v>
      </c>
      <c r="E29" s="36">
        <f t="shared" si="3"/>
        <v>58147.199999999997</v>
      </c>
      <c r="F29" s="99">
        <f t="shared" si="4"/>
        <v>38764.800000000003</v>
      </c>
      <c r="G29" s="78">
        <v>274608</v>
      </c>
      <c r="H29" s="36">
        <f t="shared" si="5"/>
        <v>1872</v>
      </c>
      <c r="I29" s="78">
        <v>83580</v>
      </c>
      <c r="J29" s="36">
        <f t="shared" ref="J29" si="435">(+I29-+I28)*48</f>
        <v>8304</v>
      </c>
      <c r="K29" s="78">
        <v>254383</v>
      </c>
      <c r="L29" s="36">
        <f t="shared" ref="L29:N29" si="436">(+K29-+K28)*48</f>
        <v>144</v>
      </c>
      <c r="M29" s="78">
        <v>24364</v>
      </c>
      <c r="N29" s="36">
        <f t="shared" si="436"/>
        <v>0</v>
      </c>
      <c r="O29" s="78">
        <v>218823</v>
      </c>
      <c r="P29" s="99">
        <f t="shared" ref="P29" si="437">(+O29-+O28)*48</f>
        <v>9984</v>
      </c>
      <c r="Q29" s="78">
        <v>432640</v>
      </c>
      <c r="R29" s="99">
        <f t="shared" ref="R29" si="438">(+Q29-+Q28)*48</f>
        <v>4128</v>
      </c>
      <c r="S29" s="78">
        <v>693487</v>
      </c>
      <c r="T29" s="99">
        <f t="shared" ref="T29" si="439">(+S29-+S28)*48</f>
        <v>6720</v>
      </c>
      <c r="U29" s="78">
        <v>94568.434999999998</v>
      </c>
      <c r="V29" s="99">
        <f t="shared" ref="V29" si="440">(+U29-+U28)*48</f>
        <v>1082.1119999997318</v>
      </c>
      <c r="W29" s="78">
        <v>77399</v>
      </c>
      <c r="X29" s="99">
        <f t="shared" ref="X29" si="441">(+W29-+W28)*48</f>
        <v>720</v>
      </c>
      <c r="Y29" s="78">
        <v>1474316</v>
      </c>
      <c r="Z29" s="99">
        <f t="shared" ref="Z29" si="442">(+Y29-+Y28)*48</f>
        <v>4272</v>
      </c>
      <c r="AA29" s="78">
        <v>13166</v>
      </c>
      <c r="AB29" s="99">
        <f t="shared" ref="AB29" si="443">(+AA29-+AA28)*48</f>
        <v>0</v>
      </c>
      <c r="AC29" s="78">
        <v>430601</v>
      </c>
      <c r="AD29" s="99">
        <f t="shared" si="15"/>
        <v>4224</v>
      </c>
      <c r="AE29" s="78">
        <v>507899</v>
      </c>
      <c r="AF29" s="99">
        <f t="shared" si="15"/>
        <v>4416</v>
      </c>
      <c r="AG29" s="78">
        <v>48705</v>
      </c>
      <c r="AH29" s="99">
        <f t="shared" ref="AH29" si="444">(+AG29-+AG28)*48</f>
        <v>144</v>
      </c>
      <c r="AI29" s="78">
        <v>390215</v>
      </c>
      <c r="AJ29" s="99">
        <f t="shared" ref="AJ29" si="445">(+AI29-+AI28)*48</f>
        <v>4992</v>
      </c>
      <c r="AK29" s="78">
        <v>102371</v>
      </c>
      <c r="AL29" s="99">
        <f t="shared" ref="AL29" si="446">(+AK29-+AK28)*48</f>
        <v>0</v>
      </c>
      <c r="AM29" s="78">
        <v>554187</v>
      </c>
      <c r="AN29" s="99">
        <f t="shared" ref="AN29" si="447">(+AM29-+AM28)*48</f>
        <v>5472</v>
      </c>
      <c r="AO29" s="78">
        <v>889872</v>
      </c>
      <c r="AP29" s="99">
        <f t="shared" ref="AP29" si="448">(+AO29-+AO28)*48</f>
        <v>9696</v>
      </c>
      <c r="AQ29" s="78">
        <v>65806</v>
      </c>
      <c r="AR29" s="99">
        <f t="shared" ref="AR29" si="449">(+AQ29-+AQ28)*48</f>
        <v>2208</v>
      </c>
      <c r="AS29" s="78">
        <v>2204</v>
      </c>
      <c r="AT29" s="99">
        <f t="shared" ref="AT29" si="450">(+AS29-+AS28)*48</f>
        <v>0</v>
      </c>
      <c r="AU29" s="78">
        <v>918</v>
      </c>
      <c r="AV29" s="99">
        <f t="shared" ref="AV29" si="451">(+AU29-+AU28)*48</f>
        <v>0</v>
      </c>
      <c r="AW29" s="78">
        <v>3108</v>
      </c>
      <c r="AX29" s="99">
        <f t="shared" ref="AX29" si="452">(+AW29-+AW28)*48</f>
        <v>0</v>
      </c>
      <c r="AY29" s="78">
        <v>298173</v>
      </c>
      <c r="AZ29" s="99">
        <f t="shared" ref="AZ29" si="453">(+AY29-+AY28)*48</f>
        <v>3168</v>
      </c>
      <c r="BA29" s="78">
        <v>160167</v>
      </c>
      <c r="BB29" s="99">
        <f t="shared" ref="BB29" si="454">(+BA29-+BA28)*48</f>
        <v>0</v>
      </c>
      <c r="BC29" s="78">
        <v>204266</v>
      </c>
      <c r="BD29" s="99">
        <f t="shared" ref="BD29" si="455">(+BC29-+BC28)*48</f>
        <v>2256</v>
      </c>
      <c r="BE29" s="73">
        <v>5347</v>
      </c>
      <c r="BF29" s="99">
        <f t="shared" ref="BF29" si="456">(+BE29-+BE28)*48</f>
        <v>0</v>
      </c>
      <c r="BH29" s="100">
        <f t="shared" si="0"/>
        <v>109149.31199999973</v>
      </c>
      <c r="BI29" s="100">
        <f t="shared" si="1"/>
        <v>61564.800000000003</v>
      </c>
    </row>
    <row r="30" spans="1:61" s="34" customFormat="1" ht="39.950000000000003" customHeight="1">
      <c r="A30" s="139">
        <v>44096</v>
      </c>
      <c r="B30" s="33"/>
      <c r="C30" s="78">
        <v>5485923</v>
      </c>
      <c r="D30" s="99">
        <f t="shared" ref="D30" si="457">(+C30-+C29)*48</f>
        <v>101520</v>
      </c>
      <c r="E30" s="36">
        <f t="shared" si="3"/>
        <v>60912</v>
      </c>
      <c r="F30" s="99">
        <f t="shared" si="4"/>
        <v>40608</v>
      </c>
      <c r="G30" s="78">
        <v>274636</v>
      </c>
      <c r="H30" s="36">
        <f t="shared" si="5"/>
        <v>1344</v>
      </c>
      <c r="I30" s="78">
        <v>83753</v>
      </c>
      <c r="J30" s="36">
        <f t="shared" ref="J30" si="458">(+I30-+I29)*48</f>
        <v>8304</v>
      </c>
      <c r="K30" s="78">
        <v>254384</v>
      </c>
      <c r="L30" s="36">
        <f t="shared" ref="L30:N30" si="459">(+K30-+K29)*48</f>
        <v>48</v>
      </c>
      <c r="M30" s="78">
        <v>24364</v>
      </c>
      <c r="N30" s="36">
        <f t="shared" si="459"/>
        <v>0</v>
      </c>
      <c r="O30" s="78">
        <v>219010</v>
      </c>
      <c r="P30" s="99">
        <f t="shared" ref="P30" si="460">(+O30-+O29)*48</f>
        <v>8976</v>
      </c>
      <c r="Q30" s="78">
        <v>432656</v>
      </c>
      <c r="R30" s="99">
        <f t="shared" ref="R30" si="461">(+Q30-+Q29)*48</f>
        <v>768</v>
      </c>
      <c r="S30" s="78">
        <v>693611</v>
      </c>
      <c r="T30" s="99">
        <f t="shared" ref="T30" si="462">(+S30-+S29)*48</f>
        <v>5952</v>
      </c>
      <c r="U30" s="78">
        <v>94582.967000000004</v>
      </c>
      <c r="V30" s="99">
        <f t="shared" ref="V30" si="463">(+U30-+U29)*48</f>
        <v>697.53600000031292</v>
      </c>
      <c r="W30" s="78">
        <v>77414</v>
      </c>
      <c r="X30" s="99">
        <f t="shared" ref="X30" si="464">(+W30-+W29)*48</f>
        <v>720</v>
      </c>
      <c r="Y30" s="78">
        <v>1474488</v>
      </c>
      <c r="Z30" s="99">
        <f t="shared" ref="Z30" si="465">(+Y30-+Y29)*48</f>
        <v>8256</v>
      </c>
      <c r="AA30" s="78">
        <v>13166</v>
      </c>
      <c r="AB30" s="99">
        <f t="shared" ref="AB30" si="466">(+AA30-+AA29)*48</f>
        <v>0</v>
      </c>
      <c r="AC30" s="78">
        <v>430693</v>
      </c>
      <c r="AD30" s="99">
        <f t="shared" si="15"/>
        <v>4416</v>
      </c>
      <c r="AE30" s="78">
        <v>507998</v>
      </c>
      <c r="AF30" s="99">
        <f t="shared" si="15"/>
        <v>4752</v>
      </c>
      <c r="AG30" s="78">
        <v>48710</v>
      </c>
      <c r="AH30" s="99">
        <f t="shared" ref="AH30" si="467">(+AG30-+AG29)*48</f>
        <v>240</v>
      </c>
      <c r="AI30" s="78">
        <v>390302</v>
      </c>
      <c r="AJ30" s="99">
        <f t="shared" ref="AJ30" si="468">(+AI30-+AI29)*48</f>
        <v>4176</v>
      </c>
      <c r="AK30" s="78">
        <v>102371</v>
      </c>
      <c r="AL30" s="99">
        <f t="shared" ref="AL30" si="469">(+AK30-+AK29)*48</f>
        <v>0</v>
      </c>
      <c r="AM30" s="78">
        <v>554307</v>
      </c>
      <c r="AN30" s="99">
        <f t="shared" ref="AN30" si="470">(+AM30-+AM29)*48</f>
        <v>5760</v>
      </c>
      <c r="AO30" s="78">
        <v>890075</v>
      </c>
      <c r="AP30" s="99">
        <f t="shared" ref="AP30" si="471">(+AO30-+AO29)*48</f>
        <v>9744</v>
      </c>
      <c r="AQ30" s="78">
        <v>65872</v>
      </c>
      <c r="AR30" s="99">
        <f t="shared" ref="AR30" si="472">(+AQ30-+AQ29)*48</f>
        <v>3168</v>
      </c>
      <c r="AS30" s="78">
        <v>2204</v>
      </c>
      <c r="AT30" s="99">
        <f t="shared" ref="AT30" si="473">(+AS30-+AS29)*48</f>
        <v>0</v>
      </c>
      <c r="AU30" s="78">
        <v>918</v>
      </c>
      <c r="AV30" s="99">
        <f t="shared" ref="AV30" si="474">(+AU30-+AU29)*48</f>
        <v>0</v>
      </c>
      <c r="AW30" s="78">
        <v>3108</v>
      </c>
      <c r="AX30" s="99">
        <f t="shared" ref="AX30" si="475">(+AW30-+AW29)*48</f>
        <v>0</v>
      </c>
      <c r="AY30" s="78">
        <v>298244</v>
      </c>
      <c r="AZ30" s="99">
        <f t="shared" ref="AZ30" si="476">(+AY30-+AY29)*48</f>
        <v>3408</v>
      </c>
      <c r="BA30" s="78">
        <v>160167</v>
      </c>
      <c r="BB30" s="99">
        <f t="shared" ref="BB30" si="477">(+BA30-+BA29)*48</f>
        <v>0</v>
      </c>
      <c r="BC30" s="78">
        <v>204314</v>
      </c>
      <c r="BD30" s="99">
        <f t="shared" ref="BD30" si="478">(+BC30-+BC29)*48</f>
        <v>2304</v>
      </c>
      <c r="BE30" s="73">
        <v>5347</v>
      </c>
      <c r="BF30" s="99">
        <f t="shared" ref="BF30" si="479">(+BE30-+BE29)*48</f>
        <v>0</v>
      </c>
      <c r="BH30" s="100">
        <f t="shared" si="0"/>
        <v>109561.53600000031</v>
      </c>
      <c r="BI30" s="100">
        <f t="shared" si="1"/>
        <v>64992</v>
      </c>
    </row>
    <row r="31" spans="1:61" s="34" customFormat="1" ht="39.950000000000003" customHeight="1">
      <c r="A31" s="139">
        <v>44097</v>
      </c>
      <c r="B31" s="33"/>
      <c r="C31" s="78">
        <v>5487742</v>
      </c>
      <c r="D31" s="99">
        <f t="shared" ref="D31" si="480">(+C31-+C30)*48</f>
        <v>87312</v>
      </c>
      <c r="E31" s="36">
        <f t="shared" si="3"/>
        <v>52387.199999999997</v>
      </c>
      <c r="F31" s="99">
        <f t="shared" si="4"/>
        <v>34924.800000000003</v>
      </c>
      <c r="G31" s="78">
        <v>274667</v>
      </c>
      <c r="H31" s="36">
        <f t="shared" si="5"/>
        <v>1488</v>
      </c>
      <c r="I31" s="78">
        <v>83923</v>
      </c>
      <c r="J31" s="36">
        <f t="shared" ref="J31" si="481">(+I31-+I30)*48</f>
        <v>8160</v>
      </c>
      <c r="K31" s="78">
        <v>254384</v>
      </c>
      <c r="L31" s="36">
        <f t="shared" ref="L31:N31" si="482">(+K31-+K30)*48</f>
        <v>0</v>
      </c>
      <c r="M31" s="78">
        <v>24364</v>
      </c>
      <c r="N31" s="36">
        <f t="shared" si="482"/>
        <v>0</v>
      </c>
      <c r="O31" s="78">
        <v>219197</v>
      </c>
      <c r="P31" s="36">
        <f t="shared" ref="P31" si="483">(+O31-+O30)*48</f>
        <v>8976</v>
      </c>
      <c r="Q31" s="78">
        <v>432665</v>
      </c>
      <c r="R31" s="99">
        <f t="shared" ref="R31" si="484">(+Q31-+Q30)*48</f>
        <v>432</v>
      </c>
      <c r="S31" s="78">
        <v>693759</v>
      </c>
      <c r="T31" s="99">
        <f t="shared" ref="T31" si="485">(+S31-+S30)*48</f>
        <v>7104</v>
      </c>
      <c r="U31" s="78">
        <v>94602.074999999997</v>
      </c>
      <c r="V31" s="99">
        <f t="shared" ref="V31" si="486">(+U31-+U30)*48</f>
        <v>917.18399999965914</v>
      </c>
      <c r="W31" s="78">
        <v>77429</v>
      </c>
      <c r="X31" s="99">
        <f t="shared" ref="X31" si="487">(+W31-+W30)*48</f>
        <v>720</v>
      </c>
      <c r="Y31" s="78">
        <v>1474648</v>
      </c>
      <c r="Z31" s="99">
        <f t="shared" ref="Z31" si="488">(+Y31-+Y30)*48</f>
        <v>7680</v>
      </c>
      <c r="AA31" s="78">
        <v>13166</v>
      </c>
      <c r="AB31" s="99">
        <f t="shared" ref="AB31" si="489">(+AA31-+AA30)*48</f>
        <v>0</v>
      </c>
      <c r="AC31" s="78">
        <v>430782</v>
      </c>
      <c r="AD31" s="99">
        <f t="shared" si="15"/>
        <v>4272</v>
      </c>
      <c r="AE31" s="78">
        <v>508097</v>
      </c>
      <c r="AF31" s="99">
        <f t="shared" si="15"/>
        <v>4752</v>
      </c>
      <c r="AG31" s="78">
        <v>48714</v>
      </c>
      <c r="AH31" s="99">
        <f t="shared" ref="AH31" si="490">(+AG31-+AG30)*48</f>
        <v>192</v>
      </c>
      <c r="AI31" s="78">
        <v>390367</v>
      </c>
      <c r="AJ31" s="99">
        <f t="shared" ref="AJ31" si="491">(+AI31-+AI30)*48</f>
        <v>3120</v>
      </c>
      <c r="AK31" s="78">
        <v>102371</v>
      </c>
      <c r="AL31" s="99">
        <f t="shared" ref="AL31" si="492">(+AK31-+AK30)*48</f>
        <v>0</v>
      </c>
      <c r="AM31" s="78">
        <v>554424</v>
      </c>
      <c r="AN31" s="99">
        <f t="shared" ref="AN31" si="493">(+AM31-+AM30)*48</f>
        <v>5616</v>
      </c>
      <c r="AO31" s="78">
        <v>890279</v>
      </c>
      <c r="AP31" s="99">
        <f t="shared" ref="AP31" si="494">(+AO31-+AO30)*48</f>
        <v>9792</v>
      </c>
      <c r="AQ31" s="78">
        <v>65952</v>
      </c>
      <c r="AR31" s="99">
        <f t="shared" ref="AR31" si="495">(+AQ31-+AQ30)*48</f>
        <v>3840</v>
      </c>
      <c r="AS31" s="78">
        <v>2204</v>
      </c>
      <c r="AT31" s="99">
        <f t="shared" ref="AT31" si="496">(+AS31-+AS30)*48</f>
        <v>0</v>
      </c>
      <c r="AU31" s="78">
        <v>918</v>
      </c>
      <c r="AV31" s="99">
        <f t="shared" ref="AV31" si="497">(+AU31-+AU30)*48</f>
        <v>0</v>
      </c>
      <c r="AW31" s="78">
        <v>3108</v>
      </c>
      <c r="AX31" s="99">
        <f t="shared" ref="AX31" si="498">(+AW31-+AW30)*48</f>
        <v>0</v>
      </c>
      <c r="AY31" s="78">
        <f>(AY30+AY32)/2</f>
        <v>298311</v>
      </c>
      <c r="AZ31" s="99">
        <f t="shared" ref="AZ31" si="499">(+AY31-+AY30)*48</f>
        <v>3216</v>
      </c>
      <c r="BA31" s="78">
        <v>160167</v>
      </c>
      <c r="BB31" s="99">
        <f t="shared" ref="BB31" si="500">(+BA31-+BA30)*48</f>
        <v>0</v>
      </c>
      <c r="BC31" s="78">
        <v>204365</v>
      </c>
      <c r="BD31" s="99">
        <f t="shared" ref="BD31" si="501">(+BC31-+BC30)*48</f>
        <v>2448</v>
      </c>
      <c r="BE31" s="73">
        <v>5347</v>
      </c>
      <c r="BF31" s="99">
        <f t="shared" ref="BF31" si="502">(+BE31-+BE30)*48</f>
        <v>0</v>
      </c>
      <c r="BH31" s="100">
        <f t="shared" si="0"/>
        <v>100200.38399999966</v>
      </c>
      <c r="BI31" s="100">
        <f t="shared" si="1"/>
        <v>59836.800000000003</v>
      </c>
    </row>
    <row r="32" spans="1:61" s="34" customFormat="1" ht="39.950000000000003" customHeight="1">
      <c r="A32" s="139">
        <v>44098</v>
      </c>
      <c r="B32" s="33"/>
      <c r="C32" s="78">
        <v>5489744</v>
      </c>
      <c r="D32" s="99">
        <f t="shared" ref="D32" si="503">(+C32-+C31)*48</f>
        <v>96096</v>
      </c>
      <c r="E32" s="36">
        <f t="shared" si="3"/>
        <v>57657.599999999999</v>
      </c>
      <c r="F32" s="99">
        <f t="shared" si="4"/>
        <v>38438.400000000001</v>
      </c>
      <c r="G32" s="78">
        <v>274703</v>
      </c>
      <c r="H32" s="36">
        <f t="shared" si="5"/>
        <v>1728</v>
      </c>
      <c r="I32" s="78">
        <v>84090</v>
      </c>
      <c r="J32" s="36">
        <f t="shared" ref="J32" si="504">(+I32-+I31)*48</f>
        <v>8016</v>
      </c>
      <c r="K32" s="78">
        <v>254384</v>
      </c>
      <c r="L32" s="36">
        <f t="shared" ref="L32:N32" si="505">(+K32-+K31)*48</f>
        <v>0</v>
      </c>
      <c r="M32" s="78">
        <v>24364</v>
      </c>
      <c r="N32" s="36">
        <f t="shared" si="505"/>
        <v>0</v>
      </c>
      <c r="O32" s="78">
        <v>219391</v>
      </c>
      <c r="P32" s="36">
        <f t="shared" ref="P32" si="506">(+O32-+O31)*48</f>
        <v>9312</v>
      </c>
      <c r="Q32" s="78">
        <v>432686</v>
      </c>
      <c r="R32" s="99">
        <f t="shared" ref="R32" si="507">(+Q32-+Q31)*48</f>
        <v>1008</v>
      </c>
      <c r="S32" s="78">
        <v>693888</v>
      </c>
      <c r="T32" s="99">
        <f t="shared" ref="T32" si="508">(+S32-+S31)*48</f>
        <v>6192</v>
      </c>
      <c r="U32" s="78">
        <v>94619.941999999995</v>
      </c>
      <c r="V32" s="99">
        <f t="shared" ref="V32" si="509">(+U32-+U31)*48</f>
        <v>857.61599999992177</v>
      </c>
      <c r="W32" s="78">
        <v>77444</v>
      </c>
      <c r="X32" s="99">
        <f t="shared" ref="X32" si="510">(+W32-+W31)*48</f>
        <v>720</v>
      </c>
      <c r="Y32" s="78">
        <v>1474785</v>
      </c>
      <c r="Z32" s="99">
        <f t="shared" ref="Z32" si="511">(+Y32-+Y31)*48</f>
        <v>6576</v>
      </c>
      <c r="AA32" s="78">
        <v>13166</v>
      </c>
      <c r="AB32" s="99">
        <f t="shared" ref="AB32" si="512">(+AA32-+AA31)*48</f>
        <v>0</v>
      </c>
      <c r="AC32" s="78">
        <v>430868</v>
      </c>
      <c r="AD32" s="99">
        <f t="shared" si="15"/>
        <v>4128</v>
      </c>
      <c r="AE32" s="78">
        <v>508195</v>
      </c>
      <c r="AF32" s="99">
        <f t="shared" si="15"/>
        <v>4704</v>
      </c>
      <c r="AG32" s="78">
        <v>48171</v>
      </c>
      <c r="AH32" s="99">
        <f t="shared" ref="AH32" si="513">(+AG32-+AG31)*48</f>
        <v>-26064</v>
      </c>
      <c r="AI32" s="78">
        <v>390430</v>
      </c>
      <c r="AJ32" s="99">
        <f t="shared" ref="AJ32" si="514">(+AI32-+AI31)*48</f>
        <v>3024</v>
      </c>
      <c r="AK32" s="78">
        <v>102371</v>
      </c>
      <c r="AL32" s="99">
        <f t="shared" ref="AL32" si="515">(+AK32-+AK31)*48</f>
        <v>0</v>
      </c>
      <c r="AM32" s="78">
        <v>554533</v>
      </c>
      <c r="AN32" s="99">
        <f t="shared" ref="AN32" si="516">(+AM32-+AM31)*48</f>
        <v>5232</v>
      </c>
      <c r="AO32" s="78">
        <v>890474</v>
      </c>
      <c r="AP32" s="99">
        <f t="shared" ref="AP32" si="517">(+AO32-+AO31)*48</f>
        <v>9360</v>
      </c>
      <c r="AQ32" s="78">
        <v>65999</v>
      </c>
      <c r="AR32" s="99">
        <f t="shared" ref="AR32" si="518">(+AQ32-+AQ31)*48</f>
        <v>2256</v>
      </c>
      <c r="AS32" s="78">
        <v>2204</v>
      </c>
      <c r="AT32" s="99">
        <f t="shared" ref="AT32" si="519">(+AS32-+AS31)*48</f>
        <v>0</v>
      </c>
      <c r="AU32" s="78">
        <v>918</v>
      </c>
      <c r="AV32" s="99">
        <f t="shared" ref="AV32" si="520">(+AU32-+AU31)*48</f>
        <v>0</v>
      </c>
      <c r="AW32" s="78">
        <v>3108</v>
      </c>
      <c r="AX32" s="99">
        <f t="shared" ref="AX32" si="521">(+AW32-+AW31)*48</f>
        <v>0</v>
      </c>
      <c r="AY32" s="78">
        <v>298378</v>
      </c>
      <c r="AZ32" s="99">
        <f t="shared" ref="AZ32" si="522">(+AY32-+AY31)*48</f>
        <v>3216</v>
      </c>
      <c r="BA32" s="78">
        <v>160167</v>
      </c>
      <c r="BB32" s="99">
        <f t="shared" ref="BB32" si="523">(+BA32-+BA31)*48</f>
        <v>0</v>
      </c>
      <c r="BC32" s="78">
        <v>204411</v>
      </c>
      <c r="BD32" s="99">
        <f t="shared" ref="BD32" si="524">(+BC32-+BC31)*48</f>
        <v>2208</v>
      </c>
      <c r="BE32" s="73">
        <v>5347</v>
      </c>
      <c r="BF32" s="99">
        <f t="shared" ref="BF32" si="525">(+BE32-+BE31)*48</f>
        <v>0</v>
      </c>
      <c r="BH32" s="100">
        <f t="shared" si="0"/>
        <v>77859.215999999928</v>
      </c>
      <c r="BI32" s="100">
        <f t="shared" si="1"/>
        <v>60710.400000000001</v>
      </c>
    </row>
    <row r="33" spans="1:61" s="34" customFormat="1" ht="39.950000000000003" customHeight="1">
      <c r="A33" s="139">
        <v>44099</v>
      </c>
      <c r="B33" s="33"/>
      <c r="C33" s="73">
        <v>5491727</v>
      </c>
      <c r="D33" s="99">
        <f t="shared" ref="D33" si="526">(+C33-+C32)*48</f>
        <v>95184</v>
      </c>
      <c r="E33" s="36">
        <f t="shared" si="3"/>
        <v>57110.400000000001</v>
      </c>
      <c r="F33" s="99">
        <f t="shared" si="4"/>
        <v>38073.599999999999</v>
      </c>
      <c r="G33" s="73">
        <v>274731</v>
      </c>
      <c r="H33" s="36">
        <f t="shared" si="5"/>
        <v>1344</v>
      </c>
      <c r="I33" s="73">
        <v>84277</v>
      </c>
      <c r="J33" s="36">
        <f t="shared" ref="J33" si="527">(+I33-+I32)*48</f>
        <v>8976</v>
      </c>
      <c r="K33" s="73">
        <v>254386</v>
      </c>
      <c r="L33" s="36">
        <f t="shared" ref="L33:N33" si="528">(+K33-+K32)*48</f>
        <v>96</v>
      </c>
      <c r="M33" s="73">
        <v>24364</v>
      </c>
      <c r="N33" s="36">
        <f t="shared" si="528"/>
        <v>0</v>
      </c>
      <c r="O33" s="73">
        <v>219575</v>
      </c>
      <c r="P33" s="36">
        <f t="shared" ref="P33" si="529">(+O33-+O32)*48</f>
        <v>8832</v>
      </c>
      <c r="Q33" s="73">
        <v>432730</v>
      </c>
      <c r="R33" s="99">
        <f t="shared" ref="R33" si="530">(+Q33-+Q32)*48</f>
        <v>2112</v>
      </c>
      <c r="S33" s="73">
        <v>694024</v>
      </c>
      <c r="T33" s="99">
        <f t="shared" ref="T33" si="531">(+S33-+S32)*48</f>
        <v>6528</v>
      </c>
      <c r="U33" s="78">
        <v>94637.487999999998</v>
      </c>
      <c r="V33" s="99">
        <f t="shared" ref="V33" si="532">(+U33-+U32)*48</f>
        <v>842.20800000010058</v>
      </c>
      <c r="W33" s="73">
        <v>77456</v>
      </c>
      <c r="X33" s="99">
        <f t="shared" ref="X33" si="533">(+W33-+W32)*48</f>
        <v>576</v>
      </c>
      <c r="Y33" s="73">
        <v>1474891</v>
      </c>
      <c r="Z33" s="99">
        <f t="shared" ref="Z33" si="534">(+Y33-+Y32)*48</f>
        <v>5088</v>
      </c>
      <c r="AA33" s="73">
        <v>13166</v>
      </c>
      <c r="AB33" s="99">
        <f t="shared" ref="AB33" si="535">(+AA33-+AA32)*48</f>
        <v>0</v>
      </c>
      <c r="AC33" s="73">
        <v>430958</v>
      </c>
      <c r="AD33" s="99">
        <f t="shared" si="15"/>
        <v>4320</v>
      </c>
      <c r="AE33" s="73">
        <v>508295</v>
      </c>
      <c r="AF33" s="99">
        <f t="shared" si="15"/>
        <v>4800</v>
      </c>
      <c r="AG33" s="73">
        <v>48721</v>
      </c>
      <c r="AH33" s="99">
        <f t="shared" ref="AH33" si="536">(+AG33-+AG32)*48</f>
        <v>26400</v>
      </c>
      <c r="AI33" s="73">
        <v>390507</v>
      </c>
      <c r="AJ33" s="99">
        <f t="shared" ref="AJ33" si="537">(+AI33-+AI32)*48</f>
        <v>3696</v>
      </c>
      <c r="AK33" s="73">
        <v>102371</v>
      </c>
      <c r="AL33" s="99">
        <f t="shared" ref="AL33" si="538">(+AK33-+AK32)*48</f>
        <v>0</v>
      </c>
      <c r="AM33" s="73">
        <v>554647</v>
      </c>
      <c r="AN33" s="99">
        <f t="shared" ref="AN33" si="539">(+AM33-+AM32)*48</f>
        <v>5472</v>
      </c>
      <c r="AO33" s="73">
        <v>890677</v>
      </c>
      <c r="AP33" s="99">
        <f t="shared" ref="AP33" si="540">(+AO33-+AO32)*48</f>
        <v>9744</v>
      </c>
      <c r="AQ33" s="73">
        <v>66041</v>
      </c>
      <c r="AR33" s="99">
        <f t="shared" ref="AR33" si="541">(+AQ33-+AQ32)*48</f>
        <v>2016</v>
      </c>
      <c r="AS33" s="73">
        <v>2204</v>
      </c>
      <c r="AT33" s="99">
        <f t="shared" ref="AT33" si="542">(+AS33-+AS32)*48</f>
        <v>0</v>
      </c>
      <c r="AU33" s="73">
        <v>918</v>
      </c>
      <c r="AV33" s="99">
        <f t="shared" ref="AV33" si="543">(+AU33-+AU32)*48</f>
        <v>0</v>
      </c>
      <c r="AW33" s="73">
        <v>3108</v>
      </c>
      <c r="AX33" s="99">
        <f t="shared" ref="AX33" si="544">(+AW33-+AW32)*48</f>
        <v>0</v>
      </c>
      <c r="AY33" s="73">
        <v>298445</v>
      </c>
      <c r="AZ33" s="99">
        <f t="shared" ref="AZ33" si="545">(+AY33-+AY32)*48</f>
        <v>3216</v>
      </c>
      <c r="BA33" s="73">
        <v>160167</v>
      </c>
      <c r="BB33" s="99">
        <f t="shared" ref="BB33" si="546">(+BA33-+BA32)*48</f>
        <v>0</v>
      </c>
      <c r="BC33" s="73">
        <v>204460</v>
      </c>
      <c r="BD33" s="99">
        <f t="shared" ref="BD33" si="547">(+BC33-+BC32)*48</f>
        <v>2352</v>
      </c>
      <c r="BE33" s="73">
        <v>5347</v>
      </c>
      <c r="BF33" s="99">
        <f t="shared" ref="BF33" si="548">(+BE33-+BE32)*48</f>
        <v>0</v>
      </c>
      <c r="BH33" s="100">
        <f t="shared" si="0"/>
        <v>130720.60800000009</v>
      </c>
      <c r="BI33" s="100">
        <f t="shared" si="1"/>
        <v>60873.599999999999</v>
      </c>
    </row>
    <row r="34" spans="1:61" s="34" customFormat="1" ht="39.950000000000003" customHeight="1">
      <c r="A34" s="139">
        <v>44100</v>
      </c>
      <c r="B34" s="33"/>
      <c r="C34" s="73">
        <v>5493815</v>
      </c>
      <c r="D34" s="99">
        <f t="shared" ref="D34" si="549">(+C34-+C33)*48</f>
        <v>100224</v>
      </c>
      <c r="E34" s="36">
        <f t="shared" si="3"/>
        <v>60134.399999999994</v>
      </c>
      <c r="F34" s="99">
        <f t="shared" si="4"/>
        <v>40089.600000000006</v>
      </c>
      <c r="G34" s="73">
        <v>274766</v>
      </c>
      <c r="H34" s="36">
        <f t="shared" si="5"/>
        <v>1680</v>
      </c>
      <c r="I34" s="73">
        <v>84456</v>
      </c>
      <c r="J34" s="36">
        <f t="shared" ref="J34" si="550">(+I34-+I33)*48</f>
        <v>8592</v>
      </c>
      <c r="K34" s="73">
        <v>254393</v>
      </c>
      <c r="L34" s="36">
        <f t="shared" ref="L34:N34" si="551">(+K34-+K33)*48</f>
        <v>336</v>
      </c>
      <c r="M34" s="73">
        <v>24364</v>
      </c>
      <c r="N34" s="36">
        <f t="shared" si="551"/>
        <v>0</v>
      </c>
      <c r="O34" s="73">
        <v>219765</v>
      </c>
      <c r="P34" s="36">
        <f t="shared" ref="P34" si="552">(+O34-+O33)*48</f>
        <v>9120</v>
      </c>
      <c r="Q34" s="73">
        <v>432823</v>
      </c>
      <c r="R34" s="99">
        <f t="shared" ref="R34" si="553">(+Q34-+Q33)*48</f>
        <v>4464</v>
      </c>
      <c r="S34" s="73">
        <v>694148</v>
      </c>
      <c r="T34" s="99">
        <f t="shared" ref="T34" si="554">(+S34-+S33)*48</f>
        <v>5952</v>
      </c>
      <c r="U34" s="78">
        <v>94657.626999999993</v>
      </c>
      <c r="V34" s="99">
        <f t="shared" ref="V34" si="555">(+U34-+U33)*48</f>
        <v>966.67199999978766</v>
      </c>
      <c r="W34" s="73">
        <v>77485</v>
      </c>
      <c r="X34" s="99">
        <f t="shared" ref="X34" si="556">(+W34-+W33)*48</f>
        <v>1392</v>
      </c>
      <c r="Y34" s="73">
        <v>1475005</v>
      </c>
      <c r="Z34" s="99">
        <f t="shared" ref="Z34" si="557">(+Y34-+Y33)*48</f>
        <v>5472</v>
      </c>
      <c r="AA34" s="73">
        <v>13166</v>
      </c>
      <c r="AB34" s="99">
        <f t="shared" ref="AB34" si="558">(+AA34-+AA33)*48</f>
        <v>0</v>
      </c>
      <c r="AC34" s="73">
        <v>431047</v>
      </c>
      <c r="AD34" s="99">
        <f t="shared" si="15"/>
        <v>4272</v>
      </c>
      <c r="AE34" s="73">
        <v>508395</v>
      </c>
      <c r="AF34" s="99">
        <f t="shared" si="15"/>
        <v>4800</v>
      </c>
      <c r="AG34" s="73">
        <v>48724</v>
      </c>
      <c r="AH34" s="99">
        <f t="shared" ref="AH34" si="559">(+AG34-+AG33)*48</f>
        <v>144</v>
      </c>
      <c r="AI34" s="73">
        <v>390601</v>
      </c>
      <c r="AJ34" s="99">
        <f t="shared" ref="AJ34" si="560">(+AI34-+AI33)*48</f>
        <v>4512</v>
      </c>
      <c r="AK34" s="73">
        <v>102371</v>
      </c>
      <c r="AL34" s="99">
        <f t="shared" ref="AL34" si="561">(+AK34-+AK33)*48</f>
        <v>0</v>
      </c>
      <c r="AM34" s="73">
        <v>554758</v>
      </c>
      <c r="AN34" s="99">
        <f t="shared" ref="AN34" si="562">(+AM34-+AM33)*48</f>
        <v>5328</v>
      </c>
      <c r="AO34" s="73">
        <v>890875</v>
      </c>
      <c r="AP34" s="99">
        <f t="shared" ref="AP34" si="563">(+AO34-+AO33)*48</f>
        <v>9504</v>
      </c>
      <c r="AQ34" s="73">
        <v>66086</v>
      </c>
      <c r="AR34" s="99">
        <f t="shared" ref="AR34" si="564">(+AQ34-+AQ33)*48</f>
        <v>2160</v>
      </c>
      <c r="AS34" s="73">
        <v>2204</v>
      </c>
      <c r="AT34" s="99">
        <f t="shared" ref="AT34" si="565">(+AS34-+AS33)*48</f>
        <v>0</v>
      </c>
      <c r="AU34" s="73">
        <v>918</v>
      </c>
      <c r="AV34" s="99">
        <f t="shared" ref="AV34" si="566">(+AU34-+AU33)*48</f>
        <v>0</v>
      </c>
      <c r="AW34" s="73">
        <v>3108</v>
      </c>
      <c r="AX34" s="99">
        <f t="shared" ref="AX34" si="567">(+AW34-+AW33)*48</f>
        <v>0</v>
      </c>
      <c r="AY34" s="73">
        <v>298512</v>
      </c>
      <c r="AZ34" s="99">
        <f t="shared" ref="AZ34" si="568">(+AY34-+AY33)*48</f>
        <v>3216</v>
      </c>
      <c r="BA34" s="73">
        <v>160167</v>
      </c>
      <c r="BB34" s="99">
        <f t="shared" ref="BB34" si="569">(+BA34-+BA33)*48</f>
        <v>0</v>
      </c>
      <c r="BC34" s="73">
        <v>204508</v>
      </c>
      <c r="BD34" s="99">
        <f t="shared" ref="BD34" si="570">(+BC34-+BC33)*48</f>
        <v>2304</v>
      </c>
      <c r="BE34" s="73">
        <v>5347</v>
      </c>
      <c r="BF34" s="99">
        <f t="shared" ref="BF34" si="571">(+BE34-+BE33)*48</f>
        <v>0</v>
      </c>
      <c r="BH34" s="100">
        <f t="shared" si="0"/>
        <v>111837.07199999978</v>
      </c>
      <c r="BI34" s="100">
        <f t="shared" si="1"/>
        <v>62601.600000000006</v>
      </c>
    </row>
    <row r="35" spans="1:61" s="34" customFormat="1" ht="39.950000000000003" customHeight="1">
      <c r="A35" s="139">
        <v>44101</v>
      </c>
      <c r="B35" s="33"/>
      <c r="C35" s="73">
        <v>5495875</v>
      </c>
      <c r="D35" s="99">
        <f t="shared" ref="D35" si="572">(+C35-+C34)*48</f>
        <v>98880</v>
      </c>
      <c r="E35" s="36">
        <f t="shared" si="3"/>
        <v>59328</v>
      </c>
      <c r="F35" s="99">
        <f t="shared" si="4"/>
        <v>39552</v>
      </c>
      <c r="G35" s="73">
        <v>274804</v>
      </c>
      <c r="H35" s="36">
        <f t="shared" si="5"/>
        <v>1824</v>
      </c>
      <c r="I35" s="73">
        <v>84634</v>
      </c>
      <c r="J35" s="36">
        <f t="shared" ref="J35" si="573">(+I35-+I34)*48</f>
        <v>8544</v>
      </c>
      <c r="K35" s="73">
        <v>254410</v>
      </c>
      <c r="L35" s="36">
        <f t="shared" ref="L35:N35" si="574">(+K35-+K34)*48</f>
        <v>816</v>
      </c>
      <c r="M35" s="73">
        <v>24364</v>
      </c>
      <c r="N35" s="36">
        <f t="shared" si="574"/>
        <v>0</v>
      </c>
      <c r="O35" s="73">
        <v>219982</v>
      </c>
      <c r="P35" s="36">
        <f t="shared" ref="P35" si="575">(+O35-+O34)*48</f>
        <v>10416</v>
      </c>
      <c r="Q35" s="73">
        <v>432926</v>
      </c>
      <c r="R35" s="99">
        <f t="shared" ref="R35" si="576">(+Q35-+Q34)*48</f>
        <v>4944</v>
      </c>
      <c r="S35" s="73">
        <v>694285</v>
      </c>
      <c r="T35" s="99">
        <f t="shared" ref="T35" si="577">(+S35-+S34)*48</f>
        <v>6576</v>
      </c>
      <c r="U35" s="78">
        <v>94681.426999999996</v>
      </c>
      <c r="V35" s="99">
        <f t="shared" ref="V35" si="578">(+U35-+U34)*48</f>
        <v>1142.4000000001397</v>
      </c>
      <c r="W35" s="73">
        <v>77501</v>
      </c>
      <c r="X35" s="99">
        <f t="shared" ref="X35" si="579">(+W35-+W34)*48</f>
        <v>768</v>
      </c>
      <c r="Y35" s="73">
        <v>1475183</v>
      </c>
      <c r="Z35" s="99">
        <f t="shared" ref="Z35" si="580">(+Y35-+Y34)*48</f>
        <v>8544</v>
      </c>
      <c r="AA35" s="73">
        <v>13166</v>
      </c>
      <c r="AB35" s="99">
        <f t="shared" ref="AB35" si="581">(+AA35-+AA34)*48</f>
        <v>0</v>
      </c>
      <c r="AC35" s="73">
        <v>431137</v>
      </c>
      <c r="AD35" s="99">
        <f t="shared" si="15"/>
        <v>4320</v>
      </c>
      <c r="AE35" s="73">
        <v>508488</v>
      </c>
      <c r="AF35" s="99">
        <f t="shared" si="15"/>
        <v>4464</v>
      </c>
      <c r="AG35" s="73">
        <v>48727</v>
      </c>
      <c r="AH35" s="99">
        <f t="shared" ref="AH35" si="582">(+AG35-+AG34)*48</f>
        <v>144</v>
      </c>
      <c r="AI35" s="73">
        <v>390714</v>
      </c>
      <c r="AJ35" s="99">
        <f t="shared" ref="AJ35" si="583">(+AI35-+AI34)*48</f>
        <v>5424</v>
      </c>
      <c r="AK35" s="73">
        <v>102371</v>
      </c>
      <c r="AL35" s="99">
        <f t="shared" ref="AL35" si="584">(+AK35-+AK34)*48</f>
        <v>0</v>
      </c>
      <c r="AM35" s="73">
        <v>554872</v>
      </c>
      <c r="AN35" s="99">
        <f t="shared" ref="AN35" si="585">(+AM35-+AM34)*48</f>
        <v>5472</v>
      </c>
      <c r="AO35" s="73">
        <v>891072</v>
      </c>
      <c r="AP35" s="99">
        <f t="shared" ref="AP35" si="586">(+AO35-+AO34)*48</f>
        <v>9456</v>
      </c>
      <c r="AQ35" s="73">
        <v>66152</v>
      </c>
      <c r="AR35" s="99">
        <f t="shared" ref="AR35" si="587">(+AQ35-+AQ34)*48</f>
        <v>3168</v>
      </c>
      <c r="AS35" s="73">
        <v>2204</v>
      </c>
      <c r="AT35" s="99">
        <f t="shared" ref="AT35" si="588">(+AS35-+AS34)*48</f>
        <v>0</v>
      </c>
      <c r="AU35" s="73">
        <v>918</v>
      </c>
      <c r="AV35" s="99">
        <f t="shared" ref="AV35" si="589">(+AU35-+AU34)*48</f>
        <v>0</v>
      </c>
      <c r="AW35" s="73">
        <v>3108</v>
      </c>
      <c r="AX35" s="99">
        <f t="shared" ref="AX35" si="590">(+AW35-+AW34)*48</f>
        <v>0</v>
      </c>
      <c r="AY35" s="73">
        <v>298578</v>
      </c>
      <c r="AZ35" s="99">
        <f t="shared" ref="AZ35" si="591">(+AY35-+AY34)*48</f>
        <v>3168</v>
      </c>
      <c r="BA35" s="73">
        <v>160167</v>
      </c>
      <c r="BB35" s="99">
        <f t="shared" ref="BB35" si="592">(+BA35-+BA34)*48</f>
        <v>0</v>
      </c>
      <c r="BC35" s="73">
        <v>204556</v>
      </c>
      <c r="BD35" s="99">
        <f t="shared" ref="BD35" si="593">(+BC35-+BC34)*48</f>
        <v>2304</v>
      </c>
      <c r="BE35" s="73">
        <v>5347</v>
      </c>
      <c r="BF35" s="99">
        <f t="shared" ref="BF35" si="594">(+BE35-+BE34)*48</f>
        <v>0</v>
      </c>
      <c r="BH35" s="100">
        <f t="shared" si="0"/>
        <v>117254.40000000014</v>
      </c>
      <c r="BI35" s="100">
        <f t="shared" si="1"/>
        <v>63120</v>
      </c>
    </row>
    <row r="36" spans="1:61" s="34" customFormat="1" ht="39.950000000000003" customHeight="1">
      <c r="A36" s="139">
        <v>44102</v>
      </c>
      <c r="B36" s="33"/>
      <c r="C36" s="78">
        <v>5498064</v>
      </c>
      <c r="D36" s="99">
        <f t="shared" ref="D36" si="595">(+C36-+C35)*48</f>
        <v>105072</v>
      </c>
      <c r="E36" s="36">
        <f t="shared" si="3"/>
        <v>63043.199999999997</v>
      </c>
      <c r="F36" s="99">
        <f t="shared" si="4"/>
        <v>42028.800000000003</v>
      </c>
      <c r="G36" s="78">
        <v>274840</v>
      </c>
      <c r="H36" s="36">
        <f t="shared" si="5"/>
        <v>1728</v>
      </c>
      <c r="I36" s="78">
        <v>84811</v>
      </c>
      <c r="J36" s="36">
        <f t="shared" ref="J36" si="596">(+I36-+I35)*48</f>
        <v>8496</v>
      </c>
      <c r="K36" s="78">
        <v>254417</v>
      </c>
      <c r="L36" s="36">
        <f t="shared" ref="L36:N36" si="597">(+K36-+K35)*48</f>
        <v>336</v>
      </c>
      <c r="M36" s="78">
        <v>24364</v>
      </c>
      <c r="N36" s="36">
        <f t="shared" si="597"/>
        <v>0</v>
      </c>
      <c r="O36" s="78">
        <v>220181</v>
      </c>
      <c r="P36" s="36">
        <f t="shared" ref="P36:P38" si="598">(+O36-+O35)*48</f>
        <v>9552</v>
      </c>
      <c r="Q36" s="78">
        <v>433018</v>
      </c>
      <c r="R36" s="99">
        <f t="shared" ref="R36:R38" si="599">(+Q36-+Q35)*48</f>
        <v>4416</v>
      </c>
      <c r="S36" s="78">
        <v>694405</v>
      </c>
      <c r="T36" s="99">
        <f t="shared" ref="T36:T38" si="600">(+S36-+S35)*48</f>
        <v>5760</v>
      </c>
      <c r="U36" s="78">
        <v>94704.69</v>
      </c>
      <c r="V36" s="99">
        <f t="shared" ref="V36:V38" si="601">(+U36-+U35)*48</f>
        <v>1116.6240000003017</v>
      </c>
      <c r="W36" s="78">
        <v>77509</v>
      </c>
      <c r="X36" s="99">
        <f t="shared" ref="X36:X38" si="602">(+W36-+W35)*48</f>
        <v>384</v>
      </c>
      <c r="Y36" s="78">
        <v>1475379</v>
      </c>
      <c r="Z36" s="99">
        <f t="shared" ref="Z36:Z38" si="603">(+Y36-+Y35)*48</f>
        <v>9408</v>
      </c>
      <c r="AA36" s="78">
        <v>13166</v>
      </c>
      <c r="AB36" s="99">
        <f t="shared" ref="AB36:AB38" si="604">(+AA36-+AA35)*48</f>
        <v>0</v>
      </c>
      <c r="AC36" s="78">
        <v>431228</v>
      </c>
      <c r="AD36" s="99">
        <f t="shared" si="15"/>
        <v>4368</v>
      </c>
      <c r="AE36" s="78">
        <v>508586</v>
      </c>
      <c r="AF36" s="99">
        <f t="shared" si="15"/>
        <v>4704</v>
      </c>
      <c r="AG36" s="78">
        <v>48731</v>
      </c>
      <c r="AH36" s="99">
        <f t="shared" ref="AH36:AH38" si="605">(+AG36-+AG35)*48</f>
        <v>192</v>
      </c>
      <c r="AI36" s="78">
        <v>390825</v>
      </c>
      <c r="AJ36" s="99">
        <f t="shared" ref="AJ36:AJ38" si="606">(+AI36-+AI35)*48</f>
        <v>5328</v>
      </c>
      <c r="AK36" s="78">
        <v>102371</v>
      </c>
      <c r="AL36" s="99">
        <f t="shared" ref="AL36:AL38" si="607">(+AK36-+AK35)*48</f>
        <v>0</v>
      </c>
      <c r="AM36" s="78">
        <v>554992</v>
      </c>
      <c r="AN36" s="99">
        <f t="shared" ref="AN36:AN38" si="608">(+AM36-+AM35)*48</f>
        <v>5760</v>
      </c>
      <c r="AO36" s="78">
        <v>891277</v>
      </c>
      <c r="AP36" s="99">
        <f t="shared" ref="AP36:AP38" si="609">(+AO36-+AO35)*48</f>
        <v>9840</v>
      </c>
      <c r="AQ36" s="78">
        <v>66292</v>
      </c>
      <c r="AR36" s="99">
        <f t="shared" ref="AR36:AR38" si="610">(+AQ36-+AQ35)*48</f>
        <v>6720</v>
      </c>
      <c r="AS36" s="78">
        <v>2204</v>
      </c>
      <c r="AT36" s="99">
        <f t="shared" ref="AT36:AT38" si="611">(+AS36-+AS35)*48</f>
        <v>0</v>
      </c>
      <c r="AU36" s="78">
        <v>918</v>
      </c>
      <c r="AV36" s="99">
        <f t="shared" ref="AV36:AV38" si="612">(+AU36-+AU35)*48</f>
        <v>0</v>
      </c>
      <c r="AW36" s="78">
        <v>3108</v>
      </c>
      <c r="AX36" s="99">
        <f t="shared" ref="AX36:AX38" si="613">(+AW36-+AW35)*48</f>
        <v>0</v>
      </c>
      <c r="AY36" s="78">
        <v>298644</v>
      </c>
      <c r="AZ36" s="99">
        <f t="shared" ref="AZ36:AZ38" si="614">(+AY36-+AY35)*48</f>
        <v>3168</v>
      </c>
      <c r="BA36" s="78">
        <v>160167</v>
      </c>
      <c r="BB36" s="99">
        <f t="shared" ref="BB36:BB38" si="615">(+BA36-+BA35)*48</f>
        <v>0</v>
      </c>
      <c r="BC36" s="78">
        <v>204604</v>
      </c>
      <c r="BD36" s="99">
        <f t="shared" ref="BD36:BD38" si="616">(+BC36-+BC35)*48</f>
        <v>2304</v>
      </c>
      <c r="BE36" s="73">
        <v>5347</v>
      </c>
      <c r="BF36" s="99">
        <f t="shared" ref="BF36:BF38" si="617">(+BE36-+BE35)*48</f>
        <v>0</v>
      </c>
      <c r="BH36" s="100">
        <f t="shared" si="0"/>
        <v>118831.8240000003</v>
      </c>
      <c r="BI36" s="100">
        <f t="shared" si="1"/>
        <v>69820.800000000003</v>
      </c>
    </row>
    <row r="37" spans="1:61" s="34" customFormat="1" ht="39.950000000000003" customHeight="1">
      <c r="A37" s="139">
        <v>44103</v>
      </c>
      <c r="B37" s="33"/>
      <c r="C37" s="78">
        <v>5500275</v>
      </c>
      <c r="D37" s="99">
        <f t="shared" ref="D37:D38" si="618">(+C37-+C36)*48</f>
        <v>106128</v>
      </c>
      <c r="E37" s="36">
        <f t="shared" si="3"/>
        <v>63676.799999999996</v>
      </c>
      <c r="F37" s="99">
        <f t="shared" ref="F37:F38" si="619">D37*0.4</f>
        <v>42451.200000000004</v>
      </c>
      <c r="G37" s="78">
        <v>274874</v>
      </c>
      <c r="H37" s="36">
        <f t="shared" si="5"/>
        <v>1632</v>
      </c>
      <c r="I37" s="78">
        <v>84985</v>
      </c>
      <c r="J37" s="36">
        <f t="shared" ref="J37" si="620">(+I37-+I36)*48</f>
        <v>8352</v>
      </c>
      <c r="K37" s="78">
        <v>254419</v>
      </c>
      <c r="L37" s="36">
        <f t="shared" ref="L37:N37" si="621">(+K37-+K36)*48</f>
        <v>96</v>
      </c>
      <c r="M37" s="78">
        <v>24364</v>
      </c>
      <c r="N37" s="36">
        <f t="shared" si="621"/>
        <v>0</v>
      </c>
      <c r="O37" s="78">
        <v>220372</v>
      </c>
      <c r="P37" s="36">
        <f t="shared" si="598"/>
        <v>9168</v>
      </c>
      <c r="Q37" s="78">
        <v>433086</v>
      </c>
      <c r="R37" s="99">
        <f t="shared" si="599"/>
        <v>3264</v>
      </c>
      <c r="S37" s="78">
        <v>694557</v>
      </c>
      <c r="T37" s="99">
        <f t="shared" si="600"/>
        <v>7296</v>
      </c>
      <c r="U37" s="78">
        <v>94723.107000000004</v>
      </c>
      <c r="V37" s="99">
        <f t="shared" si="601"/>
        <v>884.01600000006147</v>
      </c>
      <c r="W37" s="78">
        <v>77524</v>
      </c>
      <c r="X37" s="99">
        <f t="shared" si="602"/>
        <v>720</v>
      </c>
      <c r="Y37" s="78">
        <v>1475614</v>
      </c>
      <c r="Z37" s="99">
        <f t="shared" si="603"/>
        <v>11280</v>
      </c>
      <c r="AA37" s="78">
        <v>13166</v>
      </c>
      <c r="AB37" s="99">
        <f t="shared" si="604"/>
        <v>0</v>
      </c>
      <c r="AC37" s="78">
        <v>431322</v>
      </c>
      <c r="AD37" s="99">
        <f t="shared" si="15"/>
        <v>4512</v>
      </c>
      <c r="AE37" s="78">
        <v>508688</v>
      </c>
      <c r="AF37" s="99">
        <f t="shared" si="15"/>
        <v>4896</v>
      </c>
      <c r="AG37" s="78">
        <v>48735</v>
      </c>
      <c r="AH37" s="99">
        <f t="shared" si="605"/>
        <v>192</v>
      </c>
      <c r="AI37" s="78">
        <v>390920</v>
      </c>
      <c r="AJ37" s="99">
        <f t="shared" si="606"/>
        <v>4560</v>
      </c>
      <c r="AK37" s="78">
        <v>102371</v>
      </c>
      <c r="AL37" s="99">
        <f t="shared" si="607"/>
        <v>0</v>
      </c>
      <c r="AM37" s="78">
        <v>555115</v>
      </c>
      <c r="AN37" s="99">
        <f t="shared" si="608"/>
        <v>5904</v>
      </c>
      <c r="AO37" s="78">
        <v>891485</v>
      </c>
      <c r="AP37" s="99">
        <f t="shared" si="609"/>
        <v>9984</v>
      </c>
      <c r="AQ37" s="78">
        <v>66434</v>
      </c>
      <c r="AR37" s="99">
        <f t="shared" si="610"/>
        <v>6816</v>
      </c>
      <c r="AS37" s="78">
        <v>2204</v>
      </c>
      <c r="AT37" s="99">
        <f t="shared" si="611"/>
        <v>0</v>
      </c>
      <c r="AU37" s="78">
        <v>918</v>
      </c>
      <c r="AV37" s="99">
        <f t="shared" si="612"/>
        <v>0</v>
      </c>
      <c r="AW37" s="78">
        <v>3108</v>
      </c>
      <c r="AX37" s="99">
        <f t="shared" si="613"/>
        <v>0</v>
      </c>
      <c r="AY37" s="78">
        <v>298717</v>
      </c>
      <c r="AZ37" s="99">
        <f t="shared" si="614"/>
        <v>3504</v>
      </c>
      <c r="BA37" s="78">
        <v>160167</v>
      </c>
      <c r="BB37" s="99">
        <f t="shared" si="615"/>
        <v>0</v>
      </c>
      <c r="BC37" s="78">
        <v>204652</v>
      </c>
      <c r="BD37" s="99">
        <f t="shared" si="616"/>
        <v>2304</v>
      </c>
      <c r="BE37" s="73">
        <v>5347</v>
      </c>
      <c r="BF37" s="99">
        <f t="shared" si="617"/>
        <v>0</v>
      </c>
      <c r="BH37" s="100">
        <f t="shared" ref="BH37:BH38" si="622">SUM(E37,J37,P37,H37,L37,R37,T37,V37,X37,N37,AB37,Z37,AD37,AF37,AH37,AL37,AJ37)</f>
        <v>120528.81600000005</v>
      </c>
      <c r="BI37" s="100">
        <f t="shared" ref="BI37:BI38" si="623">SUM(F37,AN37,AP37,AT37,AV37,AX37,AR37,AZ37,BB37,BD37,BF37)</f>
        <v>70963.200000000012</v>
      </c>
    </row>
    <row r="38" spans="1:61" s="34" customFormat="1" ht="39.950000000000003" customHeight="1">
      <c r="A38" s="139">
        <v>44104</v>
      </c>
      <c r="B38" s="33"/>
      <c r="C38" s="73">
        <v>5502501</v>
      </c>
      <c r="D38" s="99">
        <f t="shared" si="618"/>
        <v>106848</v>
      </c>
      <c r="E38" s="36">
        <f t="shared" si="3"/>
        <v>64108.799999999996</v>
      </c>
      <c r="F38" s="99">
        <f t="shared" si="619"/>
        <v>42739.200000000004</v>
      </c>
      <c r="G38" s="73">
        <v>274910</v>
      </c>
      <c r="H38" s="36">
        <f t="shared" si="5"/>
        <v>1728</v>
      </c>
      <c r="I38" s="73">
        <v>85161</v>
      </c>
      <c r="J38" s="36">
        <f t="shared" ref="J38" si="624">(+I38-+I37)*48</f>
        <v>8448</v>
      </c>
      <c r="K38" s="73">
        <v>254425</v>
      </c>
      <c r="L38" s="36">
        <f t="shared" ref="L38:N38" si="625">(+K38-+K37)*48</f>
        <v>288</v>
      </c>
      <c r="M38" s="73">
        <v>24364</v>
      </c>
      <c r="N38" s="36">
        <f t="shared" si="625"/>
        <v>0</v>
      </c>
      <c r="O38" s="73">
        <v>220565</v>
      </c>
      <c r="P38" s="36">
        <f t="shared" si="598"/>
        <v>9264</v>
      </c>
      <c r="Q38" s="73">
        <v>433126</v>
      </c>
      <c r="R38" s="99">
        <f t="shared" si="599"/>
        <v>1920</v>
      </c>
      <c r="S38" s="73">
        <v>694700</v>
      </c>
      <c r="T38" s="99">
        <f t="shared" si="600"/>
        <v>6864</v>
      </c>
      <c r="U38" s="78">
        <v>94741.069000000003</v>
      </c>
      <c r="V38" s="99">
        <f t="shared" si="601"/>
        <v>862.17599999997765</v>
      </c>
      <c r="W38" s="73">
        <v>77548</v>
      </c>
      <c r="X38" s="99">
        <f t="shared" si="602"/>
        <v>1152</v>
      </c>
      <c r="Y38" s="73">
        <v>1475798</v>
      </c>
      <c r="Z38" s="99">
        <f t="shared" si="603"/>
        <v>8832</v>
      </c>
      <c r="AA38" s="73">
        <v>13166</v>
      </c>
      <c r="AB38" s="99">
        <f t="shared" si="604"/>
        <v>0</v>
      </c>
      <c r="AC38" s="73">
        <v>431416</v>
      </c>
      <c r="AD38" s="99">
        <f t="shared" ref="AD38" si="626">(+AC38-+AC37)*48</f>
        <v>4512</v>
      </c>
      <c r="AE38" s="73">
        <v>508790</v>
      </c>
      <c r="AF38" s="99">
        <f t="shared" ref="AF38" si="627">(+AE38-+AE37)*48</f>
        <v>4896</v>
      </c>
      <c r="AG38" s="73">
        <v>48738</v>
      </c>
      <c r="AH38" s="99">
        <f t="shared" si="605"/>
        <v>144</v>
      </c>
      <c r="AI38" s="73">
        <v>390999</v>
      </c>
      <c r="AJ38" s="99">
        <f t="shared" si="606"/>
        <v>3792</v>
      </c>
      <c r="AK38" s="73">
        <v>102371</v>
      </c>
      <c r="AL38" s="99">
        <f t="shared" si="607"/>
        <v>0</v>
      </c>
      <c r="AM38" s="73">
        <v>555238</v>
      </c>
      <c r="AN38" s="99">
        <f t="shared" si="608"/>
        <v>5904</v>
      </c>
      <c r="AO38" s="73">
        <v>891689</v>
      </c>
      <c r="AP38" s="99">
        <f t="shared" si="609"/>
        <v>9792</v>
      </c>
      <c r="AQ38" s="73">
        <v>66513</v>
      </c>
      <c r="AR38" s="99">
        <f t="shared" si="610"/>
        <v>3792</v>
      </c>
      <c r="AS38" s="73">
        <v>2204</v>
      </c>
      <c r="AT38" s="99">
        <f t="shared" si="611"/>
        <v>0</v>
      </c>
      <c r="AU38" s="73">
        <v>918</v>
      </c>
      <c r="AV38" s="99">
        <f t="shared" si="612"/>
        <v>0</v>
      </c>
      <c r="AW38" s="73">
        <v>3108</v>
      </c>
      <c r="AX38" s="99">
        <f t="shared" si="613"/>
        <v>0</v>
      </c>
      <c r="AY38" s="73">
        <v>298784</v>
      </c>
      <c r="AZ38" s="99">
        <f t="shared" si="614"/>
        <v>3216</v>
      </c>
      <c r="BA38" s="73">
        <v>160167</v>
      </c>
      <c r="BB38" s="99">
        <f t="shared" si="615"/>
        <v>0</v>
      </c>
      <c r="BC38" s="73">
        <v>204698</v>
      </c>
      <c r="BD38" s="99">
        <f t="shared" si="616"/>
        <v>2208</v>
      </c>
      <c r="BE38" s="73">
        <v>5347</v>
      </c>
      <c r="BF38" s="99">
        <f t="shared" si="617"/>
        <v>0</v>
      </c>
      <c r="BH38" s="100">
        <f t="shared" si="622"/>
        <v>116810.97599999997</v>
      </c>
      <c r="BI38" s="100">
        <f t="shared" si="623"/>
        <v>67651.200000000012</v>
      </c>
    </row>
    <row r="39" spans="1:61" s="34" customFormat="1" ht="39.950000000000003" customHeight="1">
      <c r="A39" s="139"/>
      <c r="B39" s="33"/>
      <c r="C39" s="72"/>
      <c r="D39" s="99"/>
      <c r="E39" s="36"/>
      <c r="F39" s="99"/>
      <c r="G39" s="72"/>
      <c r="H39" s="99"/>
      <c r="I39" s="72"/>
      <c r="J39" s="99"/>
      <c r="K39" s="72"/>
      <c r="L39" s="99"/>
      <c r="M39" s="72"/>
      <c r="N39" s="99"/>
      <c r="O39" s="72"/>
      <c r="P39" s="99"/>
      <c r="Q39" s="72"/>
      <c r="R39" s="99"/>
      <c r="S39" s="72"/>
      <c r="T39" s="99"/>
      <c r="U39" s="72"/>
      <c r="V39" s="99"/>
      <c r="W39" s="72"/>
      <c r="X39" s="99"/>
      <c r="Y39" s="72"/>
      <c r="Z39" s="99"/>
      <c r="AA39" s="72"/>
      <c r="AB39" s="99"/>
      <c r="AC39" s="72"/>
      <c r="AD39" s="99"/>
      <c r="AE39" s="72"/>
      <c r="AF39" s="99"/>
      <c r="AG39" s="72"/>
      <c r="AH39" s="99"/>
      <c r="AI39" s="72"/>
      <c r="AJ39" s="99"/>
      <c r="AK39" s="72"/>
      <c r="AL39" s="99"/>
      <c r="AM39" s="72"/>
      <c r="AN39" s="99"/>
      <c r="AO39" s="72"/>
      <c r="AP39" s="99"/>
      <c r="AQ39" s="72"/>
      <c r="AR39" s="99"/>
      <c r="AS39" s="72"/>
      <c r="AT39" s="99"/>
      <c r="AU39" s="72"/>
      <c r="AV39" s="99"/>
      <c r="AW39" s="72"/>
      <c r="AX39" s="99"/>
      <c r="AY39" s="72"/>
      <c r="AZ39" s="99"/>
      <c r="BA39" s="72"/>
      <c r="BB39" s="99"/>
      <c r="BC39" s="72"/>
      <c r="BD39" s="99"/>
      <c r="BE39" s="72"/>
      <c r="BF39" s="99"/>
      <c r="BH39" s="100"/>
      <c r="BI39" s="100"/>
    </row>
    <row r="40" spans="1:61" s="34" customFormat="1" ht="39.950000000000003" customHeight="1">
      <c r="A40" s="35"/>
      <c r="G40" s="72"/>
      <c r="I40" s="72"/>
      <c r="K40" s="72"/>
      <c r="M40" s="72"/>
      <c r="AD40" s="28"/>
      <c r="AE40" s="74"/>
      <c r="AG40" s="74"/>
      <c r="AI40" s="74"/>
      <c r="AK40" s="74"/>
      <c r="AM40" s="74"/>
      <c r="AO40" s="74"/>
      <c r="AQ40" s="74"/>
      <c r="AS40" s="74"/>
      <c r="AU40" s="74"/>
      <c r="AW40" s="74"/>
      <c r="AY40" s="74"/>
      <c r="BA40" s="74"/>
      <c r="BC40" s="74"/>
      <c r="BE40" s="74"/>
      <c r="BH40" s="21"/>
      <c r="BI40" s="21"/>
    </row>
    <row r="41" spans="1:61" s="34" customFormat="1" ht="39.950000000000003" customHeight="1">
      <c r="A41" s="35"/>
      <c r="AD41" s="28"/>
      <c r="AE41" s="74"/>
      <c r="AG41" s="74"/>
      <c r="AI41" s="74"/>
      <c r="AK41" s="74"/>
      <c r="AM41" s="74"/>
      <c r="AO41" s="74"/>
      <c r="AQ41" s="74"/>
      <c r="AS41" s="74"/>
      <c r="AU41" s="74"/>
      <c r="AW41" s="74"/>
      <c r="AY41" s="74"/>
      <c r="BA41" s="74"/>
      <c r="BC41" s="74"/>
      <c r="BE41" s="74"/>
      <c r="BH41" s="28"/>
      <c r="BI41" s="28"/>
    </row>
    <row r="42" spans="1:61" s="34" customFormat="1" ht="39.950000000000003" customHeight="1">
      <c r="A42" s="35"/>
      <c r="AD42" s="28"/>
      <c r="AE42" s="74"/>
      <c r="AG42" s="74"/>
      <c r="AI42" s="74"/>
      <c r="AK42" s="74"/>
      <c r="AM42" s="74"/>
      <c r="AO42" s="74"/>
      <c r="AQ42" s="74"/>
      <c r="AS42" s="74"/>
      <c r="AU42" s="74"/>
      <c r="AW42" s="74"/>
      <c r="AY42" s="74"/>
      <c r="BA42" s="74"/>
      <c r="BC42" s="74"/>
      <c r="BE42" s="74"/>
      <c r="BH42" s="28"/>
      <c r="BI42" s="28"/>
    </row>
    <row r="43" spans="1:61" s="34" customFormat="1" ht="21">
      <c r="A43" s="35"/>
      <c r="AD43" s="28"/>
      <c r="AE43" s="74"/>
      <c r="AG43" s="74"/>
      <c r="AI43" s="74"/>
      <c r="AK43" s="74"/>
      <c r="AM43" s="74"/>
      <c r="AO43" s="74"/>
      <c r="AQ43" s="74"/>
      <c r="AS43" s="74"/>
      <c r="AU43" s="74"/>
      <c r="AW43" s="74"/>
      <c r="AY43" s="74"/>
      <c r="BA43" s="74"/>
      <c r="BC43" s="74"/>
      <c r="BE43" s="74"/>
      <c r="BH43" s="28"/>
      <c r="BI43" s="28"/>
    </row>
    <row r="44" spans="1:61" s="34" customFormat="1" ht="21">
      <c r="A44" s="35"/>
      <c r="AD44" s="28"/>
      <c r="AE44" s="74"/>
      <c r="AG44" s="74"/>
      <c r="AI44" s="74"/>
      <c r="AK44" s="74"/>
      <c r="AM44" s="74"/>
      <c r="AO44" s="74"/>
      <c r="AQ44" s="74"/>
      <c r="AS44" s="74"/>
      <c r="AU44" s="74"/>
      <c r="AW44" s="74"/>
      <c r="AY44" s="74"/>
      <c r="BA44" s="74"/>
      <c r="BC44" s="74"/>
      <c r="BE44" s="74"/>
      <c r="BH44" s="28"/>
      <c r="BI44" s="28"/>
    </row>
    <row r="45" spans="1:61" s="34" customFormat="1" ht="21">
      <c r="A45" s="35"/>
      <c r="AD45" s="28"/>
      <c r="AE45" s="74"/>
      <c r="AG45" s="74"/>
      <c r="AI45" s="74"/>
      <c r="AK45" s="74"/>
      <c r="AM45" s="74"/>
      <c r="AO45" s="74"/>
      <c r="AQ45" s="74"/>
      <c r="AS45" s="74"/>
      <c r="AU45" s="74"/>
      <c r="AW45" s="74"/>
      <c r="AY45" s="74"/>
      <c r="BA45" s="74"/>
      <c r="BC45" s="74"/>
      <c r="BE45" s="74"/>
      <c r="BH45" s="28"/>
      <c r="BI45" s="28"/>
    </row>
    <row r="46" spans="1:61" s="34" customFormat="1" ht="21">
      <c r="A46" s="35"/>
      <c r="AD46" s="28"/>
      <c r="AE46" s="74"/>
      <c r="AG46" s="74"/>
      <c r="AI46" s="74"/>
      <c r="AK46" s="74"/>
      <c r="AM46" s="74"/>
      <c r="AO46" s="74"/>
      <c r="AQ46" s="74"/>
      <c r="AS46" s="74"/>
      <c r="AU46" s="74"/>
      <c r="AW46" s="74"/>
      <c r="AY46" s="74"/>
      <c r="BA46" s="74"/>
      <c r="BC46" s="74"/>
      <c r="BE46" s="74"/>
      <c r="BH46" s="28"/>
      <c r="BI46" s="28"/>
    </row>
    <row r="47" spans="1:61" s="34" customFormat="1" ht="21">
      <c r="A47" s="35"/>
      <c r="AD47" s="28"/>
      <c r="AE47" s="74"/>
      <c r="AG47" s="74"/>
      <c r="AI47" s="74"/>
      <c r="AK47" s="74"/>
      <c r="AM47" s="74"/>
      <c r="AO47" s="74"/>
      <c r="AQ47" s="74"/>
      <c r="AS47" s="74"/>
      <c r="AU47" s="74"/>
      <c r="AW47" s="74"/>
      <c r="AY47" s="74"/>
      <c r="BA47" s="74"/>
      <c r="BC47" s="74"/>
      <c r="BE47" s="74"/>
      <c r="BH47" s="28"/>
      <c r="BI47" s="28"/>
    </row>
    <row r="48" spans="1:61" ht="21">
      <c r="A48" s="11"/>
      <c r="G48" s="34"/>
      <c r="I48" s="34"/>
      <c r="K48" s="34"/>
      <c r="M48" s="34"/>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0" customWidth="1"/>
    <col min="2" max="2" width="22.140625" style="18" customWidth="1"/>
    <col min="3" max="9" width="20.7109375" style="18" customWidth="1"/>
    <col min="10" max="11" width="20.7109375" style="18" hidden="1" customWidth="1"/>
    <col min="12" max="19" width="20.7109375" style="18" customWidth="1"/>
    <col min="20" max="21" width="22.42578125" style="18" customWidth="1"/>
    <col min="22" max="27" width="20.7109375" style="18" customWidth="1"/>
    <col min="28" max="29" width="20.7109375" style="18" hidden="1" customWidth="1"/>
    <col min="30" max="41" width="20.7109375" style="18" customWidth="1"/>
    <col min="42" max="43" width="20.7109375" style="18" hidden="1" customWidth="1"/>
    <col min="44" max="47" width="20.7109375" style="18" customWidth="1"/>
    <col min="48" max="49" width="20.7109375" style="18" hidden="1" customWidth="1"/>
    <col min="50" max="113" width="20.7109375" style="18" customWidth="1"/>
    <col min="114" max="115" width="20.7109375" style="18" hidden="1" customWidth="1"/>
    <col min="116" max="167" width="20.7109375" style="18" customWidth="1"/>
    <col min="168" max="169" width="20.7109375" style="18" hidden="1" customWidth="1"/>
    <col min="170" max="16384" width="9.140625" style="18"/>
  </cols>
  <sheetData>
    <row r="1" spans="1:169" s="22" customFormat="1" ht="49.5" customHeight="1">
      <c r="B1" s="271" t="s">
        <v>196</v>
      </c>
      <c r="C1" s="271"/>
      <c r="D1" s="271" t="s">
        <v>196</v>
      </c>
      <c r="E1" s="271"/>
      <c r="F1" s="271" t="s">
        <v>196</v>
      </c>
      <c r="G1" s="271"/>
      <c r="H1" s="271" t="s">
        <v>197</v>
      </c>
      <c r="I1" s="271"/>
      <c r="J1" s="270"/>
      <c r="K1" s="270"/>
      <c r="L1" s="271" t="s">
        <v>198</v>
      </c>
      <c r="M1" s="271"/>
      <c r="N1" s="271" t="s">
        <v>198</v>
      </c>
      <c r="O1" s="271"/>
      <c r="P1" s="271" t="s">
        <v>198</v>
      </c>
      <c r="Q1" s="271"/>
      <c r="R1" s="271" t="s">
        <v>198</v>
      </c>
      <c r="S1" s="271"/>
      <c r="T1" s="271" t="s">
        <v>199</v>
      </c>
      <c r="U1" s="271"/>
      <c r="V1" s="277" t="s">
        <v>199</v>
      </c>
      <c r="W1" s="277"/>
      <c r="X1" s="271" t="s">
        <v>199</v>
      </c>
      <c r="Y1" s="271"/>
      <c r="Z1" s="271" t="s">
        <v>199</v>
      </c>
      <c r="AA1" s="271"/>
      <c r="AB1" s="270"/>
      <c r="AC1" s="270"/>
      <c r="AD1" s="271" t="s">
        <v>199</v>
      </c>
      <c r="AE1" s="271"/>
      <c r="AF1" s="271" t="s">
        <v>199</v>
      </c>
      <c r="AG1" s="271"/>
      <c r="AH1" s="271" t="s">
        <v>200</v>
      </c>
      <c r="AI1" s="271"/>
      <c r="AJ1" s="271" t="s">
        <v>200</v>
      </c>
      <c r="AK1" s="271"/>
      <c r="AL1" s="276" t="s">
        <v>200</v>
      </c>
      <c r="AM1" s="276"/>
      <c r="AN1" s="271" t="s">
        <v>200</v>
      </c>
      <c r="AO1" s="271"/>
      <c r="AP1" s="270" t="s">
        <v>200</v>
      </c>
      <c r="AQ1" s="270"/>
      <c r="AR1" s="276" t="s">
        <v>200</v>
      </c>
      <c r="AS1" s="276"/>
      <c r="AT1" s="271" t="s">
        <v>200</v>
      </c>
      <c r="AU1" s="271"/>
      <c r="AV1" s="270"/>
      <c r="AW1" s="270"/>
      <c r="AX1" s="271" t="s">
        <v>200</v>
      </c>
      <c r="AY1" s="271"/>
      <c r="AZ1" s="271" t="s">
        <v>200</v>
      </c>
      <c r="BA1" s="271"/>
      <c r="BB1" s="271" t="s">
        <v>200</v>
      </c>
      <c r="BC1" s="271"/>
      <c r="BD1" s="271" t="s">
        <v>201</v>
      </c>
      <c r="BE1" s="271"/>
      <c r="BF1" s="271" t="s">
        <v>201</v>
      </c>
      <c r="BG1" s="271"/>
      <c r="BH1" s="271" t="s">
        <v>201</v>
      </c>
      <c r="BI1" s="271"/>
      <c r="BJ1" s="271" t="s">
        <v>201</v>
      </c>
      <c r="BK1" s="271"/>
      <c r="BL1" s="271" t="s">
        <v>201</v>
      </c>
      <c r="BM1" s="271"/>
      <c r="BN1" s="271" t="s">
        <v>201</v>
      </c>
      <c r="BO1" s="271"/>
      <c r="BP1" s="271" t="s">
        <v>201</v>
      </c>
      <c r="BQ1" s="271"/>
      <c r="BR1" s="271" t="s">
        <v>201</v>
      </c>
      <c r="BS1" s="271"/>
      <c r="BT1" s="271" t="s">
        <v>201</v>
      </c>
      <c r="BU1" s="271"/>
      <c r="BV1" s="271" t="s">
        <v>201</v>
      </c>
      <c r="BW1" s="271"/>
      <c r="BX1" s="271" t="s">
        <v>201</v>
      </c>
      <c r="BY1" s="271"/>
      <c r="BZ1" s="271" t="s">
        <v>202</v>
      </c>
      <c r="CA1" s="271"/>
      <c r="CB1" s="277" t="s">
        <v>202</v>
      </c>
      <c r="CC1" s="277"/>
      <c r="CD1" s="271" t="s">
        <v>202</v>
      </c>
      <c r="CE1" s="271"/>
      <c r="CF1" s="271" t="s">
        <v>202</v>
      </c>
      <c r="CG1" s="271"/>
      <c r="CH1" s="271" t="s">
        <v>203</v>
      </c>
      <c r="CI1" s="271"/>
      <c r="CJ1" s="271" t="s">
        <v>203</v>
      </c>
      <c r="CK1" s="271"/>
      <c r="CL1" s="271" t="s">
        <v>203</v>
      </c>
      <c r="CM1" s="271"/>
      <c r="CN1" s="271" t="s">
        <v>204</v>
      </c>
      <c r="CO1" s="271"/>
      <c r="CP1" s="271" t="s">
        <v>204</v>
      </c>
      <c r="CQ1" s="271"/>
      <c r="CR1" s="277" t="s">
        <v>204</v>
      </c>
      <c r="CS1" s="277"/>
      <c r="CT1" s="271" t="s">
        <v>204</v>
      </c>
      <c r="CU1" s="271"/>
      <c r="CV1" s="271" t="s">
        <v>204</v>
      </c>
      <c r="CW1" s="271"/>
      <c r="CX1" s="271" t="s">
        <v>204</v>
      </c>
      <c r="CY1" s="271"/>
      <c r="CZ1" s="271" t="s">
        <v>204</v>
      </c>
      <c r="DA1" s="271"/>
      <c r="DB1" s="271" t="s">
        <v>204</v>
      </c>
      <c r="DC1" s="271"/>
      <c r="DD1" s="271" t="s">
        <v>204</v>
      </c>
      <c r="DE1" s="271"/>
      <c r="DF1" s="271" t="s">
        <v>204</v>
      </c>
      <c r="DG1" s="271"/>
      <c r="DH1" s="271" t="s">
        <v>204</v>
      </c>
      <c r="DI1" s="271"/>
      <c r="DJ1" s="270" t="s">
        <v>204</v>
      </c>
      <c r="DK1" s="270"/>
      <c r="DL1" s="271" t="s">
        <v>205</v>
      </c>
      <c r="DM1" s="271"/>
      <c r="DN1" s="271" t="s">
        <v>205</v>
      </c>
      <c r="DO1" s="271"/>
      <c r="DP1" s="271" t="s">
        <v>205</v>
      </c>
      <c r="DQ1" s="271"/>
      <c r="DR1" s="271" t="s">
        <v>205</v>
      </c>
      <c r="DS1" s="271"/>
      <c r="DT1" s="271" t="s">
        <v>205</v>
      </c>
      <c r="DU1" s="271"/>
      <c r="DV1" s="271" t="s">
        <v>205</v>
      </c>
      <c r="DW1" s="271"/>
      <c r="DX1" s="271" t="s">
        <v>206</v>
      </c>
      <c r="DY1" s="271"/>
      <c r="DZ1" s="271" t="s">
        <v>206</v>
      </c>
      <c r="EA1" s="271"/>
      <c r="EB1" s="271" t="s">
        <v>206</v>
      </c>
      <c r="EC1" s="271"/>
      <c r="ED1" s="271" t="s">
        <v>206</v>
      </c>
      <c r="EE1" s="271"/>
      <c r="EF1" s="271" t="s">
        <v>206</v>
      </c>
      <c r="EG1" s="271"/>
      <c r="EH1" s="271" t="s">
        <v>206</v>
      </c>
      <c r="EI1" s="271"/>
      <c r="EJ1" s="271" t="s">
        <v>206</v>
      </c>
      <c r="EK1" s="271"/>
      <c r="EL1" s="271" t="s">
        <v>207</v>
      </c>
      <c r="EM1" s="271"/>
      <c r="EN1" s="271" t="s">
        <v>207</v>
      </c>
      <c r="EO1" s="271"/>
      <c r="EP1" s="271" t="s">
        <v>207</v>
      </c>
      <c r="EQ1" s="271"/>
      <c r="ER1" s="271" t="s">
        <v>208</v>
      </c>
      <c r="ES1" s="271"/>
      <c r="ET1" s="271" t="s">
        <v>208</v>
      </c>
      <c r="EU1" s="271"/>
      <c r="EV1" s="271" t="s">
        <v>208</v>
      </c>
      <c r="EW1" s="271"/>
      <c r="EX1" s="271" t="s">
        <v>209</v>
      </c>
      <c r="EY1" s="271"/>
      <c r="EZ1" s="271" t="s">
        <v>210</v>
      </c>
      <c r="FA1" s="271"/>
      <c r="FB1" s="271" t="s">
        <v>210</v>
      </c>
      <c r="FC1" s="271"/>
      <c r="FD1" s="271" t="s">
        <v>210</v>
      </c>
      <c r="FE1" s="271"/>
      <c r="FF1" s="271" t="s">
        <v>211</v>
      </c>
      <c r="FG1" s="271"/>
      <c r="FH1" s="271" t="s">
        <v>211</v>
      </c>
      <c r="FI1" s="271"/>
      <c r="FJ1" s="271" t="s">
        <v>211</v>
      </c>
      <c r="FK1" s="271"/>
      <c r="FL1" s="270" t="s">
        <v>211</v>
      </c>
      <c r="FM1" s="270"/>
    </row>
    <row r="2" spans="1:169" s="22" customFormat="1" ht="49.5" customHeight="1">
      <c r="B2" s="271" t="s">
        <v>212</v>
      </c>
      <c r="C2" s="271"/>
      <c r="D2" s="271" t="s">
        <v>213</v>
      </c>
      <c r="E2" s="271"/>
      <c r="F2" s="271" t="s">
        <v>212</v>
      </c>
      <c r="G2" s="271"/>
      <c r="H2" s="271" t="s">
        <v>213</v>
      </c>
      <c r="I2" s="271"/>
      <c r="J2" s="271" t="s">
        <v>213</v>
      </c>
      <c r="K2" s="271"/>
      <c r="L2" s="271" t="s">
        <v>212</v>
      </c>
      <c r="M2" s="271"/>
      <c r="N2" s="271" t="s">
        <v>212</v>
      </c>
      <c r="O2" s="271"/>
      <c r="P2" s="271" t="s">
        <v>213</v>
      </c>
      <c r="Q2" s="271"/>
      <c r="R2" s="271" t="s">
        <v>213</v>
      </c>
      <c r="S2" s="271"/>
      <c r="T2" s="271" t="s">
        <v>212</v>
      </c>
      <c r="U2" s="271"/>
      <c r="V2" s="271" t="s">
        <v>213</v>
      </c>
      <c r="W2" s="271"/>
      <c r="X2" s="271" t="s">
        <v>213</v>
      </c>
      <c r="Y2" s="271"/>
      <c r="Z2" s="271" t="s">
        <v>213</v>
      </c>
      <c r="AA2" s="271"/>
      <c r="AB2" s="270" t="s">
        <v>213</v>
      </c>
      <c r="AC2" s="270"/>
      <c r="AD2" s="271" t="s">
        <v>212</v>
      </c>
      <c r="AE2" s="271"/>
      <c r="AF2" s="271" t="s">
        <v>213</v>
      </c>
      <c r="AG2" s="271"/>
      <c r="AH2" s="271" t="s">
        <v>213</v>
      </c>
      <c r="AI2" s="271"/>
      <c r="AJ2" s="271" t="s">
        <v>213</v>
      </c>
      <c r="AK2" s="271"/>
      <c r="AL2" s="271" t="s">
        <v>213</v>
      </c>
      <c r="AM2" s="271"/>
      <c r="AN2" s="271" t="s">
        <v>213</v>
      </c>
      <c r="AO2" s="271"/>
      <c r="AP2" s="270" t="s">
        <v>213</v>
      </c>
      <c r="AQ2" s="270"/>
      <c r="AR2" s="271" t="s">
        <v>213</v>
      </c>
      <c r="AS2" s="271"/>
      <c r="AT2" s="271" t="s">
        <v>213</v>
      </c>
      <c r="AU2" s="271"/>
      <c r="AV2" s="270" t="s">
        <v>213</v>
      </c>
      <c r="AW2" s="270"/>
      <c r="AX2" s="271" t="s">
        <v>213</v>
      </c>
      <c r="AY2" s="271"/>
      <c r="AZ2" s="271" t="s">
        <v>213</v>
      </c>
      <c r="BA2" s="271"/>
      <c r="BB2" s="271" t="s">
        <v>213</v>
      </c>
      <c r="BC2" s="271"/>
      <c r="BD2" s="271" t="s">
        <v>212</v>
      </c>
      <c r="BE2" s="271"/>
      <c r="BF2" s="271" t="s">
        <v>214</v>
      </c>
      <c r="BG2" s="271"/>
      <c r="BH2" s="271" t="s">
        <v>213</v>
      </c>
      <c r="BI2" s="271"/>
      <c r="BJ2" s="271" t="s">
        <v>213</v>
      </c>
      <c r="BK2" s="271"/>
      <c r="BL2" s="271" t="s">
        <v>213</v>
      </c>
      <c r="BM2" s="271"/>
      <c r="BN2" s="271" t="s">
        <v>213</v>
      </c>
      <c r="BO2" s="271"/>
      <c r="BP2" s="271" t="s">
        <v>213</v>
      </c>
      <c r="BQ2" s="271"/>
      <c r="BR2" s="271" t="s">
        <v>213</v>
      </c>
      <c r="BS2" s="271"/>
      <c r="BT2" s="271" t="s">
        <v>213</v>
      </c>
      <c r="BU2" s="271"/>
      <c r="BV2" s="271" t="s">
        <v>213</v>
      </c>
      <c r="BW2" s="271"/>
      <c r="BX2" s="271" t="s">
        <v>213</v>
      </c>
      <c r="BY2" s="271"/>
      <c r="BZ2" s="271" t="s">
        <v>212</v>
      </c>
      <c r="CA2" s="271"/>
      <c r="CB2" s="271" t="s">
        <v>212</v>
      </c>
      <c r="CC2" s="271"/>
      <c r="CD2" s="271" t="s">
        <v>212</v>
      </c>
      <c r="CE2" s="271"/>
      <c r="CF2" s="271" t="s">
        <v>212</v>
      </c>
      <c r="CG2" s="271"/>
      <c r="CH2" s="271" t="s">
        <v>213</v>
      </c>
      <c r="CI2" s="271"/>
      <c r="CJ2" s="271" t="s">
        <v>213</v>
      </c>
      <c r="CK2" s="271"/>
      <c r="CL2" s="271" t="s">
        <v>213</v>
      </c>
      <c r="CM2" s="271"/>
      <c r="CN2" s="271" t="s">
        <v>212</v>
      </c>
      <c r="CO2" s="271"/>
      <c r="CP2" s="271" t="s">
        <v>213</v>
      </c>
      <c r="CQ2" s="271"/>
      <c r="CR2" s="271" t="s">
        <v>213</v>
      </c>
      <c r="CS2" s="271"/>
      <c r="CT2" s="271" t="s">
        <v>213</v>
      </c>
      <c r="CU2" s="271"/>
      <c r="CV2" s="271" t="s">
        <v>213</v>
      </c>
      <c r="CW2" s="271"/>
      <c r="CX2" s="271" t="s">
        <v>213</v>
      </c>
      <c r="CY2" s="271"/>
      <c r="CZ2" s="271" t="s">
        <v>213</v>
      </c>
      <c r="DA2" s="271"/>
      <c r="DB2" s="271" t="s">
        <v>212</v>
      </c>
      <c r="DC2" s="271"/>
      <c r="DD2" s="271" t="s">
        <v>213</v>
      </c>
      <c r="DE2" s="271"/>
      <c r="DF2" s="271" t="s">
        <v>213</v>
      </c>
      <c r="DG2" s="271"/>
      <c r="DH2" s="271" t="s">
        <v>213</v>
      </c>
      <c r="DI2" s="271"/>
      <c r="DJ2" s="270" t="s">
        <v>213</v>
      </c>
      <c r="DK2" s="270"/>
      <c r="DL2" s="271" t="s">
        <v>213</v>
      </c>
      <c r="DM2" s="271"/>
      <c r="DN2" s="271" t="s">
        <v>213</v>
      </c>
      <c r="DO2" s="271"/>
      <c r="DP2" s="271" t="s">
        <v>213</v>
      </c>
      <c r="DQ2" s="271"/>
      <c r="DR2" s="271" t="s">
        <v>213</v>
      </c>
      <c r="DS2" s="271"/>
      <c r="DT2" s="271" t="s">
        <v>213</v>
      </c>
      <c r="DU2" s="271"/>
      <c r="DV2" s="271" t="s">
        <v>213</v>
      </c>
      <c r="DW2" s="271"/>
      <c r="DX2" s="271" t="s">
        <v>213</v>
      </c>
      <c r="DY2" s="271"/>
      <c r="DZ2" s="271" t="s">
        <v>213</v>
      </c>
      <c r="EA2" s="271"/>
      <c r="EB2" s="271" t="s">
        <v>213</v>
      </c>
      <c r="EC2" s="271"/>
      <c r="ED2" s="271" t="s">
        <v>213</v>
      </c>
      <c r="EE2" s="271"/>
      <c r="EF2" s="271" t="s">
        <v>213</v>
      </c>
      <c r="EG2" s="271"/>
      <c r="EH2" s="271" t="s">
        <v>213</v>
      </c>
      <c r="EI2" s="271"/>
      <c r="EJ2" s="271" t="s">
        <v>213</v>
      </c>
      <c r="EK2" s="271"/>
      <c r="EL2" s="271" t="s">
        <v>213</v>
      </c>
      <c r="EM2" s="271"/>
      <c r="EN2" s="271" t="s">
        <v>213</v>
      </c>
      <c r="EO2" s="271"/>
      <c r="EP2" s="271" t="s">
        <v>213</v>
      </c>
      <c r="EQ2" s="271"/>
      <c r="ER2" s="271" t="s">
        <v>213</v>
      </c>
      <c r="ES2" s="271"/>
      <c r="ET2" s="271" t="s">
        <v>213</v>
      </c>
      <c r="EU2" s="271"/>
      <c r="EV2" s="271" t="s">
        <v>213</v>
      </c>
      <c r="EW2" s="271"/>
      <c r="EX2" s="271" t="s">
        <v>213</v>
      </c>
      <c r="EY2" s="271"/>
      <c r="EZ2" s="271" t="s">
        <v>213</v>
      </c>
      <c r="FA2" s="271"/>
      <c r="FB2" s="271" t="s">
        <v>213</v>
      </c>
      <c r="FC2" s="271"/>
      <c r="FD2" s="271" t="s">
        <v>213</v>
      </c>
      <c r="FE2" s="271"/>
      <c r="FF2" s="271" t="s">
        <v>213</v>
      </c>
      <c r="FG2" s="271"/>
      <c r="FH2" s="271" t="s">
        <v>213</v>
      </c>
      <c r="FI2" s="271"/>
      <c r="FJ2" s="271" t="s">
        <v>213</v>
      </c>
      <c r="FK2" s="271"/>
      <c r="FL2" s="270" t="s">
        <v>213</v>
      </c>
      <c r="FM2" s="270"/>
    </row>
    <row r="3" spans="1:169" s="22" customFormat="1" ht="49.5" customHeight="1">
      <c r="B3" s="272" t="s">
        <v>66</v>
      </c>
      <c r="C3" s="273"/>
      <c r="D3" s="272" t="s">
        <v>215</v>
      </c>
      <c r="E3" s="273"/>
      <c r="F3" s="272"/>
      <c r="G3" s="273"/>
      <c r="H3" s="272" t="s">
        <v>215</v>
      </c>
      <c r="I3" s="273"/>
      <c r="J3" s="272" t="s">
        <v>215</v>
      </c>
      <c r="K3" s="273"/>
      <c r="L3" s="272"/>
      <c r="M3" s="273"/>
      <c r="N3" s="272"/>
      <c r="O3" s="273"/>
      <c r="P3" s="272" t="s">
        <v>215</v>
      </c>
      <c r="Q3" s="273"/>
      <c r="R3" s="272" t="s">
        <v>215</v>
      </c>
      <c r="S3" s="273"/>
      <c r="T3" s="272"/>
      <c r="U3" s="273"/>
      <c r="V3" s="272" t="s">
        <v>216</v>
      </c>
      <c r="W3" s="273"/>
      <c r="X3" s="272" t="s">
        <v>216</v>
      </c>
      <c r="Y3" s="273"/>
      <c r="Z3" s="272" t="s">
        <v>216</v>
      </c>
      <c r="AA3" s="273"/>
      <c r="AB3" s="274" t="s">
        <v>216</v>
      </c>
      <c r="AC3" s="275"/>
      <c r="AD3" s="272"/>
      <c r="AE3" s="273"/>
      <c r="AF3" s="272" t="s">
        <v>216</v>
      </c>
      <c r="AG3" s="273"/>
      <c r="AH3" s="272" t="s">
        <v>215</v>
      </c>
      <c r="AI3" s="273"/>
      <c r="AJ3" s="272" t="s">
        <v>215</v>
      </c>
      <c r="AK3" s="273"/>
      <c r="AL3" s="272" t="s">
        <v>215</v>
      </c>
      <c r="AM3" s="273"/>
      <c r="AN3" s="272" t="s">
        <v>215</v>
      </c>
      <c r="AO3" s="273"/>
      <c r="AP3" s="274" t="s">
        <v>215</v>
      </c>
      <c r="AQ3" s="275"/>
      <c r="AR3" s="272" t="s">
        <v>215</v>
      </c>
      <c r="AS3" s="273"/>
      <c r="AT3" s="272" t="s">
        <v>215</v>
      </c>
      <c r="AU3" s="273"/>
      <c r="AV3" s="274" t="s">
        <v>215</v>
      </c>
      <c r="AW3" s="275"/>
      <c r="AX3" s="272" t="s">
        <v>215</v>
      </c>
      <c r="AY3" s="273"/>
      <c r="AZ3" s="272" t="s">
        <v>215</v>
      </c>
      <c r="BA3" s="273"/>
      <c r="BB3" s="272" t="s">
        <v>215</v>
      </c>
      <c r="BC3" s="273"/>
      <c r="BD3" s="272"/>
      <c r="BE3" s="273"/>
      <c r="BF3" s="272"/>
      <c r="BG3" s="273"/>
      <c r="BH3" s="272" t="s">
        <v>215</v>
      </c>
      <c r="BI3" s="273"/>
      <c r="BJ3" s="272" t="s">
        <v>215</v>
      </c>
      <c r="BK3" s="273"/>
      <c r="BL3" s="272" t="s">
        <v>215</v>
      </c>
      <c r="BM3" s="273"/>
      <c r="BN3" s="272" t="s">
        <v>215</v>
      </c>
      <c r="BO3" s="273"/>
      <c r="BP3" s="272" t="s">
        <v>215</v>
      </c>
      <c r="BQ3" s="273"/>
      <c r="BR3" s="272" t="s">
        <v>215</v>
      </c>
      <c r="BS3" s="273"/>
      <c r="BT3" s="272" t="s">
        <v>215</v>
      </c>
      <c r="BU3" s="273"/>
      <c r="BV3" s="272" t="s">
        <v>215</v>
      </c>
      <c r="BW3" s="273"/>
      <c r="BX3" s="272" t="s">
        <v>215</v>
      </c>
      <c r="BY3" s="273"/>
      <c r="BZ3" s="272" t="s">
        <v>65</v>
      </c>
      <c r="CA3" s="273"/>
      <c r="CB3" s="272" t="s">
        <v>65</v>
      </c>
      <c r="CC3" s="273"/>
      <c r="CD3" s="272" t="s">
        <v>65</v>
      </c>
      <c r="CE3" s="273"/>
      <c r="CF3" s="107"/>
      <c r="CG3" s="107"/>
      <c r="CH3" s="272" t="s">
        <v>66</v>
      </c>
      <c r="CI3" s="273"/>
      <c r="CJ3" s="272" t="s">
        <v>66</v>
      </c>
      <c r="CK3" s="273"/>
      <c r="CL3" s="272" t="s">
        <v>215</v>
      </c>
      <c r="CM3" s="273"/>
      <c r="CN3" s="272"/>
      <c r="CO3" s="273"/>
      <c r="CP3" s="272" t="s">
        <v>215</v>
      </c>
      <c r="CQ3" s="273"/>
      <c r="CR3" s="272" t="s">
        <v>215</v>
      </c>
      <c r="CS3" s="273"/>
      <c r="CT3" s="272" t="s">
        <v>215</v>
      </c>
      <c r="CU3" s="273"/>
      <c r="CV3" s="272" t="s">
        <v>215</v>
      </c>
      <c r="CW3" s="273"/>
      <c r="CX3" s="272" t="s">
        <v>215</v>
      </c>
      <c r="CY3" s="273"/>
      <c r="CZ3" s="272" t="s">
        <v>215</v>
      </c>
      <c r="DA3" s="273"/>
      <c r="DB3" s="272" t="s">
        <v>215</v>
      </c>
      <c r="DC3" s="273"/>
      <c r="DD3" s="272" t="s">
        <v>215</v>
      </c>
      <c r="DE3" s="273"/>
      <c r="DF3" s="272" t="s">
        <v>215</v>
      </c>
      <c r="DG3" s="273"/>
      <c r="DH3" s="272" t="s">
        <v>215</v>
      </c>
      <c r="DI3" s="273"/>
      <c r="DJ3" s="274" t="s">
        <v>215</v>
      </c>
      <c r="DK3" s="275"/>
      <c r="DL3" s="272" t="s">
        <v>64</v>
      </c>
      <c r="DM3" s="273"/>
      <c r="DN3" s="272" t="s">
        <v>64</v>
      </c>
      <c r="DO3" s="273"/>
      <c r="DP3" s="272" t="s">
        <v>64</v>
      </c>
      <c r="DQ3" s="273"/>
      <c r="DR3" s="272" t="s">
        <v>64</v>
      </c>
      <c r="DS3" s="273"/>
      <c r="DT3" s="272" t="s">
        <v>64</v>
      </c>
      <c r="DU3" s="273"/>
      <c r="DV3" s="272" t="s">
        <v>217</v>
      </c>
      <c r="DW3" s="273"/>
      <c r="DX3" s="272" t="s">
        <v>64</v>
      </c>
      <c r="DY3" s="273"/>
      <c r="DZ3" s="272" t="s">
        <v>216</v>
      </c>
      <c r="EA3" s="273"/>
      <c r="EB3" s="272" t="s">
        <v>64</v>
      </c>
      <c r="EC3" s="273"/>
      <c r="ED3" s="272" t="s">
        <v>64</v>
      </c>
      <c r="EE3" s="273"/>
      <c r="EF3" s="272" t="s">
        <v>64</v>
      </c>
      <c r="EG3" s="273"/>
      <c r="EH3" s="272" t="s">
        <v>64</v>
      </c>
      <c r="EI3" s="273"/>
      <c r="EJ3" s="272" t="s">
        <v>64</v>
      </c>
      <c r="EK3" s="273"/>
      <c r="EL3" s="272" t="s">
        <v>66</v>
      </c>
      <c r="EM3" s="273"/>
      <c r="EN3" s="272" t="s">
        <v>66</v>
      </c>
      <c r="EO3" s="273"/>
      <c r="EP3" s="272" t="s">
        <v>66</v>
      </c>
      <c r="EQ3" s="273"/>
      <c r="ER3" s="272" t="s">
        <v>66</v>
      </c>
      <c r="ES3" s="273"/>
      <c r="ET3" s="272" t="s">
        <v>66</v>
      </c>
      <c r="EU3" s="273"/>
      <c r="EV3" s="272" t="s">
        <v>66</v>
      </c>
      <c r="EW3" s="273"/>
      <c r="EX3" s="272" t="s">
        <v>66</v>
      </c>
      <c r="EY3" s="273"/>
      <c r="EZ3" s="272" t="s">
        <v>66</v>
      </c>
      <c r="FA3" s="273"/>
      <c r="FB3" s="272" t="s">
        <v>66</v>
      </c>
      <c r="FC3" s="273"/>
      <c r="FD3" s="272" t="s">
        <v>66</v>
      </c>
      <c r="FE3" s="273"/>
      <c r="FF3" s="272" t="s">
        <v>66</v>
      </c>
      <c r="FG3" s="273"/>
      <c r="FH3" s="272" t="s">
        <v>66</v>
      </c>
      <c r="FI3" s="273"/>
      <c r="FJ3" s="272" t="s">
        <v>66</v>
      </c>
      <c r="FK3" s="273"/>
      <c r="FL3" s="274" t="s">
        <v>215</v>
      </c>
      <c r="FM3" s="275"/>
    </row>
    <row r="4" spans="1:169" s="22" customFormat="1" ht="30" customHeight="1">
      <c r="B4" s="272" t="s">
        <v>218</v>
      </c>
      <c r="C4" s="273"/>
      <c r="D4" s="272" t="s">
        <v>218</v>
      </c>
      <c r="E4" s="273"/>
      <c r="F4" s="104"/>
      <c r="G4" s="105"/>
      <c r="H4" s="272" t="s">
        <v>218</v>
      </c>
      <c r="I4" s="273"/>
      <c r="J4" s="272" t="s">
        <v>219</v>
      </c>
      <c r="K4" s="273"/>
      <c r="L4" s="104"/>
      <c r="M4" s="105"/>
      <c r="N4" s="272"/>
      <c r="O4" s="273"/>
      <c r="P4" s="272" t="s">
        <v>220</v>
      </c>
      <c r="Q4" s="273"/>
      <c r="R4" s="272" t="s">
        <v>220</v>
      </c>
      <c r="S4" s="273"/>
      <c r="T4" s="104"/>
      <c r="U4" s="105"/>
      <c r="V4" s="272" t="s">
        <v>220</v>
      </c>
      <c r="W4" s="273"/>
      <c r="X4" s="272" t="s">
        <v>220</v>
      </c>
      <c r="Y4" s="273"/>
      <c r="Z4" s="272" t="s">
        <v>220</v>
      </c>
      <c r="AA4" s="273"/>
      <c r="AB4" s="274" t="s">
        <v>220</v>
      </c>
      <c r="AC4" s="275"/>
      <c r="AD4" s="104"/>
      <c r="AE4" s="105"/>
      <c r="AF4" s="272" t="s">
        <v>220</v>
      </c>
      <c r="AG4" s="273"/>
      <c r="AH4" s="272" t="s">
        <v>220</v>
      </c>
      <c r="AI4" s="273"/>
      <c r="AJ4" s="272" t="s">
        <v>218</v>
      </c>
      <c r="AK4" s="273"/>
      <c r="AL4" s="272" t="s">
        <v>218</v>
      </c>
      <c r="AM4" s="273"/>
      <c r="AN4" s="272" t="s">
        <v>218</v>
      </c>
      <c r="AO4" s="273"/>
      <c r="AP4" s="274" t="s">
        <v>219</v>
      </c>
      <c r="AQ4" s="275"/>
      <c r="AR4" s="272" t="s">
        <v>218</v>
      </c>
      <c r="AS4" s="273"/>
      <c r="AT4" s="272" t="s">
        <v>218</v>
      </c>
      <c r="AU4" s="273"/>
      <c r="AV4" s="274" t="s">
        <v>218</v>
      </c>
      <c r="AW4" s="275"/>
      <c r="AX4" s="272" t="s">
        <v>220</v>
      </c>
      <c r="AY4" s="273"/>
      <c r="AZ4" s="272" t="s">
        <v>218</v>
      </c>
      <c r="BA4" s="273"/>
      <c r="BB4" s="272" t="s">
        <v>218</v>
      </c>
      <c r="BC4" s="273"/>
      <c r="BD4" s="104"/>
      <c r="BE4" s="105"/>
      <c r="BF4" s="104"/>
      <c r="BG4" s="105"/>
      <c r="BH4" s="272" t="s">
        <v>219</v>
      </c>
      <c r="BI4" s="273"/>
      <c r="BJ4" s="272" t="s">
        <v>220</v>
      </c>
      <c r="BK4" s="273"/>
      <c r="BL4" s="272" t="s">
        <v>218</v>
      </c>
      <c r="BM4" s="273"/>
      <c r="BN4" s="272" t="s">
        <v>218</v>
      </c>
      <c r="BO4" s="273"/>
      <c r="BP4" s="272" t="s">
        <v>218</v>
      </c>
      <c r="BQ4" s="273"/>
      <c r="BR4" s="272" t="s">
        <v>218</v>
      </c>
      <c r="BS4" s="273"/>
      <c r="BT4" s="272" t="s">
        <v>218</v>
      </c>
      <c r="BU4" s="273"/>
      <c r="BV4" s="272" t="s">
        <v>218</v>
      </c>
      <c r="BW4" s="273"/>
      <c r="BX4" s="272" t="s">
        <v>218</v>
      </c>
      <c r="BY4" s="273"/>
      <c r="BZ4" s="272" t="s">
        <v>220</v>
      </c>
      <c r="CA4" s="273"/>
      <c r="CB4" s="272" t="s">
        <v>220</v>
      </c>
      <c r="CC4" s="273"/>
      <c r="CD4" s="272" t="s">
        <v>220</v>
      </c>
      <c r="CE4" s="273"/>
      <c r="CF4" s="272" t="s">
        <v>218</v>
      </c>
      <c r="CG4" s="273"/>
      <c r="CH4" s="272" t="s">
        <v>218</v>
      </c>
      <c r="CI4" s="273"/>
      <c r="CJ4" s="272" t="s">
        <v>218</v>
      </c>
      <c r="CK4" s="273"/>
      <c r="CL4" s="272" t="s">
        <v>218</v>
      </c>
      <c r="CM4" s="273"/>
      <c r="CN4" s="104"/>
      <c r="CO4" s="105"/>
      <c r="CP4" s="272" t="s">
        <v>219</v>
      </c>
      <c r="CQ4" s="273"/>
      <c r="CR4" s="272" t="s">
        <v>221</v>
      </c>
      <c r="CS4" s="273"/>
      <c r="CT4" s="272" t="s">
        <v>219</v>
      </c>
      <c r="CU4" s="273"/>
      <c r="CV4" s="272" t="s">
        <v>220</v>
      </c>
      <c r="CW4" s="273"/>
      <c r="CX4" s="272" t="s">
        <v>218</v>
      </c>
      <c r="CY4" s="273"/>
      <c r="CZ4" s="272" t="s">
        <v>218</v>
      </c>
      <c r="DA4" s="273"/>
      <c r="DB4" s="104"/>
      <c r="DC4" s="105"/>
      <c r="DD4" s="272" t="s">
        <v>219</v>
      </c>
      <c r="DE4" s="273"/>
      <c r="DF4" s="272" t="s">
        <v>220</v>
      </c>
      <c r="DG4" s="273"/>
      <c r="DH4" s="272" t="s">
        <v>220</v>
      </c>
      <c r="DI4" s="273"/>
      <c r="DJ4" s="274" t="s">
        <v>219</v>
      </c>
      <c r="DK4" s="275"/>
      <c r="DL4" s="272" t="s">
        <v>218</v>
      </c>
      <c r="DM4" s="273"/>
      <c r="DN4" s="272" t="s">
        <v>218</v>
      </c>
      <c r="DO4" s="273"/>
      <c r="DP4" s="272" t="s">
        <v>218</v>
      </c>
      <c r="DQ4" s="273"/>
      <c r="DR4" s="272" t="s">
        <v>218</v>
      </c>
      <c r="DS4" s="273"/>
      <c r="DT4" s="272" t="s">
        <v>220</v>
      </c>
      <c r="DU4" s="273"/>
      <c r="DV4" s="272" t="s">
        <v>220</v>
      </c>
      <c r="DW4" s="273"/>
      <c r="DX4" s="272" t="s">
        <v>222</v>
      </c>
      <c r="DY4" s="273"/>
      <c r="DZ4" s="272" t="s">
        <v>223</v>
      </c>
      <c r="EA4" s="273"/>
      <c r="EB4" s="272" t="s">
        <v>222</v>
      </c>
      <c r="EC4" s="273"/>
      <c r="ED4" s="272" t="s">
        <v>218</v>
      </c>
      <c r="EE4" s="273"/>
      <c r="EF4" s="272" t="s">
        <v>218</v>
      </c>
      <c r="EG4" s="273"/>
      <c r="EH4" s="272" t="s">
        <v>220</v>
      </c>
      <c r="EI4" s="273"/>
      <c r="EJ4" s="272" t="s">
        <v>220</v>
      </c>
      <c r="EK4" s="273"/>
      <c r="EL4" s="272" t="s">
        <v>218</v>
      </c>
      <c r="EM4" s="273"/>
      <c r="EN4" s="272" t="s">
        <v>218</v>
      </c>
      <c r="EO4" s="273"/>
      <c r="EP4" s="272" t="s">
        <v>218</v>
      </c>
      <c r="EQ4" s="273"/>
      <c r="ER4" s="272" t="s">
        <v>218</v>
      </c>
      <c r="ES4" s="273"/>
      <c r="ET4" s="272" t="s">
        <v>218</v>
      </c>
      <c r="EU4" s="273"/>
      <c r="EV4" s="272" t="s">
        <v>218</v>
      </c>
      <c r="EW4" s="273"/>
      <c r="EX4" s="272" t="s">
        <v>218</v>
      </c>
      <c r="EY4" s="273"/>
      <c r="EZ4" s="272" t="s">
        <v>220</v>
      </c>
      <c r="FA4" s="273"/>
      <c r="FB4" s="272" t="s">
        <v>218</v>
      </c>
      <c r="FC4" s="273"/>
      <c r="FD4" s="272" t="s">
        <v>218</v>
      </c>
      <c r="FE4" s="273"/>
      <c r="FF4" s="272" t="s">
        <v>222</v>
      </c>
      <c r="FG4" s="273"/>
      <c r="FH4" s="272" t="s">
        <v>218</v>
      </c>
      <c r="FI4" s="273"/>
      <c r="FJ4" s="272" t="s">
        <v>222</v>
      </c>
      <c r="FK4" s="273"/>
      <c r="FL4" s="274" t="s">
        <v>218</v>
      </c>
      <c r="FM4" s="275"/>
    </row>
    <row r="5" spans="1:169" s="80" customFormat="1" ht="138.75" customHeight="1">
      <c r="B5" s="278" t="s">
        <v>77</v>
      </c>
      <c r="C5" s="278"/>
      <c r="D5" s="278" t="s">
        <v>224</v>
      </c>
      <c r="E5" s="278"/>
      <c r="F5" s="278" t="s">
        <v>78</v>
      </c>
      <c r="G5" s="278"/>
      <c r="H5" s="278" t="s">
        <v>225</v>
      </c>
      <c r="I5" s="278"/>
      <c r="J5" s="278" t="s">
        <v>226</v>
      </c>
      <c r="K5" s="278"/>
      <c r="L5" s="278" t="s">
        <v>77</v>
      </c>
      <c r="M5" s="278"/>
      <c r="N5" s="278" t="s">
        <v>79</v>
      </c>
      <c r="O5" s="278"/>
      <c r="P5" s="278" t="s">
        <v>227</v>
      </c>
      <c r="Q5" s="278"/>
      <c r="R5" s="278" t="s">
        <v>227</v>
      </c>
      <c r="S5" s="278"/>
      <c r="T5" s="278" t="s">
        <v>67</v>
      </c>
      <c r="U5" s="278"/>
      <c r="V5" s="278" t="s">
        <v>228</v>
      </c>
      <c r="W5" s="278"/>
      <c r="X5" s="278" t="s">
        <v>229</v>
      </c>
      <c r="Y5" s="278"/>
      <c r="Z5" s="278" t="s">
        <v>230</v>
      </c>
      <c r="AA5" s="278"/>
      <c r="AB5" s="279" t="s">
        <v>227</v>
      </c>
      <c r="AC5" s="279"/>
      <c r="AD5" s="278" t="s">
        <v>68</v>
      </c>
      <c r="AE5" s="278"/>
      <c r="AF5" s="278" t="s">
        <v>231</v>
      </c>
      <c r="AG5" s="278"/>
      <c r="AH5" s="278" t="s">
        <v>232</v>
      </c>
      <c r="AI5" s="278"/>
      <c r="AJ5" s="278" t="s">
        <v>233</v>
      </c>
      <c r="AK5" s="278"/>
      <c r="AL5" s="278" t="s">
        <v>225</v>
      </c>
      <c r="AM5" s="278"/>
      <c r="AN5" s="278" t="s">
        <v>234</v>
      </c>
      <c r="AO5" s="278"/>
      <c r="AP5" s="279" t="s">
        <v>235</v>
      </c>
      <c r="AQ5" s="279"/>
      <c r="AR5" s="278" t="s">
        <v>236</v>
      </c>
      <c r="AS5" s="278"/>
      <c r="AT5" s="278" t="s">
        <v>237</v>
      </c>
      <c r="AU5" s="278"/>
      <c r="AV5" s="279" t="s">
        <v>238</v>
      </c>
      <c r="AW5" s="279"/>
      <c r="AX5" s="278" t="s">
        <v>227</v>
      </c>
      <c r="AY5" s="278"/>
      <c r="AZ5" s="278" t="s">
        <v>225</v>
      </c>
      <c r="BA5" s="278"/>
      <c r="BB5" s="278" t="s">
        <v>239</v>
      </c>
      <c r="BC5" s="278"/>
      <c r="BD5" s="278" t="s">
        <v>70</v>
      </c>
      <c r="BE5" s="278"/>
      <c r="BF5" s="278" t="s">
        <v>71</v>
      </c>
      <c r="BG5" s="278"/>
      <c r="BH5" s="278" t="s">
        <v>240</v>
      </c>
      <c r="BI5" s="278"/>
      <c r="BJ5" s="278" t="s">
        <v>241</v>
      </c>
      <c r="BK5" s="278"/>
      <c r="BL5" s="278" t="s">
        <v>242</v>
      </c>
      <c r="BM5" s="278"/>
      <c r="BN5" s="278" t="s">
        <v>243</v>
      </c>
      <c r="BO5" s="278"/>
      <c r="BP5" s="278" t="s">
        <v>244</v>
      </c>
      <c r="BQ5" s="278"/>
      <c r="BR5" s="278" t="s">
        <v>245</v>
      </c>
      <c r="BS5" s="278"/>
      <c r="BT5" s="278" t="s">
        <v>246</v>
      </c>
      <c r="BU5" s="278"/>
      <c r="BV5" s="278" t="s">
        <v>247</v>
      </c>
      <c r="BW5" s="278"/>
      <c r="BX5" s="278" t="s">
        <v>245</v>
      </c>
      <c r="BY5" s="278"/>
      <c r="BZ5" s="278" t="s">
        <v>73</v>
      </c>
      <c r="CA5" s="278"/>
      <c r="CB5" s="278" t="s">
        <v>74</v>
      </c>
      <c r="CC5" s="278"/>
      <c r="CD5" s="278" t="s">
        <v>75</v>
      </c>
      <c r="CE5" s="278"/>
      <c r="CF5" s="278" t="s">
        <v>76</v>
      </c>
      <c r="CG5" s="278"/>
      <c r="CH5" s="278" t="s">
        <v>248</v>
      </c>
      <c r="CI5" s="278"/>
      <c r="CJ5" s="278" t="s">
        <v>248</v>
      </c>
      <c r="CK5" s="278"/>
      <c r="CL5" s="278" t="s">
        <v>249</v>
      </c>
      <c r="CM5" s="278"/>
      <c r="CN5" s="278" t="s">
        <v>69</v>
      </c>
      <c r="CO5" s="278"/>
      <c r="CP5" s="280" t="s">
        <v>250</v>
      </c>
      <c r="CQ5" s="280"/>
      <c r="CR5" s="280" t="s">
        <v>221</v>
      </c>
      <c r="CS5" s="280"/>
      <c r="CT5" s="280" t="s">
        <v>251</v>
      </c>
      <c r="CU5" s="280"/>
      <c r="CV5" s="280" t="s">
        <v>252</v>
      </c>
      <c r="CW5" s="280"/>
      <c r="CX5" s="280" t="s">
        <v>253</v>
      </c>
      <c r="CY5" s="280"/>
      <c r="CZ5" s="280" t="s">
        <v>254</v>
      </c>
      <c r="DA5" s="280"/>
      <c r="DB5" s="278" t="s">
        <v>72</v>
      </c>
      <c r="DC5" s="278"/>
      <c r="DD5" s="278" t="s">
        <v>255</v>
      </c>
      <c r="DE5" s="278"/>
      <c r="DF5" s="278" t="s">
        <v>256</v>
      </c>
      <c r="DG5" s="278"/>
      <c r="DH5" s="278" t="s">
        <v>257</v>
      </c>
      <c r="DI5" s="278"/>
      <c r="DJ5" s="279" t="s">
        <v>255</v>
      </c>
      <c r="DK5" s="279"/>
      <c r="DL5" s="278" t="s">
        <v>258</v>
      </c>
      <c r="DM5" s="278"/>
      <c r="DN5" s="278" t="s">
        <v>258</v>
      </c>
      <c r="DO5" s="278"/>
      <c r="DP5" s="278" t="s">
        <v>259</v>
      </c>
      <c r="DQ5" s="278"/>
      <c r="DR5" s="278" t="s">
        <v>259</v>
      </c>
      <c r="DS5" s="278"/>
      <c r="DT5" s="278" t="s">
        <v>231</v>
      </c>
      <c r="DU5" s="278"/>
      <c r="DV5" s="278" t="s">
        <v>260</v>
      </c>
      <c r="DW5" s="278"/>
      <c r="DX5" s="280" t="s">
        <v>261</v>
      </c>
      <c r="DY5" s="280"/>
      <c r="DZ5" s="278" t="s">
        <v>225</v>
      </c>
      <c r="EA5" s="278"/>
      <c r="EB5" s="280" t="s">
        <v>262</v>
      </c>
      <c r="EC5" s="280"/>
      <c r="ED5" s="280" t="s">
        <v>263</v>
      </c>
      <c r="EE5" s="280"/>
      <c r="EF5" s="280" t="s">
        <v>264</v>
      </c>
      <c r="EG5" s="280"/>
      <c r="EH5" s="280" t="s">
        <v>227</v>
      </c>
      <c r="EI5" s="280"/>
      <c r="EJ5" s="280" t="s">
        <v>265</v>
      </c>
      <c r="EK5" s="280"/>
      <c r="EL5" s="278" t="s">
        <v>266</v>
      </c>
      <c r="EM5" s="278"/>
      <c r="EN5" s="278" t="s">
        <v>267</v>
      </c>
      <c r="EO5" s="278"/>
      <c r="EP5" s="278" t="s">
        <v>268</v>
      </c>
      <c r="EQ5" s="278"/>
      <c r="ER5" s="278" t="s">
        <v>269</v>
      </c>
      <c r="ES5" s="278"/>
      <c r="ET5" s="278" t="s">
        <v>267</v>
      </c>
      <c r="EU5" s="278"/>
      <c r="EV5" s="278" t="s">
        <v>268</v>
      </c>
      <c r="EW5" s="278"/>
      <c r="EX5" s="278" t="s">
        <v>270</v>
      </c>
      <c r="EY5" s="278"/>
      <c r="EZ5" s="278" t="s">
        <v>265</v>
      </c>
      <c r="FA5" s="278"/>
      <c r="FB5" s="278" t="s">
        <v>271</v>
      </c>
      <c r="FC5" s="278"/>
      <c r="FD5" s="278" t="s">
        <v>272</v>
      </c>
      <c r="FE5" s="278"/>
      <c r="FF5" s="278" t="s">
        <v>273</v>
      </c>
      <c r="FG5" s="278"/>
      <c r="FH5" s="278" t="s">
        <v>274</v>
      </c>
      <c r="FI5" s="278"/>
      <c r="FJ5" s="278" t="s">
        <v>275</v>
      </c>
      <c r="FK5" s="278"/>
      <c r="FL5" s="279" t="s">
        <v>276</v>
      </c>
      <c r="FM5" s="279"/>
    </row>
    <row r="6" spans="1:169" s="22" customFormat="1" ht="30" customHeight="1">
      <c r="B6" s="271">
        <v>5065544</v>
      </c>
      <c r="C6" s="271"/>
      <c r="D6" s="272"/>
      <c r="E6" s="273"/>
      <c r="F6" s="271">
        <v>5065541</v>
      </c>
      <c r="G6" s="271"/>
      <c r="H6" s="272"/>
      <c r="I6" s="273"/>
      <c r="J6" s="272"/>
      <c r="K6" s="273"/>
      <c r="L6" s="271">
        <v>5065542</v>
      </c>
      <c r="M6" s="271"/>
      <c r="N6" s="271">
        <v>5065540</v>
      </c>
      <c r="O6" s="271"/>
      <c r="P6" s="272"/>
      <c r="Q6" s="273"/>
      <c r="R6" s="272"/>
      <c r="S6" s="273"/>
      <c r="T6" s="271">
        <v>5065546</v>
      </c>
      <c r="U6" s="271"/>
      <c r="V6" s="272"/>
      <c r="W6" s="273"/>
      <c r="X6" s="272"/>
      <c r="Y6" s="273"/>
      <c r="Z6" s="272"/>
      <c r="AA6" s="273"/>
      <c r="AB6" s="272"/>
      <c r="AC6" s="273"/>
      <c r="AD6" s="271">
        <v>5065547</v>
      </c>
      <c r="AE6" s="271"/>
      <c r="AF6" s="272"/>
      <c r="AG6" s="273"/>
      <c r="AH6" s="281"/>
      <c r="AI6" s="282"/>
      <c r="AJ6" s="281"/>
      <c r="AK6" s="282"/>
      <c r="AL6" s="281"/>
      <c r="AM6" s="282"/>
      <c r="AN6" s="281"/>
      <c r="AO6" s="282"/>
      <c r="AP6" s="281"/>
      <c r="AQ6" s="282"/>
      <c r="AR6" s="281"/>
      <c r="AS6" s="282"/>
      <c r="AT6" s="281"/>
      <c r="AU6" s="282"/>
      <c r="AV6" s="281"/>
      <c r="AW6" s="282"/>
      <c r="AX6" s="281"/>
      <c r="AY6" s="282"/>
      <c r="AZ6" s="281"/>
      <c r="BA6" s="282"/>
      <c r="BB6" s="281"/>
      <c r="BC6" s="282"/>
      <c r="BD6" s="271">
        <v>5065548</v>
      </c>
      <c r="BE6" s="271"/>
      <c r="BF6" s="271">
        <v>5465545</v>
      </c>
      <c r="BG6" s="271"/>
      <c r="BH6" s="272"/>
      <c r="BI6" s="273"/>
      <c r="BJ6" s="272"/>
      <c r="BK6" s="273"/>
      <c r="BL6" s="272"/>
      <c r="BM6" s="273"/>
      <c r="BN6" s="272"/>
      <c r="BO6" s="273"/>
      <c r="BP6" s="272"/>
      <c r="BQ6" s="273"/>
      <c r="BR6" s="272"/>
      <c r="BS6" s="273"/>
      <c r="BT6" s="272"/>
      <c r="BU6" s="273"/>
      <c r="BV6" s="272"/>
      <c r="BW6" s="273"/>
      <c r="BX6" s="272"/>
      <c r="BY6" s="273"/>
      <c r="BZ6" s="271">
        <v>5018351</v>
      </c>
      <c r="CA6" s="271"/>
      <c r="CB6" s="271">
        <v>5018354</v>
      </c>
      <c r="CC6" s="271"/>
      <c r="CD6" s="271">
        <v>5018350</v>
      </c>
      <c r="CE6" s="271"/>
      <c r="CF6" s="271">
        <v>5065543</v>
      </c>
      <c r="CG6" s="271"/>
      <c r="CH6" s="272"/>
      <c r="CI6" s="273"/>
      <c r="CJ6" s="272"/>
      <c r="CK6" s="273"/>
      <c r="CL6" s="272"/>
      <c r="CM6" s="273"/>
      <c r="CN6" s="271">
        <v>5008272</v>
      </c>
      <c r="CO6" s="271"/>
      <c r="CP6" s="272"/>
      <c r="CQ6" s="273"/>
      <c r="CR6" s="272"/>
      <c r="CS6" s="273"/>
      <c r="CT6" s="272"/>
      <c r="CU6" s="273"/>
      <c r="CV6" s="272"/>
      <c r="CW6" s="273"/>
      <c r="CX6" s="272"/>
      <c r="CY6" s="273"/>
      <c r="CZ6" s="272"/>
      <c r="DA6" s="273"/>
      <c r="DB6" s="271">
        <v>5008273</v>
      </c>
      <c r="DC6" s="271"/>
      <c r="DD6" s="272"/>
      <c r="DE6" s="273"/>
      <c r="DF6" s="272"/>
      <c r="DG6" s="273"/>
      <c r="DH6" s="272"/>
      <c r="DI6" s="273"/>
      <c r="DJ6" s="272"/>
      <c r="DK6" s="273"/>
      <c r="DL6" s="272"/>
      <c r="DM6" s="273"/>
      <c r="DN6" s="272"/>
      <c r="DO6" s="273"/>
      <c r="DP6" s="272"/>
      <c r="DQ6" s="273"/>
      <c r="DR6" s="272"/>
      <c r="DS6" s="273"/>
      <c r="DT6" s="272"/>
      <c r="DU6" s="273"/>
      <c r="DV6" s="272"/>
      <c r="DW6" s="273"/>
      <c r="DX6" s="272"/>
      <c r="DY6" s="273"/>
      <c r="DZ6" s="272"/>
      <c r="EA6" s="273"/>
      <c r="EB6" s="272"/>
      <c r="EC6" s="273"/>
      <c r="ED6" s="272"/>
      <c r="EE6" s="273"/>
      <c r="EF6" s="272"/>
      <c r="EG6" s="273"/>
      <c r="EH6" s="272"/>
      <c r="EI6" s="273"/>
      <c r="EJ6" s="272"/>
      <c r="EK6" s="273"/>
      <c r="EL6" s="272"/>
      <c r="EM6" s="273"/>
      <c r="EN6" s="272"/>
      <c r="EO6" s="273"/>
      <c r="EP6" s="272"/>
      <c r="EQ6" s="273"/>
      <c r="ER6" s="272"/>
      <c r="ES6" s="273"/>
      <c r="ET6" s="272"/>
      <c r="EU6" s="273"/>
      <c r="EV6" s="272"/>
      <c r="EW6" s="273"/>
      <c r="EX6" s="272"/>
      <c r="EY6" s="273"/>
      <c r="EZ6" s="272"/>
      <c r="FA6" s="273"/>
      <c r="FB6" s="272"/>
      <c r="FC6" s="273"/>
      <c r="FD6" s="272"/>
      <c r="FE6" s="273"/>
      <c r="FF6" s="272"/>
      <c r="FG6" s="273"/>
      <c r="FH6" s="272"/>
      <c r="FI6" s="273"/>
      <c r="FJ6" s="272"/>
      <c r="FK6" s="273"/>
      <c r="FL6" s="272"/>
      <c r="FM6" s="273"/>
    </row>
    <row r="7" spans="1:169" s="22" customFormat="1" ht="30" customHeight="1">
      <c r="B7" s="283" t="s">
        <v>91</v>
      </c>
      <c r="C7" s="283"/>
      <c r="D7" s="283" t="s">
        <v>91</v>
      </c>
      <c r="E7" s="283"/>
      <c r="F7" s="284" t="s">
        <v>92</v>
      </c>
      <c r="G7" s="284"/>
      <c r="H7" s="285" t="s">
        <v>93</v>
      </c>
      <c r="I7" s="285"/>
      <c r="J7" s="285" t="s">
        <v>93</v>
      </c>
      <c r="K7" s="285"/>
      <c r="L7" s="285" t="s">
        <v>93</v>
      </c>
      <c r="M7" s="285"/>
      <c r="N7" s="286" t="s">
        <v>94</v>
      </c>
      <c r="O7" s="286"/>
      <c r="P7" s="286" t="s">
        <v>94</v>
      </c>
      <c r="Q7" s="286"/>
      <c r="R7" s="286" t="s">
        <v>94</v>
      </c>
      <c r="S7" s="286"/>
      <c r="T7" s="287" t="s">
        <v>81</v>
      </c>
      <c r="U7" s="287"/>
      <c r="V7" s="287" t="s">
        <v>81</v>
      </c>
      <c r="W7" s="287"/>
      <c r="X7" s="287" t="s">
        <v>81</v>
      </c>
      <c r="Y7" s="287"/>
      <c r="Z7" s="287" t="s">
        <v>81</v>
      </c>
      <c r="AA7" s="287"/>
      <c r="AB7" s="287" t="s">
        <v>81</v>
      </c>
      <c r="AC7" s="287"/>
      <c r="AD7" s="288" t="s">
        <v>82</v>
      </c>
      <c r="AE7" s="288"/>
      <c r="AF7" s="288" t="s">
        <v>82</v>
      </c>
      <c r="AG7" s="288"/>
      <c r="AH7" s="289" t="s">
        <v>84</v>
      </c>
      <c r="AI7" s="289"/>
      <c r="AJ7" s="289" t="s">
        <v>84</v>
      </c>
      <c r="AK7" s="289"/>
      <c r="AL7" s="289" t="s">
        <v>84</v>
      </c>
      <c r="AM7" s="289"/>
      <c r="AN7" s="289" t="s">
        <v>84</v>
      </c>
      <c r="AO7" s="289"/>
      <c r="AP7" s="289" t="s">
        <v>84</v>
      </c>
      <c r="AQ7" s="289"/>
      <c r="AR7" s="289" t="s">
        <v>84</v>
      </c>
      <c r="AS7" s="289"/>
      <c r="AT7" s="289" t="s">
        <v>84</v>
      </c>
      <c r="AU7" s="289"/>
      <c r="AV7" s="289" t="s">
        <v>84</v>
      </c>
      <c r="AW7" s="289"/>
      <c r="AX7" s="289" t="s">
        <v>84</v>
      </c>
      <c r="AY7" s="289"/>
      <c r="AZ7" s="289" t="s">
        <v>84</v>
      </c>
      <c r="BA7" s="289"/>
      <c r="BB7" s="289" t="s">
        <v>84</v>
      </c>
      <c r="BC7" s="289"/>
      <c r="BD7" s="289" t="s">
        <v>84</v>
      </c>
      <c r="BE7" s="289"/>
      <c r="BF7" s="290" t="s">
        <v>85</v>
      </c>
      <c r="BG7" s="290"/>
      <c r="BH7" s="290" t="s">
        <v>85</v>
      </c>
      <c r="BI7" s="290"/>
      <c r="BJ7" s="290" t="s">
        <v>85</v>
      </c>
      <c r="BK7" s="290"/>
      <c r="BL7" s="290" t="s">
        <v>85</v>
      </c>
      <c r="BM7" s="290"/>
      <c r="BN7" s="290" t="s">
        <v>85</v>
      </c>
      <c r="BO7" s="290"/>
      <c r="BP7" s="290" t="s">
        <v>85</v>
      </c>
      <c r="BQ7" s="290"/>
      <c r="BR7" s="290" t="s">
        <v>85</v>
      </c>
      <c r="BS7" s="290"/>
      <c r="BT7" s="290" t="s">
        <v>85</v>
      </c>
      <c r="BU7" s="290"/>
      <c r="BV7" s="290" t="s">
        <v>85</v>
      </c>
      <c r="BW7" s="290"/>
      <c r="BX7" s="290" t="s">
        <v>85</v>
      </c>
      <c r="BY7" s="290"/>
      <c r="BZ7" s="291" t="s">
        <v>87</v>
      </c>
      <c r="CA7" s="291"/>
      <c r="CB7" s="292" t="s">
        <v>88</v>
      </c>
      <c r="CC7" s="292"/>
      <c r="CD7" s="270" t="s">
        <v>89</v>
      </c>
      <c r="CE7" s="270"/>
      <c r="CF7" s="293" t="s">
        <v>90</v>
      </c>
      <c r="CG7" s="293"/>
      <c r="CH7" s="293" t="s">
        <v>90</v>
      </c>
      <c r="CI7" s="293"/>
      <c r="CJ7" s="293" t="s">
        <v>90</v>
      </c>
      <c r="CK7" s="293"/>
      <c r="CL7" s="293" t="s">
        <v>90</v>
      </c>
      <c r="CM7" s="293"/>
      <c r="CN7" s="294" t="s">
        <v>83</v>
      </c>
      <c r="CO7" s="294"/>
      <c r="CP7" s="294" t="s">
        <v>83</v>
      </c>
      <c r="CQ7" s="294"/>
      <c r="CR7" s="294" t="s">
        <v>83</v>
      </c>
      <c r="CS7" s="294"/>
      <c r="CT7" s="294" t="s">
        <v>83</v>
      </c>
      <c r="CU7" s="294"/>
      <c r="CV7" s="294" t="s">
        <v>83</v>
      </c>
      <c r="CW7" s="294"/>
      <c r="CX7" s="294" t="s">
        <v>83</v>
      </c>
      <c r="CY7" s="294"/>
      <c r="CZ7" s="294" t="s">
        <v>83</v>
      </c>
      <c r="DA7" s="294"/>
      <c r="DB7" s="295" t="s">
        <v>86</v>
      </c>
      <c r="DC7" s="295"/>
      <c r="DD7" s="295" t="s">
        <v>86</v>
      </c>
      <c r="DE7" s="295"/>
      <c r="DF7" s="295" t="s">
        <v>86</v>
      </c>
      <c r="DG7" s="295"/>
      <c r="DH7" s="295" t="s">
        <v>86</v>
      </c>
      <c r="DI7" s="295"/>
      <c r="DJ7" s="295" t="s">
        <v>86</v>
      </c>
      <c r="DK7" s="295"/>
      <c r="DL7" s="288" t="s">
        <v>82</v>
      </c>
      <c r="DM7" s="288"/>
      <c r="DN7" s="288" t="s">
        <v>82</v>
      </c>
      <c r="DO7" s="288"/>
      <c r="DP7" s="288" t="s">
        <v>82</v>
      </c>
      <c r="DQ7" s="288"/>
      <c r="DR7" s="288" t="s">
        <v>82</v>
      </c>
      <c r="DS7" s="288"/>
      <c r="DT7" s="288" t="s">
        <v>82</v>
      </c>
      <c r="DU7" s="288"/>
      <c r="DV7" s="288" t="s">
        <v>82</v>
      </c>
      <c r="DW7" s="288"/>
      <c r="DX7" s="287" t="s">
        <v>81</v>
      </c>
      <c r="DY7" s="287"/>
      <c r="DZ7" s="287" t="s">
        <v>81</v>
      </c>
      <c r="EA7" s="287"/>
      <c r="EB7" s="287" t="s">
        <v>81</v>
      </c>
      <c r="EC7" s="287"/>
      <c r="ED7" s="287" t="s">
        <v>81</v>
      </c>
      <c r="EE7" s="287"/>
      <c r="EF7" s="287" t="s">
        <v>81</v>
      </c>
      <c r="EG7" s="287"/>
      <c r="EH7" s="287" t="s">
        <v>81</v>
      </c>
      <c r="EI7" s="287"/>
      <c r="EJ7" s="287" t="s">
        <v>81</v>
      </c>
      <c r="EK7" s="287"/>
      <c r="EL7" s="285" t="s">
        <v>93</v>
      </c>
      <c r="EM7" s="285"/>
      <c r="EN7" s="285" t="s">
        <v>93</v>
      </c>
      <c r="EO7" s="285"/>
      <c r="EP7" s="285" t="s">
        <v>93</v>
      </c>
      <c r="EQ7" s="285"/>
      <c r="ER7" s="283" t="s">
        <v>91</v>
      </c>
      <c r="ES7" s="283"/>
      <c r="ET7" s="283" t="s">
        <v>91</v>
      </c>
      <c r="EU7" s="283"/>
      <c r="EV7" s="283" t="s">
        <v>91</v>
      </c>
      <c r="EW7" s="283"/>
      <c r="EX7" s="284" t="s">
        <v>92</v>
      </c>
      <c r="EY7" s="284"/>
      <c r="EZ7" s="286" t="s">
        <v>94</v>
      </c>
      <c r="FA7" s="286"/>
      <c r="FB7" s="286" t="s">
        <v>94</v>
      </c>
      <c r="FC7" s="286"/>
      <c r="FD7" s="286" t="s">
        <v>94</v>
      </c>
      <c r="FE7" s="286"/>
      <c r="FF7" s="284" t="s">
        <v>92</v>
      </c>
      <c r="FG7" s="284"/>
      <c r="FH7" s="284" t="s">
        <v>92</v>
      </c>
      <c r="FI7" s="284"/>
      <c r="FJ7" s="284" t="s">
        <v>92</v>
      </c>
      <c r="FK7" s="284"/>
      <c r="FL7" s="284" t="s">
        <v>92</v>
      </c>
      <c r="FM7" s="284"/>
    </row>
    <row r="8" spans="1:169" s="22" customFormat="1" ht="30" customHeight="1">
      <c r="B8" s="296"/>
      <c r="C8" s="296"/>
      <c r="D8" s="297" t="s">
        <v>277</v>
      </c>
      <c r="E8" s="298"/>
      <c r="F8" s="296"/>
      <c r="G8" s="296"/>
      <c r="H8" s="297" t="s">
        <v>278</v>
      </c>
      <c r="I8" s="298"/>
      <c r="J8" s="297" t="s">
        <v>279</v>
      </c>
      <c r="K8" s="298"/>
      <c r="L8" s="296"/>
      <c r="M8" s="296"/>
      <c r="N8" s="296"/>
      <c r="O8" s="296"/>
      <c r="P8" s="297" t="s">
        <v>280</v>
      </c>
      <c r="Q8" s="298"/>
      <c r="R8" s="297" t="s">
        <v>281</v>
      </c>
      <c r="S8" s="298"/>
      <c r="T8" s="296"/>
      <c r="U8" s="296"/>
      <c r="V8" s="297" t="s">
        <v>282</v>
      </c>
      <c r="W8" s="298"/>
      <c r="X8" s="297" t="s">
        <v>283</v>
      </c>
      <c r="Y8" s="298"/>
      <c r="Z8" s="297" t="s">
        <v>284</v>
      </c>
      <c r="AA8" s="298"/>
      <c r="AB8" s="297" t="s">
        <v>285</v>
      </c>
      <c r="AC8" s="298"/>
      <c r="AD8" s="296"/>
      <c r="AE8" s="296"/>
      <c r="AF8" s="297" t="s">
        <v>286</v>
      </c>
      <c r="AG8" s="298"/>
      <c r="AH8" s="297" t="s">
        <v>287</v>
      </c>
      <c r="AI8" s="298"/>
      <c r="AJ8" s="297" t="s">
        <v>288</v>
      </c>
      <c r="AK8" s="298"/>
      <c r="AL8" s="297" t="s">
        <v>289</v>
      </c>
      <c r="AM8" s="298"/>
      <c r="AN8" s="297" t="s">
        <v>290</v>
      </c>
      <c r="AO8" s="298"/>
      <c r="AP8" s="297" t="s">
        <v>291</v>
      </c>
      <c r="AQ8" s="298"/>
      <c r="AR8" s="297" t="s">
        <v>292</v>
      </c>
      <c r="AS8" s="298"/>
      <c r="AT8" s="297" t="s">
        <v>293</v>
      </c>
      <c r="AU8" s="298"/>
      <c r="AV8" s="297" t="s">
        <v>294</v>
      </c>
      <c r="AW8" s="298"/>
      <c r="AX8" s="297" t="s">
        <v>295</v>
      </c>
      <c r="AY8" s="298"/>
      <c r="AZ8" s="297" t="s">
        <v>296</v>
      </c>
      <c r="BA8" s="298"/>
      <c r="BB8" s="297" t="s">
        <v>297</v>
      </c>
      <c r="BC8" s="298"/>
      <c r="BD8" s="297"/>
      <c r="BE8" s="298"/>
      <c r="BF8" s="296"/>
      <c r="BG8" s="296"/>
      <c r="BH8" s="297" t="s">
        <v>298</v>
      </c>
      <c r="BI8" s="298"/>
      <c r="BJ8" s="297" t="s">
        <v>299</v>
      </c>
      <c r="BK8" s="298"/>
      <c r="BL8" s="297" t="s">
        <v>300</v>
      </c>
      <c r="BM8" s="298"/>
      <c r="BN8" s="297" t="s">
        <v>301</v>
      </c>
      <c r="BO8" s="298"/>
      <c r="BP8" s="297" t="s">
        <v>302</v>
      </c>
      <c r="BQ8" s="298"/>
      <c r="BR8" s="297" t="s">
        <v>303</v>
      </c>
      <c r="BS8" s="298"/>
      <c r="BT8" s="297" t="s">
        <v>304</v>
      </c>
      <c r="BU8" s="298"/>
      <c r="BV8" s="297" t="s">
        <v>305</v>
      </c>
      <c r="BW8" s="298"/>
      <c r="BX8" s="297" t="s">
        <v>306</v>
      </c>
      <c r="BY8" s="298"/>
      <c r="BZ8" s="296"/>
      <c r="CA8" s="296"/>
      <c r="CB8" s="296"/>
      <c r="CC8" s="296"/>
      <c r="CD8" s="296"/>
      <c r="CE8" s="296"/>
      <c r="CF8" s="296"/>
      <c r="CG8" s="296"/>
      <c r="CH8" s="297" t="s">
        <v>307</v>
      </c>
      <c r="CI8" s="298"/>
      <c r="CJ8" s="297" t="s">
        <v>308</v>
      </c>
      <c r="CK8" s="298"/>
      <c r="CL8" s="297" t="s">
        <v>309</v>
      </c>
      <c r="CM8" s="298"/>
      <c r="CN8" s="296"/>
      <c r="CO8" s="296"/>
      <c r="CP8" s="297" t="s">
        <v>310</v>
      </c>
      <c r="CQ8" s="298"/>
      <c r="CR8" s="297" t="s">
        <v>311</v>
      </c>
      <c r="CS8" s="298"/>
      <c r="CT8" s="297" t="s">
        <v>312</v>
      </c>
      <c r="CU8" s="298"/>
      <c r="CV8" s="297" t="s">
        <v>313</v>
      </c>
      <c r="CW8" s="298"/>
      <c r="CX8" s="297" t="s">
        <v>314</v>
      </c>
      <c r="CY8" s="298"/>
      <c r="CZ8" s="297" t="s">
        <v>315</v>
      </c>
      <c r="DA8" s="298"/>
      <c r="DB8" s="296"/>
      <c r="DC8" s="296"/>
      <c r="DD8" s="297" t="s">
        <v>316</v>
      </c>
      <c r="DE8" s="298"/>
      <c r="DF8" s="297" t="s">
        <v>317</v>
      </c>
      <c r="DG8" s="298"/>
      <c r="DH8" s="297" t="s">
        <v>318</v>
      </c>
      <c r="DI8" s="298"/>
      <c r="DJ8" s="297" t="s">
        <v>319</v>
      </c>
      <c r="DK8" s="298"/>
      <c r="DL8" s="297" t="s">
        <v>320</v>
      </c>
      <c r="DM8" s="298"/>
      <c r="DN8" s="297" t="s">
        <v>321</v>
      </c>
      <c r="DO8" s="298"/>
      <c r="DP8" s="297" t="s">
        <v>322</v>
      </c>
      <c r="DQ8" s="298"/>
      <c r="DR8" s="297" t="s">
        <v>323</v>
      </c>
      <c r="DS8" s="298"/>
      <c r="DT8" s="297" t="s">
        <v>324</v>
      </c>
      <c r="DU8" s="298"/>
      <c r="DV8" s="297" t="s">
        <v>325</v>
      </c>
      <c r="DW8" s="298"/>
      <c r="DX8" s="297" t="s">
        <v>326</v>
      </c>
      <c r="DY8" s="298"/>
      <c r="DZ8" s="297" t="s">
        <v>327</v>
      </c>
      <c r="EA8" s="298"/>
      <c r="EB8" s="297" t="s">
        <v>328</v>
      </c>
      <c r="EC8" s="298"/>
      <c r="ED8" s="297" t="s">
        <v>329</v>
      </c>
      <c r="EE8" s="298"/>
      <c r="EF8" s="297" t="s">
        <v>330</v>
      </c>
      <c r="EG8" s="298"/>
      <c r="EH8" s="297" t="s">
        <v>331</v>
      </c>
      <c r="EI8" s="298"/>
      <c r="EJ8" s="297" t="s">
        <v>332</v>
      </c>
      <c r="EK8" s="298"/>
      <c r="EL8" s="297" t="s">
        <v>333</v>
      </c>
      <c r="EM8" s="298"/>
      <c r="EN8" s="297" t="s">
        <v>334</v>
      </c>
      <c r="EO8" s="298"/>
      <c r="EP8" s="297" t="s">
        <v>335</v>
      </c>
      <c r="EQ8" s="298"/>
      <c r="ER8" s="297" t="s">
        <v>336</v>
      </c>
      <c r="ES8" s="298"/>
      <c r="ET8" s="297" t="s">
        <v>337</v>
      </c>
      <c r="EU8" s="298"/>
      <c r="EV8" s="297" t="s">
        <v>338</v>
      </c>
      <c r="EW8" s="298"/>
      <c r="EX8" s="297" t="s">
        <v>339</v>
      </c>
      <c r="EY8" s="298"/>
      <c r="EZ8" s="297" t="s">
        <v>340</v>
      </c>
      <c r="FA8" s="298"/>
      <c r="FB8" s="297" t="s">
        <v>341</v>
      </c>
      <c r="FC8" s="298"/>
      <c r="FD8" s="297" t="s">
        <v>342</v>
      </c>
      <c r="FE8" s="298"/>
      <c r="FF8" s="297" t="s">
        <v>343</v>
      </c>
      <c r="FG8" s="298"/>
      <c r="FH8" s="297" t="s">
        <v>344</v>
      </c>
      <c r="FI8" s="298"/>
      <c r="FJ8" s="297" t="s">
        <v>345</v>
      </c>
      <c r="FK8" s="298"/>
      <c r="FL8" s="297" t="s">
        <v>346</v>
      </c>
      <c r="FM8" s="298"/>
    </row>
    <row r="9" spans="1:169" s="80" customFormat="1" ht="50.1" customHeight="1">
      <c r="A9" s="108" t="s">
        <v>98</v>
      </c>
      <c r="B9" s="108" t="s">
        <v>99</v>
      </c>
      <c r="C9" s="108" t="s">
        <v>100</v>
      </c>
      <c r="D9" s="108" t="s">
        <v>99</v>
      </c>
      <c r="E9" s="108" t="s">
        <v>100</v>
      </c>
      <c r="F9" s="108" t="s">
        <v>99</v>
      </c>
      <c r="G9" s="108" t="s">
        <v>100</v>
      </c>
      <c r="H9" s="108" t="s">
        <v>99</v>
      </c>
      <c r="I9" s="108" t="s">
        <v>100</v>
      </c>
      <c r="J9" s="108" t="s">
        <v>99</v>
      </c>
      <c r="K9" s="108" t="s">
        <v>100</v>
      </c>
      <c r="L9" s="108" t="s">
        <v>99</v>
      </c>
      <c r="M9" s="108" t="s">
        <v>100</v>
      </c>
      <c r="N9" s="108" t="s">
        <v>99</v>
      </c>
      <c r="O9" s="108" t="s">
        <v>100</v>
      </c>
      <c r="P9" s="108" t="s">
        <v>99</v>
      </c>
      <c r="Q9" s="108" t="s">
        <v>100</v>
      </c>
      <c r="R9" s="108" t="s">
        <v>99</v>
      </c>
      <c r="S9" s="108" t="s">
        <v>100</v>
      </c>
      <c r="T9" s="108" t="s">
        <v>99</v>
      </c>
      <c r="U9" s="108" t="s">
        <v>100</v>
      </c>
      <c r="V9" s="108" t="s">
        <v>99</v>
      </c>
      <c r="W9" s="108" t="s">
        <v>100</v>
      </c>
      <c r="X9" s="108" t="s">
        <v>99</v>
      </c>
      <c r="Y9" s="108" t="s">
        <v>100</v>
      </c>
      <c r="Z9" s="108" t="s">
        <v>99</v>
      </c>
      <c r="AA9" s="108" t="s">
        <v>100</v>
      </c>
      <c r="AB9" s="108" t="s">
        <v>99</v>
      </c>
      <c r="AC9" s="108" t="s">
        <v>100</v>
      </c>
      <c r="AD9" s="108" t="s">
        <v>99</v>
      </c>
      <c r="AE9" s="108" t="s">
        <v>100</v>
      </c>
      <c r="AF9" s="108" t="s">
        <v>99</v>
      </c>
      <c r="AG9" s="108" t="s">
        <v>100</v>
      </c>
      <c r="AH9" s="108" t="s">
        <v>99</v>
      </c>
      <c r="AI9" s="108" t="s">
        <v>100</v>
      </c>
      <c r="AJ9" s="108" t="s">
        <v>99</v>
      </c>
      <c r="AK9" s="108" t="s">
        <v>100</v>
      </c>
      <c r="AL9" s="108" t="s">
        <v>99</v>
      </c>
      <c r="AM9" s="108" t="s">
        <v>100</v>
      </c>
      <c r="AN9" s="108" t="s">
        <v>99</v>
      </c>
      <c r="AO9" s="108" t="s">
        <v>100</v>
      </c>
      <c r="AP9" s="108" t="s">
        <v>99</v>
      </c>
      <c r="AQ9" s="108" t="s">
        <v>100</v>
      </c>
      <c r="AR9" s="108" t="s">
        <v>99</v>
      </c>
      <c r="AS9" s="108" t="s">
        <v>100</v>
      </c>
      <c r="AT9" s="108" t="s">
        <v>99</v>
      </c>
      <c r="AU9" s="108" t="s">
        <v>100</v>
      </c>
      <c r="AV9" s="108" t="s">
        <v>99</v>
      </c>
      <c r="AW9" s="108" t="s">
        <v>100</v>
      </c>
      <c r="AX9" s="108" t="s">
        <v>99</v>
      </c>
      <c r="AY9" s="108" t="s">
        <v>100</v>
      </c>
      <c r="AZ9" s="108" t="s">
        <v>99</v>
      </c>
      <c r="BA9" s="108" t="s">
        <v>100</v>
      </c>
      <c r="BB9" s="108" t="s">
        <v>99</v>
      </c>
      <c r="BC9" s="108" t="s">
        <v>100</v>
      </c>
      <c r="BD9" s="108" t="s">
        <v>99</v>
      </c>
      <c r="BE9" s="108" t="s">
        <v>100</v>
      </c>
      <c r="BF9" s="108" t="s">
        <v>99</v>
      </c>
      <c r="BG9" s="108" t="s">
        <v>100</v>
      </c>
      <c r="BH9" s="108" t="s">
        <v>99</v>
      </c>
      <c r="BI9" s="108" t="s">
        <v>100</v>
      </c>
      <c r="BJ9" s="108" t="s">
        <v>99</v>
      </c>
      <c r="BK9" s="108" t="s">
        <v>100</v>
      </c>
      <c r="BL9" s="108" t="s">
        <v>99</v>
      </c>
      <c r="BM9" s="108" t="s">
        <v>100</v>
      </c>
      <c r="BN9" s="108" t="s">
        <v>99</v>
      </c>
      <c r="BO9" s="108" t="s">
        <v>100</v>
      </c>
      <c r="BP9" s="108" t="s">
        <v>99</v>
      </c>
      <c r="BQ9" s="108" t="s">
        <v>100</v>
      </c>
      <c r="BR9" s="108" t="s">
        <v>99</v>
      </c>
      <c r="BS9" s="108" t="s">
        <v>100</v>
      </c>
      <c r="BT9" s="108" t="s">
        <v>99</v>
      </c>
      <c r="BU9" s="108" t="s">
        <v>100</v>
      </c>
      <c r="BV9" s="108" t="s">
        <v>99</v>
      </c>
      <c r="BW9" s="108" t="s">
        <v>100</v>
      </c>
      <c r="BX9" s="108" t="s">
        <v>99</v>
      </c>
      <c r="BY9" s="108" t="s">
        <v>100</v>
      </c>
      <c r="BZ9" s="108" t="s">
        <v>99</v>
      </c>
      <c r="CA9" s="108" t="s">
        <v>100</v>
      </c>
      <c r="CB9" s="108" t="s">
        <v>99</v>
      </c>
      <c r="CC9" s="108" t="s">
        <v>100</v>
      </c>
      <c r="CD9" s="108" t="s">
        <v>99</v>
      </c>
      <c r="CE9" s="108" t="s">
        <v>100</v>
      </c>
      <c r="CF9" s="108" t="s">
        <v>99</v>
      </c>
      <c r="CG9" s="108" t="s">
        <v>100</v>
      </c>
      <c r="CH9" s="108" t="s">
        <v>99</v>
      </c>
      <c r="CI9" s="108" t="s">
        <v>100</v>
      </c>
      <c r="CJ9" s="108" t="s">
        <v>99</v>
      </c>
      <c r="CK9" s="108" t="s">
        <v>100</v>
      </c>
      <c r="CL9" s="108" t="s">
        <v>99</v>
      </c>
      <c r="CM9" s="108" t="s">
        <v>100</v>
      </c>
      <c r="CN9" s="108" t="s">
        <v>99</v>
      </c>
      <c r="CO9" s="108" t="s">
        <v>100</v>
      </c>
      <c r="CP9" s="108" t="s">
        <v>99</v>
      </c>
      <c r="CQ9" s="108" t="s">
        <v>100</v>
      </c>
      <c r="CR9" s="108" t="s">
        <v>99</v>
      </c>
      <c r="CS9" s="108" t="s">
        <v>100</v>
      </c>
      <c r="CT9" s="108" t="s">
        <v>99</v>
      </c>
      <c r="CU9" s="108" t="s">
        <v>100</v>
      </c>
      <c r="CV9" s="108" t="s">
        <v>99</v>
      </c>
      <c r="CW9" s="108" t="s">
        <v>100</v>
      </c>
      <c r="CX9" s="108" t="s">
        <v>99</v>
      </c>
      <c r="CY9" s="108" t="s">
        <v>100</v>
      </c>
      <c r="CZ9" s="108" t="s">
        <v>99</v>
      </c>
      <c r="DA9" s="108" t="s">
        <v>100</v>
      </c>
      <c r="DB9" s="108" t="s">
        <v>99</v>
      </c>
      <c r="DC9" s="108" t="s">
        <v>100</v>
      </c>
      <c r="DD9" s="108" t="s">
        <v>99</v>
      </c>
      <c r="DE9" s="108" t="s">
        <v>100</v>
      </c>
      <c r="DF9" s="108" t="s">
        <v>99</v>
      </c>
      <c r="DG9" s="108" t="s">
        <v>100</v>
      </c>
      <c r="DH9" s="108" t="s">
        <v>99</v>
      </c>
      <c r="DI9" s="108" t="s">
        <v>100</v>
      </c>
      <c r="DJ9" s="108" t="s">
        <v>99</v>
      </c>
      <c r="DK9" s="108" t="s">
        <v>100</v>
      </c>
      <c r="DL9" s="108" t="s">
        <v>99</v>
      </c>
      <c r="DM9" s="108" t="s">
        <v>100</v>
      </c>
      <c r="DN9" s="108" t="s">
        <v>99</v>
      </c>
      <c r="DO9" s="108" t="s">
        <v>100</v>
      </c>
      <c r="DP9" s="108" t="s">
        <v>99</v>
      </c>
      <c r="DQ9" s="108" t="s">
        <v>100</v>
      </c>
      <c r="DR9" s="108" t="s">
        <v>99</v>
      </c>
      <c r="DS9" s="108" t="s">
        <v>100</v>
      </c>
      <c r="DT9" s="108" t="s">
        <v>99</v>
      </c>
      <c r="DU9" s="108" t="s">
        <v>100</v>
      </c>
      <c r="DV9" s="108" t="s">
        <v>99</v>
      </c>
      <c r="DW9" s="108" t="s">
        <v>100</v>
      </c>
      <c r="DX9" s="108" t="s">
        <v>99</v>
      </c>
      <c r="DY9" s="108" t="s">
        <v>100</v>
      </c>
      <c r="DZ9" s="108" t="s">
        <v>99</v>
      </c>
      <c r="EA9" s="108" t="s">
        <v>100</v>
      </c>
      <c r="EB9" s="108" t="s">
        <v>99</v>
      </c>
      <c r="EC9" s="108" t="s">
        <v>100</v>
      </c>
      <c r="ED9" s="108" t="s">
        <v>99</v>
      </c>
      <c r="EE9" s="108" t="s">
        <v>100</v>
      </c>
      <c r="EF9" s="108" t="s">
        <v>99</v>
      </c>
      <c r="EG9" s="108" t="s">
        <v>100</v>
      </c>
      <c r="EH9" s="108" t="s">
        <v>99</v>
      </c>
      <c r="EI9" s="108" t="s">
        <v>100</v>
      </c>
      <c r="EJ9" s="108" t="s">
        <v>99</v>
      </c>
      <c r="EK9" s="108" t="s">
        <v>100</v>
      </c>
      <c r="EL9" s="108" t="s">
        <v>99</v>
      </c>
      <c r="EM9" s="108" t="s">
        <v>100</v>
      </c>
      <c r="EN9" s="108" t="s">
        <v>99</v>
      </c>
      <c r="EO9" s="108" t="s">
        <v>100</v>
      </c>
      <c r="EP9" s="108" t="s">
        <v>99</v>
      </c>
      <c r="EQ9" s="108" t="s">
        <v>100</v>
      </c>
      <c r="ER9" s="108" t="s">
        <v>99</v>
      </c>
      <c r="ES9" s="108" t="s">
        <v>100</v>
      </c>
      <c r="ET9" s="108" t="s">
        <v>99</v>
      </c>
      <c r="EU9" s="108" t="s">
        <v>100</v>
      </c>
      <c r="EV9" s="108" t="s">
        <v>99</v>
      </c>
      <c r="EW9" s="108" t="s">
        <v>100</v>
      </c>
      <c r="EX9" s="108" t="s">
        <v>99</v>
      </c>
      <c r="EY9" s="108" t="s">
        <v>100</v>
      </c>
      <c r="EZ9" s="108" t="s">
        <v>99</v>
      </c>
      <c r="FA9" s="108" t="s">
        <v>100</v>
      </c>
      <c r="FB9" s="108" t="s">
        <v>99</v>
      </c>
      <c r="FC9" s="108" t="s">
        <v>100</v>
      </c>
      <c r="FD9" s="108" t="s">
        <v>99</v>
      </c>
      <c r="FE9" s="108" t="s">
        <v>100</v>
      </c>
      <c r="FF9" s="108" t="s">
        <v>99</v>
      </c>
      <c r="FG9" s="108" t="s">
        <v>100</v>
      </c>
      <c r="FH9" s="108" t="s">
        <v>99</v>
      </c>
      <c r="FI9" s="108" t="s">
        <v>100</v>
      </c>
      <c r="FJ9" s="108" t="s">
        <v>99</v>
      </c>
      <c r="FK9" s="108" t="s">
        <v>100</v>
      </c>
      <c r="FL9" s="108" t="s">
        <v>99</v>
      </c>
      <c r="FM9" s="108" t="s">
        <v>100</v>
      </c>
    </row>
    <row r="10" spans="1:169" s="84" customFormat="1" ht="39.950000000000003" hidden="1" customHeight="1">
      <c r="A10" s="81">
        <v>1</v>
      </c>
      <c r="B10" s="82"/>
      <c r="C10" s="83" t="e">
        <f>B10-#REF!</f>
        <v>#REF!</v>
      </c>
      <c r="D10" s="83"/>
      <c r="E10" s="83" t="e">
        <f>D10-#REF!</f>
        <v>#REF!</v>
      </c>
      <c r="F10" s="82"/>
      <c r="G10" s="83" t="e">
        <f>F10-#REF!</f>
        <v>#REF!</v>
      </c>
      <c r="H10" s="83"/>
      <c r="I10" s="83" t="e">
        <f>H10-#REF!</f>
        <v>#REF!</v>
      </c>
      <c r="J10" s="83"/>
      <c r="K10" s="83" t="e">
        <f>J10-#REF!</f>
        <v>#REF!</v>
      </c>
      <c r="L10" s="82"/>
      <c r="M10" s="83" t="e">
        <f>L10-#REF!</f>
        <v>#REF!</v>
      </c>
      <c r="N10" s="82"/>
      <c r="O10" s="83" t="e">
        <f>N10-#REF!</f>
        <v>#REF!</v>
      </c>
      <c r="P10" s="83"/>
      <c r="Q10" s="83" t="e">
        <f>P10-#REF!</f>
        <v>#REF!</v>
      </c>
      <c r="R10" s="83"/>
      <c r="S10" s="83" t="e">
        <f>R10-#REF!</f>
        <v>#REF!</v>
      </c>
      <c r="T10" s="82"/>
      <c r="U10" s="83" t="e">
        <f>T10-#REF!</f>
        <v>#REF!</v>
      </c>
      <c r="V10" s="83"/>
      <c r="W10" s="83" t="e">
        <f>V10-#REF!</f>
        <v>#REF!</v>
      </c>
      <c r="X10" s="83"/>
      <c r="Y10" s="83" t="e">
        <f>X10-#REF!</f>
        <v>#REF!</v>
      </c>
      <c r="Z10" s="83"/>
      <c r="AA10" s="83" t="e">
        <f>Z10-#REF!</f>
        <v>#REF!</v>
      </c>
      <c r="AB10" s="83"/>
      <c r="AC10" s="83" t="e">
        <f>AB10-#REF!</f>
        <v>#REF!</v>
      </c>
      <c r="AD10" s="82"/>
      <c r="AE10" s="83" t="e">
        <f>AD10-#REF!</f>
        <v>#REF!</v>
      </c>
      <c r="AF10" s="83"/>
      <c r="AG10" s="83" t="e">
        <f>AF10-#REF!</f>
        <v>#REF!</v>
      </c>
      <c r="AH10" s="83"/>
      <c r="AI10" s="83" t="e">
        <f>AH10-#REF!</f>
        <v>#REF!</v>
      </c>
      <c r="AJ10" s="83"/>
      <c r="AK10" s="83" t="e">
        <f>AJ10-#REF!</f>
        <v>#REF!</v>
      </c>
      <c r="AL10" s="83"/>
      <c r="AM10" s="83" t="e">
        <f>AL10-#REF!</f>
        <v>#REF!</v>
      </c>
      <c r="AN10" s="83"/>
      <c r="AO10" s="83" t="e">
        <f>AN10-#REF!</f>
        <v>#REF!</v>
      </c>
      <c r="AP10" s="83"/>
      <c r="AQ10" s="83" t="e">
        <f>AP10-#REF!</f>
        <v>#REF!</v>
      </c>
      <c r="AR10" s="83"/>
      <c r="AS10" s="83" t="e">
        <f>AR10-#REF!</f>
        <v>#REF!</v>
      </c>
      <c r="AT10" s="83"/>
      <c r="AU10" s="83" t="e">
        <f>AT10-#REF!</f>
        <v>#REF!</v>
      </c>
      <c r="AV10" s="83"/>
      <c r="AW10" s="83" t="e">
        <f>AV10-#REF!</f>
        <v>#REF!</v>
      </c>
      <c r="AX10" s="83"/>
      <c r="AY10" s="83" t="e">
        <f>AX10-#REF!</f>
        <v>#REF!</v>
      </c>
      <c r="AZ10" s="83"/>
      <c r="BA10" s="83" t="e">
        <f>AZ10-#REF!</f>
        <v>#REF!</v>
      </c>
      <c r="BB10" s="83"/>
      <c r="BC10" s="83" t="e">
        <f>BB10-#REF!</f>
        <v>#REF!</v>
      </c>
      <c r="BD10" s="82"/>
      <c r="BE10" s="83" t="e">
        <f>BD10-#REF!</f>
        <v>#REF!</v>
      </c>
      <c r="BF10" s="82"/>
      <c r="BG10" s="83" t="e">
        <f>BF10-#REF!</f>
        <v>#REF!</v>
      </c>
      <c r="BH10" s="83"/>
      <c r="BI10" s="83" t="e">
        <f>BH10-#REF!</f>
        <v>#REF!</v>
      </c>
      <c r="BJ10" s="83"/>
      <c r="BK10" s="83" t="e">
        <f>BJ10-#REF!</f>
        <v>#REF!</v>
      </c>
      <c r="BL10" s="83"/>
      <c r="BM10" s="83" t="e">
        <f>BL10-#REF!</f>
        <v>#REF!</v>
      </c>
      <c r="BN10" s="83"/>
      <c r="BO10" s="83" t="e">
        <f>BN10-#REF!</f>
        <v>#REF!</v>
      </c>
      <c r="BP10" s="83"/>
      <c r="BQ10" s="83" t="e">
        <f>BP10-#REF!</f>
        <v>#REF!</v>
      </c>
      <c r="BR10" s="83"/>
      <c r="BS10" s="83" t="e">
        <f>BR10-#REF!</f>
        <v>#REF!</v>
      </c>
      <c r="BT10" s="83"/>
      <c r="BU10" s="83" t="e">
        <f>BT10-#REF!</f>
        <v>#REF!</v>
      </c>
      <c r="BV10" s="83"/>
      <c r="BW10" s="83" t="e">
        <f>BV10-#REF!</f>
        <v>#REF!</v>
      </c>
      <c r="BX10" s="83"/>
      <c r="BY10" s="83" t="e">
        <f>BX10-#REF!</f>
        <v>#REF!</v>
      </c>
      <c r="BZ10" s="82"/>
      <c r="CA10" s="83" t="e">
        <f>BZ10-#REF!</f>
        <v>#REF!</v>
      </c>
      <c r="CB10" s="82"/>
      <c r="CC10" s="83" t="e">
        <f>CB10-#REF!</f>
        <v>#REF!</v>
      </c>
      <c r="CD10" s="82"/>
      <c r="CE10" s="83" t="e">
        <f>CD10-#REF!</f>
        <v>#REF!</v>
      </c>
      <c r="CF10" s="82"/>
      <c r="CG10" s="83" t="e">
        <f>CF10-#REF!</f>
        <v>#REF!</v>
      </c>
      <c r="CH10" s="83"/>
      <c r="CI10" s="83" t="e">
        <f>CH10-#REF!</f>
        <v>#REF!</v>
      </c>
      <c r="CJ10" s="83"/>
      <c r="CK10" s="83" t="e">
        <f>CJ10-#REF!</f>
        <v>#REF!</v>
      </c>
      <c r="CL10" s="83"/>
      <c r="CM10" s="83" t="e">
        <f>CL10-#REF!</f>
        <v>#REF!</v>
      </c>
      <c r="CN10" s="82"/>
      <c r="CO10" s="83" t="e">
        <f>CN10-#REF!</f>
        <v>#REF!</v>
      </c>
      <c r="CP10" s="83"/>
      <c r="CQ10" s="83" t="e">
        <f>CP10-#REF!</f>
        <v>#REF!</v>
      </c>
      <c r="CR10" s="83"/>
      <c r="CS10" s="83" t="e">
        <f>CR10-#REF!</f>
        <v>#REF!</v>
      </c>
      <c r="CT10" s="83"/>
      <c r="CU10" s="83" t="e">
        <f>CT10-#REF!</f>
        <v>#REF!</v>
      </c>
      <c r="CV10" s="83"/>
      <c r="CW10" s="83" t="e">
        <f>CV10-#REF!</f>
        <v>#REF!</v>
      </c>
      <c r="CX10" s="83"/>
      <c r="CY10" s="83" t="e">
        <f>CX10-#REF!</f>
        <v>#REF!</v>
      </c>
      <c r="CZ10" s="83"/>
      <c r="DA10" s="83" t="e">
        <f>CZ10-#REF!</f>
        <v>#REF!</v>
      </c>
      <c r="DB10" s="82"/>
      <c r="DC10" s="83" t="e">
        <f>DB10-#REF!</f>
        <v>#REF!</v>
      </c>
      <c r="DD10" s="83"/>
      <c r="DE10" s="83" t="e">
        <f>DD10-#REF!</f>
        <v>#REF!</v>
      </c>
      <c r="DF10" s="83"/>
      <c r="DG10" s="83" t="e">
        <f>DF10-#REF!</f>
        <v>#REF!</v>
      </c>
      <c r="DH10" s="83"/>
      <c r="DI10" s="83" t="e">
        <f>DH10-#REF!</f>
        <v>#REF!</v>
      </c>
      <c r="DJ10" s="83"/>
      <c r="DK10" s="83" t="e">
        <f>DJ10-#REF!</f>
        <v>#REF!</v>
      </c>
      <c r="DL10" s="83"/>
      <c r="DM10" s="83" t="e">
        <f>DL10-#REF!</f>
        <v>#REF!</v>
      </c>
      <c r="DN10" s="83"/>
      <c r="DO10" s="83" t="e">
        <f>DN10-#REF!</f>
        <v>#REF!</v>
      </c>
      <c r="DP10" s="83"/>
      <c r="DQ10" s="83" t="e">
        <f>DP10-#REF!</f>
        <v>#REF!</v>
      </c>
      <c r="DR10" s="83"/>
      <c r="DS10" s="83" t="e">
        <f>DR10-#REF!</f>
        <v>#REF!</v>
      </c>
      <c r="DT10" s="83"/>
      <c r="DU10" s="83" t="e">
        <f>DT10-#REF!</f>
        <v>#REF!</v>
      </c>
      <c r="DV10" s="83"/>
      <c r="DW10" s="83" t="e">
        <f>DV10-#REF!</f>
        <v>#REF!</v>
      </c>
      <c r="DX10" s="83"/>
      <c r="DY10" s="83" t="e">
        <f>DX10-#REF!</f>
        <v>#REF!</v>
      </c>
      <c r="DZ10" s="83"/>
      <c r="EA10" s="83" t="e">
        <f>DZ10-#REF!</f>
        <v>#REF!</v>
      </c>
      <c r="EB10" s="83"/>
      <c r="EC10" s="83" t="e">
        <f>EB10-#REF!</f>
        <v>#REF!</v>
      </c>
      <c r="ED10" s="83"/>
      <c r="EE10" s="83" t="e">
        <f>ED10-#REF!</f>
        <v>#REF!</v>
      </c>
      <c r="EF10" s="83"/>
      <c r="EG10" s="83" t="e">
        <f>EF10-#REF!</f>
        <v>#REF!</v>
      </c>
      <c r="EH10" s="83"/>
      <c r="EI10" s="83" t="e">
        <f>EH10-#REF!</f>
        <v>#REF!</v>
      </c>
      <c r="EJ10" s="83"/>
      <c r="EK10" s="83" t="e">
        <f>EJ10-#REF!</f>
        <v>#REF!</v>
      </c>
      <c r="EL10" s="83"/>
      <c r="EM10" s="83" t="e">
        <f>EL10-#REF!</f>
        <v>#REF!</v>
      </c>
      <c r="EN10" s="83"/>
      <c r="EO10" s="83" t="e">
        <f>EN10-#REF!</f>
        <v>#REF!</v>
      </c>
      <c r="EP10" s="83"/>
      <c r="EQ10" s="83" t="e">
        <f>EP10-#REF!</f>
        <v>#REF!</v>
      </c>
      <c r="ER10" s="83"/>
      <c r="ES10" s="83" t="e">
        <f>ER10-#REF!</f>
        <v>#REF!</v>
      </c>
      <c r="ET10" s="83"/>
      <c r="EU10" s="83" t="e">
        <f>ET10-#REF!</f>
        <v>#REF!</v>
      </c>
      <c r="EV10" s="83"/>
      <c r="EW10" s="83" t="e">
        <f>EV10-#REF!</f>
        <v>#REF!</v>
      </c>
      <c r="EX10" s="83"/>
      <c r="EY10" s="83" t="e">
        <f>EX10-#REF!</f>
        <v>#REF!</v>
      </c>
      <c r="EZ10" s="83"/>
      <c r="FA10" s="83" t="e">
        <f>EZ10-#REF!</f>
        <v>#REF!</v>
      </c>
      <c r="FB10" s="83"/>
      <c r="FC10" s="83" t="e">
        <f>FB10-#REF!</f>
        <v>#REF!</v>
      </c>
      <c r="FD10" s="83"/>
      <c r="FE10" s="83" t="e">
        <f>FD10-#REF!</f>
        <v>#REF!</v>
      </c>
      <c r="FF10" s="83"/>
      <c r="FG10" s="83" t="e">
        <f>FF10-#REF!</f>
        <v>#REF!</v>
      </c>
      <c r="FH10" s="83"/>
      <c r="FI10" s="83" t="e">
        <f>FH10-#REF!</f>
        <v>#REF!</v>
      </c>
      <c r="FJ10" s="83"/>
      <c r="FK10" s="83" t="e">
        <f>FJ10-#REF!</f>
        <v>#REF!</v>
      </c>
      <c r="FL10" s="83"/>
      <c r="FM10" s="83" t="e">
        <f>FL10-#REF!</f>
        <v>#REF!</v>
      </c>
    </row>
    <row r="11" spans="1:169" s="84" customFormat="1" ht="39.950000000000003" hidden="1" customHeight="1">
      <c r="A11" s="81">
        <v>2</v>
      </c>
      <c r="B11" s="85"/>
      <c r="C11" s="83">
        <f t="shared" ref="C11:C12" si="0">B11-B10</f>
        <v>0</v>
      </c>
      <c r="D11" s="83"/>
      <c r="E11" s="83">
        <f t="shared" ref="E11:E12" si="1">D11-D10</f>
        <v>0</v>
      </c>
      <c r="F11" s="85"/>
      <c r="G11" s="83">
        <f t="shared" ref="G11:G12" si="2">F11-F10</f>
        <v>0</v>
      </c>
      <c r="H11" s="83"/>
      <c r="I11" s="83">
        <f t="shared" ref="I11:I12" si="3">H11-H10</f>
        <v>0</v>
      </c>
      <c r="J11" s="83"/>
      <c r="K11" s="83">
        <f t="shared" ref="K11:K12" si="4">J11-J10</f>
        <v>0</v>
      </c>
      <c r="L11" s="85"/>
      <c r="M11" s="83">
        <f t="shared" ref="M11:M12" si="5">L11-L10</f>
        <v>0</v>
      </c>
      <c r="N11" s="85"/>
      <c r="O11" s="83">
        <f t="shared" ref="O11:O12" si="6">N11-N10</f>
        <v>0</v>
      </c>
      <c r="P11" s="83"/>
      <c r="Q11" s="83">
        <f t="shared" ref="Q11:Q12" si="7">P11-P10</f>
        <v>0</v>
      </c>
      <c r="R11" s="83"/>
      <c r="S11" s="83">
        <f t="shared" ref="S11:S12" si="8">R11-R10</f>
        <v>0</v>
      </c>
      <c r="T11" s="85"/>
      <c r="U11" s="83">
        <f t="shared" ref="U11:W12" si="9">T11-T10</f>
        <v>0</v>
      </c>
      <c r="V11" s="83"/>
      <c r="W11" s="83">
        <f t="shared" si="9"/>
        <v>0</v>
      </c>
      <c r="X11" s="83"/>
      <c r="Y11" s="83">
        <f t="shared" ref="Y11:Y12" si="10">X11-X10</f>
        <v>0</v>
      </c>
      <c r="Z11" s="83"/>
      <c r="AA11" s="83">
        <f t="shared" ref="AA11:AA12" si="11">Z11-Z10</f>
        <v>0</v>
      </c>
      <c r="AB11" s="83"/>
      <c r="AC11" s="83">
        <f t="shared" ref="AC11:AC12" si="12">AB11-AB10</f>
        <v>0</v>
      </c>
      <c r="AD11" s="85"/>
      <c r="AE11" s="83">
        <f t="shared" ref="AE11:AE12" si="13">AD11-AD10</f>
        <v>0</v>
      </c>
      <c r="AF11" s="83"/>
      <c r="AG11" s="83">
        <f t="shared" ref="AG11:AG12" si="14">AF11-AF10</f>
        <v>0</v>
      </c>
      <c r="AH11" s="83"/>
      <c r="AI11" s="83">
        <f t="shared" ref="AI11:AI12" si="15">AH11-AH10</f>
        <v>0</v>
      </c>
      <c r="AJ11" s="83"/>
      <c r="AK11" s="83">
        <f t="shared" ref="AK11:AK12" si="16">AJ11-AJ10</f>
        <v>0</v>
      </c>
      <c r="AL11" s="83"/>
      <c r="AM11" s="83">
        <f t="shared" ref="AM11:AM12" si="17">AL11-AL10</f>
        <v>0</v>
      </c>
      <c r="AN11" s="83"/>
      <c r="AO11" s="83">
        <f t="shared" ref="AO11:AO12" si="18">AN11-AN10</f>
        <v>0</v>
      </c>
      <c r="AP11" s="83"/>
      <c r="AQ11" s="83">
        <f t="shared" ref="AQ11:AQ12" si="19">AP11-AP10</f>
        <v>0</v>
      </c>
      <c r="AR11" s="83"/>
      <c r="AS11" s="83">
        <f t="shared" ref="AS11:AS12" si="20">AR11-AR10</f>
        <v>0</v>
      </c>
      <c r="AT11" s="83"/>
      <c r="AU11" s="83">
        <f t="shared" ref="AU11:AU12" si="21">AT11-AT10</f>
        <v>0</v>
      </c>
      <c r="AV11" s="83"/>
      <c r="AW11" s="83">
        <f t="shared" ref="AW11:AW12" si="22">AV11-AV10</f>
        <v>0</v>
      </c>
      <c r="AX11" s="83"/>
      <c r="AY11" s="83">
        <f t="shared" ref="AY11:AY12" si="23">AX11-AX10</f>
        <v>0</v>
      </c>
      <c r="AZ11" s="83"/>
      <c r="BA11" s="83">
        <f t="shared" ref="BA11:BA12" si="24">AZ11-AZ10</f>
        <v>0</v>
      </c>
      <c r="BB11" s="83"/>
      <c r="BC11" s="83">
        <f t="shared" ref="BC11:BC12" si="25">BB11-BB10</f>
        <v>0</v>
      </c>
      <c r="BD11" s="85"/>
      <c r="BE11" s="83">
        <f t="shared" ref="BE11:BE12" si="26">BD11-BD10</f>
        <v>0</v>
      </c>
      <c r="BF11" s="85"/>
      <c r="BG11" s="83">
        <f t="shared" ref="BG11:BG12" si="27">BF11-BF10</f>
        <v>0</v>
      </c>
      <c r="BH11" s="83"/>
      <c r="BI11" s="83">
        <f t="shared" ref="BI11:BI12" si="28">BH11-BH10</f>
        <v>0</v>
      </c>
      <c r="BJ11" s="83"/>
      <c r="BK11" s="83">
        <f t="shared" ref="BK11:BK12" si="29">BJ11-BJ10</f>
        <v>0</v>
      </c>
      <c r="BL11" s="83"/>
      <c r="BM11" s="83">
        <f t="shared" ref="BM11:BM12" si="30">BL11-BL10</f>
        <v>0</v>
      </c>
      <c r="BN11" s="83"/>
      <c r="BO11" s="83">
        <f t="shared" ref="BO11:BO12" si="31">BN11-BN10</f>
        <v>0</v>
      </c>
      <c r="BP11" s="83"/>
      <c r="BQ11" s="83">
        <f t="shared" ref="BQ11:BQ12" si="32">BP11-BP10</f>
        <v>0</v>
      </c>
      <c r="BR11" s="83"/>
      <c r="BS11" s="83">
        <f t="shared" ref="BS11:BS12" si="33">BR11-BR10</f>
        <v>0</v>
      </c>
      <c r="BT11" s="83"/>
      <c r="BU11" s="83">
        <f t="shared" ref="BU11:BU12" si="34">BT11-BT10</f>
        <v>0</v>
      </c>
      <c r="BV11" s="83"/>
      <c r="BW11" s="83">
        <f t="shared" ref="BW11:BW12" si="35">BV11-BV10</f>
        <v>0</v>
      </c>
      <c r="BX11" s="83"/>
      <c r="BY11" s="83">
        <f t="shared" ref="BY11:BY12" si="36">BX11-BX10</f>
        <v>0</v>
      </c>
      <c r="BZ11" s="85"/>
      <c r="CA11" s="83">
        <f t="shared" ref="CA11:CA12" si="37">BZ11-BZ10</f>
        <v>0</v>
      </c>
      <c r="CB11" s="85"/>
      <c r="CC11" s="83">
        <f t="shared" ref="CC11:CC12" si="38">CB11-CB10</f>
        <v>0</v>
      </c>
      <c r="CD11" s="85"/>
      <c r="CE11" s="83">
        <f t="shared" ref="CE11:CE12" si="39">CD11-CD10</f>
        <v>0</v>
      </c>
      <c r="CF11" s="85"/>
      <c r="CG11" s="83">
        <f t="shared" ref="CG11:CG12" si="40">CF11-CF10</f>
        <v>0</v>
      </c>
      <c r="CH11" s="83"/>
      <c r="CI11" s="83">
        <f t="shared" ref="CI11:CI12" si="41">CH11-CH10</f>
        <v>0</v>
      </c>
      <c r="CJ11" s="83"/>
      <c r="CK11" s="83">
        <f t="shared" ref="CK11:CK12" si="42">CJ11-CJ10</f>
        <v>0</v>
      </c>
      <c r="CL11" s="83"/>
      <c r="CM11" s="83">
        <f t="shared" ref="CM11:CM12" si="43">CL11-CL10</f>
        <v>0</v>
      </c>
      <c r="CN11" s="85"/>
      <c r="CO11" s="83">
        <f t="shared" ref="CO11:CO12" si="44">CN11-CN10</f>
        <v>0</v>
      </c>
      <c r="CP11" s="83"/>
      <c r="CQ11" s="83">
        <f t="shared" ref="CQ11:CQ12" si="45">CP11-CP10</f>
        <v>0</v>
      </c>
      <c r="CR11" s="83"/>
      <c r="CS11" s="83">
        <f t="shared" ref="CS11:CS12" si="46">CR11-CR10</f>
        <v>0</v>
      </c>
      <c r="CT11" s="83"/>
      <c r="CU11" s="83">
        <f t="shared" ref="CU11:CU12" si="47">CT11-CT10</f>
        <v>0</v>
      </c>
      <c r="CV11" s="83"/>
      <c r="CW11" s="83">
        <f t="shared" ref="CW11:CW12" si="48">CV11-CV10</f>
        <v>0</v>
      </c>
      <c r="CX11" s="83"/>
      <c r="CY11" s="83">
        <f t="shared" ref="CY11:CY12" si="49">CX11-CX10</f>
        <v>0</v>
      </c>
      <c r="CZ11" s="83"/>
      <c r="DA11" s="83">
        <f t="shared" ref="DA11:DA12" si="50">CZ11-CZ10</f>
        <v>0</v>
      </c>
      <c r="DB11" s="85"/>
      <c r="DC11" s="83">
        <f t="shared" ref="DC11:DC12" si="51">DB11-DB10</f>
        <v>0</v>
      </c>
      <c r="DD11" s="83"/>
      <c r="DE11" s="83">
        <f t="shared" ref="DE11:DE12" si="52">DD11-DD10</f>
        <v>0</v>
      </c>
      <c r="DF11" s="83"/>
      <c r="DG11" s="83">
        <f t="shared" ref="DG11:DG12" si="53">DF11-DF10</f>
        <v>0</v>
      </c>
      <c r="DH11" s="83"/>
      <c r="DI11" s="83">
        <f t="shared" ref="DI11:DI12" si="54">DH11-DH10</f>
        <v>0</v>
      </c>
      <c r="DJ11" s="83"/>
      <c r="DK11" s="83">
        <f t="shared" ref="DK11:DK12" si="55">DJ11-DJ10</f>
        <v>0</v>
      </c>
      <c r="DL11" s="83"/>
      <c r="DM11" s="83">
        <f t="shared" ref="DM11:DM12" si="56">DL11-DL10</f>
        <v>0</v>
      </c>
      <c r="DN11" s="83"/>
      <c r="DO11" s="83">
        <f t="shared" ref="DO11:DO12" si="57">DN11-DN10</f>
        <v>0</v>
      </c>
      <c r="DP11" s="83"/>
      <c r="DQ11" s="83">
        <f t="shared" ref="DQ11:DQ12" si="58">DP11-DP10</f>
        <v>0</v>
      </c>
      <c r="DR11" s="83"/>
      <c r="DS11" s="83">
        <f t="shared" ref="DS11:DS12" si="59">DR11-DR10</f>
        <v>0</v>
      </c>
      <c r="DT11" s="83"/>
      <c r="DU11" s="83">
        <f t="shared" ref="DU11:DU12" si="60">DT11-DT10</f>
        <v>0</v>
      </c>
      <c r="DV11" s="83"/>
      <c r="DW11" s="83">
        <f t="shared" ref="DW11:DW12" si="61">DV11-DV10</f>
        <v>0</v>
      </c>
      <c r="DX11" s="83"/>
      <c r="DY11" s="83">
        <f t="shared" ref="DY11:DY12" si="62">DX11-DX10</f>
        <v>0</v>
      </c>
      <c r="DZ11" s="83"/>
      <c r="EA11" s="83">
        <f t="shared" ref="EA11:EA12" si="63">DZ11-DZ10</f>
        <v>0</v>
      </c>
      <c r="EB11" s="83"/>
      <c r="EC11" s="83">
        <f t="shared" ref="EC11:EC12" si="64">EB11-EB10</f>
        <v>0</v>
      </c>
      <c r="ED11" s="83"/>
      <c r="EE11" s="83">
        <f t="shared" ref="EE11:EE12" si="65">ED11-ED10</f>
        <v>0</v>
      </c>
      <c r="EF11" s="83"/>
      <c r="EG11" s="83">
        <f t="shared" ref="EG11:EG12" si="66">EF11-EF10</f>
        <v>0</v>
      </c>
      <c r="EH11" s="83"/>
      <c r="EI11" s="83">
        <f t="shared" ref="EI11:EI12" si="67">EH11-EH10</f>
        <v>0</v>
      </c>
      <c r="EJ11" s="83"/>
      <c r="EK11" s="83">
        <f t="shared" ref="EK11:EK12" si="68">EJ11-EJ10</f>
        <v>0</v>
      </c>
      <c r="EL11" s="83"/>
      <c r="EM11" s="83">
        <f t="shared" ref="EM11:EM12" si="69">EL11-EL10</f>
        <v>0</v>
      </c>
      <c r="EN11" s="83"/>
      <c r="EO11" s="83">
        <f t="shared" ref="EO11:EO12" si="70">EN11-EN10</f>
        <v>0</v>
      </c>
      <c r="EP11" s="83"/>
      <c r="EQ11" s="83">
        <f t="shared" ref="EQ11:EQ12" si="71">EP11-EP10</f>
        <v>0</v>
      </c>
      <c r="ER11" s="83"/>
      <c r="ES11" s="83">
        <f t="shared" ref="ES11:ES12" si="72">ER11-ER10</f>
        <v>0</v>
      </c>
      <c r="ET11" s="83"/>
      <c r="EU11" s="83">
        <f t="shared" ref="EU11:EU12" si="73">ET11-ET10</f>
        <v>0</v>
      </c>
      <c r="EV11" s="83"/>
      <c r="EW11" s="83">
        <f t="shared" ref="EW11:EW12" si="74">EV11-EV10</f>
        <v>0</v>
      </c>
      <c r="EX11" s="83"/>
      <c r="EY11" s="83">
        <f t="shared" ref="EY11:EY12" si="75">EX11-EX10</f>
        <v>0</v>
      </c>
      <c r="EZ11" s="83"/>
      <c r="FA11" s="83">
        <f t="shared" ref="FA11:FA12" si="76">EZ11-EZ10</f>
        <v>0</v>
      </c>
      <c r="FB11" s="83"/>
      <c r="FC11" s="83">
        <f t="shared" ref="FC11:FC12" si="77">FB11-FB10</f>
        <v>0</v>
      </c>
      <c r="FD11" s="83"/>
      <c r="FE11" s="83">
        <f t="shared" ref="FE11:FE12" si="78">FD11-FD10</f>
        <v>0</v>
      </c>
      <c r="FF11" s="83"/>
      <c r="FG11" s="83">
        <f t="shared" ref="FG11:FG12" si="79">FF11-FF10</f>
        <v>0</v>
      </c>
      <c r="FH11" s="83"/>
      <c r="FI11" s="83">
        <f t="shared" ref="FI11:FI12" si="80">FH11-FH10</f>
        <v>0</v>
      </c>
      <c r="FJ11" s="83"/>
      <c r="FK11" s="83">
        <f t="shared" ref="FK11:FK12" si="81">FJ11-FJ10</f>
        <v>0</v>
      </c>
      <c r="FL11" s="83"/>
      <c r="FM11" s="83">
        <f t="shared" ref="FM11:FM12" si="82">FL11-FL10</f>
        <v>0</v>
      </c>
    </row>
    <row r="12" spans="1:169" s="84" customFormat="1" ht="39.950000000000003" hidden="1" customHeight="1">
      <c r="A12" s="81">
        <v>3</v>
      </c>
      <c r="B12" s="85"/>
      <c r="C12" s="83">
        <f t="shared" si="0"/>
        <v>0</v>
      </c>
      <c r="D12" s="83"/>
      <c r="E12" s="83">
        <f t="shared" si="1"/>
        <v>0</v>
      </c>
      <c r="F12" s="85"/>
      <c r="G12" s="83">
        <f t="shared" si="2"/>
        <v>0</v>
      </c>
      <c r="H12" s="83"/>
      <c r="I12" s="83">
        <f t="shared" si="3"/>
        <v>0</v>
      </c>
      <c r="J12" s="83"/>
      <c r="K12" s="83">
        <f t="shared" si="4"/>
        <v>0</v>
      </c>
      <c r="L12" s="85"/>
      <c r="M12" s="83">
        <f t="shared" si="5"/>
        <v>0</v>
      </c>
      <c r="N12" s="85"/>
      <c r="O12" s="83">
        <f t="shared" si="6"/>
        <v>0</v>
      </c>
      <c r="P12" s="83"/>
      <c r="Q12" s="83">
        <f t="shared" si="7"/>
        <v>0</v>
      </c>
      <c r="R12" s="83"/>
      <c r="S12" s="83">
        <f t="shared" si="8"/>
        <v>0</v>
      </c>
      <c r="T12" s="85"/>
      <c r="U12" s="83">
        <f t="shared" si="9"/>
        <v>0</v>
      </c>
      <c r="V12" s="83"/>
      <c r="W12" s="83">
        <f t="shared" si="9"/>
        <v>0</v>
      </c>
      <c r="X12" s="83"/>
      <c r="Y12" s="83">
        <f t="shared" si="10"/>
        <v>0</v>
      </c>
      <c r="Z12" s="83"/>
      <c r="AA12" s="83">
        <f t="shared" si="11"/>
        <v>0</v>
      </c>
      <c r="AB12" s="83"/>
      <c r="AC12" s="83">
        <f t="shared" si="12"/>
        <v>0</v>
      </c>
      <c r="AD12" s="85"/>
      <c r="AE12" s="83">
        <f t="shared" si="13"/>
        <v>0</v>
      </c>
      <c r="AF12" s="83"/>
      <c r="AG12" s="83">
        <f t="shared" si="14"/>
        <v>0</v>
      </c>
      <c r="AH12" s="83"/>
      <c r="AI12" s="83">
        <f t="shared" si="15"/>
        <v>0</v>
      </c>
      <c r="AJ12" s="83"/>
      <c r="AK12" s="83">
        <f t="shared" si="16"/>
        <v>0</v>
      </c>
      <c r="AL12" s="83"/>
      <c r="AM12" s="83">
        <f t="shared" si="17"/>
        <v>0</v>
      </c>
      <c r="AN12" s="83"/>
      <c r="AO12" s="83">
        <f t="shared" si="18"/>
        <v>0</v>
      </c>
      <c r="AP12" s="83"/>
      <c r="AQ12" s="83">
        <f t="shared" si="19"/>
        <v>0</v>
      </c>
      <c r="AR12" s="83"/>
      <c r="AS12" s="83">
        <f t="shared" si="20"/>
        <v>0</v>
      </c>
      <c r="AT12" s="83"/>
      <c r="AU12" s="83">
        <f t="shared" si="21"/>
        <v>0</v>
      </c>
      <c r="AV12" s="83"/>
      <c r="AW12" s="83">
        <f t="shared" si="22"/>
        <v>0</v>
      </c>
      <c r="AX12" s="83"/>
      <c r="AY12" s="83">
        <f t="shared" si="23"/>
        <v>0</v>
      </c>
      <c r="AZ12" s="83"/>
      <c r="BA12" s="83">
        <f t="shared" si="24"/>
        <v>0</v>
      </c>
      <c r="BB12" s="83"/>
      <c r="BC12" s="83">
        <f t="shared" si="25"/>
        <v>0</v>
      </c>
      <c r="BD12" s="85"/>
      <c r="BE12" s="83">
        <f t="shared" si="26"/>
        <v>0</v>
      </c>
      <c r="BF12" s="85"/>
      <c r="BG12" s="83">
        <f t="shared" si="27"/>
        <v>0</v>
      </c>
      <c r="BH12" s="83"/>
      <c r="BI12" s="83">
        <f t="shared" si="28"/>
        <v>0</v>
      </c>
      <c r="BJ12" s="83"/>
      <c r="BK12" s="83">
        <f t="shared" si="29"/>
        <v>0</v>
      </c>
      <c r="BL12" s="83"/>
      <c r="BM12" s="83">
        <f t="shared" si="30"/>
        <v>0</v>
      </c>
      <c r="BN12" s="83"/>
      <c r="BO12" s="83">
        <f t="shared" si="31"/>
        <v>0</v>
      </c>
      <c r="BP12" s="83"/>
      <c r="BQ12" s="83">
        <f t="shared" si="32"/>
        <v>0</v>
      </c>
      <c r="BR12" s="83"/>
      <c r="BS12" s="83">
        <f t="shared" si="33"/>
        <v>0</v>
      </c>
      <c r="BT12" s="83"/>
      <c r="BU12" s="83">
        <f t="shared" si="34"/>
        <v>0</v>
      </c>
      <c r="BV12" s="83"/>
      <c r="BW12" s="83">
        <f t="shared" si="35"/>
        <v>0</v>
      </c>
      <c r="BX12" s="83"/>
      <c r="BY12" s="83">
        <f t="shared" si="36"/>
        <v>0</v>
      </c>
      <c r="BZ12" s="85"/>
      <c r="CA12" s="83">
        <f t="shared" si="37"/>
        <v>0</v>
      </c>
      <c r="CB12" s="85"/>
      <c r="CC12" s="83">
        <f t="shared" si="38"/>
        <v>0</v>
      </c>
      <c r="CD12" s="85"/>
      <c r="CE12" s="83">
        <f t="shared" si="39"/>
        <v>0</v>
      </c>
      <c r="CF12" s="85"/>
      <c r="CG12" s="83">
        <f t="shared" si="40"/>
        <v>0</v>
      </c>
      <c r="CH12" s="83"/>
      <c r="CI12" s="83">
        <f t="shared" si="41"/>
        <v>0</v>
      </c>
      <c r="CJ12" s="83"/>
      <c r="CK12" s="83">
        <f t="shared" si="42"/>
        <v>0</v>
      </c>
      <c r="CL12" s="83"/>
      <c r="CM12" s="83">
        <f t="shared" si="43"/>
        <v>0</v>
      </c>
      <c r="CN12" s="85"/>
      <c r="CO12" s="83">
        <f t="shared" si="44"/>
        <v>0</v>
      </c>
      <c r="CP12" s="83"/>
      <c r="CQ12" s="83">
        <f t="shared" si="45"/>
        <v>0</v>
      </c>
      <c r="CR12" s="83"/>
      <c r="CS12" s="83">
        <f t="shared" si="46"/>
        <v>0</v>
      </c>
      <c r="CT12" s="83"/>
      <c r="CU12" s="83">
        <f t="shared" si="47"/>
        <v>0</v>
      </c>
      <c r="CV12" s="83"/>
      <c r="CW12" s="83">
        <f t="shared" si="48"/>
        <v>0</v>
      </c>
      <c r="CX12" s="83"/>
      <c r="CY12" s="83">
        <f t="shared" si="49"/>
        <v>0</v>
      </c>
      <c r="CZ12" s="83"/>
      <c r="DA12" s="83">
        <f t="shared" si="50"/>
        <v>0</v>
      </c>
      <c r="DB12" s="85"/>
      <c r="DC12" s="83">
        <f t="shared" si="51"/>
        <v>0</v>
      </c>
      <c r="DD12" s="83"/>
      <c r="DE12" s="83">
        <f t="shared" si="52"/>
        <v>0</v>
      </c>
      <c r="DF12" s="83"/>
      <c r="DG12" s="83">
        <f t="shared" si="53"/>
        <v>0</v>
      </c>
      <c r="DH12" s="83"/>
      <c r="DI12" s="83">
        <f t="shared" si="54"/>
        <v>0</v>
      </c>
      <c r="DJ12" s="83"/>
      <c r="DK12" s="83">
        <f t="shared" si="55"/>
        <v>0</v>
      </c>
      <c r="DL12" s="83"/>
      <c r="DM12" s="83">
        <f t="shared" si="56"/>
        <v>0</v>
      </c>
      <c r="DN12" s="83"/>
      <c r="DO12" s="83">
        <f t="shared" si="57"/>
        <v>0</v>
      </c>
      <c r="DP12" s="83"/>
      <c r="DQ12" s="83">
        <f t="shared" si="58"/>
        <v>0</v>
      </c>
      <c r="DR12" s="83"/>
      <c r="DS12" s="83">
        <f t="shared" si="59"/>
        <v>0</v>
      </c>
      <c r="DT12" s="83"/>
      <c r="DU12" s="83">
        <f t="shared" si="60"/>
        <v>0</v>
      </c>
      <c r="DV12" s="83"/>
      <c r="DW12" s="83">
        <f t="shared" si="61"/>
        <v>0</v>
      </c>
      <c r="DX12" s="83"/>
      <c r="DY12" s="83">
        <f t="shared" si="62"/>
        <v>0</v>
      </c>
      <c r="DZ12" s="83"/>
      <c r="EA12" s="83">
        <f t="shared" si="63"/>
        <v>0</v>
      </c>
      <c r="EB12" s="83"/>
      <c r="EC12" s="83">
        <f t="shared" si="64"/>
        <v>0</v>
      </c>
      <c r="ED12" s="83"/>
      <c r="EE12" s="83">
        <f t="shared" si="65"/>
        <v>0</v>
      </c>
      <c r="EF12" s="83"/>
      <c r="EG12" s="83">
        <f t="shared" si="66"/>
        <v>0</v>
      </c>
      <c r="EH12" s="83"/>
      <c r="EI12" s="83">
        <f t="shared" si="67"/>
        <v>0</v>
      </c>
      <c r="EJ12" s="83"/>
      <c r="EK12" s="83">
        <f t="shared" si="68"/>
        <v>0</v>
      </c>
      <c r="EL12" s="83"/>
      <c r="EM12" s="83">
        <f t="shared" si="69"/>
        <v>0</v>
      </c>
      <c r="EN12" s="83"/>
      <c r="EO12" s="83">
        <f t="shared" si="70"/>
        <v>0</v>
      </c>
      <c r="EP12" s="83"/>
      <c r="EQ12" s="83">
        <f t="shared" si="71"/>
        <v>0</v>
      </c>
      <c r="ER12" s="83"/>
      <c r="ES12" s="83">
        <f t="shared" si="72"/>
        <v>0</v>
      </c>
      <c r="ET12" s="83"/>
      <c r="EU12" s="83">
        <f t="shared" si="73"/>
        <v>0</v>
      </c>
      <c r="EV12" s="83"/>
      <c r="EW12" s="83">
        <f t="shared" si="74"/>
        <v>0</v>
      </c>
      <c r="EX12" s="83"/>
      <c r="EY12" s="83">
        <f t="shared" si="75"/>
        <v>0</v>
      </c>
      <c r="EZ12" s="83"/>
      <c r="FA12" s="83">
        <f t="shared" si="76"/>
        <v>0</v>
      </c>
      <c r="FB12" s="83"/>
      <c r="FC12" s="83">
        <f t="shared" si="77"/>
        <v>0</v>
      </c>
      <c r="FD12" s="83"/>
      <c r="FE12" s="83">
        <f t="shared" si="78"/>
        <v>0</v>
      </c>
      <c r="FF12" s="83"/>
      <c r="FG12" s="83">
        <f t="shared" si="79"/>
        <v>0</v>
      </c>
      <c r="FH12" s="83"/>
      <c r="FI12" s="83">
        <f t="shared" si="80"/>
        <v>0</v>
      </c>
      <c r="FJ12" s="83"/>
      <c r="FK12" s="83">
        <f t="shared" si="81"/>
        <v>0</v>
      </c>
      <c r="FL12" s="83"/>
      <c r="FM12" s="83">
        <f t="shared" si="82"/>
        <v>0</v>
      </c>
    </row>
    <row r="13" spans="1:169" s="84" customFormat="1" ht="30" hidden="1" customHeight="1">
      <c r="A13" s="86">
        <v>44164</v>
      </c>
      <c r="B13" s="87">
        <v>20719855</v>
      </c>
      <c r="C13" s="83"/>
      <c r="D13" s="87">
        <v>2309755</v>
      </c>
      <c r="E13" s="83"/>
      <c r="F13" s="87">
        <v>27577495</v>
      </c>
      <c r="G13" s="83"/>
      <c r="H13" s="87">
        <v>5741702</v>
      </c>
      <c r="I13" s="83"/>
      <c r="J13" s="83"/>
      <c r="K13" s="83"/>
      <c r="L13" s="87">
        <v>21644715</v>
      </c>
      <c r="M13" s="87"/>
      <c r="N13" s="87">
        <v>72690276</v>
      </c>
      <c r="O13" s="87"/>
      <c r="P13" s="87">
        <v>24085</v>
      </c>
      <c r="Q13" s="87"/>
      <c r="R13" s="87">
        <v>4854</v>
      </c>
      <c r="S13" s="87"/>
      <c r="T13" s="87">
        <v>31534519</v>
      </c>
      <c r="U13" s="87"/>
      <c r="V13" s="87">
        <v>1620706</v>
      </c>
      <c r="W13" s="87"/>
      <c r="X13" s="87">
        <v>1869285</v>
      </c>
      <c r="Y13" s="87"/>
      <c r="Z13" s="87">
        <v>3493683</v>
      </c>
      <c r="AA13" s="83"/>
      <c r="AB13" s="83"/>
      <c r="AC13" s="83"/>
      <c r="AD13" s="87">
        <v>54750061</v>
      </c>
      <c r="AE13" s="87"/>
      <c r="AF13" s="87">
        <v>9928605</v>
      </c>
      <c r="AG13" s="87"/>
      <c r="AH13" s="87">
        <v>1543241</v>
      </c>
      <c r="AI13" s="87"/>
      <c r="AJ13" s="87">
        <v>1765766</v>
      </c>
      <c r="AK13" s="87"/>
      <c r="AL13" s="87">
        <v>4840746</v>
      </c>
      <c r="AM13" s="87"/>
      <c r="AN13" s="87">
        <v>5145375</v>
      </c>
      <c r="AO13" s="87"/>
      <c r="AP13" s="87"/>
      <c r="AQ13" s="87"/>
      <c r="AR13" s="87">
        <v>1135906</v>
      </c>
      <c r="AS13" s="87"/>
      <c r="AT13" s="87">
        <v>3136598</v>
      </c>
      <c r="AU13" s="87"/>
      <c r="AV13" s="87"/>
      <c r="AW13" s="87"/>
      <c r="AX13" s="87">
        <v>573215</v>
      </c>
      <c r="AY13" s="87"/>
      <c r="AZ13" s="87">
        <v>2362536</v>
      </c>
      <c r="BA13" s="87"/>
      <c r="BB13" s="87">
        <v>4682420</v>
      </c>
      <c r="BC13" s="87"/>
      <c r="BD13" s="87">
        <v>41633661</v>
      </c>
      <c r="BE13" s="87"/>
      <c r="BF13" s="87">
        <v>58903580</v>
      </c>
      <c r="BG13" s="87"/>
      <c r="BH13" s="87">
        <v>433909</v>
      </c>
      <c r="BI13" s="87"/>
      <c r="BJ13" s="87">
        <v>11237838</v>
      </c>
      <c r="BK13" s="87"/>
      <c r="BL13" s="87">
        <v>1588628</v>
      </c>
      <c r="BM13" s="87"/>
      <c r="BN13" s="87">
        <v>2339737</v>
      </c>
      <c r="BO13" s="87"/>
      <c r="BP13" s="87">
        <v>10670942</v>
      </c>
      <c r="BQ13" s="87"/>
      <c r="BR13" s="87">
        <v>2621720</v>
      </c>
      <c r="BS13" s="87"/>
      <c r="BT13" s="87">
        <v>13055589</v>
      </c>
      <c r="BU13" s="87"/>
      <c r="BV13" s="87">
        <v>10240858</v>
      </c>
      <c r="BW13" s="87"/>
      <c r="BX13" s="87">
        <v>1576928</v>
      </c>
      <c r="BY13" s="87"/>
      <c r="BZ13" s="87">
        <v>19903655</v>
      </c>
      <c r="CA13" s="87"/>
      <c r="CB13" s="87">
        <v>17452477</v>
      </c>
      <c r="CC13" s="87"/>
      <c r="CD13" s="87">
        <v>18093826</v>
      </c>
      <c r="CE13" s="87"/>
      <c r="CF13" s="87">
        <v>14090713</v>
      </c>
      <c r="CG13" s="87"/>
      <c r="CH13" s="87">
        <v>4292685</v>
      </c>
      <c r="CI13" s="87"/>
      <c r="CJ13" s="87">
        <v>4768410</v>
      </c>
      <c r="CK13" s="87"/>
      <c r="CL13" s="87">
        <v>2715833</v>
      </c>
      <c r="CM13" s="87"/>
      <c r="CN13" s="87">
        <v>69366836</v>
      </c>
      <c r="CO13" s="87"/>
      <c r="CP13" s="87">
        <v>4457006</v>
      </c>
      <c r="CQ13" s="87"/>
      <c r="CR13" s="87">
        <v>5179924</v>
      </c>
      <c r="CS13" s="87"/>
      <c r="CT13" s="87">
        <v>3051686</v>
      </c>
      <c r="CU13" s="87"/>
      <c r="CV13" s="87">
        <v>41462423</v>
      </c>
      <c r="CW13" s="87"/>
      <c r="CX13" s="87">
        <v>6339859</v>
      </c>
      <c r="CY13" s="87"/>
      <c r="CZ13" s="87">
        <v>6298254</v>
      </c>
      <c r="DA13" s="87"/>
      <c r="DB13" s="87">
        <v>56595458</v>
      </c>
      <c r="DC13" s="87"/>
      <c r="DD13" s="87">
        <v>1995363</v>
      </c>
      <c r="DE13" s="87"/>
      <c r="DF13" s="87">
        <v>21900574</v>
      </c>
      <c r="DG13" s="87"/>
      <c r="DH13" s="87">
        <v>32287102</v>
      </c>
      <c r="DI13" s="87"/>
      <c r="DJ13" s="83"/>
      <c r="DK13" s="83"/>
      <c r="DL13" s="87">
        <v>985449</v>
      </c>
      <c r="DM13" s="87"/>
      <c r="DN13" s="87">
        <v>1051789</v>
      </c>
      <c r="DO13" s="87"/>
      <c r="DP13" s="87">
        <v>1174546</v>
      </c>
      <c r="DQ13" s="87"/>
      <c r="DR13" s="87">
        <v>1158600</v>
      </c>
      <c r="DS13" s="87"/>
      <c r="DT13" s="87">
        <v>956607</v>
      </c>
      <c r="DU13" s="87"/>
      <c r="DV13" s="87">
        <v>1315647</v>
      </c>
      <c r="DW13" s="87"/>
      <c r="DX13" s="87">
        <v>805043</v>
      </c>
      <c r="DY13" s="87"/>
      <c r="DZ13" s="87">
        <v>1442</v>
      </c>
      <c r="EA13" s="87"/>
      <c r="EB13" s="87">
        <v>381210</v>
      </c>
      <c r="EC13" s="87"/>
      <c r="ED13" s="87">
        <v>879695</v>
      </c>
      <c r="EE13" s="87"/>
      <c r="EF13" s="87">
        <v>426017</v>
      </c>
      <c r="EG13" s="87"/>
      <c r="EH13" s="87">
        <v>2598</v>
      </c>
      <c r="EI13" s="87"/>
      <c r="EJ13" s="87">
        <v>973497</v>
      </c>
      <c r="EK13" s="87"/>
      <c r="EL13" s="87">
        <v>3483419</v>
      </c>
      <c r="EM13" s="87"/>
      <c r="EN13" s="87">
        <v>3855441</v>
      </c>
      <c r="EO13" s="87"/>
      <c r="EP13" s="87">
        <v>4206509</v>
      </c>
      <c r="EQ13" s="87"/>
      <c r="ER13" s="87">
        <v>5316340</v>
      </c>
      <c r="ES13" s="87"/>
      <c r="ET13" s="87">
        <v>4357712</v>
      </c>
      <c r="EU13" s="87"/>
      <c r="EV13" s="87">
        <v>4493549</v>
      </c>
      <c r="EW13" s="87"/>
      <c r="EX13" s="87">
        <v>8795651</v>
      </c>
      <c r="EY13" s="87"/>
      <c r="EZ13" s="87">
        <v>8690877</v>
      </c>
      <c r="FA13" s="87"/>
      <c r="FB13" s="87">
        <v>8658550</v>
      </c>
      <c r="FC13" s="87"/>
      <c r="FD13" s="87">
        <v>8162796</v>
      </c>
      <c r="FE13" s="87"/>
      <c r="FF13" s="87">
        <v>5142248</v>
      </c>
      <c r="FG13" s="87"/>
      <c r="FH13" s="87">
        <v>3343928</v>
      </c>
      <c r="FI13" s="87"/>
      <c r="FJ13" s="87">
        <v>1568349</v>
      </c>
      <c r="FK13" s="87"/>
      <c r="FL13" s="83"/>
      <c r="FM13" s="83"/>
    </row>
    <row r="14" spans="1:169" s="84" customFormat="1" ht="30" customHeight="1">
      <c r="A14" s="86">
        <v>44165</v>
      </c>
      <c r="B14" s="87">
        <v>20721836</v>
      </c>
      <c r="C14" s="83">
        <f>B14-B13</f>
        <v>1981</v>
      </c>
      <c r="D14" s="87">
        <v>2309934</v>
      </c>
      <c r="E14" s="83">
        <f>D14-D13</f>
        <v>179</v>
      </c>
      <c r="F14" s="87">
        <v>27580882</v>
      </c>
      <c r="G14" s="83">
        <f>F14-F13</f>
        <v>3387</v>
      </c>
      <c r="H14" s="87">
        <v>5742206</v>
      </c>
      <c r="I14" s="83">
        <f>H14-H13</f>
        <v>504</v>
      </c>
      <c r="J14" s="83"/>
      <c r="K14" s="83"/>
      <c r="L14" s="87">
        <v>21646540</v>
      </c>
      <c r="M14" s="87">
        <f>L14-L13</f>
        <v>1825</v>
      </c>
      <c r="N14" s="87">
        <v>72699262</v>
      </c>
      <c r="O14" s="87">
        <f>N14-N13</f>
        <v>8986</v>
      </c>
      <c r="P14" s="87">
        <v>24090</v>
      </c>
      <c r="Q14" s="87">
        <f>P14-P13</f>
        <v>5</v>
      </c>
      <c r="R14" s="87">
        <v>4854</v>
      </c>
      <c r="S14" s="87">
        <f>R14-R13</f>
        <v>0</v>
      </c>
      <c r="T14" s="87">
        <v>31538109</v>
      </c>
      <c r="U14" s="87">
        <f>T14-T13</f>
        <v>3590</v>
      </c>
      <c r="V14" s="87">
        <v>1620934</v>
      </c>
      <c r="W14" s="87">
        <f>V14-V13</f>
        <v>228</v>
      </c>
      <c r="X14" s="87">
        <v>1869521</v>
      </c>
      <c r="Y14" s="87">
        <f>X14-X13</f>
        <v>236</v>
      </c>
      <c r="Z14" s="87">
        <v>3494265</v>
      </c>
      <c r="AA14" s="83">
        <f>Z14-Z13</f>
        <v>582</v>
      </c>
      <c r="AB14" s="83"/>
      <c r="AC14" s="83"/>
      <c r="AD14" s="87">
        <v>54756556</v>
      </c>
      <c r="AE14" s="87">
        <f>AD14-AD13</f>
        <v>6495</v>
      </c>
      <c r="AF14" s="87">
        <v>9929997</v>
      </c>
      <c r="AG14" s="87">
        <f>AF14-AF13</f>
        <v>1392</v>
      </c>
      <c r="AH14" s="87">
        <v>1543431</v>
      </c>
      <c r="AI14" s="87">
        <f>AH14-AH13</f>
        <v>190</v>
      </c>
      <c r="AJ14" s="87">
        <v>1765974</v>
      </c>
      <c r="AK14" s="87">
        <f>AJ14-AJ13</f>
        <v>208</v>
      </c>
      <c r="AL14" s="87">
        <v>4841269</v>
      </c>
      <c r="AM14" s="87">
        <f>AL14-AL13</f>
        <v>523</v>
      </c>
      <c r="AN14" s="87">
        <v>5146274</v>
      </c>
      <c r="AO14" s="87">
        <f>AN14-AN13</f>
        <v>899</v>
      </c>
      <c r="AP14" s="87"/>
      <c r="AQ14" s="87"/>
      <c r="AR14" s="87">
        <v>1135906</v>
      </c>
      <c r="AS14" s="87">
        <f>AR14-AR13</f>
        <v>0</v>
      </c>
      <c r="AT14" s="87">
        <v>3137092</v>
      </c>
      <c r="AU14" s="87">
        <f>AT14-AT13</f>
        <v>494</v>
      </c>
      <c r="AV14" s="87"/>
      <c r="AW14" s="87"/>
      <c r="AX14" s="87">
        <v>573402</v>
      </c>
      <c r="AY14" s="87">
        <f>AX14-AX13</f>
        <v>187</v>
      </c>
      <c r="AZ14" s="87">
        <v>2362593</v>
      </c>
      <c r="BA14" s="87">
        <f>AZ14-AZ13</f>
        <v>57</v>
      </c>
      <c r="BB14" s="87">
        <v>4683144</v>
      </c>
      <c r="BC14" s="87">
        <f>BB14-BB13</f>
        <v>724</v>
      </c>
      <c r="BD14" s="87">
        <v>41639527</v>
      </c>
      <c r="BE14" s="87">
        <f>BD14-BD13</f>
        <v>5866</v>
      </c>
      <c r="BF14" s="87">
        <v>58912618</v>
      </c>
      <c r="BG14" s="87">
        <f>BF14-BF13</f>
        <v>9038</v>
      </c>
      <c r="BH14" s="87">
        <v>434043</v>
      </c>
      <c r="BI14" s="87">
        <f>BH14-BH13</f>
        <v>134</v>
      </c>
      <c r="BJ14" s="87">
        <v>11239630</v>
      </c>
      <c r="BK14" s="87">
        <f>BJ14-BJ13</f>
        <v>1792</v>
      </c>
      <c r="BL14" s="87">
        <v>1589038</v>
      </c>
      <c r="BM14" s="87">
        <f>BL14-BL13</f>
        <v>410</v>
      </c>
      <c r="BN14" s="87">
        <v>2339842</v>
      </c>
      <c r="BO14" s="87">
        <f>BN14-BN13</f>
        <v>105</v>
      </c>
      <c r="BP14" s="87">
        <v>10672733</v>
      </c>
      <c r="BQ14" s="87">
        <f>BP14-BP13</f>
        <v>1791</v>
      </c>
      <c r="BR14" s="87">
        <v>2621932</v>
      </c>
      <c r="BS14" s="87">
        <f>BR14-BR13</f>
        <v>212</v>
      </c>
      <c r="BT14" s="87">
        <v>13057528</v>
      </c>
      <c r="BU14" s="87">
        <f>BT14-BT13</f>
        <v>1939</v>
      </c>
      <c r="BV14" s="87">
        <v>10242441</v>
      </c>
      <c r="BW14" s="87">
        <f>BV14-BV13</f>
        <v>1583</v>
      </c>
      <c r="BX14" s="87">
        <v>1577142</v>
      </c>
      <c r="BY14" s="87">
        <f>BX14-BX13</f>
        <v>214</v>
      </c>
      <c r="BZ14" s="87">
        <v>19903655</v>
      </c>
      <c r="CA14" s="87">
        <f>BZ14-BZ13</f>
        <v>0</v>
      </c>
      <c r="CB14" s="87">
        <v>17452478</v>
      </c>
      <c r="CC14" s="87">
        <f>CB14-CB13</f>
        <v>1</v>
      </c>
      <c r="CD14" s="87">
        <v>18101553</v>
      </c>
      <c r="CE14" s="87">
        <f>CD14-CD13</f>
        <v>7727</v>
      </c>
      <c r="CF14" s="87">
        <v>14091707</v>
      </c>
      <c r="CG14" s="87">
        <f>CF14-CF13</f>
        <v>994</v>
      </c>
      <c r="CH14" s="87">
        <v>4293115</v>
      </c>
      <c r="CI14" s="87">
        <f>CH14-CH13</f>
        <v>430</v>
      </c>
      <c r="CJ14" s="87">
        <v>4768822</v>
      </c>
      <c r="CK14" s="87">
        <f>CJ14-CJ13</f>
        <v>412</v>
      </c>
      <c r="CL14" s="87">
        <v>2715988</v>
      </c>
      <c r="CM14" s="87">
        <f>CL14-CL13</f>
        <v>155</v>
      </c>
      <c r="CN14" s="87">
        <v>69370016</v>
      </c>
      <c r="CO14" s="87">
        <f>CN14-CN13</f>
        <v>3180</v>
      </c>
      <c r="CP14" s="87">
        <v>4457539</v>
      </c>
      <c r="CQ14" s="87">
        <f>CP14-CP13</f>
        <v>533</v>
      </c>
      <c r="CR14" s="87">
        <v>5180109</v>
      </c>
      <c r="CS14" s="87">
        <f>CR14-CR13</f>
        <v>185</v>
      </c>
      <c r="CT14" s="87">
        <v>3051937</v>
      </c>
      <c r="CU14" s="87">
        <f>CT14-CT13</f>
        <v>251</v>
      </c>
      <c r="CV14" s="87">
        <v>41462554</v>
      </c>
      <c r="CW14" s="87">
        <f>CV14-CV13</f>
        <v>131</v>
      </c>
      <c r="CX14" s="87">
        <v>6340430</v>
      </c>
      <c r="CY14" s="87">
        <f>CX14-CX13</f>
        <v>571</v>
      </c>
      <c r="CZ14" s="87">
        <v>6298996</v>
      </c>
      <c r="DA14" s="87">
        <f>CZ14-CZ13</f>
        <v>742</v>
      </c>
      <c r="DB14" s="87">
        <v>56599903</v>
      </c>
      <c r="DC14" s="87">
        <f>DB14-DB13</f>
        <v>4445</v>
      </c>
      <c r="DD14" s="87">
        <v>1995869</v>
      </c>
      <c r="DE14" s="87">
        <f>DD14-DD13</f>
        <v>506</v>
      </c>
      <c r="DF14" s="87">
        <v>21904348</v>
      </c>
      <c r="DG14" s="87">
        <f>DF14-DF13</f>
        <v>3774</v>
      </c>
      <c r="DH14" s="87">
        <v>32287122</v>
      </c>
      <c r="DI14" s="87">
        <f>DH14-DH13</f>
        <v>20</v>
      </c>
      <c r="DJ14" s="83"/>
      <c r="DK14" s="83"/>
      <c r="DL14" s="87">
        <v>985740</v>
      </c>
      <c r="DM14" s="87">
        <f>DL14-DL13</f>
        <v>291</v>
      </c>
      <c r="DN14" s="87">
        <v>1052078</v>
      </c>
      <c r="DO14" s="87">
        <f>DN14-DN13</f>
        <v>289</v>
      </c>
      <c r="DP14" s="87">
        <v>1175324</v>
      </c>
      <c r="DQ14" s="87">
        <f>DP14-DP13</f>
        <v>778</v>
      </c>
      <c r="DR14" s="87">
        <v>1159468</v>
      </c>
      <c r="DS14" s="87">
        <f>DR14-DR13</f>
        <v>868</v>
      </c>
      <c r="DT14" s="87">
        <v>957651</v>
      </c>
      <c r="DU14" s="87">
        <f>DT14-DT13</f>
        <v>1044</v>
      </c>
      <c r="DV14" s="87">
        <v>1317045</v>
      </c>
      <c r="DW14" s="87">
        <f>DV14-DV13</f>
        <v>1398</v>
      </c>
      <c r="DX14" s="87">
        <v>805709</v>
      </c>
      <c r="DY14" s="87">
        <f>DX14-DX13</f>
        <v>666</v>
      </c>
      <c r="DZ14" s="87">
        <v>1442</v>
      </c>
      <c r="EA14" s="87">
        <f>DZ14-DZ13</f>
        <v>0</v>
      </c>
      <c r="EB14" s="87">
        <v>381561</v>
      </c>
      <c r="EC14" s="87">
        <f>EB14-EB13</f>
        <v>351</v>
      </c>
      <c r="ED14" s="87">
        <v>880388</v>
      </c>
      <c r="EE14" s="87">
        <f>ED14-ED13</f>
        <v>693</v>
      </c>
      <c r="EF14" s="87">
        <v>426228</v>
      </c>
      <c r="EG14" s="87">
        <f>EF14-EF13</f>
        <v>211</v>
      </c>
      <c r="EH14" s="87">
        <v>2598</v>
      </c>
      <c r="EI14" s="87">
        <f>EH14-EH13</f>
        <v>0</v>
      </c>
      <c r="EJ14" s="87">
        <v>973979</v>
      </c>
      <c r="EK14" s="87">
        <f>EJ14-EJ13</f>
        <v>482</v>
      </c>
      <c r="EL14" s="87">
        <v>3483735</v>
      </c>
      <c r="EM14" s="87">
        <f>EL14-EL13</f>
        <v>316</v>
      </c>
      <c r="EN14" s="87">
        <v>3855798</v>
      </c>
      <c r="EO14" s="87">
        <f>EN14-EN13</f>
        <v>357</v>
      </c>
      <c r="EP14" s="87">
        <v>4206945</v>
      </c>
      <c r="EQ14" s="87">
        <f>EP14-EP13</f>
        <v>436</v>
      </c>
      <c r="ER14" s="87">
        <v>5316836</v>
      </c>
      <c r="ES14" s="87">
        <f>ER14-ER13</f>
        <v>496</v>
      </c>
      <c r="ET14" s="87">
        <v>4358112</v>
      </c>
      <c r="EU14" s="87">
        <f>ET14-ET13</f>
        <v>400</v>
      </c>
      <c r="EV14" s="87">
        <v>4493959</v>
      </c>
      <c r="EW14" s="87">
        <f>EV14-EV13</f>
        <v>410</v>
      </c>
      <c r="EX14" s="87">
        <v>8796499</v>
      </c>
      <c r="EY14" s="87">
        <f>EX14-EX13</f>
        <v>848</v>
      </c>
      <c r="EZ14" s="87">
        <v>8692353</v>
      </c>
      <c r="FA14" s="87">
        <f>EZ14-EZ13</f>
        <v>1476</v>
      </c>
      <c r="FB14" s="87">
        <v>8659244</v>
      </c>
      <c r="FC14" s="87">
        <f>FB14-FB13</f>
        <v>694</v>
      </c>
      <c r="FD14" s="87">
        <v>8163560</v>
      </c>
      <c r="FE14" s="87">
        <f>FD14-FD13</f>
        <v>764</v>
      </c>
      <c r="FF14" s="87">
        <v>5142878</v>
      </c>
      <c r="FG14" s="87">
        <f>FF14-FF13</f>
        <v>630</v>
      </c>
      <c r="FH14" s="87">
        <v>3344417</v>
      </c>
      <c r="FI14" s="87">
        <f>FH14-FH13</f>
        <v>489</v>
      </c>
      <c r="FJ14" s="87">
        <v>1568597</v>
      </c>
      <c r="FK14" s="87">
        <f>FJ14-FJ13</f>
        <v>248</v>
      </c>
      <c r="FL14" s="83"/>
      <c r="FM14" s="83"/>
    </row>
    <row r="15" spans="1:169" s="46" customFormat="1" ht="30" customHeight="1">
      <c r="A15" s="86">
        <v>44166</v>
      </c>
      <c r="B15" s="87">
        <v>20723883</v>
      </c>
      <c r="C15" s="87">
        <f>B15-B14</f>
        <v>2047</v>
      </c>
      <c r="D15" s="87">
        <v>2310183</v>
      </c>
      <c r="E15" s="87">
        <f>D15-D14</f>
        <v>249</v>
      </c>
      <c r="F15" s="87">
        <v>27584436</v>
      </c>
      <c r="G15" s="87">
        <f>F15-F14</f>
        <v>3554</v>
      </c>
      <c r="H15" s="87">
        <v>5742708</v>
      </c>
      <c r="I15" s="87">
        <f>H15-H14</f>
        <v>502</v>
      </c>
      <c r="J15" s="87"/>
      <c r="K15" s="87"/>
      <c r="L15" s="87">
        <v>21648474</v>
      </c>
      <c r="M15" s="87">
        <f>L15-L14</f>
        <v>1934</v>
      </c>
      <c r="N15" s="87">
        <v>72708173</v>
      </c>
      <c r="O15" s="87">
        <f>N15-N14</f>
        <v>8911</v>
      </c>
      <c r="P15" s="87">
        <v>24094</v>
      </c>
      <c r="Q15" s="87">
        <f>P15-P14</f>
        <v>4</v>
      </c>
      <c r="R15" s="87">
        <v>4854</v>
      </c>
      <c r="S15" s="87">
        <f>R15-R14</f>
        <v>0</v>
      </c>
      <c r="T15" s="87">
        <v>31541537</v>
      </c>
      <c r="U15" s="87">
        <f>T15-T14</f>
        <v>3428</v>
      </c>
      <c r="V15" s="87">
        <v>1621159</v>
      </c>
      <c r="W15" s="87">
        <f>V15-V14</f>
        <v>225</v>
      </c>
      <c r="X15" s="87">
        <v>1869753</v>
      </c>
      <c r="Y15" s="87">
        <f>X15-X14</f>
        <v>232</v>
      </c>
      <c r="Z15" s="87">
        <v>3494849</v>
      </c>
      <c r="AA15" s="87">
        <f>Z15-Z14</f>
        <v>584</v>
      </c>
      <c r="AB15" s="87"/>
      <c r="AC15" s="87"/>
      <c r="AD15" s="87">
        <v>54763275</v>
      </c>
      <c r="AE15" s="87">
        <f>AD15-AD14</f>
        <v>6719</v>
      </c>
      <c r="AF15" s="87">
        <v>9931335</v>
      </c>
      <c r="AG15" s="87">
        <f>AF15-AF14</f>
        <v>1338</v>
      </c>
      <c r="AH15" s="87">
        <v>1543624</v>
      </c>
      <c r="AI15" s="87">
        <f>AH15-AH14</f>
        <v>193</v>
      </c>
      <c r="AJ15" s="87">
        <v>1766171</v>
      </c>
      <c r="AK15" s="87">
        <f>AJ15-AJ14</f>
        <v>197</v>
      </c>
      <c r="AL15" s="87">
        <v>4841794</v>
      </c>
      <c r="AM15" s="87">
        <f>AL15-AL14</f>
        <v>525</v>
      </c>
      <c r="AN15" s="87">
        <v>5147082</v>
      </c>
      <c r="AO15" s="87">
        <f>AN15-AN14</f>
        <v>808</v>
      </c>
      <c r="AP15" s="87"/>
      <c r="AQ15" s="87"/>
      <c r="AR15" s="87">
        <v>1135906</v>
      </c>
      <c r="AS15" s="87">
        <f>AR15-AR14</f>
        <v>0</v>
      </c>
      <c r="AT15" s="87">
        <v>3137577</v>
      </c>
      <c r="AU15" s="87">
        <f>AT15-AT14</f>
        <v>485</v>
      </c>
      <c r="AV15" s="87"/>
      <c r="AW15" s="87"/>
      <c r="AX15" s="87">
        <v>573590</v>
      </c>
      <c r="AY15" s="87">
        <f>AX15-AX14</f>
        <v>188</v>
      </c>
      <c r="AZ15" s="87">
        <v>2362626</v>
      </c>
      <c r="BA15" s="87">
        <f>AZ15-AZ14</f>
        <v>33</v>
      </c>
      <c r="BB15" s="87">
        <v>4683852</v>
      </c>
      <c r="BC15" s="87">
        <f>BB15-BB14</f>
        <v>708</v>
      </c>
      <c r="BD15" s="87">
        <v>41645298</v>
      </c>
      <c r="BE15" s="87">
        <f>BD15-BD14</f>
        <v>5771</v>
      </c>
      <c r="BF15" s="87">
        <v>58921423</v>
      </c>
      <c r="BG15" s="87">
        <f>BF15-BF14</f>
        <v>8805</v>
      </c>
      <c r="BH15" s="87">
        <v>434207</v>
      </c>
      <c r="BI15" s="87">
        <f>BH15-BH14</f>
        <v>164</v>
      </c>
      <c r="BJ15" s="87">
        <v>11241430</v>
      </c>
      <c r="BK15" s="87">
        <f>BJ15-BJ14</f>
        <v>1800</v>
      </c>
      <c r="BL15" s="87">
        <v>1589446</v>
      </c>
      <c r="BM15" s="87">
        <f>BL15-BL14</f>
        <v>408</v>
      </c>
      <c r="BN15" s="87">
        <v>2339948</v>
      </c>
      <c r="BO15" s="87">
        <f>BN15-BN14</f>
        <v>106</v>
      </c>
      <c r="BP15" s="87">
        <v>10674488</v>
      </c>
      <c r="BQ15" s="87">
        <f>BP15-BP14</f>
        <v>1755</v>
      </c>
      <c r="BR15" s="87">
        <v>2622145</v>
      </c>
      <c r="BS15" s="87">
        <f>BR15-BR14</f>
        <v>213</v>
      </c>
      <c r="BT15" s="87">
        <v>13059364</v>
      </c>
      <c r="BU15" s="87">
        <f>BT15-BT14</f>
        <v>1836</v>
      </c>
      <c r="BV15" s="87">
        <v>10243921</v>
      </c>
      <c r="BW15" s="87">
        <f>BV15-BV14</f>
        <v>1480</v>
      </c>
      <c r="BX15" s="87">
        <v>1577344</v>
      </c>
      <c r="BY15" s="87">
        <f>BX15-BX14</f>
        <v>202</v>
      </c>
      <c r="BZ15" s="87">
        <v>19903655</v>
      </c>
      <c r="CA15" s="87">
        <f>BZ15-BZ14</f>
        <v>0</v>
      </c>
      <c r="CB15" s="87">
        <v>17452478</v>
      </c>
      <c r="CC15" s="87">
        <f>CB15-CB14</f>
        <v>0</v>
      </c>
      <c r="CD15" s="87">
        <v>18101606</v>
      </c>
      <c r="CE15" s="87">
        <f>CD15-CD14</f>
        <v>53</v>
      </c>
      <c r="CF15" s="87">
        <v>14092677</v>
      </c>
      <c r="CG15" s="87">
        <f>CF15-CF14</f>
        <v>970</v>
      </c>
      <c r="CH15" s="87">
        <v>4293561</v>
      </c>
      <c r="CI15" s="87">
        <f>CH15-CH14</f>
        <v>446</v>
      </c>
      <c r="CJ15" s="87">
        <v>4769241</v>
      </c>
      <c r="CK15" s="87">
        <f>CJ15-CJ14</f>
        <v>419</v>
      </c>
      <c r="CL15" s="87">
        <v>2716095</v>
      </c>
      <c r="CM15" s="87">
        <f>CL15-CL14</f>
        <v>107</v>
      </c>
      <c r="CN15" s="87">
        <v>69380338</v>
      </c>
      <c r="CO15" s="87">
        <f>CN15-CN14</f>
        <v>10322</v>
      </c>
      <c r="CP15" s="87">
        <v>4458063</v>
      </c>
      <c r="CQ15" s="87">
        <f>CP15-CP14</f>
        <v>524</v>
      </c>
      <c r="CR15" s="87">
        <v>5180279</v>
      </c>
      <c r="CS15" s="87">
        <f>CR15-CR14</f>
        <v>170</v>
      </c>
      <c r="CT15" s="87">
        <v>3052165</v>
      </c>
      <c r="CU15" s="87">
        <f>CT15-CT14</f>
        <v>228</v>
      </c>
      <c r="CV15" s="87">
        <v>41469925</v>
      </c>
      <c r="CW15" s="87">
        <f>CV15-CV14</f>
        <v>7371</v>
      </c>
      <c r="CX15" s="87">
        <v>6340990</v>
      </c>
      <c r="CY15" s="87">
        <f>CX15-CX14</f>
        <v>560</v>
      </c>
      <c r="CZ15" s="87">
        <v>6299745</v>
      </c>
      <c r="DA15" s="87">
        <f>CZ15-CZ14</f>
        <v>749</v>
      </c>
      <c r="DB15" s="87">
        <v>56604324</v>
      </c>
      <c r="DC15" s="87">
        <f>DB15-DB14</f>
        <v>4421</v>
      </c>
      <c r="DD15" s="87">
        <v>1996386</v>
      </c>
      <c r="DE15" s="87">
        <f>DD15-DD14</f>
        <v>517</v>
      </c>
      <c r="DF15" s="87">
        <v>21908107</v>
      </c>
      <c r="DG15" s="87">
        <f>DF15-DF14</f>
        <v>3759</v>
      </c>
      <c r="DH15" s="87">
        <v>32287141</v>
      </c>
      <c r="DI15" s="87">
        <f>DH15-DH14</f>
        <v>19</v>
      </c>
      <c r="DJ15" s="87"/>
      <c r="DK15" s="87"/>
      <c r="DL15" s="87">
        <v>986068</v>
      </c>
      <c r="DM15" s="87">
        <f>DL15-DL14</f>
        <v>328</v>
      </c>
      <c r="DN15" s="87">
        <v>1052375</v>
      </c>
      <c r="DO15" s="87">
        <f>DN15-DN14</f>
        <v>297</v>
      </c>
      <c r="DP15" s="87">
        <v>1176058</v>
      </c>
      <c r="DQ15" s="87">
        <f>DP15-DP14</f>
        <v>734</v>
      </c>
      <c r="DR15" s="87">
        <v>1160385</v>
      </c>
      <c r="DS15" s="87">
        <f>DR15-DR14</f>
        <v>917</v>
      </c>
      <c r="DT15" s="87">
        <v>958667</v>
      </c>
      <c r="DU15" s="87">
        <f>DT15-DT14</f>
        <v>1016</v>
      </c>
      <c r="DV15" s="87">
        <v>1318423</v>
      </c>
      <c r="DW15" s="87">
        <f>DV15-DV14</f>
        <v>1378</v>
      </c>
      <c r="DX15" s="87">
        <v>806326</v>
      </c>
      <c r="DY15" s="87">
        <f>DX15-DX14</f>
        <v>617</v>
      </c>
      <c r="DZ15" s="87">
        <v>1442</v>
      </c>
      <c r="EA15" s="87">
        <f>DZ15-DZ14</f>
        <v>0</v>
      </c>
      <c r="EB15" s="87">
        <v>381895</v>
      </c>
      <c r="EC15" s="87">
        <f>EB15-EB14</f>
        <v>334</v>
      </c>
      <c r="ED15" s="87">
        <v>881085</v>
      </c>
      <c r="EE15" s="87">
        <f>ED15-ED14</f>
        <v>697</v>
      </c>
      <c r="EF15" s="87">
        <v>426365</v>
      </c>
      <c r="EG15" s="87">
        <f>EF15-EF14</f>
        <v>137</v>
      </c>
      <c r="EH15" s="87">
        <v>2598</v>
      </c>
      <c r="EI15" s="87">
        <f>EH15-EH14</f>
        <v>0</v>
      </c>
      <c r="EJ15" s="87">
        <v>974453</v>
      </c>
      <c r="EK15" s="87">
        <f>EJ15-EJ14</f>
        <v>474</v>
      </c>
      <c r="EL15" s="87">
        <v>3484097</v>
      </c>
      <c r="EM15" s="87">
        <f>EL15-EL14</f>
        <v>362</v>
      </c>
      <c r="EN15" s="87">
        <v>3856188</v>
      </c>
      <c r="EO15" s="87">
        <f>EN15-EN14</f>
        <v>390</v>
      </c>
      <c r="EP15" s="87">
        <v>4207398</v>
      </c>
      <c r="EQ15" s="87">
        <f>EP15-EP14</f>
        <v>453</v>
      </c>
      <c r="ER15" s="87">
        <v>5317314</v>
      </c>
      <c r="ES15" s="87">
        <f>ER15-ER14</f>
        <v>478</v>
      </c>
      <c r="ET15" s="87">
        <v>4358516</v>
      </c>
      <c r="EU15" s="87">
        <f>ET15-ET14</f>
        <v>404</v>
      </c>
      <c r="EV15" s="87">
        <v>4494384</v>
      </c>
      <c r="EW15" s="87">
        <f>EV15-EV14</f>
        <v>425</v>
      </c>
      <c r="EX15" s="87">
        <v>8797360</v>
      </c>
      <c r="EY15" s="87">
        <f>EX15-EX14</f>
        <v>861</v>
      </c>
      <c r="EZ15" s="87">
        <v>8693815</v>
      </c>
      <c r="FA15" s="87">
        <f>EZ15-EZ14</f>
        <v>1462</v>
      </c>
      <c r="FB15" s="87">
        <v>8659946</v>
      </c>
      <c r="FC15" s="87">
        <f>FB15-FB14</f>
        <v>702</v>
      </c>
      <c r="FD15" s="87">
        <v>8164333</v>
      </c>
      <c r="FE15" s="87">
        <f>FD15-FD14</f>
        <v>773</v>
      </c>
      <c r="FF15" s="87">
        <v>5143584</v>
      </c>
      <c r="FG15" s="87">
        <f>FF15-FF14</f>
        <v>706</v>
      </c>
      <c r="FH15" s="87">
        <v>3344912</v>
      </c>
      <c r="FI15" s="87">
        <f>FH15-FH14</f>
        <v>495</v>
      </c>
      <c r="FJ15" s="87">
        <v>1568861</v>
      </c>
      <c r="FK15" s="87">
        <f>FJ15-FJ14</f>
        <v>264</v>
      </c>
      <c r="FL15" s="87"/>
      <c r="FM15" s="87"/>
    </row>
    <row r="16" spans="1:169" s="46" customFormat="1" ht="30" customHeight="1">
      <c r="A16" s="86">
        <v>44167</v>
      </c>
      <c r="B16" s="87">
        <v>20725958</v>
      </c>
      <c r="C16" s="83">
        <f t="shared" ref="C16:C45" si="83">B16-B15</f>
        <v>2075</v>
      </c>
      <c r="D16" s="87">
        <v>2310467</v>
      </c>
      <c r="E16" s="83">
        <f t="shared" ref="E16:E45" si="84">D16-D15</f>
        <v>284</v>
      </c>
      <c r="F16" s="87">
        <v>27587965</v>
      </c>
      <c r="G16" s="83">
        <f t="shared" ref="G16:G45" si="85">F16-F15</f>
        <v>3529</v>
      </c>
      <c r="H16" s="87">
        <v>5743267</v>
      </c>
      <c r="I16" s="83">
        <f t="shared" ref="I16:I45" si="86">H16-H15</f>
        <v>559</v>
      </c>
      <c r="J16" s="87"/>
      <c r="K16" s="87"/>
      <c r="L16" s="87">
        <v>21650402</v>
      </c>
      <c r="M16" s="87">
        <f t="shared" ref="M16:M45" si="87">L16-L15</f>
        <v>1928</v>
      </c>
      <c r="N16" s="87">
        <v>72717145</v>
      </c>
      <c r="O16" s="87">
        <f t="shared" ref="O16:O45" si="88">N16-N15</f>
        <v>8972</v>
      </c>
      <c r="P16" s="87">
        <v>24097</v>
      </c>
      <c r="Q16" s="87">
        <f t="shared" ref="Q16:Q45" si="89">P16-P15</f>
        <v>3</v>
      </c>
      <c r="R16" s="87">
        <v>4854</v>
      </c>
      <c r="S16" s="87">
        <f t="shared" ref="S16:S45" si="90">R16-R15</f>
        <v>0</v>
      </c>
      <c r="T16" s="87">
        <v>31545002</v>
      </c>
      <c r="U16" s="87">
        <f t="shared" ref="U16:U45" si="91">T16-T15</f>
        <v>3465</v>
      </c>
      <c r="V16" s="87">
        <v>1621383</v>
      </c>
      <c r="W16" s="87">
        <f t="shared" ref="W16:W43" si="92">V16-V15</f>
        <v>224</v>
      </c>
      <c r="X16" s="87">
        <v>1869980</v>
      </c>
      <c r="Y16" s="87">
        <f t="shared" ref="Y16:Y45" si="93">X16-X15</f>
        <v>227</v>
      </c>
      <c r="Z16" s="87">
        <v>3495430</v>
      </c>
      <c r="AA16" s="83">
        <f t="shared" ref="AA16:AA45" si="94">Z16-Z15</f>
        <v>581</v>
      </c>
      <c r="AB16" s="87"/>
      <c r="AC16" s="87"/>
      <c r="AD16" s="87">
        <v>54769529</v>
      </c>
      <c r="AE16" s="87">
        <f t="shared" ref="AE16:AE45" si="95">AD16-AD15</f>
        <v>6254</v>
      </c>
      <c r="AF16" s="87">
        <v>9932638</v>
      </c>
      <c r="AG16" s="87">
        <f t="shared" ref="AG16:AG45" si="96">AF16-AF15</f>
        <v>1303</v>
      </c>
      <c r="AH16" s="87">
        <v>1543820</v>
      </c>
      <c r="AI16" s="87">
        <f t="shared" ref="AI16:AI45" si="97">AH16-AH15</f>
        <v>196</v>
      </c>
      <c r="AJ16" s="87">
        <v>1766378</v>
      </c>
      <c r="AK16" s="87">
        <f t="shared" ref="AK16:AK45" si="98">AJ16-AJ15</f>
        <v>207</v>
      </c>
      <c r="AL16" s="87">
        <v>4842341</v>
      </c>
      <c r="AM16" s="87">
        <f t="shared" ref="AM16:AM45" si="99">AL16-AL15</f>
        <v>547</v>
      </c>
      <c r="AN16" s="87">
        <v>5147969</v>
      </c>
      <c r="AO16" s="87">
        <f t="shared" ref="AO16:AO45" si="100">AN16-AN15</f>
        <v>887</v>
      </c>
      <c r="AP16" s="87"/>
      <c r="AQ16" s="87"/>
      <c r="AR16" s="87">
        <v>1135906</v>
      </c>
      <c r="AS16" s="87">
        <f t="shared" ref="AS16:AS45" si="101">AR16-AR15</f>
        <v>0</v>
      </c>
      <c r="AT16" s="87">
        <v>3138095</v>
      </c>
      <c r="AU16" s="87">
        <f t="shared" ref="AU16:AU45" si="102">AT16-AT15</f>
        <v>518</v>
      </c>
      <c r="AV16" s="87"/>
      <c r="AW16" s="87"/>
      <c r="AX16" s="87">
        <v>573777</v>
      </c>
      <c r="AY16" s="87">
        <f t="shared" ref="AY16:AY45" si="103">AX16-AX15</f>
        <v>187</v>
      </c>
      <c r="AZ16" s="87">
        <v>2362659</v>
      </c>
      <c r="BA16" s="87">
        <f t="shared" ref="BA16:BA43" si="104">AZ16-AZ15</f>
        <v>33</v>
      </c>
      <c r="BB16" s="87">
        <v>4684545</v>
      </c>
      <c r="BC16" s="87">
        <f t="shared" ref="BC16:BC45" si="105">BB16-BB15</f>
        <v>693</v>
      </c>
      <c r="BD16" s="87">
        <v>41651134</v>
      </c>
      <c r="BE16" s="87">
        <f t="shared" ref="BE16:BE45" si="106">BD16-BD15</f>
        <v>5836</v>
      </c>
      <c r="BF16" s="87">
        <v>58930488</v>
      </c>
      <c r="BG16" s="87">
        <f t="shared" ref="BG16:BG45" si="107">BF16-BF15</f>
        <v>9065</v>
      </c>
      <c r="BH16" s="87">
        <v>434334</v>
      </c>
      <c r="BI16" s="87">
        <f t="shared" ref="BI16:BI45" si="108">BH16-BH15</f>
        <v>127</v>
      </c>
      <c r="BJ16" s="87">
        <v>11243236</v>
      </c>
      <c r="BK16" s="87">
        <f t="shared" ref="BK16:BK45" si="109">BJ16-BJ15</f>
        <v>1806</v>
      </c>
      <c r="BL16" s="87">
        <v>1589855</v>
      </c>
      <c r="BM16" s="87">
        <f t="shared" ref="BM16:BM45" si="110">BL16-BL15</f>
        <v>409</v>
      </c>
      <c r="BN16" s="87">
        <v>2340116</v>
      </c>
      <c r="BO16" s="87">
        <f t="shared" ref="BO16:BO45" si="111">BN16-BN15</f>
        <v>168</v>
      </c>
      <c r="BP16" s="87">
        <v>10676238</v>
      </c>
      <c r="BQ16" s="87">
        <f t="shared" ref="BQ16:BQ45" si="112">BP16-BP15</f>
        <v>1750</v>
      </c>
      <c r="BR16" s="87">
        <v>2622362</v>
      </c>
      <c r="BS16" s="87">
        <f t="shared" ref="BS16:BS45" si="113">BR16-BR15</f>
        <v>217</v>
      </c>
      <c r="BT16" s="87">
        <v>13061452</v>
      </c>
      <c r="BU16" s="87">
        <f t="shared" ref="BU16:BU45" si="114">BT16-BT15</f>
        <v>2088</v>
      </c>
      <c r="BV16" s="87">
        <v>10245413</v>
      </c>
      <c r="BW16" s="87">
        <f t="shared" ref="BW16:BW45" si="115">BV16-BV15</f>
        <v>1492</v>
      </c>
      <c r="BX16" s="87">
        <v>1577559</v>
      </c>
      <c r="BY16" s="87">
        <f t="shared" ref="BY16:BY45" si="116">BX16-BX15</f>
        <v>215</v>
      </c>
      <c r="BZ16" s="87">
        <v>19903655</v>
      </c>
      <c r="CA16" s="87">
        <f t="shared" ref="CA16:CA45" si="117">BZ16-BZ15</f>
        <v>0</v>
      </c>
      <c r="CB16" s="87">
        <v>17452478</v>
      </c>
      <c r="CC16" s="87">
        <f t="shared" ref="CC16:CC45" si="118">CB16-CB15</f>
        <v>0</v>
      </c>
      <c r="CD16" s="87">
        <v>18108286</v>
      </c>
      <c r="CE16" s="87">
        <f t="shared" ref="CE16:CE45" si="119">CD16-CD15</f>
        <v>6680</v>
      </c>
      <c r="CF16" s="87">
        <v>14093702</v>
      </c>
      <c r="CG16" s="87">
        <f t="shared" ref="CG16:CG45" si="120">CF16-CF15</f>
        <v>1025</v>
      </c>
      <c r="CH16" s="87">
        <v>4293998</v>
      </c>
      <c r="CI16" s="87">
        <f t="shared" ref="CI16:CI45" si="121">CH16-CH15</f>
        <v>437</v>
      </c>
      <c r="CJ16" s="87">
        <v>4769655</v>
      </c>
      <c r="CK16" s="87">
        <f t="shared" ref="CK16:CK45" si="122">CJ16-CJ15</f>
        <v>414</v>
      </c>
      <c r="CL16" s="87">
        <v>2716270</v>
      </c>
      <c r="CM16" s="87">
        <f t="shared" ref="CM16:CM45" si="123">CL16-CL15</f>
        <v>175</v>
      </c>
      <c r="CN16" s="87">
        <v>69383867</v>
      </c>
      <c r="CO16" s="87">
        <f t="shared" ref="CO16:CO45" si="124">CN16-CN15</f>
        <v>3529</v>
      </c>
      <c r="CP16" s="87">
        <v>4458604</v>
      </c>
      <c r="CQ16" s="87">
        <f t="shared" ref="CQ16:CQ45" si="125">CP16-CP15</f>
        <v>541</v>
      </c>
      <c r="CR16" s="87">
        <v>5180451</v>
      </c>
      <c r="CS16" s="87">
        <f t="shared" ref="CS16:CS43" si="126">CR16-CR15</f>
        <v>172</v>
      </c>
      <c r="CT16" s="87">
        <v>3052408</v>
      </c>
      <c r="CU16" s="87">
        <f t="shared" ref="CU16:CU45" si="127">CT16-CT15</f>
        <v>243</v>
      </c>
      <c r="CV16" s="87">
        <v>41470464</v>
      </c>
      <c r="CW16" s="87">
        <f t="shared" ref="CW16:CW45" si="128">CV16-CV15</f>
        <v>539</v>
      </c>
      <c r="CX16" s="87">
        <v>6341557</v>
      </c>
      <c r="CY16" s="87">
        <f t="shared" ref="CY16:CY45" si="129">CX16-CX15</f>
        <v>567</v>
      </c>
      <c r="CZ16" s="87">
        <v>6300499</v>
      </c>
      <c r="DA16" s="87">
        <f t="shared" ref="DA16:DA43" si="130">CZ16-CZ15</f>
        <v>754</v>
      </c>
      <c r="DB16" s="87">
        <v>56608724</v>
      </c>
      <c r="DC16" s="87">
        <f t="shared" ref="DC16:DC45" si="131">DB16-DB15</f>
        <v>4400</v>
      </c>
      <c r="DD16" s="87">
        <v>1996879</v>
      </c>
      <c r="DE16" s="87">
        <f t="shared" ref="DE16:DE45" si="132">DD16-DD15</f>
        <v>493</v>
      </c>
      <c r="DF16" s="87">
        <v>21911881</v>
      </c>
      <c r="DG16" s="87">
        <f t="shared" ref="DG16:DG45" si="133">DF16-DF15</f>
        <v>3774</v>
      </c>
      <c r="DH16" s="87">
        <v>32287161</v>
      </c>
      <c r="DI16" s="87">
        <f t="shared" ref="DI16:DI45" si="134">DH16-DH15</f>
        <v>20</v>
      </c>
      <c r="DJ16" s="87"/>
      <c r="DK16" s="87"/>
      <c r="DL16" s="87">
        <v>986242</v>
      </c>
      <c r="DM16" s="87">
        <f t="shared" ref="DM16:DM45" si="135">DL16-DL15</f>
        <v>174</v>
      </c>
      <c r="DN16" s="87">
        <v>1052628</v>
      </c>
      <c r="DO16" s="87">
        <f t="shared" ref="DO16:DO45" si="136">DN16-DN15</f>
        <v>253</v>
      </c>
      <c r="DP16" s="87">
        <v>1176736</v>
      </c>
      <c r="DQ16" s="87">
        <f t="shared" ref="DQ16:DQ45" si="137">DP16-DP15</f>
        <v>678</v>
      </c>
      <c r="DR16" s="87">
        <v>1161194</v>
      </c>
      <c r="DS16" s="87">
        <f t="shared" ref="DS16:DS45" si="138">DR16-DR15</f>
        <v>809</v>
      </c>
      <c r="DT16" s="87">
        <v>959660</v>
      </c>
      <c r="DU16" s="87">
        <f t="shared" ref="DU16:DU45" si="139">DT16-DT15</f>
        <v>993</v>
      </c>
      <c r="DV16" s="87">
        <v>1319783</v>
      </c>
      <c r="DW16" s="87">
        <f t="shared" ref="DW16:DW45" si="140">DV16-DV15</f>
        <v>1360</v>
      </c>
      <c r="DX16" s="87">
        <v>806941</v>
      </c>
      <c r="DY16" s="87">
        <f t="shared" ref="DY16:DY45" si="141">DX16-DX15</f>
        <v>615</v>
      </c>
      <c r="DZ16" s="87">
        <v>1442</v>
      </c>
      <c r="EA16" s="87">
        <f t="shared" ref="EA16:EA45" si="142">DZ16-DZ15</f>
        <v>0</v>
      </c>
      <c r="EB16" s="87">
        <v>382223</v>
      </c>
      <c r="EC16" s="87">
        <f t="shared" ref="EC16:EC45" si="143">EB16-EB15</f>
        <v>328</v>
      </c>
      <c r="ED16" s="87">
        <v>881787</v>
      </c>
      <c r="EE16" s="87">
        <f t="shared" ref="EE16:EE45" si="144">ED16-ED15</f>
        <v>702</v>
      </c>
      <c r="EF16" s="87">
        <v>426534</v>
      </c>
      <c r="EG16" s="87">
        <f t="shared" ref="EG16:EG45" si="145">EF16-EF15</f>
        <v>169</v>
      </c>
      <c r="EH16" s="87">
        <v>2598</v>
      </c>
      <c r="EI16" s="87">
        <f t="shared" ref="EI16:EI45" si="146">EH16-EH15</f>
        <v>0</v>
      </c>
      <c r="EJ16" s="87">
        <v>974913</v>
      </c>
      <c r="EK16" s="87">
        <f t="shared" ref="EK16:EK45" si="147">EJ16-EJ15</f>
        <v>460</v>
      </c>
      <c r="EL16" s="87">
        <v>3484442</v>
      </c>
      <c r="EM16" s="87">
        <f t="shared" ref="EM16:EM45" si="148">EL16-EL15</f>
        <v>345</v>
      </c>
      <c r="EN16" s="87">
        <v>3856558</v>
      </c>
      <c r="EO16" s="87">
        <f t="shared" ref="EO16:EO45" si="149">EN16-EN15</f>
        <v>370</v>
      </c>
      <c r="EP16" s="87">
        <v>4207833</v>
      </c>
      <c r="EQ16" s="87">
        <f t="shared" ref="EQ16:EQ45" si="150">EP16-EP15</f>
        <v>435</v>
      </c>
      <c r="ER16" s="87">
        <v>5317784</v>
      </c>
      <c r="ES16" s="87">
        <f t="shared" ref="ES16:ES45" si="151">ER16-ER15</f>
        <v>470</v>
      </c>
      <c r="ET16" s="87">
        <v>4358938</v>
      </c>
      <c r="EU16" s="87">
        <f t="shared" ref="EU16:EU45" si="152">ET16-ET15</f>
        <v>422</v>
      </c>
      <c r="EV16" s="87">
        <v>4494802</v>
      </c>
      <c r="EW16" s="87">
        <f t="shared" ref="EW16:EW45" si="153">EV16-EV15</f>
        <v>418</v>
      </c>
      <c r="EX16" s="87">
        <v>8798219</v>
      </c>
      <c r="EY16" s="87">
        <f t="shared" ref="EY16:EY45" si="154">EX16-EX15</f>
        <v>859</v>
      </c>
      <c r="EZ16" s="87">
        <v>8695297</v>
      </c>
      <c r="FA16" s="87">
        <f t="shared" ref="FA16:FA45" si="155">EZ16-EZ15</f>
        <v>1482</v>
      </c>
      <c r="FB16" s="87">
        <v>8660650</v>
      </c>
      <c r="FC16" s="87">
        <f t="shared" ref="FC16:FC45" si="156">FB16-FB15</f>
        <v>704</v>
      </c>
      <c r="FD16" s="87">
        <v>8165110</v>
      </c>
      <c r="FE16" s="87">
        <f t="shared" ref="FE16:FE45" si="157">FD16-FD15</f>
        <v>777</v>
      </c>
      <c r="FF16" s="87">
        <v>5144297</v>
      </c>
      <c r="FG16" s="87">
        <f t="shared" ref="FG16:FG43" si="158">FF16-FF15</f>
        <v>713</v>
      </c>
      <c r="FH16" s="87">
        <v>3345405</v>
      </c>
      <c r="FI16" s="87">
        <f t="shared" ref="FI16:FI45" si="159">FH16-FH15</f>
        <v>493</v>
      </c>
      <c r="FJ16" s="87">
        <v>1569127</v>
      </c>
      <c r="FK16" s="87">
        <f t="shared" ref="FK16:FK45" si="160">FJ16-FJ15</f>
        <v>266</v>
      </c>
      <c r="FL16" s="87"/>
      <c r="FM16" s="87"/>
    </row>
    <row r="17" spans="1:169" s="46" customFormat="1" ht="30" customHeight="1">
      <c r="A17" s="86">
        <v>44168</v>
      </c>
      <c r="B17" s="87">
        <v>20727989</v>
      </c>
      <c r="C17" s="87">
        <f t="shared" si="83"/>
        <v>2031</v>
      </c>
      <c r="D17" s="87">
        <v>2310723</v>
      </c>
      <c r="E17" s="87">
        <f t="shared" si="84"/>
        <v>256</v>
      </c>
      <c r="F17" s="87">
        <v>27591432</v>
      </c>
      <c r="G17" s="87">
        <f t="shared" si="85"/>
        <v>3467</v>
      </c>
      <c r="H17" s="87">
        <v>5743778</v>
      </c>
      <c r="I17" s="87">
        <f t="shared" si="86"/>
        <v>511</v>
      </c>
      <c r="J17" s="87"/>
      <c r="K17" s="87"/>
      <c r="L17" s="87">
        <v>21652266</v>
      </c>
      <c r="M17" s="87">
        <f t="shared" si="87"/>
        <v>1864</v>
      </c>
      <c r="N17" s="87">
        <v>72726233</v>
      </c>
      <c r="O17" s="87">
        <f t="shared" si="88"/>
        <v>9088</v>
      </c>
      <c r="P17" s="87">
        <v>24101</v>
      </c>
      <c r="Q17" s="87">
        <f t="shared" si="89"/>
        <v>4</v>
      </c>
      <c r="R17" s="87">
        <v>4855</v>
      </c>
      <c r="S17" s="87">
        <f t="shared" si="90"/>
        <v>1</v>
      </c>
      <c r="T17" s="87">
        <v>31548463</v>
      </c>
      <c r="U17" s="87">
        <f t="shared" si="91"/>
        <v>3461</v>
      </c>
      <c r="V17" s="87">
        <v>1621621</v>
      </c>
      <c r="W17" s="87">
        <f t="shared" si="92"/>
        <v>238</v>
      </c>
      <c r="X17" s="87">
        <v>1870205</v>
      </c>
      <c r="Y17" s="87">
        <f t="shared" si="93"/>
        <v>225</v>
      </c>
      <c r="Z17" s="87">
        <v>3496012</v>
      </c>
      <c r="AA17" s="87">
        <f t="shared" si="94"/>
        <v>582</v>
      </c>
      <c r="AB17" s="87"/>
      <c r="AC17" s="87"/>
      <c r="AD17" s="87">
        <v>54775471</v>
      </c>
      <c r="AE17" s="87">
        <f t="shared" si="95"/>
        <v>5942</v>
      </c>
      <c r="AF17" s="87">
        <v>9933845</v>
      </c>
      <c r="AG17" s="87">
        <f t="shared" si="96"/>
        <v>1207</v>
      </c>
      <c r="AH17" s="87">
        <v>1544015</v>
      </c>
      <c r="AI17" s="87">
        <f t="shared" si="97"/>
        <v>195</v>
      </c>
      <c r="AJ17" s="87">
        <v>1766558</v>
      </c>
      <c r="AK17" s="87">
        <f t="shared" si="98"/>
        <v>180</v>
      </c>
      <c r="AL17" s="87">
        <v>4842881</v>
      </c>
      <c r="AM17" s="87">
        <f t="shared" si="99"/>
        <v>540</v>
      </c>
      <c r="AN17" s="87">
        <v>5148729</v>
      </c>
      <c r="AO17" s="87">
        <f t="shared" si="100"/>
        <v>760</v>
      </c>
      <c r="AP17" s="87"/>
      <c r="AQ17" s="87"/>
      <c r="AR17" s="87">
        <v>1135906</v>
      </c>
      <c r="AS17" s="87">
        <f t="shared" si="101"/>
        <v>0</v>
      </c>
      <c r="AT17" s="87">
        <v>3138599</v>
      </c>
      <c r="AU17" s="87">
        <f t="shared" si="102"/>
        <v>504</v>
      </c>
      <c r="AV17" s="87"/>
      <c r="AW17" s="87"/>
      <c r="AX17" s="87">
        <v>573965</v>
      </c>
      <c r="AY17" s="87">
        <f t="shared" si="103"/>
        <v>188</v>
      </c>
      <c r="AZ17" s="87">
        <v>2362690</v>
      </c>
      <c r="BA17" s="87">
        <f t="shared" si="104"/>
        <v>31</v>
      </c>
      <c r="BB17" s="87">
        <v>4685223</v>
      </c>
      <c r="BC17" s="87">
        <f t="shared" si="105"/>
        <v>678</v>
      </c>
      <c r="BD17" s="87">
        <v>41656732</v>
      </c>
      <c r="BE17" s="87">
        <f t="shared" si="106"/>
        <v>5598</v>
      </c>
      <c r="BF17" s="87">
        <v>58939339</v>
      </c>
      <c r="BG17" s="87">
        <f t="shared" si="107"/>
        <v>8851</v>
      </c>
      <c r="BH17" s="87">
        <v>434458</v>
      </c>
      <c r="BI17" s="87">
        <f t="shared" si="108"/>
        <v>124</v>
      </c>
      <c r="BJ17" s="87">
        <v>11245046</v>
      </c>
      <c r="BK17" s="87">
        <f t="shared" si="109"/>
        <v>1810</v>
      </c>
      <c r="BL17" s="87">
        <v>1590260</v>
      </c>
      <c r="BM17" s="87">
        <f t="shared" si="110"/>
        <v>405</v>
      </c>
      <c r="BN17" s="87">
        <v>2340218</v>
      </c>
      <c r="BO17" s="87">
        <f t="shared" si="111"/>
        <v>102</v>
      </c>
      <c r="BP17" s="87">
        <v>10677942</v>
      </c>
      <c r="BQ17" s="87">
        <f t="shared" si="112"/>
        <v>1704</v>
      </c>
      <c r="BR17" s="87">
        <v>2622578</v>
      </c>
      <c r="BS17" s="87">
        <f t="shared" si="113"/>
        <v>216</v>
      </c>
      <c r="BT17" s="87">
        <v>13063381</v>
      </c>
      <c r="BU17" s="87">
        <f t="shared" si="114"/>
        <v>1929</v>
      </c>
      <c r="BV17" s="87">
        <v>10246969</v>
      </c>
      <c r="BW17" s="87">
        <f t="shared" si="115"/>
        <v>1556</v>
      </c>
      <c r="BX17" s="87">
        <v>1577746</v>
      </c>
      <c r="BY17" s="87">
        <f t="shared" si="116"/>
        <v>187</v>
      </c>
      <c r="BZ17" s="87">
        <v>19903655</v>
      </c>
      <c r="CA17" s="87">
        <f t="shared" si="117"/>
        <v>0</v>
      </c>
      <c r="CB17" s="87">
        <v>17452478</v>
      </c>
      <c r="CC17" s="87">
        <f t="shared" si="118"/>
        <v>0</v>
      </c>
      <c r="CD17" s="87">
        <v>18110454</v>
      </c>
      <c r="CE17" s="87">
        <f t="shared" si="119"/>
        <v>2168</v>
      </c>
      <c r="CF17" s="87">
        <v>14094683</v>
      </c>
      <c r="CG17" s="87">
        <f t="shared" si="120"/>
        <v>981</v>
      </c>
      <c r="CH17" s="87">
        <v>4294457</v>
      </c>
      <c r="CI17" s="87">
        <f t="shared" si="121"/>
        <v>459</v>
      </c>
      <c r="CJ17" s="87">
        <v>4770063</v>
      </c>
      <c r="CK17" s="87">
        <f t="shared" si="122"/>
        <v>408</v>
      </c>
      <c r="CL17" s="87">
        <v>2716385</v>
      </c>
      <c r="CM17" s="87">
        <f t="shared" si="123"/>
        <v>115</v>
      </c>
      <c r="CN17" s="87">
        <v>69391873</v>
      </c>
      <c r="CO17" s="87">
        <f t="shared" si="124"/>
        <v>8006</v>
      </c>
      <c r="CP17" s="87">
        <v>4459035</v>
      </c>
      <c r="CQ17" s="87">
        <f t="shared" si="125"/>
        <v>431</v>
      </c>
      <c r="CR17" s="87">
        <v>5180626</v>
      </c>
      <c r="CS17" s="87">
        <f t="shared" si="126"/>
        <v>175</v>
      </c>
      <c r="CT17" s="87">
        <v>3052646</v>
      </c>
      <c r="CU17" s="87">
        <f t="shared" si="127"/>
        <v>238</v>
      </c>
      <c r="CV17" s="87">
        <v>41475576</v>
      </c>
      <c r="CW17" s="87">
        <f t="shared" si="128"/>
        <v>5112</v>
      </c>
      <c r="CX17" s="87">
        <v>6342118</v>
      </c>
      <c r="CY17" s="87">
        <f t="shared" si="129"/>
        <v>561</v>
      </c>
      <c r="CZ17" s="87">
        <v>6301250</v>
      </c>
      <c r="DA17" s="87">
        <f t="shared" si="130"/>
        <v>751</v>
      </c>
      <c r="DB17" s="87">
        <v>56613118</v>
      </c>
      <c r="DC17" s="87">
        <f t="shared" si="131"/>
        <v>4394</v>
      </c>
      <c r="DD17" s="87">
        <v>1997379</v>
      </c>
      <c r="DE17" s="87">
        <f t="shared" si="132"/>
        <v>500</v>
      </c>
      <c r="DF17" s="87">
        <v>21915637</v>
      </c>
      <c r="DG17" s="87">
        <f t="shared" si="133"/>
        <v>3756</v>
      </c>
      <c r="DH17" s="87">
        <v>32287181</v>
      </c>
      <c r="DI17" s="87">
        <f t="shared" si="134"/>
        <v>20</v>
      </c>
      <c r="DJ17" s="87"/>
      <c r="DK17" s="87"/>
      <c r="DL17" s="87">
        <v>986383</v>
      </c>
      <c r="DM17" s="87">
        <f t="shared" si="135"/>
        <v>141</v>
      </c>
      <c r="DN17" s="87">
        <v>1052826</v>
      </c>
      <c r="DO17" s="87">
        <f t="shared" si="136"/>
        <v>198</v>
      </c>
      <c r="DP17" s="87">
        <v>1177335</v>
      </c>
      <c r="DQ17" s="87">
        <f t="shared" si="137"/>
        <v>599</v>
      </c>
      <c r="DR17" s="87">
        <v>1161923</v>
      </c>
      <c r="DS17" s="87">
        <f t="shared" si="138"/>
        <v>729</v>
      </c>
      <c r="DT17" s="87">
        <v>960681</v>
      </c>
      <c r="DU17" s="87">
        <f t="shared" si="139"/>
        <v>1021</v>
      </c>
      <c r="DV17" s="87">
        <v>1321149</v>
      </c>
      <c r="DW17" s="87">
        <f t="shared" si="140"/>
        <v>1366</v>
      </c>
      <c r="DX17" s="87">
        <v>807472</v>
      </c>
      <c r="DY17" s="87">
        <f t="shared" si="141"/>
        <v>531</v>
      </c>
      <c r="DZ17" s="87">
        <v>1442</v>
      </c>
      <c r="EA17" s="87">
        <f t="shared" si="142"/>
        <v>0</v>
      </c>
      <c r="EB17" s="87">
        <v>382542</v>
      </c>
      <c r="EC17" s="87">
        <f t="shared" si="143"/>
        <v>319</v>
      </c>
      <c r="ED17" s="87">
        <v>882485</v>
      </c>
      <c r="EE17" s="87">
        <f t="shared" si="144"/>
        <v>698</v>
      </c>
      <c r="EF17" s="87">
        <v>426771</v>
      </c>
      <c r="EG17" s="87">
        <f t="shared" si="145"/>
        <v>237</v>
      </c>
      <c r="EH17" s="87">
        <v>2598</v>
      </c>
      <c r="EI17" s="87">
        <f t="shared" si="146"/>
        <v>0</v>
      </c>
      <c r="EJ17" s="87">
        <v>975389</v>
      </c>
      <c r="EK17" s="87">
        <f t="shared" si="147"/>
        <v>476</v>
      </c>
      <c r="EL17" s="87">
        <v>3484776</v>
      </c>
      <c r="EM17" s="87">
        <f t="shared" si="148"/>
        <v>334</v>
      </c>
      <c r="EN17" s="87">
        <v>3856939</v>
      </c>
      <c r="EO17" s="87">
        <f t="shared" si="149"/>
        <v>381</v>
      </c>
      <c r="EP17" s="87">
        <v>4208258</v>
      </c>
      <c r="EQ17" s="87">
        <f t="shared" si="150"/>
        <v>425</v>
      </c>
      <c r="ER17" s="87">
        <v>5318262</v>
      </c>
      <c r="ES17" s="87">
        <f t="shared" si="151"/>
        <v>478</v>
      </c>
      <c r="ET17" s="87">
        <v>4359360</v>
      </c>
      <c r="EU17" s="87">
        <f t="shared" si="152"/>
        <v>422</v>
      </c>
      <c r="EV17" s="87">
        <v>4495213</v>
      </c>
      <c r="EW17" s="87">
        <f t="shared" si="153"/>
        <v>411</v>
      </c>
      <c r="EX17" s="87">
        <v>8799082</v>
      </c>
      <c r="EY17" s="87">
        <f t="shared" si="154"/>
        <v>863</v>
      </c>
      <c r="EZ17" s="87">
        <v>8696775</v>
      </c>
      <c r="FA17" s="87">
        <f t="shared" si="155"/>
        <v>1478</v>
      </c>
      <c r="FB17" s="87">
        <v>8661355</v>
      </c>
      <c r="FC17" s="87">
        <f t="shared" si="156"/>
        <v>705</v>
      </c>
      <c r="FD17" s="87">
        <v>8165883</v>
      </c>
      <c r="FE17" s="87">
        <f t="shared" si="157"/>
        <v>773</v>
      </c>
      <c r="FF17" s="87">
        <v>5144988</v>
      </c>
      <c r="FG17" s="87">
        <f t="shared" si="158"/>
        <v>691</v>
      </c>
      <c r="FH17" s="87">
        <v>3345905</v>
      </c>
      <c r="FI17" s="87">
        <f t="shared" si="159"/>
        <v>500</v>
      </c>
      <c r="FJ17" s="87">
        <v>1569390</v>
      </c>
      <c r="FK17" s="87">
        <f t="shared" si="160"/>
        <v>263</v>
      </c>
      <c r="FL17" s="87"/>
      <c r="FM17" s="87"/>
    </row>
    <row r="18" spans="1:169" s="46" customFormat="1" ht="30" customHeight="1">
      <c r="A18" s="86">
        <v>44169</v>
      </c>
      <c r="B18" s="87">
        <v>20730157</v>
      </c>
      <c r="C18" s="83">
        <f t="shared" si="83"/>
        <v>2168</v>
      </c>
      <c r="D18" s="87">
        <v>2310992</v>
      </c>
      <c r="E18" s="83">
        <f t="shared" si="84"/>
        <v>269</v>
      </c>
      <c r="F18" s="87">
        <v>27594871</v>
      </c>
      <c r="G18" s="83">
        <f t="shared" si="85"/>
        <v>3439</v>
      </c>
      <c r="H18" s="87">
        <v>5744288</v>
      </c>
      <c r="I18" s="83">
        <f t="shared" si="86"/>
        <v>510</v>
      </c>
      <c r="J18" s="87"/>
      <c r="K18" s="87"/>
      <c r="L18" s="87">
        <v>21654139</v>
      </c>
      <c r="M18" s="87">
        <f t="shared" si="87"/>
        <v>1873</v>
      </c>
      <c r="N18" s="87">
        <v>72735200</v>
      </c>
      <c r="O18" s="87">
        <f t="shared" si="88"/>
        <v>8967</v>
      </c>
      <c r="P18" s="87">
        <v>24106</v>
      </c>
      <c r="Q18" s="87">
        <f t="shared" si="89"/>
        <v>5</v>
      </c>
      <c r="R18" s="87">
        <v>4855</v>
      </c>
      <c r="S18" s="87">
        <f t="shared" si="90"/>
        <v>0</v>
      </c>
      <c r="T18" s="87">
        <v>31551849</v>
      </c>
      <c r="U18" s="87">
        <f t="shared" si="91"/>
        <v>3386</v>
      </c>
      <c r="V18" s="87">
        <v>1621859</v>
      </c>
      <c r="W18" s="87">
        <f t="shared" si="92"/>
        <v>238</v>
      </c>
      <c r="X18" s="87">
        <v>1870424</v>
      </c>
      <c r="Y18" s="87">
        <f t="shared" si="93"/>
        <v>219</v>
      </c>
      <c r="Z18" s="87">
        <v>3496597</v>
      </c>
      <c r="AA18" s="83">
        <f t="shared" si="94"/>
        <v>585</v>
      </c>
      <c r="AB18" s="87"/>
      <c r="AC18" s="87"/>
      <c r="AD18" s="87">
        <v>54781378</v>
      </c>
      <c r="AE18" s="87">
        <f t="shared" si="95"/>
        <v>5907</v>
      </c>
      <c r="AF18" s="87">
        <v>9935036</v>
      </c>
      <c r="AG18" s="87">
        <f t="shared" si="96"/>
        <v>1191</v>
      </c>
      <c r="AH18" s="87">
        <v>1544210</v>
      </c>
      <c r="AI18" s="87">
        <f t="shared" si="97"/>
        <v>195</v>
      </c>
      <c r="AJ18" s="87">
        <v>1766737</v>
      </c>
      <c r="AK18" s="87">
        <f t="shared" si="98"/>
        <v>179</v>
      </c>
      <c r="AL18" s="87">
        <v>4843425</v>
      </c>
      <c r="AM18" s="87">
        <f t="shared" si="99"/>
        <v>544</v>
      </c>
      <c r="AN18" s="87">
        <v>5149480</v>
      </c>
      <c r="AO18" s="87">
        <f t="shared" si="100"/>
        <v>751</v>
      </c>
      <c r="AP18" s="87"/>
      <c r="AQ18" s="87"/>
      <c r="AR18" s="87">
        <v>1135906</v>
      </c>
      <c r="AS18" s="87">
        <f t="shared" si="101"/>
        <v>0</v>
      </c>
      <c r="AT18" s="87">
        <v>3139083</v>
      </c>
      <c r="AU18" s="87">
        <f t="shared" si="102"/>
        <v>484</v>
      </c>
      <c r="AV18" s="87"/>
      <c r="AW18" s="87"/>
      <c r="AX18" s="87">
        <v>574152</v>
      </c>
      <c r="AY18" s="87">
        <f t="shared" si="103"/>
        <v>187</v>
      </c>
      <c r="AZ18" s="87">
        <v>2362712</v>
      </c>
      <c r="BA18" s="87">
        <f t="shared" si="104"/>
        <v>22</v>
      </c>
      <c r="BB18" s="87">
        <v>4685941</v>
      </c>
      <c r="BC18" s="87">
        <f t="shared" si="105"/>
        <v>718</v>
      </c>
      <c r="BD18" s="87">
        <v>41662504</v>
      </c>
      <c r="BE18" s="87">
        <f t="shared" si="106"/>
        <v>5772</v>
      </c>
      <c r="BF18" s="87">
        <v>58947996</v>
      </c>
      <c r="BG18" s="87">
        <f t="shared" si="107"/>
        <v>8657</v>
      </c>
      <c r="BH18" s="87">
        <v>434584</v>
      </c>
      <c r="BI18" s="87">
        <f t="shared" si="108"/>
        <v>126</v>
      </c>
      <c r="BJ18" s="87">
        <v>11246738</v>
      </c>
      <c r="BK18" s="87">
        <f t="shared" si="109"/>
        <v>1692</v>
      </c>
      <c r="BL18" s="87">
        <v>1590664</v>
      </c>
      <c r="BM18" s="87">
        <f t="shared" si="110"/>
        <v>404</v>
      </c>
      <c r="BN18" s="87">
        <v>2340370</v>
      </c>
      <c r="BO18" s="87">
        <f t="shared" si="111"/>
        <v>152</v>
      </c>
      <c r="BP18" s="87">
        <v>10679642</v>
      </c>
      <c r="BQ18" s="87">
        <f t="shared" si="112"/>
        <v>1700</v>
      </c>
      <c r="BR18" s="87">
        <v>2622788</v>
      </c>
      <c r="BS18" s="87">
        <f t="shared" si="113"/>
        <v>210</v>
      </c>
      <c r="BT18" s="87">
        <v>13065240</v>
      </c>
      <c r="BU18" s="87">
        <f t="shared" si="114"/>
        <v>1859</v>
      </c>
      <c r="BV18" s="87">
        <v>10248467</v>
      </c>
      <c r="BW18" s="87">
        <f t="shared" si="115"/>
        <v>1498</v>
      </c>
      <c r="BX18" s="87">
        <v>1577945</v>
      </c>
      <c r="BY18" s="87">
        <f t="shared" si="116"/>
        <v>199</v>
      </c>
      <c r="BZ18" s="87">
        <v>19903655</v>
      </c>
      <c r="CA18" s="87">
        <f t="shared" si="117"/>
        <v>0</v>
      </c>
      <c r="CB18" s="87">
        <v>17452478</v>
      </c>
      <c r="CC18" s="87">
        <f t="shared" si="118"/>
        <v>0</v>
      </c>
      <c r="CD18" s="87">
        <v>18110525</v>
      </c>
      <c r="CE18" s="87">
        <f t="shared" si="119"/>
        <v>71</v>
      </c>
      <c r="CF18" s="87">
        <v>14095605</v>
      </c>
      <c r="CG18" s="87">
        <f t="shared" si="120"/>
        <v>922</v>
      </c>
      <c r="CH18" s="87">
        <v>4294908</v>
      </c>
      <c r="CI18" s="87">
        <f t="shared" si="121"/>
        <v>451</v>
      </c>
      <c r="CJ18" s="87">
        <v>4770473</v>
      </c>
      <c r="CK18" s="87">
        <f t="shared" si="122"/>
        <v>410</v>
      </c>
      <c r="CL18" s="87">
        <v>2716447</v>
      </c>
      <c r="CM18" s="87">
        <f t="shared" si="123"/>
        <v>62</v>
      </c>
      <c r="CN18" s="87">
        <v>69400539</v>
      </c>
      <c r="CO18" s="87">
        <f t="shared" si="124"/>
        <v>8666</v>
      </c>
      <c r="CP18" s="87">
        <v>4459443</v>
      </c>
      <c r="CQ18" s="87">
        <f t="shared" si="125"/>
        <v>408</v>
      </c>
      <c r="CR18" s="87">
        <v>5180787</v>
      </c>
      <c r="CS18" s="87">
        <f t="shared" si="126"/>
        <v>161</v>
      </c>
      <c r="CT18" s="87">
        <v>3052900</v>
      </c>
      <c r="CU18" s="87">
        <f t="shared" si="127"/>
        <v>254</v>
      </c>
      <c r="CV18" s="87">
        <v>41481450</v>
      </c>
      <c r="CW18" s="87">
        <f t="shared" si="128"/>
        <v>5874</v>
      </c>
      <c r="CX18" s="87">
        <v>6342679</v>
      </c>
      <c r="CY18" s="87">
        <f t="shared" si="129"/>
        <v>561</v>
      </c>
      <c r="CZ18" s="87">
        <v>6302001</v>
      </c>
      <c r="DA18" s="87">
        <f t="shared" si="130"/>
        <v>751</v>
      </c>
      <c r="DB18" s="87">
        <v>56616904</v>
      </c>
      <c r="DC18" s="87">
        <f t="shared" si="131"/>
        <v>3786</v>
      </c>
      <c r="DD18" s="87">
        <v>1997869</v>
      </c>
      <c r="DE18" s="87">
        <f t="shared" si="132"/>
        <v>490</v>
      </c>
      <c r="DF18" s="87">
        <v>21918801</v>
      </c>
      <c r="DG18" s="87">
        <f t="shared" si="133"/>
        <v>3164</v>
      </c>
      <c r="DH18" s="87">
        <v>32287201</v>
      </c>
      <c r="DI18" s="87">
        <f t="shared" si="134"/>
        <v>20</v>
      </c>
      <c r="DJ18" s="87"/>
      <c r="DK18" s="87"/>
      <c r="DL18" s="87">
        <v>986504</v>
      </c>
      <c r="DM18" s="87">
        <f t="shared" si="135"/>
        <v>121</v>
      </c>
      <c r="DN18" s="87">
        <v>1053007</v>
      </c>
      <c r="DO18" s="87">
        <f t="shared" si="136"/>
        <v>181</v>
      </c>
      <c r="DP18" s="87">
        <v>1177917</v>
      </c>
      <c r="DQ18" s="87">
        <f t="shared" si="137"/>
        <v>582</v>
      </c>
      <c r="DR18" s="87">
        <v>1162673</v>
      </c>
      <c r="DS18" s="87">
        <f t="shared" si="138"/>
        <v>750</v>
      </c>
      <c r="DT18" s="87">
        <v>961662</v>
      </c>
      <c r="DU18" s="87">
        <f t="shared" si="139"/>
        <v>981</v>
      </c>
      <c r="DV18" s="87">
        <v>1322511</v>
      </c>
      <c r="DW18" s="87">
        <f t="shared" si="140"/>
        <v>1362</v>
      </c>
      <c r="DX18" s="87">
        <v>808020</v>
      </c>
      <c r="DY18" s="87">
        <f t="shared" si="141"/>
        <v>548</v>
      </c>
      <c r="DZ18" s="87">
        <v>1442</v>
      </c>
      <c r="EA18" s="87">
        <f t="shared" si="142"/>
        <v>0</v>
      </c>
      <c r="EB18" s="87">
        <v>382861</v>
      </c>
      <c r="EC18" s="87">
        <f t="shared" si="143"/>
        <v>319</v>
      </c>
      <c r="ED18" s="87">
        <v>883188</v>
      </c>
      <c r="EE18" s="87">
        <f t="shared" si="144"/>
        <v>703</v>
      </c>
      <c r="EF18" s="87">
        <v>426995</v>
      </c>
      <c r="EG18" s="87">
        <f t="shared" si="145"/>
        <v>224</v>
      </c>
      <c r="EH18" s="87">
        <v>2598</v>
      </c>
      <c r="EI18" s="87">
        <f t="shared" si="146"/>
        <v>0</v>
      </c>
      <c r="EJ18" s="87">
        <v>975821</v>
      </c>
      <c r="EK18" s="87">
        <f t="shared" si="147"/>
        <v>432</v>
      </c>
      <c r="EL18" s="87">
        <v>3485107</v>
      </c>
      <c r="EM18" s="87">
        <f t="shared" si="148"/>
        <v>331</v>
      </c>
      <c r="EN18" s="87">
        <v>3857327</v>
      </c>
      <c r="EO18" s="87">
        <f t="shared" si="149"/>
        <v>388</v>
      </c>
      <c r="EP18" s="87">
        <v>4208693</v>
      </c>
      <c r="EQ18" s="87">
        <f t="shared" si="150"/>
        <v>435</v>
      </c>
      <c r="ER18" s="87">
        <v>5318786</v>
      </c>
      <c r="ES18" s="87">
        <f t="shared" si="151"/>
        <v>524</v>
      </c>
      <c r="ET18" s="87">
        <v>4359794</v>
      </c>
      <c r="EU18" s="87">
        <f t="shared" si="152"/>
        <v>434</v>
      </c>
      <c r="EV18" s="87">
        <v>4495638</v>
      </c>
      <c r="EW18" s="87">
        <f t="shared" si="153"/>
        <v>425</v>
      </c>
      <c r="EX18" s="87">
        <v>8799943</v>
      </c>
      <c r="EY18" s="87">
        <f t="shared" si="154"/>
        <v>861</v>
      </c>
      <c r="EZ18" s="87">
        <v>8698166</v>
      </c>
      <c r="FA18" s="87">
        <f t="shared" si="155"/>
        <v>1391</v>
      </c>
      <c r="FB18" s="87">
        <v>8662051</v>
      </c>
      <c r="FC18" s="87">
        <f t="shared" si="156"/>
        <v>696</v>
      </c>
      <c r="FD18" s="87">
        <v>8166653</v>
      </c>
      <c r="FE18" s="87">
        <f t="shared" si="157"/>
        <v>770</v>
      </c>
      <c r="FF18" s="87">
        <v>5145683</v>
      </c>
      <c r="FG18" s="87">
        <f t="shared" si="158"/>
        <v>695</v>
      </c>
      <c r="FH18" s="87">
        <v>3346401</v>
      </c>
      <c r="FI18" s="87">
        <f t="shared" si="159"/>
        <v>496</v>
      </c>
      <c r="FJ18" s="87">
        <v>1569651</v>
      </c>
      <c r="FK18" s="87">
        <f t="shared" si="160"/>
        <v>261</v>
      </c>
      <c r="FL18" s="87"/>
      <c r="FM18" s="87"/>
    </row>
    <row r="19" spans="1:169" s="46" customFormat="1" ht="30" customHeight="1">
      <c r="A19" s="86">
        <v>44170</v>
      </c>
      <c r="B19" s="87">
        <v>20732344</v>
      </c>
      <c r="C19" s="87">
        <f t="shared" si="83"/>
        <v>2187</v>
      </c>
      <c r="D19" s="87">
        <v>2311253</v>
      </c>
      <c r="E19" s="87">
        <f t="shared" si="84"/>
        <v>261</v>
      </c>
      <c r="F19" s="87">
        <v>27598268</v>
      </c>
      <c r="G19" s="87">
        <f t="shared" si="85"/>
        <v>3397</v>
      </c>
      <c r="H19" s="87">
        <v>5744799</v>
      </c>
      <c r="I19" s="87">
        <f t="shared" si="86"/>
        <v>511</v>
      </c>
      <c r="J19" s="87"/>
      <c r="K19" s="87"/>
      <c r="L19" s="87">
        <v>21656019</v>
      </c>
      <c r="M19" s="87">
        <f t="shared" si="87"/>
        <v>1880</v>
      </c>
      <c r="N19" s="87">
        <v>72744285</v>
      </c>
      <c r="O19" s="87">
        <f t="shared" si="88"/>
        <v>9085</v>
      </c>
      <c r="P19" s="87">
        <v>24110</v>
      </c>
      <c r="Q19" s="87">
        <f t="shared" si="89"/>
        <v>4</v>
      </c>
      <c r="R19" s="87">
        <v>4855</v>
      </c>
      <c r="S19" s="87">
        <f t="shared" si="90"/>
        <v>0</v>
      </c>
      <c r="T19" s="87">
        <v>31555400</v>
      </c>
      <c r="U19" s="87">
        <f t="shared" si="91"/>
        <v>3551</v>
      </c>
      <c r="V19" s="87">
        <v>1622142</v>
      </c>
      <c r="W19" s="87">
        <f t="shared" si="92"/>
        <v>283</v>
      </c>
      <c r="X19" s="87">
        <v>1870637</v>
      </c>
      <c r="Y19" s="87">
        <f t="shared" si="93"/>
        <v>213</v>
      </c>
      <c r="Z19" s="87">
        <v>3497183</v>
      </c>
      <c r="AA19" s="87">
        <f t="shared" si="94"/>
        <v>586</v>
      </c>
      <c r="AB19" s="87"/>
      <c r="AC19" s="87"/>
      <c r="AD19" s="87">
        <v>54787286</v>
      </c>
      <c r="AE19" s="87">
        <f t="shared" si="95"/>
        <v>5908</v>
      </c>
      <c r="AF19" s="87">
        <v>9936192</v>
      </c>
      <c r="AG19" s="87">
        <f t="shared" si="96"/>
        <v>1156</v>
      </c>
      <c r="AH19" s="87">
        <v>1544403</v>
      </c>
      <c r="AI19" s="87">
        <f t="shared" si="97"/>
        <v>193</v>
      </c>
      <c r="AJ19" s="87">
        <v>1766918</v>
      </c>
      <c r="AK19" s="87">
        <f t="shared" si="98"/>
        <v>181</v>
      </c>
      <c r="AL19" s="87">
        <v>4843964</v>
      </c>
      <c r="AM19" s="87">
        <f t="shared" si="99"/>
        <v>539</v>
      </c>
      <c r="AN19" s="87">
        <v>5150316</v>
      </c>
      <c r="AO19" s="87">
        <f t="shared" si="100"/>
        <v>836</v>
      </c>
      <c r="AP19" s="87"/>
      <c r="AQ19" s="87"/>
      <c r="AR19" s="87">
        <v>1135906</v>
      </c>
      <c r="AS19" s="87">
        <f t="shared" si="101"/>
        <v>0</v>
      </c>
      <c r="AT19" s="87">
        <v>3139571</v>
      </c>
      <c r="AU19" s="87">
        <f t="shared" si="102"/>
        <v>488</v>
      </c>
      <c r="AV19" s="87"/>
      <c r="AW19" s="87"/>
      <c r="AX19" s="87">
        <v>574338</v>
      </c>
      <c r="AY19" s="87">
        <f t="shared" si="103"/>
        <v>186</v>
      </c>
      <c r="AZ19" s="87">
        <v>2362761</v>
      </c>
      <c r="BA19" s="87">
        <f t="shared" si="104"/>
        <v>49</v>
      </c>
      <c r="BB19" s="87">
        <v>4686752</v>
      </c>
      <c r="BC19" s="87">
        <f t="shared" si="105"/>
        <v>811</v>
      </c>
      <c r="BD19" s="87">
        <v>41668332</v>
      </c>
      <c r="BE19" s="87">
        <f t="shared" si="106"/>
        <v>5828</v>
      </c>
      <c r="BF19" s="87">
        <v>58956658</v>
      </c>
      <c r="BG19" s="87">
        <f t="shared" si="107"/>
        <v>8662</v>
      </c>
      <c r="BH19" s="87">
        <v>434707</v>
      </c>
      <c r="BI19" s="87">
        <f t="shared" si="108"/>
        <v>123</v>
      </c>
      <c r="BJ19" s="87">
        <v>11248344</v>
      </c>
      <c r="BK19" s="87">
        <f t="shared" si="109"/>
        <v>1606</v>
      </c>
      <c r="BL19" s="87">
        <v>1591067</v>
      </c>
      <c r="BM19" s="87">
        <f t="shared" si="110"/>
        <v>403</v>
      </c>
      <c r="BN19" s="87">
        <v>2340568</v>
      </c>
      <c r="BO19" s="87">
        <f t="shared" si="111"/>
        <v>198</v>
      </c>
      <c r="BP19" s="87">
        <v>10681397</v>
      </c>
      <c r="BQ19" s="87">
        <f t="shared" si="112"/>
        <v>1755</v>
      </c>
      <c r="BR19" s="87">
        <v>2622995</v>
      </c>
      <c r="BS19" s="87">
        <f t="shared" si="113"/>
        <v>207</v>
      </c>
      <c r="BT19" s="87">
        <v>13067041</v>
      </c>
      <c r="BU19" s="87">
        <f t="shared" si="114"/>
        <v>1801</v>
      </c>
      <c r="BV19" s="87">
        <v>10249989</v>
      </c>
      <c r="BW19" s="87">
        <f t="shared" si="115"/>
        <v>1522</v>
      </c>
      <c r="BX19" s="87">
        <v>1578147</v>
      </c>
      <c r="BY19" s="87">
        <f t="shared" si="116"/>
        <v>202</v>
      </c>
      <c r="BZ19" s="87">
        <v>19903655</v>
      </c>
      <c r="CA19" s="87">
        <f t="shared" si="117"/>
        <v>0</v>
      </c>
      <c r="CB19" s="87">
        <v>17452478</v>
      </c>
      <c r="CC19" s="87">
        <f t="shared" si="118"/>
        <v>0</v>
      </c>
      <c r="CD19" s="87">
        <v>18110598</v>
      </c>
      <c r="CE19" s="87">
        <f t="shared" si="119"/>
        <v>73</v>
      </c>
      <c r="CF19" s="87">
        <v>14096538</v>
      </c>
      <c r="CG19" s="87">
        <f t="shared" si="120"/>
        <v>933</v>
      </c>
      <c r="CH19" s="87">
        <v>4295351</v>
      </c>
      <c r="CI19" s="87">
        <f t="shared" si="121"/>
        <v>443</v>
      </c>
      <c r="CJ19" s="87">
        <v>4770888</v>
      </c>
      <c r="CK19" s="87">
        <f t="shared" si="122"/>
        <v>415</v>
      </c>
      <c r="CL19" s="87">
        <v>2716523</v>
      </c>
      <c r="CM19" s="87">
        <f t="shared" si="123"/>
        <v>76</v>
      </c>
      <c r="CN19" s="87">
        <v>69408921</v>
      </c>
      <c r="CO19" s="87">
        <f t="shared" si="124"/>
        <v>8382</v>
      </c>
      <c r="CP19" s="87">
        <v>4459818</v>
      </c>
      <c r="CQ19" s="87">
        <f t="shared" si="125"/>
        <v>375</v>
      </c>
      <c r="CR19" s="87">
        <v>5180953</v>
      </c>
      <c r="CS19" s="87">
        <f t="shared" si="126"/>
        <v>166</v>
      </c>
      <c r="CT19" s="87">
        <v>3053152</v>
      </c>
      <c r="CU19" s="87">
        <f t="shared" si="127"/>
        <v>252</v>
      </c>
      <c r="CV19" s="87">
        <v>41487033</v>
      </c>
      <c r="CW19" s="87">
        <f t="shared" si="128"/>
        <v>5583</v>
      </c>
      <c r="CX19" s="87">
        <v>6343240</v>
      </c>
      <c r="CY19" s="87">
        <f t="shared" si="129"/>
        <v>561</v>
      </c>
      <c r="CZ19" s="87">
        <v>6302751</v>
      </c>
      <c r="DA19" s="87">
        <f t="shared" si="130"/>
        <v>750</v>
      </c>
      <c r="DB19" s="87">
        <v>56620559</v>
      </c>
      <c r="DC19" s="87">
        <f t="shared" si="131"/>
        <v>3655</v>
      </c>
      <c r="DD19" s="87">
        <v>1998369</v>
      </c>
      <c r="DE19" s="87">
        <f t="shared" si="132"/>
        <v>500</v>
      </c>
      <c r="DF19" s="87">
        <v>21921815</v>
      </c>
      <c r="DG19" s="87">
        <f t="shared" si="133"/>
        <v>3014</v>
      </c>
      <c r="DH19" s="87">
        <v>32287221</v>
      </c>
      <c r="DI19" s="87">
        <f t="shared" si="134"/>
        <v>20</v>
      </c>
      <c r="DJ19" s="87"/>
      <c r="DK19" s="87"/>
      <c r="DL19" s="87">
        <v>986644</v>
      </c>
      <c r="DM19" s="87">
        <f t="shared" si="135"/>
        <v>140</v>
      </c>
      <c r="DN19" s="87">
        <v>1053229</v>
      </c>
      <c r="DO19" s="87">
        <f t="shared" si="136"/>
        <v>222</v>
      </c>
      <c r="DP19" s="87">
        <v>1178483</v>
      </c>
      <c r="DQ19" s="87">
        <f t="shared" si="137"/>
        <v>566</v>
      </c>
      <c r="DR19" s="87">
        <v>1163425</v>
      </c>
      <c r="DS19" s="87">
        <f t="shared" si="138"/>
        <v>752</v>
      </c>
      <c r="DT19" s="87">
        <v>962634</v>
      </c>
      <c r="DU19" s="87">
        <f t="shared" si="139"/>
        <v>972</v>
      </c>
      <c r="DV19" s="87">
        <v>1323865</v>
      </c>
      <c r="DW19" s="87">
        <f t="shared" si="140"/>
        <v>1354</v>
      </c>
      <c r="DX19" s="87">
        <v>808562</v>
      </c>
      <c r="DY19" s="87">
        <f t="shared" si="141"/>
        <v>542</v>
      </c>
      <c r="DZ19" s="87">
        <v>1442</v>
      </c>
      <c r="EA19" s="87">
        <f t="shared" si="142"/>
        <v>0</v>
      </c>
      <c r="EB19" s="87">
        <v>383182</v>
      </c>
      <c r="EC19" s="87">
        <f t="shared" si="143"/>
        <v>321</v>
      </c>
      <c r="ED19" s="87">
        <v>883893</v>
      </c>
      <c r="EE19" s="87">
        <f t="shared" si="144"/>
        <v>705</v>
      </c>
      <c r="EF19" s="87">
        <v>427191</v>
      </c>
      <c r="EG19" s="87">
        <f t="shared" si="145"/>
        <v>196</v>
      </c>
      <c r="EH19" s="87">
        <v>2598</v>
      </c>
      <c r="EI19" s="87">
        <f t="shared" si="146"/>
        <v>0</v>
      </c>
      <c r="EJ19" s="87">
        <v>976241</v>
      </c>
      <c r="EK19" s="87">
        <f t="shared" si="147"/>
        <v>420</v>
      </c>
      <c r="EL19" s="87">
        <v>3485433</v>
      </c>
      <c r="EM19" s="87">
        <f t="shared" si="148"/>
        <v>326</v>
      </c>
      <c r="EN19" s="87">
        <v>3857705</v>
      </c>
      <c r="EO19" s="87">
        <f t="shared" si="149"/>
        <v>378</v>
      </c>
      <c r="EP19" s="87">
        <v>4209142</v>
      </c>
      <c r="EQ19" s="87">
        <f t="shared" si="150"/>
        <v>449</v>
      </c>
      <c r="ER19" s="87">
        <v>5319293</v>
      </c>
      <c r="ES19" s="87">
        <f t="shared" si="151"/>
        <v>507</v>
      </c>
      <c r="ET19" s="87">
        <v>4360235</v>
      </c>
      <c r="EU19" s="87">
        <f t="shared" si="152"/>
        <v>441</v>
      </c>
      <c r="EV19" s="87">
        <v>4496079</v>
      </c>
      <c r="EW19" s="87">
        <f t="shared" si="153"/>
        <v>441</v>
      </c>
      <c r="EX19" s="87">
        <v>8800805</v>
      </c>
      <c r="EY19" s="87">
        <f t="shared" si="154"/>
        <v>862</v>
      </c>
      <c r="EZ19" s="87">
        <v>8699579</v>
      </c>
      <c r="FA19" s="87">
        <f t="shared" si="155"/>
        <v>1413</v>
      </c>
      <c r="FB19" s="87">
        <v>8662749</v>
      </c>
      <c r="FC19" s="87">
        <f t="shared" si="156"/>
        <v>698</v>
      </c>
      <c r="FD19" s="87">
        <v>8167417</v>
      </c>
      <c r="FE19" s="87">
        <f t="shared" si="157"/>
        <v>764</v>
      </c>
      <c r="FF19" s="87">
        <v>5146363</v>
      </c>
      <c r="FG19" s="87">
        <f t="shared" si="158"/>
        <v>680</v>
      </c>
      <c r="FH19" s="87">
        <v>3346897</v>
      </c>
      <c r="FI19" s="87">
        <f t="shared" si="159"/>
        <v>496</v>
      </c>
      <c r="FJ19" s="87">
        <v>1569905</v>
      </c>
      <c r="FK19" s="87">
        <f t="shared" si="160"/>
        <v>254</v>
      </c>
      <c r="FL19" s="87"/>
      <c r="FM19" s="87"/>
    </row>
    <row r="20" spans="1:169" s="46" customFormat="1" ht="30" customHeight="1">
      <c r="A20" s="86">
        <v>44171</v>
      </c>
      <c r="B20" s="87">
        <v>20734428</v>
      </c>
      <c r="C20" s="83">
        <f t="shared" si="83"/>
        <v>2084</v>
      </c>
      <c r="D20" s="87">
        <v>2311453</v>
      </c>
      <c r="E20" s="83">
        <f t="shared" si="84"/>
        <v>200</v>
      </c>
      <c r="F20" s="87">
        <v>27601548</v>
      </c>
      <c r="G20" s="83">
        <f t="shared" si="85"/>
        <v>3280</v>
      </c>
      <c r="H20" s="87">
        <v>5745313</v>
      </c>
      <c r="I20" s="83">
        <f t="shared" si="86"/>
        <v>514</v>
      </c>
      <c r="J20" s="87"/>
      <c r="K20" s="87"/>
      <c r="L20" s="87">
        <v>21657861</v>
      </c>
      <c r="M20" s="87">
        <f t="shared" si="87"/>
        <v>1842</v>
      </c>
      <c r="N20" s="87">
        <v>72753179</v>
      </c>
      <c r="O20" s="87">
        <f t="shared" si="88"/>
        <v>8894</v>
      </c>
      <c r="P20" s="87">
        <v>24121</v>
      </c>
      <c r="Q20" s="87">
        <f t="shared" si="89"/>
        <v>11</v>
      </c>
      <c r="R20" s="87">
        <v>4855</v>
      </c>
      <c r="S20" s="87">
        <f t="shared" si="90"/>
        <v>0</v>
      </c>
      <c r="T20" s="87">
        <v>31558940</v>
      </c>
      <c r="U20" s="87">
        <f t="shared" si="91"/>
        <v>3540</v>
      </c>
      <c r="V20" s="87">
        <v>1622418</v>
      </c>
      <c r="W20" s="87">
        <f t="shared" si="92"/>
        <v>276</v>
      </c>
      <c r="X20" s="87">
        <v>1870847</v>
      </c>
      <c r="Y20" s="87">
        <f t="shared" si="93"/>
        <v>210</v>
      </c>
      <c r="Z20" s="87">
        <v>3497766</v>
      </c>
      <c r="AA20" s="83">
        <f t="shared" si="94"/>
        <v>583</v>
      </c>
      <c r="AB20" s="87"/>
      <c r="AC20" s="87"/>
      <c r="AD20" s="87">
        <v>54793306</v>
      </c>
      <c r="AE20" s="87">
        <f t="shared" si="95"/>
        <v>6020</v>
      </c>
      <c r="AF20" s="87">
        <v>9937416</v>
      </c>
      <c r="AG20" s="87">
        <f t="shared" si="96"/>
        <v>1224</v>
      </c>
      <c r="AH20" s="87">
        <v>1544592</v>
      </c>
      <c r="AI20" s="87">
        <f t="shared" si="97"/>
        <v>189</v>
      </c>
      <c r="AJ20" s="87">
        <v>1767101</v>
      </c>
      <c r="AK20" s="87">
        <f t="shared" si="98"/>
        <v>183</v>
      </c>
      <c r="AL20" s="87">
        <v>4844499</v>
      </c>
      <c r="AM20" s="87">
        <f t="shared" si="99"/>
        <v>535</v>
      </c>
      <c r="AN20" s="87">
        <v>5151135</v>
      </c>
      <c r="AO20" s="87">
        <f t="shared" si="100"/>
        <v>819</v>
      </c>
      <c r="AP20" s="87"/>
      <c r="AQ20" s="87"/>
      <c r="AR20" s="87">
        <v>1135906</v>
      </c>
      <c r="AS20" s="87">
        <f t="shared" si="101"/>
        <v>0</v>
      </c>
      <c r="AT20" s="87">
        <v>3140068</v>
      </c>
      <c r="AU20" s="87">
        <f t="shared" si="102"/>
        <v>497</v>
      </c>
      <c r="AV20" s="87"/>
      <c r="AW20" s="87"/>
      <c r="AX20" s="87">
        <v>574524</v>
      </c>
      <c r="AY20" s="87">
        <f t="shared" si="103"/>
        <v>186</v>
      </c>
      <c r="AZ20" s="87">
        <v>2362812</v>
      </c>
      <c r="BA20" s="87">
        <f t="shared" si="104"/>
        <v>51</v>
      </c>
      <c r="BB20" s="87">
        <v>4687474</v>
      </c>
      <c r="BC20" s="87">
        <f t="shared" si="105"/>
        <v>722</v>
      </c>
      <c r="BD20" s="87">
        <v>41674015</v>
      </c>
      <c r="BE20" s="87">
        <f t="shared" si="106"/>
        <v>5683</v>
      </c>
      <c r="BF20" s="87">
        <v>58964594</v>
      </c>
      <c r="BG20" s="87">
        <f t="shared" si="107"/>
        <v>7936</v>
      </c>
      <c r="BH20" s="87">
        <v>434829</v>
      </c>
      <c r="BI20" s="87">
        <f t="shared" si="108"/>
        <v>122</v>
      </c>
      <c r="BJ20" s="87">
        <v>11250009</v>
      </c>
      <c r="BK20" s="87">
        <f t="shared" si="109"/>
        <v>1665</v>
      </c>
      <c r="BL20" s="87">
        <v>1591467</v>
      </c>
      <c r="BM20" s="87">
        <f t="shared" si="110"/>
        <v>400</v>
      </c>
      <c r="BN20" s="87">
        <v>2340744</v>
      </c>
      <c r="BO20" s="87">
        <f t="shared" si="111"/>
        <v>176</v>
      </c>
      <c r="BP20" s="87">
        <v>10683131</v>
      </c>
      <c r="BQ20" s="87">
        <f t="shared" si="112"/>
        <v>1734</v>
      </c>
      <c r="BR20" s="87">
        <v>2623204</v>
      </c>
      <c r="BS20" s="87">
        <f t="shared" si="113"/>
        <v>209</v>
      </c>
      <c r="BT20" s="87">
        <v>13068158</v>
      </c>
      <c r="BU20" s="87">
        <f t="shared" si="114"/>
        <v>1117</v>
      </c>
      <c r="BV20" s="87">
        <v>10251476</v>
      </c>
      <c r="BW20" s="87">
        <f t="shared" si="115"/>
        <v>1487</v>
      </c>
      <c r="BX20" s="87">
        <v>1578339</v>
      </c>
      <c r="BY20" s="87">
        <f t="shared" si="116"/>
        <v>192</v>
      </c>
      <c r="BZ20" s="87">
        <v>19903655</v>
      </c>
      <c r="CA20" s="87">
        <f t="shared" si="117"/>
        <v>0</v>
      </c>
      <c r="CB20" s="87">
        <v>17452479</v>
      </c>
      <c r="CC20" s="87">
        <f t="shared" si="118"/>
        <v>1</v>
      </c>
      <c r="CD20" s="87">
        <v>18110671</v>
      </c>
      <c r="CE20" s="87">
        <f t="shared" si="119"/>
        <v>73</v>
      </c>
      <c r="CF20" s="87">
        <v>14097505</v>
      </c>
      <c r="CG20" s="87">
        <f t="shared" si="120"/>
        <v>967</v>
      </c>
      <c r="CH20" s="87">
        <v>4295788</v>
      </c>
      <c r="CI20" s="87">
        <f t="shared" si="121"/>
        <v>437</v>
      </c>
      <c r="CJ20" s="87">
        <v>4771299</v>
      </c>
      <c r="CK20" s="87">
        <f t="shared" si="122"/>
        <v>411</v>
      </c>
      <c r="CL20" s="87">
        <v>2716645</v>
      </c>
      <c r="CM20" s="87">
        <f t="shared" si="123"/>
        <v>122</v>
      </c>
      <c r="CN20" s="87">
        <v>69417768</v>
      </c>
      <c r="CO20" s="87">
        <f t="shared" si="124"/>
        <v>8847</v>
      </c>
      <c r="CP20" s="87">
        <v>4460194</v>
      </c>
      <c r="CQ20" s="87">
        <f t="shared" si="125"/>
        <v>376</v>
      </c>
      <c r="CR20" s="87">
        <v>5181134</v>
      </c>
      <c r="CS20" s="87">
        <f t="shared" si="126"/>
        <v>181</v>
      </c>
      <c r="CT20" s="87">
        <v>3053404</v>
      </c>
      <c r="CU20" s="87">
        <f t="shared" si="127"/>
        <v>252</v>
      </c>
      <c r="CV20" s="87">
        <v>41493037</v>
      </c>
      <c r="CW20" s="87">
        <f t="shared" si="128"/>
        <v>6004</v>
      </c>
      <c r="CX20" s="87">
        <v>6343805</v>
      </c>
      <c r="CY20" s="87">
        <f t="shared" si="129"/>
        <v>565</v>
      </c>
      <c r="CZ20" s="87">
        <v>6303499</v>
      </c>
      <c r="DA20" s="87">
        <f t="shared" si="130"/>
        <v>748</v>
      </c>
      <c r="DB20" s="87">
        <v>56624073</v>
      </c>
      <c r="DC20" s="87">
        <f t="shared" si="131"/>
        <v>3514</v>
      </c>
      <c r="DD20" s="87">
        <v>1998859</v>
      </c>
      <c r="DE20" s="87">
        <f t="shared" si="132"/>
        <v>490</v>
      </c>
      <c r="DF20" s="87">
        <v>21924694</v>
      </c>
      <c r="DG20" s="87">
        <f t="shared" si="133"/>
        <v>2879</v>
      </c>
      <c r="DH20" s="87">
        <v>32287241</v>
      </c>
      <c r="DI20" s="87">
        <f t="shared" si="134"/>
        <v>20</v>
      </c>
      <c r="DJ20" s="87"/>
      <c r="DK20" s="87"/>
      <c r="DL20" s="87">
        <v>986799</v>
      </c>
      <c r="DM20" s="87">
        <f t="shared" si="135"/>
        <v>155</v>
      </c>
      <c r="DN20" s="87">
        <v>1053438</v>
      </c>
      <c r="DO20" s="87">
        <f t="shared" si="136"/>
        <v>209</v>
      </c>
      <c r="DP20" s="87">
        <v>1179122</v>
      </c>
      <c r="DQ20" s="87">
        <f t="shared" si="137"/>
        <v>639</v>
      </c>
      <c r="DR20" s="87">
        <v>1164154</v>
      </c>
      <c r="DS20" s="87">
        <f t="shared" si="138"/>
        <v>729</v>
      </c>
      <c r="DT20" s="87">
        <v>963579</v>
      </c>
      <c r="DU20" s="87">
        <f t="shared" si="139"/>
        <v>945</v>
      </c>
      <c r="DV20" s="87">
        <v>1325229</v>
      </c>
      <c r="DW20" s="87">
        <f t="shared" si="140"/>
        <v>1364</v>
      </c>
      <c r="DX20" s="87">
        <v>809074</v>
      </c>
      <c r="DY20" s="87">
        <f t="shared" si="141"/>
        <v>512</v>
      </c>
      <c r="DZ20" s="87">
        <v>1442</v>
      </c>
      <c r="EA20" s="87">
        <f t="shared" si="142"/>
        <v>0</v>
      </c>
      <c r="EB20" s="87">
        <v>383502</v>
      </c>
      <c r="EC20" s="87">
        <f t="shared" si="143"/>
        <v>320</v>
      </c>
      <c r="ED20" s="87">
        <v>884589</v>
      </c>
      <c r="EE20" s="87">
        <f t="shared" si="144"/>
        <v>696</v>
      </c>
      <c r="EF20" s="87">
        <v>427400</v>
      </c>
      <c r="EG20" s="87">
        <f t="shared" si="145"/>
        <v>209</v>
      </c>
      <c r="EH20" s="87">
        <v>2598</v>
      </c>
      <c r="EI20" s="87">
        <f t="shared" si="146"/>
        <v>0</v>
      </c>
      <c r="EJ20" s="87">
        <v>976658</v>
      </c>
      <c r="EK20" s="87">
        <f t="shared" si="147"/>
        <v>417</v>
      </c>
      <c r="EL20" s="87">
        <v>3485740</v>
      </c>
      <c r="EM20" s="87">
        <f t="shared" si="148"/>
        <v>307</v>
      </c>
      <c r="EN20" s="87">
        <v>3858073</v>
      </c>
      <c r="EO20" s="87">
        <f t="shared" si="149"/>
        <v>368</v>
      </c>
      <c r="EP20" s="87">
        <v>4209578</v>
      </c>
      <c r="EQ20" s="87">
        <f t="shared" si="150"/>
        <v>436</v>
      </c>
      <c r="ER20" s="87">
        <v>5319790</v>
      </c>
      <c r="ES20" s="87">
        <f t="shared" si="151"/>
        <v>497</v>
      </c>
      <c r="ET20" s="87">
        <v>4360667</v>
      </c>
      <c r="EU20" s="87">
        <f t="shared" si="152"/>
        <v>432</v>
      </c>
      <c r="EV20" s="87">
        <v>4496506</v>
      </c>
      <c r="EW20" s="87">
        <f t="shared" si="153"/>
        <v>427</v>
      </c>
      <c r="EX20" s="87">
        <v>8801661</v>
      </c>
      <c r="EY20" s="87">
        <f t="shared" si="154"/>
        <v>856</v>
      </c>
      <c r="EZ20" s="87">
        <v>8700978</v>
      </c>
      <c r="FA20" s="87">
        <f t="shared" si="155"/>
        <v>1399</v>
      </c>
      <c r="FB20" s="87">
        <v>8663439</v>
      </c>
      <c r="FC20" s="87">
        <f t="shared" si="156"/>
        <v>690</v>
      </c>
      <c r="FD20" s="87">
        <v>8168182</v>
      </c>
      <c r="FE20" s="87">
        <f t="shared" si="157"/>
        <v>765</v>
      </c>
      <c r="FF20" s="87">
        <v>5147001</v>
      </c>
      <c r="FG20" s="87">
        <f t="shared" si="158"/>
        <v>638</v>
      </c>
      <c r="FH20" s="87">
        <v>3347386</v>
      </c>
      <c r="FI20" s="87">
        <f t="shared" si="159"/>
        <v>489</v>
      </c>
      <c r="FJ20" s="87">
        <v>1570132</v>
      </c>
      <c r="FK20" s="87">
        <f t="shared" si="160"/>
        <v>227</v>
      </c>
      <c r="FL20" s="87"/>
      <c r="FM20" s="87"/>
    </row>
    <row r="21" spans="1:169" s="46" customFormat="1" ht="30" customHeight="1">
      <c r="A21" s="86">
        <v>44172</v>
      </c>
      <c r="B21" s="87">
        <v>20736444</v>
      </c>
      <c r="C21" s="87">
        <f t="shared" si="83"/>
        <v>2016</v>
      </c>
      <c r="D21" s="87">
        <v>2311634</v>
      </c>
      <c r="E21" s="87">
        <f t="shared" si="84"/>
        <v>181</v>
      </c>
      <c r="F21" s="87">
        <v>27604779</v>
      </c>
      <c r="G21" s="87">
        <f t="shared" si="85"/>
        <v>3231</v>
      </c>
      <c r="H21" s="87">
        <v>5745845</v>
      </c>
      <c r="I21" s="87">
        <f t="shared" si="86"/>
        <v>532</v>
      </c>
      <c r="J21" s="87"/>
      <c r="K21" s="87"/>
      <c r="L21" s="87">
        <v>21659716</v>
      </c>
      <c r="M21" s="87">
        <f t="shared" si="87"/>
        <v>1855</v>
      </c>
      <c r="N21" s="87">
        <v>72762132</v>
      </c>
      <c r="O21" s="87">
        <f t="shared" si="88"/>
        <v>8953</v>
      </c>
      <c r="P21" s="87">
        <v>24135</v>
      </c>
      <c r="Q21" s="87">
        <f t="shared" si="89"/>
        <v>14</v>
      </c>
      <c r="R21" s="87">
        <v>4855</v>
      </c>
      <c r="S21" s="87">
        <f t="shared" si="90"/>
        <v>0</v>
      </c>
      <c r="T21" s="87">
        <v>31562448</v>
      </c>
      <c r="U21" s="87">
        <f t="shared" si="91"/>
        <v>3508</v>
      </c>
      <c r="V21" s="87">
        <v>1622693</v>
      </c>
      <c r="W21" s="87">
        <f t="shared" si="92"/>
        <v>275</v>
      </c>
      <c r="X21" s="87">
        <v>1871055</v>
      </c>
      <c r="Y21" s="87">
        <f t="shared" si="93"/>
        <v>208</v>
      </c>
      <c r="Z21" s="87">
        <v>3498347</v>
      </c>
      <c r="AA21" s="87">
        <f t="shared" si="94"/>
        <v>581</v>
      </c>
      <c r="AB21" s="87"/>
      <c r="AC21" s="87"/>
      <c r="AD21" s="87">
        <v>54799142</v>
      </c>
      <c r="AE21" s="87">
        <f t="shared" si="95"/>
        <v>5836</v>
      </c>
      <c r="AF21" s="87">
        <v>9938467</v>
      </c>
      <c r="AG21" s="87">
        <f t="shared" si="96"/>
        <v>1051</v>
      </c>
      <c r="AH21" s="87">
        <v>1544787</v>
      </c>
      <c r="AI21" s="87">
        <f t="shared" si="97"/>
        <v>195</v>
      </c>
      <c r="AJ21" s="87">
        <v>1767293</v>
      </c>
      <c r="AK21" s="87">
        <f t="shared" si="98"/>
        <v>192</v>
      </c>
      <c r="AL21" s="87">
        <v>4845052</v>
      </c>
      <c r="AM21" s="87">
        <f t="shared" si="99"/>
        <v>553</v>
      </c>
      <c r="AN21" s="87">
        <v>5151952</v>
      </c>
      <c r="AO21" s="87">
        <f t="shared" si="100"/>
        <v>817</v>
      </c>
      <c r="AP21" s="87"/>
      <c r="AQ21" s="87"/>
      <c r="AR21" s="87">
        <v>1135906</v>
      </c>
      <c r="AS21" s="87">
        <f t="shared" si="101"/>
        <v>0</v>
      </c>
      <c r="AT21" s="87">
        <v>3140558</v>
      </c>
      <c r="AU21" s="87">
        <f t="shared" si="102"/>
        <v>490</v>
      </c>
      <c r="AV21" s="87"/>
      <c r="AW21" s="87"/>
      <c r="AX21" s="87">
        <v>574710</v>
      </c>
      <c r="AY21" s="87">
        <f t="shared" si="103"/>
        <v>186</v>
      </c>
      <c r="AZ21" s="87">
        <v>2362949</v>
      </c>
      <c r="BA21" s="87">
        <f t="shared" si="104"/>
        <v>137</v>
      </c>
      <c r="BB21" s="87">
        <v>4688142</v>
      </c>
      <c r="BC21" s="87">
        <f t="shared" si="105"/>
        <v>668</v>
      </c>
      <c r="BD21" s="87">
        <v>41679900</v>
      </c>
      <c r="BE21" s="87">
        <f t="shared" si="106"/>
        <v>5885</v>
      </c>
      <c r="BF21" s="87">
        <v>58972563</v>
      </c>
      <c r="BG21" s="87">
        <f t="shared" si="107"/>
        <v>7969</v>
      </c>
      <c r="BH21" s="87">
        <v>434952</v>
      </c>
      <c r="BI21" s="87">
        <f t="shared" si="108"/>
        <v>123</v>
      </c>
      <c r="BJ21" s="87">
        <v>11251695</v>
      </c>
      <c r="BK21" s="87">
        <f t="shared" si="109"/>
        <v>1686</v>
      </c>
      <c r="BL21" s="87">
        <v>1591866</v>
      </c>
      <c r="BM21" s="87">
        <f t="shared" si="110"/>
        <v>399</v>
      </c>
      <c r="BN21" s="87">
        <v>2340922</v>
      </c>
      <c r="BO21" s="87">
        <f t="shared" si="111"/>
        <v>178</v>
      </c>
      <c r="BP21" s="87">
        <v>10684815</v>
      </c>
      <c r="BQ21" s="87">
        <f t="shared" si="112"/>
        <v>1684</v>
      </c>
      <c r="BR21" s="87">
        <v>2623411</v>
      </c>
      <c r="BS21" s="87">
        <f t="shared" si="113"/>
        <v>207</v>
      </c>
      <c r="BT21" s="87">
        <v>13069304</v>
      </c>
      <c r="BU21" s="87">
        <f t="shared" si="114"/>
        <v>1146</v>
      </c>
      <c r="BV21" s="87">
        <v>10252959</v>
      </c>
      <c r="BW21" s="87">
        <f t="shared" si="115"/>
        <v>1483</v>
      </c>
      <c r="BX21" s="87">
        <v>1578547</v>
      </c>
      <c r="BY21" s="87">
        <f t="shared" si="116"/>
        <v>208</v>
      </c>
      <c r="BZ21" s="87">
        <v>19903655</v>
      </c>
      <c r="CA21" s="87">
        <f t="shared" si="117"/>
        <v>0</v>
      </c>
      <c r="CB21" s="87">
        <v>17452479</v>
      </c>
      <c r="CC21" s="87">
        <f t="shared" si="118"/>
        <v>0</v>
      </c>
      <c r="CD21" s="87">
        <v>18110744</v>
      </c>
      <c r="CE21" s="87">
        <f t="shared" si="119"/>
        <v>73</v>
      </c>
      <c r="CF21" s="87">
        <v>14098471</v>
      </c>
      <c r="CG21" s="87">
        <f t="shared" si="120"/>
        <v>966</v>
      </c>
      <c r="CH21" s="87">
        <v>4296219</v>
      </c>
      <c r="CI21" s="87">
        <f t="shared" si="121"/>
        <v>431</v>
      </c>
      <c r="CJ21" s="87">
        <v>4771716</v>
      </c>
      <c r="CK21" s="87">
        <f t="shared" si="122"/>
        <v>417</v>
      </c>
      <c r="CL21" s="87">
        <v>2716764</v>
      </c>
      <c r="CM21" s="87">
        <f t="shared" si="123"/>
        <v>119</v>
      </c>
      <c r="CN21" s="87">
        <v>69427366</v>
      </c>
      <c r="CO21" s="87">
        <f t="shared" si="124"/>
        <v>9598</v>
      </c>
      <c r="CP21" s="87">
        <v>4460571</v>
      </c>
      <c r="CQ21" s="87">
        <f t="shared" si="125"/>
        <v>377</v>
      </c>
      <c r="CR21" s="87">
        <v>5181302</v>
      </c>
      <c r="CS21" s="87">
        <f t="shared" si="126"/>
        <v>168</v>
      </c>
      <c r="CT21" s="87">
        <v>3053656</v>
      </c>
      <c r="CU21" s="87">
        <f t="shared" si="127"/>
        <v>252</v>
      </c>
      <c r="CV21" s="87">
        <v>41499847</v>
      </c>
      <c r="CW21" s="87">
        <f t="shared" si="128"/>
        <v>6810</v>
      </c>
      <c r="CX21" s="87">
        <v>6344368</v>
      </c>
      <c r="CY21" s="87">
        <f t="shared" si="129"/>
        <v>563</v>
      </c>
      <c r="CZ21" s="87">
        <v>6304245</v>
      </c>
      <c r="DA21" s="87">
        <f t="shared" si="130"/>
        <v>746</v>
      </c>
      <c r="DB21" s="87">
        <v>56627585</v>
      </c>
      <c r="DC21" s="87">
        <f t="shared" si="131"/>
        <v>3512</v>
      </c>
      <c r="DD21" s="87">
        <v>1999350</v>
      </c>
      <c r="DE21" s="87">
        <f t="shared" si="132"/>
        <v>491</v>
      </c>
      <c r="DF21" s="87">
        <v>21927568</v>
      </c>
      <c r="DG21" s="87">
        <f t="shared" si="133"/>
        <v>2874</v>
      </c>
      <c r="DH21" s="87">
        <v>32287260</v>
      </c>
      <c r="DI21" s="87">
        <f t="shared" si="134"/>
        <v>19</v>
      </c>
      <c r="DJ21" s="87"/>
      <c r="DK21" s="87"/>
      <c r="DL21" s="87">
        <v>986959</v>
      </c>
      <c r="DM21" s="87">
        <f t="shared" si="135"/>
        <v>160</v>
      </c>
      <c r="DN21" s="87">
        <v>1053652</v>
      </c>
      <c r="DO21" s="87">
        <f t="shared" si="136"/>
        <v>214</v>
      </c>
      <c r="DP21" s="87">
        <v>1179739</v>
      </c>
      <c r="DQ21" s="87">
        <f t="shared" si="137"/>
        <v>617</v>
      </c>
      <c r="DR21" s="87">
        <v>1164901</v>
      </c>
      <c r="DS21" s="87">
        <f t="shared" si="138"/>
        <v>747</v>
      </c>
      <c r="DT21" s="87">
        <v>964547</v>
      </c>
      <c r="DU21" s="87">
        <f t="shared" si="139"/>
        <v>968</v>
      </c>
      <c r="DV21" s="87">
        <v>1271060</v>
      </c>
      <c r="DW21" s="88">
        <f t="shared" si="140"/>
        <v>-54169</v>
      </c>
      <c r="DX21" s="87">
        <v>809568</v>
      </c>
      <c r="DY21" s="87">
        <f t="shared" si="141"/>
        <v>494</v>
      </c>
      <c r="DZ21" s="87">
        <v>1442</v>
      </c>
      <c r="EA21" s="87">
        <f t="shared" si="142"/>
        <v>0</v>
      </c>
      <c r="EB21" s="87">
        <v>383819</v>
      </c>
      <c r="EC21" s="87">
        <f t="shared" si="143"/>
        <v>317</v>
      </c>
      <c r="ED21" s="87">
        <v>885287</v>
      </c>
      <c r="EE21" s="87">
        <f t="shared" si="144"/>
        <v>698</v>
      </c>
      <c r="EF21" s="87">
        <v>427618</v>
      </c>
      <c r="EG21" s="87">
        <f t="shared" si="145"/>
        <v>218</v>
      </c>
      <c r="EH21" s="87">
        <v>2598</v>
      </c>
      <c r="EI21" s="87">
        <f t="shared" si="146"/>
        <v>0</v>
      </c>
      <c r="EJ21" s="87">
        <v>977084</v>
      </c>
      <c r="EK21" s="87">
        <f t="shared" si="147"/>
        <v>426</v>
      </c>
      <c r="EL21" s="87">
        <v>3486055</v>
      </c>
      <c r="EM21" s="87">
        <f t="shared" si="148"/>
        <v>315</v>
      </c>
      <c r="EN21" s="87">
        <v>3858432</v>
      </c>
      <c r="EO21" s="87">
        <f t="shared" si="149"/>
        <v>359</v>
      </c>
      <c r="EP21" s="87">
        <v>4210023</v>
      </c>
      <c r="EQ21" s="87">
        <f t="shared" si="150"/>
        <v>445</v>
      </c>
      <c r="ER21" s="87">
        <v>5320284</v>
      </c>
      <c r="ES21" s="87">
        <f t="shared" si="151"/>
        <v>494</v>
      </c>
      <c r="ET21" s="87">
        <v>4361071</v>
      </c>
      <c r="EU21" s="87">
        <f t="shared" si="152"/>
        <v>404</v>
      </c>
      <c r="EV21" s="87">
        <v>4496942</v>
      </c>
      <c r="EW21" s="87">
        <f t="shared" si="153"/>
        <v>436</v>
      </c>
      <c r="EX21" s="87">
        <v>8802516</v>
      </c>
      <c r="EY21" s="87">
        <f t="shared" si="154"/>
        <v>855</v>
      </c>
      <c r="EZ21" s="87">
        <v>8702383</v>
      </c>
      <c r="FA21" s="87">
        <f t="shared" si="155"/>
        <v>1405</v>
      </c>
      <c r="FB21" s="87">
        <v>8664108</v>
      </c>
      <c r="FC21" s="87">
        <f t="shared" si="156"/>
        <v>669</v>
      </c>
      <c r="FD21" s="87">
        <v>8168951</v>
      </c>
      <c r="FE21" s="87">
        <f t="shared" si="157"/>
        <v>769</v>
      </c>
      <c r="FF21" s="87">
        <v>5147602</v>
      </c>
      <c r="FG21" s="87">
        <f t="shared" si="158"/>
        <v>601</v>
      </c>
      <c r="FH21" s="87">
        <v>3347880</v>
      </c>
      <c r="FI21" s="87">
        <f t="shared" si="159"/>
        <v>494</v>
      </c>
      <c r="FJ21" s="87">
        <v>1570343</v>
      </c>
      <c r="FK21" s="87">
        <f t="shared" si="160"/>
        <v>211</v>
      </c>
      <c r="FL21" s="87"/>
      <c r="FM21" s="87"/>
    </row>
    <row r="22" spans="1:169" s="46" customFormat="1" ht="30" customHeight="1">
      <c r="A22" s="86">
        <v>44173</v>
      </c>
      <c r="B22" s="87">
        <v>20738504</v>
      </c>
      <c r="C22" s="83">
        <f t="shared" si="83"/>
        <v>2060</v>
      </c>
      <c r="D22" s="87">
        <v>2311887</v>
      </c>
      <c r="E22" s="83">
        <f t="shared" si="84"/>
        <v>253</v>
      </c>
      <c r="F22" s="87">
        <v>27608139</v>
      </c>
      <c r="G22" s="83">
        <f t="shared" si="85"/>
        <v>3360</v>
      </c>
      <c r="H22" s="87">
        <v>5746339</v>
      </c>
      <c r="I22" s="83">
        <f t="shared" si="86"/>
        <v>494</v>
      </c>
      <c r="J22" s="87"/>
      <c r="K22" s="87"/>
      <c r="L22" s="87">
        <v>21661580</v>
      </c>
      <c r="M22" s="87">
        <f t="shared" si="87"/>
        <v>1864</v>
      </c>
      <c r="N22" s="87">
        <v>72771403</v>
      </c>
      <c r="O22" s="87">
        <f t="shared" si="88"/>
        <v>9271</v>
      </c>
      <c r="P22" s="87">
        <v>24148</v>
      </c>
      <c r="Q22" s="87">
        <f t="shared" si="89"/>
        <v>13</v>
      </c>
      <c r="R22" s="87">
        <v>4855</v>
      </c>
      <c r="S22" s="87">
        <f t="shared" si="90"/>
        <v>0</v>
      </c>
      <c r="T22" s="87">
        <v>31565726</v>
      </c>
      <c r="U22" s="87">
        <f t="shared" si="91"/>
        <v>3278</v>
      </c>
      <c r="V22" s="87">
        <v>1622935</v>
      </c>
      <c r="W22" s="87">
        <f t="shared" si="92"/>
        <v>242</v>
      </c>
      <c r="X22" s="87">
        <v>1871260</v>
      </c>
      <c r="Y22" s="87">
        <f t="shared" si="93"/>
        <v>205</v>
      </c>
      <c r="Z22" s="87">
        <v>3498925</v>
      </c>
      <c r="AA22" s="83">
        <f t="shared" si="94"/>
        <v>578</v>
      </c>
      <c r="AB22" s="87"/>
      <c r="AC22" s="87"/>
      <c r="AD22" s="87">
        <v>54804692</v>
      </c>
      <c r="AE22" s="87">
        <f t="shared" si="95"/>
        <v>5550</v>
      </c>
      <c r="AF22" s="87">
        <v>9939329</v>
      </c>
      <c r="AG22" s="87">
        <f t="shared" si="96"/>
        <v>862</v>
      </c>
      <c r="AH22" s="87">
        <v>1544976</v>
      </c>
      <c r="AI22" s="87">
        <f t="shared" si="97"/>
        <v>189</v>
      </c>
      <c r="AJ22" s="87">
        <v>1767464</v>
      </c>
      <c r="AK22" s="87">
        <f t="shared" si="98"/>
        <v>171</v>
      </c>
      <c r="AL22" s="87">
        <v>4845576</v>
      </c>
      <c r="AM22" s="87">
        <f t="shared" si="99"/>
        <v>524</v>
      </c>
      <c r="AN22" s="87">
        <v>5152775</v>
      </c>
      <c r="AO22" s="87">
        <f t="shared" si="100"/>
        <v>823</v>
      </c>
      <c r="AP22" s="87"/>
      <c r="AQ22" s="87"/>
      <c r="AR22" s="87">
        <v>1141283</v>
      </c>
      <c r="AS22" s="89">
        <f t="shared" si="101"/>
        <v>5377</v>
      </c>
      <c r="AT22" s="87">
        <v>3141048</v>
      </c>
      <c r="AU22" s="87">
        <f t="shared" si="102"/>
        <v>490</v>
      </c>
      <c r="AV22" s="87"/>
      <c r="AW22" s="87"/>
      <c r="AX22" s="87">
        <v>574896</v>
      </c>
      <c r="AY22" s="87">
        <f t="shared" si="103"/>
        <v>186</v>
      </c>
      <c r="AZ22" s="87">
        <v>2362967</v>
      </c>
      <c r="BA22" s="87">
        <f t="shared" si="104"/>
        <v>18</v>
      </c>
      <c r="BB22" s="87">
        <v>4688768</v>
      </c>
      <c r="BC22" s="87">
        <f t="shared" si="105"/>
        <v>626</v>
      </c>
      <c r="BD22" s="87">
        <v>41685441</v>
      </c>
      <c r="BE22" s="87">
        <f t="shared" si="106"/>
        <v>5541</v>
      </c>
      <c r="BF22" s="87">
        <v>58980427</v>
      </c>
      <c r="BG22" s="87">
        <f t="shared" si="107"/>
        <v>7864</v>
      </c>
      <c r="BH22" s="87">
        <v>435076</v>
      </c>
      <c r="BI22" s="87">
        <f t="shared" si="108"/>
        <v>124</v>
      </c>
      <c r="BJ22" s="87">
        <v>11253378</v>
      </c>
      <c r="BK22" s="87">
        <f t="shared" si="109"/>
        <v>1683</v>
      </c>
      <c r="BL22" s="87">
        <v>1592269</v>
      </c>
      <c r="BM22" s="87">
        <f t="shared" si="110"/>
        <v>403</v>
      </c>
      <c r="BN22" s="87">
        <v>2341021</v>
      </c>
      <c r="BO22" s="87">
        <f t="shared" si="111"/>
        <v>99</v>
      </c>
      <c r="BP22" s="87">
        <v>10686528</v>
      </c>
      <c r="BQ22" s="87">
        <f t="shared" si="112"/>
        <v>1713</v>
      </c>
      <c r="BR22" s="87">
        <v>2623626</v>
      </c>
      <c r="BS22" s="87">
        <f t="shared" si="113"/>
        <v>215</v>
      </c>
      <c r="BT22" s="87">
        <v>13070454</v>
      </c>
      <c r="BU22" s="87">
        <f t="shared" si="114"/>
        <v>1150</v>
      </c>
      <c r="BV22" s="87">
        <v>10254433</v>
      </c>
      <c r="BW22" s="87">
        <f t="shared" si="115"/>
        <v>1474</v>
      </c>
      <c r="BX22" s="87">
        <v>1578729</v>
      </c>
      <c r="BY22" s="87">
        <f t="shared" si="116"/>
        <v>182</v>
      </c>
      <c r="BZ22" s="87">
        <v>19903655</v>
      </c>
      <c r="CA22" s="87">
        <f t="shared" si="117"/>
        <v>0</v>
      </c>
      <c r="CB22" s="87">
        <v>17452479</v>
      </c>
      <c r="CC22" s="87">
        <f t="shared" si="118"/>
        <v>0</v>
      </c>
      <c r="CD22" s="87">
        <v>18110817</v>
      </c>
      <c r="CE22" s="87">
        <f t="shared" si="119"/>
        <v>73</v>
      </c>
      <c r="CF22" s="87">
        <v>14099388</v>
      </c>
      <c r="CG22" s="87">
        <f t="shared" si="120"/>
        <v>917</v>
      </c>
      <c r="CH22" s="87">
        <v>4296660</v>
      </c>
      <c r="CI22" s="87">
        <f t="shared" si="121"/>
        <v>441</v>
      </c>
      <c r="CJ22" s="87">
        <v>4772127</v>
      </c>
      <c r="CK22" s="87">
        <f t="shared" si="122"/>
        <v>411</v>
      </c>
      <c r="CL22" s="87">
        <v>2716830</v>
      </c>
      <c r="CM22" s="87">
        <f t="shared" si="123"/>
        <v>66</v>
      </c>
      <c r="CN22" s="87">
        <v>69437179</v>
      </c>
      <c r="CO22" s="87">
        <f t="shared" si="124"/>
        <v>9813</v>
      </c>
      <c r="CP22" s="87">
        <v>4460948</v>
      </c>
      <c r="CQ22" s="87">
        <f t="shared" si="125"/>
        <v>377</v>
      </c>
      <c r="CR22" s="87">
        <v>5181474</v>
      </c>
      <c r="CS22" s="87">
        <f t="shared" si="126"/>
        <v>172</v>
      </c>
      <c r="CT22" s="87">
        <v>3053906</v>
      </c>
      <c r="CU22" s="87">
        <f t="shared" si="127"/>
        <v>250</v>
      </c>
      <c r="CV22" s="87">
        <v>41506842</v>
      </c>
      <c r="CW22" s="87">
        <f t="shared" si="128"/>
        <v>6995</v>
      </c>
      <c r="CX22" s="87">
        <v>6344930</v>
      </c>
      <c r="CY22" s="87">
        <f t="shared" si="129"/>
        <v>562</v>
      </c>
      <c r="CZ22" s="87">
        <v>6304990</v>
      </c>
      <c r="DA22" s="87">
        <f t="shared" si="130"/>
        <v>745</v>
      </c>
      <c r="DB22" s="87">
        <v>56631902</v>
      </c>
      <c r="DC22" s="87">
        <f t="shared" si="131"/>
        <v>4317</v>
      </c>
      <c r="DD22" s="87">
        <v>1999839</v>
      </c>
      <c r="DE22" s="87">
        <f t="shared" si="132"/>
        <v>489</v>
      </c>
      <c r="DF22" s="87">
        <v>21931271</v>
      </c>
      <c r="DG22" s="87">
        <f t="shared" si="133"/>
        <v>3703</v>
      </c>
      <c r="DH22" s="87">
        <v>32287280</v>
      </c>
      <c r="DI22" s="87">
        <f t="shared" si="134"/>
        <v>20</v>
      </c>
      <c r="DJ22" s="87"/>
      <c r="DK22" s="87"/>
      <c r="DL22" s="87">
        <v>987136</v>
      </c>
      <c r="DM22" s="87">
        <f t="shared" si="135"/>
        <v>177</v>
      </c>
      <c r="DN22" s="87">
        <v>1053870</v>
      </c>
      <c r="DO22" s="87">
        <f t="shared" si="136"/>
        <v>218</v>
      </c>
      <c r="DP22" s="87">
        <v>1180296</v>
      </c>
      <c r="DQ22" s="87">
        <f t="shared" si="137"/>
        <v>557</v>
      </c>
      <c r="DR22" s="87">
        <v>1110112</v>
      </c>
      <c r="DS22" s="88">
        <f t="shared" si="138"/>
        <v>-54789</v>
      </c>
      <c r="DT22" s="87">
        <v>965544</v>
      </c>
      <c r="DU22" s="87">
        <f t="shared" si="139"/>
        <v>997</v>
      </c>
      <c r="DV22" s="87">
        <v>1272421</v>
      </c>
      <c r="DW22" s="87">
        <f t="shared" si="140"/>
        <v>1361</v>
      </c>
      <c r="DX22" s="87">
        <v>810084</v>
      </c>
      <c r="DY22" s="87">
        <f t="shared" si="141"/>
        <v>516</v>
      </c>
      <c r="DZ22" s="87">
        <v>1442</v>
      </c>
      <c r="EA22" s="87">
        <f t="shared" si="142"/>
        <v>0</v>
      </c>
      <c r="EB22" s="87">
        <v>384147</v>
      </c>
      <c r="EC22" s="87">
        <f t="shared" si="143"/>
        <v>328</v>
      </c>
      <c r="ED22" s="87">
        <v>885983</v>
      </c>
      <c r="EE22" s="87">
        <f t="shared" si="144"/>
        <v>696</v>
      </c>
      <c r="EF22" s="87">
        <v>427721</v>
      </c>
      <c r="EG22" s="87">
        <f t="shared" si="145"/>
        <v>103</v>
      </c>
      <c r="EH22" s="87">
        <v>2598</v>
      </c>
      <c r="EI22" s="87">
        <f t="shared" si="146"/>
        <v>0</v>
      </c>
      <c r="EJ22" s="87">
        <v>977528</v>
      </c>
      <c r="EK22" s="87">
        <f t="shared" si="147"/>
        <v>444</v>
      </c>
      <c r="EL22" s="87">
        <v>3486414</v>
      </c>
      <c r="EM22" s="87">
        <f t="shared" si="148"/>
        <v>359</v>
      </c>
      <c r="EN22" s="87">
        <v>3858835</v>
      </c>
      <c r="EO22" s="87">
        <f t="shared" si="149"/>
        <v>403</v>
      </c>
      <c r="EP22" s="87">
        <v>4210484</v>
      </c>
      <c r="EQ22" s="87">
        <f t="shared" si="150"/>
        <v>461</v>
      </c>
      <c r="ER22" s="87">
        <v>5320778</v>
      </c>
      <c r="ES22" s="87">
        <f t="shared" si="151"/>
        <v>494</v>
      </c>
      <c r="ET22" s="87">
        <v>4361496</v>
      </c>
      <c r="EU22" s="87">
        <f t="shared" si="152"/>
        <v>425</v>
      </c>
      <c r="EV22" s="87">
        <v>4497376</v>
      </c>
      <c r="EW22" s="87">
        <f t="shared" si="153"/>
        <v>434</v>
      </c>
      <c r="EX22" s="87">
        <v>8803366</v>
      </c>
      <c r="EY22" s="87">
        <f t="shared" si="154"/>
        <v>850</v>
      </c>
      <c r="EZ22" s="87">
        <v>8703868</v>
      </c>
      <c r="FA22" s="87">
        <f t="shared" si="155"/>
        <v>1485</v>
      </c>
      <c r="FB22" s="87">
        <v>8664809</v>
      </c>
      <c r="FC22" s="87">
        <f t="shared" si="156"/>
        <v>701</v>
      </c>
      <c r="FD22" s="87">
        <v>8169724</v>
      </c>
      <c r="FE22" s="87">
        <f t="shared" si="157"/>
        <v>773</v>
      </c>
      <c r="FF22" s="87">
        <v>5148281</v>
      </c>
      <c r="FG22" s="87">
        <f t="shared" si="158"/>
        <v>679</v>
      </c>
      <c r="FH22" s="87">
        <v>3348376</v>
      </c>
      <c r="FI22" s="87">
        <f t="shared" si="159"/>
        <v>496</v>
      </c>
      <c r="FJ22" s="87">
        <v>1570569</v>
      </c>
      <c r="FK22" s="87">
        <f t="shared" si="160"/>
        <v>226</v>
      </c>
      <c r="FL22" s="87"/>
      <c r="FM22" s="87"/>
    </row>
    <row r="23" spans="1:169" s="46" customFormat="1" ht="30" customHeight="1">
      <c r="A23" s="86">
        <v>44174</v>
      </c>
      <c r="B23" s="87">
        <v>20740573</v>
      </c>
      <c r="C23" s="87">
        <f t="shared" si="83"/>
        <v>2069</v>
      </c>
      <c r="D23" s="87">
        <v>2312150</v>
      </c>
      <c r="E23" s="87">
        <f t="shared" si="84"/>
        <v>263</v>
      </c>
      <c r="F23" s="87">
        <v>27611504</v>
      </c>
      <c r="G23" s="87">
        <f t="shared" si="85"/>
        <v>3365</v>
      </c>
      <c r="H23" s="87">
        <v>5746871</v>
      </c>
      <c r="I23" s="87">
        <f t="shared" si="86"/>
        <v>532</v>
      </c>
      <c r="J23" s="87"/>
      <c r="K23" s="87"/>
      <c r="L23" s="87">
        <v>21663435</v>
      </c>
      <c r="M23" s="87">
        <f t="shared" si="87"/>
        <v>1855</v>
      </c>
      <c r="N23" s="87">
        <v>72780354</v>
      </c>
      <c r="O23" s="87">
        <f t="shared" si="88"/>
        <v>8951</v>
      </c>
      <c r="P23" s="87">
        <v>24162</v>
      </c>
      <c r="Q23" s="87">
        <f t="shared" si="89"/>
        <v>14</v>
      </c>
      <c r="R23" s="87">
        <v>4855</v>
      </c>
      <c r="S23" s="87">
        <f t="shared" si="90"/>
        <v>0</v>
      </c>
      <c r="T23" s="87">
        <v>31568946</v>
      </c>
      <c r="U23" s="87">
        <f t="shared" si="91"/>
        <v>3220</v>
      </c>
      <c r="V23" s="87">
        <v>1623174</v>
      </c>
      <c r="W23" s="87">
        <f t="shared" si="92"/>
        <v>239</v>
      </c>
      <c r="X23" s="87">
        <v>1871465</v>
      </c>
      <c r="Y23" s="87">
        <f t="shared" si="93"/>
        <v>205</v>
      </c>
      <c r="Z23" s="87">
        <v>3499504</v>
      </c>
      <c r="AA23" s="87">
        <f t="shared" si="94"/>
        <v>579</v>
      </c>
      <c r="AB23" s="87"/>
      <c r="AC23" s="87"/>
      <c r="AD23" s="87">
        <v>54810142</v>
      </c>
      <c r="AE23" s="87">
        <f t="shared" si="95"/>
        <v>5450</v>
      </c>
      <c r="AF23" s="87">
        <v>9940180</v>
      </c>
      <c r="AG23" s="87">
        <f t="shared" si="96"/>
        <v>851</v>
      </c>
      <c r="AH23" s="87">
        <v>1545185</v>
      </c>
      <c r="AI23" s="87">
        <f t="shared" si="97"/>
        <v>209</v>
      </c>
      <c r="AJ23" s="87">
        <v>1767637</v>
      </c>
      <c r="AK23" s="87">
        <f t="shared" si="98"/>
        <v>173</v>
      </c>
      <c r="AL23" s="87">
        <v>4846114</v>
      </c>
      <c r="AM23" s="87">
        <f t="shared" si="99"/>
        <v>538</v>
      </c>
      <c r="AN23" s="87">
        <v>5153579</v>
      </c>
      <c r="AO23" s="87">
        <f t="shared" si="100"/>
        <v>804</v>
      </c>
      <c r="AP23" s="87"/>
      <c r="AQ23" s="87"/>
      <c r="AR23" s="87">
        <v>1141586</v>
      </c>
      <c r="AS23" s="87">
        <f t="shared" si="101"/>
        <v>303</v>
      </c>
      <c r="AT23" s="87">
        <v>3141529</v>
      </c>
      <c r="AU23" s="87">
        <f t="shared" si="102"/>
        <v>481</v>
      </c>
      <c r="AV23" s="87"/>
      <c r="AW23" s="87"/>
      <c r="AX23" s="87">
        <v>575083</v>
      </c>
      <c r="AY23" s="87">
        <f t="shared" si="103"/>
        <v>187</v>
      </c>
      <c r="AZ23" s="87">
        <v>2362994</v>
      </c>
      <c r="BA23" s="87">
        <f t="shared" si="104"/>
        <v>27</v>
      </c>
      <c r="BB23" s="87">
        <v>4689453</v>
      </c>
      <c r="BC23" s="87">
        <f t="shared" si="105"/>
        <v>685</v>
      </c>
      <c r="BD23" s="87">
        <v>41691059</v>
      </c>
      <c r="BE23" s="87">
        <f t="shared" si="106"/>
        <v>5618</v>
      </c>
      <c r="BF23" s="87">
        <v>58988488</v>
      </c>
      <c r="BG23" s="87">
        <f t="shared" si="107"/>
        <v>8061</v>
      </c>
      <c r="BH23" s="87">
        <v>435197</v>
      </c>
      <c r="BI23" s="87">
        <f t="shared" si="108"/>
        <v>121</v>
      </c>
      <c r="BJ23" s="87">
        <v>11255052</v>
      </c>
      <c r="BK23" s="87">
        <f t="shared" si="109"/>
        <v>1674</v>
      </c>
      <c r="BL23" s="87">
        <v>1592669</v>
      </c>
      <c r="BM23" s="87">
        <f t="shared" si="110"/>
        <v>400</v>
      </c>
      <c r="BN23" s="87">
        <v>2341102</v>
      </c>
      <c r="BO23" s="87">
        <f t="shared" si="111"/>
        <v>81</v>
      </c>
      <c r="BP23" s="87">
        <v>10688233</v>
      </c>
      <c r="BQ23" s="87">
        <f t="shared" si="112"/>
        <v>1705</v>
      </c>
      <c r="BR23" s="87">
        <v>2623841</v>
      </c>
      <c r="BS23" s="87">
        <f t="shared" si="113"/>
        <v>215</v>
      </c>
      <c r="BT23" s="87">
        <v>13071830</v>
      </c>
      <c r="BU23" s="87">
        <f t="shared" si="114"/>
        <v>1376</v>
      </c>
      <c r="BV23" s="87">
        <v>10255892</v>
      </c>
      <c r="BW23" s="87">
        <f t="shared" si="115"/>
        <v>1459</v>
      </c>
      <c r="BX23" s="87">
        <v>1578914</v>
      </c>
      <c r="BY23" s="87">
        <f t="shared" si="116"/>
        <v>185</v>
      </c>
      <c r="BZ23" s="87">
        <v>19903655</v>
      </c>
      <c r="CA23" s="87">
        <f t="shared" si="117"/>
        <v>0</v>
      </c>
      <c r="CB23" s="87">
        <v>17452479</v>
      </c>
      <c r="CC23" s="87">
        <f t="shared" si="118"/>
        <v>0</v>
      </c>
      <c r="CD23" s="87">
        <v>18110890</v>
      </c>
      <c r="CE23" s="87">
        <f t="shared" si="119"/>
        <v>73</v>
      </c>
      <c r="CF23" s="87">
        <v>14100303</v>
      </c>
      <c r="CG23" s="87">
        <f t="shared" si="120"/>
        <v>915</v>
      </c>
      <c r="CH23" s="87">
        <v>4297099</v>
      </c>
      <c r="CI23" s="87">
        <f t="shared" si="121"/>
        <v>439</v>
      </c>
      <c r="CJ23" s="87">
        <v>4772525</v>
      </c>
      <c r="CK23" s="87">
        <f t="shared" si="122"/>
        <v>398</v>
      </c>
      <c r="CL23" s="87">
        <v>2716908</v>
      </c>
      <c r="CM23" s="87">
        <f t="shared" si="123"/>
        <v>78</v>
      </c>
      <c r="CN23" s="87">
        <v>69446450</v>
      </c>
      <c r="CO23" s="87">
        <f t="shared" si="124"/>
        <v>9271</v>
      </c>
      <c r="CP23" s="87">
        <v>4461321</v>
      </c>
      <c r="CQ23" s="87">
        <f t="shared" si="125"/>
        <v>373</v>
      </c>
      <c r="CR23" s="87">
        <v>5181639</v>
      </c>
      <c r="CS23" s="87">
        <f t="shared" si="126"/>
        <v>165</v>
      </c>
      <c r="CT23" s="87">
        <v>3054161</v>
      </c>
      <c r="CU23" s="87">
        <f t="shared" si="127"/>
        <v>255</v>
      </c>
      <c r="CV23" s="87">
        <v>41513319</v>
      </c>
      <c r="CW23" s="87">
        <f t="shared" si="128"/>
        <v>6477</v>
      </c>
      <c r="CX23" s="87">
        <v>6345487</v>
      </c>
      <c r="CY23" s="87">
        <f t="shared" si="129"/>
        <v>557</v>
      </c>
      <c r="CZ23" s="87">
        <v>6305736</v>
      </c>
      <c r="DA23" s="87">
        <f t="shared" si="130"/>
        <v>746</v>
      </c>
      <c r="DB23" s="87">
        <v>56636265</v>
      </c>
      <c r="DC23" s="87">
        <f t="shared" si="131"/>
        <v>4363</v>
      </c>
      <c r="DD23" s="87">
        <v>2000338</v>
      </c>
      <c r="DE23" s="87">
        <f t="shared" si="132"/>
        <v>499</v>
      </c>
      <c r="DF23" s="87">
        <v>21935017</v>
      </c>
      <c r="DG23" s="87">
        <f t="shared" si="133"/>
        <v>3746</v>
      </c>
      <c r="DH23" s="87">
        <v>32287300</v>
      </c>
      <c r="DI23" s="87">
        <f t="shared" si="134"/>
        <v>20</v>
      </c>
      <c r="DJ23" s="87"/>
      <c r="DK23" s="87"/>
      <c r="DL23" s="87">
        <v>987292</v>
      </c>
      <c r="DM23" s="87">
        <f t="shared" si="135"/>
        <v>156</v>
      </c>
      <c r="DN23" s="87">
        <v>1054062</v>
      </c>
      <c r="DO23" s="87">
        <f t="shared" si="136"/>
        <v>192</v>
      </c>
      <c r="DP23" s="87">
        <v>1180811</v>
      </c>
      <c r="DQ23" s="87">
        <f t="shared" si="137"/>
        <v>515</v>
      </c>
      <c r="DR23" s="87">
        <v>1110810</v>
      </c>
      <c r="DS23" s="87">
        <f t="shared" si="138"/>
        <v>698</v>
      </c>
      <c r="DT23" s="87">
        <v>966540</v>
      </c>
      <c r="DU23" s="87">
        <f t="shared" si="139"/>
        <v>996</v>
      </c>
      <c r="DV23" s="87">
        <v>1273765</v>
      </c>
      <c r="DW23" s="87">
        <f t="shared" si="140"/>
        <v>1344</v>
      </c>
      <c r="DX23" s="87">
        <v>810604</v>
      </c>
      <c r="DY23" s="87">
        <f t="shared" si="141"/>
        <v>520</v>
      </c>
      <c r="DZ23" s="87">
        <v>1442</v>
      </c>
      <c r="EA23" s="87">
        <f t="shared" si="142"/>
        <v>0</v>
      </c>
      <c r="EB23" s="87">
        <v>384468</v>
      </c>
      <c r="EC23" s="87">
        <f t="shared" si="143"/>
        <v>321</v>
      </c>
      <c r="ED23" s="87">
        <v>886683</v>
      </c>
      <c r="EE23" s="87">
        <f t="shared" si="144"/>
        <v>700</v>
      </c>
      <c r="EF23" s="87">
        <v>427830</v>
      </c>
      <c r="EG23" s="87">
        <f t="shared" si="145"/>
        <v>109</v>
      </c>
      <c r="EH23" s="87">
        <v>2598</v>
      </c>
      <c r="EI23" s="87">
        <f t="shared" si="146"/>
        <v>0</v>
      </c>
      <c r="EJ23" s="87">
        <v>977964</v>
      </c>
      <c r="EK23" s="87">
        <f t="shared" si="147"/>
        <v>436</v>
      </c>
      <c r="EL23" s="87">
        <v>3486762</v>
      </c>
      <c r="EM23" s="87">
        <f t="shared" si="148"/>
        <v>348</v>
      </c>
      <c r="EN23" s="87">
        <v>3859220</v>
      </c>
      <c r="EO23" s="87">
        <f t="shared" si="149"/>
        <v>385</v>
      </c>
      <c r="EP23" s="87">
        <v>4210921</v>
      </c>
      <c r="EQ23" s="87">
        <f t="shared" si="150"/>
        <v>437</v>
      </c>
      <c r="ER23" s="87">
        <v>5321260</v>
      </c>
      <c r="ES23" s="87">
        <f t="shared" si="151"/>
        <v>482</v>
      </c>
      <c r="ET23" s="87">
        <v>4361906</v>
      </c>
      <c r="EU23" s="87">
        <f t="shared" si="152"/>
        <v>410</v>
      </c>
      <c r="EV23" s="87">
        <v>4497820</v>
      </c>
      <c r="EW23" s="87">
        <f t="shared" si="153"/>
        <v>444</v>
      </c>
      <c r="EX23" s="87">
        <v>8804219</v>
      </c>
      <c r="EY23" s="87">
        <f t="shared" si="154"/>
        <v>853</v>
      </c>
      <c r="EZ23" s="87">
        <v>8705328</v>
      </c>
      <c r="FA23" s="87">
        <f t="shared" si="155"/>
        <v>1460</v>
      </c>
      <c r="FB23" s="87">
        <v>8665513</v>
      </c>
      <c r="FC23" s="87">
        <f t="shared" si="156"/>
        <v>704</v>
      </c>
      <c r="FD23" s="87">
        <v>8170497</v>
      </c>
      <c r="FE23" s="87">
        <f t="shared" si="157"/>
        <v>773</v>
      </c>
      <c r="FF23" s="87">
        <v>5148975</v>
      </c>
      <c r="FG23" s="87">
        <f t="shared" si="158"/>
        <v>694</v>
      </c>
      <c r="FH23" s="87">
        <v>3348868</v>
      </c>
      <c r="FI23" s="87">
        <f t="shared" si="159"/>
        <v>492</v>
      </c>
      <c r="FJ23" s="87">
        <v>1570798</v>
      </c>
      <c r="FK23" s="87">
        <f t="shared" si="160"/>
        <v>229</v>
      </c>
      <c r="FL23" s="87"/>
      <c r="FM23" s="87"/>
    </row>
    <row r="24" spans="1:169" s="46" customFormat="1" ht="30" customHeight="1">
      <c r="A24" s="86">
        <v>44175</v>
      </c>
      <c r="B24" s="87">
        <v>20742785</v>
      </c>
      <c r="C24" s="83">
        <f t="shared" si="83"/>
        <v>2212</v>
      </c>
      <c r="D24" s="87">
        <v>2312417</v>
      </c>
      <c r="E24" s="83">
        <f t="shared" si="84"/>
        <v>267</v>
      </c>
      <c r="F24" s="87">
        <v>27614926</v>
      </c>
      <c r="G24" s="83">
        <f t="shared" si="85"/>
        <v>3422</v>
      </c>
      <c r="H24" s="87">
        <v>5747397</v>
      </c>
      <c r="I24" s="83">
        <f t="shared" si="86"/>
        <v>526</v>
      </c>
      <c r="J24" s="87"/>
      <c r="K24" s="87"/>
      <c r="L24" s="87">
        <v>21665278</v>
      </c>
      <c r="M24" s="87">
        <f t="shared" si="87"/>
        <v>1843</v>
      </c>
      <c r="N24" s="87">
        <v>72789261</v>
      </c>
      <c r="O24" s="87">
        <f t="shared" si="88"/>
        <v>8907</v>
      </c>
      <c r="P24" s="87">
        <v>24176</v>
      </c>
      <c r="Q24" s="87">
        <f t="shared" si="89"/>
        <v>14</v>
      </c>
      <c r="R24" s="87">
        <v>4855</v>
      </c>
      <c r="S24" s="87">
        <f t="shared" si="90"/>
        <v>0</v>
      </c>
      <c r="T24" s="87">
        <v>31572159</v>
      </c>
      <c r="U24" s="87">
        <f t="shared" si="91"/>
        <v>3213</v>
      </c>
      <c r="V24" s="87">
        <v>1623409</v>
      </c>
      <c r="W24" s="87">
        <f t="shared" si="92"/>
        <v>235</v>
      </c>
      <c r="X24" s="87">
        <v>1871671</v>
      </c>
      <c r="Y24" s="87">
        <f t="shared" si="93"/>
        <v>206</v>
      </c>
      <c r="Z24" s="87">
        <v>3500085</v>
      </c>
      <c r="AA24" s="83">
        <f t="shared" si="94"/>
        <v>581</v>
      </c>
      <c r="AB24" s="87"/>
      <c r="AC24" s="87"/>
      <c r="AD24" s="87">
        <v>54815773</v>
      </c>
      <c r="AE24" s="87">
        <f t="shared" si="95"/>
        <v>5631</v>
      </c>
      <c r="AF24" s="87">
        <v>9941331</v>
      </c>
      <c r="AG24" s="87">
        <f t="shared" si="96"/>
        <v>1151</v>
      </c>
      <c r="AH24" s="87">
        <v>1545381</v>
      </c>
      <c r="AI24" s="87">
        <f t="shared" si="97"/>
        <v>196</v>
      </c>
      <c r="AJ24" s="87">
        <v>1767831</v>
      </c>
      <c r="AK24" s="87">
        <f t="shared" si="98"/>
        <v>194</v>
      </c>
      <c r="AL24" s="87">
        <v>4846660</v>
      </c>
      <c r="AM24" s="87">
        <f t="shared" si="99"/>
        <v>546</v>
      </c>
      <c r="AN24" s="87">
        <v>5154407</v>
      </c>
      <c r="AO24" s="87">
        <f t="shared" si="100"/>
        <v>828</v>
      </c>
      <c r="AP24" s="87"/>
      <c r="AQ24" s="87"/>
      <c r="AR24" s="87">
        <v>1141891</v>
      </c>
      <c r="AS24" s="87">
        <f t="shared" si="101"/>
        <v>305</v>
      </c>
      <c r="AT24" s="87">
        <v>3142008</v>
      </c>
      <c r="AU24" s="87">
        <f t="shared" si="102"/>
        <v>479</v>
      </c>
      <c r="AV24" s="87"/>
      <c r="AW24" s="87"/>
      <c r="AX24" s="87">
        <v>575269</v>
      </c>
      <c r="AY24" s="87">
        <f t="shared" si="103"/>
        <v>186</v>
      </c>
      <c r="AZ24" s="87">
        <v>2363066</v>
      </c>
      <c r="BA24" s="87">
        <f t="shared" si="104"/>
        <v>72</v>
      </c>
      <c r="BB24" s="87">
        <v>4690104</v>
      </c>
      <c r="BC24" s="87">
        <f t="shared" si="105"/>
        <v>651</v>
      </c>
      <c r="BD24" s="87">
        <v>41696781</v>
      </c>
      <c r="BE24" s="87">
        <f t="shared" si="106"/>
        <v>5722</v>
      </c>
      <c r="BF24" s="87">
        <v>58997255</v>
      </c>
      <c r="BG24" s="87">
        <f t="shared" si="107"/>
        <v>8767</v>
      </c>
      <c r="BH24" s="87">
        <v>435324</v>
      </c>
      <c r="BI24" s="87">
        <f t="shared" si="108"/>
        <v>127</v>
      </c>
      <c r="BJ24" s="87">
        <v>11256799</v>
      </c>
      <c r="BK24" s="87">
        <f t="shared" si="109"/>
        <v>1747</v>
      </c>
      <c r="BL24" s="87">
        <v>1593069</v>
      </c>
      <c r="BM24" s="87">
        <f t="shared" si="110"/>
        <v>400</v>
      </c>
      <c r="BN24" s="87">
        <v>2341188</v>
      </c>
      <c r="BO24" s="87">
        <f t="shared" si="111"/>
        <v>86</v>
      </c>
      <c r="BP24" s="87">
        <v>10689973</v>
      </c>
      <c r="BQ24" s="87">
        <f t="shared" si="112"/>
        <v>1740</v>
      </c>
      <c r="BR24" s="87">
        <v>2624061</v>
      </c>
      <c r="BS24" s="87">
        <f t="shared" si="113"/>
        <v>220</v>
      </c>
      <c r="BT24" s="87">
        <v>13073735</v>
      </c>
      <c r="BU24" s="87">
        <f t="shared" si="114"/>
        <v>1905</v>
      </c>
      <c r="BV24" s="87">
        <v>10257403</v>
      </c>
      <c r="BW24" s="87">
        <f t="shared" si="115"/>
        <v>1511</v>
      </c>
      <c r="BX24" s="87">
        <v>1579095</v>
      </c>
      <c r="BY24" s="87">
        <f t="shared" si="116"/>
        <v>181</v>
      </c>
      <c r="BZ24" s="87">
        <v>19903655</v>
      </c>
      <c r="CA24" s="87">
        <f t="shared" si="117"/>
        <v>0</v>
      </c>
      <c r="CB24" s="87">
        <v>17452479</v>
      </c>
      <c r="CC24" s="87">
        <f t="shared" si="118"/>
        <v>0</v>
      </c>
      <c r="CD24" s="87">
        <v>18110963</v>
      </c>
      <c r="CE24" s="87">
        <f t="shared" si="119"/>
        <v>73</v>
      </c>
      <c r="CF24" s="87">
        <v>14101274</v>
      </c>
      <c r="CG24" s="87">
        <f t="shared" si="120"/>
        <v>971</v>
      </c>
      <c r="CH24" s="87">
        <v>4297547</v>
      </c>
      <c r="CI24" s="87">
        <f t="shared" si="121"/>
        <v>448</v>
      </c>
      <c r="CJ24" s="87">
        <v>4772933</v>
      </c>
      <c r="CK24" s="87">
        <f t="shared" si="122"/>
        <v>408</v>
      </c>
      <c r="CL24" s="87">
        <v>2717025</v>
      </c>
      <c r="CM24" s="87">
        <f t="shared" si="123"/>
        <v>117</v>
      </c>
      <c r="CN24" s="87">
        <v>69455937</v>
      </c>
      <c r="CO24" s="87">
        <f t="shared" si="124"/>
        <v>9487</v>
      </c>
      <c r="CP24" s="87">
        <v>4461626</v>
      </c>
      <c r="CQ24" s="87">
        <f t="shared" si="125"/>
        <v>305</v>
      </c>
      <c r="CR24" s="87">
        <v>5181802</v>
      </c>
      <c r="CS24" s="87">
        <f t="shared" si="126"/>
        <v>163</v>
      </c>
      <c r="CT24" s="87">
        <v>3054414</v>
      </c>
      <c r="CU24" s="87">
        <f t="shared" si="127"/>
        <v>253</v>
      </c>
      <c r="CV24" s="87">
        <v>41520086</v>
      </c>
      <c r="CW24" s="87">
        <f t="shared" si="128"/>
        <v>6767</v>
      </c>
      <c r="CX24" s="87">
        <v>6346044</v>
      </c>
      <c r="CY24" s="87">
        <f t="shared" si="129"/>
        <v>557</v>
      </c>
      <c r="CZ24" s="87">
        <v>6306484</v>
      </c>
      <c r="DA24" s="87">
        <f t="shared" si="130"/>
        <v>748</v>
      </c>
      <c r="DB24" s="87">
        <v>56640648</v>
      </c>
      <c r="DC24" s="87">
        <f t="shared" si="131"/>
        <v>4383</v>
      </c>
      <c r="DD24" s="87">
        <v>2000833</v>
      </c>
      <c r="DE24" s="87">
        <f t="shared" si="132"/>
        <v>495</v>
      </c>
      <c r="DF24" s="87">
        <v>21938716</v>
      </c>
      <c r="DG24" s="87">
        <f t="shared" si="133"/>
        <v>3699</v>
      </c>
      <c r="DH24" s="87">
        <v>32287320</v>
      </c>
      <c r="DI24" s="87">
        <f t="shared" si="134"/>
        <v>20</v>
      </c>
      <c r="DJ24" s="87"/>
      <c r="DK24" s="87"/>
      <c r="DL24" s="87">
        <v>987440</v>
      </c>
      <c r="DM24" s="87">
        <f t="shared" si="135"/>
        <v>148</v>
      </c>
      <c r="DN24" s="87">
        <v>1054242</v>
      </c>
      <c r="DO24" s="87">
        <f t="shared" si="136"/>
        <v>180</v>
      </c>
      <c r="DP24" s="87">
        <v>1181336</v>
      </c>
      <c r="DQ24" s="87">
        <f t="shared" si="137"/>
        <v>525</v>
      </c>
      <c r="DR24" s="87">
        <v>1111473</v>
      </c>
      <c r="DS24" s="87">
        <f t="shared" si="138"/>
        <v>663</v>
      </c>
      <c r="DT24" s="87">
        <v>967548</v>
      </c>
      <c r="DU24" s="87">
        <f t="shared" si="139"/>
        <v>1008</v>
      </c>
      <c r="DV24" s="87">
        <v>1275129</v>
      </c>
      <c r="DW24" s="87">
        <f t="shared" si="140"/>
        <v>1364</v>
      </c>
      <c r="DX24" s="87">
        <v>811102</v>
      </c>
      <c r="DY24" s="87">
        <f t="shared" si="141"/>
        <v>498</v>
      </c>
      <c r="DZ24" s="87">
        <v>1442</v>
      </c>
      <c r="EA24" s="87">
        <f t="shared" si="142"/>
        <v>0</v>
      </c>
      <c r="EB24" s="87">
        <v>384775</v>
      </c>
      <c r="EC24" s="87">
        <f t="shared" si="143"/>
        <v>307</v>
      </c>
      <c r="ED24" s="87">
        <v>887376</v>
      </c>
      <c r="EE24" s="87">
        <f t="shared" si="144"/>
        <v>693</v>
      </c>
      <c r="EF24" s="87">
        <v>427947</v>
      </c>
      <c r="EG24" s="87">
        <f t="shared" si="145"/>
        <v>117</v>
      </c>
      <c r="EH24" s="87">
        <v>2598</v>
      </c>
      <c r="EI24" s="87">
        <f t="shared" si="146"/>
        <v>0</v>
      </c>
      <c r="EJ24" s="87">
        <v>978396</v>
      </c>
      <c r="EK24" s="87">
        <f t="shared" si="147"/>
        <v>432</v>
      </c>
      <c r="EL24" s="87">
        <v>3487085</v>
      </c>
      <c r="EM24" s="87">
        <f t="shared" si="148"/>
        <v>323</v>
      </c>
      <c r="EN24" s="87">
        <v>3859602</v>
      </c>
      <c r="EO24" s="87">
        <f t="shared" si="149"/>
        <v>382</v>
      </c>
      <c r="EP24" s="87">
        <v>4211377</v>
      </c>
      <c r="EQ24" s="87">
        <f t="shared" si="150"/>
        <v>456</v>
      </c>
      <c r="ER24" s="87">
        <v>5321793</v>
      </c>
      <c r="ES24" s="87">
        <f t="shared" si="151"/>
        <v>533</v>
      </c>
      <c r="ET24" s="87">
        <v>4362305</v>
      </c>
      <c r="EU24" s="87">
        <f t="shared" si="152"/>
        <v>399</v>
      </c>
      <c r="EV24" s="87">
        <v>4498266</v>
      </c>
      <c r="EW24" s="87">
        <f t="shared" si="153"/>
        <v>446</v>
      </c>
      <c r="EX24" s="87">
        <v>8805093</v>
      </c>
      <c r="EY24" s="87">
        <f t="shared" si="154"/>
        <v>874</v>
      </c>
      <c r="EZ24" s="87">
        <v>8706802</v>
      </c>
      <c r="FA24" s="87">
        <f t="shared" si="155"/>
        <v>1474</v>
      </c>
      <c r="FB24" s="87">
        <v>8666220</v>
      </c>
      <c r="FC24" s="87">
        <f t="shared" si="156"/>
        <v>707</v>
      </c>
      <c r="FD24" s="87">
        <v>8171262</v>
      </c>
      <c r="FE24" s="87">
        <f t="shared" si="157"/>
        <v>765</v>
      </c>
      <c r="FF24" s="87">
        <v>5149685</v>
      </c>
      <c r="FG24" s="87">
        <f t="shared" si="158"/>
        <v>710</v>
      </c>
      <c r="FH24" s="87">
        <v>3349361</v>
      </c>
      <c r="FI24" s="87">
        <f t="shared" si="159"/>
        <v>493</v>
      </c>
      <c r="FJ24" s="87">
        <v>1571031</v>
      </c>
      <c r="FK24" s="87">
        <f t="shared" si="160"/>
        <v>233</v>
      </c>
      <c r="FL24" s="87"/>
      <c r="FM24" s="87"/>
    </row>
    <row r="25" spans="1:169" s="46" customFormat="1" ht="30" customHeight="1">
      <c r="A25" s="86">
        <v>44176</v>
      </c>
      <c r="B25" s="87">
        <v>20744752</v>
      </c>
      <c r="C25" s="87">
        <f t="shared" si="83"/>
        <v>1967</v>
      </c>
      <c r="D25" s="87">
        <v>2312661</v>
      </c>
      <c r="E25" s="87">
        <f t="shared" si="84"/>
        <v>244</v>
      </c>
      <c r="F25" s="87">
        <v>27618325</v>
      </c>
      <c r="G25" s="87">
        <f t="shared" si="85"/>
        <v>3399</v>
      </c>
      <c r="H25" s="87">
        <v>5747899</v>
      </c>
      <c r="I25" s="87">
        <f t="shared" si="86"/>
        <v>502</v>
      </c>
      <c r="J25" s="87"/>
      <c r="K25" s="87"/>
      <c r="L25" s="87">
        <v>21667072</v>
      </c>
      <c r="M25" s="87">
        <f t="shared" si="87"/>
        <v>1794</v>
      </c>
      <c r="N25" s="87">
        <v>72798072</v>
      </c>
      <c r="O25" s="87">
        <f t="shared" si="88"/>
        <v>8811</v>
      </c>
      <c r="P25" s="87">
        <v>24190</v>
      </c>
      <c r="Q25" s="87">
        <f t="shared" si="89"/>
        <v>14</v>
      </c>
      <c r="R25" s="87">
        <v>4855</v>
      </c>
      <c r="S25" s="87">
        <f t="shared" si="90"/>
        <v>0</v>
      </c>
      <c r="T25" s="87">
        <v>31575407</v>
      </c>
      <c r="U25" s="87">
        <f t="shared" si="91"/>
        <v>3248</v>
      </c>
      <c r="V25" s="87">
        <v>1623642</v>
      </c>
      <c r="W25" s="87">
        <f t="shared" si="92"/>
        <v>233</v>
      </c>
      <c r="X25" s="87">
        <v>1871874</v>
      </c>
      <c r="Y25" s="87">
        <f t="shared" si="93"/>
        <v>203</v>
      </c>
      <c r="Z25" s="87">
        <v>3500659</v>
      </c>
      <c r="AA25" s="87">
        <f t="shared" si="94"/>
        <v>574</v>
      </c>
      <c r="AB25" s="87"/>
      <c r="AC25" s="87"/>
      <c r="AD25" s="87">
        <v>54821589</v>
      </c>
      <c r="AE25" s="87">
        <f t="shared" si="95"/>
        <v>5816</v>
      </c>
      <c r="AF25" s="87">
        <v>9942558</v>
      </c>
      <c r="AG25" s="87">
        <f t="shared" si="96"/>
        <v>1227</v>
      </c>
      <c r="AH25" s="87">
        <v>1545587</v>
      </c>
      <c r="AI25" s="87">
        <f t="shared" si="97"/>
        <v>206</v>
      </c>
      <c r="AJ25" s="87">
        <v>1768036</v>
      </c>
      <c r="AK25" s="87">
        <f t="shared" si="98"/>
        <v>205</v>
      </c>
      <c r="AL25" s="87">
        <v>4847188</v>
      </c>
      <c r="AM25" s="87">
        <f t="shared" si="99"/>
        <v>528</v>
      </c>
      <c r="AN25" s="87">
        <v>5155166</v>
      </c>
      <c r="AO25" s="87">
        <f t="shared" si="100"/>
        <v>759</v>
      </c>
      <c r="AP25" s="87"/>
      <c r="AQ25" s="87"/>
      <c r="AR25" s="87">
        <v>1142195</v>
      </c>
      <c r="AS25" s="87">
        <f t="shared" si="101"/>
        <v>304</v>
      </c>
      <c r="AT25" s="87">
        <v>3142481</v>
      </c>
      <c r="AU25" s="87">
        <f t="shared" si="102"/>
        <v>473</v>
      </c>
      <c r="AV25" s="87"/>
      <c r="AW25" s="87"/>
      <c r="AX25" s="87">
        <v>575456</v>
      </c>
      <c r="AY25" s="87">
        <f t="shared" si="103"/>
        <v>187</v>
      </c>
      <c r="AZ25" s="87">
        <v>2363094</v>
      </c>
      <c r="BA25" s="87">
        <f t="shared" si="104"/>
        <v>28</v>
      </c>
      <c r="BB25" s="87">
        <v>4690675</v>
      </c>
      <c r="BC25" s="87">
        <f t="shared" si="105"/>
        <v>571</v>
      </c>
      <c r="BD25" s="87">
        <v>41702269</v>
      </c>
      <c r="BE25" s="87">
        <f t="shared" si="106"/>
        <v>5488</v>
      </c>
      <c r="BF25" s="87">
        <v>59005464</v>
      </c>
      <c r="BG25" s="87">
        <f t="shared" si="107"/>
        <v>8209</v>
      </c>
      <c r="BH25" s="87">
        <v>435439</v>
      </c>
      <c r="BI25" s="87">
        <f t="shared" si="108"/>
        <v>115</v>
      </c>
      <c r="BJ25" s="87">
        <v>11258545</v>
      </c>
      <c r="BK25" s="87">
        <f t="shared" si="109"/>
        <v>1746</v>
      </c>
      <c r="BL25" s="87">
        <v>1593470</v>
      </c>
      <c r="BM25" s="87">
        <f t="shared" si="110"/>
        <v>401</v>
      </c>
      <c r="BN25" s="87">
        <v>2341326</v>
      </c>
      <c r="BO25" s="87">
        <f t="shared" si="111"/>
        <v>138</v>
      </c>
      <c r="BP25" s="87">
        <v>10691604</v>
      </c>
      <c r="BQ25" s="87">
        <f t="shared" si="112"/>
        <v>1631</v>
      </c>
      <c r="BR25" s="87">
        <v>2624285</v>
      </c>
      <c r="BS25" s="87">
        <f t="shared" si="113"/>
        <v>224</v>
      </c>
      <c r="BT25" s="87">
        <v>13075381</v>
      </c>
      <c r="BU25" s="87">
        <f t="shared" si="114"/>
        <v>1646</v>
      </c>
      <c r="BV25" s="87">
        <v>10258707</v>
      </c>
      <c r="BW25" s="87">
        <f t="shared" si="115"/>
        <v>1304</v>
      </c>
      <c r="BX25" s="87">
        <v>1579264</v>
      </c>
      <c r="BY25" s="87">
        <f t="shared" si="116"/>
        <v>169</v>
      </c>
      <c r="BZ25" s="87">
        <v>19903655</v>
      </c>
      <c r="CA25" s="87">
        <f t="shared" si="117"/>
        <v>0</v>
      </c>
      <c r="CB25" s="87">
        <v>17452479</v>
      </c>
      <c r="CC25" s="87">
        <f t="shared" si="118"/>
        <v>0</v>
      </c>
      <c r="CD25" s="87">
        <v>18111036</v>
      </c>
      <c r="CE25" s="87">
        <f t="shared" si="119"/>
        <v>73</v>
      </c>
      <c r="CF25" s="87">
        <v>14102317</v>
      </c>
      <c r="CG25" s="87">
        <f t="shared" si="120"/>
        <v>1043</v>
      </c>
      <c r="CH25" s="87">
        <v>4298002</v>
      </c>
      <c r="CI25" s="87">
        <f t="shared" si="121"/>
        <v>455</v>
      </c>
      <c r="CJ25" s="87">
        <v>4773356</v>
      </c>
      <c r="CK25" s="87">
        <f t="shared" si="122"/>
        <v>423</v>
      </c>
      <c r="CL25" s="87">
        <v>2717192</v>
      </c>
      <c r="CM25" s="87">
        <f t="shared" si="123"/>
        <v>167</v>
      </c>
      <c r="CN25" s="87">
        <v>69466751</v>
      </c>
      <c r="CO25" s="87">
        <f t="shared" si="124"/>
        <v>10814</v>
      </c>
      <c r="CP25" s="87">
        <v>4461796</v>
      </c>
      <c r="CQ25" s="87">
        <f t="shared" si="125"/>
        <v>170</v>
      </c>
      <c r="CR25" s="87">
        <v>5181979</v>
      </c>
      <c r="CS25" s="87">
        <f t="shared" si="126"/>
        <v>177</v>
      </c>
      <c r="CT25" s="87">
        <v>3054666</v>
      </c>
      <c r="CU25" s="87">
        <f t="shared" si="127"/>
        <v>252</v>
      </c>
      <c r="CV25" s="87">
        <v>41528267</v>
      </c>
      <c r="CW25" s="87">
        <f t="shared" si="128"/>
        <v>8181</v>
      </c>
      <c r="CX25" s="87">
        <v>6346606</v>
      </c>
      <c r="CY25" s="87">
        <f t="shared" si="129"/>
        <v>562</v>
      </c>
      <c r="CZ25" s="87">
        <v>6307226</v>
      </c>
      <c r="DA25" s="87">
        <f t="shared" si="130"/>
        <v>742</v>
      </c>
      <c r="DB25" s="87">
        <v>56644816</v>
      </c>
      <c r="DC25" s="87">
        <f t="shared" si="131"/>
        <v>4168</v>
      </c>
      <c r="DD25" s="87">
        <v>2001316</v>
      </c>
      <c r="DE25" s="87">
        <f t="shared" si="132"/>
        <v>483</v>
      </c>
      <c r="DF25" s="87">
        <v>21942264</v>
      </c>
      <c r="DG25" s="87">
        <f t="shared" si="133"/>
        <v>3548</v>
      </c>
      <c r="DH25" s="87">
        <v>32287340</v>
      </c>
      <c r="DI25" s="87">
        <f t="shared" si="134"/>
        <v>20</v>
      </c>
      <c r="DJ25" s="87"/>
      <c r="DK25" s="87"/>
      <c r="DL25" s="87">
        <v>987604</v>
      </c>
      <c r="DM25" s="87">
        <f t="shared" si="135"/>
        <v>164</v>
      </c>
      <c r="DN25" s="87">
        <v>1054401</v>
      </c>
      <c r="DO25" s="87">
        <f t="shared" si="136"/>
        <v>159</v>
      </c>
      <c r="DP25" s="87">
        <v>1181918</v>
      </c>
      <c r="DQ25" s="87">
        <f t="shared" si="137"/>
        <v>582</v>
      </c>
      <c r="DR25" s="87">
        <v>1112207</v>
      </c>
      <c r="DS25" s="87">
        <f t="shared" si="138"/>
        <v>734</v>
      </c>
      <c r="DT25" s="87">
        <v>968570</v>
      </c>
      <c r="DU25" s="87">
        <f t="shared" si="139"/>
        <v>1022</v>
      </c>
      <c r="DV25" s="87">
        <v>1276490</v>
      </c>
      <c r="DW25" s="87">
        <f t="shared" si="140"/>
        <v>1361</v>
      </c>
      <c r="DX25" s="87">
        <v>811594</v>
      </c>
      <c r="DY25" s="87">
        <f t="shared" si="141"/>
        <v>492</v>
      </c>
      <c r="DZ25" s="87">
        <v>1442</v>
      </c>
      <c r="EA25" s="87">
        <f t="shared" si="142"/>
        <v>0</v>
      </c>
      <c r="EB25" s="87">
        <v>385109</v>
      </c>
      <c r="EC25" s="87">
        <f t="shared" si="143"/>
        <v>334</v>
      </c>
      <c r="ED25" s="87">
        <v>888070</v>
      </c>
      <c r="EE25" s="87">
        <f t="shared" si="144"/>
        <v>694</v>
      </c>
      <c r="EF25" s="87">
        <v>428065</v>
      </c>
      <c r="EG25" s="87">
        <f t="shared" si="145"/>
        <v>118</v>
      </c>
      <c r="EH25" s="87">
        <v>2598</v>
      </c>
      <c r="EI25" s="87">
        <f t="shared" si="146"/>
        <v>0</v>
      </c>
      <c r="EJ25" s="87">
        <v>978857</v>
      </c>
      <c r="EK25" s="87">
        <f t="shared" si="147"/>
        <v>461</v>
      </c>
      <c r="EL25" s="87">
        <v>3487409</v>
      </c>
      <c r="EM25" s="87">
        <f t="shared" si="148"/>
        <v>324</v>
      </c>
      <c r="EN25" s="87">
        <v>3859989</v>
      </c>
      <c r="EO25" s="87">
        <f t="shared" si="149"/>
        <v>387</v>
      </c>
      <c r="EP25" s="87">
        <v>4211819</v>
      </c>
      <c r="EQ25" s="87">
        <f t="shared" si="150"/>
        <v>442</v>
      </c>
      <c r="ER25" s="87">
        <v>5322340</v>
      </c>
      <c r="ES25" s="87">
        <f t="shared" si="151"/>
        <v>547</v>
      </c>
      <c r="ET25" s="87">
        <v>4362696</v>
      </c>
      <c r="EU25" s="87">
        <f t="shared" si="152"/>
        <v>391</v>
      </c>
      <c r="EV25" s="87">
        <v>4498704</v>
      </c>
      <c r="EW25" s="87">
        <f t="shared" si="153"/>
        <v>438</v>
      </c>
      <c r="EX25" s="87">
        <v>8805967</v>
      </c>
      <c r="EY25" s="87">
        <f t="shared" si="154"/>
        <v>874</v>
      </c>
      <c r="EZ25" s="87">
        <v>8708203</v>
      </c>
      <c r="FA25" s="87">
        <f t="shared" si="155"/>
        <v>1401</v>
      </c>
      <c r="FB25" s="87">
        <v>8666923</v>
      </c>
      <c r="FC25" s="87">
        <f t="shared" si="156"/>
        <v>703</v>
      </c>
      <c r="FD25" s="87">
        <v>8172007</v>
      </c>
      <c r="FE25" s="87">
        <f t="shared" si="157"/>
        <v>745</v>
      </c>
      <c r="FF25" s="87">
        <v>5150376</v>
      </c>
      <c r="FG25" s="87">
        <f t="shared" si="158"/>
        <v>691</v>
      </c>
      <c r="FH25" s="87">
        <v>3349860</v>
      </c>
      <c r="FI25" s="87">
        <f t="shared" si="159"/>
        <v>499</v>
      </c>
      <c r="FJ25" s="87">
        <v>1571258</v>
      </c>
      <c r="FK25" s="87">
        <f t="shared" si="160"/>
        <v>227</v>
      </c>
      <c r="FL25" s="87"/>
      <c r="FM25" s="87"/>
    </row>
    <row r="26" spans="1:169" s="46" customFormat="1" ht="30" customHeight="1">
      <c r="A26" s="86">
        <v>44177</v>
      </c>
      <c r="B26" s="87">
        <v>20746713</v>
      </c>
      <c r="C26" s="83">
        <f t="shared" si="83"/>
        <v>1961</v>
      </c>
      <c r="D26" s="87">
        <v>2312882</v>
      </c>
      <c r="E26" s="83">
        <f t="shared" si="84"/>
        <v>221</v>
      </c>
      <c r="F26" s="87">
        <v>27621712</v>
      </c>
      <c r="G26" s="83">
        <f t="shared" si="85"/>
        <v>3387</v>
      </c>
      <c r="H26" s="87">
        <v>5748438</v>
      </c>
      <c r="I26" s="83">
        <f t="shared" si="86"/>
        <v>539</v>
      </c>
      <c r="J26" s="87"/>
      <c r="K26" s="87"/>
      <c r="L26" s="87">
        <v>21668926</v>
      </c>
      <c r="M26" s="87">
        <f t="shared" si="87"/>
        <v>1854</v>
      </c>
      <c r="N26" s="87">
        <v>72806778</v>
      </c>
      <c r="O26" s="87">
        <f t="shared" si="88"/>
        <v>8706</v>
      </c>
      <c r="P26" s="87">
        <v>24204</v>
      </c>
      <c r="Q26" s="87">
        <f t="shared" si="89"/>
        <v>14</v>
      </c>
      <c r="R26" s="87">
        <v>4855</v>
      </c>
      <c r="S26" s="87">
        <f t="shared" si="90"/>
        <v>0</v>
      </c>
      <c r="T26" s="87">
        <v>31578851</v>
      </c>
      <c r="U26" s="87">
        <f t="shared" si="91"/>
        <v>3444</v>
      </c>
      <c r="V26" s="87">
        <v>1623879</v>
      </c>
      <c r="W26" s="87">
        <f t="shared" si="92"/>
        <v>237</v>
      </c>
      <c r="X26" s="87">
        <v>1872077</v>
      </c>
      <c r="Y26" s="87">
        <f t="shared" si="93"/>
        <v>203</v>
      </c>
      <c r="Z26" s="87">
        <v>3501232</v>
      </c>
      <c r="AA26" s="83">
        <f t="shared" si="94"/>
        <v>573</v>
      </c>
      <c r="AB26" s="87"/>
      <c r="AC26" s="87"/>
      <c r="AD26" s="87">
        <v>54827827</v>
      </c>
      <c r="AE26" s="87">
        <f t="shared" si="95"/>
        <v>6238</v>
      </c>
      <c r="AF26" s="87">
        <v>9943858</v>
      </c>
      <c r="AG26" s="87">
        <f t="shared" si="96"/>
        <v>1300</v>
      </c>
      <c r="AH26" s="87">
        <v>1545797</v>
      </c>
      <c r="AI26" s="87">
        <f t="shared" si="97"/>
        <v>210</v>
      </c>
      <c r="AJ26" s="87">
        <v>1768254</v>
      </c>
      <c r="AK26" s="87">
        <f t="shared" si="98"/>
        <v>218</v>
      </c>
      <c r="AL26" s="87">
        <v>4847720</v>
      </c>
      <c r="AM26" s="87">
        <f t="shared" si="99"/>
        <v>532</v>
      </c>
      <c r="AN26" s="87">
        <v>5155998</v>
      </c>
      <c r="AO26" s="87">
        <f t="shared" si="100"/>
        <v>832</v>
      </c>
      <c r="AP26" s="87"/>
      <c r="AQ26" s="87"/>
      <c r="AR26" s="87">
        <v>1142499</v>
      </c>
      <c r="AS26" s="87">
        <f t="shared" si="101"/>
        <v>304</v>
      </c>
      <c r="AT26" s="87">
        <v>3143028</v>
      </c>
      <c r="AU26" s="87">
        <f t="shared" si="102"/>
        <v>547</v>
      </c>
      <c r="AV26" s="87"/>
      <c r="AW26" s="87"/>
      <c r="AX26" s="87">
        <v>575642</v>
      </c>
      <c r="AY26" s="87">
        <f t="shared" si="103"/>
        <v>186</v>
      </c>
      <c r="AZ26" s="87">
        <v>2363114</v>
      </c>
      <c r="BA26" s="87">
        <f t="shared" si="104"/>
        <v>20</v>
      </c>
      <c r="BB26" s="87">
        <v>4691257</v>
      </c>
      <c r="BC26" s="87">
        <f t="shared" si="105"/>
        <v>582</v>
      </c>
      <c r="BD26" s="87">
        <v>41708029</v>
      </c>
      <c r="BE26" s="87">
        <f t="shared" si="106"/>
        <v>5760</v>
      </c>
      <c r="BF26" s="87">
        <v>59013996</v>
      </c>
      <c r="BG26" s="87">
        <f t="shared" si="107"/>
        <v>8532</v>
      </c>
      <c r="BH26" s="87">
        <v>435557</v>
      </c>
      <c r="BI26" s="87">
        <f t="shared" si="108"/>
        <v>118</v>
      </c>
      <c r="BJ26" s="87">
        <v>11260282</v>
      </c>
      <c r="BK26" s="87">
        <f t="shared" si="109"/>
        <v>1737</v>
      </c>
      <c r="BL26" s="87">
        <v>1593869</v>
      </c>
      <c r="BM26" s="87">
        <f t="shared" si="110"/>
        <v>399</v>
      </c>
      <c r="BN26" s="87">
        <v>2341543</v>
      </c>
      <c r="BO26" s="87">
        <f t="shared" si="111"/>
        <v>217</v>
      </c>
      <c r="BP26" s="87">
        <v>10693425</v>
      </c>
      <c r="BQ26" s="87">
        <f t="shared" si="112"/>
        <v>1821</v>
      </c>
      <c r="BR26" s="87">
        <v>2624501</v>
      </c>
      <c r="BS26" s="87">
        <f t="shared" si="113"/>
        <v>216</v>
      </c>
      <c r="BT26" s="87">
        <v>13077012</v>
      </c>
      <c r="BU26" s="87">
        <f t="shared" si="114"/>
        <v>1631</v>
      </c>
      <c r="BV26" s="87">
        <v>10260023</v>
      </c>
      <c r="BW26" s="87">
        <f t="shared" si="115"/>
        <v>1316</v>
      </c>
      <c r="BX26" s="87">
        <v>1579471</v>
      </c>
      <c r="BY26" s="87">
        <f t="shared" si="116"/>
        <v>207</v>
      </c>
      <c r="BZ26" s="87">
        <v>19903655</v>
      </c>
      <c r="CA26" s="87">
        <f t="shared" si="117"/>
        <v>0</v>
      </c>
      <c r="CB26" s="87">
        <v>17452480</v>
      </c>
      <c r="CC26" s="87">
        <f t="shared" si="118"/>
        <v>1</v>
      </c>
      <c r="CD26" s="87">
        <v>18111109</v>
      </c>
      <c r="CE26" s="87">
        <f t="shared" si="119"/>
        <v>73</v>
      </c>
      <c r="CF26" s="87">
        <v>14103375</v>
      </c>
      <c r="CG26" s="87">
        <f t="shared" si="120"/>
        <v>1058</v>
      </c>
      <c r="CH26" s="87">
        <v>4298449</v>
      </c>
      <c r="CI26" s="87">
        <f t="shared" si="121"/>
        <v>447</v>
      </c>
      <c r="CJ26" s="87">
        <v>4773774</v>
      </c>
      <c r="CK26" s="87">
        <f t="shared" si="122"/>
        <v>418</v>
      </c>
      <c r="CL26" s="87">
        <v>2717387</v>
      </c>
      <c r="CM26" s="87">
        <f t="shared" si="123"/>
        <v>195</v>
      </c>
      <c r="CN26" s="87">
        <v>69478257</v>
      </c>
      <c r="CO26" s="87">
        <f t="shared" si="124"/>
        <v>11506</v>
      </c>
      <c r="CP26" s="87">
        <v>4461964</v>
      </c>
      <c r="CQ26" s="87">
        <f t="shared" si="125"/>
        <v>168</v>
      </c>
      <c r="CR26" s="87">
        <v>5182141</v>
      </c>
      <c r="CS26" s="87">
        <f t="shared" si="126"/>
        <v>162</v>
      </c>
      <c r="CT26" s="87">
        <v>3054923</v>
      </c>
      <c r="CU26" s="87">
        <f t="shared" si="127"/>
        <v>257</v>
      </c>
      <c r="CV26" s="87">
        <v>41537188</v>
      </c>
      <c r="CW26" s="87">
        <f t="shared" si="128"/>
        <v>8921</v>
      </c>
      <c r="CX26" s="87">
        <v>6347167</v>
      </c>
      <c r="CY26" s="87">
        <f t="shared" si="129"/>
        <v>561</v>
      </c>
      <c r="CZ26" s="87">
        <v>6307970</v>
      </c>
      <c r="DA26" s="87">
        <f t="shared" si="130"/>
        <v>744</v>
      </c>
      <c r="DB26" s="87">
        <v>56648854</v>
      </c>
      <c r="DC26" s="87">
        <f t="shared" si="131"/>
        <v>4038</v>
      </c>
      <c r="DD26" s="87">
        <v>2001815</v>
      </c>
      <c r="DE26" s="87">
        <f t="shared" si="132"/>
        <v>499</v>
      </c>
      <c r="DF26" s="87">
        <v>21945669</v>
      </c>
      <c r="DG26" s="87">
        <f t="shared" si="133"/>
        <v>3405</v>
      </c>
      <c r="DH26" s="87">
        <v>32287359</v>
      </c>
      <c r="DI26" s="87">
        <f t="shared" si="134"/>
        <v>19</v>
      </c>
      <c r="DJ26" s="87"/>
      <c r="DK26" s="87"/>
      <c r="DL26" s="87">
        <v>987819</v>
      </c>
      <c r="DM26" s="87">
        <f t="shared" si="135"/>
        <v>215</v>
      </c>
      <c r="DN26" s="87">
        <v>1054672</v>
      </c>
      <c r="DO26" s="87">
        <f t="shared" si="136"/>
        <v>271</v>
      </c>
      <c r="DP26" s="87">
        <v>1182596</v>
      </c>
      <c r="DQ26" s="87">
        <f t="shared" si="137"/>
        <v>678</v>
      </c>
      <c r="DR26" s="87">
        <v>1113001</v>
      </c>
      <c r="DS26" s="87">
        <f t="shared" si="138"/>
        <v>794</v>
      </c>
      <c r="DT26" s="87">
        <v>969591</v>
      </c>
      <c r="DU26" s="87">
        <f t="shared" si="139"/>
        <v>1021</v>
      </c>
      <c r="DV26" s="87">
        <v>1277852</v>
      </c>
      <c r="DW26" s="87">
        <f t="shared" si="140"/>
        <v>1362</v>
      </c>
      <c r="DX26" s="87">
        <v>812183</v>
      </c>
      <c r="DY26" s="87">
        <f t="shared" si="141"/>
        <v>589</v>
      </c>
      <c r="DZ26" s="87">
        <v>1442</v>
      </c>
      <c r="EA26" s="87">
        <f t="shared" si="142"/>
        <v>0</v>
      </c>
      <c r="EB26" s="87">
        <v>385458</v>
      </c>
      <c r="EC26" s="87">
        <f t="shared" si="143"/>
        <v>349</v>
      </c>
      <c r="ED26" s="87">
        <v>888766</v>
      </c>
      <c r="EE26" s="87">
        <f t="shared" si="144"/>
        <v>696</v>
      </c>
      <c r="EF26" s="87">
        <v>428206</v>
      </c>
      <c r="EG26" s="87">
        <f t="shared" si="145"/>
        <v>141</v>
      </c>
      <c r="EH26" s="87">
        <v>2598</v>
      </c>
      <c r="EI26" s="87">
        <f t="shared" si="146"/>
        <v>0</v>
      </c>
      <c r="EJ26" s="87">
        <v>979341</v>
      </c>
      <c r="EK26" s="87">
        <f t="shared" si="147"/>
        <v>484</v>
      </c>
      <c r="EL26" s="87">
        <v>3487754</v>
      </c>
      <c r="EM26" s="87">
        <f t="shared" si="148"/>
        <v>345</v>
      </c>
      <c r="EN26" s="87">
        <v>3860355</v>
      </c>
      <c r="EO26" s="87">
        <f t="shared" si="149"/>
        <v>366</v>
      </c>
      <c r="EP26" s="87">
        <v>4212278</v>
      </c>
      <c r="EQ26" s="87">
        <f t="shared" si="150"/>
        <v>459</v>
      </c>
      <c r="ER26" s="87">
        <v>5322943</v>
      </c>
      <c r="ES26" s="87">
        <f t="shared" si="151"/>
        <v>603</v>
      </c>
      <c r="ET26" s="87">
        <v>4363087</v>
      </c>
      <c r="EU26" s="87">
        <f t="shared" si="152"/>
        <v>391</v>
      </c>
      <c r="EV26" s="87">
        <v>4499111</v>
      </c>
      <c r="EW26" s="87">
        <f t="shared" si="153"/>
        <v>407</v>
      </c>
      <c r="EX26" s="87">
        <v>8806836</v>
      </c>
      <c r="EY26" s="87">
        <f t="shared" si="154"/>
        <v>869</v>
      </c>
      <c r="EZ26" s="87">
        <v>8709540</v>
      </c>
      <c r="FA26" s="87">
        <f t="shared" si="155"/>
        <v>1337</v>
      </c>
      <c r="FB26" s="87">
        <v>8667616</v>
      </c>
      <c r="FC26" s="87">
        <f t="shared" si="156"/>
        <v>693</v>
      </c>
      <c r="FD26" s="87">
        <v>8172740</v>
      </c>
      <c r="FE26" s="87">
        <f t="shared" si="157"/>
        <v>733</v>
      </c>
      <c r="FF26" s="87">
        <v>5151048</v>
      </c>
      <c r="FG26" s="87">
        <f t="shared" si="158"/>
        <v>672</v>
      </c>
      <c r="FH26" s="87">
        <v>3350355</v>
      </c>
      <c r="FI26" s="87">
        <f t="shared" si="159"/>
        <v>495</v>
      </c>
      <c r="FJ26" s="87">
        <v>1571484</v>
      </c>
      <c r="FK26" s="87">
        <f t="shared" si="160"/>
        <v>226</v>
      </c>
      <c r="FL26" s="87"/>
      <c r="FM26" s="87"/>
    </row>
    <row r="27" spans="1:169" s="46" customFormat="1" ht="30" customHeight="1">
      <c r="A27" s="86">
        <v>44178</v>
      </c>
      <c r="B27" s="87">
        <v>20748533</v>
      </c>
      <c r="C27" s="87">
        <f t="shared" si="83"/>
        <v>1820</v>
      </c>
      <c r="D27" s="87">
        <v>2313054</v>
      </c>
      <c r="E27" s="87">
        <f t="shared" si="84"/>
        <v>172</v>
      </c>
      <c r="F27" s="87">
        <v>27625024</v>
      </c>
      <c r="G27" s="87">
        <f t="shared" si="85"/>
        <v>3312</v>
      </c>
      <c r="H27" s="87">
        <v>5748965</v>
      </c>
      <c r="I27" s="87">
        <f t="shared" si="86"/>
        <v>527</v>
      </c>
      <c r="J27" s="87"/>
      <c r="K27" s="87"/>
      <c r="L27" s="87">
        <v>21670728</v>
      </c>
      <c r="M27" s="87">
        <f t="shared" si="87"/>
        <v>1802</v>
      </c>
      <c r="N27" s="87">
        <v>72815408</v>
      </c>
      <c r="O27" s="87">
        <f t="shared" si="88"/>
        <v>8630</v>
      </c>
      <c r="P27" s="87">
        <v>24217</v>
      </c>
      <c r="Q27" s="87">
        <f t="shared" si="89"/>
        <v>13</v>
      </c>
      <c r="R27" s="87">
        <v>4855</v>
      </c>
      <c r="S27" s="87">
        <f t="shared" si="90"/>
        <v>0</v>
      </c>
      <c r="T27" s="87">
        <v>31582327</v>
      </c>
      <c r="U27" s="87">
        <f t="shared" si="91"/>
        <v>3476</v>
      </c>
      <c r="V27" s="87">
        <v>1624115</v>
      </c>
      <c r="W27" s="87">
        <f t="shared" si="92"/>
        <v>236</v>
      </c>
      <c r="X27" s="87">
        <v>1872282</v>
      </c>
      <c r="Y27" s="87">
        <f t="shared" si="93"/>
        <v>205</v>
      </c>
      <c r="Z27" s="87">
        <v>3501807</v>
      </c>
      <c r="AA27" s="87">
        <f t="shared" si="94"/>
        <v>575</v>
      </c>
      <c r="AB27" s="87"/>
      <c r="AC27" s="87"/>
      <c r="AD27" s="87">
        <v>54834487</v>
      </c>
      <c r="AE27" s="87">
        <f t="shared" si="95"/>
        <v>6660</v>
      </c>
      <c r="AF27" s="87">
        <v>9945249</v>
      </c>
      <c r="AG27" s="87">
        <f t="shared" si="96"/>
        <v>1391</v>
      </c>
      <c r="AH27" s="87">
        <v>1546004</v>
      </c>
      <c r="AI27" s="87">
        <f t="shared" si="97"/>
        <v>207</v>
      </c>
      <c r="AJ27" s="87">
        <v>1768476</v>
      </c>
      <c r="AK27" s="87">
        <f t="shared" si="98"/>
        <v>222</v>
      </c>
      <c r="AL27" s="87">
        <v>4848278</v>
      </c>
      <c r="AM27" s="87">
        <f t="shared" si="99"/>
        <v>558</v>
      </c>
      <c r="AN27" s="87">
        <v>5156868</v>
      </c>
      <c r="AO27" s="87">
        <f t="shared" si="100"/>
        <v>870</v>
      </c>
      <c r="AP27" s="87"/>
      <c r="AQ27" s="87"/>
      <c r="AR27" s="87">
        <v>1142804</v>
      </c>
      <c r="AS27" s="87">
        <f t="shared" si="101"/>
        <v>305</v>
      </c>
      <c r="AT27" s="87">
        <v>3143576</v>
      </c>
      <c r="AU27" s="87">
        <f t="shared" si="102"/>
        <v>548</v>
      </c>
      <c r="AV27" s="87"/>
      <c r="AW27" s="87"/>
      <c r="AX27" s="87">
        <v>575829</v>
      </c>
      <c r="AY27" s="87">
        <f t="shared" si="103"/>
        <v>187</v>
      </c>
      <c r="AZ27" s="87">
        <v>2363204</v>
      </c>
      <c r="BA27" s="87">
        <f t="shared" si="104"/>
        <v>90</v>
      </c>
      <c r="BB27" s="87">
        <v>4691817</v>
      </c>
      <c r="BC27" s="87">
        <f t="shared" si="105"/>
        <v>560</v>
      </c>
      <c r="BD27" s="87">
        <v>41713850</v>
      </c>
      <c r="BE27" s="87">
        <f t="shared" si="106"/>
        <v>5821</v>
      </c>
      <c r="BF27" s="87">
        <v>59022695</v>
      </c>
      <c r="BG27" s="87">
        <f t="shared" si="107"/>
        <v>8699</v>
      </c>
      <c r="BH27" s="87">
        <v>435682</v>
      </c>
      <c r="BI27" s="87">
        <f t="shared" si="108"/>
        <v>125</v>
      </c>
      <c r="BJ27" s="87">
        <v>11262072</v>
      </c>
      <c r="BK27" s="87">
        <f t="shared" si="109"/>
        <v>1790</v>
      </c>
      <c r="BL27" s="87">
        <v>1594268</v>
      </c>
      <c r="BM27" s="87">
        <f t="shared" si="110"/>
        <v>399</v>
      </c>
      <c r="BN27" s="87">
        <v>2341860</v>
      </c>
      <c r="BO27" s="87">
        <f t="shared" si="111"/>
        <v>317</v>
      </c>
      <c r="BP27" s="87">
        <v>10695292</v>
      </c>
      <c r="BQ27" s="87">
        <f t="shared" si="112"/>
        <v>1867</v>
      </c>
      <c r="BR27" s="87">
        <v>2624720</v>
      </c>
      <c r="BS27" s="87">
        <f t="shared" si="113"/>
        <v>219</v>
      </c>
      <c r="BT27" s="87">
        <v>13078574</v>
      </c>
      <c r="BU27" s="87">
        <f t="shared" si="114"/>
        <v>1562</v>
      </c>
      <c r="BV27" s="87">
        <v>10261352</v>
      </c>
      <c r="BW27" s="87">
        <f t="shared" si="115"/>
        <v>1329</v>
      </c>
      <c r="BX27" s="87">
        <v>1579679</v>
      </c>
      <c r="BY27" s="87">
        <f t="shared" si="116"/>
        <v>208</v>
      </c>
      <c r="BZ27" s="87">
        <v>19903655</v>
      </c>
      <c r="CA27" s="87">
        <f t="shared" si="117"/>
        <v>0</v>
      </c>
      <c r="CB27" s="87">
        <v>17452480</v>
      </c>
      <c r="CC27" s="87">
        <f t="shared" si="118"/>
        <v>0</v>
      </c>
      <c r="CD27" s="87">
        <v>18111182</v>
      </c>
      <c r="CE27" s="87">
        <f t="shared" si="119"/>
        <v>73</v>
      </c>
      <c r="CF27" s="87">
        <v>14104421</v>
      </c>
      <c r="CG27" s="87">
        <f t="shared" si="120"/>
        <v>1046</v>
      </c>
      <c r="CH27" s="87">
        <v>4298902</v>
      </c>
      <c r="CI27" s="87">
        <f t="shared" si="121"/>
        <v>453</v>
      </c>
      <c r="CJ27" s="87">
        <v>4774189</v>
      </c>
      <c r="CK27" s="87">
        <f t="shared" si="122"/>
        <v>415</v>
      </c>
      <c r="CL27" s="87">
        <v>2717567</v>
      </c>
      <c r="CM27" s="87">
        <f t="shared" si="123"/>
        <v>180</v>
      </c>
      <c r="CN27" s="87">
        <v>69488934</v>
      </c>
      <c r="CO27" s="87">
        <f t="shared" si="124"/>
        <v>10677</v>
      </c>
      <c r="CP27" s="87">
        <v>4462135</v>
      </c>
      <c r="CQ27" s="87">
        <f t="shared" si="125"/>
        <v>171</v>
      </c>
      <c r="CR27" s="87">
        <v>5182304</v>
      </c>
      <c r="CS27" s="87">
        <f t="shared" si="126"/>
        <v>163</v>
      </c>
      <c r="CT27" s="87">
        <v>3055179</v>
      </c>
      <c r="CU27" s="87">
        <f t="shared" si="127"/>
        <v>256</v>
      </c>
      <c r="CV27" s="87">
        <v>41545299</v>
      </c>
      <c r="CW27" s="87">
        <f t="shared" si="128"/>
        <v>8111</v>
      </c>
      <c r="CX27" s="87">
        <v>6347730</v>
      </c>
      <c r="CY27" s="87">
        <f t="shared" si="129"/>
        <v>563</v>
      </c>
      <c r="CZ27" s="87">
        <v>6308707</v>
      </c>
      <c r="DA27" s="87">
        <f t="shared" si="130"/>
        <v>737</v>
      </c>
      <c r="DB27" s="87">
        <v>56652972</v>
      </c>
      <c r="DC27" s="87">
        <f t="shared" si="131"/>
        <v>4118</v>
      </c>
      <c r="DD27" s="87">
        <v>2002301</v>
      </c>
      <c r="DE27" s="87">
        <f t="shared" si="132"/>
        <v>486</v>
      </c>
      <c r="DF27" s="87">
        <v>21949133</v>
      </c>
      <c r="DG27" s="87">
        <f t="shared" si="133"/>
        <v>3464</v>
      </c>
      <c r="DH27" s="87">
        <v>32287379</v>
      </c>
      <c r="DI27" s="87">
        <f t="shared" si="134"/>
        <v>20</v>
      </c>
      <c r="DJ27" s="87"/>
      <c r="DK27" s="87"/>
      <c r="DL27" s="87">
        <v>988129</v>
      </c>
      <c r="DM27" s="87">
        <f t="shared" si="135"/>
        <v>310</v>
      </c>
      <c r="DN27" s="87">
        <v>1054993</v>
      </c>
      <c r="DO27" s="87">
        <f t="shared" si="136"/>
        <v>321</v>
      </c>
      <c r="DP27" s="87">
        <v>1183356</v>
      </c>
      <c r="DQ27" s="87">
        <f t="shared" si="137"/>
        <v>760</v>
      </c>
      <c r="DR27" s="87">
        <v>1113897</v>
      </c>
      <c r="DS27" s="87">
        <f t="shared" si="138"/>
        <v>896</v>
      </c>
      <c r="DT27" s="87">
        <v>970609</v>
      </c>
      <c r="DU27" s="87">
        <f t="shared" si="139"/>
        <v>1018</v>
      </c>
      <c r="DV27" s="87">
        <v>1279215</v>
      </c>
      <c r="DW27" s="87">
        <f t="shared" si="140"/>
        <v>1363</v>
      </c>
      <c r="DX27" s="87">
        <v>812810</v>
      </c>
      <c r="DY27" s="87">
        <f t="shared" si="141"/>
        <v>627</v>
      </c>
      <c r="DZ27" s="87">
        <v>1442</v>
      </c>
      <c r="EA27" s="87">
        <f t="shared" si="142"/>
        <v>0</v>
      </c>
      <c r="EB27" s="87">
        <v>385800</v>
      </c>
      <c r="EC27" s="87">
        <f t="shared" si="143"/>
        <v>342</v>
      </c>
      <c r="ED27" s="87">
        <v>889464</v>
      </c>
      <c r="EE27" s="87">
        <f t="shared" si="144"/>
        <v>698</v>
      </c>
      <c r="EF27" s="87">
        <v>428386</v>
      </c>
      <c r="EG27" s="87">
        <f t="shared" si="145"/>
        <v>180</v>
      </c>
      <c r="EH27" s="87">
        <v>2598</v>
      </c>
      <c r="EI27" s="87">
        <f t="shared" si="146"/>
        <v>0</v>
      </c>
      <c r="EJ27" s="87">
        <v>979810</v>
      </c>
      <c r="EK27" s="87">
        <f t="shared" si="147"/>
        <v>469</v>
      </c>
      <c r="EL27" s="87">
        <v>3488093</v>
      </c>
      <c r="EM27" s="87">
        <f t="shared" si="148"/>
        <v>339</v>
      </c>
      <c r="EN27" s="87">
        <v>3860728</v>
      </c>
      <c r="EO27" s="87">
        <f t="shared" si="149"/>
        <v>373</v>
      </c>
      <c r="EP27" s="87">
        <v>4212708</v>
      </c>
      <c r="EQ27" s="87">
        <f t="shared" si="150"/>
        <v>430</v>
      </c>
      <c r="ER27" s="87">
        <v>5323515</v>
      </c>
      <c r="ES27" s="87">
        <f t="shared" si="151"/>
        <v>572</v>
      </c>
      <c r="ET27" s="87">
        <v>4363426</v>
      </c>
      <c r="EU27" s="87">
        <f t="shared" si="152"/>
        <v>339</v>
      </c>
      <c r="EV27" s="87">
        <v>4499499</v>
      </c>
      <c r="EW27" s="87">
        <f t="shared" si="153"/>
        <v>388</v>
      </c>
      <c r="EX27" s="87">
        <v>8807687</v>
      </c>
      <c r="EY27" s="87">
        <f t="shared" si="154"/>
        <v>851</v>
      </c>
      <c r="EZ27" s="87">
        <v>8710868</v>
      </c>
      <c r="FA27" s="87">
        <f t="shared" si="155"/>
        <v>1328</v>
      </c>
      <c r="FB27" s="87">
        <v>8668281</v>
      </c>
      <c r="FC27" s="87">
        <f t="shared" si="156"/>
        <v>665</v>
      </c>
      <c r="FD27" s="87">
        <v>8173484</v>
      </c>
      <c r="FE27" s="87">
        <f t="shared" si="157"/>
        <v>744</v>
      </c>
      <c r="FF27" s="87">
        <v>5151672</v>
      </c>
      <c r="FG27" s="87">
        <f t="shared" si="158"/>
        <v>624</v>
      </c>
      <c r="FH27" s="87">
        <v>3350846</v>
      </c>
      <c r="FI27" s="87">
        <f t="shared" si="159"/>
        <v>491</v>
      </c>
      <c r="FJ27" s="87">
        <v>1571709</v>
      </c>
      <c r="FK27" s="87">
        <f t="shared" si="160"/>
        <v>225</v>
      </c>
      <c r="FL27" s="87"/>
      <c r="FM27" s="87"/>
    </row>
    <row r="28" spans="1:169" s="46" customFormat="1" ht="30" customHeight="1">
      <c r="A28" s="86">
        <v>44179</v>
      </c>
      <c r="B28" s="87">
        <v>20750322</v>
      </c>
      <c r="C28" s="83">
        <f t="shared" si="83"/>
        <v>1789</v>
      </c>
      <c r="D28" s="87">
        <v>2313221</v>
      </c>
      <c r="E28" s="83">
        <f t="shared" si="84"/>
        <v>167</v>
      </c>
      <c r="F28" s="87">
        <v>27628230</v>
      </c>
      <c r="G28" s="83">
        <f t="shared" si="85"/>
        <v>3206</v>
      </c>
      <c r="H28" s="87">
        <v>5749492</v>
      </c>
      <c r="I28" s="83">
        <f t="shared" si="86"/>
        <v>527</v>
      </c>
      <c r="J28" s="87"/>
      <c r="K28" s="87"/>
      <c r="L28" s="87">
        <v>21672516</v>
      </c>
      <c r="M28" s="87">
        <f t="shared" si="87"/>
        <v>1788</v>
      </c>
      <c r="N28" s="87">
        <v>72824008</v>
      </c>
      <c r="O28" s="87">
        <f t="shared" si="88"/>
        <v>8600</v>
      </c>
      <c r="P28" s="87">
        <v>24231</v>
      </c>
      <c r="Q28" s="87">
        <f t="shared" si="89"/>
        <v>14</v>
      </c>
      <c r="R28" s="87">
        <v>4855</v>
      </c>
      <c r="S28" s="87">
        <f t="shared" si="90"/>
        <v>0</v>
      </c>
      <c r="T28" s="87">
        <v>31585732</v>
      </c>
      <c r="U28" s="87">
        <f t="shared" si="91"/>
        <v>3405</v>
      </c>
      <c r="V28" s="87">
        <v>1624351</v>
      </c>
      <c r="W28" s="87">
        <f t="shared" si="92"/>
        <v>236</v>
      </c>
      <c r="X28" s="87">
        <v>1872487</v>
      </c>
      <c r="Y28" s="87">
        <f t="shared" si="93"/>
        <v>205</v>
      </c>
      <c r="Z28" s="87">
        <v>3502373</v>
      </c>
      <c r="AA28" s="83">
        <f t="shared" si="94"/>
        <v>566</v>
      </c>
      <c r="AB28" s="87"/>
      <c r="AC28" s="87"/>
      <c r="AD28" s="87">
        <v>54841006</v>
      </c>
      <c r="AE28" s="87">
        <f t="shared" si="95"/>
        <v>6519</v>
      </c>
      <c r="AF28" s="87">
        <v>9946620</v>
      </c>
      <c r="AG28" s="87">
        <f t="shared" si="96"/>
        <v>1371</v>
      </c>
      <c r="AH28" s="87">
        <v>1546209</v>
      </c>
      <c r="AI28" s="87">
        <f t="shared" si="97"/>
        <v>205</v>
      </c>
      <c r="AJ28" s="87">
        <v>1768717</v>
      </c>
      <c r="AK28" s="87">
        <f t="shared" si="98"/>
        <v>241</v>
      </c>
      <c r="AL28" s="87">
        <v>4848844</v>
      </c>
      <c r="AM28" s="87">
        <f t="shared" si="99"/>
        <v>566</v>
      </c>
      <c r="AN28" s="87">
        <v>5157698</v>
      </c>
      <c r="AO28" s="87">
        <f t="shared" si="100"/>
        <v>830</v>
      </c>
      <c r="AP28" s="87"/>
      <c r="AQ28" s="87"/>
      <c r="AR28" s="87">
        <v>1143109</v>
      </c>
      <c r="AS28" s="87">
        <f t="shared" si="101"/>
        <v>305</v>
      </c>
      <c r="AT28" s="87">
        <v>3144098</v>
      </c>
      <c r="AU28" s="87">
        <f t="shared" si="102"/>
        <v>522</v>
      </c>
      <c r="AV28" s="87"/>
      <c r="AW28" s="87"/>
      <c r="AX28" s="87">
        <v>576014</v>
      </c>
      <c r="AY28" s="87">
        <f t="shared" si="103"/>
        <v>185</v>
      </c>
      <c r="AZ28" s="87">
        <v>2363349</v>
      </c>
      <c r="BA28" s="87">
        <f t="shared" si="104"/>
        <v>145</v>
      </c>
      <c r="BB28" s="87">
        <v>4692358</v>
      </c>
      <c r="BC28" s="87">
        <f t="shared" si="105"/>
        <v>541</v>
      </c>
      <c r="BD28" s="87">
        <v>41719643</v>
      </c>
      <c r="BE28" s="87">
        <f t="shared" si="106"/>
        <v>5793</v>
      </c>
      <c r="BF28" s="87">
        <v>59031402</v>
      </c>
      <c r="BG28" s="87">
        <f t="shared" si="107"/>
        <v>8707</v>
      </c>
      <c r="BH28" s="87">
        <v>435797</v>
      </c>
      <c r="BI28" s="87">
        <f t="shared" si="108"/>
        <v>115</v>
      </c>
      <c r="BJ28" s="87">
        <v>11263874</v>
      </c>
      <c r="BK28" s="87">
        <f t="shared" si="109"/>
        <v>1802</v>
      </c>
      <c r="BL28" s="87">
        <v>1594668</v>
      </c>
      <c r="BM28" s="87">
        <f t="shared" si="110"/>
        <v>400</v>
      </c>
      <c r="BN28" s="87">
        <v>2342254</v>
      </c>
      <c r="BO28" s="87">
        <f t="shared" si="111"/>
        <v>394</v>
      </c>
      <c r="BP28" s="87">
        <v>10697033</v>
      </c>
      <c r="BQ28" s="87">
        <f t="shared" si="112"/>
        <v>1741</v>
      </c>
      <c r="BR28" s="87">
        <v>2624945</v>
      </c>
      <c r="BS28" s="87">
        <f t="shared" si="113"/>
        <v>225</v>
      </c>
      <c r="BT28" s="87">
        <v>13080156</v>
      </c>
      <c r="BU28" s="87">
        <f t="shared" si="114"/>
        <v>1582</v>
      </c>
      <c r="BV28" s="87">
        <v>10262767</v>
      </c>
      <c r="BW28" s="87">
        <f t="shared" si="115"/>
        <v>1415</v>
      </c>
      <c r="BX28" s="87">
        <v>1579877</v>
      </c>
      <c r="BY28" s="87">
        <f t="shared" si="116"/>
        <v>198</v>
      </c>
      <c r="BZ28" s="87">
        <v>19903655</v>
      </c>
      <c r="CA28" s="87">
        <f t="shared" si="117"/>
        <v>0</v>
      </c>
      <c r="CB28" s="87">
        <v>17452480</v>
      </c>
      <c r="CC28" s="87">
        <f t="shared" si="118"/>
        <v>0</v>
      </c>
      <c r="CD28" s="87">
        <v>18111255</v>
      </c>
      <c r="CE28" s="87">
        <f t="shared" si="119"/>
        <v>73</v>
      </c>
      <c r="CF28" s="87">
        <v>14105448</v>
      </c>
      <c r="CG28" s="87">
        <f t="shared" si="120"/>
        <v>1027</v>
      </c>
      <c r="CH28" s="87">
        <v>4299333</v>
      </c>
      <c r="CI28" s="87">
        <f t="shared" si="121"/>
        <v>431</v>
      </c>
      <c r="CJ28" s="87">
        <v>4774620</v>
      </c>
      <c r="CK28" s="87">
        <f t="shared" si="122"/>
        <v>431</v>
      </c>
      <c r="CL28" s="87">
        <v>2717735</v>
      </c>
      <c r="CM28" s="87">
        <f t="shared" si="123"/>
        <v>168</v>
      </c>
      <c r="CN28" s="87">
        <v>69499364</v>
      </c>
      <c r="CO28" s="87">
        <f t="shared" si="124"/>
        <v>10430</v>
      </c>
      <c r="CP28" s="87">
        <v>4462243</v>
      </c>
      <c r="CQ28" s="87">
        <f t="shared" si="125"/>
        <v>108</v>
      </c>
      <c r="CR28" s="87">
        <v>5182466</v>
      </c>
      <c r="CS28" s="87">
        <f t="shared" si="126"/>
        <v>162</v>
      </c>
      <c r="CT28" s="87">
        <v>3055431</v>
      </c>
      <c r="CU28" s="87">
        <f t="shared" si="127"/>
        <v>252</v>
      </c>
      <c r="CV28" s="87">
        <v>41553248</v>
      </c>
      <c r="CW28" s="87">
        <f t="shared" si="128"/>
        <v>7949</v>
      </c>
      <c r="CX28" s="87">
        <v>6348291</v>
      </c>
      <c r="CY28" s="87">
        <f t="shared" si="129"/>
        <v>561</v>
      </c>
      <c r="CZ28" s="87">
        <v>6309444</v>
      </c>
      <c r="DA28" s="87">
        <f t="shared" si="130"/>
        <v>737</v>
      </c>
      <c r="DB28" s="87">
        <v>56657258</v>
      </c>
      <c r="DC28" s="87">
        <f t="shared" si="131"/>
        <v>4286</v>
      </c>
      <c r="DD28" s="87">
        <v>2002817</v>
      </c>
      <c r="DE28" s="87">
        <f t="shared" si="132"/>
        <v>516</v>
      </c>
      <c r="DF28" s="87">
        <v>21952742</v>
      </c>
      <c r="DG28" s="87">
        <f t="shared" si="133"/>
        <v>3609</v>
      </c>
      <c r="DH28" s="87">
        <v>32287399</v>
      </c>
      <c r="DI28" s="87">
        <f t="shared" si="134"/>
        <v>20</v>
      </c>
      <c r="DJ28" s="87"/>
      <c r="DK28" s="87"/>
      <c r="DL28" s="87">
        <v>988403</v>
      </c>
      <c r="DM28" s="87">
        <f t="shared" si="135"/>
        <v>274</v>
      </c>
      <c r="DN28" s="87">
        <v>1055275</v>
      </c>
      <c r="DO28" s="87">
        <f t="shared" si="136"/>
        <v>282</v>
      </c>
      <c r="DP28" s="87">
        <v>1184069</v>
      </c>
      <c r="DQ28" s="87">
        <f t="shared" si="137"/>
        <v>713</v>
      </c>
      <c r="DR28" s="87">
        <v>1114772</v>
      </c>
      <c r="DS28" s="87">
        <f t="shared" si="138"/>
        <v>875</v>
      </c>
      <c r="DT28" s="87">
        <v>971632</v>
      </c>
      <c r="DU28" s="87">
        <f t="shared" si="139"/>
        <v>1023</v>
      </c>
      <c r="DV28" s="87">
        <v>1280591</v>
      </c>
      <c r="DW28" s="87">
        <f t="shared" si="140"/>
        <v>1376</v>
      </c>
      <c r="DX28" s="87">
        <v>813415</v>
      </c>
      <c r="DY28" s="87">
        <f t="shared" si="141"/>
        <v>605</v>
      </c>
      <c r="DZ28" s="87">
        <v>1442</v>
      </c>
      <c r="EA28" s="87">
        <f t="shared" si="142"/>
        <v>0</v>
      </c>
      <c r="EB28" s="87">
        <v>386141</v>
      </c>
      <c r="EC28" s="87">
        <f t="shared" si="143"/>
        <v>341</v>
      </c>
      <c r="ED28" s="87">
        <v>890158</v>
      </c>
      <c r="EE28" s="87">
        <f t="shared" si="144"/>
        <v>694</v>
      </c>
      <c r="EF28" s="87">
        <v>428547</v>
      </c>
      <c r="EG28" s="87">
        <f t="shared" si="145"/>
        <v>161</v>
      </c>
      <c r="EH28" s="87">
        <v>2598</v>
      </c>
      <c r="EI28" s="87">
        <f t="shared" si="146"/>
        <v>0</v>
      </c>
      <c r="EJ28" s="87">
        <v>980267</v>
      </c>
      <c r="EK28" s="87">
        <f t="shared" si="147"/>
        <v>457</v>
      </c>
      <c r="EL28" s="87">
        <v>3488427</v>
      </c>
      <c r="EM28" s="87">
        <f t="shared" si="148"/>
        <v>334</v>
      </c>
      <c r="EN28" s="87">
        <v>3861098</v>
      </c>
      <c r="EO28" s="87">
        <f t="shared" si="149"/>
        <v>370</v>
      </c>
      <c r="EP28" s="87">
        <v>4213133</v>
      </c>
      <c r="EQ28" s="87">
        <f t="shared" si="150"/>
        <v>425</v>
      </c>
      <c r="ER28" s="87">
        <v>5324069</v>
      </c>
      <c r="ES28" s="87">
        <f t="shared" si="151"/>
        <v>554</v>
      </c>
      <c r="ET28" s="87">
        <v>4363762</v>
      </c>
      <c r="EU28" s="87">
        <f t="shared" si="152"/>
        <v>336</v>
      </c>
      <c r="EV28" s="87">
        <v>4499878</v>
      </c>
      <c r="EW28" s="87">
        <f t="shared" si="153"/>
        <v>379</v>
      </c>
      <c r="EX28" s="87">
        <v>8808516</v>
      </c>
      <c r="EY28" s="87">
        <f t="shared" si="154"/>
        <v>829</v>
      </c>
      <c r="EZ28" s="87">
        <v>8712256</v>
      </c>
      <c r="FA28" s="87">
        <f t="shared" si="155"/>
        <v>1388</v>
      </c>
      <c r="FB28" s="87">
        <v>8668931</v>
      </c>
      <c r="FC28" s="87">
        <f t="shared" si="156"/>
        <v>650</v>
      </c>
      <c r="FD28" s="87">
        <v>8174222</v>
      </c>
      <c r="FE28" s="87">
        <f t="shared" si="157"/>
        <v>738</v>
      </c>
      <c r="FF28" s="87">
        <v>5152249</v>
      </c>
      <c r="FG28" s="87">
        <f t="shared" si="158"/>
        <v>577</v>
      </c>
      <c r="FH28" s="87">
        <v>3351334</v>
      </c>
      <c r="FI28" s="87">
        <f t="shared" si="159"/>
        <v>488</v>
      </c>
      <c r="FJ28" s="87">
        <v>1571920</v>
      </c>
      <c r="FK28" s="87">
        <f t="shared" si="160"/>
        <v>211</v>
      </c>
      <c r="FL28" s="87"/>
      <c r="FM28" s="87"/>
    </row>
    <row r="29" spans="1:169" s="46" customFormat="1" ht="30" customHeight="1">
      <c r="A29" s="86">
        <v>44180</v>
      </c>
      <c r="B29" s="87">
        <v>20752196</v>
      </c>
      <c r="C29" s="87">
        <f t="shared" si="83"/>
        <v>1874</v>
      </c>
      <c r="D29" s="87">
        <v>2313428</v>
      </c>
      <c r="E29" s="87">
        <f t="shared" si="84"/>
        <v>207</v>
      </c>
      <c r="F29" s="87">
        <v>27631558</v>
      </c>
      <c r="G29" s="87">
        <f t="shared" si="85"/>
        <v>3328</v>
      </c>
      <c r="H29" s="87">
        <v>5749990</v>
      </c>
      <c r="I29" s="87">
        <f t="shared" si="86"/>
        <v>498</v>
      </c>
      <c r="J29" s="87"/>
      <c r="K29" s="87"/>
      <c r="L29" s="87">
        <v>21674348</v>
      </c>
      <c r="M29" s="87">
        <f t="shared" si="87"/>
        <v>1832</v>
      </c>
      <c r="N29" s="87">
        <v>72832820</v>
      </c>
      <c r="O29" s="87">
        <f t="shared" si="88"/>
        <v>8812</v>
      </c>
      <c r="P29" s="87">
        <v>24245</v>
      </c>
      <c r="Q29" s="87">
        <f t="shared" si="89"/>
        <v>14</v>
      </c>
      <c r="R29" s="87">
        <v>4855</v>
      </c>
      <c r="S29" s="87">
        <f t="shared" si="90"/>
        <v>0</v>
      </c>
      <c r="T29" s="87">
        <v>31589219</v>
      </c>
      <c r="U29" s="87">
        <f t="shared" si="91"/>
        <v>3487</v>
      </c>
      <c r="V29" s="87">
        <v>1624620</v>
      </c>
      <c r="W29" s="87">
        <f t="shared" si="92"/>
        <v>269</v>
      </c>
      <c r="X29" s="87">
        <v>1872695</v>
      </c>
      <c r="Y29" s="87">
        <f t="shared" si="93"/>
        <v>208</v>
      </c>
      <c r="Z29" s="87">
        <v>3502952</v>
      </c>
      <c r="AA29" s="87">
        <f t="shared" si="94"/>
        <v>579</v>
      </c>
      <c r="AB29" s="87"/>
      <c r="AC29" s="87"/>
      <c r="AD29" s="87">
        <v>54847414</v>
      </c>
      <c r="AE29" s="87">
        <f t="shared" si="95"/>
        <v>6408</v>
      </c>
      <c r="AF29" s="87">
        <v>9947958</v>
      </c>
      <c r="AG29" s="87">
        <f t="shared" si="96"/>
        <v>1338</v>
      </c>
      <c r="AH29" s="87">
        <v>1546417</v>
      </c>
      <c r="AI29" s="87">
        <f t="shared" si="97"/>
        <v>208</v>
      </c>
      <c r="AJ29" s="87">
        <v>1768939</v>
      </c>
      <c r="AK29" s="87">
        <f t="shared" si="98"/>
        <v>222</v>
      </c>
      <c r="AL29" s="87">
        <v>4849388</v>
      </c>
      <c r="AM29" s="87">
        <f t="shared" si="99"/>
        <v>544</v>
      </c>
      <c r="AN29" s="87">
        <v>5158420</v>
      </c>
      <c r="AO29" s="87">
        <f t="shared" si="100"/>
        <v>722</v>
      </c>
      <c r="AP29" s="87"/>
      <c r="AQ29" s="87"/>
      <c r="AR29" s="87">
        <v>1143413</v>
      </c>
      <c r="AS29" s="87">
        <f t="shared" si="101"/>
        <v>304</v>
      </c>
      <c r="AT29" s="87">
        <v>3144571</v>
      </c>
      <c r="AU29" s="87">
        <f t="shared" si="102"/>
        <v>473</v>
      </c>
      <c r="AV29" s="87"/>
      <c r="AW29" s="87"/>
      <c r="AX29" s="87">
        <v>576200</v>
      </c>
      <c r="AY29" s="87">
        <f t="shared" si="103"/>
        <v>186</v>
      </c>
      <c r="AZ29" s="87">
        <v>2363458</v>
      </c>
      <c r="BA29" s="87">
        <f t="shared" si="104"/>
        <v>109</v>
      </c>
      <c r="BB29" s="87">
        <v>4692894</v>
      </c>
      <c r="BC29" s="87">
        <f t="shared" si="105"/>
        <v>536</v>
      </c>
      <c r="BD29" s="87">
        <v>41725133</v>
      </c>
      <c r="BE29" s="87">
        <f t="shared" si="106"/>
        <v>5490</v>
      </c>
      <c r="BF29" s="87">
        <v>59039833</v>
      </c>
      <c r="BG29" s="87">
        <f t="shared" si="107"/>
        <v>8431</v>
      </c>
      <c r="BH29" s="87">
        <v>435915</v>
      </c>
      <c r="BI29" s="87">
        <f t="shared" si="108"/>
        <v>118</v>
      </c>
      <c r="BJ29" s="87">
        <v>11265662</v>
      </c>
      <c r="BK29" s="87">
        <f t="shared" si="109"/>
        <v>1788</v>
      </c>
      <c r="BL29" s="87">
        <v>1595076</v>
      </c>
      <c r="BM29" s="87">
        <f t="shared" si="110"/>
        <v>408</v>
      </c>
      <c r="BN29" s="87">
        <v>2342492</v>
      </c>
      <c r="BO29" s="87">
        <f t="shared" si="111"/>
        <v>238</v>
      </c>
      <c r="BP29" s="87">
        <v>10698768</v>
      </c>
      <c r="BQ29" s="87">
        <f t="shared" si="112"/>
        <v>1735</v>
      </c>
      <c r="BR29" s="87">
        <v>2625174</v>
      </c>
      <c r="BS29" s="87">
        <f t="shared" si="113"/>
        <v>229</v>
      </c>
      <c r="BT29" s="87">
        <v>13081694</v>
      </c>
      <c r="BU29" s="87">
        <f t="shared" si="114"/>
        <v>1538</v>
      </c>
      <c r="BV29" s="87">
        <v>10264092</v>
      </c>
      <c r="BW29" s="87">
        <f t="shared" si="115"/>
        <v>1325</v>
      </c>
      <c r="BX29" s="87">
        <v>1580060</v>
      </c>
      <c r="BY29" s="87">
        <f t="shared" si="116"/>
        <v>183</v>
      </c>
      <c r="BZ29" s="87">
        <v>19904809</v>
      </c>
      <c r="CA29" s="87">
        <f t="shared" si="117"/>
        <v>1154</v>
      </c>
      <c r="CB29" s="87">
        <v>17455602</v>
      </c>
      <c r="CC29" s="87">
        <f t="shared" si="118"/>
        <v>3122</v>
      </c>
      <c r="CD29" s="87">
        <v>18111584</v>
      </c>
      <c r="CE29" s="87">
        <f t="shared" si="119"/>
        <v>329</v>
      </c>
      <c r="CF29" s="87">
        <v>14106456</v>
      </c>
      <c r="CG29" s="87">
        <f t="shared" si="120"/>
        <v>1008</v>
      </c>
      <c r="CH29" s="87">
        <v>4299782</v>
      </c>
      <c r="CI29" s="87">
        <f t="shared" si="121"/>
        <v>449</v>
      </c>
      <c r="CJ29" s="87">
        <v>4775049</v>
      </c>
      <c r="CK29" s="87">
        <f t="shared" si="122"/>
        <v>429</v>
      </c>
      <c r="CL29" s="87">
        <v>2717866</v>
      </c>
      <c r="CM29" s="87">
        <f t="shared" si="123"/>
        <v>131</v>
      </c>
      <c r="CN29" s="87">
        <v>69503032</v>
      </c>
      <c r="CO29" s="87">
        <f t="shared" si="124"/>
        <v>3668</v>
      </c>
      <c r="CP29" s="87">
        <v>4462346</v>
      </c>
      <c r="CQ29" s="87">
        <f t="shared" si="125"/>
        <v>103</v>
      </c>
      <c r="CR29" s="87">
        <v>5182630</v>
      </c>
      <c r="CS29" s="87">
        <f t="shared" si="126"/>
        <v>164</v>
      </c>
      <c r="CT29" s="87">
        <v>3055687</v>
      </c>
      <c r="CU29" s="87">
        <f t="shared" si="127"/>
        <v>256</v>
      </c>
      <c r="CV29" s="87">
        <v>41554412</v>
      </c>
      <c r="CW29" s="87">
        <f t="shared" si="128"/>
        <v>1164</v>
      </c>
      <c r="CX29" s="87">
        <v>6348859</v>
      </c>
      <c r="CY29" s="87">
        <f t="shared" si="129"/>
        <v>568</v>
      </c>
      <c r="CZ29" s="87">
        <v>6310187</v>
      </c>
      <c r="DA29" s="87">
        <f t="shared" si="130"/>
        <v>743</v>
      </c>
      <c r="DB29" s="87">
        <v>56661754</v>
      </c>
      <c r="DC29" s="87">
        <f t="shared" si="131"/>
        <v>4496</v>
      </c>
      <c r="DD29" s="87">
        <v>2003302</v>
      </c>
      <c r="DE29" s="87">
        <f t="shared" si="132"/>
        <v>485</v>
      </c>
      <c r="DF29" s="87">
        <v>21956186</v>
      </c>
      <c r="DG29" s="87">
        <f t="shared" si="133"/>
        <v>3444</v>
      </c>
      <c r="DH29" s="87">
        <v>32287855</v>
      </c>
      <c r="DI29" s="87">
        <f t="shared" si="134"/>
        <v>456</v>
      </c>
      <c r="DJ29" s="87"/>
      <c r="DK29" s="87"/>
      <c r="DL29" s="87">
        <v>988670</v>
      </c>
      <c r="DM29" s="87">
        <f t="shared" si="135"/>
        <v>267</v>
      </c>
      <c r="DN29" s="87">
        <v>1055553</v>
      </c>
      <c r="DO29" s="87">
        <f t="shared" si="136"/>
        <v>278</v>
      </c>
      <c r="DP29" s="87">
        <v>1184731</v>
      </c>
      <c r="DQ29" s="87">
        <f t="shared" si="137"/>
        <v>662</v>
      </c>
      <c r="DR29" s="87">
        <v>1115602</v>
      </c>
      <c r="DS29" s="87">
        <f t="shared" si="138"/>
        <v>830</v>
      </c>
      <c r="DT29" s="87">
        <v>972671</v>
      </c>
      <c r="DU29" s="87">
        <f t="shared" si="139"/>
        <v>1039</v>
      </c>
      <c r="DV29" s="87">
        <v>1281981</v>
      </c>
      <c r="DW29" s="87">
        <f t="shared" si="140"/>
        <v>1390</v>
      </c>
      <c r="DX29" s="87">
        <v>813975</v>
      </c>
      <c r="DY29" s="87">
        <f t="shared" si="141"/>
        <v>560</v>
      </c>
      <c r="DZ29" s="87">
        <v>1442</v>
      </c>
      <c r="EA29" s="87">
        <f t="shared" si="142"/>
        <v>0</v>
      </c>
      <c r="EB29" s="87">
        <v>386466</v>
      </c>
      <c r="EC29" s="87">
        <f t="shared" si="143"/>
        <v>325</v>
      </c>
      <c r="ED29" s="87">
        <v>890855</v>
      </c>
      <c r="EE29" s="87">
        <f t="shared" si="144"/>
        <v>697</v>
      </c>
      <c r="EF29" s="87">
        <v>428665</v>
      </c>
      <c r="EG29" s="87">
        <f t="shared" si="145"/>
        <v>118</v>
      </c>
      <c r="EH29" s="87">
        <v>2598</v>
      </c>
      <c r="EI29" s="87">
        <f t="shared" si="146"/>
        <v>0</v>
      </c>
      <c r="EJ29" s="87">
        <v>980697</v>
      </c>
      <c r="EK29" s="87">
        <f t="shared" si="147"/>
        <v>430</v>
      </c>
      <c r="EL29" s="87">
        <v>3488773</v>
      </c>
      <c r="EM29" s="87">
        <f t="shared" si="148"/>
        <v>346</v>
      </c>
      <c r="EN29" s="87">
        <v>3861486</v>
      </c>
      <c r="EO29" s="87">
        <f t="shared" si="149"/>
        <v>388</v>
      </c>
      <c r="EP29" s="87">
        <v>4213555</v>
      </c>
      <c r="EQ29" s="87">
        <f t="shared" si="150"/>
        <v>422</v>
      </c>
      <c r="ER29" s="87">
        <v>5324615</v>
      </c>
      <c r="ES29" s="87">
        <f t="shared" si="151"/>
        <v>546</v>
      </c>
      <c r="ET29" s="87">
        <v>4364096</v>
      </c>
      <c r="EU29" s="87">
        <f t="shared" si="152"/>
        <v>334</v>
      </c>
      <c r="EV29" s="87">
        <v>4500305</v>
      </c>
      <c r="EW29" s="87">
        <f t="shared" si="153"/>
        <v>427</v>
      </c>
      <c r="EX29" s="87">
        <v>8809376</v>
      </c>
      <c r="EY29" s="87">
        <f t="shared" si="154"/>
        <v>860</v>
      </c>
      <c r="EZ29" s="87">
        <v>8713583</v>
      </c>
      <c r="FA29" s="87">
        <f t="shared" si="155"/>
        <v>1327</v>
      </c>
      <c r="FB29" s="87">
        <v>8669632</v>
      </c>
      <c r="FC29" s="87">
        <f t="shared" si="156"/>
        <v>701</v>
      </c>
      <c r="FD29" s="87">
        <v>8174958</v>
      </c>
      <c r="FE29" s="87">
        <f t="shared" si="157"/>
        <v>736</v>
      </c>
      <c r="FF29" s="87">
        <v>5152880</v>
      </c>
      <c r="FG29" s="87">
        <f t="shared" si="158"/>
        <v>631</v>
      </c>
      <c r="FH29" s="87">
        <v>3351822</v>
      </c>
      <c r="FI29" s="87">
        <f t="shared" si="159"/>
        <v>488</v>
      </c>
      <c r="FJ29" s="87">
        <v>1572147</v>
      </c>
      <c r="FK29" s="87">
        <f t="shared" si="160"/>
        <v>227</v>
      </c>
      <c r="FL29" s="87"/>
      <c r="FM29" s="87"/>
    </row>
    <row r="30" spans="1:169" s="46" customFormat="1" ht="30" customHeight="1">
      <c r="A30" s="86">
        <v>44181</v>
      </c>
      <c r="B30" s="87">
        <v>20754167</v>
      </c>
      <c r="C30" s="83">
        <f t="shared" si="83"/>
        <v>1971</v>
      </c>
      <c r="D30" s="87">
        <v>2313694</v>
      </c>
      <c r="E30" s="83">
        <f t="shared" si="84"/>
        <v>266</v>
      </c>
      <c r="F30" s="87">
        <v>27634862</v>
      </c>
      <c r="G30" s="83">
        <f t="shared" si="85"/>
        <v>3304</v>
      </c>
      <c r="H30" s="87">
        <v>5750525</v>
      </c>
      <c r="I30" s="83">
        <f t="shared" si="86"/>
        <v>535</v>
      </c>
      <c r="J30" s="87"/>
      <c r="K30" s="87"/>
      <c r="L30" s="87">
        <v>21676180</v>
      </c>
      <c r="M30" s="87">
        <f t="shared" si="87"/>
        <v>1832</v>
      </c>
      <c r="N30" s="87">
        <v>72841810</v>
      </c>
      <c r="O30" s="87">
        <f t="shared" si="88"/>
        <v>8990</v>
      </c>
      <c r="P30" s="87">
        <v>24258</v>
      </c>
      <c r="Q30" s="87">
        <f t="shared" si="89"/>
        <v>13</v>
      </c>
      <c r="R30" s="87">
        <v>4855</v>
      </c>
      <c r="S30" s="87">
        <f t="shared" si="90"/>
        <v>0</v>
      </c>
      <c r="T30" s="87">
        <v>31592619</v>
      </c>
      <c r="U30" s="87">
        <f t="shared" si="91"/>
        <v>3400</v>
      </c>
      <c r="V30" s="87">
        <v>1624904</v>
      </c>
      <c r="W30" s="87">
        <f t="shared" si="92"/>
        <v>284</v>
      </c>
      <c r="X30" s="87">
        <v>1872902</v>
      </c>
      <c r="Y30" s="87">
        <f t="shared" si="93"/>
        <v>207</v>
      </c>
      <c r="Z30" s="87">
        <v>3503533</v>
      </c>
      <c r="AA30" s="83">
        <f t="shared" si="94"/>
        <v>581</v>
      </c>
      <c r="AB30" s="87"/>
      <c r="AC30" s="87"/>
      <c r="AD30" s="87">
        <v>54853579</v>
      </c>
      <c r="AE30" s="87">
        <f t="shared" si="95"/>
        <v>6165</v>
      </c>
      <c r="AF30" s="87">
        <v>9949154</v>
      </c>
      <c r="AG30" s="87">
        <f t="shared" si="96"/>
        <v>1196</v>
      </c>
      <c r="AH30" s="87">
        <v>1546623</v>
      </c>
      <c r="AI30" s="87">
        <f t="shared" si="97"/>
        <v>206</v>
      </c>
      <c r="AJ30" s="87">
        <v>1769122</v>
      </c>
      <c r="AK30" s="87">
        <f t="shared" si="98"/>
        <v>183</v>
      </c>
      <c r="AL30" s="87">
        <v>4849966</v>
      </c>
      <c r="AM30" s="87">
        <f t="shared" si="99"/>
        <v>578</v>
      </c>
      <c r="AN30" s="87">
        <v>5159165</v>
      </c>
      <c r="AO30" s="87">
        <f t="shared" si="100"/>
        <v>745</v>
      </c>
      <c r="AP30" s="87"/>
      <c r="AQ30" s="87"/>
      <c r="AR30" s="87">
        <v>1143717</v>
      </c>
      <c r="AS30" s="87">
        <f t="shared" si="101"/>
        <v>304</v>
      </c>
      <c r="AT30" s="87">
        <v>3145050</v>
      </c>
      <c r="AU30" s="87">
        <f t="shared" si="102"/>
        <v>479</v>
      </c>
      <c r="AV30" s="87"/>
      <c r="AW30" s="87"/>
      <c r="AX30" s="87">
        <v>576386</v>
      </c>
      <c r="AY30" s="87">
        <f t="shared" si="103"/>
        <v>186</v>
      </c>
      <c r="AZ30" s="87">
        <v>2363494</v>
      </c>
      <c r="BA30" s="87">
        <f t="shared" si="104"/>
        <v>36</v>
      </c>
      <c r="BB30" s="87">
        <v>4693724</v>
      </c>
      <c r="BC30" s="87">
        <f t="shared" si="105"/>
        <v>830</v>
      </c>
      <c r="BD30" s="87">
        <v>41730868</v>
      </c>
      <c r="BE30" s="87">
        <f t="shared" si="106"/>
        <v>5735</v>
      </c>
      <c r="BF30" s="87">
        <v>59047970</v>
      </c>
      <c r="BG30" s="87">
        <f t="shared" si="107"/>
        <v>8137</v>
      </c>
      <c r="BH30" s="87">
        <v>436028</v>
      </c>
      <c r="BI30" s="87">
        <f t="shared" si="108"/>
        <v>113</v>
      </c>
      <c r="BJ30" s="87">
        <v>11267376</v>
      </c>
      <c r="BK30" s="87">
        <f t="shared" si="109"/>
        <v>1714</v>
      </c>
      <c r="BL30" s="87">
        <v>1595480</v>
      </c>
      <c r="BM30" s="87">
        <f t="shared" si="110"/>
        <v>404</v>
      </c>
      <c r="BN30" s="87">
        <v>2342615</v>
      </c>
      <c r="BO30" s="87">
        <f t="shared" si="111"/>
        <v>123</v>
      </c>
      <c r="BP30" s="87">
        <v>10700509</v>
      </c>
      <c r="BQ30" s="87">
        <f t="shared" si="112"/>
        <v>1741</v>
      </c>
      <c r="BR30" s="87">
        <v>2625391</v>
      </c>
      <c r="BS30" s="87">
        <f t="shared" si="113"/>
        <v>217</v>
      </c>
      <c r="BT30" s="87">
        <v>13083178</v>
      </c>
      <c r="BU30" s="87">
        <f t="shared" si="114"/>
        <v>1484</v>
      </c>
      <c r="BV30" s="87">
        <v>10265397</v>
      </c>
      <c r="BW30" s="87">
        <f t="shared" si="115"/>
        <v>1305</v>
      </c>
      <c r="BX30" s="87">
        <v>1580244</v>
      </c>
      <c r="BY30" s="87">
        <f t="shared" si="116"/>
        <v>184</v>
      </c>
      <c r="BZ30" s="87">
        <v>19904809</v>
      </c>
      <c r="CA30" s="87">
        <f t="shared" si="117"/>
        <v>0</v>
      </c>
      <c r="CB30" s="87">
        <v>17456098</v>
      </c>
      <c r="CC30" s="87">
        <f t="shared" si="118"/>
        <v>496</v>
      </c>
      <c r="CD30" s="87">
        <v>18112380</v>
      </c>
      <c r="CE30" s="87">
        <f t="shared" si="119"/>
        <v>796</v>
      </c>
      <c r="CF30" s="87">
        <v>14107395</v>
      </c>
      <c r="CG30" s="87">
        <f t="shared" si="120"/>
        <v>939</v>
      </c>
      <c r="CH30" s="87">
        <v>4300211</v>
      </c>
      <c r="CI30" s="87">
        <f t="shared" si="121"/>
        <v>429</v>
      </c>
      <c r="CJ30" s="87">
        <v>4775469</v>
      </c>
      <c r="CK30" s="87">
        <f t="shared" si="122"/>
        <v>420</v>
      </c>
      <c r="CL30" s="87">
        <v>2717957</v>
      </c>
      <c r="CM30" s="87">
        <f t="shared" si="123"/>
        <v>91</v>
      </c>
      <c r="CN30" s="87">
        <v>69507208</v>
      </c>
      <c r="CO30" s="87">
        <f t="shared" si="124"/>
        <v>4176</v>
      </c>
      <c r="CP30" s="87">
        <v>4462450</v>
      </c>
      <c r="CQ30" s="87">
        <f t="shared" si="125"/>
        <v>104</v>
      </c>
      <c r="CR30" s="87">
        <v>5182784</v>
      </c>
      <c r="CS30" s="87">
        <f t="shared" si="126"/>
        <v>154</v>
      </c>
      <c r="CT30" s="87">
        <v>3055933</v>
      </c>
      <c r="CU30" s="87">
        <f t="shared" si="127"/>
        <v>246</v>
      </c>
      <c r="CV30" s="87">
        <v>41556137</v>
      </c>
      <c r="CW30" s="87">
        <f t="shared" si="128"/>
        <v>1725</v>
      </c>
      <c r="CX30" s="87">
        <v>6349429</v>
      </c>
      <c r="CY30" s="87">
        <f t="shared" si="129"/>
        <v>570</v>
      </c>
      <c r="CZ30" s="87">
        <v>6310931</v>
      </c>
      <c r="DA30" s="87">
        <f t="shared" si="130"/>
        <v>744</v>
      </c>
      <c r="DB30" s="87">
        <v>56668004</v>
      </c>
      <c r="DC30" s="87">
        <f t="shared" si="131"/>
        <v>6250</v>
      </c>
      <c r="DD30" s="87">
        <v>2003787</v>
      </c>
      <c r="DE30" s="87">
        <f t="shared" si="132"/>
        <v>485</v>
      </c>
      <c r="DF30" s="87">
        <v>21959663</v>
      </c>
      <c r="DG30" s="87">
        <f t="shared" si="133"/>
        <v>3477</v>
      </c>
      <c r="DH30" s="87">
        <v>32290038</v>
      </c>
      <c r="DI30" s="87">
        <f t="shared" si="134"/>
        <v>2183</v>
      </c>
      <c r="DJ30" s="87"/>
      <c r="DK30" s="87"/>
      <c r="DL30" s="87">
        <v>988891</v>
      </c>
      <c r="DM30" s="87">
        <f t="shared" si="135"/>
        <v>221</v>
      </c>
      <c r="DN30" s="87">
        <v>1055796</v>
      </c>
      <c r="DO30" s="87">
        <f t="shared" si="136"/>
        <v>243</v>
      </c>
      <c r="DP30" s="87">
        <v>1185418</v>
      </c>
      <c r="DQ30" s="87">
        <f t="shared" si="137"/>
        <v>687</v>
      </c>
      <c r="DR30" s="87">
        <v>1116422</v>
      </c>
      <c r="DS30" s="87">
        <f t="shared" si="138"/>
        <v>820</v>
      </c>
      <c r="DT30" s="87">
        <v>973690</v>
      </c>
      <c r="DU30" s="87">
        <f t="shared" si="139"/>
        <v>1019</v>
      </c>
      <c r="DV30" s="87">
        <v>1283364</v>
      </c>
      <c r="DW30" s="87">
        <f t="shared" si="140"/>
        <v>1383</v>
      </c>
      <c r="DX30" s="87">
        <v>814510</v>
      </c>
      <c r="DY30" s="87">
        <f t="shared" si="141"/>
        <v>535</v>
      </c>
      <c r="DZ30" s="87">
        <v>1442</v>
      </c>
      <c r="EA30" s="87">
        <f t="shared" si="142"/>
        <v>0</v>
      </c>
      <c r="EB30" s="87">
        <v>386785</v>
      </c>
      <c r="EC30" s="87">
        <f t="shared" si="143"/>
        <v>319</v>
      </c>
      <c r="ED30" s="87">
        <v>891552</v>
      </c>
      <c r="EE30" s="87">
        <f t="shared" si="144"/>
        <v>697</v>
      </c>
      <c r="EF30" s="87">
        <v>428763</v>
      </c>
      <c r="EG30" s="87">
        <f t="shared" si="145"/>
        <v>98</v>
      </c>
      <c r="EH30" s="87">
        <v>2598</v>
      </c>
      <c r="EI30" s="87">
        <f t="shared" si="146"/>
        <v>0</v>
      </c>
      <c r="EJ30" s="87">
        <v>981118</v>
      </c>
      <c r="EK30" s="87">
        <f t="shared" si="147"/>
        <v>421</v>
      </c>
      <c r="EL30" s="87">
        <v>3489127</v>
      </c>
      <c r="EM30" s="87">
        <f t="shared" si="148"/>
        <v>354</v>
      </c>
      <c r="EN30" s="87">
        <v>3861875</v>
      </c>
      <c r="EO30" s="87">
        <f t="shared" si="149"/>
        <v>389</v>
      </c>
      <c r="EP30" s="87">
        <v>4213975</v>
      </c>
      <c r="EQ30" s="87">
        <f t="shared" si="150"/>
        <v>420</v>
      </c>
      <c r="ER30" s="87">
        <v>5325162</v>
      </c>
      <c r="ES30" s="87">
        <f t="shared" si="151"/>
        <v>547</v>
      </c>
      <c r="ET30" s="87">
        <v>4364450</v>
      </c>
      <c r="EU30" s="87">
        <f t="shared" si="152"/>
        <v>354</v>
      </c>
      <c r="EV30" s="87">
        <v>4500736</v>
      </c>
      <c r="EW30" s="87">
        <f t="shared" si="153"/>
        <v>431</v>
      </c>
      <c r="EX30" s="87">
        <v>8810229</v>
      </c>
      <c r="EY30" s="87">
        <f t="shared" si="154"/>
        <v>853</v>
      </c>
      <c r="EZ30" s="87">
        <v>8714945</v>
      </c>
      <c r="FA30" s="87">
        <f t="shared" si="155"/>
        <v>1362</v>
      </c>
      <c r="FB30" s="87">
        <v>8670335</v>
      </c>
      <c r="FC30" s="87">
        <f t="shared" si="156"/>
        <v>703</v>
      </c>
      <c r="FD30" s="87">
        <v>8175702</v>
      </c>
      <c r="FE30" s="87">
        <f t="shared" si="157"/>
        <v>744</v>
      </c>
      <c r="FF30" s="87">
        <v>5153511</v>
      </c>
      <c r="FG30" s="87">
        <f t="shared" si="158"/>
        <v>631</v>
      </c>
      <c r="FH30" s="87">
        <v>3352309</v>
      </c>
      <c r="FI30" s="87">
        <f t="shared" si="159"/>
        <v>487</v>
      </c>
      <c r="FJ30" s="87">
        <v>1572375</v>
      </c>
      <c r="FK30" s="87">
        <f t="shared" si="160"/>
        <v>228</v>
      </c>
      <c r="FL30" s="87"/>
      <c r="FM30" s="87"/>
    </row>
    <row r="31" spans="1:169" ht="30" customHeight="1">
      <c r="A31" s="86">
        <v>44182</v>
      </c>
      <c r="B31" s="87">
        <v>20756114</v>
      </c>
      <c r="C31" s="87">
        <f t="shared" si="83"/>
        <v>1947</v>
      </c>
      <c r="D31" s="87">
        <v>2313942</v>
      </c>
      <c r="E31" s="87">
        <f t="shared" si="84"/>
        <v>248</v>
      </c>
      <c r="F31" s="87">
        <v>27638192</v>
      </c>
      <c r="G31" s="87">
        <f t="shared" si="85"/>
        <v>3330</v>
      </c>
      <c r="H31" s="87">
        <v>5751010</v>
      </c>
      <c r="I31" s="87">
        <f t="shared" si="86"/>
        <v>485</v>
      </c>
      <c r="J31" s="87"/>
      <c r="K31" s="87"/>
      <c r="L31" s="87">
        <v>21678028</v>
      </c>
      <c r="M31" s="87">
        <f t="shared" si="87"/>
        <v>1848</v>
      </c>
      <c r="N31" s="87">
        <v>72850671</v>
      </c>
      <c r="O31" s="87">
        <f t="shared" si="88"/>
        <v>8861</v>
      </c>
      <c r="P31" s="87">
        <v>24272</v>
      </c>
      <c r="Q31" s="87">
        <f t="shared" si="89"/>
        <v>14</v>
      </c>
      <c r="R31" s="87">
        <v>4855</v>
      </c>
      <c r="S31" s="87">
        <f t="shared" si="90"/>
        <v>0</v>
      </c>
      <c r="T31" s="87">
        <v>31596093</v>
      </c>
      <c r="U31" s="87">
        <f t="shared" si="91"/>
        <v>3474</v>
      </c>
      <c r="V31" s="87">
        <v>1625186</v>
      </c>
      <c r="W31" s="87">
        <f t="shared" si="92"/>
        <v>282</v>
      </c>
      <c r="X31" s="87">
        <v>1873105</v>
      </c>
      <c r="Y31" s="87">
        <f t="shared" si="93"/>
        <v>203</v>
      </c>
      <c r="Z31" s="87">
        <v>3504115</v>
      </c>
      <c r="AA31" s="87">
        <f t="shared" si="94"/>
        <v>582</v>
      </c>
      <c r="AB31" s="87"/>
      <c r="AC31" s="87"/>
      <c r="AD31" s="87">
        <v>54859688</v>
      </c>
      <c r="AE31" s="87">
        <f t="shared" si="95"/>
        <v>6109</v>
      </c>
      <c r="AF31" s="87">
        <v>9950249</v>
      </c>
      <c r="AG31" s="87">
        <f t="shared" si="96"/>
        <v>1095</v>
      </c>
      <c r="AH31" s="87">
        <v>1546832</v>
      </c>
      <c r="AI31" s="87">
        <f t="shared" si="97"/>
        <v>209</v>
      </c>
      <c r="AJ31" s="87">
        <v>1769303</v>
      </c>
      <c r="AK31" s="87">
        <f t="shared" si="98"/>
        <v>181</v>
      </c>
      <c r="AL31" s="87">
        <v>4850501</v>
      </c>
      <c r="AM31" s="87">
        <f t="shared" si="99"/>
        <v>535</v>
      </c>
      <c r="AN31" s="87">
        <v>5159939</v>
      </c>
      <c r="AO31" s="87">
        <f t="shared" si="100"/>
        <v>774</v>
      </c>
      <c r="AP31" s="87"/>
      <c r="AQ31" s="87"/>
      <c r="AR31" s="87">
        <v>1144022</v>
      </c>
      <c r="AS31" s="87">
        <f t="shared" si="101"/>
        <v>305</v>
      </c>
      <c r="AT31" s="87">
        <v>3145528</v>
      </c>
      <c r="AU31" s="87">
        <f t="shared" si="102"/>
        <v>478</v>
      </c>
      <c r="AV31" s="87"/>
      <c r="AW31" s="87"/>
      <c r="AX31" s="87">
        <v>576572</v>
      </c>
      <c r="AY31" s="87">
        <f t="shared" si="103"/>
        <v>186</v>
      </c>
      <c r="AZ31" s="87">
        <v>2363539</v>
      </c>
      <c r="BA31" s="87">
        <f t="shared" si="104"/>
        <v>45</v>
      </c>
      <c r="BB31" s="87">
        <v>4694568</v>
      </c>
      <c r="BC31" s="87">
        <f t="shared" si="105"/>
        <v>844</v>
      </c>
      <c r="BD31" s="87">
        <v>41736617</v>
      </c>
      <c r="BE31" s="87">
        <f t="shared" si="106"/>
        <v>5749</v>
      </c>
      <c r="BF31" s="87">
        <v>59055965</v>
      </c>
      <c r="BG31" s="87">
        <f t="shared" si="107"/>
        <v>7995</v>
      </c>
      <c r="BH31" s="87">
        <v>436147</v>
      </c>
      <c r="BI31" s="87">
        <f t="shared" si="108"/>
        <v>119</v>
      </c>
      <c r="BJ31" s="87">
        <v>11268951</v>
      </c>
      <c r="BK31" s="87">
        <f t="shared" si="109"/>
        <v>1575</v>
      </c>
      <c r="BL31" s="87">
        <v>1595883</v>
      </c>
      <c r="BM31" s="87">
        <f t="shared" si="110"/>
        <v>403</v>
      </c>
      <c r="BN31" s="87">
        <v>2342766</v>
      </c>
      <c r="BO31" s="87">
        <f t="shared" si="111"/>
        <v>151</v>
      </c>
      <c r="BP31" s="87">
        <v>10702253</v>
      </c>
      <c r="BQ31" s="87">
        <f t="shared" si="112"/>
        <v>1744</v>
      </c>
      <c r="BR31" s="87">
        <v>2625605</v>
      </c>
      <c r="BS31" s="87">
        <f t="shared" si="113"/>
        <v>214</v>
      </c>
      <c r="BT31" s="87">
        <v>13084620</v>
      </c>
      <c r="BU31" s="87">
        <f t="shared" si="114"/>
        <v>1442</v>
      </c>
      <c r="BV31" s="87">
        <v>10266706</v>
      </c>
      <c r="BW31" s="87">
        <f t="shared" si="115"/>
        <v>1309</v>
      </c>
      <c r="BX31" s="87">
        <v>1580432</v>
      </c>
      <c r="BY31" s="87">
        <f t="shared" si="116"/>
        <v>188</v>
      </c>
      <c r="BZ31" s="87">
        <v>19904809</v>
      </c>
      <c r="CA31" s="87">
        <f t="shared" si="117"/>
        <v>0</v>
      </c>
      <c r="CB31" s="87">
        <v>17456098</v>
      </c>
      <c r="CC31" s="87">
        <f t="shared" si="118"/>
        <v>0</v>
      </c>
      <c r="CD31" s="87">
        <v>18112454</v>
      </c>
      <c r="CE31" s="87">
        <f t="shared" si="119"/>
        <v>74</v>
      </c>
      <c r="CF31" s="87">
        <v>14108395</v>
      </c>
      <c r="CG31" s="87">
        <f t="shared" si="120"/>
        <v>1000</v>
      </c>
      <c r="CH31" s="87">
        <v>4300645</v>
      </c>
      <c r="CI31" s="87">
        <f t="shared" si="121"/>
        <v>434</v>
      </c>
      <c r="CJ31" s="87">
        <v>4775901</v>
      </c>
      <c r="CK31" s="87">
        <f t="shared" si="122"/>
        <v>432</v>
      </c>
      <c r="CL31" s="87">
        <v>2718093</v>
      </c>
      <c r="CM31" s="87">
        <f t="shared" si="123"/>
        <v>136</v>
      </c>
      <c r="CN31" s="87">
        <v>69511127</v>
      </c>
      <c r="CO31" s="87">
        <f t="shared" si="124"/>
        <v>3919</v>
      </c>
      <c r="CP31" s="87">
        <v>4462554</v>
      </c>
      <c r="CQ31" s="87">
        <f t="shared" si="125"/>
        <v>104</v>
      </c>
      <c r="CR31" s="87">
        <v>5182952</v>
      </c>
      <c r="CS31" s="87">
        <f t="shared" si="126"/>
        <v>168</v>
      </c>
      <c r="CT31" s="87">
        <v>3056180</v>
      </c>
      <c r="CU31" s="87">
        <f t="shared" si="127"/>
        <v>247</v>
      </c>
      <c r="CV31" s="87">
        <v>41557535</v>
      </c>
      <c r="CW31" s="87">
        <f t="shared" si="128"/>
        <v>1398</v>
      </c>
      <c r="CX31" s="87">
        <v>6349996</v>
      </c>
      <c r="CY31" s="87">
        <f t="shared" si="129"/>
        <v>567</v>
      </c>
      <c r="CZ31" s="87">
        <v>6311674</v>
      </c>
      <c r="DA31" s="87">
        <f t="shared" si="130"/>
        <v>743</v>
      </c>
      <c r="DB31" s="87">
        <v>56675231</v>
      </c>
      <c r="DC31" s="87">
        <f t="shared" si="131"/>
        <v>7227</v>
      </c>
      <c r="DD31" s="87">
        <v>2004260</v>
      </c>
      <c r="DE31" s="87">
        <f t="shared" si="132"/>
        <v>473</v>
      </c>
      <c r="DF31" s="87">
        <v>21963014</v>
      </c>
      <c r="DG31" s="87">
        <f t="shared" si="133"/>
        <v>3351</v>
      </c>
      <c r="DH31" s="87">
        <v>32293323</v>
      </c>
      <c r="DI31" s="87">
        <f t="shared" si="134"/>
        <v>3285</v>
      </c>
      <c r="DJ31" s="87"/>
      <c r="DK31" s="87"/>
      <c r="DL31" s="87">
        <v>989080</v>
      </c>
      <c r="DM31" s="87">
        <f t="shared" si="135"/>
        <v>189</v>
      </c>
      <c r="DN31" s="87">
        <v>1056027</v>
      </c>
      <c r="DO31" s="87">
        <f t="shared" si="136"/>
        <v>231</v>
      </c>
      <c r="DP31" s="87">
        <v>1186136</v>
      </c>
      <c r="DQ31" s="87">
        <f t="shared" si="137"/>
        <v>718</v>
      </c>
      <c r="DR31" s="87">
        <v>1117319</v>
      </c>
      <c r="DS31" s="87">
        <f t="shared" si="138"/>
        <v>897</v>
      </c>
      <c r="DT31" s="87">
        <v>974714</v>
      </c>
      <c r="DU31" s="87">
        <f t="shared" si="139"/>
        <v>1024</v>
      </c>
      <c r="DV31" s="87">
        <v>1284731</v>
      </c>
      <c r="DW31" s="87">
        <f t="shared" si="140"/>
        <v>1367</v>
      </c>
      <c r="DX31" s="87">
        <v>815072</v>
      </c>
      <c r="DY31" s="87">
        <f t="shared" si="141"/>
        <v>562</v>
      </c>
      <c r="DZ31" s="87">
        <v>1442</v>
      </c>
      <c r="EA31" s="87">
        <f t="shared" si="142"/>
        <v>0</v>
      </c>
      <c r="EB31" s="87">
        <v>387103</v>
      </c>
      <c r="EC31" s="87">
        <f t="shared" si="143"/>
        <v>318</v>
      </c>
      <c r="ED31" s="87">
        <v>892250</v>
      </c>
      <c r="EE31" s="87">
        <f t="shared" si="144"/>
        <v>698</v>
      </c>
      <c r="EF31" s="87">
        <v>428884</v>
      </c>
      <c r="EG31" s="87">
        <f t="shared" si="145"/>
        <v>121</v>
      </c>
      <c r="EH31" s="87">
        <v>2598</v>
      </c>
      <c r="EI31" s="87">
        <f t="shared" si="146"/>
        <v>0</v>
      </c>
      <c r="EJ31" s="87">
        <v>981544</v>
      </c>
      <c r="EK31" s="87">
        <f t="shared" si="147"/>
        <v>426</v>
      </c>
      <c r="EL31" s="87">
        <v>3489486</v>
      </c>
      <c r="EM31" s="87">
        <f t="shared" si="148"/>
        <v>359</v>
      </c>
      <c r="EN31" s="87">
        <v>3862263</v>
      </c>
      <c r="EO31" s="87">
        <f t="shared" si="149"/>
        <v>388</v>
      </c>
      <c r="EP31" s="87">
        <v>4214405</v>
      </c>
      <c r="EQ31" s="87">
        <f t="shared" si="150"/>
        <v>430</v>
      </c>
      <c r="ER31" s="87">
        <v>5325703</v>
      </c>
      <c r="ES31" s="87">
        <f t="shared" si="151"/>
        <v>541</v>
      </c>
      <c r="ET31" s="87">
        <v>4364841</v>
      </c>
      <c r="EU31" s="87">
        <f t="shared" si="152"/>
        <v>391</v>
      </c>
      <c r="EV31" s="87">
        <v>4501162</v>
      </c>
      <c r="EW31" s="87">
        <f t="shared" si="153"/>
        <v>426</v>
      </c>
      <c r="EX31" s="87">
        <v>8811084</v>
      </c>
      <c r="EY31" s="87">
        <f t="shared" si="154"/>
        <v>855</v>
      </c>
      <c r="EZ31" s="87">
        <v>8716276</v>
      </c>
      <c r="FA31" s="87">
        <f t="shared" si="155"/>
        <v>1331</v>
      </c>
      <c r="FB31" s="87">
        <v>8671038</v>
      </c>
      <c r="FC31" s="87">
        <f t="shared" si="156"/>
        <v>703</v>
      </c>
      <c r="FD31" s="87">
        <v>8176441</v>
      </c>
      <c r="FE31" s="87">
        <f t="shared" si="157"/>
        <v>739</v>
      </c>
      <c r="FF31" s="87">
        <v>5154147</v>
      </c>
      <c r="FG31" s="87">
        <f t="shared" si="158"/>
        <v>636</v>
      </c>
      <c r="FH31" s="87">
        <v>3352800</v>
      </c>
      <c r="FI31" s="87">
        <f t="shared" si="159"/>
        <v>491</v>
      </c>
      <c r="FJ31" s="87">
        <v>1572599</v>
      </c>
      <c r="FK31" s="87">
        <f t="shared" si="160"/>
        <v>224</v>
      </c>
      <c r="FL31" s="87"/>
      <c r="FM31" s="87"/>
    </row>
    <row r="32" spans="1:169" ht="30" customHeight="1">
      <c r="A32" s="86">
        <v>44183</v>
      </c>
      <c r="B32" s="87">
        <v>20758162</v>
      </c>
      <c r="C32" s="83">
        <f t="shared" si="83"/>
        <v>2048</v>
      </c>
      <c r="D32" s="87">
        <v>2314191</v>
      </c>
      <c r="E32" s="83">
        <f t="shared" si="84"/>
        <v>249</v>
      </c>
      <c r="F32" s="87">
        <v>27641506</v>
      </c>
      <c r="G32" s="83">
        <f t="shared" si="85"/>
        <v>3314</v>
      </c>
      <c r="H32" s="87">
        <v>5751495</v>
      </c>
      <c r="I32" s="83">
        <f t="shared" si="86"/>
        <v>485</v>
      </c>
      <c r="J32" s="87"/>
      <c r="K32" s="87"/>
      <c r="L32" s="87">
        <v>21679846</v>
      </c>
      <c r="M32" s="87">
        <f t="shared" si="87"/>
        <v>1818</v>
      </c>
      <c r="N32" s="87">
        <v>72860756</v>
      </c>
      <c r="O32" s="87">
        <f t="shared" si="88"/>
        <v>10085</v>
      </c>
      <c r="P32" s="87">
        <v>24285</v>
      </c>
      <c r="Q32" s="87">
        <f t="shared" si="89"/>
        <v>13</v>
      </c>
      <c r="R32" s="87">
        <v>4855</v>
      </c>
      <c r="S32" s="87">
        <f t="shared" si="90"/>
        <v>0</v>
      </c>
      <c r="T32" s="87">
        <v>31601433</v>
      </c>
      <c r="U32" s="87">
        <f t="shared" si="91"/>
        <v>5340</v>
      </c>
      <c r="V32" s="87">
        <v>1625460</v>
      </c>
      <c r="W32" s="87">
        <f t="shared" si="92"/>
        <v>274</v>
      </c>
      <c r="X32" s="87">
        <v>1873308</v>
      </c>
      <c r="Y32" s="87">
        <f t="shared" si="93"/>
        <v>203</v>
      </c>
      <c r="Z32" s="87">
        <v>3504695</v>
      </c>
      <c r="AA32" s="83">
        <f t="shared" si="94"/>
        <v>580</v>
      </c>
      <c r="AB32" s="87"/>
      <c r="AC32" s="87"/>
      <c r="AD32" s="87">
        <v>54865926</v>
      </c>
      <c r="AE32" s="87">
        <f t="shared" si="95"/>
        <v>6238</v>
      </c>
      <c r="AF32" s="87">
        <v>9951479</v>
      </c>
      <c r="AG32" s="87">
        <f t="shared" si="96"/>
        <v>1230</v>
      </c>
      <c r="AH32" s="87">
        <v>1547038</v>
      </c>
      <c r="AI32" s="87">
        <f t="shared" si="97"/>
        <v>206</v>
      </c>
      <c r="AJ32" s="87">
        <v>1769488</v>
      </c>
      <c r="AK32" s="87">
        <f t="shared" si="98"/>
        <v>185</v>
      </c>
      <c r="AL32" s="87">
        <v>4851036</v>
      </c>
      <c r="AM32" s="87">
        <f t="shared" si="99"/>
        <v>535</v>
      </c>
      <c r="AN32" s="87">
        <v>5160741</v>
      </c>
      <c r="AO32" s="87">
        <f t="shared" si="100"/>
        <v>802</v>
      </c>
      <c r="AP32" s="87"/>
      <c r="AQ32" s="87"/>
      <c r="AR32" s="87">
        <v>1144325</v>
      </c>
      <c r="AS32" s="87">
        <f t="shared" si="101"/>
        <v>303</v>
      </c>
      <c r="AT32" s="87">
        <v>3145990</v>
      </c>
      <c r="AU32" s="87">
        <f t="shared" si="102"/>
        <v>462</v>
      </c>
      <c r="AV32" s="87"/>
      <c r="AW32" s="87"/>
      <c r="AX32" s="87">
        <v>576758</v>
      </c>
      <c r="AY32" s="87">
        <f t="shared" si="103"/>
        <v>186</v>
      </c>
      <c r="AZ32" s="87">
        <v>2363568</v>
      </c>
      <c r="BA32" s="87">
        <f t="shared" si="104"/>
        <v>29</v>
      </c>
      <c r="BB32" s="87">
        <v>4695418</v>
      </c>
      <c r="BC32" s="87">
        <f t="shared" si="105"/>
        <v>850</v>
      </c>
      <c r="BD32" s="87">
        <v>41742364</v>
      </c>
      <c r="BE32" s="87">
        <f t="shared" si="106"/>
        <v>5747</v>
      </c>
      <c r="BF32" s="87">
        <v>59064001</v>
      </c>
      <c r="BG32" s="87">
        <f t="shared" si="107"/>
        <v>8036</v>
      </c>
      <c r="BH32" s="87">
        <v>436243</v>
      </c>
      <c r="BI32" s="87">
        <f t="shared" si="108"/>
        <v>96</v>
      </c>
      <c r="BJ32" s="87">
        <v>11270519</v>
      </c>
      <c r="BK32" s="87">
        <f t="shared" si="109"/>
        <v>1568</v>
      </c>
      <c r="BL32" s="87">
        <v>1596284</v>
      </c>
      <c r="BM32" s="87">
        <f t="shared" si="110"/>
        <v>401</v>
      </c>
      <c r="BN32" s="87">
        <v>2342857</v>
      </c>
      <c r="BO32" s="87">
        <f t="shared" si="111"/>
        <v>91</v>
      </c>
      <c r="BP32" s="87">
        <v>10704016</v>
      </c>
      <c r="BQ32" s="87">
        <f t="shared" si="112"/>
        <v>1763</v>
      </c>
      <c r="BR32" s="87">
        <v>2625816</v>
      </c>
      <c r="BS32" s="87">
        <f t="shared" si="113"/>
        <v>211</v>
      </c>
      <c r="BT32" s="87">
        <v>13086156</v>
      </c>
      <c r="BU32" s="87">
        <f t="shared" si="114"/>
        <v>1536</v>
      </c>
      <c r="BV32" s="87">
        <v>10268056</v>
      </c>
      <c r="BW32" s="87">
        <f t="shared" si="115"/>
        <v>1350</v>
      </c>
      <c r="BX32" s="87">
        <v>1580600</v>
      </c>
      <c r="BY32" s="87">
        <f t="shared" si="116"/>
        <v>168</v>
      </c>
      <c r="BZ32" s="87">
        <v>19904809</v>
      </c>
      <c r="CA32" s="87">
        <f t="shared" si="117"/>
        <v>0</v>
      </c>
      <c r="CB32" s="87">
        <v>17456098</v>
      </c>
      <c r="CC32" s="87">
        <f t="shared" si="118"/>
        <v>0</v>
      </c>
      <c r="CD32" s="87">
        <v>18113242</v>
      </c>
      <c r="CE32" s="87">
        <f t="shared" si="119"/>
        <v>788</v>
      </c>
      <c r="CF32" s="87">
        <v>14109359</v>
      </c>
      <c r="CG32" s="87">
        <f t="shared" si="120"/>
        <v>964</v>
      </c>
      <c r="CH32" s="87">
        <v>4301058</v>
      </c>
      <c r="CI32" s="87">
        <f t="shared" si="121"/>
        <v>413</v>
      </c>
      <c r="CJ32" s="87">
        <v>4776334</v>
      </c>
      <c r="CK32" s="87">
        <f t="shared" si="122"/>
        <v>433</v>
      </c>
      <c r="CL32" s="87">
        <v>2718211</v>
      </c>
      <c r="CM32" s="87">
        <f t="shared" si="123"/>
        <v>118</v>
      </c>
      <c r="CN32" s="87">
        <v>69517530</v>
      </c>
      <c r="CO32" s="87">
        <f t="shared" si="124"/>
        <v>6403</v>
      </c>
      <c r="CP32" s="87">
        <v>4462659</v>
      </c>
      <c r="CQ32" s="87">
        <f t="shared" si="125"/>
        <v>105</v>
      </c>
      <c r="CR32" s="87">
        <v>5183107</v>
      </c>
      <c r="CS32" s="87">
        <f t="shared" si="126"/>
        <v>155</v>
      </c>
      <c r="CT32" s="87">
        <v>3056424</v>
      </c>
      <c r="CU32" s="87">
        <f t="shared" si="127"/>
        <v>244</v>
      </c>
      <c r="CV32" s="87">
        <v>41561457</v>
      </c>
      <c r="CW32" s="87">
        <f t="shared" si="128"/>
        <v>3922</v>
      </c>
      <c r="CX32" s="87">
        <v>6350563</v>
      </c>
      <c r="CY32" s="87">
        <f t="shared" si="129"/>
        <v>567</v>
      </c>
      <c r="CZ32" s="87">
        <v>6312415</v>
      </c>
      <c r="DA32" s="87">
        <f t="shared" si="130"/>
        <v>741</v>
      </c>
      <c r="DB32" s="87">
        <v>56679316</v>
      </c>
      <c r="DC32" s="87">
        <f t="shared" si="131"/>
        <v>4085</v>
      </c>
      <c r="DD32" s="87">
        <v>2004741</v>
      </c>
      <c r="DE32" s="87">
        <f t="shared" si="132"/>
        <v>481</v>
      </c>
      <c r="DF32" s="87">
        <v>21966358</v>
      </c>
      <c r="DG32" s="87">
        <f t="shared" si="133"/>
        <v>3344</v>
      </c>
      <c r="DH32" s="87">
        <v>32293476</v>
      </c>
      <c r="DI32" s="87">
        <f t="shared" si="134"/>
        <v>153</v>
      </c>
      <c r="DJ32" s="87"/>
      <c r="DK32" s="87"/>
      <c r="DL32" s="87">
        <v>989286</v>
      </c>
      <c r="DM32" s="87">
        <f t="shared" si="135"/>
        <v>206</v>
      </c>
      <c r="DN32" s="87">
        <v>1056246</v>
      </c>
      <c r="DO32" s="87">
        <f t="shared" si="136"/>
        <v>219</v>
      </c>
      <c r="DP32" s="87">
        <v>1186836</v>
      </c>
      <c r="DQ32" s="87">
        <f t="shared" si="137"/>
        <v>700</v>
      </c>
      <c r="DR32" s="87">
        <v>1118184</v>
      </c>
      <c r="DS32" s="87">
        <f t="shared" si="138"/>
        <v>865</v>
      </c>
      <c r="DT32" s="87">
        <v>975739</v>
      </c>
      <c r="DU32" s="87">
        <f t="shared" si="139"/>
        <v>1025</v>
      </c>
      <c r="DV32" s="87">
        <v>1286095</v>
      </c>
      <c r="DW32" s="87">
        <f t="shared" si="140"/>
        <v>1364</v>
      </c>
      <c r="DX32" s="87">
        <v>815644</v>
      </c>
      <c r="DY32" s="87">
        <f t="shared" si="141"/>
        <v>572</v>
      </c>
      <c r="DZ32" s="87">
        <v>1442</v>
      </c>
      <c r="EA32" s="87">
        <f t="shared" si="142"/>
        <v>0</v>
      </c>
      <c r="EB32" s="87">
        <v>387436</v>
      </c>
      <c r="EC32" s="87">
        <f t="shared" si="143"/>
        <v>333</v>
      </c>
      <c r="ED32" s="87">
        <v>892952</v>
      </c>
      <c r="EE32" s="87">
        <f t="shared" si="144"/>
        <v>702</v>
      </c>
      <c r="EF32" s="87">
        <v>429000</v>
      </c>
      <c r="EG32" s="87">
        <f t="shared" si="145"/>
        <v>116</v>
      </c>
      <c r="EH32" s="87">
        <v>2614</v>
      </c>
      <c r="EI32" s="87">
        <f t="shared" si="146"/>
        <v>16</v>
      </c>
      <c r="EJ32" s="87">
        <v>981971</v>
      </c>
      <c r="EK32" s="87">
        <f t="shared" si="147"/>
        <v>427</v>
      </c>
      <c r="EL32" s="87">
        <v>3489853</v>
      </c>
      <c r="EM32" s="87">
        <f t="shared" si="148"/>
        <v>367</v>
      </c>
      <c r="EN32" s="87">
        <v>3862638</v>
      </c>
      <c r="EO32" s="87">
        <f t="shared" si="149"/>
        <v>375</v>
      </c>
      <c r="EP32" s="87">
        <v>4214799</v>
      </c>
      <c r="EQ32" s="87">
        <f t="shared" si="150"/>
        <v>394</v>
      </c>
      <c r="ER32" s="87">
        <v>5326356</v>
      </c>
      <c r="ES32" s="87">
        <f t="shared" si="151"/>
        <v>653</v>
      </c>
      <c r="ET32" s="87">
        <v>4365228</v>
      </c>
      <c r="EU32" s="87">
        <f t="shared" si="152"/>
        <v>387</v>
      </c>
      <c r="EV32" s="87">
        <v>4501581</v>
      </c>
      <c r="EW32" s="87">
        <f t="shared" si="153"/>
        <v>419</v>
      </c>
      <c r="EX32" s="87">
        <v>8811935</v>
      </c>
      <c r="EY32" s="87">
        <f t="shared" si="154"/>
        <v>851</v>
      </c>
      <c r="EZ32" s="87">
        <v>8717593</v>
      </c>
      <c r="FA32" s="87">
        <f t="shared" si="155"/>
        <v>1317</v>
      </c>
      <c r="FB32" s="87">
        <v>8671740</v>
      </c>
      <c r="FC32" s="87">
        <f t="shared" si="156"/>
        <v>702</v>
      </c>
      <c r="FD32" s="87">
        <v>8177180</v>
      </c>
      <c r="FE32" s="87">
        <f t="shared" si="157"/>
        <v>739</v>
      </c>
      <c r="FF32" s="87">
        <v>5154781</v>
      </c>
      <c r="FG32" s="87">
        <f t="shared" si="158"/>
        <v>634</v>
      </c>
      <c r="FH32" s="87">
        <v>3353305</v>
      </c>
      <c r="FI32" s="87">
        <f t="shared" si="159"/>
        <v>505</v>
      </c>
      <c r="FJ32" s="87">
        <v>1572819</v>
      </c>
      <c r="FK32" s="87">
        <f t="shared" si="160"/>
        <v>220</v>
      </c>
      <c r="FL32" s="87"/>
      <c r="FM32" s="87"/>
    </row>
    <row r="33" spans="1:169" ht="30" customHeight="1">
      <c r="A33" s="86">
        <v>44184</v>
      </c>
      <c r="B33" s="87">
        <v>20760189</v>
      </c>
      <c r="C33" s="87">
        <f t="shared" si="83"/>
        <v>2027</v>
      </c>
      <c r="D33" s="87">
        <v>2314462</v>
      </c>
      <c r="E33" s="87">
        <f t="shared" si="84"/>
        <v>271</v>
      </c>
      <c r="F33" s="87">
        <v>27644827</v>
      </c>
      <c r="G33" s="87">
        <f t="shared" si="85"/>
        <v>3321</v>
      </c>
      <c r="H33" s="87">
        <v>5752055</v>
      </c>
      <c r="I33" s="87">
        <f t="shared" si="86"/>
        <v>560</v>
      </c>
      <c r="J33" s="87"/>
      <c r="K33" s="87"/>
      <c r="L33" s="87">
        <v>21681712</v>
      </c>
      <c r="M33" s="87">
        <f t="shared" si="87"/>
        <v>1866</v>
      </c>
      <c r="N33" s="87">
        <v>72871605</v>
      </c>
      <c r="O33" s="87">
        <f t="shared" si="88"/>
        <v>10849</v>
      </c>
      <c r="P33" s="87">
        <v>24298</v>
      </c>
      <c r="Q33" s="87">
        <f t="shared" si="89"/>
        <v>13</v>
      </c>
      <c r="R33" s="87">
        <v>4855</v>
      </c>
      <c r="S33" s="87">
        <f t="shared" si="90"/>
        <v>0</v>
      </c>
      <c r="T33" s="87">
        <v>31608321</v>
      </c>
      <c r="U33" s="87">
        <f t="shared" si="91"/>
        <v>6888</v>
      </c>
      <c r="V33" s="87">
        <v>1625736</v>
      </c>
      <c r="W33" s="87">
        <f t="shared" si="92"/>
        <v>276</v>
      </c>
      <c r="X33" s="87">
        <v>1873510</v>
      </c>
      <c r="Y33" s="87">
        <f t="shared" si="93"/>
        <v>202</v>
      </c>
      <c r="Z33" s="87">
        <v>3505275</v>
      </c>
      <c r="AA33" s="87">
        <f t="shared" si="94"/>
        <v>580</v>
      </c>
      <c r="AB33" s="87"/>
      <c r="AC33" s="87"/>
      <c r="AD33" s="87">
        <v>54872407</v>
      </c>
      <c r="AE33" s="87">
        <f t="shared" si="95"/>
        <v>6481</v>
      </c>
      <c r="AF33" s="87">
        <v>9952692</v>
      </c>
      <c r="AG33" s="87">
        <f t="shared" si="96"/>
        <v>1213</v>
      </c>
      <c r="AH33" s="87">
        <v>1547241</v>
      </c>
      <c r="AI33" s="87">
        <f t="shared" si="97"/>
        <v>203</v>
      </c>
      <c r="AJ33" s="87">
        <v>1769695</v>
      </c>
      <c r="AK33" s="87">
        <f t="shared" si="98"/>
        <v>207</v>
      </c>
      <c r="AL33" s="87">
        <v>4851599</v>
      </c>
      <c r="AM33" s="87">
        <f t="shared" si="99"/>
        <v>563</v>
      </c>
      <c r="AN33" s="87">
        <v>5161623</v>
      </c>
      <c r="AO33" s="87">
        <f t="shared" si="100"/>
        <v>882</v>
      </c>
      <c r="AP33" s="87"/>
      <c r="AQ33" s="87"/>
      <c r="AR33" s="87">
        <v>1144633</v>
      </c>
      <c r="AS33" s="87">
        <f t="shared" si="101"/>
        <v>308</v>
      </c>
      <c r="AT33" s="87">
        <v>3146482</v>
      </c>
      <c r="AU33" s="87">
        <f t="shared" si="102"/>
        <v>492</v>
      </c>
      <c r="AV33" s="87"/>
      <c r="AW33" s="87"/>
      <c r="AX33" s="87">
        <v>576944</v>
      </c>
      <c r="AY33" s="87">
        <f t="shared" si="103"/>
        <v>186</v>
      </c>
      <c r="AZ33" s="87">
        <v>2363653</v>
      </c>
      <c r="BA33" s="87">
        <f t="shared" si="104"/>
        <v>85</v>
      </c>
      <c r="BB33" s="87">
        <v>4696258</v>
      </c>
      <c r="BC33" s="87">
        <f t="shared" si="105"/>
        <v>840</v>
      </c>
      <c r="BD33" s="87">
        <v>41748347</v>
      </c>
      <c r="BE33" s="87">
        <f t="shared" si="106"/>
        <v>5983</v>
      </c>
      <c r="BF33" s="87">
        <v>59072250</v>
      </c>
      <c r="BG33" s="87">
        <f t="shared" si="107"/>
        <v>8249</v>
      </c>
      <c r="BH33" s="87">
        <v>436341</v>
      </c>
      <c r="BI33" s="87">
        <f t="shared" si="108"/>
        <v>98</v>
      </c>
      <c r="BJ33" s="87">
        <v>11272075</v>
      </c>
      <c r="BK33" s="87">
        <f t="shared" si="109"/>
        <v>1556</v>
      </c>
      <c r="BL33" s="87">
        <v>1596686</v>
      </c>
      <c r="BM33" s="87">
        <f t="shared" si="110"/>
        <v>402</v>
      </c>
      <c r="BN33" s="87">
        <v>2343122</v>
      </c>
      <c r="BO33" s="87">
        <f t="shared" si="111"/>
        <v>265</v>
      </c>
      <c r="BP33" s="87">
        <v>10705848</v>
      </c>
      <c r="BQ33" s="87">
        <f t="shared" si="112"/>
        <v>1832</v>
      </c>
      <c r="BR33" s="87">
        <v>2626029</v>
      </c>
      <c r="BS33" s="87">
        <f t="shared" si="113"/>
        <v>213</v>
      </c>
      <c r="BT33" s="87">
        <v>13087718</v>
      </c>
      <c r="BU33" s="87">
        <f t="shared" si="114"/>
        <v>1562</v>
      </c>
      <c r="BV33" s="87">
        <v>10269394</v>
      </c>
      <c r="BW33" s="87">
        <f t="shared" si="115"/>
        <v>1338</v>
      </c>
      <c r="BX33" s="87">
        <v>1580782</v>
      </c>
      <c r="BY33" s="87">
        <f t="shared" si="116"/>
        <v>182</v>
      </c>
      <c r="BZ33" s="87">
        <v>19904809</v>
      </c>
      <c r="CA33" s="87">
        <f t="shared" si="117"/>
        <v>0</v>
      </c>
      <c r="CB33" s="87">
        <v>17456098</v>
      </c>
      <c r="CC33" s="87">
        <f t="shared" si="118"/>
        <v>0</v>
      </c>
      <c r="CD33" s="87">
        <v>18113317</v>
      </c>
      <c r="CE33" s="87">
        <f t="shared" si="119"/>
        <v>75</v>
      </c>
      <c r="CF33" s="87">
        <v>14110288</v>
      </c>
      <c r="CG33" s="87">
        <f t="shared" si="120"/>
        <v>929</v>
      </c>
      <c r="CH33" s="87">
        <v>4301474</v>
      </c>
      <c r="CI33" s="87">
        <f t="shared" si="121"/>
        <v>416</v>
      </c>
      <c r="CJ33" s="87">
        <v>4776745</v>
      </c>
      <c r="CK33" s="87">
        <f t="shared" si="122"/>
        <v>411</v>
      </c>
      <c r="CL33" s="87">
        <v>2718315</v>
      </c>
      <c r="CM33" s="87">
        <f t="shared" si="123"/>
        <v>104</v>
      </c>
      <c r="CN33" s="87">
        <v>69525312</v>
      </c>
      <c r="CO33" s="87">
        <f t="shared" si="124"/>
        <v>7782</v>
      </c>
      <c r="CP33" s="87">
        <v>4462762</v>
      </c>
      <c r="CQ33" s="87">
        <f t="shared" si="125"/>
        <v>103</v>
      </c>
      <c r="CR33" s="87">
        <v>5183269</v>
      </c>
      <c r="CS33" s="87">
        <f t="shared" si="126"/>
        <v>162</v>
      </c>
      <c r="CT33" s="87">
        <v>3056669</v>
      </c>
      <c r="CU33" s="87">
        <f t="shared" si="127"/>
        <v>245</v>
      </c>
      <c r="CV33" s="87">
        <v>41566749</v>
      </c>
      <c r="CW33" s="87">
        <f t="shared" si="128"/>
        <v>5292</v>
      </c>
      <c r="CX33" s="87">
        <v>6351130</v>
      </c>
      <c r="CY33" s="87">
        <f t="shared" si="129"/>
        <v>567</v>
      </c>
      <c r="CZ33" s="87">
        <v>6313158</v>
      </c>
      <c r="DA33" s="87">
        <f t="shared" si="130"/>
        <v>743</v>
      </c>
      <c r="DB33" s="87">
        <v>56683568</v>
      </c>
      <c r="DC33" s="87">
        <f t="shared" si="131"/>
        <v>4252</v>
      </c>
      <c r="DD33" s="87">
        <v>2005273</v>
      </c>
      <c r="DE33" s="87">
        <f t="shared" si="132"/>
        <v>532</v>
      </c>
      <c r="DF33" s="87">
        <v>21969919</v>
      </c>
      <c r="DG33" s="87">
        <f t="shared" si="133"/>
        <v>3561</v>
      </c>
      <c r="DH33" s="87">
        <v>32293496</v>
      </c>
      <c r="DI33" s="87">
        <f t="shared" si="134"/>
        <v>20</v>
      </c>
      <c r="DJ33" s="87"/>
      <c r="DK33" s="87"/>
      <c r="DL33" s="87">
        <v>989531</v>
      </c>
      <c r="DM33" s="87">
        <f t="shared" si="135"/>
        <v>245</v>
      </c>
      <c r="DN33" s="87">
        <v>1056512</v>
      </c>
      <c r="DO33" s="87">
        <f t="shared" si="136"/>
        <v>266</v>
      </c>
      <c r="DP33" s="87">
        <v>1187556</v>
      </c>
      <c r="DQ33" s="87">
        <f t="shared" si="137"/>
        <v>720</v>
      </c>
      <c r="DR33" s="87">
        <v>1119105</v>
      </c>
      <c r="DS33" s="87">
        <f t="shared" si="138"/>
        <v>921</v>
      </c>
      <c r="DT33" s="87">
        <v>976731</v>
      </c>
      <c r="DU33" s="87">
        <f t="shared" si="139"/>
        <v>992</v>
      </c>
      <c r="DV33" s="87">
        <v>1287452</v>
      </c>
      <c r="DW33" s="87">
        <f t="shared" si="140"/>
        <v>1357</v>
      </c>
      <c r="DX33" s="87">
        <v>816275</v>
      </c>
      <c r="DY33" s="87">
        <f t="shared" si="141"/>
        <v>631</v>
      </c>
      <c r="DZ33" s="87">
        <v>1442</v>
      </c>
      <c r="EA33" s="87">
        <f t="shared" si="142"/>
        <v>0</v>
      </c>
      <c r="EB33" s="87">
        <v>387758</v>
      </c>
      <c r="EC33" s="87">
        <f t="shared" si="143"/>
        <v>322</v>
      </c>
      <c r="ED33" s="87">
        <v>893658</v>
      </c>
      <c r="EE33" s="87">
        <f t="shared" si="144"/>
        <v>706</v>
      </c>
      <c r="EF33" s="87">
        <v>429135</v>
      </c>
      <c r="EG33" s="87">
        <f t="shared" si="145"/>
        <v>135</v>
      </c>
      <c r="EH33" s="87">
        <v>2638</v>
      </c>
      <c r="EI33" s="87">
        <f t="shared" si="146"/>
        <v>24</v>
      </c>
      <c r="EJ33" s="87">
        <v>982410</v>
      </c>
      <c r="EK33" s="87">
        <f t="shared" si="147"/>
        <v>439</v>
      </c>
      <c r="EL33" s="87">
        <v>3490203</v>
      </c>
      <c r="EM33" s="87">
        <f t="shared" si="148"/>
        <v>350</v>
      </c>
      <c r="EN33" s="87">
        <v>3862997</v>
      </c>
      <c r="EO33" s="87">
        <f t="shared" si="149"/>
        <v>359</v>
      </c>
      <c r="EP33" s="87">
        <v>4215206</v>
      </c>
      <c r="EQ33" s="87">
        <f t="shared" si="150"/>
        <v>407</v>
      </c>
      <c r="ER33" s="87">
        <v>5326973</v>
      </c>
      <c r="ES33" s="87">
        <f t="shared" si="151"/>
        <v>617</v>
      </c>
      <c r="ET33" s="87">
        <v>4365610</v>
      </c>
      <c r="EU33" s="87">
        <f t="shared" si="152"/>
        <v>382</v>
      </c>
      <c r="EV33" s="87">
        <v>4501989</v>
      </c>
      <c r="EW33" s="87">
        <f t="shared" si="153"/>
        <v>408</v>
      </c>
      <c r="EX33" s="87">
        <v>8812784</v>
      </c>
      <c r="EY33" s="87">
        <f t="shared" si="154"/>
        <v>849</v>
      </c>
      <c r="EZ33" s="87">
        <v>8718963</v>
      </c>
      <c r="FA33" s="87">
        <f t="shared" si="155"/>
        <v>1370</v>
      </c>
      <c r="FB33" s="87">
        <v>8672449</v>
      </c>
      <c r="FC33" s="87">
        <f t="shared" si="156"/>
        <v>709</v>
      </c>
      <c r="FD33" s="87">
        <v>8177919</v>
      </c>
      <c r="FE33" s="87">
        <f t="shared" si="157"/>
        <v>739</v>
      </c>
      <c r="FF33" s="87">
        <v>5155400</v>
      </c>
      <c r="FG33" s="87">
        <f t="shared" si="158"/>
        <v>619</v>
      </c>
      <c r="FH33" s="87">
        <v>3353801</v>
      </c>
      <c r="FI33" s="87">
        <f t="shared" si="159"/>
        <v>496</v>
      </c>
      <c r="FJ33" s="87">
        <v>1573045</v>
      </c>
      <c r="FK33" s="87">
        <f t="shared" si="160"/>
        <v>226</v>
      </c>
      <c r="FL33" s="87"/>
      <c r="FM33" s="87"/>
    </row>
    <row r="34" spans="1:169" ht="30" customHeight="1">
      <c r="A34" s="86">
        <v>44185</v>
      </c>
      <c r="B34" s="87">
        <v>20762119</v>
      </c>
      <c r="C34" s="83">
        <f t="shared" si="83"/>
        <v>1930</v>
      </c>
      <c r="D34" s="87">
        <v>2314646</v>
      </c>
      <c r="E34" s="83">
        <f t="shared" si="84"/>
        <v>184</v>
      </c>
      <c r="F34" s="87">
        <v>27648045</v>
      </c>
      <c r="G34" s="83">
        <f t="shared" si="85"/>
        <v>3218</v>
      </c>
      <c r="H34" s="87">
        <v>5752617</v>
      </c>
      <c r="I34" s="83">
        <f t="shared" si="86"/>
        <v>562</v>
      </c>
      <c r="J34" s="87"/>
      <c r="K34" s="87"/>
      <c r="L34" s="87">
        <v>21683544</v>
      </c>
      <c r="M34" s="87">
        <f t="shared" si="87"/>
        <v>1832</v>
      </c>
      <c r="N34" s="87">
        <v>72882162</v>
      </c>
      <c r="O34" s="87">
        <f t="shared" si="88"/>
        <v>10557</v>
      </c>
      <c r="P34" s="87">
        <v>24312</v>
      </c>
      <c r="Q34" s="87">
        <f t="shared" si="89"/>
        <v>14</v>
      </c>
      <c r="R34" s="87">
        <v>4855</v>
      </c>
      <c r="S34" s="87">
        <f t="shared" si="90"/>
        <v>0</v>
      </c>
      <c r="T34" s="87">
        <v>31615292</v>
      </c>
      <c r="U34" s="87">
        <f t="shared" si="91"/>
        <v>6971</v>
      </c>
      <c r="V34" s="87">
        <v>1626020</v>
      </c>
      <c r="W34" s="87">
        <f t="shared" si="92"/>
        <v>284</v>
      </c>
      <c r="X34" s="87">
        <v>1873710</v>
      </c>
      <c r="Y34" s="87">
        <f t="shared" si="93"/>
        <v>200</v>
      </c>
      <c r="Z34" s="87">
        <v>3505858</v>
      </c>
      <c r="AA34" s="83">
        <f t="shared" si="94"/>
        <v>583</v>
      </c>
      <c r="AB34" s="87"/>
      <c r="AC34" s="87"/>
      <c r="AD34" s="87">
        <v>54878991</v>
      </c>
      <c r="AE34" s="87">
        <f t="shared" si="95"/>
        <v>6584</v>
      </c>
      <c r="AF34" s="87">
        <v>9954007</v>
      </c>
      <c r="AG34" s="87">
        <f t="shared" si="96"/>
        <v>1315</v>
      </c>
      <c r="AH34" s="87">
        <v>1547442</v>
      </c>
      <c r="AI34" s="87">
        <f t="shared" si="97"/>
        <v>201</v>
      </c>
      <c r="AJ34" s="87">
        <v>1769920</v>
      </c>
      <c r="AK34" s="87">
        <f t="shared" si="98"/>
        <v>225</v>
      </c>
      <c r="AL34" s="87">
        <v>4852164</v>
      </c>
      <c r="AM34" s="87">
        <f t="shared" si="99"/>
        <v>565</v>
      </c>
      <c r="AN34" s="87">
        <v>5162444</v>
      </c>
      <c r="AO34" s="87">
        <f t="shared" si="100"/>
        <v>821</v>
      </c>
      <c r="AP34" s="87"/>
      <c r="AQ34" s="87"/>
      <c r="AR34" s="87">
        <v>1144940</v>
      </c>
      <c r="AS34" s="87">
        <f t="shared" si="101"/>
        <v>307</v>
      </c>
      <c r="AT34" s="87">
        <v>3147013</v>
      </c>
      <c r="AU34" s="87">
        <f t="shared" si="102"/>
        <v>531</v>
      </c>
      <c r="AV34" s="87"/>
      <c r="AW34" s="87"/>
      <c r="AX34" s="87">
        <v>577130</v>
      </c>
      <c r="AY34" s="87">
        <f t="shared" si="103"/>
        <v>186</v>
      </c>
      <c r="AZ34" s="87">
        <v>2363877</v>
      </c>
      <c r="BA34" s="87">
        <f t="shared" si="104"/>
        <v>224</v>
      </c>
      <c r="BB34" s="87">
        <v>4696967</v>
      </c>
      <c r="BC34" s="87">
        <f t="shared" si="105"/>
        <v>709</v>
      </c>
      <c r="BD34" s="87">
        <v>41754314</v>
      </c>
      <c r="BE34" s="87">
        <f t="shared" si="106"/>
        <v>5967</v>
      </c>
      <c r="BF34" s="87">
        <v>59080569</v>
      </c>
      <c r="BG34" s="87">
        <f t="shared" si="107"/>
        <v>8319</v>
      </c>
      <c r="BH34" s="87">
        <v>436441</v>
      </c>
      <c r="BI34" s="87">
        <f t="shared" si="108"/>
        <v>100</v>
      </c>
      <c r="BJ34" s="87">
        <v>11273656</v>
      </c>
      <c r="BK34" s="87">
        <f t="shared" si="109"/>
        <v>1581</v>
      </c>
      <c r="BL34" s="87">
        <v>1597086</v>
      </c>
      <c r="BM34" s="87">
        <f t="shared" si="110"/>
        <v>400</v>
      </c>
      <c r="BN34" s="87">
        <v>2343458</v>
      </c>
      <c r="BO34" s="87">
        <f t="shared" si="111"/>
        <v>336</v>
      </c>
      <c r="BP34" s="87">
        <v>10707661</v>
      </c>
      <c r="BQ34" s="87">
        <f t="shared" si="112"/>
        <v>1813</v>
      </c>
      <c r="BR34" s="87">
        <v>2626248</v>
      </c>
      <c r="BS34" s="87">
        <f t="shared" si="113"/>
        <v>219</v>
      </c>
      <c r="BT34" s="87">
        <v>13089188</v>
      </c>
      <c r="BU34" s="87">
        <f t="shared" si="114"/>
        <v>1470</v>
      </c>
      <c r="BV34" s="87">
        <v>10270731</v>
      </c>
      <c r="BW34" s="87">
        <f t="shared" si="115"/>
        <v>1337</v>
      </c>
      <c r="BX34" s="87">
        <v>1580963</v>
      </c>
      <c r="BY34" s="87">
        <f t="shared" si="116"/>
        <v>181</v>
      </c>
      <c r="BZ34" s="87">
        <v>19904809</v>
      </c>
      <c r="CA34" s="87">
        <f t="shared" si="117"/>
        <v>0</v>
      </c>
      <c r="CB34" s="87">
        <v>17456098</v>
      </c>
      <c r="CC34" s="87">
        <f t="shared" si="118"/>
        <v>0</v>
      </c>
      <c r="CD34" s="87">
        <v>18113392</v>
      </c>
      <c r="CE34" s="87">
        <f t="shared" si="119"/>
        <v>75</v>
      </c>
      <c r="CF34" s="87">
        <v>14111244</v>
      </c>
      <c r="CG34" s="87">
        <f t="shared" si="120"/>
        <v>956</v>
      </c>
      <c r="CH34" s="87">
        <v>4301895</v>
      </c>
      <c r="CI34" s="87">
        <f t="shared" si="121"/>
        <v>421</v>
      </c>
      <c r="CJ34" s="87">
        <v>4777173</v>
      </c>
      <c r="CK34" s="87">
        <f t="shared" si="122"/>
        <v>428</v>
      </c>
      <c r="CL34" s="87">
        <v>2718422</v>
      </c>
      <c r="CM34" s="87">
        <f t="shared" si="123"/>
        <v>107</v>
      </c>
      <c r="CN34" s="87">
        <v>69532444</v>
      </c>
      <c r="CO34" s="87">
        <f t="shared" si="124"/>
        <v>7132</v>
      </c>
      <c r="CP34" s="87">
        <v>4462866</v>
      </c>
      <c r="CQ34" s="87">
        <f t="shared" si="125"/>
        <v>104</v>
      </c>
      <c r="CR34" s="87">
        <v>5183442</v>
      </c>
      <c r="CS34" s="87">
        <f t="shared" si="126"/>
        <v>173</v>
      </c>
      <c r="CT34" s="87">
        <v>3056907</v>
      </c>
      <c r="CU34" s="87">
        <f t="shared" si="127"/>
        <v>238</v>
      </c>
      <c r="CV34" s="87">
        <v>41571348</v>
      </c>
      <c r="CW34" s="87">
        <f t="shared" si="128"/>
        <v>4599</v>
      </c>
      <c r="CX34" s="87">
        <v>6351693</v>
      </c>
      <c r="CY34" s="87">
        <f t="shared" si="129"/>
        <v>563</v>
      </c>
      <c r="CZ34" s="87">
        <v>6313901</v>
      </c>
      <c r="DA34" s="87">
        <f t="shared" si="130"/>
        <v>743</v>
      </c>
      <c r="DB34" s="87">
        <v>56687417</v>
      </c>
      <c r="DC34" s="87">
        <f t="shared" si="131"/>
        <v>3849</v>
      </c>
      <c r="DD34" s="87">
        <v>2005758</v>
      </c>
      <c r="DE34" s="87">
        <f t="shared" si="132"/>
        <v>485</v>
      </c>
      <c r="DF34" s="87">
        <v>21973111</v>
      </c>
      <c r="DG34" s="87">
        <f t="shared" si="133"/>
        <v>3192</v>
      </c>
      <c r="DH34" s="87">
        <v>32293516</v>
      </c>
      <c r="DI34" s="87">
        <f t="shared" si="134"/>
        <v>20</v>
      </c>
      <c r="DJ34" s="87"/>
      <c r="DK34" s="87"/>
      <c r="DL34" s="87">
        <v>989830</v>
      </c>
      <c r="DM34" s="87">
        <f t="shared" si="135"/>
        <v>299</v>
      </c>
      <c r="DN34" s="87">
        <v>1056844</v>
      </c>
      <c r="DO34" s="87">
        <f t="shared" si="136"/>
        <v>332</v>
      </c>
      <c r="DP34" s="87">
        <v>1188323</v>
      </c>
      <c r="DQ34" s="87">
        <f t="shared" si="137"/>
        <v>767</v>
      </c>
      <c r="DR34" s="87">
        <v>1120036</v>
      </c>
      <c r="DS34" s="87">
        <f t="shared" si="138"/>
        <v>931</v>
      </c>
      <c r="DT34" s="87">
        <v>977664</v>
      </c>
      <c r="DU34" s="87">
        <f t="shared" si="139"/>
        <v>933</v>
      </c>
      <c r="DV34" s="87">
        <v>1288805</v>
      </c>
      <c r="DW34" s="87">
        <f t="shared" si="140"/>
        <v>1353</v>
      </c>
      <c r="DX34" s="87">
        <v>816873</v>
      </c>
      <c r="DY34" s="87">
        <f t="shared" si="141"/>
        <v>598</v>
      </c>
      <c r="DZ34" s="87">
        <v>1442</v>
      </c>
      <c r="EA34" s="87">
        <f t="shared" si="142"/>
        <v>0</v>
      </c>
      <c r="EB34" s="87">
        <v>388078</v>
      </c>
      <c r="EC34" s="87">
        <f t="shared" si="143"/>
        <v>320</v>
      </c>
      <c r="ED34" s="87">
        <v>894358</v>
      </c>
      <c r="EE34" s="87">
        <f t="shared" si="144"/>
        <v>700</v>
      </c>
      <c r="EF34" s="87">
        <v>429340</v>
      </c>
      <c r="EG34" s="87">
        <f t="shared" si="145"/>
        <v>205</v>
      </c>
      <c r="EH34" s="87">
        <v>2663</v>
      </c>
      <c r="EI34" s="87">
        <f t="shared" si="146"/>
        <v>25</v>
      </c>
      <c r="EJ34" s="87">
        <v>982851</v>
      </c>
      <c r="EK34" s="87">
        <f t="shared" si="147"/>
        <v>441</v>
      </c>
      <c r="EL34" s="87">
        <v>3490532</v>
      </c>
      <c r="EM34" s="87">
        <f t="shared" si="148"/>
        <v>329</v>
      </c>
      <c r="EN34" s="87">
        <v>3863366</v>
      </c>
      <c r="EO34" s="87">
        <f t="shared" si="149"/>
        <v>369</v>
      </c>
      <c r="EP34" s="87">
        <v>4215582</v>
      </c>
      <c r="EQ34" s="87">
        <f t="shared" si="150"/>
        <v>376</v>
      </c>
      <c r="ER34" s="87">
        <v>5327585</v>
      </c>
      <c r="ES34" s="87">
        <f t="shared" si="151"/>
        <v>612</v>
      </c>
      <c r="ET34" s="87">
        <v>4366003</v>
      </c>
      <c r="EU34" s="87">
        <f t="shared" si="152"/>
        <v>393</v>
      </c>
      <c r="EV34" s="87">
        <v>4502404</v>
      </c>
      <c r="EW34" s="87">
        <f t="shared" si="153"/>
        <v>415</v>
      </c>
      <c r="EX34" s="87">
        <v>8813621</v>
      </c>
      <c r="EY34" s="87">
        <f t="shared" si="154"/>
        <v>837</v>
      </c>
      <c r="EZ34" s="87">
        <v>8720157</v>
      </c>
      <c r="FA34" s="87">
        <f t="shared" si="155"/>
        <v>1194</v>
      </c>
      <c r="FB34" s="87">
        <v>8673151</v>
      </c>
      <c r="FC34" s="87">
        <f t="shared" si="156"/>
        <v>702</v>
      </c>
      <c r="FD34" s="87">
        <v>8178651</v>
      </c>
      <c r="FE34" s="87">
        <f t="shared" si="157"/>
        <v>732</v>
      </c>
      <c r="FF34" s="87">
        <v>5155978</v>
      </c>
      <c r="FG34" s="87">
        <f t="shared" si="158"/>
        <v>578</v>
      </c>
      <c r="FH34" s="87">
        <v>3354287</v>
      </c>
      <c r="FI34" s="87">
        <f t="shared" si="159"/>
        <v>486</v>
      </c>
      <c r="FJ34" s="87">
        <v>1573281</v>
      </c>
      <c r="FK34" s="87">
        <f t="shared" si="160"/>
        <v>236</v>
      </c>
      <c r="FL34" s="87"/>
      <c r="FM34" s="87"/>
    </row>
    <row r="35" spans="1:169" ht="30" customHeight="1">
      <c r="A35" s="86">
        <v>44186</v>
      </c>
      <c r="B35" s="87">
        <v>20763971</v>
      </c>
      <c r="C35" s="87">
        <f t="shared" si="83"/>
        <v>1852</v>
      </c>
      <c r="D35" s="87">
        <v>2314802</v>
      </c>
      <c r="E35" s="87">
        <f t="shared" si="84"/>
        <v>156</v>
      </c>
      <c r="F35" s="87">
        <v>27651225</v>
      </c>
      <c r="G35" s="87">
        <f t="shared" si="85"/>
        <v>3180</v>
      </c>
      <c r="H35" s="87">
        <v>5753096</v>
      </c>
      <c r="I35" s="87">
        <f t="shared" si="86"/>
        <v>479</v>
      </c>
      <c r="J35" s="87"/>
      <c r="K35" s="87"/>
      <c r="L35" s="87">
        <v>21685289</v>
      </c>
      <c r="M35" s="87">
        <f t="shared" si="87"/>
        <v>1745</v>
      </c>
      <c r="N35" s="87">
        <v>72892700</v>
      </c>
      <c r="O35" s="87">
        <f t="shared" si="88"/>
        <v>10538</v>
      </c>
      <c r="P35" s="87">
        <v>24325</v>
      </c>
      <c r="Q35" s="87">
        <f t="shared" si="89"/>
        <v>13</v>
      </c>
      <c r="R35" s="87">
        <v>4855</v>
      </c>
      <c r="S35" s="87">
        <f t="shared" si="90"/>
        <v>0</v>
      </c>
      <c r="T35" s="87">
        <v>31622104</v>
      </c>
      <c r="U35" s="87">
        <f t="shared" si="91"/>
        <v>6812</v>
      </c>
      <c r="V35" s="87">
        <v>1626303</v>
      </c>
      <c r="W35" s="87">
        <f t="shared" si="92"/>
        <v>283</v>
      </c>
      <c r="X35" s="87">
        <v>1873910</v>
      </c>
      <c r="Y35" s="87">
        <f t="shared" si="93"/>
        <v>200</v>
      </c>
      <c r="Z35" s="87">
        <v>3506441</v>
      </c>
      <c r="AA35" s="87">
        <f t="shared" si="94"/>
        <v>583</v>
      </c>
      <c r="AB35" s="87"/>
      <c r="AC35" s="87"/>
      <c r="AD35" s="87">
        <v>54885273</v>
      </c>
      <c r="AE35" s="87">
        <f t="shared" si="95"/>
        <v>6282</v>
      </c>
      <c r="AF35" s="87">
        <v>9955379</v>
      </c>
      <c r="AG35" s="87">
        <f t="shared" si="96"/>
        <v>1372</v>
      </c>
      <c r="AH35" s="87">
        <v>1547650</v>
      </c>
      <c r="AI35" s="87">
        <f t="shared" si="97"/>
        <v>208</v>
      </c>
      <c r="AJ35" s="87">
        <v>1770144</v>
      </c>
      <c r="AK35" s="87">
        <f t="shared" si="98"/>
        <v>224</v>
      </c>
      <c r="AL35" s="87">
        <v>4852688</v>
      </c>
      <c r="AM35" s="87">
        <f t="shared" si="99"/>
        <v>524</v>
      </c>
      <c r="AN35" s="87">
        <v>5163269</v>
      </c>
      <c r="AO35" s="87">
        <f t="shared" si="100"/>
        <v>825</v>
      </c>
      <c r="AP35" s="87"/>
      <c r="AQ35" s="87"/>
      <c r="AR35" s="87">
        <v>1145247</v>
      </c>
      <c r="AS35" s="87">
        <f t="shared" si="101"/>
        <v>307</v>
      </c>
      <c r="AT35" s="87">
        <v>3147506</v>
      </c>
      <c r="AU35" s="87">
        <f t="shared" si="102"/>
        <v>493</v>
      </c>
      <c r="AV35" s="87"/>
      <c r="AW35" s="87"/>
      <c r="AX35" s="87">
        <v>577317</v>
      </c>
      <c r="AY35" s="87">
        <f t="shared" si="103"/>
        <v>187</v>
      </c>
      <c r="AZ35" s="87">
        <v>2364096</v>
      </c>
      <c r="BA35" s="87">
        <f t="shared" si="104"/>
        <v>219</v>
      </c>
      <c r="BB35" s="87">
        <v>4697638</v>
      </c>
      <c r="BC35" s="87">
        <f t="shared" si="105"/>
        <v>671</v>
      </c>
      <c r="BD35" s="87">
        <v>41760139</v>
      </c>
      <c r="BE35" s="87">
        <f t="shared" si="106"/>
        <v>5825</v>
      </c>
      <c r="BF35" s="87">
        <v>59088712</v>
      </c>
      <c r="BG35" s="87">
        <f t="shared" si="107"/>
        <v>8143</v>
      </c>
      <c r="BH35" s="87">
        <v>436540</v>
      </c>
      <c r="BI35" s="87">
        <f t="shared" si="108"/>
        <v>99</v>
      </c>
      <c r="BJ35" s="87">
        <v>11275221</v>
      </c>
      <c r="BK35" s="87">
        <f t="shared" si="109"/>
        <v>1565</v>
      </c>
      <c r="BL35" s="87">
        <v>1597485</v>
      </c>
      <c r="BM35" s="87">
        <f t="shared" si="110"/>
        <v>399</v>
      </c>
      <c r="BN35" s="87">
        <v>2343797</v>
      </c>
      <c r="BO35" s="87">
        <f t="shared" si="111"/>
        <v>339</v>
      </c>
      <c r="BP35" s="87">
        <v>10709450</v>
      </c>
      <c r="BQ35" s="87">
        <f t="shared" si="112"/>
        <v>1789</v>
      </c>
      <c r="BR35" s="87">
        <v>2626460</v>
      </c>
      <c r="BS35" s="87">
        <f t="shared" si="113"/>
        <v>212</v>
      </c>
      <c r="BT35" s="87">
        <v>13090623</v>
      </c>
      <c r="BU35" s="87">
        <f t="shared" si="114"/>
        <v>1435</v>
      </c>
      <c r="BV35" s="87">
        <v>10271998</v>
      </c>
      <c r="BW35" s="87">
        <f t="shared" si="115"/>
        <v>1267</v>
      </c>
      <c r="BX35" s="87">
        <v>1581144</v>
      </c>
      <c r="BY35" s="87">
        <f t="shared" si="116"/>
        <v>181</v>
      </c>
      <c r="BZ35" s="87">
        <v>19904809</v>
      </c>
      <c r="CA35" s="87">
        <f t="shared" si="117"/>
        <v>0</v>
      </c>
      <c r="CB35" s="87">
        <v>17456098</v>
      </c>
      <c r="CC35" s="87">
        <f t="shared" si="118"/>
        <v>0</v>
      </c>
      <c r="CD35" s="87">
        <v>18113467</v>
      </c>
      <c r="CE35" s="87">
        <f t="shared" si="119"/>
        <v>75</v>
      </c>
      <c r="CF35" s="87">
        <v>14112216</v>
      </c>
      <c r="CG35" s="87">
        <f t="shared" si="120"/>
        <v>972</v>
      </c>
      <c r="CH35" s="87">
        <v>4302316</v>
      </c>
      <c r="CI35" s="87">
        <f t="shared" si="121"/>
        <v>421</v>
      </c>
      <c r="CJ35" s="87">
        <v>4777612</v>
      </c>
      <c r="CK35" s="87">
        <f t="shared" si="122"/>
        <v>439</v>
      </c>
      <c r="CL35" s="87">
        <v>2718535</v>
      </c>
      <c r="CM35" s="87">
        <f t="shared" si="123"/>
        <v>113</v>
      </c>
      <c r="CN35" s="87">
        <v>69539881</v>
      </c>
      <c r="CO35" s="87">
        <f t="shared" si="124"/>
        <v>7437</v>
      </c>
      <c r="CP35" s="87">
        <v>4462968</v>
      </c>
      <c r="CQ35" s="87">
        <f t="shared" si="125"/>
        <v>102</v>
      </c>
      <c r="CR35" s="87">
        <v>5183615</v>
      </c>
      <c r="CS35" s="87">
        <f t="shared" si="126"/>
        <v>173</v>
      </c>
      <c r="CT35" s="87">
        <v>3057148</v>
      </c>
      <c r="CU35" s="87">
        <f t="shared" si="127"/>
        <v>241</v>
      </c>
      <c r="CV35" s="87">
        <v>41576250</v>
      </c>
      <c r="CW35" s="87">
        <f t="shared" si="128"/>
        <v>4902</v>
      </c>
      <c r="CX35" s="87">
        <v>6352254</v>
      </c>
      <c r="CY35" s="87">
        <f t="shared" si="129"/>
        <v>561</v>
      </c>
      <c r="CZ35" s="87">
        <v>6314644</v>
      </c>
      <c r="DA35" s="87">
        <f t="shared" si="130"/>
        <v>743</v>
      </c>
      <c r="DB35" s="87">
        <v>56691182</v>
      </c>
      <c r="DC35" s="87">
        <f t="shared" si="131"/>
        <v>3765</v>
      </c>
      <c r="DD35" s="87">
        <v>2006249</v>
      </c>
      <c r="DE35" s="87">
        <f t="shared" si="132"/>
        <v>491</v>
      </c>
      <c r="DF35" s="87">
        <v>21976221</v>
      </c>
      <c r="DG35" s="87">
        <f t="shared" si="133"/>
        <v>3110</v>
      </c>
      <c r="DH35" s="87">
        <v>32293536</v>
      </c>
      <c r="DI35" s="87">
        <f t="shared" si="134"/>
        <v>20</v>
      </c>
      <c r="DJ35" s="87"/>
      <c r="DK35" s="87"/>
      <c r="DL35" s="87">
        <v>990105</v>
      </c>
      <c r="DM35" s="87">
        <f t="shared" si="135"/>
        <v>275</v>
      </c>
      <c r="DN35" s="87">
        <v>1057188</v>
      </c>
      <c r="DO35" s="87">
        <f t="shared" si="136"/>
        <v>344</v>
      </c>
      <c r="DP35" s="87">
        <v>1189132</v>
      </c>
      <c r="DQ35" s="87">
        <f t="shared" si="137"/>
        <v>809</v>
      </c>
      <c r="DR35" s="87">
        <v>1120902</v>
      </c>
      <c r="DS35" s="87">
        <f t="shared" si="138"/>
        <v>866</v>
      </c>
      <c r="DT35" s="87">
        <v>978457</v>
      </c>
      <c r="DU35" s="87">
        <f t="shared" si="139"/>
        <v>793</v>
      </c>
      <c r="DV35" s="87">
        <v>1290141</v>
      </c>
      <c r="DW35" s="87">
        <f t="shared" si="140"/>
        <v>1336</v>
      </c>
      <c r="DX35" s="87">
        <v>817464</v>
      </c>
      <c r="DY35" s="87">
        <f t="shared" si="141"/>
        <v>591</v>
      </c>
      <c r="DZ35" s="87">
        <v>1442</v>
      </c>
      <c r="EA35" s="87">
        <f t="shared" si="142"/>
        <v>0</v>
      </c>
      <c r="EB35" s="87">
        <v>388414</v>
      </c>
      <c r="EC35" s="87">
        <f t="shared" si="143"/>
        <v>336</v>
      </c>
      <c r="ED35" s="87">
        <v>895048</v>
      </c>
      <c r="EE35" s="87">
        <f t="shared" si="144"/>
        <v>690</v>
      </c>
      <c r="EF35" s="87">
        <v>429590</v>
      </c>
      <c r="EG35" s="87">
        <f t="shared" si="145"/>
        <v>250</v>
      </c>
      <c r="EH35" s="87">
        <v>2689</v>
      </c>
      <c r="EI35" s="87">
        <f t="shared" si="146"/>
        <v>26</v>
      </c>
      <c r="EJ35" s="87">
        <v>983292</v>
      </c>
      <c r="EK35" s="87">
        <f t="shared" si="147"/>
        <v>441</v>
      </c>
      <c r="EL35" s="87">
        <v>3490859</v>
      </c>
      <c r="EM35" s="87">
        <f t="shared" si="148"/>
        <v>327</v>
      </c>
      <c r="EN35" s="87">
        <v>3863735</v>
      </c>
      <c r="EO35" s="87">
        <f t="shared" si="149"/>
        <v>369</v>
      </c>
      <c r="EP35" s="87">
        <v>4215959</v>
      </c>
      <c r="EQ35" s="87">
        <f t="shared" si="150"/>
        <v>377</v>
      </c>
      <c r="ER35" s="87">
        <v>5328175</v>
      </c>
      <c r="ES35" s="87">
        <f t="shared" si="151"/>
        <v>590</v>
      </c>
      <c r="ET35" s="87">
        <v>4366379</v>
      </c>
      <c r="EU35" s="87">
        <f t="shared" si="152"/>
        <v>376</v>
      </c>
      <c r="EV35" s="87">
        <v>4502810</v>
      </c>
      <c r="EW35" s="87">
        <f t="shared" si="153"/>
        <v>406</v>
      </c>
      <c r="EX35" s="87">
        <v>8814456</v>
      </c>
      <c r="EY35" s="87">
        <f t="shared" si="154"/>
        <v>835</v>
      </c>
      <c r="EZ35" s="87">
        <v>8721341</v>
      </c>
      <c r="FA35" s="87">
        <f t="shared" si="155"/>
        <v>1184</v>
      </c>
      <c r="FB35" s="87">
        <v>8673843</v>
      </c>
      <c r="FC35" s="87">
        <f t="shared" si="156"/>
        <v>692</v>
      </c>
      <c r="FD35" s="87">
        <v>8179381</v>
      </c>
      <c r="FE35" s="87">
        <f t="shared" si="157"/>
        <v>730</v>
      </c>
      <c r="FF35" s="87">
        <v>5156506</v>
      </c>
      <c r="FG35" s="87">
        <f t="shared" si="158"/>
        <v>528</v>
      </c>
      <c r="FH35" s="87">
        <v>3354777</v>
      </c>
      <c r="FI35" s="87">
        <f t="shared" si="159"/>
        <v>490</v>
      </c>
      <c r="FJ35" s="87">
        <v>1573495</v>
      </c>
      <c r="FK35" s="87">
        <f t="shared" si="160"/>
        <v>214</v>
      </c>
      <c r="FL35" s="87"/>
      <c r="FM35" s="87"/>
    </row>
    <row r="36" spans="1:169" ht="30" customHeight="1">
      <c r="A36" s="86">
        <v>44187</v>
      </c>
      <c r="B36" s="87">
        <v>20765850</v>
      </c>
      <c r="C36" s="83">
        <f t="shared" si="83"/>
        <v>1879</v>
      </c>
      <c r="D36" s="87">
        <v>2315021</v>
      </c>
      <c r="E36" s="83">
        <f t="shared" si="84"/>
        <v>219</v>
      </c>
      <c r="F36" s="87">
        <v>27654534</v>
      </c>
      <c r="G36" s="83">
        <f t="shared" si="85"/>
        <v>3309</v>
      </c>
      <c r="H36" s="87">
        <v>5753582</v>
      </c>
      <c r="I36" s="83">
        <f t="shared" si="86"/>
        <v>486</v>
      </c>
      <c r="J36" s="87"/>
      <c r="K36" s="87"/>
      <c r="L36" s="87">
        <v>21687052</v>
      </c>
      <c r="M36" s="87">
        <f t="shared" si="87"/>
        <v>1763</v>
      </c>
      <c r="N36" s="87">
        <v>72903303</v>
      </c>
      <c r="O36" s="87">
        <f t="shared" si="88"/>
        <v>10603</v>
      </c>
      <c r="P36" s="87">
        <v>24337</v>
      </c>
      <c r="Q36" s="87">
        <f t="shared" si="89"/>
        <v>12</v>
      </c>
      <c r="R36" s="87">
        <v>4855</v>
      </c>
      <c r="S36" s="87">
        <f t="shared" si="90"/>
        <v>0</v>
      </c>
      <c r="T36" s="87">
        <v>31629049</v>
      </c>
      <c r="U36" s="87">
        <f t="shared" si="91"/>
        <v>6945</v>
      </c>
      <c r="V36" s="87">
        <v>1626581</v>
      </c>
      <c r="W36" s="87">
        <f t="shared" si="92"/>
        <v>278</v>
      </c>
      <c r="X36" s="87">
        <v>1874109</v>
      </c>
      <c r="Y36" s="87">
        <f t="shared" si="93"/>
        <v>199</v>
      </c>
      <c r="Z36" s="87">
        <v>3507021</v>
      </c>
      <c r="AA36" s="83">
        <f t="shared" si="94"/>
        <v>580</v>
      </c>
      <c r="AB36" s="87"/>
      <c r="AC36" s="87"/>
      <c r="AD36" s="87">
        <v>54891600</v>
      </c>
      <c r="AE36" s="87">
        <f t="shared" si="95"/>
        <v>6327</v>
      </c>
      <c r="AF36" s="87">
        <v>9956586</v>
      </c>
      <c r="AG36" s="87">
        <f t="shared" si="96"/>
        <v>1207</v>
      </c>
      <c r="AH36" s="87">
        <v>1547855</v>
      </c>
      <c r="AI36" s="87">
        <f t="shared" si="97"/>
        <v>205</v>
      </c>
      <c r="AJ36" s="87">
        <v>1770372</v>
      </c>
      <c r="AK36" s="87">
        <f t="shared" si="98"/>
        <v>228</v>
      </c>
      <c r="AL36" s="87">
        <v>4853219</v>
      </c>
      <c r="AM36" s="87">
        <f t="shared" si="99"/>
        <v>531</v>
      </c>
      <c r="AN36" s="87">
        <v>5164122</v>
      </c>
      <c r="AO36" s="87">
        <f t="shared" si="100"/>
        <v>853</v>
      </c>
      <c r="AP36" s="87"/>
      <c r="AQ36" s="87"/>
      <c r="AR36" s="87">
        <v>1145553</v>
      </c>
      <c r="AS36" s="87">
        <f t="shared" si="101"/>
        <v>306</v>
      </c>
      <c r="AT36" s="87">
        <v>3148005</v>
      </c>
      <c r="AU36" s="87">
        <f t="shared" si="102"/>
        <v>499</v>
      </c>
      <c r="AV36" s="87"/>
      <c r="AW36" s="87"/>
      <c r="AX36" s="87">
        <v>577425</v>
      </c>
      <c r="AY36" s="87">
        <f t="shared" si="103"/>
        <v>108</v>
      </c>
      <c r="AZ36" s="87">
        <v>2364213</v>
      </c>
      <c r="BA36" s="87">
        <f t="shared" si="104"/>
        <v>117</v>
      </c>
      <c r="BB36" s="87">
        <v>4698230</v>
      </c>
      <c r="BC36" s="87">
        <f t="shared" si="105"/>
        <v>592</v>
      </c>
      <c r="BD36" s="87">
        <v>41765781</v>
      </c>
      <c r="BE36" s="87">
        <f t="shared" si="106"/>
        <v>5642</v>
      </c>
      <c r="BF36" s="87">
        <v>59096802</v>
      </c>
      <c r="BG36" s="87">
        <f t="shared" si="107"/>
        <v>8090</v>
      </c>
      <c r="BH36" s="87">
        <v>436638</v>
      </c>
      <c r="BI36" s="87">
        <f t="shared" si="108"/>
        <v>98</v>
      </c>
      <c r="BJ36" s="87">
        <v>11276674</v>
      </c>
      <c r="BK36" s="87">
        <f t="shared" si="109"/>
        <v>1453</v>
      </c>
      <c r="BL36" s="87">
        <v>1597882</v>
      </c>
      <c r="BM36" s="87">
        <f t="shared" si="110"/>
        <v>397</v>
      </c>
      <c r="BN36" s="87">
        <v>2344122</v>
      </c>
      <c r="BO36" s="87">
        <f t="shared" si="111"/>
        <v>325</v>
      </c>
      <c r="BP36" s="87">
        <v>10711246</v>
      </c>
      <c r="BQ36" s="87">
        <f t="shared" si="112"/>
        <v>1796</v>
      </c>
      <c r="BR36" s="87">
        <v>2626669</v>
      </c>
      <c r="BS36" s="87">
        <f t="shared" si="113"/>
        <v>209</v>
      </c>
      <c r="BT36" s="87">
        <v>13092063</v>
      </c>
      <c r="BU36" s="87">
        <f t="shared" si="114"/>
        <v>1440</v>
      </c>
      <c r="BV36" s="87">
        <v>10273349</v>
      </c>
      <c r="BW36" s="87">
        <f t="shared" si="115"/>
        <v>1351</v>
      </c>
      <c r="BX36" s="87">
        <v>1581321</v>
      </c>
      <c r="BY36" s="87">
        <f t="shared" si="116"/>
        <v>177</v>
      </c>
      <c r="BZ36" s="87">
        <v>19904809</v>
      </c>
      <c r="CA36" s="87">
        <f t="shared" si="117"/>
        <v>0</v>
      </c>
      <c r="CB36" s="87">
        <v>17456098</v>
      </c>
      <c r="CC36" s="87">
        <f t="shared" si="118"/>
        <v>0</v>
      </c>
      <c r="CD36" s="87">
        <v>18113542</v>
      </c>
      <c r="CE36" s="87">
        <f t="shared" si="119"/>
        <v>75</v>
      </c>
      <c r="CF36" s="87">
        <v>14113197</v>
      </c>
      <c r="CG36" s="87">
        <f t="shared" si="120"/>
        <v>981</v>
      </c>
      <c r="CH36" s="87">
        <v>4302739</v>
      </c>
      <c r="CI36" s="87">
        <f t="shared" si="121"/>
        <v>423</v>
      </c>
      <c r="CJ36" s="87">
        <v>4778062</v>
      </c>
      <c r="CK36" s="87">
        <f t="shared" si="122"/>
        <v>450</v>
      </c>
      <c r="CL36" s="87">
        <v>2718644</v>
      </c>
      <c r="CM36" s="87">
        <f t="shared" si="123"/>
        <v>109</v>
      </c>
      <c r="CN36" s="87">
        <v>69547740</v>
      </c>
      <c r="CO36" s="87">
        <f t="shared" si="124"/>
        <v>7859</v>
      </c>
      <c r="CP36" s="87">
        <v>4463071</v>
      </c>
      <c r="CQ36" s="87">
        <f t="shared" si="125"/>
        <v>103</v>
      </c>
      <c r="CR36" s="87">
        <v>5183785</v>
      </c>
      <c r="CS36" s="87">
        <f t="shared" si="126"/>
        <v>170</v>
      </c>
      <c r="CT36" s="87">
        <v>3057393</v>
      </c>
      <c r="CU36" s="87">
        <f t="shared" si="127"/>
        <v>245</v>
      </c>
      <c r="CV36" s="87">
        <v>41581596</v>
      </c>
      <c r="CW36" s="87">
        <f t="shared" si="128"/>
        <v>5346</v>
      </c>
      <c r="CX36" s="87">
        <v>6352817</v>
      </c>
      <c r="CY36" s="87">
        <f t="shared" si="129"/>
        <v>563</v>
      </c>
      <c r="CZ36" s="87">
        <v>6315386</v>
      </c>
      <c r="DA36" s="87">
        <f t="shared" si="130"/>
        <v>742</v>
      </c>
      <c r="DB36" s="87">
        <v>56695124</v>
      </c>
      <c r="DC36" s="87">
        <f t="shared" si="131"/>
        <v>3942</v>
      </c>
      <c r="DD36" s="87">
        <v>2006727</v>
      </c>
      <c r="DE36" s="87">
        <f t="shared" si="132"/>
        <v>478</v>
      </c>
      <c r="DF36" s="87">
        <v>21979522</v>
      </c>
      <c r="DG36" s="87">
        <f t="shared" si="133"/>
        <v>3301</v>
      </c>
      <c r="DH36" s="87">
        <v>32293556</v>
      </c>
      <c r="DI36" s="87">
        <f t="shared" si="134"/>
        <v>20</v>
      </c>
      <c r="DJ36" s="87"/>
      <c r="DK36" s="87"/>
      <c r="DL36" s="87">
        <v>990401</v>
      </c>
      <c r="DM36" s="87">
        <f t="shared" si="135"/>
        <v>296</v>
      </c>
      <c r="DN36" s="87">
        <v>1057547</v>
      </c>
      <c r="DO36" s="87">
        <f t="shared" si="136"/>
        <v>359</v>
      </c>
      <c r="DP36" s="87">
        <v>1189939</v>
      </c>
      <c r="DQ36" s="87">
        <f t="shared" si="137"/>
        <v>807</v>
      </c>
      <c r="DR36" s="87">
        <v>1121748</v>
      </c>
      <c r="DS36" s="87">
        <f t="shared" si="138"/>
        <v>846</v>
      </c>
      <c r="DT36" s="87">
        <v>979283</v>
      </c>
      <c r="DU36" s="87">
        <f t="shared" si="139"/>
        <v>826</v>
      </c>
      <c r="DV36" s="87">
        <v>1291479</v>
      </c>
      <c r="DW36" s="87">
        <f t="shared" si="140"/>
        <v>1338</v>
      </c>
      <c r="DX36" s="87">
        <v>818106</v>
      </c>
      <c r="DY36" s="87">
        <f t="shared" si="141"/>
        <v>642</v>
      </c>
      <c r="DZ36" s="87">
        <v>1442</v>
      </c>
      <c r="EA36" s="87">
        <f t="shared" si="142"/>
        <v>0</v>
      </c>
      <c r="EB36" s="87">
        <v>388736</v>
      </c>
      <c r="EC36" s="87">
        <f t="shared" si="143"/>
        <v>322</v>
      </c>
      <c r="ED36" s="87">
        <v>840198</v>
      </c>
      <c r="EE36" s="88">
        <f t="shared" si="144"/>
        <v>-54850</v>
      </c>
      <c r="EF36" s="87">
        <v>429780</v>
      </c>
      <c r="EG36" s="87">
        <f t="shared" si="145"/>
        <v>190</v>
      </c>
      <c r="EH36" s="87">
        <v>2714</v>
      </c>
      <c r="EI36" s="87">
        <f t="shared" si="146"/>
        <v>25</v>
      </c>
      <c r="EJ36" s="87">
        <v>983751</v>
      </c>
      <c r="EK36" s="87">
        <f t="shared" si="147"/>
        <v>459</v>
      </c>
      <c r="EL36" s="87">
        <v>3491196</v>
      </c>
      <c r="EM36" s="87">
        <f t="shared" si="148"/>
        <v>337</v>
      </c>
      <c r="EN36" s="87">
        <v>3864100</v>
      </c>
      <c r="EO36" s="87">
        <f t="shared" si="149"/>
        <v>365</v>
      </c>
      <c r="EP36" s="87">
        <v>4216346</v>
      </c>
      <c r="EQ36" s="87">
        <f t="shared" si="150"/>
        <v>387</v>
      </c>
      <c r="ER36" s="87">
        <v>5328724</v>
      </c>
      <c r="ES36" s="87">
        <f t="shared" si="151"/>
        <v>549</v>
      </c>
      <c r="ET36" s="87">
        <v>4366764</v>
      </c>
      <c r="EU36" s="87">
        <f t="shared" si="152"/>
        <v>385</v>
      </c>
      <c r="EV36" s="87">
        <v>4503215</v>
      </c>
      <c r="EW36" s="87">
        <f t="shared" si="153"/>
        <v>405</v>
      </c>
      <c r="EX36" s="87">
        <v>8815293</v>
      </c>
      <c r="EY36" s="87">
        <f t="shared" si="154"/>
        <v>837</v>
      </c>
      <c r="EZ36" s="87">
        <v>8722609</v>
      </c>
      <c r="FA36" s="87">
        <f t="shared" si="155"/>
        <v>1268</v>
      </c>
      <c r="FB36" s="87">
        <v>8674523</v>
      </c>
      <c r="FC36" s="87">
        <f t="shared" si="156"/>
        <v>680</v>
      </c>
      <c r="FD36" s="87">
        <v>8180121</v>
      </c>
      <c r="FE36" s="87">
        <f t="shared" si="157"/>
        <v>740</v>
      </c>
      <c r="FF36" s="87">
        <v>5157115</v>
      </c>
      <c r="FG36" s="87">
        <f t="shared" si="158"/>
        <v>609</v>
      </c>
      <c r="FH36" s="87">
        <v>3355264</v>
      </c>
      <c r="FI36" s="87">
        <f t="shared" si="159"/>
        <v>487</v>
      </c>
      <c r="FJ36" s="87">
        <v>1573722</v>
      </c>
      <c r="FK36" s="87">
        <f t="shared" si="160"/>
        <v>227</v>
      </c>
      <c r="FL36" s="87"/>
      <c r="FM36" s="87"/>
    </row>
    <row r="37" spans="1:169" ht="30" customHeight="1">
      <c r="A37" s="86">
        <v>44188</v>
      </c>
      <c r="B37" s="87">
        <v>20767767</v>
      </c>
      <c r="C37" s="87">
        <f t="shared" si="83"/>
        <v>1917</v>
      </c>
      <c r="D37" s="87">
        <v>2315262</v>
      </c>
      <c r="E37" s="87">
        <f t="shared" si="84"/>
        <v>241</v>
      </c>
      <c r="F37" s="87">
        <v>27657857</v>
      </c>
      <c r="G37" s="87">
        <f t="shared" si="85"/>
        <v>3323</v>
      </c>
      <c r="H37" s="87">
        <v>5754123</v>
      </c>
      <c r="I37" s="87">
        <f t="shared" si="86"/>
        <v>541</v>
      </c>
      <c r="J37" s="87"/>
      <c r="K37" s="87"/>
      <c r="L37" s="87">
        <v>21688846</v>
      </c>
      <c r="M37" s="87">
        <f t="shared" si="87"/>
        <v>1794</v>
      </c>
      <c r="N37" s="87">
        <v>72913839</v>
      </c>
      <c r="O37" s="87">
        <f t="shared" si="88"/>
        <v>10536</v>
      </c>
      <c r="P37" s="87">
        <v>24347</v>
      </c>
      <c r="Q37" s="87">
        <f t="shared" si="89"/>
        <v>10</v>
      </c>
      <c r="R37" s="87">
        <v>4855</v>
      </c>
      <c r="S37" s="87">
        <f t="shared" si="90"/>
        <v>0</v>
      </c>
      <c r="T37" s="87">
        <v>31635977</v>
      </c>
      <c r="U37" s="87">
        <f t="shared" si="91"/>
        <v>6928</v>
      </c>
      <c r="V37" s="87">
        <v>1626847</v>
      </c>
      <c r="W37" s="87">
        <f t="shared" si="92"/>
        <v>266</v>
      </c>
      <c r="X37" s="87">
        <v>1874306</v>
      </c>
      <c r="Y37" s="87">
        <f t="shared" si="93"/>
        <v>197</v>
      </c>
      <c r="Z37" s="87">
        <v>3507598</v>
      </c>
      <c r="AA37" s="87">
        <f t="shared" si="94"/>
        <v>577</v>
      </c>
      <c r="AB37" s="87"/>
      <c r="AC37" s="87"/>
      <c r="AD37" s="87">
        <v>54898191</v>
      </c>
      <c r="AE37" s="87">
        <f t="shared" si="95"/>
        <v>6591</v>
      </c>
      <c r="AF37" s="87">
        <v>9957838</v>
      </c>
      <c r="AG37" s="87">
        <f t="shared" si="96"/>
        <v>1252</v>
      </c>
      <c r="AH37" s="87">
        <v>1548061</v>
      </c>
      <c r="AI37" s="87">
        <f t="shared" si="97"/>
        <v>206</v>
      </c>
      <c r="AJ37" s="87">
        <v>1770593</v>
      </c>
      <c r="AK37" s="87">
        <f t="shared" si="98"/>
        <v>221</v>
      </c>
      <c r="AL37" s="87">
        <v>4853784</v>
      </c>
      <c r="AM37" s="87">
        <f t="shared" si="99"/>
        <v>565</v>
      </c>
      <c r="AN37" s="87">
        <v>5164990</v>
      </c>
      <c r="AO37" s="87">
        <f t="shared" si="100"/>
        <v>868</v>
      </c>
      <c r="AP37" s="87"/>
      <c r="AQ37" s="87"/>
      <c r="AR37" s="87">
        <v>1145858</v>
      </c>
      <c r="AS37" s="87">
        <f t="shared" si="101"/>
        <v>305</v>
      </c>
      <c r="AT37" s="87">
        <v>3148521</v>
      </c>
      <c r="AU37" s="87">
        <f t="shared" si="102"/>
        <v>516</v>
      </c>
      <c r="AV37" s="87"/>
      <c r="AW37" s="87"/>
      <c r="AX37" s="87">
        <v>577531</v>
      </c>
      <c r="AY37" s="87">
        <f t="shared" si="103"/>
        <v>106</v>
      </c>
      <c r="AZ37" s="87">
        <v>2364325</v>
      </c>
      <c r="BA37" s="87">
        <f t="shared" si="104"/>
        <v>112</v>
      </c>
      <c r="BB37" s="87">
        <v>4698792</v>
      </c>
      <c r="BC37" s="87">
        <f t="shared" si="105"/>
        <v>562</v>
      </c>
      <c r="BD37" s="87">
        <v>41771460</v>
      </c>
      <c r="BE37" s="87">
        <f t="shared" si="106"/>
        <v>5679</v>
      </c>
      <c r="BF37" s="87">
        <v>59105225</v>
      </c>
      <c r="BG37" s="87">
        <f t="shared" si="107"/>
        <v>8423</v>
      </c>
      <c r="BH37" s="87">
        <v>436765</v>
      </c>
      <c r="BI37" s="87">
        <f t="shared" si="108"/>
        <v>127</v>
      </c>
      <c r="BJ37" s="87">
        <v>11278106</v>
      </c>
      <c r="BK37" s="87">
        <f t="shared" si="109"/>
        <v>1432</v>
      </c>
      <c r="BL37" s="87">
        <v>1598278</v>
      </c>
      <c r="BM37" s="87">
        <f t="shared" si="110"/>
        <v>396</v>
      </c>
      <c r="BN37" s="87">
        <v>2344505</v>
      </c>
      <c r="BO37" s="87">
        <f t="shared" si="111"/>
        <v>383</v>
      </c>
      <c r="BP37" s="87">
        <v>10713170</v>
      </c>
      <c r="BQ37" s="87">
        <f t="shared" si="112"/>
        <v>1924</v>
      </c>
      <c r="BR37" s="87">
        <v>2626880</v>
      </c>
      <c r="BS37" s="87">
        <f t="shared" si="113"/>
        <v>211</v>
      </c>
      <c r="BT37" s="87">
        <v>13093573</v>
      </c>
      <c r="BU37" s="87">
        <f t="shared" si="114"/>
        <v>1510</v>
      </c>
      <c r="BV37" s="87">
        <v>10274707</v>
      </c>
      <c r="BW37" s="87">
        <f t="shared" si="115"/>
        <v>1358</v>
      </c>
      <c r="BX37" s="87">
        <v>1581506</v>
      </c>
      <c r="BY37" s="87">
        <f t="shared" si="116"/>
        <v>185</v>
      </c>
      <c r="BZ37" s="87">
        <v>19904809</v>
      </c>
      <c r="CA37" s="87">
        <f t="shared" si="117"/>
        <v>0</v>
      </c>
      <c r="CB37" s="87">
        <v>17456098</v>
      </c>
      <c r="CC37" s="87">
        <f t="shared" si="118"/>
        <v>0</v>
      </c>
      <c r="CD37" s="87">
        <v>18113617</v>
      </c>
      <c r="CE37" s="87">
        <f t="shared" si="119"/>
        <v>75</v>
      </c>
      <c r="CF37" s="87">
        <v>14114177</v>
      </c>
      <c r="CG37" s="87">
        <f t="shared" si="120"/>
        <v>980</v>
      </c>
      <c r="CH37" s="87">
        <v>4303148</v>
      </c>
      <c r="CI37" s="87">
        <f t="shared" si="121"/>
        <v>409</v>
      </c>
      <c r="CJ37" s="87">
        <v>4778509</v>
      </c>
      <c r="CK37" s="87">
        <f t="shared" si="122"/>
        <v>447</v>
      </c>
      <c r="CL37" s="87">
        <v>2718770</v>
      </c>
      <c r="CM37" s="87">
        <f t="shared" si="123"/>
        <v>126</v>
      </c>
      <c r="CN37" s="87">
        <v>69553985</v>
      </c>
      <c r="CO37" s="87">
        <f t="shared" si="124"/>
        <v>6245</v>
      </c>
      <c r="CP37" s="87">
        <v>4463177</v>
      </c>
      <c r="CQ37" s="87">
        <f t="shared" si="125"/>
        <v>106</v>
      </c>
      <c r="CR37" s="87">
        <v>5183967</v>
      </c>
      <c r="CS37" s="87">
        <f t="shared" si="126"/>
        <v>182</v>
      </c>
      <c r="CT37" s="87">
        <v>3057614</v>
      </c>
      <c r="CU37" s="87">
        <f t="shared" si="127"/>
        <v>221</v>
      </c>
      <c r="CV37" s="87">
        <v>41585274</v>
      </c>
      <c r="CW37" s="87">
        <f t="shared" si="128"/>
        <v>3678</v>
      </c>
      <c r="CX37" s="87">
        <v>6353382</v>
      </c>
      <c r="CY37" s="87">
        <f t="shared" si="129"/>
        <v>565</v>
      </c>
      <c r="CZ37" s="87">
        <v>6316132</v>
      </c>
      <c r="DA37" s="87">
        <f t="shared" si="130"/>
        <v>746</v>
      </c>
      <c r="DB37" s="87">
        <v>56700503</v>
      </c>
      <c r="DC37" s="87">
        <f t="shared" si="131"/>
        <v>5379</v>
      </c>
      <c r="DD37" s="87">
        <v>2007209</v>
      </c>
      <c r="DE37" s="87">
        <f t="shared" si="132"/>
        <v>482</v>
      </c>
      <c r="DF37" s="87">
        <v>21982587</v>
      </c>
      <c r="DG37" s="87">
        <f t="shared" si="133"/>
        <v>3065</v>
      </c>
      <c r="DH37" s="87">
        <v>32295239</v>
      </c>
      <c r="DI37" s="87">
        <f t="shared" si="134"/>
        <v>1683</v>
      </c>
      <c r="DJ37" s="87"/>
      <c r="DK37" s="87"/>
      <c r="DL37" s="87">
        <v>990714</v>
      </c>
      <c r="DM37" s="87">
        <f t="shared" si="135"/>
        <v>313</v>
      </c>
      <c r="DN37" s="87">
        <v>1057880</v>
      </c>
      <c r="DO37" s="87">
        <f t="shared" si="136"/>
        <v>333</v>
      </c>
      <c r="DP37" s="87">
        <v>1190822</v>
      </c>
      <c r="DQ37" s="87">
        <f t="shared" si="137"/>
        <v>883</v>
      </c>
      <c r="DR37" s="87">
        <v>1122678</v>
      </c>
      <c r="DS37" s="87">
        <f t="shared" si="138"/>
        <v>930</v>
      </c>
      <c r="DT37" s="87">
        <v>980154</v>
      </c>
      <c r="DU37" s="87">
        <f t="shared" si="139"/>
        <v>871</v>
      </c>
      <c r="DV37" s="87">
        <v>1292847</v>
      </c>
      <c r="DW37" s="87">
        <f t="shared" si="140"/>
        <v>1368</v>
      </c>
      <c r="DX37" s="87">
        <v>818768</v>
      </c>
      <c r="DY37" s="87">
        <f t="shared" si="141"/>
        <v>662</v>
      </c>
      <c r="DZ37" s="87">
        <v>1442</v>
      </c>
      <c r="EA37" s="87">
        <f t="shared" si="142"/>
        <v>0</v>
      </c>
      <c r="EB37" s="87">
        <v>389064</v>
      </c>
      <c r="EC37" s="87">
        <f t="shared" si="143"/>
        <v>328</v>
      </c>
      <c r="ED37" s="87">
        <v>840884</v>
      </c>
      <c r="EE37" s="87">
        <f t="shared" si="144"/>
        <v>686</v>
      </c>
      <c r="EF37" s="87">
        <v>429932</v>
      </c>
      <c r="EG37" s="87">
        <f t="shared" si="145"/>
        <v>152</v>
      </c>
      <c r="EH37" s="87">
        <v>2738</v>
      </c>
      <c r="EI37" s="87">
        <f t="shared" si="146"/>
        <v>24</v>
      </c>
      <c r="EJ37" s="87">
        <v>984225</v>
      </c>
      <c r="EK37" s="87">
        <f t="shared" si="147"/>
        <v>474</v>
      </c>
      <c r="EL37" s="87">
        <v>3491513</v>
      </c>
      <c r="EM37" s="87">
        <f t="shared" si="148"/>
        <v>317</v>
      </c>
      <c r="EN37" s="87">
        <v>3864474</v>
      </c>
      <c r="EO37" s="87">
        <f t="shared" si="149"/>
        <v>374</v>
      </c>
      <c r="EP37" s="87">
        <v>4216716</v>
      </c>
      <c r="EQ37" s="87">
        <f t="shared" si="150"/>
        <v>370</v>
      </c>
      <c r="ER37" s="87">
        <v>5329265</v>
      </c>
      <c r="ES37" s="87">
        <f t="shared" si="151"/>
        <v>541</v>
      </c>
      <c r="ET37" s="87">
        <v>4367151</v>
      </c>
      <c r="EU37" s="87">
        <f t="shared" si="152"/>
        <v>387</v>
      </c>
      <c r="EV37" s="87">
        <v>4503636</v>
      </c>
      <c r="EW37" s="87">
        <f t="shared" si="153"/>
        <v>421</v>
      </c>
      <c r="EX37" s="87">
        <v>8816125</v>
      </c>
      <c r="EY37" s="87">
        <f t="shared" si="154"/>
        <v>832</v>
      </c>
      <c r="EZ37" s="87">
        <v>8723794</v>
      </c>
      <c r="FA37" s="87">
        <f t="shared" si="155"/>
        <v>1185</v>
      </c>
      <c r="FB37" s="87">
        <v>8675201</v>
      </c>
      <c r="FC37" s="87">
        <f t="shared" si="156"/>
        <v>678</v>
      </c>
      <c r="FD37" s="87">
        <v>8180857</v>
      </c>
      <c r="FE37" s="87">
        <f t="shared" si="157"/>
        <v>736</v>
      </c>
      <c r="FF37" s="87">
        <v>5157737</v>
      </c>
      <c r="FG37" s="87">
        <f t="shared" si="158"/>
        <v>622</v>
      </c>
      <c r="FH37" s="87">
        <v>3355750</v>
      </c>
      <c r="FI37" s="87">
        <f t="shared" si="159"/>
        <v>486</v>
      </c>
      <c r="FJ37" s="87">
        <v>1573946</v>
      </c>
      <c r="FK37" s="87">
        <f t="shared" si="160"/>
        <v>224</v>
      </c>
      <c r="FL37" s="87"/>
      <c r="FM37" s="87"/>
    </row>
    <row r="38" spans="1:169" ht="30" customHeight="1">
      <c r="A38" s="86">
        <v>44189</v>
      </c>
      <c r="B38" s="87">
        <v>20769693</v>
      </c>
      <c r="C38" s="83">
        <f t="shared" si="83"/>
        <v>1926</v>
      </c>
      <c r="D38" s="87">
        <v>2315534</v>
      </c>
      <c r="E38" s="83">
        <f t="shared" si="84"/>
        <v>272</v>
      </c>
      <c r="F38" s="87">
        <v>27661268</v>
      </c>
      <c r="G38" s="83">
        <f t="shared" si="85"/>
        <v>3411</v>
      </c>
      <c r="H38" s="87">
        <v>5754680</v>
      </c>
      <c r="I38" s="83">
        <f t="shared" si="86"/>
        <v>557</v>
      </c>
      <c r="J38" s="87"/>
      <c r="K38" s="87"/>
      <c r="L38" s="87">
        <v>21690690</v>
      </c>
      <c r="M38" s="87">
        <f t="shared" si="87"/>
        <v>1844</v>
      </c>
      <c r="N38" s="87">
        <v>72924608</v>
      </c>
      <c r="O38" s="87">
        <f t="shared" si="88"/>
        <v>10769</v>
      </c>
      <c r="P38" s="87">
        <v>24359</v>
      </c>
      <c r="Q38" s="87">
        <f t="shared" si="89"/>
        <v>12</v>
      </c>
      <c r="R38" s="87">
        <v>4855</v>
      </c>
      <c r="S38" s="87">
        <f t="shared" si="90"/>
        <v>0</v>
      </c>
      <c r="T38" s="87">
        <v>31642824</v>
      </c>
      <c r="U38" s="87">
        <f t="shared" si="91"/>
        <v>6847</v>
      </c>
      <c r="V38" s="87">
        <v>1627109</v>
      </c>
      <c r="W38" s="87">
        <f t="shared" si="92"/>
        <v>262</v>
      </c>
      <c r="X38" s="87">
        <v>1874504</v>
      </c>
      <c r="Y38" s="87">
        <f t="shared" si="93"/>
        <v>198</v>
      </c>
      <c r="Z38" s="87">
        <v>3508172</v>
      </c>
      <c r="AA38" s="83">
        <f t="shared" si="94"/>
        <v>574</v>
      </c>
      <c r="AB38" s="87"/>
      <c r="AC38" s="87"/>
      <c r="AD38" s="87">
        <v>54904557</v>
      </c>
      <c r="AE38" s="87">
        <f t="shared" si="95"/>
        <v>6366</v>
      </c>
      <c r="AF38" s="87">
        <v>9959097</v>
      </c>
      <c r="AG38" s="87">
        <f t="shared" si="96"/>
        <v>1259</v>
      </c>
      <c r="AH38" s="87">
        <v>1548271</v>
      </c>
      <c r="AI38" s="87">
        <f t="shared" si="97"/>
        <v>210</v>
      </c>
      <c r="AJ38" s="87">
        <v>1770826</v>
      </c>
      <c r="AK38" s="87">
        <f t="shared" si="98"/>
        <v>233</v>
      </c>
      <c r="AL38" s="87">
        <v>4854345</v>
      </c>
      <c r="AM38" s="87">
        <f t="shared" si="99"/>
        <v>561</v>
      </c>
      <c r="AN38" s="87">
        <v>5165856</v>
      </c>
      <c r="AO38" s="87">
        <f t="shared" si="100"/>
        <v>866</v>
      </c>
      <c r="AP38" s="87"/>
      <c r="AQ38" s="87"/>
      <c r="AR38" s="87">
        <v>1146162</v>
      </c>
      <c r="AS38" s="87">
        <f t="shared" si="101"/>
        <v>304</v>
      </c>
      <c r="AT38" s="87">
        <v>3149066</v>
      </c>
      <c r="AU38" s="87">
        <f t="shared" si="102"/>
        <v>545</v>
      </c>
      <c r="AV38" s="87"/>
      <c r="AW38" s="87"/>
      <c r="AX38" s="87">
        <v>577653</v>
      </c>
      <c r="AY38" s="87">
        <f t="shared" si="103"/>
        <v>122</v>
      </c>
      <c r="AZ38" s="87">
        <v>2364474</v>
      </c>
      <c r="BA38" s="87">
        <f t="shared" si="104"/>
        <v>149</v>
      </c>
      <c r="BB38" s="87">
        <v>4699359</v>
      </c>
      <c r="BC38" s="87">
        <f t="shared" si="105"/>
        <v>567</v>
      </c>
      <c r="BD38" s="87">
        <v>41777251</v>
      </c>
      <c r="BE38" s="87">
        <f t="shared" si="106"/>
        <v>5791</v>
      </c>
      <c r="BF38" s="87">
        <v>59113522</v>
      </c>
      <c r="BG38" s="87">
        <f t="shared" si="107"/>
        <v>8297</v>
      </c>
      <c r="BH38" s="87">
        <v>436868</v>
      </c>
      <c r="BI38" s="87">
        <f t="shared" si="108"/>
        <v>103</v>
      </c>
      <c r="BJ38" s="87">
        <v>11279578</v>
      </c>
      <c r="BK38" s="87">
        <f t="shared" si="109"/>
        <v>1472</v>
      </c>
      <c r="BL38" s="87">
        <v>1598675</v>
      </c>
      <c r="BM38" s="87">
        <f t="shared" si="110"/>
        <v>397</v>
      </c>
      <c r="BN38" s="87">
        <v>2344831</v>
      </c>
      <c r="BO38" s="87">
        <f t="shared" si="111"/>
        <v>326</v>
      </c>
      <c r="BP38" s="87">
        <v>10715116</v>
      </c>
      <c r="BQ38" s="87">
        <f t="shared" si="112"/>
        <v>1946</v>
      </c>
      <c r="BR38" s="87">
        <v>2627092</v>
      </c>
      <c r="BS38" s="87">
        <f t="shared" si="113"/>
        <v>212</v>
      </c>
      <c r="BT38" s="87">
        <v>13095067</v>
      </c>
      <c r="BU38" s="87">
        <f t="shared" si="114"/>
        <v>1494</v>
      </c>
      <c r="BV38" s="87">
        <v>10276020</v>
      </c>
      <c r="BW38" s="87">
        <f t="shared" si="115"/>
        <v>1313</v>
      </c>
      <c r="BX38" s="87">
        <v>1581695</v>
      </c>
      <c r="BY38" s="87">
        <f t="shared" si="116"/>
        <v>189</v>
      </c>
      <c r="BZ38" s="87">
        <v>19904809</v>
      </c>
      <c r="CA38" s="87">
        <f t="shared" si="117"/>
        <v>0</v>
      </c>
      <c r="CB38" s="87">
        <v>17456098</v>
      </c>
      <c r="CC38" s="87">
        <f t="shared" si="118"/>
        <v>0</v>
      </c>
      <c r="CD38" s="87">
        <v>18113692</v>
      </c>
      <c r="CE38" s="87">
        <f t="shared" si="119"/>
        <v>75</v>
      </c>
      <c r="CF38" s="87">
        <v>14115154</v>
      </c>
      <c r="CG38" s="87">
        <f t="shared" si="120"/>
        <v>977</v>
      </c>
      <c r="CH38" s="87">
        <v>4303554</v>
      </c>
      <c r="CI38" s="87">
        <f t="shared" si="121"/>
        <v>406</v>
      </c>
      <c r="CJ38" s="87">
        <v>4778968</v>
      </c>
      <c r="CK38" s="87">
        <f t="shared" si="122"/>
        <v>459</v>
      </c>
      <c r="CL38" s="87">
        <v>2718882</v>
      </c>
      <c r="CM38" s="87">
        <f t="shared" si="123"/>
        <v>112</v>
      </c>
      <c r="CN38" s="87">
        <v>69563189</v>
      </c>
      <c r="CO38" s="87">
        <f t="shared" si="124"/>
        <v>9204</v>
      </c>
      <c r="CP38" s="87">
        <v>4463282</v>
      </c>
      <c r="CQ38" s="87">
        <f t="shared" si="125"/>
        <v>105</v>
      </c>
      <c r="CR38" s="87">
        <v>5184142</v>
      </c>
      <c r="CS38" s="87">
        <f t="shared" si="126"/>
        <v>175</v>
      </c>
      <c r="CT38" s="87">
        <v>3057875</v>
      </c>
      <c r="CU38" s="87">
        <f t="shared" si="127"/>
        <v>261</v>
      </c>
      <c r="CV38" s="87">
        <v>41591887</v>
      </c>
      <c r="CW38" s="87">
        <f t="shared" si="128"/>
        <v>6613</v>
      </c>
      <c r="CX38" s="87">
        <v>6353945</v>
      </c>
      <c r="CY38" s="87">
        <f t="shared" si="129"/>
        <v>563</v>
      </c>
      <c r="CZ38" s="87">
        <v>6316877</v>
      </c>
      <c r="DA38" s="87">
        <f t="shared" si="130"/>
        <v>745</v>
      </c>
      <c r="DB38" s="87">
        <v>56704496</v>
      </c>
      <c r="DC38" s="87">
        <f t="shared" si="131"/>
        <v>3993</v>
      </c>
      <c r="DD38" s="87">
        <v>2007708</v>
      </c>
      <c r="DE38" s="87">
        <f t="shared" si="132"/>
        <v>499</v>
      </c>
      <c r="DF38" s="87">
        <v>21985943</v>
      </c>
      <c r="DG38" s="87">
        <f t="shared" si="133"/>
        <v>3356</v>
      </c>
      <c r="DH38" s="87">
        <v>32295259</v>
      </c>
      <c r="DI38" s="87">
        <f t="shared" si="134"/>
        <v>20</v>
      </c>
      <c r="DJ38" s="87"/>
      <c r="DK38" s="87"/>
      <c r="DL38" s="87">
        <v>990986</v>
      </c>
      <c r="DM38" s="87">
        <f t="shared" si="135"/>
        <v>272</v>
      </c>
      <c r="DN38" s="87">
        <v>1058159</v>
      </c>
      <c r="DO38" s="87">
        <f t="shared" si="136"/>
        <v>279</v>
      </c>
      <c r="DP38" s="87">
        <v>1191585</v>
      </c>
      <c r="DQ38" s="87">
        <f t="shared" si="137"/>
        <v>763</v>
      </c>
      <c r="DR38" s="87">
        <v>1123519</v>
      </c>
      <c r="DS38" s="87">
        <f t="shared" si="138"/>
        <v>841</v>
      </c>
      <c r="DT38" s="87">
        <v>981050</v>
      </c>
      <c r="DU38" s="87">
        <f t="shared" si="139"/>
        <v>896</v>
      </c>
      <c r="DV38" s="87">
        <v>1294225</v>
      </c>
      <c r="DW38" s="87">
        <f t="shared" si="140"/>
        <v>1378</v>
      </c>
      <c r="DX38" s="87">
        <v>819376</v>
      </c>
      <c r="DY38" s="87">
        <f t="shared" si="141"/>
        <v>608</v>
      </c>
      <c r="DZ38" s="87">
        <v>1442</v>
      </c>
      <c r="EA38" s="87">
        <f t="shared" si="142"/>
        <v>0</v>
      </c>
      <c r="EB38" s="87">
        <v>389377</v>
      </c>
      <c r="EC38" s="87">
        <f t="shared" si="143"/>
        <v>313</v>
      </c>
      <c r="ED38" s="87">
        <v>841579</v>
      </c>
      <c r="EE38" s="87">
        <f t="shared" si="144"/>
        <v>695</v>
      </c>
      <c r="EF38" s="87">
        <v>430078</v>
      </c>
      <c r="EG38" s="87">
        <f t="shared" si="145"/>
        <v>146</v>
      </c>
      <c r="EH38" s="87">
        <v>2763</v>
      </c>
      <c r="EI38" s="87">
        <f t="shared" si="146"/>
        <v>25</v>
      </c>
      <c r="EJ38" s="87">
        <v>984688</v>
      </c>
      <c r="EK38" s="87">
        <f t="shared" si="147"/>
        <v>463</v>
      </c>
      <c r="EL38" s="87">
        <v>3491847</v>
      </c>
      <c r="EM38" s="87">
        <f t="shared" si="148"/>
        <v>334</v>
      </c>
      <c r="EN38" s="87">
        <v>3864852</v>
      </c>
      <c r="EO38" s="87">
        <f t="shared" si="149"/>
        <v>378</v>
      </c>
      <c r="EP38" s="87">
        <v>4217096</v>
      </c>
      <c r="EQ38" s="87">
        <f t="shared" si="150"/>
        <v>380</v>
      </c>
      <c r="ER38" s="87">
        <v>5329805</v>
      </c>
      <c r="ES38" s="87">
        <f t="shared" si="151"/>
        <v>540</v>
      </c>
      <c r="ET38" s="87">
        <v>4367530</v>
      </c>
      <c r="EU38" s="87">
        <f t="shared" si="152"/>
        <v>379</v>
      </c>
      <c r="EV38" s="87">
        <v>4504030</v>
      </c>
      <c r="EW38" s="87">
        <f t="shared" si="153"/>
        <v>394</v>
      </c>
      <c r="EX38" s="87">
        <v>8816968</v>
      </c>
      <c r="EY38" s="87">
        <f t="shared" si="154"/>
        <v>843</v>
      </c>
      <c r="EZ38" s="87">
        <v>8725108</v>
      </c>
      <c r="FA38" s="87">
        <f t="shared" si="155"/>
        <v>1314</v>
      </c>
      <c r="FB38" s="87">
        <v>8675907</v>
      </c>
      <c r="FC38" s="87">
        <f t="shared" si="156"/>
        <v>706</v>
      </c>
      <c r="FD38" s="87">
        <v>8181587</v>
      </c>
      <c r="FE38" s="87">
        <f t="shared" si="157"/>
        <v>730</v>
      </c>
      <c r="FF38" s="87">
        <v>5158369</v>
      </c>
      <c r="FG38" s="87">
        <f t="shared" si="158"/>
        <v>632</v>
      </c>
      <c r="FH38" s="87">
        <v>3356236</v>
      </c>
      <c r="FI38" s="87">
        <f t="shared" si="159"/>
        <v>486</v>
      </c>
      <c r="FJ38" s="87">
        <v>1574172</v>
      </c>
      <c r="FK38" s="87">
        <f t="shared" si="160"/>
        <v>226</v>
      </c>
      <c r="FL38" s="87"/>
      <c r="FM38" s="87"/>
    </row>
    <row r="39" spans="1:169" ht="30" customHeight="1">
      <c r="A39" s="86">
        <v>44190</v>
      </c>
      <c r="B39" s="87">
        <v>20771560</v>
      </c>
      <c r="C39" s="87">
        <f t="shared" si="83"/>
        <v>1867</v>
      </c>
      <c r="D39" s="87">
        <v>2315772</v>
      </c>
      <c r="E39" s="87">
        <f t="shared" si="84"/>
        <v>238</v>
      </c>
      <c r="F39" s="87">
        <v>27664618</v>
      </c>
      <c r="G39" s="87">
        <f t="shared" si="85"/>
        <v>3350</v>
      </c>
      <c r="H39" s="87">
        <v>5755242</v>
      </c>
      <c r="I39" s="87">
        <f t="shared" si="86"/>
        <v>562</v>
      </c>
      <c r="J39" s="87"/>
      <c r="K39" s="87"/>
      <c r="L39" s="87">
        <v>21692533</v>
      </c>
      <c r="M39" s="87">
        <f t="shared" si="87"/>
        <v>1843</v>
      </c>
      <c r="N39" s="87">
        <v>72935372</v>
      </c>
      <c r="O39" s="87">
        <f t="shared" si="88"/>
        <v>10764</v>
      </c>
      <c r="P39" s="87">
        <v>24372</v>
      </c>
      <c r="Q39" s="87">
        <f t="shared" si="89"/>
        <v>13</v>
      </c>
      <c r="R39" s="87">
        <v>4855</v>
      </c>
      <c r="S39" s="87">
        <f t="shared" si="90"/>
        <v>0</v>
      </c>
      <c r="T39" s="87">
        <v>31649794</v>
      </c>
      <c r="U39" s="87">
        <f t="shared" si="91"/>
        <v>6970</v>
      </c>
      <c r="V39" s="87">
        <v>1627366</v>
      </c>
      <c r="W39" s="87">
        <f t="shared" si="92"/>
        <v>257</v>
      </c>
      <c r="X39" s="87">
        <v>1874704</v>
      </c>
      <c r="Y39" s="87">
        <f t="shared" si="93"/>
        <v>200</v>
      </c>
      <c r="Z39" s="87">
        <v>3508745</v>
      </c>
      <c r="AA39" s="87">
        <f t="shared" si="94"/>
        <v>573</v>
      </c>
      <c r="AB39" s="87"/>
      <c r="AC39" s="87"/>
      <c r="AD39" s="87">
        <v>54911242</v>
      </c>
      <c r="AE39" s="87">
        <f t="shared" si="95"/>
        <v>6685</v>
      </c>
      <c r="AF39" s="87">
        <v>9960714</v>
      </c>
      <c r="AG39" s="87">
        <f t="shared" si="96"/>
        <v>1617</v>
      </c>
      <c r="AH39" s="87">
        <v>1548483</v>
      </c>
      <c r="AI39" s="87">
        <f t="shared" si="97"/>
        <v>212</v>
      </c>
      <c r="AJ39" s="87">
        <v>1771061</v>
      </c>
      <c r="AK39" s="87">
        <f t="shared" si="98"/>
        <v>235</v>
      </c>
      <c r="AL39" s="87">
        <v>4854932</v>
      </c>
      <c r="AM39" s="87">
        <f t="shared" si="99"/>
        <v>587</v>
      </c>
      <c r="AN39" s="87">
        <v>5166783</v>
      </c>
      <c r="AO39" s="87">
        <f t="shared" si="100"/>
        <v>927</v>
      </c>
      <c r="AP39" s="87"/>
      <c r="AQ39" s="87"/>
      <c r="AR39" s="87">
        <v>1146466</v>
      </c>
      <c r="AS39" s="87">
        <f t="shared" si="101"/>
        <v>304</v>
      </c>
      <c r="AT39" s="87">
        <v>3149634</v>
      </c>
      <c r="AU39" s="87">
        <f t="shared" si="102"/>
        <v>568</v>
      </c>
      <c r="AV39" s="87"/>
      <c r="AW39" s="87"/>
      <c r="AX39" s="87">
        <v>577795</v>
      </c>
      <c r="AY39" s="87">
        <f t="shared" si="103"/>
        <v>142</v>
      </c>
      <c r="AZ39" s="87">
        <v>2364725</v>
      </c>
      <c r="BA39" s="87">
        <f t="shared" si="104"/>
        <v>251</v>
      </c>
      <c r="BB39" s="87">
        <v>4699920</v>
      </c>
      <c r="BC39" s="87">
        <f t="shared" si="105"/>
        <v>561</v>
      </c>
      <c r="BD39" s="87">
        <v>41783318</v>
      </c>
      <c r="BE39" s="87">
        <f t="shared" si="106"/>
        <v>6067</v>
      </c>
      <c r="BF39" s="87">
        <v>59122320</v>
      </c>
      <c r="BG39" s="87">
        <f t="shared" si="107"/>
        <v>8798</v>
      </c>
      <c r="BH39" s="87">
        <v>436970</v>
      </c>
      <c r="BI39" s="87">
        <f t="shared" si="108"/>
        <v>102</v>
      </c>
      <c r="BJ39" s="87">
        <v>11281068</v>
      </c>
      <c r="BK39" s="87">
        <f t="shared" si="109"/>
        <v>1490</v>
      </c>
      <c r="BL39" s="87">
        <v>1599072</v>
      </c>
      <c r="BM39" s="87">
        <f t="shared" si="110"/>
        <v>397</v>
      </c>
      <c r="BN39" s="87">
        <v>2345294</v>
      </c>
      <c r="BO39" s="87">
        <f t="shared" si="111"/>
        <v>463</v>
      </c>
      <c r="BP39" s="87">
        <v>10717089</v>
      </c>
      <c r="BQ39" s="87">
        <f t="shared" si="112"/>
        <v>1973</v>
      </c>
      <c r="BR39" s="87">
        <v>2627299</v>
      </c>
      <c r="BS39" s="87">
        <f t="shared" si="113"/>
        <v>207</v>
      </c>
      <c r="BT39" s="87">
        <v>13096771</v>
      </c>
      <c r="BU39" s="87">
        <f t="shared" si="114"/>
        <v>1704</v>
      </c>
      <c r="BV39" s="87">
        <v>10277399</v>
      </c>
      <c r="BW39" s="87">
        <f t="shared" si="115"/>
        <v>1379</v>
      </c>
      <c r="BX39" s="87">
        <v>1581894</v>
      </c>
      <c r="BY39" s="87">
        <f t="shared" si="116"/>
        <v>199</v>
      </c>
      <c r="BZ39" s="87">
        <v>19904809</v>
      </c>
      <c r="CA39" s="87">
        <f t="shared" si="117"/>
        <v>0</v>
      </c>
      <c r="CB39" s="87">
        <v>17456099</v>
      </c>
      <c r="CC39" s="87">
        <f t="shared" si="118"/>
        <v>1</v>
      </c>
      <c r="CD39" s="87">
        <v>18113767</v>
      </c>
      <c r="CE39" s="87">
        <f t="shared" si="119"/>
        <v>75</v>
      </c>
      <c r="CF39" s="87">
        <v>14116240</v>
      </c>
      <c r="CG39" s="87">
        <f t="shared" si="120"/>
        <v>1086</v>
      </c>
      <c r="CH39" s="87">
        <v>4303965</v>
      </c>
      <c r="CI39" s="87">
        <f t="shared" si="121"/>
        <v>411</v>
      </c>
      <c r="CJ39" s="87">
        <v>4779421</v>
      </c>
      <c r="CK39" s="87">
        <f t="shared" si="122"/>
        <v>453</v>
      </c>
      <c r="CL39" s="87">
        <v>2719107</v>
      </c>
      <c r="CM39" s="87">
        <f t="shared" si="123"/>
        <v>225</v>
      </c>
      <c r="CN39" s="87">
        <v>69573803</v>
      </c>
      <c r="CO39" s="87">
        <f t="shared" si="124"/>
        <v>10614</v>
      </c>
      <c r="CP39" s="87">
        <v>4463385</v>
      </c>
      <c r="CQ39" s="87">
        <f t="shared" si="125"/>
        <v>103</v>
      </c>
      <c r="CR39" s="87">
        <v>5184319</v>
      </c>
      <c r="CS39" s="87">
        <f t="shared" si="126"/>
        <v>177</v>
      </c>
      <c r="CT39" s="87">
        <v>3058134</v>
      </c>
      <c r="CU39" s="87">
        <f t="shared" si="127"/>
        <v>259</v>
      </c>
      <c r="CV39" s="87">
        <v>41599907</v>
      </c>
      <c r="CW39" s="87">
        <f t="shared" si="128"/>
        <v>8020</v>
      </c>
      <c r="CX39" s="87">
        <v>6354504</v>
      </c>
      <c r="CY39" s="87">
        <f t="shared" si="129"/>
        <v>559</v>
      </c>
      <c r="CZ39" s="87">
        <v>6317621</v>
      </c>
      <c r="DA39" s="87">
        <f t="shared" si="130"/>
        <v>744</v>
      </c>
      <c r="DB39" s="87">
        <v>56708125</v>
      </c>
      <c r="DC39" s="87">
        <f t="shared" si="131"/>
        <v>3629</v>
      </c>
      <c r="DD39" s="87">
        <v>2008188</v>
      </c>
      <c r="DE39" s="87">
        <f t="shared" si="132"/>
        <v>480</v>
      </c>
      <c r="DF39" s="87">
        <v>21988944</v>
      </c>
      <c r="DG39" s="87">
        <f t="shared" si="133"/>
        <v>3001</v>
      </c>
      <c r="DH39" s="87">
        <v>32295279</v>
      </c>
      <c r="DI39" s="87">
        <f t="shared" si="134"/>
        <v>20</v>
      </c>
      <c r="DJ39" s="87"/>
      <c r="DK39" s="87"/>
      <c r="DL39" s="87">
        <v>991217</v>
      </c>
      <c r="DM39" s="87">
        <f t="shared" si="135"/>
        <v>231</v>
      </c>
      <c r="DN39" s="87">
        <v>1058441</v>
      </c>
      <c r="DO39" s="87">
        <f t="shared" si="136"/>
        <v>282</v>
      </c>
      <c r="DP39" s="87">
        <v>1192343</v>
      </c>
      <c r="DQ39" s="87">
        <f t="shared" si="137"/>
        <v>758</v>
      </c>
      <c r="DR39" s="87">
        <v>1124442</v>
      </c>
      <c r="DS39" s="87">
        <f t="shared" si="138"/>
        <v>923</v>
      </c>
      <c r="DT39" s="87">
        <v>981936</v>
      </c>
      <c r="DU39" s="87">
        <f t="shared" si="139"/>
        <v>886</v>
      </c>
      <c r="DV39" s="87">
        <v>1295587</v>
      </c>
      <c r="DW39" s="87">
        <f t="shared" si="140"/>
        <v>1362</v>
      </c>
      <c r="DX39" s="87">
        <v>820034</v>
      </c>
      <c r="DY39" s="87">
        <f t="shared" si="141"/>
        <v>658</v>
      </c>
      <c r="DZ39" s="87">
        <v>1442</v>
      </c>
      <c r="EA39" s="87">
        <f t="shared" si="142"/>
        <v>0</v>
      </c>
      <c r="EB39" s="87">
        <v>389712</v>
      </c>
      <c r="EC39" s="87">
        <f t="shared" si="143"/>
        <v>335</v>
      </c>
      <c r="ED39" s="87">
        <v>842290</v>
      </c>
      <c r="EE39" s="87">
        <f t="shared" si="144"/>
        <v>711</v>
      </c>
      <c r="EF39" s="87">
        <v>430226</v>
      </c>
      <c r="EG39" s="87">
        <f t="shared" si="145"/>
        <v>148</v>
      </c>
      <c r="EH39" s="87">
        <v>2788</v>
      </c>
      <c r="EI39" s="87">
        <f t="shared" si="146"/>
        <v>25</v>
      </c>
      <c r="EJ39" s="87">
        <v>985174</v>
      </c>
      <c r="EK39" s="87">
        <f t="shared" si="147"/>
        <v>486</v>
      </c>
      <c r="EL39" s="87">
        <v>3492185</v>
      </c>
      <c r="EM39" s="87">
        <f t="shared" si="148"/>
        <v>338</v>
      </c>
      <c r="EN39" s="87">
        <v>3865226</v>
      </c>
      <c r="EO39" s="87">
        <f t="shared" si="149"/>
        <v>374</v>
      </c>
      <c r="EP39" s="87">
        <v>4217471</v>
      </c>
      <c r="EQ39" s="87">
        <f t="shared" si="150"/>
        <v>375</v>
      </c>
      <c r="ER39" s="87">
        <v>5330325</v>
      </c>
      <c r="ES39" s="87">
        <f t="shared" si="151"/>
        <v>520</v>
      </c>
      <c r="ET39" s="87">
        <v>4367888</v>
      </c>
      <c r="EU39" s="87">
        <f t="shared" si="152"/>
        <v>358</v>
      </c>
      <c r="EV39" s="87">
        <v>4504435</v>
      </c>
      <c r="EW39" s="87">
        <f t="shared" si="153"/>
        <v>405</v>
      </c>
      <c r="EX39" s="87">
        <v>8817803</v>
      </c>
      <c r="EY39" s="87">
        <f t="shared" si="154"/>
        <v>835</v>
      </c>
      <c r="EZ39" s="87">
        <v>8726309</v>
      </c>
      <c r="FA39" s="87">
        <f t="shared" si="155"/>
        <v>1201</v>
      </c>
      <c r="FB39" s="87">
        <v>8676612</v>
      </c>
      <c r="FC39" s="87">
        <f t="shared" si="156"/>
        <v>705</v>
      </c>
      <c r="FD39" s="87">
        <v>8182332</v>
      </c>
      <c r="FE39" s="87">
        <f t="shared" si="157"/>
        <v>745</v>
      </c>
      <c r="FF39" s="87">
        <v>5158992</v>
      </c>
      <c r="FG39" s="87">
        <f t="shared" si="158"/>
        <v>623</v>
      </c>
      <c r="FH39" s="87">
        <v>3356721</v>
      </c>
      <c r="FI39" s="87">
        <f t="shared" si="159"/>
        <v>485</v>
      </c>
      <c r="FJ39" s="87">
        <v>1574402</v>
      </c>
      <c r="FK39" s="87">
        <f t="shared" si="160"/>
        <v>230</v>
      </c>
      <c r="FL39" s="87"/>
      <c r="FM39" s="87"/>
    </row>
    <row r="40" spans="1:169" ht="30" customHeight="1">
      <c r="A40" s="86">
        <v>44191</v>
      </c>
      <c r="B40" s="87">
        <v>20773400</v>
      </c>
      <c r="C40" s="83">
        <f t="shared" si="83"/>
        <v>1840</v>
      </c>
      <c r="D40" s="87">
        <v>2315986</v>
      </c>
      <c r="E40" s="83">
        <f t="shared" si="84"/>
        <v>214</v>
      </c>
      <c r="F40" s="87">
        <v>27667850</v>
      </c>
      <c r="G40" s="83">
        <f t="shared" si="85"/>
        <v>3232</v>
      </c>
      <c r="H40" s="87">
        <v>5755771</v>
      </c>
      <c r="I40" s="83">
        <f t="shared" si="86"/>
        <v>529</v>
      </c>
      <c r="J40" s="87"/>
      <c r="K40" s="87"/>
      <c r="L40" s="87">
        <v>21694328</v>
      </c>
      <c r="M40" s="87">
        <f t="shared" si="87"/>
        <v>1795</v>
      </c>
      <c r="N40" s="87">
        <v>72946037</v>
      </c>
      <c r="O40" s="87">
        <f t="shared" si="88"/>
        <v>10665</v>
      </c>
      <c r="P40" s="87">
        <v>24385</v>
      </c>
      <c r="Q40" s="87">
        <f t="shared" si="89"/>
        <v>13</v>
      </c>
      <c r="R40" s="87">
        <v>4855</v>
      </c>
      <c r="S40" s="87">
        <f t="shared" si="90"/>
        <v>0</v>
      </c>
      <c r="T40" s="87">
        <v>31656869</v>
      </c>
      <c r="U40" s="87">
        <f t="shared" si="91"/>
        <v>7075</v>
      </c>
      <c r="V40" s="87">
        <v>1627625</v>
      </c>
      <c r="W40" s="87">
        <f t="shared" si="92"/>
        <v>259</v>
      </c>
      <c r="X40" s="87">
        <v>1874906</v>
      </c>
      <c r="Y40" s="87">
        <f t="shared" si="93"/>
        <v>202</v>
      </c>
      <c r="Z40" s="87">
        <v>3509322</v>
      </c>
      <c r="AA40" s="83">
        <f t="shared" si="94"/>
        <v>577</v>
      </c>
      <c r="AB40" s="87"/>
      <c r="AC40" s="87"/>
      <c r="AD40" s="87">
        <v>54918122</v>
      </c>
      <c r="AE40" s="87">
        <f t="shared" si="95"/>
        <v>6880</v>
      </c>
      <c r="AF40" s="87">
        <v>9962298</v>
      </c>
      <c r="AG40" s="87">
        <f t="shared" si="96"/>
        <v>1584</v>
      </c>
      <c r="AH40" s="87">
        <v>1548687</v>
      </c>
      <c r="AI40" s="87">
        <f t="shared" si="97"/>
        <v>204</v>
      </c>
      <c r="AJ40" s="87">
        <v>1771278</v>
      </c>
      <c r="AK40" s="87">
        <f t="shared" si="98"/>
        <v>217</v>
      </c>
      <c r="AL40" s="87">
        <v>4855493</v>
      </c>
      <c r="AM40" s="87">
        <f t="shared" si="99"/>
        <v>561</v>
      </c>
      <c r="AN40" s="87">
        <v>5167704</v>
      </c>
      <c r="AO40" s="87">
        <f t="shared" si="100"/>
        <v>921</v>
      </c>
      <c r="AP40" s="87"/>
      <c r="AQ40" s="87"/>
      <c r="AR40" s="87">
        <v>1146770</v>
      </c>
      <c r="AS40" s="87">
        <f t="shared" si="101"/>
        <v>304</v>
      </c>
      <c r="AT40" s="87">
        <v>3150219</v>
      </c>
      <c r="AU40" s="87">
        <f t="shared" si="102"/>
        <v>585</v>
      </c>
      <c r="AV40" s="87"/>
      <c r="AW40" s="87"/>
      <c r="AX40" s="87">
        <v>577943</v>
      </c>
      <c r="AY40" s="87">
        <f t="shared" si="103"/>
        <v>148</v>
      </c>
      <c r="AZ40" s="87">
        <v>2364922</v>
      </c>
      <c r="BA40" s="87">
        <f t="shared" si="104"/>
        <v>197</v>
      </c>
      <c r="BB40" s="87">
        <v>4700464</v>
      </c>
      <c r="BC40" s="87">
        <f t="shared" si="105"/>
        <v>544</v>
      </c>
      <c r="BD40" s="87">
        <v>41789208</v>
      </c>
      <c r="BE40" s="87">
        <f t="shared" si="106"/>
        <v>5890</v>
      </c>
      <c r="BF40" s="87">
        <v>59131069</v>
      </c>
      <c r="BG40" s="87">
        <f t="shared" si="107"/>
        <v>8749</v>
      </c>
      <c r="BH40" s="87">
        <v>437075</v>
      </c>
      <c r="BI40" s="87">
        <f t="shared" si="108"/>
        <v>105</v>
      </c>
      <c r="BJ40" s="87">
        <v>11282584</v>
      </c>
      <c r="BK40" s="87">
        <f t="shared" si="109"/>
        <v>1516</v>
      </c>
      <c r="BL40" s="87">
        <v>1599471</v>
      </c>
      <c r="BM40" s="87">
        <f t="shared" si="110"/>
        <v>399</v>
      </c>
      <c r="BN40" s="87">
        <v>2345720</v>
      </c>
      <c r="BO40" s="87">
        <f t="shared" si="111"/>
        <v>426</v>
      </c>
      <c r="BP40" s="87">
        <v>10719005</v>
      </c>
      <c r="BQ40" s="87">
        <f t="shared" si="112"/>
        <v>1916</v>
      </c>
      <c r="BR40" s="87">
        <v>2627500</v>
      </c>
      <c r="BS40" s="87">
        <f t="shared" si="113"/>
        <v>201</v>
      </c>
      <c r="BT40" s="87">
        <v>13098542</v>
      </c>
      <c r="BU40" s="87">
        <f t="shared" si="114"/>
        <v>1771</v>
      </c>
      <c r="BV40" s="87">
        <v>10278760</v>
      </c>
      <c r="BW40" s="87">
        <f t="shared" si="115"/>
        <v>1361</v>
      </c>
      <c r="BX40" s="87">
        <v>1582091</v>
      </c>
      <c r="BY40" s="87">
        <f t="shared" si="116"/>
        <v>197</v>
      </c>
      <c r="BZ40" s="87">
        <v>19904809</v>
      </c>
      <c r="CA40" s="87">
        <f t="shared" si="117"/>
        <v>0</v>
      </c>
      <c r="CB40" s="87">
        <v>17456099</v>
      </c>
      <c r="CC40" s="87">
        <f t="shared" si="118"/>
        <v>0</v>
      </c>
      <c r="CD40" s="87">
        <v>18113842</v>
      </c>
      <c r="CE40" s="87">
        <f t="shared" si="119"/>
        <v>75</v>
      </c>
      <c r="CF40" s="87">
        <v>14117267</v>
      </c>
      <c r="CG40" s="87">
        <f t="shared" si="120"/>
        <v>1027</v>
      </c>
      <c r="CH40" s="87">
        <v>4304365</v>
      </c>
      <c r="CI40" s="87">
        <f t="shared" si="121"/>
        <v>400</v>
      </c>
      <c r="CJ40" s="87">
        <v>4779859</v>
      </c>
      <c r="CK40" s="87">
        <f t="shared" si="122"/>
        <v>438</v>
      </c>
      <c r="CL40" s="87">
        <v>2719297</v>
      </c>
      <c r="CM40" s="87">
        <f t="shared" si="123"/>
        <v>190</v>
      </c>
      <c r="CN40" s="87">
        <v>69583047</v>
      </c>
      <c r="CO40" s="87">
        <f t="shared" si="124"/>
        <v>9244</v>
      </c>
      <c r="CP40" s="87">
        <v>4463487</v>
      </c>
      <c r="CQ40" s="87">
        <f t="shared" si="125"/>
        <v>102</v>
      </c>
      <c r="CR40" s="87">
        <v>5184508</v>
      </c>
      <c r="CS40" s="87">
        <f t="shared" si="126"/>
        <v>189</v>
      </c>
      <c r="CT40" s="87">
        <v>3058380</v>
      </c>
      <c r="CU40" s="87">
        <f t="shared" si="127"/>
        <v>246</v>
      </c>
      <c r="CV40" s="87">
        <v>41606556</v>
      </c>
      <c r="CW40" s="87">
        <f t="shared" si="128"/>
        <v>6649</v>
      </c>
      <c r="CX40" s="87">
        <v>6355065</v>
      </c>
      <c r="CY40" s="87">
        <f t="shared" si="129"/>
        <v>561</v>
      </c>
      <c r="CZ40" s="87">
        <v>6318362</v>
      </c>
      <c r="DA40" s="87">
        <f t="shared" si="130"/>
        <v>741</v>
      </c>
      <c r="DB40" s="87">
        <v>56712167</v>
      </c>
      <c r="DC40" s="87">
        <f t="shared" si="131"/>
        <v>4042</v>
      </c>
      <c r="DD40" s="87">
        <v>2008704</v>
      </c>
      <c r="DE40" s="87">
        <f t="shared" si="132"/>
        <v>516</v>
      </c>
      <c r="DF40" s="87">
        <v>21992293</v>
      </c>
      <c r="DG40" s="87">
        <f t="shared" si="133"/>
        <v>3349</v>
      </c>
      <c r="DH40" s="87">
        <v>32295299</v>
      </c>
      <c r="DI40" s="87">
        <f t="shared" si="134"/>
        <v>20</v>
      </c>
      <c r="DJ40" s="87"/>
      <c r="DK40" s="87"/>
      <c r="DL40" s="87">
        <v>991505</v>
      </c>
      <c r="DM40" s="87">
        <f t="shared" si="135"/>
        <v>288</v>
      </c>
      <c r="DN40" s="87">
        <v>1058745</v>
      </c>
      <c r="DO40" s="87">
        <f t="shared" si="136"/>
        <v>304</v>
      </c>
      <c r="DP40" s="87">
        <v>1193109</v>
      </c>
      <c r="DQ40" s="87">
        <f t="shared" si="137"/>
        <v>766</v>
      </c>
      <c r="DR40" s="87">
        <v>1125438</v>
      </c>
      <c r="DS40" s="87">
        <f t="shared" si="138"/>
        <v>996</v>
      </c>
      <c r="DT40" s="87">
        <v>982829</v>
      </c>
      <c r="DU40" s="87">
        <f t="shared" si="139"/>
        <v>893</v>
      </c>
      <c r="DV40" s="87">
        <v>1296957</v>
      </c>
      <c r="DW40" s="87">
        <f t="shared" si="140"/>
        <v>1370</v>
      </c>
      <c r="DX40" s="87">
        <v>820719</v>
      </c>
      <c r="DY40" s="87">
        <f t="shared" si="141"/>
        <v>685</v>
      </c>
      <c r="DZ40" s="87">
        <v>1442</v>
      </c>
      <c r="EA40" s="87">
        <f t="shared" si="142"/>
        <v>0</v>
      </c>
      <c r="EB40" s="87">
        <v>390051</v>
      </c>
      <c r="EC40" s="87">
        <f t="shared" si="143"/>
        <v>339</v>
      </c>
      <c r="ED40" s="87">
        <v>843005</v>
      </c>
      <c r="EE40" s="87">
        <f t="shared" si="144"/>
        <v>715</v>
      </c>
      <c r="EF40" s="87">
        <v>430440</v>
      </c>
      <c r="EG40" s="87">
        <f t="shared" si="145"/>
        <v>214</v>
      </c>
      <c r="EH40" s="87">
        <v>2814</v>
      </c>
      <c r="EI40" s="87">
        <f t="shared" si="146"/>
        <v>26</v>
      </c>
      <c r="EJ40" s="87">
        <v>985660</v>
      </c>
      <c r="EK40" s="87">
        <f t="shared" si="147"/>
        <v>486</v>
      </c>
      <c r="EL40" s="87">
        <v>3492510</v>
      </c>
      <c r="EM40" s="87">
        <f t="shared" si="148"/>
        <v>325</v>
      </c>
      <c r="EN40" s="87">
        <v>3865597</v>
      </c>
      <c r="EO40" s="87">
        <f t="shared" si="149"/>
        <v>371</v>
      </c>
      <c r="EP40" s="87">
        <v>4217847</v>
      </c>
      <c r="EQ40" s="87">
        <f t="shared" si="150"/>
        <v>376</v>
      </c>
      <c r="ER40" s="87">
        <v>5330845</v>
      </c>
      <c r="ES40" s="87">
        <f t="shared" si="151"/>
        <v>520</v>
      </c>
      <c r="ET40" s="87">
        <v>4368257</v>
      </c>
      <c r="EU40" s="87">
        <f t="shared" si="152"/>
        <v>369</v>
      </c>
      <c r="EV40" s="87">
        <v>4504831</v>
      </c>
      <c r="EW40" s="87">
        <f t="shared" si="153"/>
        <v>396</v>
      </c>
      <c r="EX40" s="87">
        <v>8818629</v>
      </c>
      <c r="EY40" s="87">
        <f t="shared" si="154"/>
        <v>826</v>
      </c>
      <c r="EZ40" s="87">
        <v>8727464</v>
      </c>
      <c r="FA40" s="87">
        <f t="shared" si="155"/>
        <v>1155</v>
      </c>
      <c r="FB40" s="87">
        <v>8677309</v>
      </c>
      <c r="FC40" s="87">
        <f t="shared" si="156"/>
        <v>697</v>
      </c>
      <c r="FD40" s="87">
        <v>8183078</v>
      </c>
      <c r="FE40" s="87">
        <f t="shared" si="157"/>
        <v>746</v>
      </c>
      <c r="FF40" s="87">
        <v>5159549</v>
      </c>
      <c r="FG40" s="87">
        <f t="shared" si="158"/>
        <v>557</v>
      </c>
      <c r="FH40" s="87">
        <v>3357205</v>
      </c>
      <c r="FI40" s="87">
        <f t="shared" si="159"/>
        <v>484</v>
      </c>
      <c r="FJ40" s="87">
        <v>1574625</v>
      </c>
      <c r="FK40" s="87">
        <f t="shared" si="160"/>
        <v>223</v>
      </c>
      <c r="FL40" s="87"/>
      <c r="FM40" s="87"/>
    </row>
    <row r="41" spans="1:169" ht="30" customHeight="1">
      <c r="A41" s="86">
        <v>44192</v>
      </c>
      <c r="B41" s="87">
        <v>20775145</v>
      </c>
      <c r="C41" s="87">
        <f t="shared" si="83"/>
        <v>1745</v>
      </c>
      <c r="D41" s="87">
        <v>2316140</v>
      </c>
      <c r="E41" s="87">
        <f t="shared" si="84"/>
        <v>154</v>
      </c>
      <c r="F41" s="87">
        <v>27671040</v>
      </c>
      <c r="G41" s="87">
        <f t="shared" si="85"/>
        <v>3190</v>
      </c>
      <c r="H41" s="87">
        <v>5756299</v>
      </c>
      <c r="I41" s="87">
        <f t="shared" si="86"/>
        <v>528</v>
      </c>
      <c r="J41" s="87"/>
      <c r="K41" s="87"/>
      <c r="L41" s="87">
        <v>21696072</v>
      </c>
      <c r="M41" s="87">
        <f t="shared" si="87"/>
        <v>1744</v>
      </c>
      <c r="N41" s="87">
        <v>72956725</v>
      </c>
      <c r="O41" s="87">
        <f t="shared" si="88"/>
        <v>10688</v>
      </c>
      <c r="P41" s="87">
        <v>24398</v>
      </c>
      <c r="Q41" s="87">
        <f t="shared" si="89"/>
        <v>13</v>
      </c>
      <c r="R41" s="87">
        <v>4855</v>
      </c>
      <c r="S41" s="87">
        <f t="shared" si="90"/>
        <v>0</v>
      </c>
      <c r="T41" s="87">
        <v>31663827</v>
      </c>
      <c r="U41" s="87">
        <f t="shared" si="91"/>
        <v>6958</v>
      </c>
      <c r="V41" s="87">
        <v>1627887</v>
      </c>
      <c r="W41" s="87">
        <f t="shared" si="92"/>
        <v>262</v>
      </c>
      <c r="X41" s="87">
        <v>1875103</v>
      </c>
      <c r="Y41" s="87">
        <f t="shared" si="93"/>
        <v>197</v>
      </c>
      <c r="Z41" s="87">
        <v>3509897</v>
      </c>
      <c r="AA41" s="87">
        <f t="shared" si="94"/>
        <v>575</v>
      </c>
      <c r="AB41" s="87"/>
      <c r="AC41" s="87"/>
      <c r="AD41" s="87">
        <v>54924835</v>
      </c>
      <c r="AE41" s="87">
        <f t="shared" si="95"/>
        <v>6713</v>
      </c>
      <c r="AF41" s="87">
        <v>9963778</v>
      </c>
      <c r="AG41" s="87">
        <f t="shared" si="96"/>
        <v>1480</v>
      </c>
      <c r="AH41" s="87">
        <v>1548892</v>
      </c>
      <c r="AI41" s="87">
        <f t="shared" si="97"/>
        <v>205</v>
      </c>
      <c r="AJ41" s="87">
        <v>1771497</v>
      </c>
      <c r="AK41" s="87">
        <f t="shared" si="98"/>
        <v>219</v>
      </c>
      <c r="AL41" s="87">
        <v>4856056</v>
      </c>
      <c r="AM41" s="87">
        <f t="shared" si="99"/>
        <v>563</v>
      </c>
      <c r="AN41" s="87">
        <v>5168580</v>
      </c>
      <c r="AO41" s="87">
        <f t="shared" si="100"/>
        <v>876</v>
      </c>
      <c r="AP41" s="87"/>
      <c r="AQ41" s="87"/>
      <c r="AR41" s="87">
        <v>1147073</v>
      </c>
      <c r="AS41" s="87">
        <f t="shared" si="101"/>
        <v>303</v>
      </c>
      <c r="AT41" s="87">
        <v>3150763</v>
      </c>
      <c r="AU41" s="87">
        <f t="shared" si="102"/>
        <v>544</v>
      </c>
      <c r="AV41" s="87"/>
      <c r="AW41" s="87"/>
      <c r="AX41" s="87">
        <v>578074</v>
      </c>
      <c r="AY41" s="87">
        <f t="shared" si="103"/>
        <v>131</v>
      </c>
      <c r="AZ41" s="87">
        <v>2365019</v>
      </c>
      <c r="BA41" s="87">
        <f t="shared" si="104"/>
        <v>97</v>
      </c>
      <c r="BB41" s="87">
        <v>4701186</v>
      </c>
      <c r="BC41" s="87">
        <f t="shared" si="105"/>
        <v>722</v>
      </c>
      <c r="BD41" s="87">
        <v>41795073</v>
      </c>
      <c r="BE41" s="87">
        <f t="shared" si="106"/>
        <v>5865</v>
      </c>
      <c r="BF41" s="87">
        <v>59139465</v>
      </c>
      <c r="BG41" s="87">
        <f t="shared" si="107"/>
        <v>8396</v>
      </c>
      <c r="BH41" s="87">
        <v>437179</v>
      </c>
      <c r="BI41" s="87">
        <f t="shared" si="108"/>
        <v>104</v>
      </c>
      <c r="BJ41" s="87">
        <v>11284129</v>
      </c>
      <c r="BK41" s="87">
        <f t="shared" si="109"/>
        <v>1545</v>
      </c>
      <c r="BL41" s="87">
        <v>1599863</v>
      </c>
      <c r="BM41" s="87">
        <f t="shared" si="110"/>
        <v>392</v>
      </c>
      <c r="BN41" s="87">
        <v>2346028</v>
      </c>
      <c r="BO41" s="87">
        <f t="shared" si="111"/>
        <v>308</v>
      </c>
      <c r="BP41" s="87">
        <v>10720808</v>
      </c>
      <c r="BQ41" s="87">
        <f t="shared" si="112"/>
        <v>1803</v>
      </c>
      <c r="BR41" s="87">
        <v>2627703</v>
      </c>
      <c r="BS41" s="87">
        <f t="shared" si="113"/>
        <v>203</v>
      </c>
      <c r="BT41" s="87">
        <v>13100181</v>
      </c>
      <c r="BU41" s="87">
        <f t="shared" si="114"/>
        <v>1639</v>
      </c>
      <c r="BV41" s="87">
        <v>10280118</v>
      </c>
      <c r="BW41" s="87">
        <f t="shared" si="115"/>
        <v>1358</v>
      </c>
      <c r="BX41" s="87">
        <v>1582282</v>
      </c>
      <c r="BY41" s="87">
        <f t="shared" si="116"/>
        <v>191</v>
      </c>
      <c r="BZ41" s="87">
        <v>19904809</v>
      </c>
      <c r="CA41" s="87">
        <f t="shared" si="117"/>
        <v>0</v>
      </c>
      <c r="CB41" s="87">
        <v>17456099</v>
      </c>
      <c r="CC41" s="87">
        <f t="shared" si="118"/>
        <v>0</v>
      </c>
      <c r="CD41" s="87">
        <v>18113916</v>
      </c>
      <c r="CE41" s="87">
        <f t="shared" si="119"/>
        <v>74</v>
      </c>
      <c r="CF41" s="87">
        <v>14118310</v>
      </c>
      <c r="CG41" s="87">
        <f t="shared" si="120"/>
        <v>1043</v>
      </c>
      <c r="CH41" s="87">
        <v>4304776</v>
      </c>
      <c r="CI41" s="87">
        <f t="shared" si="121"/>
        <v>411</v>
      </c>
      <c r="CJ41" s="87">
        <v>4780337</v>
      </c>
      <c r="CK41" s="87">
        <f t="shared" si="122"/>
        <v>478</v>
      </c>
      <c r="CL41" s="87">
        <v>2719452</v>
      </c>
      <c r="CM41" s="87">
        <f t="shared" si="123"/>
        <v>155</v>
      </c>
      <c r="CN41" s="87">
        <v>69592951</v>
      </c>
      <c r="CO41" s="87">
        <f t="shared" si="124"/>
        <v>9904</v>
      </c>
      <c r="CP41" s="87">
        <v>4463588</v>
      </c>
      <c r="CQ41" s="87">
        <f t="shared" si="125"/>
        <v>101</v>
      </c>
      <c r="CR41" s="87">
        <v>5184689</v>
      </c>
      <c r="CS41" s="87">
        <f t="shared" si="126"/>
        <v>181</v>
      </c>
      <c r="CT41" s="87">
        <v>3058626</v>
      </c>
      <c r="CU41" s="87">
        <f t="shared" si="127"/>
        <v>246</v>
      </c>
      <c r="CV41" s="87">
        <v>41613884</v>
      </c>
      <c r="CW41" s="87">
        <f t="shared" si="128"/>
        <v>7328</v>
      </c>
      <c r="CX41" s="87">
        <v>6355624</v>
      </c>
      <c r="CY41" s="87">
        <f t="shared" si="129"/>
        <v>559</v>
      </c>
      <c r="CZ41" s="87">
        <v>6319104</v>
      </c>
      <c r="DA41" s="87">
        <f t="shared" si="130"/>
        <v>742</v>
      </c>
      <c r="DB41" s="87">
        <v>56716026</v>
      </c>
      <c r="DC41" s="87">
        <f t="shared" si="131"/>
        <v>3859</v>
      </c>
      <c r="DD41" s="87">
        <v>2009190</v>
      </c>
      <c r="DE41" s="87">
        <f t="shared" si="132"/>
        <v>486</v>
      </c>
      <c r="DF41" s="87">
        <v>21995517</v>
      </c>
      <c r="DG41" s="87">
        <f t="shared" si="133"/>
        <v>3224</v>
      </c>
      <c r="DH41" s="87">
        <v>32295319</v>
      </c>
      <c r="DI41" s="87">
        <f t="shared" si="134"/>
        <v>20</v>
      </c>
      <c r="DJ41" s="87"/>
      <c r="DK41" s="87"/>
      <c r="DL41" s="87">
        <v>991816</v>
      </c>
      <c r="DM41" s="87">
        <f t="shared" si="135"/>
        <v>311</v>
      </c>
      <c r="DN41" s="87">
        <v>1059029</v>
      </c>
      <c r="DO41" s="87">
        <f t="shared" si="136"/>
        <v>284</v>
      </c>
      <c r="DP41" s="87">
        <v>1193893</v>
      </c>
      <c r="DQ41" s="87">
        <f t="shared" si="137"/>
        <v>784</v>
      </c>
      <c r="DR41" s="87">
        <v>1126403</v>
      </c>
      <c r="DS41" s="87">
        <f t="shared" si="138"/>
        <v>965</v>
      </c>
      <c r="DT41" s="87">
        <v>983713</v>
      </c>
      <c r="DU41" s="87">
        <f t="shared" si="139"/>
        <v>884</v>
      </c>
      <c r="DV41" s="87">
        <v>1298323</v>
      </c>
      <c r="DW41" s="87">
        <f t="shared" si="140"/>
        <v>1366</v>
      </c>
      <c r="DX41" s="87">
        <v>821319</v>
      </c>
      <c r="DY41" s="87">
        <f t="shared" si="141"/>
        <v>600</v>
      </c>
      <c r="DZ41" s="87">
        <v>1442</v>
      </c>
      <c r="EA41" s="87">
        <f t="shared" si="142"/>
        <v>0</v>
      </c>
      <c r="EB41" s="87">
        <v>390374</v>
      </c>
      <c r="EC41" s="87">
        <f t="shared" si="143"/>
        <v>323</v>
      </c>
      <c r="ED41" s="87">
        <v>843707</v>
      </c>
      <c r="EE41" s="87">
        <f t="shared" si="144"/>
        <v>702</v>
      </c>
      <c r="EF41" s="87">
        <v>430654</v>
      </c>
      <c r="EG41" s="87">
        <f t="shared" si="145"/>
        <v>214</v>
      </c>
      <c r="EH41" s="87">
        <v>2839</v>
      </c>
      <c r="EI41" s="87">
        <f t="shared" si="146"/>
        <v>25</v>
      </c>
      <c r="EJ41" s="87">
        <v>986136</v>
      </c>
      <c r="EK41" s="87">
        <f t="shared" si="147"/>
        <v>476</v>
      </c>
      <c r="EL41" s="87">
        <v>3492803</v>
      </c>
      <c r="EM41" s="87">
        <f t="shared" si="148"/>
        <v>293</v>
      </c>
      <c r="EN41" s="87">
        <v>3865954</v>
      </c>
      <c r="EO41" s="87">
        <f t="shared" si="149"/>
        <v>357</v>
      </c>
      <c r="EP41" s="87">
        <v>4218219</v>
      </c>
      <c r="EQ41" s="87">
        <f t="shared" si="150"/>
        <v>372</v>
      </c>
      <c r="ER41" s="87">
        <v>5331358</v>
      </c>
      <c r="ES41" s="87">
        <f t="shared" si="151"/>
        <v>513</v>
      </c>
      <c r="ET41" s="87">
        <v>4368608</v>
      </c>
      <c r="EU41" s="87">
        <f t="shared" si="152"/>
        <v>351</v>
      </c>
      <c r="EV41" s="87">
        <v>4505228</v>
      </c>
      <c r="EW41" s="87">
        <f t="shared" si="153"/>
        <v>397</v>
      </c>
      <c r="EX41" s="87">
        <v>8819454</v>
      </c>
      <c r="EY41" s="87">
        <f t="shared" si="154"/>
        <v>825</v>
      </c>
      <c r="EZ41" s="87">
        <v>8728668</v>
      </c>
      <c r="FA41" s="87">
        <f t="shared" si="155"/>
        <v>1204</v>
      </c>
      <c r="FB41" s="87">
        <v>8678004</v>
      </c>
      <c r="FC41" s="87">
        <f t="shared" si="156"/>
        <v>695</v>
      </c>
      <c r="FD41" s="87">
        <v>8183825</v>
      </c>
      <c r="FE41" s="87">
        <f t="shared" si="157"/>
        <v>747</v>
      </c>
      <c r="FF41" s="87">
        <v>5160089</v>
      </c>
      <c r="FG41" s="87">
        <f t="shared" si="158"/>
        <v>540</v>
      </c>
      <c r="FH41" s="87">
        <v>3357684</v>
      </c>
      <c r="FI41" s="87">
        <f t="shared" si="159"/>
        <v>479</v>
      </c>
      <c r="FJ41" s="87">
        <v>1574836</v>
      </c>
      <c r="FK41" s="87">
        <f t="shared" si="160"/>
        <v>211</v>
      </c>
      <c r="FL41" s="87"/>
      <c r="FM41" s="87"/>
    </row>
    <row r="42" spans="1:169" ht="30" customHeight="1">
      <c r="A42" s="86">
        <v>44193</v>
      </c>
      <c r="B42" s="87">
        <v>20776860</v>
      </c>
      <c r="C42" s="83">
        <f t="shared" si="83"/>
        <v>1715</v>
      </c>
      <c r="D42" s="87">
        <v>2316316</v>
      </c>
      <c r="E42" s="83">
        <f t="shared" si="84"/>
        <v>176</v>
      </c>
      <c r="F42" s="87">
        <v>27674251</v>
      </c>
      <c r="G42" s="83">
        <f t="shared" si="85"/>
        <v>3211</v>
      </c>
      <c r="H42" s="87">
        <v>5756808</v>
      </c>
      <c r="I42" s="83">
        <f t="shared" si="86"/>
        <v>509</v>
      </c>
      <c r="J42" s="87"/>
      <c r="K42" s="87"/>
      <c r="L42" s="87">
        <v>21697842</v>
      </c>
      <c r="M42" s="87">
        <f t="shared" si="87"/>
        <v>1770</v>
      </c>
      <c r="N42" s="87">
        <v>72967425</v>
      </c>
      <c r="O42" s="87">
        <f t="shared" si="88"/>
        <v>10700</v>
      </c>
      <c r="P42" s="87">
        <v>24409</v>
      </c>
      <c r="Q42" s="87">
        <f t="shared" si="89"/>
        <v>11</v>
      </c>
      <c r="R42" s="87">
        <v>4855</v>
      </c>
      <c r="S42" s="87">
        <f t="shared" si="90"/>
        <v>0</v>
      </c>
      <c r="T42" s="87">
        <v>31669231</v>
      </c>
      <c r="U42" s="87">
        <f t="shared" si="91"/>
        <v>5404</v>
      </c>
      <c r="V42" s="87">
        <v>1628124</v>
      </c>
      <c r="W42" s="87">
        <f t="shared" si="92"/>
        <v>237</v>
      </c>
      <c r="X42" s="87">
        <v>1875301</v>
      </c>
      <c r="Y42" s="87">
        <f t="shared" si="93"/>
        <v>198</v>
      </c>
      <c r="Z42" s="87">
        <v>3510469</v>
      </c>
      <c r="AA42" s="83">
        <f t="shared" si="94"/>
        <v>572</v>
      </c>
      <c r="AB42" s="87"/>
      <c r="AC42" s="87"/>
      <c r="AD42" s="87">
        <v>54930529</v>
      </c>
      <c r="AE42" s="87">
        <f t="shared" si="95"/>
        <v>5694</v>
      </c>
      <c r="AF42" s="87">
        <v>9964893</v>
      </c>
      <c r="AG42" s="87">
        <f t="shared" si="96"/>
        <v>1115</v>
      </c>
      <c r="AH42" s="87">
        <v>1549097</v>
      </c>
      <c r="AI42" s="87">
        <f t="shared" si="97"/>
        <v>205</v>
      </c>
      <c r="AJ42" s="87">
        <v>1771691</v>
      </c>
      <c r="AK42" s="87">
        <f t="shared" si="98"/>
        <v>194</v>
      </c>
      <c r="AL42" s="87">
        <v>4856593</v>
      </c>
      <c r="AM42" s="87">
        <f t="shared" si="99"/>
        <v>537</v>
      </c>
      <c r="AN42" s="87">
        <v>5169433</v>
      </c>
      <c r="AO42" s="87">
        <f t="shared" si="100"/>
        <v>853</v>
      </c>
      <c r="AP42" s="87"/>
      <c r="AQ42" s="87"/>
      <c r="AR42" s="87">
        <v>1147376</v>
      </c>
      <c r="AS42" s="87">
        <f t="shared" si="101"/>
        <v>303</v>
      </c>
      <c r="AT42" s="87">
        <v>3151269</v>
      </c>
      <c r="AU42" s="87">
        <f t="shared" si="102"/>
        <v>506</v>
      </c>
      <c r="AV42" s="87"/>
      <c r="AW42" s="87"/>
      <c r="AX42" s="87">
        <v>578138</v>
      </c>
      <c r="AY42" s="87">
        <f t="shared" si="103"/>
        <v>64</v>
      </c>
      <c r="AZ42" s="87">
        <v>2365247</v>
      </c>
      <c r="BA42" s="87">
        <f t="shared" si="104"/>
        <v>228</v>
      </c>
      <c r="BB42" s="87">
        <v>4701890</v>
      </c>
      <c r="BC42" s="87">
        <f t="shared" si="105"/>
        <v>704</v>
      </c>
      <c r="BD42" s="87">
        <v>41800830</v>
      </c>
      <c r="BE42" s="87">
        <f t="shared" si="106"/>
        <v>5757</v>
      </c>
      <c r="BF42" s="87">
        <v>59147654</v>
      </c>
      <c r="BG42" s="87">
        <f t="shared" si="107"/>
        <v>8189</v>
      </c>
      <c r="BH42" s="87">
        <v>437278</v>
      </c>
      <c r="BI42" s="87">
        <f t="shared" si="108"/>
        <v>99</v>
      </c>
      <c r="BJ42" s="87">
        <v>11285608</v>
      </c>
      <c r="BK42" s="87">
        <f t="shared" si="109"/>
        <v>1479</v>
      </c>
      <c r="BL42" s="87">
        <v>1600257</v>
      </c>
      <c r="BM42" s="87">
        <f t="shared" si="110"/>
        <v>394</v>
      </c>
      <c r="BN42" s="87">
        <v>2346212</v>
      </c>
      <c r="BO42" s="87">
        <f t="shared" si="111"/>
        <v>184</v>
      </c>
      <c r="BP42" s="87">
        <v>10722629</v>
      </c>
      <c r="BQ42" s="87">
        <f t="shared" si="112"/>
        <v>1821</v>
      </c>
      <c r="BR42" s="87">
        <v>2627911</v>
      </c>
      <c r="BS42" s="87">
        <f t="shared" si="113"/>
        <v>208</v>
      </c>
      <c r="BT42" s="87">
        <v>13101759</v>
      </c>
      <c r="BU42" s="87">
        <f t="shared" si="114"/>
        <v>1578</v>
      </c>
      <c r="BV42" s="87">
        <v>10281453</v>
      </c>
      <c r="BW42" s="87">
        <f t="shared" si="115"/>
        <v>1335</v>
      </c>
      <c r="BX42" s="87">
        <v>1582479</v>
      </c>
      <c r="BY42" s="87">
        <f t="shared" si="116"/>
        <v>197</v>
      </c>
      <c r="BZ42" s="87">
        <v>19904809</v>
      </c>
      <c r="CA42" s="87">
        <f t="shared" si="117"/>
        <v>0</v>
      </c>
      <c r="CB42" s="87">
        <v>17456099</v>
      </c>
      <c r="CC42" s="87">
        <f t="shared" si="118"/>
        <v>0</v>
      </c>
      <c r="CD42" s="87">
        <v>18113991</v>
      </c>
      <c r="CE42" s="87">
        <f t="shared" si="119"/>
        <v>75</v>
      </c>
      <c r="CF42" s="87">
        <v>14119321</v>
      </c>
      <c r="CG42" s="87">
        <f t="shared" si="120"/>
        <v>1011</v>
      </c>
      <c r="CH42" s="87">
        <v>4305202</v>
      </c>
      <c r="CI42" s="87">
        <f t="shared" si="121"/>
        <v>426</v>
      </c>
      <c r="CJ42" s="87">
        <v>4780813</v>
      </c>
      <c r="CK42" s="87">
        <f t="shared" si="122"/>
        <v>476</v>
      </c>
      <c r="CL42" s="87">
        <v>2719563</v>
      </c>
      <c r="CM42" s="87">
        <f t="shared" si="123"/>
        <v>111</v>
      </c>
      <c r="CN42" s="87">
        <v>69602822</v>
      </c>
      <c r="CO42" s="87">
        <f t="shared" si="124"/>
        <v>9871</v>
      </c>
      <c r="CP42" s="87">
        <v>4463685</v>
      </c>
      <c r="CQ42" s="87">
        <f t="shared" si="125"/>
        <v>97</v>
      </c>
      <c r="CR42" s="87">
        <v>5184857</v>
      </c>
      <c r="CS42" s="87">
        <f t="shared" si="126"/>
        <v>168</v>
      </c>
      <c r="CT42" s="87">
        <v>3058874</v>
      </c>
      <c r="CU42" s="87">
        <f t="shared" si="127"/>
        <v>248</v>
      </c>
      <c r="CV42" s="87">
        <v>41621233</v>
      </c>
      <c r="CW42" s="87">
        <f t="shared" si="128"/>
        <v>7349</v>
      </c>
      <c r="CX42" s="87">
        <v>6356184</v>
      </c>
      <c r="CY42" s="87">
        <f t="shared" si="129"/>
        <v>560</v>
      </c>
      <c r="CZ42" s="87">
        <v>6319851</v>
      </c>
      <c r="DA42" s="87">
        <f t="shared" si="130"/>
        <v>747</v>
      </c>
      <c r="DB42" s="87">
        <v>56720130</v>
      </c>
      <c r="DC42" s="87">
        <f t="shared" si="131"/>
        <v>4104</v>
      </c>
      <c r="DD42" s="87">
        <v>2009672</v>
      </c>
      <c r="DE42" s="87">
        <f t="shared" si="132"/>
        <v>482</v>
      </c>
      <c r="DF42" s="87">
        <v>21998989</v>
      </c>
      <c r="DG42" s="87">
        <f t="shared" si="133"/>
        <v>3472</v>
      </c>
      <c r="DH42" s="87">
        <v>32295339</v>
      </c>
      <c r="DI42" s="87">
        <f t="shared" si="134"/>
        <v>20</v>
      </c>
      <c r="DJ42" s="87"/>
      <c r="DK42" s="87"/>
      <c r="DL42" s="87">
        <v>992073</v>
      </c>
      <c r="DM42" s="87">
        <f t="shared" si="135"/>
        <v>257</v>
      </c>
      <c r="DN42" s="87">
        <v>1059305</v>
      </c>
      <c r="DO42" s="87">
        <f t="shared" si="136"/>
        <v>276</v>
      </c>
      <c r="DP42" s="87">
        <v>1194636</v>
      </c>
      <c r="DQ42" s="87">
        <f t="shared" si="137"/>
        <v>743</v>
      </c>
      <c r="DR42" s="87">
        <v>1127282</v>
      </c>
      <c r="DS42" s="87">
        <f t="shared" si="138"/>
        <v>879</v>
      </c>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si="143"/>
        <v>327</v>
      </c>
      <c r="ED42" s="87">
        <v>844400</v>
      </c>
      <c r="EE42" s="87">
        <f t="shared" si="144"/>
        <v>693</v>
      </c>
      <c r="EF42" s="87">
        <v>430840</v>
      </c>
      <c r="EG42" s="87">
        <f t="shared" si="145"/>
        <v>186</v>
      </c>
      <c r="EH42" s="87">
        <v>2869</v>
      </c>
      <c r="EI42" s="87">
        <f t="shared" si="146"/>
        <v>30</v>
      </c>
      <c r="EJ42" s="87">
        <v>986611</v>
      </c>
      <c r="EK42" s="87">
        <f t="shared" si="147"/>
        <v>475</v>
      </c>
      <c r="EL42" s="87">
        <v>3493121</v>
      </c>
      <c r="EM42" s="87">
        <f t="shared" si="148"/>
        <v>318</v>
      </c>
      <c r="EN42" s="87">
        <v>3866323</v>
      </c>
      <c r="EO42" s="87">
        <f t="shared" si="149"/>
        <v>369</v>
      </c>
      <c r="EP42" s="87">
        <v>4218601</v>
      </c>
      <c r="EQ42" s="87">
        <f t="shared" si="150"/>
        <v>382</v>
      </c>
      <c r="ER42" s="87">
        <v>5331861</v>
      </c>
      <c r="ES42" s="87">
        <f t="shared" si="151"/>
        <v>503</v>
      </c>
      <c r="ET42" s="87">
        <v>4368942</v>
      </c>
      <c r="EU42" s="87">
        <f t="shared" si="152"/>
        <v>334</v>
      </c>
      <c r="EV42" s="87">
        <v>4505615</v>
      </c>
      <c r="EW42" s="87">
        <f t="shared" si="153"/>
        <v>387</v>
      </c>
      <c r="EX42" s="87">
        <v>8820291</v>
      </c>
      <c r="EY42" s="87">
        <f t="shared" si="154"/>
        <v>837</v>
      </c>
      <c r="EZ42" s="87">
        <v>8730092</v>
      </c>
      <c r="FA42" s="87">
        <f t="shared" si="155"/>
        <v>1424</v>
      </c>
      <c r="FB42" s="87">
        <v>8678682</v>
      </c>
      <c r="FC42" s="87">
        <f t="shared" si="156"/>
        <v>678</v>
      </c>
      <c r="FD42" s="87">
        <v>8184570</v>
      </c>
      <c r="FE42" s="87">
        <f t="shared" si="157"/>
        <v>745</v>
      </c>
      <c r="FF42" s="87">
        <v>5160622</v>
      </c>
      <c r="FG42" s="87">
        <f t="shared" si="158"/>
        <v>533</v>
      </c>
      <c r="FH42" s="87">
        <v>3358164</v>
      </c>
      <c r="FI42" s="87">
        <f t="shared" si="159"/>
        <v>480</v>
      </c>
      <c r="FJ42" s="87">
        <v>1575038</v>
      </c>
      <c r="FK42" s="87">
        <f t="shared" si="160"/>
        <v>202</v>
      </c>
      <c r="FL42" s="87"/>
      <c r="FM42" s="87"/>
    </row>
    <row r="43" spans="1:169" ht="30" customHeight="1">
      <c r="A43" s="86">
        <v>44194</v>
      </c>
      <c r="B43" s="87">
        <v>20778747</v>
      </c>
      <c r="C43" s="87">
        <f t="shared" si="83"/>
        <v>1887</v>
      </c>
      <c r="D43" s="87">
        <v>2316551</v>
      </c>
      <c r="E43" s="87">
        <f t="shared" si="84"/>
        <v>235</v>
      </c>
      <c r="F43" s="87">
        <v>27677602</v>
      </c>
      <c r="G43" s="87">
        <f t="shared" si="85"/>
        <v>3351</v>
      </c>
      <c r="H43" s="87">
        <v>5757314</v>
      </c>
      <c r="I43" s="87">
        <f t="shared" si="86"/>
        <v>506</v>
      </c>
      <c r="J43" s="87"/>
      <c r="K43" s="87"/>
      <c r="L43" s="87">
        <v>21699654</v>
      </c>
      <c r="M43" s="87">
        <f t="shared" si="87"/>
        <v>1812</v>
      </c>
      <c r="N43" s="87">
        <v>72975996</v>
      </c>
      <c r="O43" s="87">
        <f t="shared" si="88"/>
        <v>8571</v>
      </c>
      <c r="P43" s="87">
        <v>24412</v>
      </c>
      <c r="Q43" s="87">
        <f t="shared" si="89"/>
        <v>3</v>
      </c>
      <c r="R43" s="87">
        <v>4855</v>
      </c>
      <c r="S43" s="87">
        <f t="shared" si="90"/>
        <v>0</v>
      </c>
      <c r="T43" s="87">
        <v>31672861</v>
      </c>
      <c r="U43" s="87">
        <f t="shared" si="91"/>
        <v>3630</v>
      </c>
      <c r="V43" s="87">
        <v>1628361</v>
      </c>
      <c r="W43" s="87">
        <f t="shared" si="92"/>
        <v>237</v>
      </c>
      <c r="X43" s="87">
        <v>1875497</v>
      </c>
      <c r="Y43" s="87">
        <f t="shared" si="93"/>
        <v>196</v>
      </c>
      <c r="Z43" s="87">
        <v>3511042</v>
      </c>
      <c r="AA43" s="87">
        <f t="shared" si="94"/>
        <v>573</v>
      </c>
      <c r="AB43" s="87"/>
      <c r="AC43" s="87"/>
      <c r="AD43" s="87">
        <v>54936623</v>
      </c>
      <c r="AE43" s="87">
        <f t="shared" si="95"/>
        <v>6094</v>
      </c>
      <c r="AF43" s="87">
        <v>9965910</v>
      </c>
      <c r="AG43" s="87">
        <f t="shared" si="96"/>
        <v>1017</v>
      </c>
      <c r="AH43" s="87">
        <v>1549315</v>
      </c>
      <c r="AI43" s="87">
        <f t="shared" si="97"/>
        <v>218</v>
      </c>
      <c r="AJ43" s="87">
        <v>1771876</v>
      </c>
      <c r="AK43" s="87">
        <f t="shared" si="98"/>
        <v>185</v>
      </c>
      <c r="AL43" s="87">
        <v>4857140</v>
      </c>
      <c r="AM43" s="87">
        <f t="shared" si="99"/>
        <v>547</v>
      </c>
      <c r="AN43" s="87">
        <v>5170217</v>
      </c>
      <c r="AO43" s="87">
        <f t="shared" si="100"/>
        <v>784</v>
      </c>
      <c r="AP43" s="87"/>
      <c r="AQ43" s="87"/>
      <c r="AR43" s="87">
        <v>1147680</v>
      </c>
      <c r="AS43" s="87">
        <f t="shared" si="101"/>
        <v>304</v>
      </c>
      <c r="AT43" s="87">
        <v>3151775</v>
      </c>
      <c r="AU43" s="87">
        <f t="shared" si="102"/>
        <v>506</v>
      </c>
      <c r="AV43" s="87"/>
      <c r="AW43" s="87"/>
      <c r="AX43" s="87">
        <v>578271</v>
      </c>
      <c r="AY43" s="87">
        <f t="shared" si="103"/>
        <v>133</v>
      </c>
      <c r="AZ43" s="87">
        <v>2365280</v>
      </c>
      <c r="BA43" s="87">
        <f t="shared" si="104"/>
        <v>33</v>
      </c>
      <c r="BB43" s="87">
        <v>4702597</v>
      </c>
      <c r="BC43" s="87">
        <f t="shared" si="105"/>
        <v>707</v>
      </c>
      <c r="BD43" s="87">
        <v>41806474</v>
      </c>
      <c r="BE43" s="87">
        <f t="shared" si="106"/>
        <v>5644</v>
      </c>
      <c r="BF43" s="87">
        <v>59155504</v>
      </c>
      <c r="BG43" s="87">
        <f t="shared" si="107"/>
        <v>7850</v>
      </c>
      <c r="BH43" s="87">
        <v>437378</v>
      </c>
      <c r="BI43" s="87">
        <f t="shared" si="108"/>
        <v>100</v>
      </c>
      <c r="BJ43" s="87">
        <v>11286885</v>
      </c>
      <c r="BK43" s="87">
        <f t="shared" si="109"/>
        <v>1277</v>
      </c>
      <c r="BL43" s="87">
        <v>1600652</v>
      </c>
      <c r="BM43" s="87">
        <f t="shared" si="110"/>
        <v>395</v>
      </c>
      <c r="BN43" s="87">
        <v>2346301</v>
      </c>
      <c r="BO43" s="87">
        <f t="shared" si="111"/>
        <v>89</v>
      </c>
      <c r="BP43" s="87">
        <v>10724435</v>
      </c>
      <c r="BQ43" s="87">
        <f t="shared" si="112"/>
        <v>1806</v>
      </c>
      <c r="BR43" s="87">
        <v>2628121</v>
      </c>
      <c r="BS43" s="87">
        <f t="shared" si="113"/>
        <v>210</v>
      </c>
      <c r="BT43" s="87">
        <v>13103350</v>
      </c>
      <c r="BU43" s="87">
        <f t="shared" si="114"/>
        <v>1591</v>
      </c>
      <c r="BV43" s="87">
        <v>10282822</v>
      </c>
      <c r="BW43" s="87">
        <f t="shared" si="115"/>
        <v>1369</v>
      </c>
      <c r="BX43" s="87">
        <v>1582653</v>
      </c>
      <c r="BY43" s="87">
        <f t="shared" si="116"/>
        <v>174</v>
      </c>
      <c r="BZ43" s="87">
        <v>19904809</v>
      </c>
      <c r="CA43" s="87">
        <f t="shared" si="117"/>
        <v>0</v>
      </c>
      <c r="CB43" s="87">
        <v>17456099</v>
      </c>
      <c r="CC43" s="87">
        <f t="shared" si="118"/>
        <v>0</v>
      </c>
      <c r="CD43" s="87">
        <v>18114066</v>
      </c>
      <c r="CE43" s="87">
        <f t="shared" si="119"/>
        <v>75</v>
      </c>
      <c r="CF43" s="87">
        <v>14120354</v>
      </c>
      <c r="CG43" s="87">
        <f t="shared" si="120"/>
        <v>1033</v>
      </c>
      <c r="CH43" s="87">
        <v>4305612</v>
      </c>
      <c r="CI43" s="87">
        <f t="shared" si="121"/>
        <v>410</v>
      </c>
      <c r="CJ43" s="87">
        <v>4781314</v>
      </c>
      <c r="CK43" s="87">
        <f t="shared" si="122"/>
        <v>501</v>
      </c>
      <c r="CL43" s="87">
        <v>2719686</v>
      </c>
      <c r="CM43" s="87">
        <f t="shared" si="123"/>
        <v>123</v>
      </c>
      <c r="CN43" s="87">
        <v>69612416</v>
      </c>
      <c r="CO43" s="87">
        <f t="shared" si="124"/>
        <v>9594</v>
      </c>
      <c r="CP43" s="87">
        <v>4463786</v>
      </c>
      <c r="CQ43" s="87">
        <f t="shared" si="125"/>
        <v>101</v>
      </c>
      <c r="CR43" s="87">
        <v>5185022</v>
      </c>
      <c r="CS43" s="87">
        <f t="shared" si="126"/>
        <v>165</v>
      </c>
      <c r="CT43" s="87">
        <v>3059086</v>
      </c>
      <c r="CU43" s="87">
        <f t="shared" si="127"/>
        <v>212</v>
      </c>
      <c r="CV43" s="87">
        <v>41628348</v>
      </c>
      <c r="CW43" s="87">
        <f t="shared" si="128"/>
        <v>7115</v>
      </c>
      <c r="CX43" s="87">
        <v>6356740</v>
      </c>
      <c r="CY43" s="87">
        <f t="shared" si="129"/>
        <v>556</v>
      </c>
      <c r="CZ43" s="87">
        <v>6320599</v>
      </c>
      <c r="DA43" s="87">
        <f t="shared" si="130"/>
        <v>748</v>
      </c>
      <c r="DB43" s="87">
        <v>56724255</v>
      </c>
      <c r="DC43" s="87">
        <f t="shared" si="131"/>
        <v>4125</v>
      </c>
      <c r="DD43" s="87">
        <v>2010147</v>
      </c>
      <c r="DE43" s="87">
        <f t="shared" si="132"/>
        <v>475</v>
      </c>
      <c r="DF43" s="87">
        <v>22002492</v>
      </c>
      <c r="DG43" s="87">
        <f t="shared" si="133"/>
        <v>3503</v>
      </c>
      <c r="DH43" s="87">
        <v>32295358</v>
      </c>
      <c r="DI43" s="87">
        <f t="shared" si="134"/>
        <v>19</v>
      </c>
      <c r="DJ43" s="87"/>
      <c r="DK43" s="87"/>
      <c r="DL43" s="87">
        <v>992319</v>
      </c>
      <c r="DM43" s="87">
        <f t="shared" si="135"/>
        <v>246</v>
      </c>
      <c r="DN43" s="87">
        <v>1059557</v>
      </c>
      <c r="DO43" s="87">
        <f t="shared" si="136"/>
        <v>252</v>
      </c>
      <c r="DP43" s="87">
        <v>1195366</v>
      </c>
      <c r="DQ43" s="87">
        <f t="shared" si="137"/>
        <v>730</v>
      </c>
      <c r="DR43" s="87">
        <v>1128149</v>
      </c>
      <c r="DS43" s="87">
        <f t="shared" si="138"/>
        <v>867</v>
      </c>
      <c r="DT43" s="87">
        <v>985180</v>
      </c>
      <c r="DU43" s="87">
        <f t="shared" si="139"/>
        <v>1003</v>
      </c>
      <c r="DV43" s="87">
        <v>1301018</v>
      </c>
      <c r="DW43" s="87">
        <f t="shared" si="140"/>
        <v>1353</v>
      </c>
      <c r="DX43" s="87">
        <v>822463</v>
      </c>
      <c r="DY43" s="87">
        <f t="shared" si="141"/>
        <v>564</v>
      </c>
      <c r="DZ43" s="87">
        <v>1442</v>
      </c>
      <c r="EA43" s="87">
        <f t="shared" si="142"/>
        <v>0</v>
      </c>
      <c r="EB43" s="87">
        <v>391036</v>
      </c>
      <c r="EC43" s="87">
        <f t="shared" si="143"/>
        <v>335</v>
      </c>
      <c r="ED43" s="87">
        <v>845096</v>
      </c>
      <c r="EE43" s="87">
        <f t="shared" si="144"/>
        <v>696</v>
      </c>
      <c r="EF43" s="87">
        <v>431048</v>
      </c>
      <c r="EG43" s="87">
        <f t="shared" si="145"/>
        <v>208</v>
      </c>
      <c r="EH43" s="87">
        <v>2870</v>
      </c>
      <c r="EI43" s="87">
        <f t="shared" si="146"/>
        <v>1</v>
      </c>
      <c r="EJ43" s="87">
        <v>987076</v>
      </c>
      <c r="EK43" s="87">
        <f t="shared" si="147"/>
        <v>465</v>
      </c>
      <c r="EL43" s="87">
        <v>3493451</v>
      </c>
      <c r="EM43" s="87">
        <f t="shared" si="148"/>
        <v>330</v>
      </c>
      <c r="EN43" s="87">
        <v>3866702</v>
      </c>
      <c r="EO43" s="87">
        <f t="shared" si="149"/>
        <v>379</v>
      </c>
      <c r="EP43" s="87">
        <v>4219006</v>
      </c>
      <c r="EQ43" s="87">
        <f t="shared" si="150"/>
        <v>405</v>
      </c>
      <c r="ER43" s="87">
        <v>5332421</v>
      </c>
      <c r="ES43" s="87">
        <f t="shared" si="151"/>
        <v>560</v>
      </c>
      <c r="ET43" s="87">
        <v>4369317</v>
      </c>
      <c r="EU43" s="87">
        <f t="shared" si="152"/>
        <v>375</v>
      </c>
      <c r="EV43" s="87">
        <v>4506028</v>
      </c>
      <c r="EW43" s="87">
        <f t="shared" si="153"/>
        <v>413</v>
      </c>
      <c r="EX43" s="87">
        <v>8821130</v>
      </c>
      <c r="EY43" s="87">
        <f t="shared" si="154"/>
        <v>839</v>
      </c>
      <c r="EZ43" s="87">
        <v>8731424</v>
      </c>
      <c r="FA43" s="87">
        <f t="shared" si="155"/>
        <v>1332</v>
      </c>
      <c r="FB43" s="87">
        <v>8679376</v>
      </c>
      <c r="FC43" s="87">
        <f t="shared" si="156"/>
        <v>694</v>
      </c>
      <c r="FD43" s="87">
        <v>8185320</v>
      </c>
      <c r="FE43" s="87">
        <f t="shared" si="157"/>
        <v>750</v>
      </c>
      <c r="FF43" s="87">
        <v>5161250</v>
      </c>
      <c r="FG43" s="87">
        <f t="shared" si="158"/>
        <v>628</v>
      </c>
      <c r="FH43" s="87">
        <v>3358657</v>
      </c>
      <c r="FI43" s="87">
        <f t="shared" si="159"/>
        <v>493</v>
      </c>
      <c r="FJ43" s="87">
        <v>1575258</v>
      </c>
      <c r="FK43" s="87">
        <f t="shared" si="160"/>
        <v>220</v>
      </c>
      <c r="FL43" s="87"/>
      <c r="FM43" s="87"/>
    </row>
    <row r="44" spans="1:169" ht="30" customHeight="1">
      <c r="A44" s="86">
        <v>44195</v>
      </c>
      <c r="B44" s="87">
        <v>20780626</v>
      </c>
      <c r="C44" s="83">
        <f t="shared" si="83"/>
        <v>1879</v>
      </c>
      <c r="D44" s="87">
        <v>2316782</v>
      </c>
      <c r="E44" s="83">
        <f t="shared" si="84"/>
        <v>231</v>
      </c>
      <c r="F44" s="87">
        <v>27681009</v>
      </c>
      <c r="G44" s="83">
        <f t="shared" si="85"/>
        <v>3407</v>
      </c>
      <c r="H44" s="87">
        <v>5757824</v>
      </c>
      <c r="I44" s="83">
        <f t="shared" si="86"/>
        <v>510</v>
      </c>
      <c r="J44" s="87"/>
      <c r="K44" s="87"/>
      <c r="L44" s="87">
        <v>21701452</v>
      </c>
      <c r="M44" s="87">
        <f t="shared" si="87"/>
        <v>1798</v>
      </c>
      <c r="N44" s="87">
        <v>72984743</v>
      </c>
      <c r="O44" s="87">
        <f t="shared" si="88"/>
        <v>8747</v>
      </c>
      <c r="P44" s="87">
        <v>24412</v>
      </c>
      <c r="Q44" s="87">
        <f t="shared" si="89"/>
        <v>0</v>
      </c>
      <c r="R44" s="87">
        <v>4855</v>
      </c>
      <c r="S44" s="87">
        <f t="shared" si="90"/>
        <v>0</v>
      </c>
      <c r="T44" s="87">
        <v>31676431</v>
      </c>
      <c r="U44" s="87">
        <f t="shared" si="91"/>
        <v>3570</v>
      </c>
      <c r="V44" s="87">
        <v>1628619</v>
      </c>
      <c r="W44" s="87">
        <f>V44-V43</f>
        <v>258</v>
      </c>
      <c r="X44" s="87">
        <v>1875692</v>
      </c>
      <c r="Y44" s="87">
        <f t="shared" si="93"/>
        <v>195</v>
      </c>
      <c r="Z44" s="87">
        <v>3511615</v>
      </c>
      <c r="AA44" s="83">
        <f t="shared" si="94"/>
        <v>573</v>
      </c>
      <c r="AB44" s="87"/>
      <c r="AC44" s="87"/>
      <c r="AD44" s="87">
        <v>54942346</v>
      </c>
      <c r="AE44" s="87">
        <f t="shared" si="95"/>
        <v>5723</v>
      </c>
      <c r="AF44" s="87">
        <v>9966860</v>
      </c>
      <c r="AG44" s="87">
        <f t="shared" si="96"/>
        <v>950</v>
      </c>
      <c r="AH44" s="87">
        <v>1549539</v>
      </c>
      <c r="AI44" s="87">
        <f t="shared" si="97"/>
        <v>224</v>
      </c>
      <c r="AJ44" s="87">
        <v>1772063</v>
      </c>
      <c r="AK44" s="87">
        <f t="shared" si="98"/>
        <v>187</v>
      </c>
      <c r="AL44" s="87">
        <v>4857681</v>
      </c>
      <c r="AM44" s="87">
        <f t="shared" si="99"/>
        <v>541</v>
      </c>
      <c r="AN44" s="87">
        <v>5171040</v>
      </c>
      <c r="AO44" s="87">
        <f t="shared" si="100"/>
        <v>823</v>
      </c>
      <c r="AP44" s="87"/>
      <c r="AQ44" s="87"/>
      <c r="AR44" s="87">
        <v>1147984</v>
      </c>
      <c r="AS44" s="87">
        <f t="shared" si="101"/>
        <v>304</v>
      </c>
      <c r="AT44" s="87">
        <v>3152248</v>
      </c>
      <c r="AU44" s="87">
        <f t="shared" si="102"/>
        <v>473</v>
      </c>
      <c r="AV44" s="87"/>
      <c r="AW44" s="87"/>
      <c r="AX44" s="87">
        <v>578403</v>
      </c>
      <c r="AY44" s="87">
        <f t="shared" si="103"/>
        <v>132</v>
      </c>
      <c r="AZ44" s="87">
        <v>2365308</v>
      </c>
      <c r="BA44" s="87">
        <f>AZ44-AZ43</f>
        <v>28</v>
      </c>
      <c r="BB44" s="87">
        <v>4703294</v>
      </c>
      <c r="BC44" s="87">
        <f t="shared" si="105"/>
        <v>697</v>
      </c>
      <c r="BD44" s="87">
        <v>41812128</v>
      </c>
      <c r="BE44" s="87">
        <f t="shared" si="106"/>
        <v>5654</v>
      </c>
      <c r="BF44" s="87">
        <v>59163240</v>
      </c>
      <c r="BG44" s="87">
        <f t="shared" si="107"/>
        <v>7736</v>
      </c>
      <c r="BH44" s="87">
        <v>437476</v>
      </c>
      <c r="BI44" s="87">
        <f t="shared" si="108"/>
        <v>98</v>
      </c>
      <c r="BJ44" s="87">
        <v>11288054</v>
      </c>
      <c r="BK44" s="87">
        <f t="shared" si="109"/>
        <v>1169</v>
      </c>
      <c r="BL44" s="87">
        <v>1601049</v>
      </c>
      <c r="BM44" s="87">
        <f t="shared" si="110"/>
        <v>397</v>
      </c>
      <c r="BN44" s="87">
        <v>2346403</v>
      </c>
      <c r="BO44" s="87">
        <f t="shared" si="111"/>
        <v>102</v>
      </c>
      <c r="BP44" s="87">
        <v>10726216</v>
      </c>
      <c r="BQ44" s="87">
        <f t="shared" si="112"/>
        <v>1781</v>
      </c>
      <c r="BR44" s="87">
        <v>2628335</v>
      </c>
      <c r="BS44" s="87">
        <f t="shared" si="113"/>
        <v>214</v>
      </c>
      <c r="BT44" s="87">
        <v>13104925</v>
      </c>
      <c r="BU44" s="87">
        <f t="shared" si="114"/>
        <v>1575</v>
      </c>
      <c r="BV44" s="87">
        <v>10284143</v>
      </c>
      <c r="BW44" s="87">
        <f t="shared" si="115"/>
        <v>1321</v>
      </c>
      <c r="BX44" s="87">
        <v>1582824</v>
      </c>
      <c r="BY44" s="87">
        <f t="shared" si="116"/>
        <v>171</v>
      </c>
      <c r="BZ44" s="87">
        <v>19904809</v>
      </c>
      <c r="CA44" s="87">
        <f t="shared" si="117"/>
        <v>0</v>
      </c>
      <c r="CB44" s="87">
        <v>17456099</v>
      </c>
      <c r="CC44" s="87">
        <f t="shared" si="118"/>
        <v>0</v>
      </c>
      <c r="CD44" s="87">
        <v>18114140</v>
      </c>
      <c r="CE44" s="87">
        <f t="shared" si="119"/>
        <v>74</v>
      </c>
      <c r="CF44" s="87">
        <v>14121406</v>
      </c>
      <c r="CG44" s="87">
        <f t="shared" si="120"/>
        <v>1052</v>
      </c>
      <c r="CH44" s="87">
        <v>4306048</v>
      </c>
      <c r="CI44" s="87">
        <f t="shared" si="121"/>
        <v>436</v>
      </c>
      <c r="CJ44" s="87">
        <v>4781819</v>
      </c>
      <c r="CK44" s="87">
        <f t="shared" si="122"/>
        <v>505</v>
      </c>
      <c r="CL44" s="87">
        <v>2719799</v>
      </c>
      <c r="CM44" s="87">
        <f t="shared" si="123"/>
        <v>113</v>
      </c>
      <c r="CN44" s="87">
        <v>69622672</v>
      </c>
      <c r="CO44" s="87">
        <f t="shared" si="124"/>
        <v>10256</v>
      </c>
      <c r="CP44" s="87">
        <v>4463885</v>
      </c>
      <c r="CQ44" s="87">
        <f t="shared" si="125"/>
        <v>99</v>
      </c>
      <c r="CR44" s="87">
        <v>5185184</v>
      </c>
      <c r="CS44" s="87">
        <f>CR44-CR43</f>
        <v>162</v>
      </c>
      <c r="CT44" s="87">
        <v>3059335</v>
      </c>
      <c r="CU44" s="87">
        <f t="shared" si="127"/>
        <v>249</v>
      </c>
      <c r="CV44" s="87">
        <v>41636091</v>
      </c>
      <c r="CW44" s="87">
        <f t="shared" si="128"/>
        <v>7743</v>
      </c>
      <c r="CX44" s="87">
        <v>6357298</v>
      </c>
      <c r="CY44" s="87">
        <f t="shared" si="129"/>
        <v>558</v>
      </c>
      <c r="CZ44" s="87">
        <v>6321349</v>
      </c>
      <c r="DA44" s="87">
        <f>CZ44-CZ43</f>
        <v>750</v>
      </c>
      <c r="DB44" s="87">
        <v>56728370</v>
      </c>
      <c r="DC44" s="87">
        <f t="shared" si="131"/>
        <v>4115</v>
      </c>
      <c r="DD44" s="87">
        <v>2010606</v>
      </c>
      <c r="DE44" s="87">
        <f t="shared" si="132"/>
        <v>459</v>
      </c>
      <c r="DF44" s="87">
        <v>22006033</v>
      </c>
      <c r="DG44" s="87">
        <f t="shared" si="133"/>
        <v>3541</v>
      </c>
      <c r="DH44" s="87">
        <v>32295378</v>
      </c>
      <c r="DI44" s="87">
        <f t="shared" si="134"/>
        <v>20</v>
      </c>
      <c r="DJ44" s="87"/>
      <c r="DK44" s="87"/>
      <c r="DL44" s="87">
        <v>992515</v>
      </c>
      <c r="DM44" s="87">
        <f t="shared" si="135"/>
        <v>196</v>
      </c>
      <c r="DN44" s="87">
        <v>1059746</v>
      </c>
      <c r="DO44" s="87">
        <f t="shared" si="136"/>
        <v>189</v>
      </c>
      <c r="DP44" s="87">
        <v>1196057</v>
      </c>
      <c r="DQ44" s="87">
        <f t="shared" si="137"/>
        <v>691</v>
      </c>
      <c r="DR44" s="87">
        <v>1128987</v>
      </c>
      <c r="DS44" s="87">
        <f t="shared" si="138"/>
        <v>838</v>
      </c>
      <c r="DT44" s="87">
        <v>986188</v>
      </c>
      <c r="DU44" s="87">
        <f t="shared" si="139"/>
        <v>1008</v>
      </c>
      <c r="DV44" s="87">
        <v>1302369</v>
      </c>
      <c r="DW44" s="87">
        <f t="shared" si="140"/>
        <v>1351</v>
      </c>
      <c r="DX44" s="87">
        <v>823014</v>
      </c>
      <c r="DY44" s="87">
        <f t="shared" si="141"/>
        <v>551</v>
      </c>
      <c r="DZ44" s="87">
        <v>1442</v>
      </c>
      <c r="EA44" s="87">
        <f t="shared" si="142"/>
        <v>0</v>
      </c>
      <c r="EB44" s="87">
        <v>391364</v>
      </c>
      <c r="EC44" s="87">
        <f t="shared" si="143"/>
        <v>328</v>
      </c>
      <c r="ED44" s="87">
        <v>845792</v>
      </c>
      <c r="EE44" s="87">
        <f t="shared" si="144"/>
        <v>696</v>
      </c>
      <c r="EF44" s="87">
        <v>431221</v>
      </c>
      <c r="EG44" s="87">
        <f t="shared" si="145"/>
        <v>173</v>
      </c>
      <c r="EH44" s="87">
        <v>2870</v>
      </c>
      <c r="EI44" s="87">
        <f t="shared" si="146"/>
        <v>0</v>
      </c>
      <c r="EJ44" s="87">
        <v>987545</v>
      </c>
      <c r="EK44" s="87">
        <f t="shared" si="147"/>
        <v>469</v>
      </c>
      <c r="EL44" s="87">
        <v>3493779</v>
      </c>
      <c r="EM44" s="87">
        <f t="shared" si="148"/>
        <v>328</v>
      </c>
      <c r="EN44" s="87">
        <v>3867077</v>
      </c>
      <c r="EO44" s="87">
        <f t="shared" si="149"/>
        <v>375</v>
      </c>
      <c r="EP44" s="87">
        <v>4219398</v>
      </c>
      <c r="EQ44" s="87">
        <f t="shared" si="150"/>
        <v>392</v>
      </c>
      <c r="ER44" s="87">
        <v>5332988</v>
      </c>
      <c r="ES44" s="87">
        <f t="shared" si="151"/>
        <v>567</v>
      </c>
      <c r="ET44" s="87">
        <v>4369673</v>
      </c>
      <c r="EU44" s="87">
        <f t="shared" si="152"/>
        <v>356</v>
      </c>
      <c r="EV44" s="87">
        <v>4506439</v>
      </c>
      <c r="EW44" s="87">
        <f t="shared" si="153"/>
        <v>411</v>
      </c>
      <c r="EX44" s="87">
        <v>8821978</v>
      </c>
      <c r="EY44" s="87">
        <f t="shared" si="154"/>
        <v>848</v>
      </c>
      <c r="EZ44" s="87">
        <v>8732737</v>
      </c>
      <c r="FA44" s="87">
        <f t="shared" si="155"/>
        <v>1313</v>
      </c>
      <c r="FB44" s="87">
        <v>8680066</v>
      </c>
      <c r="FC44" s="87">
        <f t="shared" si="156"/>
        <v>690</v>
      </c>
      <c r="FD44" s="87">
        <v>8186075</v>
      </c>
      <c r="FE44" s="87">
        <f t="shared" si="157"/>
        <v>755</v>
      </c>
      <c r="FF44" s="87">
        <v>5161883</v>
      </c>
      <c r="FG44" s="87">
        <f>FF44-FF43</f>
        <v>633</v>
      </c>
      <c r="FH44" s="87">
        <v>3359157</v>
      </c>
      <c r="FI44" s="87">
        <f t="shared" si="159"/>
        <v>500</v>
      </c>
      <c r="FJ44" s="87">
        <v>1575481</v>
      </c>
      <c r="FK44" s="87">
        <f t="shared" si="160"/>
        <v>223</v>
      </c>
      <c r="FL44" s="87"/>
      <c r="FM44" s="87"/>
    </row>
    <row r="45" spans="1:169" ht="30" customHeight="1">
      <c r="A45" s="86">
        <v>44196</v>
      </c>
      <c r="B45" s="87">
        <v>20782612</v>
      </c>
      <c r="C45" s="83">
        <f t="shared" si="83"/>
        <v>1986</v>
      </c>
      <c r="D45" s="87">
        <v>2317042</v>
      </c>
      <c r="E45" s="83">
        <f t="shared" si="84"/>
        <v>260</v>
      </c>
      <c r="F45" s="87">
        <v>27684404</v>
      </c>
      <c r="G45" s="83">
        <f t="shared" si="85"/>
        <v>3395</v>
      </c>
      <c r="H45" s="87">
        <v>5758327</v>
      </c>
      <c r="I45" s="83">
        <f t="shared" si="86"/>
        <v>503</v>
      </c>
      <c r="J45" s="87"/>
      <c r="K45" s="87"/>
      <c r="L45" s="87">
        <v>21703208</v>
      </c>
      <c r="M45" s="87">
        <f t="shared" si="87"/>
        <v>1756</v>
      </c>
      <c r="N45" s="87">
        <v>72994839</v>
      </c>
      <c r="O45" s="87">
        <f t="shared" si="88"/>
        <v>10096</v>
      </c>
      <c r="P45" s="87">
        <v>24415</v>
      </c>
      <c r="Q45" s="87">
        <f t="shared" si="89"/>
        <v>3</v>
      </c>
      <c r="R45" s="87">
        <v>4855</v>
      </c>
      <c r="S45" s="87">
        <f t="shared" si="90"/>
        <v>0</v>
      </c>
      <c r="T45" s="87">
        <v>31682035</v>
      </c>
      <c r="U45" s="87">
        <f t="shared" si="91"/>
        <v>5604</v>
      </c>
      <c r="V45" s="87">
        <v>1628910</v>
      </c>
      <c r="W45" s="87">
        <f>V45-V44</f>
        <v>291</v>
      </c>
      <c r="X45" s="87">
        <v>1875884</v>
      </c>
      <c r="Y45" s="87">
        <f t="shared" si="93"/>
        <v>192</v>
      </c>
      <c r="Z45" s="87">
        <v>3512201</v>
      </c>
      <c r="AA45" s="83">
        <f t="shared" si="94"/>
        <v>586</v>
      </c>
      <c r="AB45" s="87"/>
      <c r="AC45" s="87"/>
      <c r="AD45" s="87">
        <v>54948107</v>
      </c>
      <c r="AE45" s="87">
        <f t="shared" si="95"/>
        <v>5761</v>
      </c>
      <c r="AF45" s="87">
        <v>9967856</v>
      </c>
      <c r="AG45" s="87">
        <f t="shared" si="96"/>
        <v>996</v>
      </c>
      <c r="AH45" s="87">
        <v>1549755</v>
      </c>
      <c r="AI45" s="87">
        <f t="shared" si="97"/>
        <v>216</v>
      </c>
      <c r="AJ45" s="87">
        <v>1772251</v>
      </c>
      <c r="AK45" s="87">
        <f t="shared" si="98"/>
        <v>188</v>
      </c>
      <c r="AL45" s="87">
        <v>4858214</v>
      </c>
      <c r="AM45" s="87">
        <f t="shared" si="99"/>
        <v>533</v>
      </c>
      <c r="AN45" s="87">
        <v>5171881</v>
      </c>
      <c r="AO45" s="87">
        <f t="shared" si="100"/>
        <v>841</v>
      </c>
      <c r="AP45" s="87"/>
      <c r="AQ45" s="87"/>
      <c r="AR45" s="87">
        <v>1148288</v>
      </c>
      <c r="AS45" s="87">
        <f t="shared" si="101"/>
        <v>304</v>
      </c>
      <c r="AT45" s="87">
        <v>3152744</v>
      </c>
      <c r="AU45" s="87">
        <f t="shared" si="102"/>
        <v>496</v>
      </c>
      <c r="AV45" s="87"/>
      <c r="AW45" s="87"/>
      <c r="AX45" s="87">
        <v>578516</v>
      </c>
      <c r="AY45" s="87">
        <f t="shared" si="103"/>
        <v>113</v>
      </c>
      <c r="AZ45" s="87">
        <v>2365385</v>
      </c>
      <c r="BA45" s="87">
        <f>AZ45-AZ44</f>
        <v>77</v>
      </c>
      <c r="BB45" s="87">
        <v>4704053</v>
      </c>
      <c r="BC45" s="87">
        <f t="shared" si="105"/>
        <v>759</v>
      </c>
      <c r="BD45" s="87">
        <v>41817833</v>
      </c>
      <c r="BE45" s="87">
        <f t="shared" si="106"/>
        <v>5705</v>
      </c>
      <c r="BF45" s="87">
        <v>59171200</v>
      </c>
      <c r="BG45" s="87">
        <f t="shared" si="107"/>
        <v>7960</v>
      </c>
      <c r="BH45" s="87">
        <v>437576</v>
      </c>
      <c r="BI45" s="87">
        <f t="shared" si="108"/>
        <v>100</v>
      </c>
      <c r="BJ45" s="87">
        <v>11289227</v>
      </c>
      <c r="BK45" s="87">
        <f t="shared" si="109"/>
        <v>1173</v>
      </c>
      <c r="BL45" s="87">
        <v>1601450</v>
      </c>
      <c r="BM45" s="87">
        <f t="shared" si="110"/>
        <v>401</v>
      </c>
      <c r="BN45" s="87">
        <v>2346561</v>
      </c>
      <c r="BO45" s="87">
        <f t="shared" si="111"/>
        <v>158</v>
      </c>
      <c r="BP45" s="87">
        <v>10728076</v>
      </c>
      <c r="BQ45" s="87">
        <f t="shared" si="112"/>
        <v>1860</v>
      </c>
      <c r="BR45" s="87">
        <v>2628546</v>
      </c>
      <c r="BS45" s="87">
        <f t="shared" si="113"/>
        <v>211</v>
      </c>
      <c r="BT45" s="87">
        <v>13106572</v>
      </c>
      <c r="BU45" s="87">
        <f t="shared" si="114"/>
        <v>1647</v>
      </c>
      <c r="BV45" s="87">
        <v>10285536</v>
      </c>
      <c r="BW45" s="87">
        <f t="shared" si="115"/>
        <v>1393</v>
      </c>
      <c r="BX45" s="87">
        <v>1583001</v>
      </c>
      <c r="BY45" s="87">
        <f t="shared" si="116"/>
        <v>177</v>
      </c>
      <c r="BZ45" s="87">
        <v>19904809</v>
      </c>
      <c r="CA45" s="87">
        <f t="shared" si="117"/>
        <v>0</v>
      </c>
      <c r="CB45" s="87">
        <v>17456099</v>
      </c>
      <c r="CC45" s="87">
        <f t="shared" si="118"/>
        <v>0</v>
      </c>
      <c r="CD45" s="87">
        <v>18114215</v>
      </c>
      <c r="CE45" s="87">
        <f t="shared" si="119"/>
        <v>75</v>
      </c>
      <c r="CF45" s="87">
        <v>14122436</v>
      </c>
      <c r="CG45" s="87">
        <f t="shared" si="120"/>
        <v>1030</v>
      </c>
      <c r="CH45" s="87">
        <v>4306498</v>
      </c>
      <c r="CI45" s="87">
        <f t="shared" si="121"/>
        <v>450</v>
      </c>
      <c r="CJ45" s="87">
        <v>4782296</v>
      </c>
      <c r="CK45" s="87">
        <f t="shared" si="122"/>
        <v>477</v>
      </c>
      <c r="CL45" s="87">
        <v>2719904</v>
      </c>
      <c r="CM45" s="87">
        <f t="shared" si="123"/>
        <v>105</v>
      </c>
      <c r="CN45" s="87">
        <v>69630251</v>
      </c>
      <c r="CO45" s="87">
        <f t="shared" si="124"/>
        <v>7579</v>
      </c>
      <c r="CP45" s="87">
        <v>4463982</v>
      </c>
      <c r="CQ45" s="87">
        <f t="shared" si="125"/>
        <v>97</v>
      </c>
      <c r="CR45" s="87">
        <v>5185349</v>
      </c>
      <c r="CS45" s="87">
        <f>CR45-CR44</f>
        <v>165</v>
      </c>
      <c r="CT45" s="87">
        <v>3059578</v>
      </c>
      <c r="CU45" s="87">
        <f t="shared" si="127"/>
        <v>243</v>
      </c>
      <c r="CV45" s="87">
        <v>41641158</v>
      </c>
      <c r="CW45" s="87">
        <f t="shared" si="128"/>
        <v>5067</v>
      </c>
      <c r="CX45" s="87">
        <v>6357855</v>
      </c>
      <c r="CY45" s="87">
        <f t="shared" si="129"/>
        <v>557</v>
      </c>
      <c r="CZ45" s="87">
        <v>6322095</v>
      </c>
      <c r="DA45" s="87">
        <f>CZ45-CZ44</f>
        <v>746</v>
      </c>
      <c r="DB45" s="87">
        <v>56732274</v>
      </c>
      <c r="DC45" s="87">
        <f t="shared" si="131"/>
        <v>3904</v>
      </c>
      <c r="DD45" s="87">
        <v>2011090</v>
      </c>
      <c r="DE45" s="87">
        <f t="shared" si="132"/>
        <v>484</v>
      </c>
      <c r="DF45" s="87">
        <v>22009322</v>
      </c>
      <c r="DG45" s="87">
        <f t="shared" si="133"/>
        <v>3289</v>
      </c>
      <c r="DH45" s="87">
        <v>32295398</v>
      </c>
      <c r="DI45" s="87">
        <f t="shared" si="134"/>
        <v>20</v>
      </c>
      <c r="DJ45" s="87"/>
      <c r="DK45" s="87"/>
      <c r="DL45" s="87">
        <v>992716</v>
      </c>
      <c r="DM45" s="87">
        <f t="shared" si="135"/>
        <v>201</v>
      </c>
      <c r="DN45" s="87">
        <v>1059924</v>
      </c>
      <c r="DO45" s="87">
        <f t="shared" si="136"/>
        <v>178</v>
      </c>
      <c r="DP45" s="87">
        <v>1196736</v>
      </c>
      <c r="DQ45" s="87">
        <f t="shared" si="137"/>
        <v>679</v>
      </c>
      <c r="DR45" s="87">
        <v>1129784</v>
      </c>
      <c r="DS45" s="87">
        <f t="shared" si="138"/>
        <v>797</v>
      </c>
      <c r="DT45" s="87">
        <v>987150</v>
      </c>
      <c r="DU45" s="87">
        <f t="shared" si="139"/>
        <v>962</v>
      </c>
      <c r="DV45" s="87">
        <v>1303689</v>
      </c>
      <c r="DW45" s="87">
        <f t="shared" si="140"/>
        <v>1320</v>
      </c>
      <c r="DX45" s="87">
        <v>823592</v>
      </c>
      <c r="DY45" s="87">
        <f t="shared" si="141"/>
        <v>578</v>
      </c>
      <c r="DZ45" s="87">
        <v>1442</v>
      </c>
      <c r="EA45" s="87">
        <f t="shared" si="142"/>
        <v>0</v>
      </c>
      <c r="EB45" s="87">
        <v>391690</v>
      </c>
      <c r="EC45" s="87">
        <f t="shared" si="143"/>
        <v>326</v>
      </c>
      <c r="ED45" s="87">
        <v>846483</v>
      </c>
      <c r="EE45" s="87">
        <f t="shared" si="144"/>
        <v>691</v>
      </c>
      <c r="EF45" s="87">
        <v>431379</v>
      </c>
      <c r="EG45" s="87">
        <f t="shared" si="145"/>
        <v>158</v>
      </c>
      <c r="EH45" s="87">
        <v>2884</v>
      </c>
      <c r="EI45" s="87">
        <f t="shared" si="146"/>
        <v>14</v>
      </c>
      <c r="EJ45" s="87">
        <v>987976</v>
      </c>
      <c r="EK45" s="87">
        <f t="shared" si="147"/>
        <v>431</v>
      </c>
      <c r="EL45" s="87">
        <v>3494108</v>
      </c>
      <c r="EM45" s="87">
        <f t="shared" si="148"/>
        <v>329</v>
      </c>
      <c r="EN45" s="87">
        <v>3867427</v>
      </c>
      <c r="EO45" s="87">
        <f t="shared" si="149"/>
        <v>350</v>
      </c>
      <c r="EP45" s="87">
        <v>4219771</v>
      </c>
      <c r="EQ45" s="87">
        <f t="shared" si="150"/>
        <v>373</v>
      </c>
      <c r="ER45" s="87">
        <v>5333583</v>
      </c>
      <c r="ES45" s="87">
        <f t="shared" si="151"/>
        <v>595</v>
      </c>
      <c r="ET45" s="87">
        <v>4370046</v>
      </c>
      <c r="EU45" s="87">
        <f t="shared" si="152"/>
        <v>373</v>
      </c>
      <c r="EV45" s="87">
        <v>4506875</v>
      </c>
      <c r="EW45" s="87">
        <f t="shared" si="153"/>
        <v>436</v>
      </c>
      <c r="EX45" s="87">
        <v>8822826</v>
      </c>
      <c r="EY45" s="87">
        <f t="shared" si="154"/>
        <v>848</v>
      </c>
      <c r="EZ45" s="87">
        <v>8733998</v>
      </c>
      <c r="FA45" s="87">
        <f t="shared" si="155"/>
        <v>1261</v>
      </c>
      <c r="FB45" s="87">
        <v>8680769</v>
      </c>
      <c r="FC45" s="87">
        <f t="shared" si="156"/>
        <v>703</v>
      </c>
      <c r="FD45" s="87">
        <v>8186824</v>
      </c>
      <c r="FE45" s="87">
        <f t="shared" si="157"/>
        <v>749</v>
      </c>
      <c r="FF45" s="87">
        <v>5162520</v>
      </c>
      <c r="FG45" s="87">
        <f>FF45-FF44</f>
        <v>637</v>
      </c>
      <c r="FH45" s="87">
        <v>3359658</v>
      </c>
      <c r="FI45" s="87">
        <f t="shared" si="159"/>
        <v>501</v>
      </c>
      <c r="FJ45" s="87">
        <v>1575712</v>
      </c>
      <c r="FK45" s="87">
        <f t="shared" si="160"/>
        <v>231</v>
      </c>
      <c r="FL45" s="87"/>
      <c r="FM45" s="87"/>
    </row>
    <row r="47" spans="1:169">
      <c r="C47" s="90">
        <f>SUM(C15:C46)</f>
        <v>60776</v>
      </c>
      <c r="E47" s="90">
        <f>SUM(E15:E46)</f>
        <v>7108</v>
      </c>
      <c r="G47" s="90">
        <f>SUM(G15:G46)</f>
        <v>103522</v>
      </c>
      <c r="I47" s="90">
        <f>SUM(I15:I46)</f>
        <v>16121</v>
      </c>
      <c r="M47" s="90">
        <f>SUM(M15:M46)</f>
        <v>56668</v>
      </c>
      <c r="O47" s="90">
        <f>SUM(O15:O46)</f>
        <v>295577</v>
      </c>
      <c r="Q47" s="90">
        <f>SUM(Q15:Q46)</f>
        <v>325</v>
      </c>
      <c r="S47" s="90">
        <f>SUM(S15:S46)</f>
        <v>1</v>
      </c>
      <c r="U47" s="90">
        <f>SUM(U15:U46)</f>
        <v>143926</v>
      </c>
      <c r="W47" s="90">
        <f>SUM(W15:W46)</f>
        <v>7976</v>
      </c>
      <c r="Y47" s="90">
        <f>SUM(Y15:Y46)</f>
        <v>6363</v>
      </c>
      <c r="AA47" s="90">
        <f>SUM(AA15:AA46)</f>
        <v>17936</v>
      </c>
      <c r="AE47" s="90">
        <f>SUM(AE15:AE46)</f>
        <v>191551</v>
      </c>
      <c r="AG47" s="90">
        <f>SUM(AG15:AG46)</f>
        <v>37859</v>
      </c>
      <c r="AI47" s="90">
        <f>SUM(AI15:AI46)</f>
        <v>6324</v>
      </c>
      <c r="AK47" s="90">
        <f>SUM(AK15:AK46)</f>
        <v>6277</v>
      </c>
      <c r="AM47" s="90">
        <f>SUM(AM15:AM46)</f>
        <v>16945</v>
      </c>
      <c r="AO47" s="90">
        <f>SUM(AO15:AO46)</f>
        <v>25607</v>
      </c>
      <c r="AS47" s="90">
        <f>SUM(AS15:AS46)</f>
        <v>12382</v>
      </c>
      <c r="AU47" s="90">
        <f>SUM(AU15:AU46)</f>
        <v>15652</v>
      </c>
      <c r="AY47" s="90">
        <f>SUM(AY15:AY46)</f>
        <v>5114</v>
      </c>
      <c r="BA47" s="90">
        <f>SUM(BA15:BA46)</f>
        <v>2792</v>
      </c>
      <c r="BC47" s="90">
        <f>SUM(BC15:BC46)</f>
        <v>20909</v>
      </c>
      <c r="BE47" s="90">
        <f>SUM(BE15:BE46)</f>
        <v>178306</v>
      </c>
      <c r="BG47" s="90">
        <f>SUM(BG15:BG46)</f>
        <v>258582</v>
      </c>
      <c r="BI47" s="90">
        <f>SUM(BI15:BI46)</f>
        <v>3533</v>
      </c>
      <c r="BK47" s="90">
        <f>SUM(BK15:BK46)</f>
        <v>49597</v>
      </c>
      <c r="BM47" s="90">
        <f>SUM(BM15:BM46)</f>
        <v>12412</v>
      </c>
      <c r="BO47" s="90">
        <f>SUM(BO15:BO46)</f>
        <v>6719</v>
      </c>
      <c r="BQ47" s="90">
        <f>SUM(BQ15:BQ46)</f>
        <v>55343</v>
      </c>
      <c r="BS47" s="90">
        <f>SUM(BS15:BS46)</f>
        <v>6614</v>
      </c>
      <c r="BU47" s="90">
        <f>SUM(BU15:BU46)</f>
        <v>49044</v>
      </c>
      <c r="BW47" s="90">
        <f>SUM(BW15:BW46)</f>
        <v>43095</v>
      </c>
      <c r="BY47" s="90">
        <f>SUM(BY15:BY46)</f>
        <v>5859</v>
      </c>
      <c r="CA47" s="90">
        <f>SUM(CA15:CA46)</f>
        <v>1154</v>
      </c>
      <c r="CC47" s="90">
        <f>SUM(CC15:CC46)</f>
        <v>3621</v>
      </c>
      <c r="CE47" s="90">
        <f>SUM(CE15:CE46)</f>
        <v>12662</v>
      </c>
      <c r="CG47" s="90">
        <f>SUM(CG15:CG46)</f>
        <v>30729</v>
      </c>
      <c r="CI47" s="90">
        <f>SUM(CI15:CI46)</f>
        <v>13383</v>
      </c>
      <c r="CK47" s="90">
        <f>SUM(CK15:CK46)</f>
        <v>13474</v>
      </c>
      <c r="CM47" s="90">
        <f>SUM(CM15:CM46)</f>
        <v>3916</v>
      </c>
      <c r="CO47" s="90">
        <f>SUM(CO15:CO46)</f>
        <v>260235</v>
      </c>
      <c r="CQ47" s="90">
        <f>SUM(CQ15:CQ46)</f>
        <v>6443</v>
      </c>
      <c r="CS47" s="90">
        <f>SUM(CS15:CS46)</f>
        <v>5240</v>
      </c>
      <c r="CU47" s="90">
        <f>SUM(CU15:CU46)</f>
        <v>7641</v>
      </c>
      <c r="CW47" s="90">
        <f>SUM(CW15:CW46)</f>
        <v>178604</v>
      </c>
      <c r="CY47" s="90">
        <f>SUM(CY15:CY46)</f>
        <v>17425</v>
      </c>
      <c r="DA47" s="90">
        <f>SUM(DA15:DA46)</f>
        <v>23099</v>
      </c>
      <c r="DC47" s="90">
        <f>SUM(DC15:DC46)</f>
        <v>132371</v>
      </c>
      <c r="DE47" s="90">
        <f>SUM(DE15:DE46)</f>
        <v>15221</v>
      </c>
      <c r="DG47" s="90">
        <f>SUM(DG15:DG46)</f>
        <v>104974</v>
      </c>
      <c r="DI47" s="90">
        <f>SUM(DI15:DI46)</f>
        <v>8276</v>
      </c>
      <c r="DM47" s="90">
        <f>SUM(DM15:DM46)</f>
        <v>6976</v>
      </c>
      <c r="DO47" s="90">
        <f>SUM(DO15:DO46)</f>
        <v>7846</v>
      </c>
      <c r="DQ47" s="90">
        <f>SUM(DQ15:DQ46)</f>
        <v>21412</v>
      </c>
      <c r="DS47" s="91">
        <f>SUM(DS15:DS21,DS23:DS45)</f>
        <v>25105</v>
      </c>
      <c r="DU47" s="90">
        <f>SUM(DU15:DU46)</f>
        <v>29499</v>
      </c>
      <c r="DW47" s="91">
        <f>SUM(DW15:DW20,DW22:DW45)</f>
        <v>40813</v>
      </c>
      <c r="DY47" s="90">
        <f>SUM(DY15:DY46)</f>
        <v>17883</v>
      </c>
      <c r="EA47" s="90">
        <f>SUM(EA15:EA46)</f>
        <v>0</v>
      </c>
      <c r="EC47" s="90">
        <f>SUM(EC15:EC46)</f>
        <v>10129</v>
      </c>
      <c r="EE47" s="91">
        <f>SUM(EE15:EE35,EE37:EE45)</f>
        <v>20945</v>
      </c>
      <c r="EG47" s="90">
        <f>SUM(EG15:EG46)</f>
        <v>5151</v>
      </c>
      <c r="EI47" s="90">
        <f>SUM(EI15:EI46)</f>
        <v>286</v>
      </c>
      <c r="EK47" s="90">
        <f>SUM(EK15:EK46)</f>
        <v>13997</v>
      </c>
      <c r="EM47" s="90">
        <f>SUM(EM15:EM46)</f>
        <v>10373</v>
      </c>
      <c r="EO47" s="90">
        <f>SUM(EO15:EO46)</f>
        <v>11629</v>
      </c>
      <c r="EQ47" s="90">
        <f>SUM(EQ15:EQ46)</f>
        <v>12826</v>
      </c>
      <c r="ES47" s="90">
        <f>SUM(ES15:ES46)</f>
        <v>16747</v>
      </c>
      <c r="EU47" s="90">
        <f>SUM(EU15:EU46)</f>
        <v>11934</v>
      </c>
      <c r="EW47" s="90">
        <f>SUM(EW15:EW46)</f>
        <v>12916</v>
      </c>
      <c r="EY47" s="90">
        <f>SUM(EY15:EY46)</f>
        <v>26327</v>
      </c>
      <c r="FA47" s="90">
        <f>SUM(FA15:FA46)</f>
        <v>41645</v>
      </c>
      <c r="FC47" s="90">
        <f>SUM(FC15:FC46)</f>
        <v>21525</v>
      </c>
      <c r="FE47" s="90">
        <f>SUM(FE15:FE46)</f>
        <v>23264</v>
      </c>
      <c r="FG47" s="90">
        <f>SUM(FG15:FG46)</f>
        <v>19642</v>
      </c>
      <c r="FI47" s="90">
        <f>SUM(FI15:FI46)</f>
        <v>15241</v>
      </c>
      <c r="FK47" s="90">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3"/>
      <c r="B1" s="103"/>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01" t="s">
        <v>347</v>
      </c>
      <c r="D2" s="301"/>
      <c r="E2" s="301" t="s">
        <v>348</v>
      </c>
      <c r="F2" s="301"/>
      <c r="G2" s="301" t="s">
        <v>349</v>
      </c>
      <c r="H2" s="301"/>
      <c r="I2" s="301" t="s">
        <v>350</v>
      </c>
      <c r="J2" s="301"/>
      <c r="K2" s="301" t="s">
        <v>351</v>
      </c>
      <c r="L2" s="301"/>
      <c r="M2" s="301" t="s">
        <v>352</v>
      </c>
      <c r="N2" s="301"/>
      <c r="O2" s="301" t="s">
        <v>353</v>
      </c>
      <c r="P2" s="301"/>
      <c r="Q2" s="301" t="s">
        <v>354</v>
      </c>
      <c r="R2" s="301"/>
      <c r="S2" s="301" t="s">
        <v>355</v>
      </c>
      <c r="T2" s="301"/>
      <c r="V2" s="301" t="s">
        <v>356</v>
      </c>
      <c r="W2" s="301"/>
      <c r="X2" s="301" t="s">
        <v>357</v>
      </c>
      <c r="Y2" s="301"/>
      <c r="Z2" s="301" t="s">
        <v>358</v>
      </c>
      <c r="AA2" s="301"/>
      <c r="AB2" s="301" t="s">
        <v>359</v>
      </c>
      <c r="AC2" s="301"/>
      <c r="AD2" s="301" t="s">
        <v>360</v>
      </c>
      <c r="AE2" s="301"/>
      <c r="AF2" s="301" t="s">
        <v>361</v>
      </c>
      <c r="AG2" s="301"/>
      <c r="AH2" s="301" t="s">
        <v>362</v>
      </c>
      <c r="AI2" s="301"/>
      <c r="AJ2" s="301" t="s">
        <v>363</v>
      </c>
      <c r="AK2" s="301"/>
      <c r="AL2" s="301" t="s">
        <v>364</v>
      </c>
      <c r="AM2" s="301"/>
      <c r="AO2" s="301" t="s">
        <v>365</v>
      </c>
      <c r="AP2" s="301"/>
      <c r="AQ2" s="301" t="s">
        <v>366</v>
      </c>
      <c r="AR2" s="301"/>
      <c r="AS2" s="301" t="s">
        <v>367</v>
      </c>
      <c r="AT2" s="301"/>
      <c r="AU2" s="301" t="s">
        <v>368</v>
      </c>
      <c r="AV2" s="301"/>
      <c r="AW2" s="301" t="s">
        <v>369</v>
      </c>
      <c r="AX2" s="301"/>
      <c r="AY2" s="301" t="s">
        <v>370</v>
      </c>
      <c r="AZ2" s="301"/>
      <c r="BA2" s="301" t="s">
        <v>371</v>
      </c>
      <c r="BB2" s="301"/>
      <c r="BC2" s="301" t="s">
        <v>372</v>
      </c>
      <c r="BD2" s="301"/>
      <c r="BE2" s="301" t="s">
        <v>373</v>
      </c>
      <c r="BF2" s="301"/>
      <c r="BH2" s="301" t="s">
        <v>103</v>
      </c>
      <c r="BI2" s="301"/>
      <c r="BJ2" s="301" t="s">
        <v>374</v>
      </c>
      <c r="BK2" s="301"/>
      <c r="BL2" s="301" t="s">
        <v>375</v>
      </c>
      <c r="BM2" s="301"/>
      <c r="BN2" s="301" t="s">
        <v>376</v>
      </c>
      <c r="BO2" s="301"/>
      <c r="BP2" s="301" t="s">
        <v>377</v>
      </c>
      <c r="BQ2" s="301"/>
      <c r="BR2" s="301" t="s">
        <v>378</v>
      </c>
      <c r="BS2" s="301"/>
      <c r="BT2" s="301" t="s">
        <v>379</v>
      </c>
      <c r="BU2" s="301"/>
      <c r="BV2" s="301" t="s">
        <v>380</v>
      </c>
      <c r="BW2" s="301"/>
      <c r="BX2" s="301" t="s">
        <v>381</v>
      </c>
      <c r="BY2" s="301"/>
      <c r="BZ2" s="301" t="s">
        <v>382</v>
      </c>
      <c r="CA2" s="301"/>
      <c r="CB2" s="301" t="s">
        <v>383</v>
      </c>
      <c r="CC2" s="301"/>
      <c r="CD2" s="301" t="s">
        <v>384</v>
      </c>
      <c r="CE2" s="301"/>
      <c r="CF2" s="301" t="s">
        <v>385</v>
      </c>
      <c r="CG2" s="301"/>
      <c r="CH2" s="301" t="s">
        <v>386</v>
      </c>
      <c r="CI2" s="301"/>
      <c r="CJ2" s="301" t="s">
        <v>387</v>
      </c>
      <c r="CK2" s="301"/>
      <c r="CL2" s="301" t="s">
        <v>388</v>
      </c>
      <c r="CM2" s="301"/>
      <c r="CN2" s="301" t="s">
        <v>389</v>
      </c>
      <c r="CO2" s="301"/>
      <c r="CP2" s="301" t="s">
        <v>390</v>
      </c>
      <c r="CQ2" s="301"/>
      <c r="CR2" s="301" t="s">
        <v>391</v>
      </c>
      <c r="CS2" s="301"/>
    </row>
    <row r="3" spans="1:97" s="53" customFormat="1" ht="49.5" customHeight="1">
      <c r="A3" s="109"/>
      <c r="B3" s="67"/>
      <c r="C3" s="299"/>
      <c r="D3" s="299"/>
      <c r="E3" s="302" t="s">
        <v>110</v>
      </c>
      <c r="F3" s="302"/>
      <c r="G3" s="299"/>
      <c r="H3" s="299"/>
      <c r="I3" s="303" t="s">
        <v>112</v>
      </c>
      <c r="J3" s="303"/>
      <c r="K3" s="299"/>
      <c r="L3" s="299"/>
      <c r="M3" s="299"/>
      <c r="N3" s="299"/>
      <c r="O3" s="299"/>
      <c r="P3" s="299"/>
      <c r="Q3" s="300" t="s">
        <v>113</v>
      </c>
      <c r="R3" s="300"/>
      <c r="S3" s="299"/>
      <c r="T3" s="299"/>
      <c r="U3" s="52"/>
      <c r="V3" s="300" t="s">
        <v>108</v>
      </c>
      <c r="W3" s="300"/>
      <c r="X3" s="299"/>
      <c r="Y3" s="299"/>
      <c r="Z3" s="299"/>
      <c r="AA3" s="299"/>
      <c r="AB3" s="299"/>
      <c r="AC3" s="299"/>
      <c r="AD3" s="299"/>
      <c r="AE3" s="299"/>
      <c r="AF3" s="299"/>
      <c r="AG3" s="299"/>
      <c r="AH3" s="299"/>
      <c r="AI3" s="299"/>
      <c r="AJ3" s="299"/>
      <c r="AK3" s="299"/>
      <c r="AL3" s="299"/>
      <c r="AM3" s="299"/>
      <c r="AN3" s="52"/>
      <c r="AO3" s="302" t="s">
        <v>111</v>
      </c>
      <c r="AP3" s="302"/>
      <c r="AQ3" s="299"/>
      <c r="AR3" s="299"/>
      <c r="AS3" s="299"/>
      <c r="AT3" s="299"/>
      <c r="AU3" s="299"/>
      <c r="AV3" s="299"/>
      <c r="AW3" s="299"/>
      <c r="AX3" s="299"/>
      <c r="AY3" s="299"/>
      <c r="AZ3" s="299"/>
      <c r="BA3" s="299"/>
      <c r="BB3" s="299"/>
      <c r="BC3" s="299"/>
      <c r="BD3" s="299"/>
      <c r="BE3" s="299"/>
      <c r="BF3" s="299"/>
      <c r="BG3" s="52"/>
      <c r="BH3" s="302" t="s">
        <v>109</v>
      </c>
      <c r="BI3" s="302"/>
      <c r="BJ3" s="299"/>
      <c r="BK3" s="299"/>
      <c r="BL3" s="299"/>
      <c r="BM3" s="299"/>
      <c r="BN3" s="299"/>
      <c r="BO3" s="299"/>
      <c r="BP3" s="299"/>
      <c r="BQ3" s="299"/>
      <c r="BR3" s="299"/>
      <c r="BS3" s="299"/>
      <c r="BT3" s="299"/>
      <c r="BU3" s="299"/>
      <c r="BV3" s="299"/>
      <c r="BW3" s="299"/>
      <c r="BX3" s="299"/>
      <c r="BY3" s="299"/>
      <c r="BZ3" s="299"/>
      <c r="CA3" s="299"/>
      <c r="CB3" s="299"/>
      <c r="CC3" s="299"/>
      <c r="CD3" s="299"/>
      <c r="CE3" s="299"/>
      <c r="CF3" s="299"/>
      <c r="CG3" s="299"/>
      <c r="CH3" s="299"/>
      <c r="CI3" s="299"/>
      <c r="CJ3" s="299"/>
      <c r="CK3" s="299"/>
      <c r="CL3" s="299"/>
      <c r="CM3" s="299"/>
      <c r="CN3" s="299"/>
      <c r="CO3" s="299"/>
      <c r="CP3" s="299"/>
      <c r="CQ3" s="299"/>
      <c r="CR3" s="299"/>
      <c r="CS3" s="299"/>
    </row>
    <row r="4" spans="1:97" s="56" customFormat="1" ht="50.1" customHeight="1">
      <c r="A4" s="57" t="s">
        <v>98</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2022-06-04T12:46:09Z</dcterms:modified>
  <cp:category/>
  <cp:contentStatus/>
</cp:coreProperties>
</file>