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8D982F95-6294-4BCF-8C80-081175D9899E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Febr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8" i="2" l="1"/>
  <c r="Y28" i="2"/>
  <c r="W28" i="2"/>
  <c r="U28" i="2"/>
  <c r="N28" i="2"/>
  <c r="G28" i="2"/>
  <c r="E28" i="2"/>
  <c r="C28" i="2"/>
  <c r="E29" i="3" l="1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29" i="3" l="1"/>
  <c r="C29" i="2"/>
  <c r="Y13" i="2" l="1"/>
  <c r="Y12" i="2"/>
  <c r="O29" i="3"/>
  <c r="P29" i="3"/>
  <c r="M29" i="3"/>
  <c r="K29" i="3"/>
  <c r="I29" i="3"/>
  <c r="G29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9" i="2"/>
  <c r="U2" i="2"/>
  <c r="G29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AD31" i="2" l="1"/>
  <c r="AC31" i="2"/>
  <c r="AA31" i="2"/>
  <c r="T31" i="2"/>
  <c r="N31" i="2"/>
  <c r="K30" i="2"/>
  <c r="K29" i="2"/>
  <c r="K28" i="2"/>
  <c r="H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1" i="2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H29" i="2"/>
  <c r="I29" i="2" s="1"/>
  <c r="J28" i="2" s="1"/>
  <c r="G28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1" i="2"/>
  <c r="H4" i="2"/>
  <c r="I4" i="2" s="1"/>
  <c r="H8" i="2"/>
  <c r="I8" i="2" s="1"/>
  <c r="H12" i="2"/>
  <c r="I12" i="2" s="1"/>
  <c r="C31" i="2"/>
  <c r="J27" i="2" l="1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29" i="2"/>
  <c r="J6" i="2"/>
  <c r="J9" i="2"/>
  <c r="J20" i="2"/>
  <c r="J25" i="2"/>
  <c r="J23" i="2"/>
  <c r="J17" i="2"/>
  <c r="J4" i="2"/>
  <c r="J3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<sst xmlns="http://schemas.openxmlformats.org/spreadsheetml/2006/main" count="74" uniqueCount="40">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</sst>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activeCell="D29" sqref="D2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2</v>
      </c>
      <c r="D2" s="4">
        <v>2025</v>
      </c>
      <c r="E2" s="96">
        <f>IF('February 2025'!C2&lt;0,"0",'February 2025'!C2)+(IF('February 2025'!E2&lt;0,"0",'February 2025'!E2)-(IF('February 2025'!G2&lt;0,"0",'February 2025'!G2)))</f>
        <v>4724</v>
      </c>
      <c r="F2" s="110">
        <f>('February 2025'!C2*0.27)/('February 2025'!C2+'February 2025'!E2)</f>
        <v>0.21833192209991534</v>
      </c>
      <c r="G2" s="97">
        <f>'February 2025'!U2</f>
        <v>175</v>
      </c>
      <c r="H2" s="113">
        <v>0.62</v>
      </c>
      <c r="I2" s="98">
        <f>'February 2025'!W2</f>
        <v>76</v>
      </c>
      <c r="J2" s="99">
        <v>2.42</v>
      </c>
      <c r="K2" s="106">
        <f>'February 2025'!AB2*5.04</f>
        <v>6048</v>
      </c>
      <c r="L2" s="116">
        <v>0.11509999999999999</v>
      </c>
      <c r="M2" s="107">
        <f>'February 2025'!M2</f>
        <v>0</v>
      </c>
      <c r="N2" s="119">
        <v>0.88</v>
      </c>
      <c r="O2" s="100">
        <f>'February 2025'!AC2</f>
        <v>109</v>
      </c>
      <c r="P2" s="100">
        <f>'February 2025'!AD2</f>
        <v>199</v>
      </c>
    </row>
    <row r="3" spans="1:16" ht="14.3" x14ac:dyDescent="0.25">
      <c r="A3" s="95" t="s">
        <v>37</v>
      </c>
      <c r="B3" s="5">
        <f>B2+1</f>
        <v>2</v>
      </c>
      <c r="C3" s="122">
        <v>2</v>
      </c>
      <c r="D3" s="4">
        <v>2025</v>
      </c>
      <c r="E3" s="96">
        <f>IF('February 2025'!C3&lt;0,"0",'February 2025'!C3)+(IF('February 2025'!E3&lt;0,"0",'February 2025'!E3)-(IF('February 2025'!G3&lt;0,"0",'February 2025'!G3)))</f>
        <v>4425</v>
      </c>
      <c r="F3" s="110">
        <f>('February 2025'!C3*0.27)/('February 2025'!C3+'February 2025'!E3)</f>
        <v>0.25413559322033902</v>
      </c>
      <c r="G3" s="97">
        <f>'February 2025'!U3</f>
        <v>45</v>
      </c>
      <c r="H3" s="113">
        <v>0.62</v>
      </c>
      <c r="I3" s="98">
        <f>'February 2025'!W3</f>
        <v>82</v>
      </c>
      <c r="J3" s="99">
        <v>2.42</v>
      </c>
      <c r="K3" s="106">
        <f>'February 2025'!AB3*5.04</f>
        <v>6501.6</v>
      </c>
      <c r="L3" s="116">
        <v>0.11509999999999999</v>
      </c>
      <c r="M3" s="107">
        <f>'February 2025'!M3</f>
        <v>0</v>
      </c>
      <c r="N3" s="119">
        <v>0.88</v>
      </c>
      <c r="O3" s="100">
        <f>'February 2025'!AC3</f>
        <v>63</v>
      </c>
      <c r="P3" s="100">
        <f>'February 2025'!AD3</f>
        <v>104</v>
      </c>
    </row>
    <row r="4" spans="1:16" ht="14.3" x14ac:dyDescent="0.25">
      <c r="A4" s="95" t="s">
        <v>37</v>
      </c>
      <c r="B4" s="5">
        <f t="shared" ref="B4:B28" si="0">B3+1</f>
        <v>3</v>
      </c>
      <c r="C4" s="122">
        <v>2</v>
      </c>
      <c r="D4" s="4">
        <v>2025</v>
      </c>
      <c r="E4" s="96">
        <f>IF('February 2025'!C4&lt;0,"0",'February 2025'!C4)+(IF('February 2025'!E4&lt;0,"0",'February 2025'!E4)-(IF('February 2025'!G4&lt;0,"0",'February 2025'!G4)))</f>
        <v>4275</v>
      </c>
      <c r="F4" s="110">
        <f>('February 2025'!C4*0.27)/('February 2025'!C4+'February 2025'!E4)</f>
        <v>0.23223157894736843</v>
      </c>
      <c r="G4" s="97">
        <f>'February 2025'!U4</f>
        <v>25</v>
      </c>
      <c r="H4" s="113">
        <v>0.62</v>
      </c>
      <c r="I4" s="98">
        <f>'February 2025'!W4</f>
        <v>58</v>
      </c>
      <c r="J4" s="99">
        <v>2.42</v>
      </c>
      <c r="K4" s="106">
        <f>'February 2025'!AB4*5.04</f>
        <v>6350.4</v>
      </c>
      <c r="L4" s="116">
        <v>0.11509999999999999</v>
      </c>
      <c r="M4" s="107">
        <f>'February 2025'!M4</f>
        <v>0</v>
      </c>
      <c r="N4" s="119">
        <v>0.88</v>
      </c>
      <c r="O4" s="100">
        <f>'February 2025'!AC4</f>
        <v>61</v>
      </c>
      <c r="P4" s="100">
        <f>'February 2025'!AD4</f>
        <v>96</v>
      </c>
    </row>
    <row r="5" spans="1:16" ht="14.3" x14ac:dyDescent="0.25">
      <c r="A5" s="95" t="s">
        <v>37</v>
      </c>
      <c r="B5" s="5">
        <f t="shared" si="0"/>
        <v>4</v>
      </c>
      <c r="C5" s="122">
        <v>2</v>
      </c>
      <c r="D5" s="4">
        <v>2025</v>
      </c>
      <c r="E5" s="96">
        <f>IF('February 2025'!C5&lt;0,"0",'February 2025'!C5)+(IF('February 2025'!E5&lt;0,"0",'February 2025'!E5)-(IF('February 2025'!G5&lt;0,"0",'February 2025'!G5)))</f>
        <v>4277</v>
      </c>
      <c r="F5" s="110">
        <f>('February 2025'!C5*0.27)/('February 2025'!C5+'February 2025'!E5)</f>
        <v>0.21356324526537293</v>
      </c>
      <c r="G5" s="97">
        <f>'February 2025'!U5</f>
        <v>25</v>
      </c>
      <c r="H5" s="113">
        <v>0.62</v>
      </c>
      <c r="I5" s="98">
        <f>'February 2025'!W5</f>
        <v>72</v>
      </c>
      <c r="J5" s="99">
        <v>2.42</v>
      </c>
      <c r="K5" s="106">
        <f>'February 2025'!AB5*5.04</f>
        <v>6098.4</v>
      </c>
      <c r="L5" s="116">
        <v>0.11509999999999999</v>
      </c>
      <c r="M5" s="107">
        <f>'February 2025'!M5</f>
        <v>0</v>
      </c>
      <c r="N5" s="119">
        <v>0.88</v>
      </c>
      <c r="O5" s="100">
        <f>'February 2025'!AC5</f>
        <v>71</v>
      </c>
      <c r="P5" s="100">
        <f>'February 2025'!AD5</f>
        <v>103</v>
      </c>
    </row>
    <row r="6" spans="1:16" ht="14.3" x14ac:dyDescent="0.25">
      <c r="A6" s="95" t="s">
        <v>37</v>
      </c>
      <c r="B6" s="5">
        <f t="shared" si="0"/>
        <v>5</v>
      </c>
      <c r="C6" s="122">
        <v>2</v>
      </c>
      <c r="D6" s="4">
        <v>2025</v>
      </c>
      <c r="E6" s="96">
        <f>IF('February 2025'!C6&lt;0,"0",'February 2025'!C6)+(IF('February 2025'!E6&lt;0,"0",'February 2025'!E6)-(IF('February 2025'!G6&lt;0,"0",'February 2025'!G6)))</f>
        <v>4523</v>
      </c>
      <c r="F6" s="110">
        <f>('February 2025'!C6*0.27)/('February 2025'!C6+'February 2025'!E6)</f>
        <v>0.22212469599823129</v>
      </c>
      <c r="G6" s="97">
        <f>'February 2025'!U6</f>
        <v>150</v>
      </c>
      <c r="H6" s="113">
        <v>0.62</v>
      </c>
      <c r="I6" s="98">
        <f>'February 2025'!W6</f>
        <v>58</v>
      </c>
      <c r="J6" s="99">
        <v>2.42</v>
      </c>
      <c r="K6" s="106">
        <f>'February 2025'!AB6*5.04</f>
        <v>6678</v>
      </c>
      <c r="L6" s="116">
        <v>0.11509999999999999</v>
      </c>
      <c r="M6" s="107">
        <f>'February 2025'!M6</f>
        <v>0</v>
      </c>
      <c r="N6" s="119">
        <v>0.88</v>
      </c>
      <c r="O6" s="100">
        <f>'February 2025'!AC6</f>
        <v>84</v>
      </c>
      <c r="P6" s="100">
        <f>'February 2025'!AD6</f>
        <v>128</v>
      </c>
    </row>
    <row r="7" spans="1:16" ht="14.3" x14ac:dyDescent="0.25">
      <c r="A7" s="95" t="s">
        <v>37</v>
      </c>
      <c r="B7" s="5">
        <f t="shared" si="0"/>
        <v>6</v>
      </c>
      <c r="C7" s="122">
        <v>2</v>
      </c>
      <c r="D7" s="4">
        <v>2025</v>
      </c>
      <c r="E7" s="96">
        <f>IF('February 2025'!C7&lt;0,"0",'February 2025'!C7)+(IF('February 2025'!E7&lt;0,"0",'February 2025'!E7)-(IF('February 2025'!G7&lt;0,"0",'February 2025'!G7)))</f>
        <v>4742</v>
      </c>
      <c r="F7" s="110">
        <f>('February 2025'!C7*0.27)/('February 2025'!C7+'February 2025'!E7)</f>
        <v>0.21647827920708562</v>
      </c>
      <c r="G7" s="97">
        <f>'February 2025'!U7</f>
        <v>25</v>
      </c>
      <c r="H7" s="113">
        <v>0.62</v>
      </c>
      <c r="I7" s="98">
        <f>'February 2025'!W7</f>
        <v>66</v>
      </c>
      <c r="J7" s="99">
        <v>2.42</v>
      </c>
      <c r="K7" s="106">
        <f>'February 2025'!AB7*5.04</f>
        <v>7358.4</v>
      </c>
      <c r="L7" s="116">
        <v>0.11509999999999999</v>
      </c>
      <c r="M7" s="107">
        <f>'February 2025'!M7</f>
        <v>0</v>
      </c>
      <c r="N7" s="119">
        <v>0.88</v>
      </c>
      <c r="O7" s="100">
        <f>'February 2025'!AC7</f>
        <v>85</v>
      </c>
      <c r="P7" s="100">
        <f>'February 2025'!AD7</f>
        <v>140</v>
      </c>
    </row>
    <row r="8" spans="1:16" ht="14.3" x14ac:dyDescent="0.25">
      <c r="A8" s="95" t="s">
        <v>37</v>
      </c>
      <c r="B8" s="5">
        <f t="shared" si="0"/>
        <v>7</v>
      </c>
      <c r="C8" s="122">
        <v>2</v>
      </c>
      <c r="D8" s="4">
        <v>2025</v>
      </c>
      <c r="E8" s="96">
        <f>IF('February 2025'!C8&lt;0,"0",'February 2025'!C8)+(IF('February 2025'!E8&lt;0,"0",'February 2025'!E8)-(IF('February 2025'!G8&lt;0,"0",'February 2025'!G8)))</f>
        <v>4750</v>
      </c>
      <c r="F8" s="110">
        <f>('February 2025'!C8*0.27)/('February 2025'!C8+'February 2025'!E8)</f>
        <v>0.23112000000000005</v>
      </c>
      <c r="G8" s="97">
        <f>'February 2025'!U8</f>
        <v>125</v>
      </c>
      <c r="H8" s="113">
        <v>0.62</v>
      </c>
      <c r="I8" s="98">
        <f>'February 2025'!W8</f>
        <v>87</v>
      </c>
      <c r="J8" s="99">
        <v>2.42</v>
      </c>
      <c r="K8" s="106">
        <f>'February 2025'!AB8*5.04</f>
        <v>6930</v>
      </c>
      <c r="L8" s="116">
        <v>0.11509999999999999</v>
      </c>
      <c r="M8" s="107">
        <f>'February 2025'!M8</f>
        <v>0</v>
      </c>
      <c r="N8" s="119">
        <v>0.88</v>
      </c>
      <c r="O8" s="100">
        <f>'February 2025'!AC8</f>
        <v>127</v>
      </c>
      <c r="P8" s="100">
        <f>'February 2025'!AD8</f>
        <v>206</v>
      </c>
    </row>
    <row r="9" spans="1:16" ht="14.3" x14ac:dyDescent="0.25">
      <c r="A9" s="95" t="s">
        <v>37</v>
      </c>
      <c r="B9" s="5">
        <f t="shared" si="0"/>
        <v>8</v>
      </c>
      <c r="C9" s="122">
        <v>2</v>
      </c>
      <c r="D9" s="4">
        <v>2025</v>
      </c>
      <c r="E9" s="96">
        <f>IF('February 2025'!C9&lt;0,"0",'February 2025'!C9)+(IF('February 2025'!E9&lt;0,"0",'February 2025'!E9)-(IF('February 2025'!G9&lt;0,"0",'February 2025'!G9)))</f>
        <v>4962</v>
      </c>
      <c r="F9" s="110">
        <f>('February 2025'!C9*0.27)/('February 2025'!C9+'February 2025'!E9)</f>
        <v>0.21487908101571948</v>
      </c>
      <c r="G9" s="97">
        <f>'February 2025'!U9</f>
        <v>50</v>
      </c>
      <c r="H9" s="113">
        <v>0.62</v>
      </c>
      <c r="I9" s="98">
        <f>'February 2025'!W9</f>
        <v>91</v>
      </c>
      <c r="J9" s="99">
        <v>2.42</v>
      </c>
      <c r="K9" s="106">
        <f>'February 2025'!AB9*5.04</f>
        <v>7358.4</v>
      </c>
      <c r="L9" s="116">
        <v>0.11509999999999999</v>
      </c>
      <c r="M9" s="107">
        <f>'February 2025'!M9</f>
        <v>0</v>
      </c>
      <c r="N9" s="119">
        <v>0.88</v>
      </c>
      <c r="O9" s="100">
        <f>'February 2025'!AC9</f>
        <v>140</v>
      </c>
      <c r="P9" s="100">
        <f>'February 2025'!AD9</f>
        <v>239</v>
      </c>
    </row>
    <row r="10" spans="1:16" ht="14.3" x14ac:dyDescent="0.25">
      <c r="A10" s="95" t="s">
        <v>37</v>
      </c>
      <c r="B10" s="5">
        <f t="shared" si="0"/>
        <v>9</v>
      </c>
      <c r="C10" s="122">
        <v>2</v>
      </c>
      <c r="D10" s="4">
        <v>2025</v>
      </c>
      <c r="E10" s="96">
        <f>IF('February 2025'!C10&lt;0,"0",'February 2025'!C10)+(IF('February 2025'!E10&lt;0,"0",'February 2025'!E10)-(IF('February 2025'!G10&lt;0,"0",'February 2025'!G10)))</f>
        <v>4903</v>
      </c>
      <c r="F10" s="110">
        <f>('February 2025'!C10*0.27)/('February 2025'!C10+'February 2025'!E10)</f>
        <v>0.2472017132367938</v>
      </c>
      <c r="G10" s="97">
        <f>'February 2025'!U10</f>
        <v>25</v>
      </c>
      <c r="H10" s="113">
        <v>0.62</v>
      </c>
      <c r="I10" s="98">
        <f>'February 2025'!W10</f>
        <v>80</v>
      </c>
      <c r="J10" s="99">
        <v>2.42</v>
      </c>
      <c r="K10" s="106">
        <f>'February 2025'!AB10*5.04</f>
        <v>8442</v>
      </c>
      <c r="L10" s="116">
        <v>0.11509999999999999</v>
      </c>
      <c r="M10" s="107">
        <f>'February 2025'!M10</f>
        <v>0</v>
      </c>
      <c r="N10" s="119">
        <v>0.88</v>
      </c>
      <c r="O10" s="100">
        <f>'February 2025'!AC10</f>
        <v>120</v>
      </c>
      <c r="P10" s="100">
        <f>'February 2025'!AD10</f>
        <v>190</v>
      </c>
    </row>
    <row r="11" spans="1:16" ht="14.3" x14ac:dyDescent="0.25">
      <c r="A11" s="95" t="s">
        <v>37</v>
      </c>
      <c r="B11" s="5">
        <f t="shared" si="0"/>
        <v>10</v>
      </c>
      <c r="C11" s="122">
        <v>2</v>
      </c>
      <c r="D11" s="4">
        <v>2025</v>
      </c>
      <c r="E11" s="96">
        <f>IF('February 2025'!C11&lt;0,"0",'February 2025'!C11)+(IF('February 2025'!E11&lt;0,"0",'February 2025'!E11)-(IF('February 2025'!G11&lt;0,"0",'February 2025'!G11)))</f>
        <v>4780</v>
      </c>
      <c r="F11" s="110">
        <f>('February 2025'!C11*0.27)/('February 2025'!C11+'February 2025'!E11)</f>
        <v>0.23113807531380756</v>
      </c>
      <c r="G11" s="97">
        <f>'February 2025'!U11</f>
        <v>533</v>
      </c>
      <c r="H11" s="113">
        <v>0.62</v>
      </c>
      <c r="I11" s="98">
        <f>'February 2025'!W11</f>
        <v>92</v>
      </c>
      <c r="J11" s="99">
        <v>2.42</v>
      </c>
      <c r="K11" s="106">
        <f>'February 2025'!AB11*5.04</f>
        <v>9198</v>
      </c>
      <c r="L11" s="116">
        <v>0.11509999999999999</v>
      </c>
      <c r="M11" s="107">
        <f>'February 2025'!M11</f>
        <v>0</v>
      </c>
      <c r="N11" s="119">
        <v>0.88</v>
      </c>
      <c r="O11" s="100">
        <f>'February 2025'!AC11</f>
        <v>121</v>
      </c>
      <c r="P11" s="100">
        <f>'February 2025'!AD11</f>
        <v>188</v>
      </c>
    </row>
    <row r="12" spans="1:16" ht="14.3" x14ac:dyDescent="0.25">
      <c r="A12" s="95" t="s">
        <v>37</v>
      </c>
      <c r="B12" s="5">
        <f t="shared" si="0"/>
        <v>11</v>
      </c>
      <c r="C12" s="122">
        <v>2</v>
      </c>
      <c r="D12" s="4">
        <v>2025</v>
      </c>
      <c r="E12" s="96">
        <f>IF('February 2025'!C12&lt;0,"0",'February 2025'!C12)+(IF('February 2025'!E12&lt;0,"0",'February 2025'!E12)-(IF('February 2025'!G12&lt;0,"0",'February 2025'!G12)))</f>
        <v>4866</v>
      </c>
      <c r="F12" s="110">
        <f>('February 2025'!C12*0.27)/('February 2025'!C12+'February 2025'!E12)</f>
        <v>0.21762022194821209</v>
      </c>
      <c r="G12" s="97">
        <f>'February 2025'!U12</f>
        <v>75</v>
      </c>
      <c r="H12" s="113">
        <v>0.62</v>
      </c>
      <c r="I12" s="98">
        <f>'February 2025'!W12</f>
        <v>86</v>
      </c>
      <c r="J12" s="99">
        <v>2.42</v>
      </c>
      <c r="K12" s="106">
        <f>'February 2025'!AB12*5.04</f>
        <v>9399.6</v>
      </c>
      <c r="L12" s="116">
        <v>0.11509999999999999</v>
      </c>
      <c r="M12" s="107">
        <f>'February 2025'!M12</f>
        <v>0</v>
      </c>
      <c r="N12" s="119">
        <v>0.88</v>
      </c>
      <c r="O12" s="100">
        <f>'February 2025'!AC12</f>
        <v>125</v>
      </c>
      <c r="P12" s="100">
        <f>'February 2025'!AD12</f>
        <v>186</v>
      </c>
    </row>
    <row r="13" spans="1:16" ht="14.3" x14ac:dyDescent="0.25">
      <c r="A13" s="95" t="s">
        <v>37</v>
      </c>
      <c r="B13" s="5">
        <f t="shared" si="0"/>
        <v>12</v>
      </c>
      <c r="C13" s="122">
        <v>2</v>
      </c>
      <c r="D13" s="4">
        <v>2025</v>
      </c>
      <c r="E13" s="96">
        <f>IF('February 2025'!C13&lt;0,"0",'February 2025'!C13)+(IF('February 2025'!E13&lt;0,"0",'February 2025'!E13)-(IF('February 2025'!G13&lt;0,"0",'February 2025'!G13)))</f>
        <v>4484</v>
      </c>
      <c r="F13" s="110">
        <f>('February 2025'!C13*0.27)/('February 2025'!C13+'February 2025'!E13)</f>
        <v>0.22586306868867084</v>
      </c>
      <c r="G13" s="97">
        <f>'February 2025'!U13</f>
        <v>75</v>
      </c>
      <c r="H13" s="113">
        <v>0.62</v>
      </c>
      <c r="I13" s="98">
        <f>'February 2025'!W13</f>
        <v>77</v>
      </c>
      <c r="J13" s="99">
        <v>2.42</v>
      </c>
      <c r="K13" s="106">
        <f>'February 2025'!AB13*5.04</f>
        <v>8618.4</v>
      </c>
      <c r="L13" s="116">
        <v>0.11509999999999999</v>
      </c>
      <c r="M13" s="107">
        <f>'February 2025'!M13</f>
        <v>0</v>
      </c>
      <c r="N13" s="119">
        <v>0.88</v>
      </c>
      <c r="O13" s="100">
        <f>'February 2025'!AC13</f>
        <v>81</v>
      </c>
      <c r="P13" s="100">
        <f>'February 2025'!AD13</f>
        <v>129</v>
      </c>
    </row>
    <row r="14" spans="1:16" ht="14.3" x14ac:dyDescent="0.25">
      <c r="A14" s="95" t="s">
        <v>37</v>
      </c>
      <c r="B14" s="5">
        <f t="shared" si="0"/>
        <v>13</v>
      </c>
      <c r="C14" s="122">
        <v>2</v>
      </c>
      <c r="D14" s="4">
        <v>2025</v>
      </c>
      <c r="E14" s="96">
        <f>IF('February 2025'!C14&lt;0,"0",'February 2025'!C14)+(IF('February 2025'!E14&lt;0,"0",'February 2025'!E14)-(IF('February 2025'!G14&lt;0,"0",'February 2025'!G14)))</f>
        <v>4984</v>
      </c>
      <c r="F14" s="110">
        <f>('February 2025'!C14*0.27)/('February 2025'!C14+'February 2025'!E14)</f>
        <v>0.2170184590690209</v>
      </c>
      <c r="G14" s="97">
        <f>'February 2025'!U14</f>
        <v>50</v>
      </c>
      <c r="H14" s="113">
        <v>0.62</v>
      </c>
      <c r="I14" s="98">
        <f>'February 2025'!W14</f>
        <v>68</v>
      </c>
      <c r="J14" s="99">
        <v>2.42</v>
      </c>
      <c r="K14" s="106">
        <f>'February 2025'!AB14*5.04</f>
        <v>-36943.199999999997</v>
      </c>
      <c r="L14" s="116">
        <v>0.11509999999999999</v>
      </c>
      <c r="M14" s="107">
        <f>'February 2025'!M14</f>
        <v>0</v>
      </c>
      <c r="N14" s="119">
        <v>0.88</v>
      </c>
      <c r="O14" s="100">
        <f>'February 2025'!AC14</f>
        <v>85</v>
      </c>
      <c r="P14" s="100">
        <f>'February 2025'!AD14</f>
        <v>139</v>
      </c>
    </row>
    <row r="15" spans="1:16" ht="14.3" x14ac:dyDescent="0.25">
      <c r="A15" s="95" t="s">
        <v>37</v>
      </c>
      <c r="B15" s="5">
        <f t="shared" si="0"/>
        <v>14</v>
      </c>
      <c r="C15" s="122">
        <v>2</v>
      </c>
      <c r="D15" s="4">
        <v>2025</v>
      </c>
      <c r="E15" s="96">
        <f>IF('February 2025'!C15&lt;0,"0",'February 2025'!C15)+(IF('February 2025'!E15&lt;0,"0",'February 2025'!E15)-(IF('February 2025'!G15&lt;0,"0",'February 2025'!G15)))</f>
        <v>5086</v>
      </c>
      <c r="F15" s="110">
        <f>('February 2025'!C15*0.27)/('February 2025'!C15+'February 2025'!E15)</f>
        <v>0.21627605190719623</v>
      </c>
      <c r="G15" s="97">
        <f>'February 2025'!U15</f>
        <v>50</v>
      </c>
      <c r="H15" s="113">
        <v>0.62</v>
      </c>
      <c r="I15" s="98">
        <f>'February 2025'!W15</f>
        <v>83</v>
      </c>
      <c r="J15" s="99">
        <v>2.42</v>
      </c>
      <c r="K15" s="106">
        <f>'February 2025'!AB15*5.04</f>
        <v>4359.6000000000004</v>
      </c>
      <c r="L15" s="116">
        <v>0.11509999999999999</v>
      </c>
      <c r="M15" s="107">
        <f>'February 2025'!M15</f>
        <v>0</v>
      </c>
      <c r="N15" s="119">
        <v>0.88</v>
      </c>
      <c r="O15" s="100">
        <f>'February 2025'!AC15</f>
        <v>117</v>
      </c>
      <c r="P15" s="100">
        <f>'February 2025'!AD15</f>
        <v>203</v>
      </c>
    </row>
    <row r="16" spans="1:16" ht="14.3" x14ac:dyDescent="0.25">
      <c r="A16" s="95" t="s">
        <v>37</v>
      </c>
      <c r="B16" s="5">
        <f t="shared" si="0"/>
        <v>15</v>
      </c>
      <c r="C16" s="122">
        <v>2</v>
      </c>
      <c r="D16" s="4">
        <v>2025</v>
      </c>
      <c r="E16" s="96">
        <f>IF('February 2025'!C16&lt;0,"0",'February 2025'!C16)+(IF('February 2025'!E16&lt;0,"0",'February 2025'!E16)-(IF('February 2025'!G16&lt;0,"0",'February 2025'!G16)))</f>
        <v>5021</v>
      </c>
      <c r="F16" s="110">
        <f>('February 2025'!C16*0.27)/('February 2025'!C16+'February 2025'!E16)</f>
        <v>0.21993626767576183</v>
      </c>
      <c r="G16" s="97">
        <f>'February 2025'!U16</f>
        <v>25</v>
      </c>
      <c r="H16" s="113">
        <v>0.62</v>
      </c>
      <c r="I16" s="98">
        <f>'February 2025'!W16</f>
        <v>89</v>
      </c>
      <c r="J16" s="99">
        <v>2.42</v>
      </c>
      <c r="K16" s="106">
        <f>'February 2025'!AB16*5.04</f>
        <v>4586.3999999999996</v>
      </c>
      <c r="L16" s="116">
        <v>0.11509999999999999</v>
      </c>
      <c r="M16" s="107">
        <f>'February 2025'!M16</f>
        <v>0</v>
      </c>
      <c r="N16" s="119">
        <v>0.88</v>
      </c>
      <c r="O16" s="100">
        <f>'February 2025'!AC16</f>
        <v>155</v>
      </c>
      <c r="P16" s="100">
        <f>'February 2025'!AD16</f>
        <v>288</v>
      </c>
    </row>
    <row r="17" spans="1:16" ht="14.3" x14ac:dyDescent="0.25">
      <c r="A17" s="95" t="s">
        <v>37</v>
      </c>
      <c r="B17" s="5">
        <f t="shared" si="0"/>
        <v>16</v>
      </c>
      <c r="C17" s="122">
        <v>2</v>
      </c>
      <c r="D17" s="4">
        <v>2025</v>
      </c>
      <c r="E17" s="96">
        <f>IF('February 2025'!C17&lt;0,"0",'February 2025'!C17)+(IF('February 2025'!E17&lt;0,"0",'February 2025'!E17)-(IF('February 2025'!G17&lt;0,"0",'February 2025'!G17)))</f>
        <v>4842</v>
      </c>
      <c r="F17" s="110">
        <f>('February 2025'!C17*0.27)/('February 2025'!C17+'February 2025'!E17)</f>
        <v>0.21066914498141265</v>
      </c>
      <c r="G17" s="97">
        <f>'February 2025'!U17</f>
        <v>100</v>
      </c>
      <c r="H17" s="113">
        <v>0.62</v>
      </c>
      <c r="I17" s="98">
        <f>'February 2025'!W17</f>
        <v>78</v>
      </c>
      <c r="J17" s="99">
        <v>2.42</v>
      </c>
      <c r="K17" s="106">
        <f>'February 2025'!AB17*5.04</f>
        <v>3074.4</v>
      </c>
      <c r="L17" s="116">
        <v>0.11509999999999999</v>
      </c>
      <c r="M17" s="107">
        <f>'February 2025'!M17</f>
        <v>0</v>
      </c>
      <c r="N17" s="119">
        <v>0.88</v>
      </c>
      <c r="O17" s="100">
        <f>'February 2025'!AC17</f>
        <v>92</v>
      </c>
      <c r="P17" s="100">
        <f>'February 2025'!AD17</f>
        <v>163</v>
      </c>
    </row>
    <row r="18" spans="1:16" ht="14.3" x14ac:dyDescent="0.25">
      <c r="A18" s="95" t="s">
        <v>37</v>
      </c>
      <c r="B18" s="5">
        <f t="shared" si="0"/>
        <v>17</v>
      </c>
      <c r="C18" s="122">
        <v>2</v>
      </c>
      <c r="D18" s="4">
        <v>2025</v>
      </c>
      <c r="E18" s="96">
        <f>IF('February 2025'!C18&lt;0,"0",'February 2025'!C18)+(IF('February 2025'!E18&lt;0,"0",'February 2025'!E18)-(IF('February 2025'!G18&lt;0,"0",'February 2025'!G18)))</f>
        <v>0</v>
      </c>
      <c r="F18" s="110" t="e">
        <f>('February 2025'!C18*0.27)/('February 2025'!C18+'February 2025'!E18)</f>
        <v>#DIV/0!</v>
      </c>
      <c r="G18" s="97" t="str">
        <f>'February 2025'!U18</f>
        <v>0</v>
      </c>
      <c r="H18" s="113">
        <v>0.62</v>
      </c>
      <c r="I18" s="98" t="str">
        <f>'February 2025'!W18</f>
        <v>0</v>
      </c>
      <c r="J18" s="99">
        <v>2.42</v>
      </c>
      <c r="K18" s="106">
        <f>'February 2025'!AB18*5.04</f>
        <v>0</v>
      </c>
      <c r="L18" s="116">
        <v>0.11509999999999999</v>
      </c>
      <c r="M18" s="107">
        <f>'February 2025'!M18</f>
        <v>0</v>
      </c>
      <c r="N18" s="119">
        <v>0.88</v>
      </c>
      <c r="O18" s="100">
        <f>'February 2025'!AC18</f>
        <v>0</v>
      </c>
      <c r="P18" s="100">
        <f>'February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2</v>
      </c>
      <c r="D19" s="4">
        <v>2025</v>
      </c>
      <c r="E19" s="96">
        <f>IF('February 2025'!C19&lt;0,"0",'February 2025'!C19)+(IF('February 2025'!E19&lt;0,"0",'February 2025'!E19)-(IF('February 2025'!G19&lt;0,"0",'February 2025'!G19)))</f>
        <v>0</v>
      </c>
      <c r="F19" s="110" t="e">
        <f>('February 2025'!C19*0.27)/('February 2025'!C19+'February 2025'!E19)</f>
        <v>#DIV/0!</v>
      </c>
      <c r="G19" s="97" t="str">
        <f>'February 2025'!U19</f>
        <v>0</v>
      </c>
      <c r="H19" s="113">
        <v>0.62</v>
      </c>
      <c r="I19" s="98">
        <f>'February 2025'!W19</f>
        <v>0</v>
      </c>
      <c r="J19" s="99">
        <v>2.42</v>
      </c>
      <c r="K19" s="106">
        <f>'February 2025'!AB19*5.04</f>
        <v>0</v>
      </c>
      <c r="L19" s="116">
        <v>0.11509999999999999</v>
      </c>
      <c r="M19" s="107">
        <f>'February 2025'!M19</f>
        <v>0</v>
      </c>
      <c r="N19" s="119">
        <v>0.88</v>
      </c>
      <c r="O19" s="100">
        <f>'February 2025'!AC19</f>
        <v>0</v>
      </c>
      <c r="P19" s="100">
        <f>'February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2</v>
      </c>
      <c r="D20" s="4">
        <v>2025</v>
      </c>
      <c r="E20" s="96">
        <f>IF('February 2025'!C20&lt;0,"0",'February 2025'!C20)+(IF('February 2025'!E20&lt;0,"0",'February 2025'!E20)-(IF('February 2025'!G20&lt;0,"0",'February 2025'!G20)))</f>
        <v>0</v>
      </c>
      <c r="F20" s="110" t="e">
        <f>('February 2025'!C20*0.27)/('February 2025'!C20+'February 2025'!E20)</f>
        <v>#DIV/0!</v>
      </c>
      <c r="G20" s="97" t="str">
        <f>'February 2025'!U20</f>
        <v>0</v>
      </c>
      <c r="H20" s="113">
        <v>0.62</v>
      </c>
      <c r="I20" s="98">
        <f>'February 2025'!W20</f>
        <v>0</v>
      </c>
      <c r="J20" s="99">
        <v>2.42</v>
      </c>
      <c r="K20" s="106">
        <f>'February 2025'!AB20*5.04</f>
        <v>0</v>
      </c>
      <c r="L20" s="116">
        <v>0.11509999999999999</v>
      </c>
      <c r="M20" s="107">
        <f>'February 2025'!M20</f>
        <v>0</v>
      </c>
      <c r="N20" s="119">
        <v>0.88</v>
      </c>
      <c r="O20" s="100">
        <f>'February 2025'!AC20</f>
        <v>0</v>
      </c>
      <c r="P20" s="100">
        <f>'February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2</v>
      </c>
      <c r="D21" s="4">
        <v>2025</v>
      </c>
      <c r="E21" s="96">
        <f>IF('February 2025'!C21&lt;0,"0",'February 2025'!C21)+(IF('February 2025'!E21&lt;0,"0",'February 2025'!E21)-(IF('February 2025'!G21&lt;0,"0",'February 2025'!G21)))</f>
        <v>0</v>
      </c>
      <c r="F21" s="110" t="e">
        <f>('February 2025'!C21*0.27)/('February 2025'!C21+'February 2025'!E21)</f>
        <v>#DIV/0!</v>
      </c>
      <c r="G21" s="97" t="str">
        <f>'February 2025'!U21</f>
        <v>0</v>
      </c>
      <c r="H21" s="113">
        <v>0.62</v>
      </c>
      <c r="I21" s="98">
        <f>'February 2025'!W21</f>
        <v>0</v>
      </c>
      <c r="J21" s="99">
        <v>2.42</v>
      </c>
      <c r="K21" s="106">
        <f>'February 2025'!AB21*5.04</f>
        <v>0</v>
      </c>
      <c r="L21" s="116">
        <v>0.11509999999999999</v>
      </c>
      <c r="M21" s="107">
        <f>'February 2025'!M21</f>
        <v>0</v>
      </c>
      <c r="N21" s="119">
        <v>0.88</v>
      </c>
      <c r="O21" s="100">
        <f>'February 2025'!AC21</f>
        <v>0</v>
      </c>
      <c r="P21" s="100">
        <f>'February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2</v>
      </c>
      <c r="D22" s="4">
        <v>2025</v>
      </c>
      <c r="E22" s="96">
        <f>IF('February 2025'!C22&lt;0,"0",'February 2025'!C22)+(IF('February 2025'!E22&lt;0,"0",'February 2025'!E22)-(IF('February 2025'!G22&lt;0,"0",'February 2025'!G22)))</f>
        <v>0</v>
      </c>
      <c r="F22" s="110" t="e">
        <f>('February 2025'!C22*0.27)/('February 2025'!C22+'February 2025'!E22)</f>
        <v>#DIV/0!</v>
      </c>
      <c r="G22" s="97" t="str">
        <f>'February 2025'!U22</f>
        <v>0</v>
      </c>
      <c r="H22" s="113">
        <v>0.62</v>
      </c>
      <c r="I22" s="98">
        <f>'February 2025'!W22</f>
        <v>0</v>
      </c>
      <c r="J22" s="99">
        <v>2.42</v>
      </c>
      <c r="K22" s="106">
        <f>'February 2025'!AB22*5.04</f>
        <v>0</v>
      </c>
      <c r="L22" s="116">
        <v>0.11509999999999999</v>
      </c>
      <c r="M22" s="107">
        <f>'February 2025'!M22</f>
        <v>0</v>
      </c>
      <c r="N22" s="119">
        <v>0.88</v>
      </c>
      <c r="O22" s="100">
        <f>'February 2025'!AC22</f>
        <v>0</v>
      </c>
      <c r="P22" s="100">
        <f>'February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2</v>
      </c>
      <c r="D23" s="4">
        <v>2025</v>
      </c>
      <c r="E23" s="96">
        <f>IF('February 2025'!C23&lt;0,"0",'February 2025'!C23)+(IF('February 2025'!E23&lt;0,"0",'February 2025'!E23)-(IF('February 2025'!G23&lt;0,"0",'February 2025'!G23)))</f>
        <v>0</v>
      </c>
      <c r="F23" s="110" t="e">
        <f>('February 2025'!C23*0.27)/('February 2025'!C23+'February 2025'!E23)</f>
        <v>#DIV/0!</v>
      </c>
      <c r="G23" s="97" t="str">
        <f>'February 2025'!U23</f>
        <v>0</v>
      </c>
      <c r="H23" s="113">
        <v>0.62</v>
      </c>
      <c r="I23" s="98">
        <f>'February 2025'!W23</f>
        <v>0</v>
      </c>
      <c r="J23" s="99">
        <v>2.42</v>
      </c>
      <c r="K23" s="106">
        <f>'February 2025'!AB23*5.04</f>
        <v>0</v>
      </c>
      <c r="L23" s="116">
        <v>0.11509999999999999</v>
      </c>
      <c r="M23" s="107">
        <f>'February 2025'!M23</f>
        <v>0</v>
      </c>
      <c r="N23" s="119">
        <v>0.88</v>
      </c>
      <c r="O23" s="100">
        <f>'February 2025'!AC23</f>
        <v>0</v>
      </c>
      <c r="P23" s="100">
        <f>'February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2</v>
      </c>
      <c r="D24" s="4">
        <v>2025</v>
      </c>
      <c r="E24" s="96">
        <f>IF('February 2025'!C24&lt;0,"0",'February 2025'!C24)+(IF('February 2025'!E24&lt;0,"0",'February 2025'!E24)-(IF('February 2025'!G24&lt;0,"0",'February 2025'!G24)))</f>
        <v>0</v>
      </c>
      <c r="F24" s="110" t="e">
        <f>('February 2025'!C24*0.27)/('February 2025'!C24+'February 2025'!E24)</f>
        <v>#DIV/0!</v>
      </c>
      <c r="G24" s="97" t="str">
        <f>'February 2025'!U24</f>
        <v>0</v>
      </c>
      <c r="H24" s="113">
        <v>0.62</v>
      </c>
      <c r="I24" s="98">
        <f>'February 2025'!W24</f>
        <v>0</v>
      </c>
      <c r="J24" s="99">
        <v>2.42</v>
      </c>
      <c r="K24" s="106">
        <f>'February 2025'!AB24*5.04</f>
        <v>0</v>
      </c>
      <c r="L24" s="116">
        <v>0.11509999999999999</v>
      </c>
      <c r="M24" s="107">
        <f>'February 2025'!M24</f>
        <v>0</v>
      </c>
      <c r="N24" s="119">
        <v>0.88</v>
      </c>
      <c r="O24" s="100">
        <f>'February 2025'!AC24</f>
        <v>0</v>
      </c>
      <c r="P24" s="100">
        <f>'February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2</v>
      </c>
      <c r="D25" s="4">
        <v>2025</v>
      </c>
      <c r="E25" s="96">
        <f>IF('February 2025'!C25&lt;0,"0",'February 2025'!C25)+(IF('February 2025'!E25&lt;0,"0",'February 2025'!E25)-(IF('February 2025'!G25&lt;0,"0",'February 2025'!G25)))</f>
        <v>0</v>
      </c>
      <c r="F25" s="110" t="e">
        <f>('February 2025'!C25*0.27)/('February 2025'!C25+'February 2025'!E25)</f>
        <v>#DIV/0!</v>
      </c>
      <c r="G25" s="97" t="str">
        <f>'February 2025'!U25</f>
        <v>0</v>
      </c>
      <c r="H25" s="113">
        <v>0.62</v>
      </c>
      <c r="I25" s="98">
        <f>'February 2025'!W25</f>
        <v>0</v>
      </c>
      <c r="J25" s="99">
        <v>2.42</v>
      </c>
      <c r="K25" s="106">
        <f>'February 2025'!AB25*5.04</f>
        <v>0</v>
      </c>
      <c r="L25" s="116">
        <v>0.11509999999999999</v>
      </c>
      <c r="M25" s="107">
        <f>'February 2025'!M25</f>
        <v>0</v>
      </c>
      <c r="N25" s="119">
        <v>0.88</v>
      </c>
      <c r="O25" s="100">
        <f>'February 2025'!AC25</f>
        <v>0</v>
      </c>
      <c r="P25" s="100">
        <f>'February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2</v>
      </c>
      <c r="D26" s="4">
        <v>2025</v>
      </c>
      <c r="E26" s="96">
        <f>IF('February 2025'!C26&lt;0,"0",'February 2025'!C26)+(IF('February 2025'!E26&lt;0,"0",'February 2025'!E26)-(IF('February 2025'!G26&lt;0,"0",'February 2025'!G26)))</f>
        <v>0</v>
      </c>
      <c r="F26" s="110" t="e">
        <f>('February 2025'!C26*0.27)/('February 2025'!C26+'February 2025'!E26)</f>
        <v>#DIV/0!</v>
      </c>
      <c r="G26" s="97" t="str">
        <f>'February 2025'!U26</f>
        <v>0</v>
      </c>
      <c r="H26" s="113">
        <v>0.62</v>
      </c>
      <c r="I26" s="98">
        <f>'February 2025'!W26</f>
        <v>0</v>
      </c>
      <c r="J26" s="99">
        <v>2.42</v>
      </c>
      <c r="K26" s="106">
        <f>'February 2025'!AB26*5.04</f>
        <v>0</v>
      </c>
      <c r="L26" s="116">
        <v>0.11509999999999999</v>
      </c>
      <c r="M26" s="107">
        <f>'February 2025'!M26</f>
        <v>0</v>
      </c>
      <c r="N26" s="119">
        <v>0.88</v>
      </c>
      <c r="O26" s="100">
        <f>'February 2025'!AC26</f>
        <v>0</v>
      </c>
      <c r="P26" s="100">
        <f>'February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2</v>
      </c>
      <c r="D27" s="4">
        <v>2025</v>
      </c>
      <c r="E27" s="96">
        <f>IF('February 2025'!C27&lt;0,"0",'February 2025'!C27)+(IF('February 2025'!E27&lt;0,"0",'February 2025'!E27)-(IF('February 2025'!G27&lt;0,"0",'February 2025'!G27)))</f>
        <v>0</v>
      </c>
      <c r="F27" s="110" t="e">
        <f>('February 2025'!C27*0.27)/('February 2025'!C27+'February 2025'!E27)</f>
        <v>#DIV/0!</v>
      </c>
      <c r="G27" s="97" t="str">
        <f>'February 2025'!U27</f>
        <v>0</v>
      </c>
      <c r="H27" s="113">
        <v>0.62</v>
      </c>
      <c r="I27" s="98">
        <f>'February 2025'!W27</f>
        <v>0</v>
      </c>
      <c r="J27" s="99">
        <v>2.42</v>
      </c>
      <c r="K27" s="106">
        <f>'February 2025'!AB27*5.04</f>
        <v>0</v>
      </c>
      <c r="L27" s="116">
        <v>0.11509999999999999</v>
      </c>
      <c r="M27" s="107">
        <f>'February 2025'!M27</f>
        <v>0</v>
      </c>
      <c r="N27" s="119">
        <v>0.88</v>
      </c>
      <c r="O27" s="100">
        <f>'February 2025'!AC27</f>
        <v>0</v>
      </c>
      <c r="P27" s="100">
        <f>'February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2</v>
      </c>
      <c r="D28" s="4">
        <v>2025</v>
      </c>
      <c r="E28" s="96">
        <f>IF('February 2025'!C28&lt;0,"0",'February 2025'!C28)+(IF('February 2025'!E28&lt;0,"0",'February 2025'!E28)-(IF('February 2025'!G28&lt;0,"0",'February 2025'!G28)))</f>
        <v>0</v>
      </c>
      <c r="F28" s="110" t="e">
        <f>('February 2025'!C28*0.27)/('February 2025'!C28+'February 2025'!E28)</f>
        <v>#DIV/0!</v>
      </c>
      <c r="G28" s="97" t="str">
        <f>'February 2025'!U28</f>
        <v>0</v>
      </c>
      <c r="H28" s="113">
        <v>0.62</v>
      </c>
      <c r="I28" s="98">
        <f>'February 2025'!W28</f>
        <v>0</v>
      </c>
      <c r="J28" s="99">
        <v>2.42</v>
      </c>
      <c r="K28" s="106">
        <f>'February 2025'!AB28*5.04</f>
        <v>0</v>
      </c>
      <c r="L28" s="116">
        <v>0.11509999999999999</v>
      </c>
      <c r="M28" s="107">
        <f>'February 2025'!M28</f>
        <v>0</v>
      </c>
      <c r="N28" s="119">
        <v>0.88</v>
      </c>
      <c r="O28" s="100">
        <f>'February 2025'!AC28</f>
        <v>0</v>
      </c>
      <c r="P28" s="100">
        <f>'February 2025'!AD28</f>
        <v>0</v>
      </c>
    </row>
    <row r="29" spans="1:16" ht="14.3" x14ac:dyDescent="0.25">
      <c r="A29" s="95" t="s">
        <v>37</v>
      </c>
      <c r="B29" s="5">
        <v>28</v>
      </c>
      <c r="C29" s="122">
        <v>2</v>
      </c>
      <c r="D29" s="4">
        <v>2025</v>
      </c>
      <c r="E29" s="96">
        <f>IF('February 2025'!C30&lt;0,"0",'February 2025'!C30)+(IF('February 2025'!E30&lt;0,"0",'February 2025'!E30)-(IF('February 2025'!G30&lt;0,"0",'February 2025'!G30)))</f>
        <v>0</v>
      </c>
      <c r="F29" s="110" t="e">
        <f>('February 2025'!C30*0.27)/('February 2025'!C30+'February 2025'!E30)</f>
        <v>#DIV/0!</v>
      </c>
      <c r="G29" s="97">
        <f>'February 2025'!U30</f>
        <v>0</v>
      </c>
      <c r="H29" s="113">
        <v>0.62</v>
      </c>
      <c r="I29" s="98">
        <f>'February 2025'!W30</f>
        <v>0</v>
      </c>
      <c r="J29" s="99">
        <v>2.42</v>
      </c>
      <c r="K29" s="106">
        <f>'February 2025'!AB30*5.04</f>
        <v>0</v>
      </c>
      <c r="L29" s="116">
        <v>0.11509999999999999</v>
      </c>
      <c r="M29" s="107">
        <f>'February 2025'!M30</f>
        <v>0</v>
      </c>
      <c r="N29" s="119">
        <v>0.88</v>
      </c>
      <c r="O29" s="100">
        <f>'February 2025'!AC30</f>
        <v>174</v>
      </c>
      <c r="P29" s="100">
        <f>'February 2025'!AD30</f>
        <v>370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K40" s="106"/>
      <c r="L40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topLeftCell="J9" zoomScale="85" zoomScaleNormal="85" workbookViewId="0">
      <selection activeCell="AD18" sqref="AD1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45689</v>
      </c>
      <c r="B2" s="8">
        <v>13530866</v>
      </c>
      <c r="C2" s="14">
        <f>IF((B3-B2)&lt;0,"0",B3-B2)</f>
        <v>3820</v>
      </c>
      <c r="D2" s="9">
        <v>643145</v>
      </c>
      <c r="E2" s="14">
        <f>IF((D3-D2)&lt;0,"0",D3-D2)</f>
        <v>904</v>
      </c>
      <c r="F2" s="27">
        <v>1704</v>
      </c>
      <c r="G2" s="67">
        <f>F3-F2</f>
        <v>0</v>
      </c>
      <c r="H2" s="69">
        <f>C2+E2-G2</f>
        <v>4724</v>
      </c>
      <c r="I2" s="73">
        <f>H2-K2-M2-O2-Q2</f>
        <v>-40966.589999999997</v>
      </c>
      <c r="J2" s="32">
        <f t="shared" ref="J2:J29" si="0">I3-I2</f>
        <v>-299.95999999999913</v>
      </c>
      <c r="K2" s="19">
        <f>A2</f>
        <v>45689</v>
      </c>
      <c r="L2" s="30">
        <v>6432</v>
      </c>
      <c r="M2" s="31">
        <v>0</v>
      </c>
      <c r="N2" s="32">
        <f>IF((L2-L3+M2)=L2,"0",(L2-L3+M2))</f>
        <v>0</v>
      </c>
      <c r="O2" s="83">
        <v>0.74</v>
      </c>
      <c r="P2" s="84">
        <v>0.75</v>
      </c>
      <c r="Q2" s="83">
        <v>0.85</v>
      </c>
      <c r="R2" s="84">
        <v>0.76</v>
      </c>
      <c r="S2" s="38">
        <f>(2500*O2)+(2500*P2)+(500*Q2)+(500*R2)</f>
        <v>4530</v>
      </c>
      <c r="T2" s="123"/>
      <c r="U2" s="32">
        <f>IF((S2-S3+T2)=S2,"0",(S2-S3+T2))</f>
        <v>175</v>
      </c>
      <c r="V2" s="40">
        <v>3440</v>
      </c>
      <c r="W2" s="32">
        <f>IF(V3-V2&lt;0,"0",V3-V2)</f>
        <v>76</v>
      </c>
      <c r="X2" s="43">
        <v>61265</v>
      </c>
      <c r="Y2" s="14">
        <f>IF((X3-X2)&lt;0,"0",X3-X2)</f>
        <v>0</v>
      </c>
      <c r="Z2" s="46">
        <v>10525</v>
      </c>
      <c r="AA2" s="52">
        <v>0</v>
      </c>
      <c r="AB2" s="32">
        <f>IF((Z2-Z3+AA2)=Z2,"0",(Z2-Z3+AA2))</f>
        <v>1200</v>
      </c>
      <c r="AC2" s="12">
        <v>109</v>
      </c>
      <c r="AD2" s="17">
        <v>199</v>
      </c>
    </row>
    <row r="3" spans="1:30" ht="20.7" customHeight="1" x14ac:dyDescent="0.2">
      <c r="A3" s="19">
        <v>45690</v>
      </c>
      <c r="B3" s="10">
        <v>13534686</v>
      </c>
      <c r="C3" s="14">
        <f t="shared" ref="C3:C28" si="1">IF((B4-B3)&lt;0,"0",B4-B3)</f>
        <v>4165</v>
      </c>
      <c r="D3" s="11">
        <v>644049</v>
      </c>
      <c r="E3" s="14">
        <f t="shared" ref="E3:E29" si="2">IF((D4-D3)&lt;0,"0",D4-D3)</f>
        <v>260</v>
      </c>
      <c r="F3" s="27">
        <v>1704</v>
      </c>
      <c r="G3" s="67">
        <f t="shared" ref="G3:G29" si="3">F4-F3</f>
        <v>0</v>
      </c>
      <c r="H3" s="69">
        <f t="shared" ref="H3:H29" si="4">C3+E3-G3</f>
        <v>4425</v>
      </c>
      <c r="I3" s="73">
        <f t="shared" ref="I3:I29" si="5">H3-K3-M3-O3-Q3</f>
        <v>-41266.549999999996</v>
      </c>
      <c r="J3" s="32">
        <f t="shared" si="0"/>
        <v>-150.97000000000116</v>
      </c>
      <c r="K3" s="20">
        <f t="shared" ref="K3:K30" si="6">A3</f>
        <v>45690</v>
      </c>
      <c r="L3" s="33">
        <v>6432</v>
      </c>
      <c r="M3" s="31">
        <v>0</v>
      </c>
      <c r="N3" s="32">
        <f t="shared" ref="N3:N30" si="7">IF((L3-L4+M3)=L3,"0",(L3-L4+M3))</f>
        <v>0</v>
      </c>
      <c r="O3" s="85">
        <v>0.7</v>
      </c>
      <c r="P3" s="86">
        <v>0.72</v>
      </c>
      <c r="Q3" s="85">
        <v>0.85</v>
      </c>
      <c r="R3" s="86">
        <v>0.76</v>
      </c>
      <c r="S3" s="38">
        <f t="shared" ref="S3:S30" si="8">(2500*O3)+(2500*P3)+(500*Q3)+(500*R3)</f>
        <v>4355</v>
      </c>
      <c r="T3" s="123"/>
      <c r="U3" s="32">
        <f t="shared" ref="U3:U29" si="9">IF((S3-S4+T3)=S3,"0",(S3-S4+T3))</f>
        <v>45</v>
      </c>
      <c r="V3" s="41">
        <v>3516</v>
      </c>
      <c r="W3" s="32">
        <f t="shared" ref="W3:W29" si="10">IF(V4-V3&lt;0,"0",V4-V3)</f>
        <v>82</v>
      </c>
      <c r="X3" s="43">
        <v>61265</v>
      </c>
      <c r="Y3" s="14">
        <f t="shared" ref="Y3:Y29" si="11">IF((X4-X3)&lt;0,"0",X4-X3)</f>
        <v>0</v>
      </c>
      <c r="Z3" s="46">
        <v>9325</v>
      </c>
      <c r="AA3" s="52">
        <v>0</v>
      </c>
      <c r="AB3" s="32">
        <f t="shared" ref="AB3:AB29" si="12">IF((Z3-Z4+AA3)=Z3,"0",(Z3-Z4+AA3))</f>
        <v>1290</v>
      </c>
      <c r="AC3" s="13">
        <v>63</v>
      </c>
      <c r="AD3" s="18">
        <v>104</v>
      </c>
    </row>
    <row r="4" spans="1:30" ht="20.7" customHeight="1" x14ac:dyDescent="0.2">
      <c r="A4" s="19">
        <v>45691</v>
      </c>
      <c r="B4" s="10">
        <v>13538851</v>
      </c>
      <c r="C4" s="14">
        <f t="shared" si="1"/>
        <v>3677</v>
      </c>
      <c r="D4" s="11">
        <v>644309</v>
      </c>
      <c r="E4" s="14">
        <f t="shared" si="2"/>
        <v>598</v>
      </c>
      <c r="F4" s="27">
        <v>1704</v>
      </c>
      <c r="G4" s="67">
        <f t="shared" si="3"/>
        <v>0</v>
      </c>
      <c r="H4" s="69">
        <f t="shared" si="4"/>
        <v>4275</v>
      </c>
      <c r="I4" s="73">
        <f t="shared" si="5"/>
        <v>-41417.519999999997</v>
      </c>
      <c r="J4" s="32">
        <f t="shared" si="0"/>
        <v>1</v>
      </c>
      <c r="K4" s="20">
        <f t="shared" si="6"/>
        <v>45691</v>
      </c>
      <c r="L4" s="33">
        <v>6432</v>
      </c>
      <c r="M4" s="31">
        <v>0</v>
      </c>
      <c r="N4" s="32">
        <f t="shared" si="7"/>
        <v>0</v>
      </c>
      <c r="O4" s="85">
        <v>0.7</v>
      </c>
      <c r="P4" s="86">
        <v>0.71</v>
      </c>
      <c r="Q4" s="85">
        <v>0.82</v>
      </c>
      <c r="R4" s="86">
        <v>0.75</v>
      </c>
      <c r="S4" s="38">
        <f t="shared" si="8"/>
        <v>4310</v>
      </c>
      <c r="T4" s="123"/>
      <c r="U4" s="32">
        <f t="shared" si="9"/>
        <v>25</v>
      </c>
      <c r="V4" s="41">
        <v>3598</v>
      </c>
      <c r="W4" s="32">
        <f t="shared" si="10"/>
        <v>58</v>
      </c>
      <c r="X4" s="43">
        <v>61265</v>
      </c>
      <c r="Y4" s="14">
        <f t="shared" si="11"/>
        <v>0</v>
      </c>
      <c r="Z4" s="46">
        <v>8035</v>
      </c>
      <c r="AA4" s="52">
        <v>0</v>
      </c>
      <c r="AB4" s="32">
        <f t="shared" si="12"/>
        <v>1260</v>
      </c>
      <c r="AC4" s="13">
        <v>61</v>
      </c>
      <c r="AD4" s="18">
        <v>96</v>
      </c>
    </row>
    <row r="5" spans="1:30" ht="20.7" customHeight="1" x14ac:dyDescent="0.2">
      <c r="A5" s="19">
        <v>45692</v>
      </c>
      <c r="B5" s="10">
        <v>13542528</v>
      </c>
      <c r="C5" s="14">
        <f t="shared" si="1"/>
        <v>3383</v>
      </c>
      <c r="D5" s="11">
        <v>644907</v>
      </c>
      <c r="E5" s="14">
        <f t="shared" si="2"/>
        <v>894</v>
      </c>
      <c r="F5" s="27">
        <v>1704</v>
      </c>
      <c r="G5" s="67">
        <f t="shared" si="3"/>
        <v>0</v>
      </c>
      <c r="H5" s="69">
        <f t="shared" si="4"/>
        <v>4277</v>
      </c>
      <c r="I5" s="73">
        <f t="shared" si="5"/>
        <v>-41416.519999999997</v>
      </c>
      <c r="J5" s="32">
        <f t="shared" si="0"/>
        <v>245</v>
      </c>
      <c r="K5" s="20">
        <f t="shared" si="6"/>
        <v>45692</v>
      </c>
      <c r="L5" s="33">
        <v>6432</v>
      </c>
      <c r="M5" s="31">
        <v>0</v>
      </c>
      <c r="N5" s="32">
        <f t="shared" si="7"/>
        <v>0</v>
      </c>
      <c r="O5" s="85">
        <v>0.7</v>
      </c>
      <c r="P5" s="86">
        <v>0.7</v>
      </c>
      <c r="Q5" s="85">
        <v>0.82</v>
      </c>
      <c r="R5" s="86">
        <v>0.75</v>
      </c>
      <c r="S5" s="38">
        <f t="shared" si="8"/>
        <v>4285</v>
      </c>
      <c r="T5" s="123"/>
      <c r="U5" s="32">
        <f t="shared" si="9"/>
        <v>25</v>
      </c>
      <c r="V5" s="41">
        <v>3656</v>
      </c>
      <c r="W5" s="32">
        <f t="shared" si="10"/>
        <v>72</v>
      </c>
      <c r="X5" s="43">
        <v>61265</v>
      </c>
      <c r="Y5" s="14">
        <f t="shared" si="11"/>
        <v>0</v>
      </c>
      <c r="Z5" s="46">
        <v>6775</v>
      </c>
      <c r="AA5" s="52">
        <v>0</v>
      </c>
      <c r="AB5" s="32">
        <f t="shared" si="12"/>
        <v>1210</v>
      </c>
      <c r="AC5" s="13">
        <v>71</v>
      </c>
      <c r="AD5" s="18">
        <v>103</v>
      </c>
    </row>
    <row r="6" spans="1:30" ht="20.7" customHeight="1" x14ac:dyDescent="0.2">
      <c r="A6" s="19">
        <v>45693</v>
      </c>
      <c r="B6" s="10">
        <v>13545911</v>
      </c>
      <c r="C6" s="14">
        <f t="shared" si="1"/>
        <v>3721</v>
      </c>
      <c r="D6" s="11">
        <v>645801</v>
      </c>
      <c r="E6" s="14">
        <f t="shared" si="2"/>
        <v>802</v>
      </c>
      <c r="F6" s="27">
        <v>1704</v>
      </c>
      <c r="G6" s="67">
        <f t="shared" si="3"/>
        <v>0</v>
      </c>
      <c r="H6" s="69">
        <f t="shared" si="4"/>
        <v>4523</v>
      </c>
      <c r="I6" s="73">
        <f t="shared" si="5"/>
        <v>-41171.519999999997</v>
      </c>
      <c r="J6" s="32">
        <f t="shared" si="0"/>
        <v>218.0399999999936</v>
      </c>
      <c r="K6" s="20">
        <f t="shared" si="6"/>
        <v>45693</v>
      </c>
      <c r="L6" s="33">
        <v>6432</v>
      </c>
      <c r="M6" s="31">
        <v>0</v>
      </c>
      <c r="N6" s="32">
        <f t="shared" si="7"/>
        <v>0</v>
      </c>
      <c r="O6" s="85">
        <v>0.7</v>
      </c>
      <c r="P6" s="86">
        <v>0.69</v>
      </c>
      <c r="Q6" s="85">
        <v>0.82</v>
      </c>
      <c r="R6" s="86">
        <v>0.75</v>
      </c>
      <c r="S6" s="38">
        <f t="shared" si="8"/>
        <v>4260</v>
      </c>
      <c r="T6" s="123"/>
      <c r="U6" s="32">
        <f t="shared" si="9"/>
        <v>150</v>
      </c>
      <c r="V6" s="41">
        <v>3728</v>
      </c>
      <c r="W6" s="32">
        <f t="shared" si="10"/>
        <v>58</v>
      </c>
      <c r="X6" s="43">
        <v>61265</v>
      </c>
      <c r="Y6" s="14">
        <f t="shared" si="11"/>
        <v>0</v>
      </c>
      <c r="Z6" s="46">
        <v>5565</v>
      </c>
      <c r="AA6" s="52">
        <v>0</v>
      </c>
      <c r="AB6" s="32">
        <f t="shared" si="12"/>
        <v>1325</v>
      </c>
      <c r="AC6" s="13">
        <v>84</v>
      </c>
      <c r="AD6" s="18">
        <v>128</v>
      </c>
    </row>
    <row r="7" spans="1:30" ht="20.7" customHeight="1" x14ac:dyDescent="0.2">
      <c r="A7" s="19">
        <v>45694</v>
      </c>
      <c r="B7" s="10">
        <v>13549632</v>
      </c>
      <c r="C7" s="14">
        <f t="shared" si="1"/>
        <v>3802</v>
      </c>
      <c r="D7" s="11">
        <v>646603</v>
      </c>
      <c r="E7" s="14">
        <f t="shared" si="2"/>
        <v>940</v>
      </c>
      <c r="F7" s="27">
        <v>1704</v>
      </c>
      <c r="G7" s="67">
        <f t="shared" si="3"/>
        <v>0</v>
      </c>
      <c r="H7" s="69">
        <f t="shared" si="4"/>
        <v>4742</v>
      </c>
      <c r="I7" s="73">
        <f t="shared" si="5"/>
        <v>-40953.480000000003</v>
      </c>
      <c r="J7" s="32">
        <f t="shared" si="0"/>
        <v>7.0100000000020373</v>
      </c>
      <c r="K7" s="20">
        <f t="shared" si="6"/>
        <v>45694</v>
      </c>
      <c r="L7" s="33">
        <v>6432</v>
      </c>
      <c r="M7" s="31">
        <v>0</v>
      </c>
      <c r="N7" s="32">
        <f t="shared" si="7"/>
        <v>0</v>
      </c>
      <c r="O7" s="85">
        <v>0.66</v>
      </c>
      <c r="P7" s="86">
        <v>0.67</v>
      </c>
      <c r="Q7" s="85">
        <v>0.82</v>
      </c>
      <c r="R7" s="86">
        <v>0.75</v>
      </c>
      <c r="S7" s="38">
        <f t="shared" si="8"/>
        <v>4110</v>
      </c>
      <c r="T7" s="123"/>
      <c r="U7" s="32">
        <f t="shared" si="9"/>
        <v>25</v>
      </c>
      <c r="V7" s="41">
        <v>3786</v>
      </c>
      <c r="W7" s="32">
        <f t="shared" si="10"/>
        <v>66</v>
      </c>
      <c r="X7" s="43">
        <v>61265</v>
      </c>
      <c r="Y7" s="14">
        <f t="shared" si="11"/>
        <v>0</v>
      </c>
      <c r="Z7" s="46">
        <v>4240</v>
      </c>
      <c r="AA7" s="52">
        <v>0</v>
      </c>
      <c r="AB7" s="32">
        <f t="shared" si="12"/>
        <v>1460</v>
      </c>
      <c r="AC7" s="13">
        <v>85</v>
      </c>
      <c r="AD7" s="18">
        <v>140</v>
      </c>
    </row>
    <row r="8" spans="1:30" ht="20.7" customHeight="1" x14ac:dyDescent="0.2">
      <c r="A8" s="19">
        <v>45695</v>
      </c>
      <c r="B8" s="10">
        <v>13553434</v>
      </c>
      <c r="C8" s="14">
        <f t="shared" si="1"/>
        <v>4066</v>
      </c>
      <c r="D8" s="11">
        <v>647543</v>
      </c>
      <c r="E8" s="14">
        <f t="shared" si="2"/>
        <v>684</v>
      </c>
      <c r="F8" s="27">
        <v>1704</v>
      </c>
      <c r="G8" s="67">
        <f t="shared" si="3"/>
        <v>0</v>
      </c>
      <c r="H8" s="69">
        <f t="shared" si="4"/>
        <v>4750</v>
      </c>
      <c r="I8" s="73">
        <f t="shared" si="5"/>
        <v>-40946.47</v>
      </c>
      <c r="J8" s="32">
        <f t="shared" si="0"/>
        <v>211.02999999999884</v>
      </c>
      <c r="K8" s="20">
        <f t="shared" si="6"/>
        <v>45695</v>
      </c>
      <c r="L8" s="33">
        <v>6432</v>
      </c>
      <c r="M8" s="31">
        <v>0</v>
      </c>
      <c r="N8" s="32">
        <f t="shared" si="7"/>
        <v>0</v>
      </c>
      <c r="O8" s="85">
        <v>0.65</v>
      </c>
      <c r="P8" s="86">
        <v>0.67</v>
      </c>
      <c r="Q8" s="85">
        <v>0.82</v>
      </c>
      <c r="R8" s="86">
        <v>0.75</v>
      </c>
      <c r="S8" s="38">
        <f t="shared" si="8"/>
        <v>4085</v>
      </c>
      <c r="T8" s="123"/>
      <c r="U8" s="32">
        <f t="shared" si="9"/>
        <v>125</v>
      </c>
      <c r="V8" s="41">
        <v>3852</v>
      </c>
      <c r="W8" s="32">
        <f t="shared" si="10"/>
        <v>87</v>
      </c>
      <c r="X8" s="43">
        <v>61265</v>
      </c>
      <c r="Y8" s="14">
        <f t="shared" si="11"/>
        <v>0</v>
      </c>
      <c r="Z8" s="46">
        <v>2780</v>
      </c>
      <c r="AA8" s="52">
        <v>8010</v>
      </c>
      <c r="AB8" s="32">
        <f t="shared" si="12"/>
        <v>1375</v>
      </c>
      <c r="AC8" s="13">
        <v>127</v>
      </c>
      <c r="AD8" s="18">
        <v>206</v>
      </c>
    </row>
    <row r="9" spans="1:30" ht="20.7" customHeight="1" x14ac:dyDescent="0.2">
      <c r="A9" s="19">
        <v>45696</v>
      </c>
      <c r="B9" s="10">
        <v>13557500</v>
      </c>
      <c r="C9" s="14">
        <f t="shared" si="1"/>
        <v>3949</v>
      </c>
      <c r="D9" s="11">
        <v>648227</v>
      </c>
      <c r="E9" s="14">
        <f t="shared" si="2"/>
        <v>1013</v>
      </c>
      <c r="F9" s="27">
        <v>1704</v>
      </c>
      <c r="G9" s="67">
        <f t="shared" si="3"/>
        <v>0</v>
      </c>
      <c r="H9" s="69">
        <f t="shared" si="4"/>
        <v>4962</v>
      </c>
      <c r="I9" s="73">
        <f t="shared" si="5"/>
        <v>-40735.440000000002</v>
      </c>
      <c r="J9" s="32">
        <f t="shared" si="0"/>
        <v>-59.989999999997963</v>
      </c>
      <c r="K9" s="20">
        <f t="shared" si="6"/>
        <v>45696</v>
      </c>
      <c r="L9" s="33">
        <v>6432</v>
      </c>
      <c r="M9" s="31">
        <v>0</v>
      </c>
      <c r="N9" s="32">
        <f t="shared" si="7"/>
        <v>0</v>
      </c>
      <c r="O9" s="85">
        <v>0.62</v>
      </c>
      <c r="P9" s="86">
        <v>0.65</v>
      </c>
      <c r="Q9" s="85">
        <v>0.82</v>
      </c>
      <c r="R9" s="86">
        <v>0.75</v>
      </c>
      <c r="S9" s="38">
        <f t="shared" si="8"/>
        <v>3960</v>
      </c>
      <c r="T9" s="123"/>
      <c r="U9" s="32">
        <f t="shared" si="9"/>
        <v>50</v>
      </c>
      <c r="V9" s="41">
        <v>3939</v>
      </c>
      <c r="W9" s="32">
        <f t="shared" si="10"/>
        <v>91</v>
      </c>
      <c r="X9" s="43">
        <v>61265</v>
      </c>
      <c r="Y9" s="14">
        <f t="shared" si="11"/>
        <v>0</v>
      </c>
      <c r="Z9" s="47">
        <v>9415</v>
      </c>
      <c r="AA9" s="52">
        <v>0</v>
      </c>
      <c r="AB9" s="32">
        <f t="shared" si="12"/>
        <v>1460</v>
      </c>
      <c r="AC9" s="13">
        <v>140</v>
      </c>
      <c r="AD9" s="18">
        <v>239</v>
      </c>
    </row>
    <row r="10" spans="1:30" ht="20.7" customHeight="1" x14ac:dyDescent="0.2">
      <c r="A10" s="19">
        <v>45697</v>
      </c>
      <c r="B10" s="10">
        <v>13561449</v>
      </c>
      <c r="C10" s="14">
        <f t="shared" si="1"/>
        <v>4489</v>
      </c>
      <c r="D10" s="11">
        <v>649240</v>
      </c>
      <c r="E10" s="14">
        <f t="shared" si="2"/>
        <v>414</v>
      </c>
      <c r="F10" s="27">
        <v>1704</v>
      </c>
      <c r="G10" s="67">
        <f t="shared" si="3"/>
        <v>0</v>
      </c>
      <c r="H10" s="69">
        <f t="shared" si="4"/>
        <v>4903</v>
      </c>
      <c r="I10" s="73">
        <f t="shared" si="5"/>
        <v>-40795.43</v>
      </c>
      <c r="J10" s="32">
        <f t="shared" si="0"/>
        <v>-124</v>
      </c>
      <c r="K10" s="20">
        <f t="shared" si="6"/>
        <v>45697</v>
      </c>
      <c r="L10" s="33">
        <v>6432</v>
      </c>
      <c r="M10" s="31">
        <v>0</v>
      </c>
      <c r="N10" s="32">
        <f t="shared" si="7"/>
        <v>0</v>
      </c>
      <c r="O10" s="85">
        <v>0.61</v>
      </c>
      <c r="P10" s="86">
        <v>0.64</v>
      </c>
      <c r="Q10" s="85">
        <v>0.82</v>
      </c>
      <c r="R10" s="86">
        <v>0.75</v>
      </c>
      <c r="S10" s="38">
        <f t="shared" si="8"/>
        <v>3910</v>
      </c>
      <c r="T10" s="123"/>
      <c r="U10" s="32">
        <f t="shared" si="9"/>
        <v>25</v>
      </c>
      <c r="V10" s="41">
        <v>4030</v>
      </c>
      <c r="W10" s="32">
        <f t="shared" si="10"/>
        <v>80</v>
      </c>
      <c r="X10" s="43">
        <v>61265</v>
      </c>
      <c r="Y10" s="14">
        <f t="shared" si="11"/>
        <v>0</v>
      </c>
      <c r="Z10" s="47">
        <v>7955</v>
      </c>
      <c r="AA10" s="52">
        <v>0</v>
      </c>
      <c r="AB10" s="32">
        <f t="shared" si="12"/>
        <v>1675</v>
      </c>
      <c r="AC10" s="13">
        <v>120</v>
      </c>
      <c r="AD10" s="18">
        <v>190</v>
      </c>
    </row>
    <row r="11" spans="1:30" ht="20.7" customHeight="1" x14ac:dyDescent="0.2">
      <c r="A11" s="19">
        <v>45698</v>
      </c>
      <c r="B11" s="10">
        <v>13565938</v>
      </c>
      <c r="C11" s="14">
        <f t="shared" si="1"/>
        <v>4092</v>
      </c>
      <c r="D11" s="11">
        <v>649654</v>
      </c>
      <c r="E11" s="14">
        <f t="shared" si="2"/>
        <v>688</v>
      </c>
      <c r="F11" s="27">
        <v>1704</v>
      </c>
      <c r="G11" s="67">
        <f t="shared" si="3"/>
        <v>0</v>
      </c>
      <c r="H11" s="69">
        <f t="shared" si="4"/>
        <v>4780</v>
      </c>
      <c r="I11" s="73">
        <f t="shared" si="5"/>
        <v>-40919.43</v>
      </c>
      <c r="J11" s="32">
        <f t="shared" si="0"/>
        <v>84.80000000000291</v>
      </c>
      <c r="K11" s="20">
        <f t="shared" si="6"/>
        <v>45698</v>
      </c>
      <c r="L11" s="33">
        <v>6432</v>
      </c>
      <c r="M11" s="31">
        <v>0</v>
      </c>
      <c r="N11" s="32">
        <f t="shared" si="7"/>
        <v>0</v>
      </c>
      <c r="O11" s="85">
        <v>0.61</v>
      </c>
      <c r="P11" s="86">
        <v>0.63</v>
      </c>
      <c r="Q11" s="85">
        <v>0.82</v>
      </c>
      <c r="R11" s="86">
        <v>0.75</v>
      </c>
      <c r="S11" s="38">
        <f t="shared" si="8"/>
        <v>3885</v>
      </c>
      <c r="T11" s="123">
        <v>1408</v>
      </c>
      <c r="U11" s="32">
        <f t="shared" si="9"/>
        <v>533</v>
      </c>
      <c r="V11" s="41">
        <v>4110</v>
      </c>
      <c r="W11" s="32">
        <f t="shared" si="10"/>
        <v>92</v>
      </c>
      <c r="X11" s="43">
        <v>61265</v>
      </c>
      <c r="Y11" s="14">
        <f t="shared" si="11"/>
        <v>0</v>
      </c>
      <c r="Z11" s="47">
        <v>6280</v>
      </c>
      <c r="AA11" s="52">
        <v>0</v>
      </c>
      <c r="AB11" s="32">
        <f t="shared" si="12"/>
        <v>1825</v>
      </c>
      <c r="AC11" s="13">
        <v>121</v>
      </c>
      <c r="AD11" s="18">
        <v>188</v>
      </c>
    </row>
    <row r="12" spans="1:30" ht="20.7" customHeight="1" x14ac:dyDescent="0.2">
      <c r="A12" s="19">
        <v>45699</v>
      </c>
      <c r="B12" s="10">
        <v>13570030</v>
      </c>
      <c r="C12" s="14">
        <f t="shared" si="1"/>
        <v>3922</v>
      </c>
      <c r="D12" s="11">
        <v>650342</v>
      </c>
      <c r="E12" s="14">
        <f t="shared" si="2"/>
        <v>944</v>
      </c>
      <c r="F12" s="27">
        <v>1704</v>
      </c>
      <c r="G12" s="67">
        <f t="shared" si="3"/>
        <v>0</v>
      </c>
      <c r="H12" s="69">
        <f t="shared" si="4"/>
        <v>4866</v>
      </c>
      <c r="I12" s="73">
        <f t="shared" si="5"/>
        <v>-40834.629999999997</v>
      </c>
      <c r="J12" s="32">
        <f t="shared" si="0"/>
        <v>-382.9800000000032</v>
      </c>
      <c r="K12" s="20">
        <f t="shared" si="6"/>
        <v>45699</v>
      </c>
      <c r="L12" s="33">
        <v>6432</v>
      </c>
      <c r="M12" s="34">
        <v>0</v>
      </c>
      <c r="N12" s="32">
        <f t="shared" si="7"/>
        <v>0</v>
      </c>
      <c r="O12" s="85">
        <v>0.81</v>
      </c>
      <c r="P12" s="86">
        <v>0.78</v>
      </c>
      <c r="Q12" s="85">
        <v>0.82</v>
      </c>
      <c r="R12" s="86">
        <v>0.75</v>
      </c>
      <c r="S12" s="38">
        <f t="shared" si="8"/>
        <v>4760</v>
      </c>
      <c r="T12" s="123"/>
      <c r="U12" s="32">
        <f t="shared" si="9"/>
        <v>75</v>
      </c>
      <c r="V12" s="41">
        <v>4202</v>
      </c>
      <c r="W12" s="32">
        <f t="shared" si="10"/>
        <v>86</v>
      </c>
      <c r="X12" s="43">
        <v>61265</v>
      </c>
      <c r="Y12" s="14">
        <f t="shared" si="11"/>
        <v>0</v>
      </c>
      <c r="Z12" s="47">
        <v>4455</v>
      </c>
      <c r="AA12" s="52">
        <v>0</v>
      </c>
      <c r="AB12" s="32">
        <f t="shared" si="12"/>
        <v>1865</v>
      </c>
      <c r="AC12" s="13">
        <v>125</v>
      </c>
      <c r="AD12" s="18">
        <v>186</v>
      </c>
    </row>
    <row r="13" spans="1:30" ht="20.7" customHeight="1" x14ac:dyDescent="0.2">
      <c r="A13" s="19">
        <v>45700</v>
      </c>
      <c r="B13" s="10">
        <v>13573952</v>
      </c>
      <c r="C13" s="14">
        <f t="shared" si="1"/>
        <v>3751</v>
      </c>
      <c r="D13" s="11">
        <v>651286</v>
      </c>
      <c r="E13" s="14">
        <f t="shared" si="2"/>
        <v>733</v>
      </c>
      <c r="F13" s="27">
        <v>1704</v>
      </c>
      <c r="G13" s="67">
        <f t="shared" si="3"/>
        <v>0</v>
      </c>
      <c r="H13" s="69">
        <f t="shared" si="4"/>
        <v>4484</v>
      </c>
      <c r="I13" s="73">
        <f t="shared" si="5"/>
        <v>-41217.61</v>
      </c>
      <c r="J13" s="32">
        <f t="shared" si="0"/>
        <v>499.02000000000407</v>
      </c>
      <c r="K13" s="20">
        <f t="shared" si="6"/>
        <v>45700</v>
      </c>
      <c r="L13" s="33">
        <v>6432</v>
      </c>
      <c r="M13" s="34">
        <v>0</v>
      </c>
      <c r="N13" s="32">
        <f t="shared" si="7"/>
        <v>0</v>
      </c>
      <c r="O13" s="85">
        <v>0.79</v>
      </c>
      <c r="P13" s="86">
        <v>0.77</v>
      </c>
      <c r="Q13" s="85">
        <v>0.82</v>
      </c>
      <c r="R13" s="86">
        <v>0.75</v>
      </c>
      <c r="S13" s="38">
        <f t="shared" si="8"/>
        <v>4685</v>
      </c>
      <c r="T13" s="123"/>
      <c r="U13" s="32">
        <f t="shared" si="9"/>
        <v>75</v>
      </c>
      <c r="V13" s="41">
        <v>4288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2590</v>
      </c>
      <c r="AA13" s="52">
        <v>0</v>
      </c>
      <c r="AB13" s="32">
        <f t="shared" si="12"/>
        <v>1710</v>
      </c>
      <c r="AC13" s="13">
        <v>81</v>
      </c>
      <c r="AD13" s="18">
        <v>129</v>
      </c>
    </row>
    <row r="14" spans="1:30" ht="20.7" customHeight="1" x14ac:dyDescent="0.2">
      <c r="A14" s="19">
        <v>45701</v>
      </c>
      <c r="B14" s="10">
        <v>13577703</v>
      </c>
      <c r="C14" s="14">
        <f t="shared" si="1"/>
        <v>4006</v>
      </c>
      <c r="D14" s="11">
        <v>652019</v>
      </c>
      <c r="E14" s="14">
        <f t="shared" si="2"/>
        <v>978</v>
      </c>
      <c r="F14" s="27">
        <v>1704</v>
      </c>
      <c r="G14" s="67">
        <f t="shared" si="3"/>
        <v>0</v>
      </c>
      <c r="H14" s="69">
        <f t="shared" si="4"/>
        <v>4984</v>
      </c>
      <c r="I14" s="73">
        <f t="shared" si="5"/>
        <v>-40718.589999999997</v>
      </c>
      <c r="J14" s="32">
        <f t="shared" si="0"/>
        <v>101.00999999999476</v>
      </c>
      <c r="K14" s="20">
        <f t="shared" si="6"/>
        <v>45701</v>
      </c>
      <c r="L14" s="33">
        <v>6432</v>
      </c>
      <c r="M14" s="34">
        <v>0</v>
      </c>
      <c r="N14" s="32">
        <f t="shared" si="7"/>
        <v>297</v>
      </c>
      <c r="O14" s="85">
        <v>0.77</v>
      </c>
      <c r="P14" s="86">
        <v>0.76</v>
      </c>
      <c r="Q14" s="85">
        <v>0.82</v>
      </c>
      <c r="R14" s="86">
        <v>0.75</v>
      </c>
      <c r="S14" s="38">
        <f t="shared" si="8"/>
        <v>4610</v>
      </c>
      <c r="T14" s="123"/>
      <c r="U14" s="32">
        <f t="shared" si="9"/>
        <v>50</v>
      </c>
      <c r="V14" s="41">
        <v>4365</v>
      </c>
      <c r="W14" s="32">
        <f t="shared" si="10"/>
        <v>68</v>
      </c>
      <c r="X14" s="43">
        <v>61265</v>
      </c>
      <c r="Y14" s="14">
        <f t="shared" si="11"/>
        <v>0</v>
      </c>
      <c r="Z14" s="47">
        <v>880</v>
      </c>
      <c r="AA14" s="52">
        <v>0</v>
      </c>
      <c r="AB14" s="32">
        <f t="shared" si="12"/>
        <v>-7330</v>
      </c>
      <c r="AC14" s="13">
        <v>85</v>
      </c>
      <c r="AD14" s="18">
        <v>139</v>
      </c>
    </row>
    <row r="15" spans="1:30" ht="20.7" customHeight="1" x14ac:dyDescent="0.2">
      <c r="A15" s="19">
        <v>45702</v>
      </c>
      <c r="B15" s="10">
        <v>13581709</v>
      </c>
      <c r="C15" s="14">
        <f t="shared" si="1"/>
        <v>4074</v>
      </c>
      <c r="D15" s="11">
        <v>652997</v>
      </c>
      <c r="E15" s="14">
        <f t="shared" si="2"/>
        <v>1012</v>
      </c>
      <c r="F15" s="27">
        <v>1704</v>
      </c>
      <c r="G15" s="67">
        <f t="shared" si="3"/>
        <v>0</v>
      </c>
      <c r="H15" s="69">
        <f t="shared" si="4"/>
        <v>5086</v>
      </c>
      <c r="I15" s="73">
        <f t="shared" si="5"/>
        <v>-40617.58</v>
      </c>
      <c r="J15" s="32">
        <f t="shared" si="0"/>
        <v>-65.989999999997963</v>
      </c>
      <c r="K15" s="20">
        <f t="shared" si="6"/>
        <v>45702</v>
      </c>
      <c r="L15" s="33">
        <v>6135</v>
      </c>
      <c r="M15" s="34">
        <v>0</v>
      </c>
      <c r="N15" s="32">
        <f t="shared" si="7"/>
        <v>341</v>
      </c>
      <c r="O15" s="85">
        <v>0.76</v>
      </c>
      <c r="P15" s="86">
        <v>0.75</v>
      </c>
      <c r="Q15" s="85">
        <v>0.82</v>
      </c>
      <c r="R15" s="86">
        <v>0.75</v>
      </c>
      <c r="S15" s="38">
        <f t="shared" si="8"/>
        <v>4560</v>
      </c>
      <c r="T15" s="123"/>
      <c r="U15" s="32">
        <f t="shared" si="9"/>
        <v>50</v>
      </c>
      <c r="V15" s="41">
        <v>4433</v>
      </c>
      <c r="W15" s="32">
        <f t="shared" si="10"/>
        <v>83</v>
      </c>
      <c r="X15" s="44">
        <v>61265</v>
      </c>
      <c r="Y15" s="14">
        <f t="shared" si="11"/>
        <v>0</v>
      </c>
      <c r="Z15" s="47">
        <v>8210</v>
      </c>
      <c r="AA15" s="52">
        <v>0</v>
      </c>
      <c r="AB15" s="32">
        <f t="shared" si="12"/>
        <v>865</v>
      </c>
      <c r="AC15" s="13">
        <v>117</v>
      </c>
      <c r="AD15" s="18">
        <v>203</v>
      </c>
    </row>
    <row r="16" spans="1:30" ht="20.7" customHeight="1" x14ac:dyDescent="0.2">
      <c r="A16" s="19">
        <v>45703</v>
      </c>
      <c r="B16" s="10">
        <v>13585783</v>
      </c>
      <c r="C16" s="14">
        <f t="shared" si="1"/>
        <v>4090</v>
      </c>
      <c r="D16" s="11">
        <v>654009</v>
      </c>
      <c r="E16" s="14">
        <f t="shared" si="2"/>
        <v>931</v>
      </c>
      <c r="F16" s="27">
        <v>1704</v>
      </c>
      <c r="G16" s="67">
        <f t="shared" si="3"/>
        <v>0</v>
      </c>
      <c r="H16" s="69">
        <f t="shared" si="4"/>
        <v>5021</v>
      </c>
      <c r="I16" s="73">
        <f t="shared" si="5"/>
        <v>-40683.57</v>
      </c>
      <c r="J16" s="32">
        <f t="shared" si="0"/>
        <v>-180</v>
      </c>
      <c r="K16" s="20">
        <f t="shared" si="6"/>
        <v>45703</v>
      </c>
      <c r="L16" s="33">
        <v>5794</v>
      </c>
      <c r="M16" s="34">
        <v>0</v>
      </c>
      <c r="N16" s="32">
        <f t="shared" si="7"/>
        <v>510</v>
      </c>
      <c r="O16" s="85">
        <v>0.75</v>
      </c>
      <c r="P16" s="86">
        <v>0.74</v>
      </c>
      <c r="Q16" s="85">
        <v>0.82</v>
      </c>
      <c r="R16" s="86">
        <v>0.75</v>
      </c>
      <c r="S16" s="38">
        <f t="shared" si="8"/>
        <v>4510</v>
      </c>
      <c r="T16" s="123"/>
      <c r="U16" s="32">
        <f t="shared" si="9"/>
        <v>25</v>
      </c>
      <c r="V16" s="41">
        <v>4516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7345</v>
      </c>
      <c r="AA16" s="52">
        <v>0</v>
      </c>
      <c r="AB16" s="32">
        <f t="shared" si="12"/>
        <v>910</v>
      </c>
      <c r="AC16" s="13">
        <v>155</v>
      </c>
      <c r="AD16" s="18">
        <v>288</v>
      </c>
    </row>
    <row r="17" spans="1:30" ht="20.7" customHeight="1" x14ac:dyDescent="0.2">
      <c r="A17" s="19">
        <v>45704</v>
      </c>
      <c r="B17" s="10">
        <v>13589873</v>
      </c>
      <c r="C17" s="14">
        <f t="shared" si="1"/>
        <v>3778</v>
      </c>
      <c r="D17" s="11">
        <v>654940</v>
      </c>
      <c r="E17" s="14">
        <f t="shared" si="2"/>
        <v>1064</v>
      </c>
      <c r="F17" s="27">
        <v>1704</v>
      </c>
      <c r="G17" s="67">
        <f t="shared" si="3"/>
        <v>0</v>
      </c>
      <c r="H17" s="69">
        <f t="shared" si="4"/>
        <v>4842</v>
      </c>
      <c r="I17" s="73">
        <f t="shared" si="5"/>
        <v>-40863.57</v>
      </c>
      <c r="J17" s="32">
        <f t="shared" si="0"/>
        <v>-4842.9800000000032</v>
      </c>
      <c r="K17" s="20">
        <f t="shared" si="6"/>
        <v>45704</v>
      </c>
      <c r="L17" s="33">
        <v>5284</v>
      </c>
      <c r="M17" s="34">
        <v>0</v>
      </c>
      <c r="N17" s="32">
        <f t="shared" si="7"/>
        <v>458</v>
      </c>
      <c r="O17" s="85">
        <v>0.75</v>
      </c>
      <c r="P17" s="86">
        <v>0.73</v>
      </c>
      <c r="Q17" s="85">
        <v>0.82</v>
      </c>
      <c r="R17" s="86">
        <v>0.75</v>
      </c>
      <c r="S17" s="38">
        <f t="shared" si="8"/>
        <v>4485</v>
      </c>
      <c r="T17" s="123"/>
      <c r="U17" s="32">
        <f t="shared" si="9"/>
        <v>100</v>
      </c>
      <c r="V17" s="41">
        <v>4605</v>
      </c>
      <c r="W17" s="32">
        <f t="shared" si="10"/>
        <v>78</v>
      </c>
      <c r="X17" s="44">
        <v>61265</v>
      </c>
      <c r="Y17" s="14">
        <f t="shared" si="11"/>
        <v>0</v>
      </c>
      <c r="Z17" s="47">
        <v>6435</v>
      </c>
      <c r="AA17" s="52">
        <v>0</v>
      </c>
      <c r="AB17" s="32">
        <f t="shared" si="12"/>
        <v>610</v>
      </c>
      <c r="AC17" s="13">
        <v>92</v>
      </c>
      <c r="AD17" s="18">
        <v>163</v>
      </c>
    </row>
    <row r="18" spans="1:30" ht="20.7" customHeight="1" x14ac:dyDescent="0.2">
      <c r="A18" s="19">
        <v>45705</v>
      </c>
      <c r="B18" s="10">
        <v>13593651</v>
      </c>
      <c r="C18" s="14" t="str">
        <f t="shared" si="1"/>
        <v>0</v>
      </c>
      <c r="D18" s="11">
        <v>656004</v>
      </c>
      <c r="E18" s="14" t="str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-45706.55</v>
      </c>
      <c r="J18" s="32">
        <f t="shared" si="0"/>
        <v>0.55000000000291038</v>
      </c>
      <c r="K18" s="20">
        <f t="shared" si="6"/>
        <v>45705</v>
      </c>
      <c r="L18" s="33">
        <v>4826</v>
      </c>
      <c r="M18" s="34">
        <v>0</v>
      </c>
      <c r="N18" s="32" t="str">
        <f t="shared" si="7"/>
        <v>0</v>
      </c>
      <c r="O18" s="85">
        <v>0.73</v>
      </c>
      <c r="P18" s="86">
        <v>0.71</v>
      </c>
      <c r="Q18" s="85">
        <v>0.82</v>
      </c>
      <c r="R18" s="86">
        <v>0.75</v>
      </c>
      <c r="S18" s="38">
        <f t="shared" si="8"/>
        <v>4385</v>
      </c>
      <c r="T18" s="123"/>
      <c r="U18" s="32" t="str">
        <f t="shared" si="9"/>
        <v>0</v>
      </c>
      <c r="V18" s="41">
        <v>4683</v>
      </c>
      <c r="W18" s="32" t="str">
        <f t="shared" si="10"/>
        <v>0</v>
      </c>
      <c r="X18" s="44">
        <v>61265</v>
      </c>
      <c r="Y18" s="14" t="str">
        <f t="shared" si="11"/>
        <v>0</v>
      </c>
      <c r="Z18" s="47">
        <v>5825</v>
      </c>
      <c r="AA18" s="52">
        <v>0</v>
      </c>
      <c r="AB18" s="32" t="str">
        <f t="shared" si="12"/>
        <v>0</v>
      </c>
      <c r="AC18" s="13"/>
      <c r="AD18" s="18"/>
    </row>
    <row r="19" spans="1:30" ht="20.7" customHeight="1" x14ac:dyDescent="0.2">
      <c r="A19" s="19">
        <v>45706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-45706</v>
      </c>
      <c r="J19" s="32">
        <f t="shared" si="0"/>
        <v>-1</v>
      </c>
      <c r="K19" s="20">
        <f t="shared" si="6"/>
        <v>45706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>
        <v>0</v>
      </c>
      <c r="AB19" s="32" t="str">
        <f t="shared" si="12"/>
        <v>0</v>
      </c>
      <c r="AC19" s="13"/>
      <c r="AD19" s="18"/>
    </row>
    <row r="20" spans="1:30" ht="20.7" customHeight="1" x14ac:dyDescent="0.2">
      <c r="A20" s="19">
        <v>45707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-45707</v>
      </c>
      <c r="J20" s="32">
        <f t="shared" si="0"/>
        <v>-1</v>
      </c>
      <c r="K20" s="20">
        <f t="shared" si="6"/>
        <v>45707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45708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-45708</v>
      </c>
      <c r="J21" s="32">
        <f t="shared" si="0"/>
        <v>-1</v>
      </c>
      <c r="K21" s="20">
        <f t="shared" si="6"/>
        <v>45708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45709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-45709</v>
      </c>
      <c r="J22" s="32">
        <f t="shared" si="0"/>
        <v>-1</v>
      </c>
      <c r="K22" s="20">
        <f t="shared" si="6"/>
        <v>45709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45710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-45710</v>
      </c>
      <c r="J23" s="32">
        <f t="shared" si="0"/>
        <v>-1</v>
      </c>
      <c r="K23" s="20">
        <f t="shared" si="6"/>
        <v>45710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45711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-45711</v>
      </c>
      <c r="J24" s="32">
        <f t="shared" si="0"/>
        <v>-1</v>
      </c>
      <c r="K24" s="20">
        <f t="shared" si="6"/>
        <v>45711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45712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-45712</v>
      </c>
      <c r="J25" s="32">
        <f t="shared" si="0"/>
        <v>-1</v>
      </c>
      <c r="K25" s="20">
        <f t="shared" si="6"/>
        <v>45712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45713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-45713</v>
      </c>
      <c r="J26" s="32">
        <f t="shared" si="0"/>
        <v>-1</v>
      </c>
      <c r="K26" s="20">
        <f t="shared" si="6"/>
        <v>45713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45714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-45714</v>
      </c>
      <c r="J27" s="32">
        <f t="shared" si="0"/>
        <v>-1</v>
      </c>
      <c r="K27" s="20">
        <f t="shared" si="6"/>
        <v>45714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45715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-45715</v>
      </c>
      <c r="J28" s="32">
        <f t="shared" si="0"/>
        <v>-1</v>
      </c>
      <c r="K28" s="20">
        <f t="shared" si="6"/>
        <v>45715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thickBot="1" x14ac:dyDescent="0.25">
      <c r="A29" s="19">
        <v>45716</v>
      </c>
      <c r="B29" s="10"/>
      <c r="C29" s="14">
        <f t="shared" ref="C29" si="13">IF((B31-B29)&lt;0,"0",B31-B29)</f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-45716</v>
      </c>
      <c r="J29" s="32">
        <f t="shared" si="0"/>
        <v>45716</v>
      </c>
      <c r="K29" s="20">
        <f t="shared" si="6"/>
        <v>45716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thickTop="1" thickBot="1" x14ac:dyDescent="0.25">
      <c r="A30" s="19">
        <v>45717</v>
      </c>
      <c r="B30" s="53"/>
      <c r="C30" s="63"/>
      <c r="D30" s="62"/>
      <c r="E30" s="63"/>
      <c r="F30" s="27">
        <v>1704</v>
      </c>
      <c r="G30" s="56"/>
      <c r="H30" s="71"/>
      <c r="I30" s="64"/>
      <c r="J30" s="63"/>
      <c r="K30" s="61">
        <f t="shared" si="6"/>
        <v>45717</v>
      </c>
      <c r="L30" s="49"/>
      <c r="M30" s="65">
        <v>0</v>
      </c>
      <c r="N30" s="32" t="str">
        <f t="shared" si="7"/>
        <v>0</v>
      </c>
      <c r="O30" s="87"/>
      <c r="P30" s="88"/>
      <c r="Q30" s="87"/>
      <c r="R30" s="88"/>
      <c r="S30" s="38">
        <f t="shared" si="8"/>
        <v>0</v>
      </c>
      <c r="T30" s="54"/>
      <c r="U30" s="63"/>
      <c r="V30" s="60"/>
      <c r="W30" s="63"/>
      <c r="X30" s="59"/>
      <c r="Y30" s="63"/>
      <c r="Z30" s="58"/>
      <c r="AA30" s="55">
        <v>0</v>
      </c>
      <c r="AB30" s="56"/>
      <c r="AC30" s="57">
        <v>174</v>
      </c>
      <c r="AD30" s="57">
        <v>370</v>
      </c>
    </row>
    <row r="31" spans="1:30" s="81" customFormat="1" ht="10.7" thickTop="1" x14ac:dyDescent="0.2">
      <c r="A31" s="75"/>
      <c r="B31" s="75"/>
      <c r="C31" s="76">
        <f>SUM(C2:C30)</f>
        <v>62785</v>
      </c>
      <c r="D31" s="77"/>
      <c r="E31" s="76">
        <f>SUM(E2:E30)</f>
        <v>12859</v>
      </c>
      <c r="F31" s="78"/>
      <c r="G31" s="76">
        <f>SUM(G2:G30)</f>
        <v>0</v>
      </c>
      <c r="H31" s="77">
        <f>SUM(H2:H30)</f>
        <v>75644</v>
      </c>
      <c r="I31" s="76">
        <f>SUM(I2:I29)</f>
        <v>-1204052.0499999998</v>
      </c>
      <c r="J31" s="76">
        <f>SUM(J2:J30)</f>
        <v>40966.589999999997</v>
      </c>
      <c r="K31" s="75"/>
      <c r="L31" s="77"/>
      <c r="M31" s="77"/>
      <c r="N31" s="76">
        <f>SUM(N2:N30)</f>
        <v>1606</v>
      </c>
      <c r="O31" s="75"/>
      <c r="P31" s="75"/>
      <c r="Q31" s="75"/>
      <c r="R31" s="75"/>
      <c r="S31" s="75"/>
      <c r="T31" s="77">
        <f>SUM(T2:T30)</f>
        <v>1408</v>
      </c>
      <c r="U31" s="76">
        <f>SUM(U2:U30)</f>
        <v>1553</v>
      </c>
      <c r="V31" s="75"/>
      <c r="W31" s="76">
        <f>SUM(W2:W30)</f>
        <v>1243</v>
      </c>
      <c r="X31" s="75"/>
      <c r="Y31" s="76">
        <f>SUM(Y2:Y30)</f>
        <v>0</v>
      </c>
      <c r="Z31" s="75"/>
      <c r="AA31" s="75">
        <f>SUM(AA2:AA30)</f>
        <v>8010</v>
      </c>
      <c r="AB31" s="76">
        <f>SUM(AB2:AB30)</f>
        <v>12710</v>
      </c>
      <c r="AC31" s="79">
        <f>SUM(AC2:AC30)</f>
        <v>1810</v>
      </c>
      <c r="AD31" s="80">
        <f>SUM(AD2:AD30)</f>
        <v>3071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2025-02-17T06:30:57Z</dcterms:modified>
  <cp:category/>
  <cp:contentStatus/>
</cp:coreProperties>
</file>