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E32" i="8"/>
  <c r="F32" i="8"/>
  <c r="G32" i="8"/>
  <c r="H32" i="8"/>
  <c r="AD32" i="8" s="1"/>
  <c r="I32" i="8"/>
  <c r="J32" i="8"/>
  <c r="K32" i="8"/>
  <c r="L32" i="8"/>
  <c r="M32" i="8"/>
  <c r="N32" i="8"/>
  <c r="Y32" i="8" s="1"/>
  <c r="O32" i="8"/>
  <c r="P32" i="8"/>
  <c r="Q32" i="8"/>
  <c r="R32" i="8"/>
  <c r="S32" i="8"/>
  <c r="T32" i="8"/>
  <c r="U32" i="8"/>
  <c r="V32" i="8"/>
  <c r="W32" i="8"/>
  <c r="X32" i="8"/>
  <c r="AE32" i="8" l="1"/>
  <c r="Y33" i="1"/>
  <c r="AA33" i="1"/>
  <c r="AC33" i="1"/>
  <c r="AE33" i="1"/>
  <c r="AG33" i="1"/>
  <c r="C33" i="1"/>
  <c r="D33" i="1" s="1"/>
  <c r="F33" i="1"/>
  <c r="T33" i="1" s="1"/>
  <c r="U33" i="1" s="1"/>
  <c r="G33" i="1"/>
  <c r="I33" i="1"/>
  <c r="J33" i="1"/>
  <c r="L33" i="1"/>
  <c r="M33" i="1" s="1"/>
  <c r="O33" i="1"/>
  <c r="P33" i="1"/>
  <c r="R33" i="1"/>
  <c r="S33" i="1"/>
  <c r="Q34" i="1"/>
  <c r="S2" i="1"/>
  <c r="P2" i="1"/>
  <c r="M2" i="1"/>
  <c r="J2" i="1"/>
  <c r="G2" i="1"/>
  <c r="D2" i="1"/>
  <c r="C33" i="5"/>
  <c r="C3" i="5"/>
  <c r="C4" i="5"/>
  <c r="B34" i="4"/>
  <c r="C33" i="3"/>
  <c r="J33" i="3" s="1"/>
  <c r="K33" i="3" s="1"/>
  <c r="E33" i="3"/>
  <c r="G33" i="3"/>
  <c r="I33" i="3"/>
  <c r="W33" i="4"/>
  <c r="X33" i="4" s="1"/>
  <c r="Z33" i="4"/>
  <c r="U34" i="4"/>
  <c r="D33" i="4"/>
  <c r="F33" i="4"/>
  <c r="H33" i="4"/>
  <c r="K33" i="4"/>
  <c r="M33" i="4"/>
  <c r="O33" i="4"/>
  <c r="Q33" i="4"/>
  <c r="S33" i="4"/>
  <c r="I2" i="4"/>
  <c r="T9" i="2"/>
  <c r="T12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B32" i="8"/>
  <c r="B32" i="9"/>
  <c r="AA32" i="8" l="1"/>
  <c r="K12" i="2"/>
  <c r="K11" i="2"/>
  <c r="Z32" i="8"/>
  <c r="K10" i="2"/>
  <c r="K9" i="2"/>
  <c r="K14" i="2"/>
  <c r="K13" i="2"/>
  <c r="T2" i="1"/>
  <c r="U2" i="1" s="1"/>
  <c r="Y33" i="4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G32" i="9" s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E34" i="1" s="1"/>
  <c r="AA21" i="8"/>
  <c r="F3" i="8"/>
  <c r="E3" i="3"/>
  <c r="G29" i="9"/>
  <c r="E34" i="3" l="1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G34" i="3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S34" i="2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C34" i="3" l="1"/>
  <c r="AE11" i="8"/>
  <c r="I11" i="9" s="1"/>
  <c r="C16" i="3"/>
  <c r="AE10" i="8"/>
  <c r="I10" i="9" s="1"/>
  <c r="J15" i="3"/>
  <c r="K15" i="3" s="1"/>
  <c r="K34" i="3" s="1"/>
  <c r="J34" i="3" l="1"/>
  <c r="E15" i="8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I32" i="9" l="1"/>
  <c r="AE28" i="8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P13" i="2"/>
  <c r="Q13" i="2" l="1"/>
  <c r="AC12" i="8" s="1"/>
  <c r="E12" i="9" s="1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P18" i="2" l="1"/>
  <c r="Q17" i="2"/>
  <c r="AC16" i="8" s="1"/>
  <c r="E16" i="9" s="1"/>
  <c r="P19" i="2" l="1"/>
  <c r="Q18" i="2"/>
  <c r="AC17" i="8" s="1"/>
  <c r="E17" i="9" s="1"/>
  <c r="P20" i="2" l="1"/>
  <c r="Q19" i="2"/>
  <c r="AC18" i="8" s="1"/>
  <c r="E18" i="9" s="1"/>
  <c r="P21" i="2" l="1"/>
  <c r="Q20" i="2"/>
  <c r="AC19" i="8" s="1"/>
  <c r="E19" i="9" s="1"/>
  <c r="P22" i="2" l="1"/>
  <c r="Q21" i="2"/>
  <c r="AC20" i="8" s="1"/>
  <c r="E20" i="9" s="1"/>
  <c r="Q22" i="2" l="1"/>
  <c r="AC21" i="8" s="1"/>
  <c r="E21" i="9" s="1"/>
  <c r="P23" i="2"/>
  <c r="P24" i="2" l="1"/>
  <c r="Q23" i="2"/>
  <c r="AC22" i="8" s="1"/>
  <c r="E22" i="9" s="1"/>
  <c r="Q24" i="2" l="1"/>
  <c r="AC23" i="8" s="1"/>
  <c r="E23" i="9" s="1"/>
  <c r="P25" i="2"/>
  <c r="P26" i="2" l="1"/>
  <c r="Q25" i="2"/>
  <c r="AC24" i="8" s="1"/>
  <c r="E24" i="9" s="1"/>
  <c r="Q26" i="2" l="1"/>
  <c r="AC25" i="8" s="1"/>
  <c r="E25" i="9" s="1"/>
  <c r="P27" i="2"/>
  <c r="P28" i="2" l="1"/>
  <c r="Q27" i="2"/>
  <c r="AC26" i="8" s="1"/>
  <c r="E26" i="9" s="1"/>
  <c r="P29" i="2" l="1"/>
  <c r="Q28" i="2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<sst xmlns="http://schemas.openxmlformats.org/spreadsheetml/2006/main" count="512" uniqueCount="150">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</sst>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13" sqref="E13:K13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48539.983187999998</v>
      </c>
      <c r="F5" s="125">
        <v>1.27</v>
      </c>
      <c r="G5" s="35">
        <f>Gas!C6*0.9147</f>
        <v>1952.8844999999999</v>
      </c>
      <c r="H5" s="126">
        <v>3.65</v>
      </c>
      <c r="I5" s="128">
        <f>Submetering!H5+Submetering!AD5+Submetering!AE5</f>
        <v>486</v>
      </c>
      <c r="J5" s="128">
        <v>10.029999999999999</v>
      </c>
      <c r="K5" s="35">
        <f>ELECT.!B6</f>
        <v>263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71805.663052000004</v>
      </c>
      <c r="F6" s="125">
        <v>1.27</v>
      </c>
      <c r="G6" s="35">
        <f>Gas!C7*0.9147</f>
        <v>1865.9879999999998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245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49751.023311999998</v>
      </c>
      <c r="F7" s="125">
        <v>1.27</v>
      </c>
      <c r="G7" s="35">
        <f>Gas!C8*0.9147</f>
        <v>1973.0078999999998</v>
      </c>
      <c r="H7" s="126">
        <v>3.65</v>
      </c>
      <c r="I7" s="128">
        <f>Submetering!H7+Submetering!AD7+Submetering!AE7</f>
        <v>566</v>
      </c>
      <c r="J7" s="128">
        <v>10.029999999999999</v>
      </c>
      <c r="K7" s="35">
        <f>ELECT.!B8</f>
        <v>264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63863.967556000003</v>
      </c>
      <c r="F8" s="125">
        <v>1.27</v>
      </c>
      <c r="G8" s="35">
        <f>Gas!C9*0.9147</f>
        <v>1372.05</v>
      </c>
      <c r="H8" s="126">
        <v>3.65</v>
      </c>
      <c r="I8" s="128">
        <f>Submetering!H8+Submetering!AD8+Submetering!AE8</f>
        <v>546</v>
      </c>
      <c r="J8" s="128">
        <v>10.029999999999999</v>
      </c>
      <c r="K8" s="35">
        <f>ELECT.!B9</f>
        <v>266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37667.719619999996</v>
      </c>
      <c r="F9" s="125">
        <v>1.27</v>
      </c>
      <c r="G9" s="35">
        <f>Gas!C10*0.9147</f>
        <v>1679.3891999999998</v>
      </c>
      <c r="H9" s="126">
        <v>3.65</v>
      </c>
      <c r="I9" s="128">
        <f>Submetering!H9+Submetering!AD9+Submetering!AE9</f>
        <v>496</v>
      </c>
      <c r="J9" s="128">
        <v>10.029999999999999</v>
      </c>
      <c r="K9" s="35">
        <f>ELECT.!B10</f>
        <v>255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65816.414352000007</v>
      </c>
      <c r="F10" s="125">
        <v>1.27</v>
      </c>
      <c r="G10" s="35">
        <f>Gas!C11*0.9147</f>
        <v>2005.9370999999999</v>
      </c>
      <c r="H10" s="126">
        <v>3.65</v>
      </c>
      <c r="I10" s="128">
        <f>Submetering!H10+Submetering!AD10+Submetering!AE10</f>
        <v>546</v>
      </c>
      <c r="J10" s="128">
        <v>10.029999999999999</v>
      </c>
      <c r="K10" s="35">
        <f>ELECT.!B11</f>
        <v>265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52616.508000000002</v>
      </c>
      <c r="F11" s="125">
        <v>1.27</v>
      </c>
      <c r="G11" s="35">
        <f>Gas!C12*0.9147</f>
        <v>1573.2839999999999</v>
      </c>
      <c r="H11" s="126">
        <v>3.65</v>
      </c>
      <c r="I11" s="128">
        <f>Submetering!H11+Submetering!AD11+Submetering!AE11</f>
        <v>546</v>
      </c>
      <c r="J11" s="128">
        <v>10.029999999999999</v>
      </c>
      <c r="K11" s="35">
        <f>ELECT.!B12</f>
        <v>240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62970.858708</v>
      </c>
      <c r="F12" s="125">
        <v>1.27</v>
      </c>
      <c r="G12" s="35">
        <f>Gas!C13*0.9147</f>
        <v>1543.0989</v>
      </c>
      <c r="H12" s="126">
        <v>3.65</v>
      </c>
      <c r="I12" s="128">
        <f>Submetering!H12+Submetering!AD12+Submetering!AE12</f>
        <v>525.99999999999989</v>
      </c>
      <c r="J12" s="128">
        <v>10.029999999999999</v>
      </c>
      <c r="K12" s="35">
        <f>ELECT.!B13</f>
        <v>168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35534.443616000004</v>
      </c>
      <c r="F13" s="125">
        <v>1.27</v>
      </c>
      <c r="G13" s="35">
        <f>Gas!C14*0.9147</f>
        <v>1564.1369999999999</v>
      </c>
      <c r="H13" s="126">
        <v>3.65</v>
      </c>
      <c r="I13" s="128">
        <f>Submetering!H13+Submetering!AD13+Submetering!AE13</f>
        <v>526</v>
      </c>
      <c r="J13" s="128">
        <v>10.029999999999999</v>
      </c>
      <c r="K13" s="35">
        <f>ELECT.!B14</f>
        <v>235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Gas!C34*0.9147</f>
        <v>19392.554700000001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Y2" sqref="Y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680</v>
      </c>
      <c r="F5" s="35">
        <f>Water!E6</f>
        <v>360</v>
      </c>
      <c r="G5" s="35">
        <f>Water!G6</f>
        <v>297</v>
      </c>
      <c r="H5" s="35">
        <f>Water!I6</f>
        <v>5.8049999999999997</v>
      </c>
      <c r="I5" s="35">
        <f>ELECT.!F6</f>
        <v>13759</v>
      </c>
      <c r="J5" s="35">
        <f>ELECT.!H6</f>
        <v>36931</v>
      </c>
      <c r="K5" s="35">
        <f>ELECT.!K6</f>
        <v>11004</v>
      </c>
      <c r="L5" s="35">
        <f>ELECT.!M6</f>
        <v>4986</v>
      </c>
      <c r="M5" s="35">
        <f>ELECT.!O6</f>
        <v>8612</v>
      </c>
      <c r="N5" s="35">
        <f>ELECT.!Q6</f>
        <v>2268</v>
      </c>
      <c r="O5" s="35">
        <f>ELECT.!S6</f>
        <v>9195</v>
      </c>
      <c r="P5" s="35">
        <f>ELECT.!W6*2</f>
        <v>19112</v>
      </c>
      <c r="Q5" s="35">
        <f>ELECT.!D6</f>
        <v>320</v>
      </c>
      <c r="R5" s="128">
        <f>BTU!C6</f>
        <v>3.9269999999996799</v>
      </c>
      <c r="S5" s="128">
        <f>BTU!F6</f>
        <v>1.1000000000003638</v>
      </c>
      <c r="T5" s="128">
        <f>BTU!I6</f>
        <v>4</v>
      </c>
      <c r="U5" s="128">
        <f>BTU!O6</f>
        <v>2.4739999999997053</v>
      </c>
      <c r="V5" s="128">
        <f>BTU!L6</f>
        <v>1.2800000000006548</v>
      </c>
      <c r="W5" s="128">
        <f>BTU!R6</f>
        <v>0</v>
      </c>
      <c r="X5" s="33">
        <f>ELECT.!B6</f>
        <v>263</v>
      </c>
      <c r="Y5" s="33">
        <f t="shared" si="0"/>
        <v>-4487</v>
      </c>
      <c r="Z5">
        <f>'Mall, Citadel, Rotana'!C6+'Mall, Citadel, Rotana'!E6+'Mall, Citadel, Rotana'!G6+'Mall, Citadel, Rotana'!I6</f>
        <v>1205</v>
      </c>
      <c r="AA5">
        <f>'Mall, Citadel, Rotana'!K6+'Mall, Citadel, Rotana'!M6</f>
        <v>405</v>
      </c>
      <c r="AB5">
        <f>'Mall, Citadel, Rotana'!O6</f>
        <v>3</v>
      </c>
      <c r="AC5">
        <f>'Mall, Citadel, Rotana'!Q6+'Mall, Citadel, Rotana'!S6</f>
        <v>120</v>
      </c>
      <c r="AD5" s="33">
        <f t="shared" si="1"/>
        <v>63.289701000000008</v>
      </c>
      <c r="AE5" s="33">
        <f t="shared" si="2"/>
        <v>416.90529900000001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680</v>
      </c>
      <c r="F6" s="35">
        <f>Water!E7</f>
        <v>340</v>
      </c>
      <c r="G6" s="35">
        <f>Water!G7</f>
        <v>345.6</v>
      </c>
      <c r="H6" s="35">
        <f>Water!I7</f>
        <v>4.6710000000000003</v>
      </c>
      <c r="I6" s="35">
        <f>ELECT.!F7</f>
        <v>20430</v>
      </c>
      <c r="J6" s="35">
        <f>ELECT.!H7</f>
        <v>53943</v>
      </c>
      <c r="K6" s="35">
        <f>ELECT.!K7</f>
        <v>15420</v>
      </c>
      <c r="L6" s="35">
        <f>ELECT.!M7</f>
        <v>7495</v>
      </c>
      <c r="M6" s="35">
        <f>ELECT.!O7</f>
        <v>12702</v>
      </c>
      <c r="N6" s="35">
        <f>ELECT.!Q7</f>
        <v>3551</v>
      </c>
      <c r="O6" s="35">
        <f>ELECT.!S7</f>
        <v>13239</v>
      </c>
      <c r="P6" s="35">
        <f>ELECT.!W7*2</f>
        <v>28214</v>
      </c>
      <c r="Q6" s="35">
        <f>ELECT.!D7</f>
        <v>480</v>
      </c>
      <c r="R6" s="128">
        <f>BTU!C7</f>
        <v>4.635999999998603</v>
      </c>
      <c r="S6" s="128">
        <f>BTU!F7</f>
        <v>1.5649999999995998</v>
      </c>
      <c r="T6" s="128">
        <f>BTU!I7</f>
        <v>3</v>
      </c>
      <c r="U6" s="128">
        <f>BTU!O7</f>
        <v>2.8930000000000291</v>
      </c>
      <c r="V6" s="128">
        <f>BTU!L7</f>
        <v>1.5499999999992724</v>
      </c>
      <c r="W6" s="128">
        <f>BTU!R7</f>
        <v>0</v>
      </c>
      <c r="X6" s="33">
        <f>ELECT.!B7</f>
        <v>245</v>
      </c>
      <c r="Y6" s="33">
        <f t="shared" si="0"/>
        <v>-6248</v>
      </c>
      <c r="Z6">
        <f>'Mall, Citadel, Rotana'!C7+'Mall, Citadel, Rotana'!E7+'Mall, Citadel, Rotana'!G7+'Mall, Citadel, Rotana'!I7</f>
        <v>1387</v>
      </c>
      <c r="AA6">
        <f>'Mall, Citadel, Rotana'!K7+'Mall, Citadel, Rotana'!M7</f>
        <v>425</v>
      </c>
      <c r="AB6">
        <f>'Mall, Citadel, Rotana'!O7</f>
        <v>4</v>
      </c>
      <c r="AC6">
        <f>'Mall, Citadel, Rotana'!Q7+'Mall, Citadel, Rotana'!S7</f>
        <v>121</v>
      </c>
      <c r="AD6" s="33">
        <f t="shared" si="1"/>
        <v>63.439162199999991</v>
      </c>
      <c r="AE6" s="33">
        <f t="shared" si="2"/>
        <v>417.88983780000001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760</v>
      </c>
      <c r="F7" s="35">
        <f>Water!E8</f>
        <v>370</v>
      </c>
      <c r="G7" s="35">
        <f>Water!G8</f>
        <v>353.7</v>
      </c>
      <c r="H7" s="35">
        <f>Water!I8</f>
        <v>5.9939999999999998</v>
      </c>
      <c r="I7" s="35">
        <f>ELECT.!F8</f>
        <v>14193</v>
      </c>
      <c r="J7" s="35">
        <f>ELECT.!H8</f>
        <v>37746</v>
      </c>
      <c r="K7" s="35">
        <f>ELECT.!K8</f>
        <v>10454</v>
      </c>
      <c r="L7" s="35">
        <f>ELECT.!M8</f>
        <v>5511</v>
      </c>
      <c r="M7" s="35">
        <f>ELECT.!O8</f>
        <v>8498</v>
      </c>
      <c r="N7" s="35">
        <f>ELECT.!Q8</f>
        <v>2370</v>
      </c>
      <c r="O7" s="35">
        <f>ELECT.!S8</f>
        <v>9204</v>
      </c>
      <c r="P7" s="35">
        <f>ELECT.!W8*2</f>
        <v>20064</v>
      </c>
      <c r="Q7" s="35">
        <f>ELECT.!D8</f>
        <v>320</v>
      </c>
      <c r="R7" s="128">
        <f>BTU!C8</f>
        <v>3.8500000000021828</v>
      </c>
      <c r="S7" s="128">
        <f>BTU!F8</f>
        <v>2.0709999999999127</v>
      </c>
      <c r="T7" s="128">
        <f>BTU!I8</f>
        <v>3</v>
      </c>
      <c r="U7" s="128">
        <f>BTU!O8</f>
        <v>2.3830000000002656</v>
      </c>
      <c r="V7" s="128">
        <f>BTU!L8</f>
        <v>1.5</v>
      </c>
      <c r="W7" s="128">
        <f>BTU!R8</f>
        <v>0</v>
      </c>
      <c r="X7" s="33">
        <f>ELECT.!B8</f>
        <v>264</v>
      </c>
      <c r="Y7" s="33">
        <f t="shared" si="0"/>
        <v>-4162</v>
      </c>
      <c r="Z7">
        <f>'Mall, Citadel, Rotana'!C8+'Mall, Citadel, Rotana'!E8+'Mall, Citadel, Rotana'!G8+'Mall, Citadel, Rotana'!I8</f>
        <v>1209</v>
      </c>
      <c r="AA7">
        <f>'Mall, Citadel, Rotana'!K8+'Mall, Citadel, Rotana'!M8</f>
        <v>418</v>
      </c>
      <c r="AB7">
        <f>'Mall, Citadel, Rotana'!O8</f>
        <v>3</v>
      </c>
      <c r="AC7">
        <f>'Mall, Citadel, Rotana'!Q8+'Mall, Citadel, Rotana'!S8</f>
        <v>122</v>
      </c>
      <c r="AD7" s="33">
        <f t="shared" si="1"/>
        <v>73.808790799999997</v>
      </c>
      <c r="AE7" s="33">
        <f t="shared" si="2"/>
        <v>486.19720919999997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740</v>
      </c>
      <c r="F8" s="35">
        <f>Water!E9</f>
        <v>370</v>
      </c>
      <c r="G8" s="35">
        <f>Water!G9</f>
        <v>348.3</v>
      </c>
      <c r="H8" s="35">
        <f>Water!I9</f>
        <v>6.4530000000000003</v>
      </c>
      <c r="I8" s="35">
        <f>ELECT.!F9</f>
        <v>17030</v>
      </c>
      <c r="J8" s="35">
        <f>ELECT.!H9</f>
        <v>48983</v>
      </c>
      <c r="K8" s="35">
        <f>ELECT.!K9</f>
        <v>13276</v>
      </c>
      <c r="L8" s="35">
        <f>ELECT.!M9</f>
        <v>6133</v>
      </c>
      <c r="M8" s="35">
        <f>ELECT.!O9</f>
        <v>10696</v>
      </c>
      <c r="N8" s="35">
        <f>ELECT.!Q9</f>
        <v>3400</v>
      </c>
      <c r="O8" s="35">
        <f>ELECT.!S9</f>
        <v>11785</v>
      </c>
      <c r="P8" s="35">
        <f>ELECT.!W9*2</f>
        <v>26174</v>
      </c>
      <c r="Q8" s="35">
        <f>ELECT.!D9</f>
        <v>480</v>
      </c>
      <c r="R8" s="128">
        <f>BTU!C9</f>
        <v>4.6239999999997963</v>
      </c>
      <c r="S8" s="128">
        <f>BTU!F9</f>
        <v>0.46900000000005093</v>
      </c>
      <c r="T8" s="128">
        <f>BTU!I9</f>
        <v>4</v>
      </c>
      <c r="U8" s="128">
        <f>BTU!O9</f>
        <v>2.9899999999997817</v>
      </c>
      <c r="V8" s="128">
        <f>BTU!L9</f>
        <v>1.3299999999999272</v>
      </c>
      <c r="W8" s="128">
        <f>BTU!R9</f>
        <v>0</v>
      </c>
      <c r="X8" s="33">
        <f>ELECT.!B9</f>
        <v>266</v>
      </c>
      <c r="Y8" s="33">
        <f t="shared" si="0"/>
        <v>-5451</v>
      </c>
      <c r="Z8">
        <f>'Mall, Citadel, Rotana'!C9+'Mall, Citadel, Rotana'!E9+'Mall, Citadel, Rotana'!G9+'Mall, Citadel, Rotana'!I9</f>
        <v>1202</v>
      </c>
      <c r="AA8">
        <f>'Mall, Citadel, Rotana'!K9+'Mall, Citadel, Rotana'!M9</f>
        <v>281</v>
      </c>
      <c r="AB8">
        <f>'Mall, Citadel, Rotana'!O9</f>
        <v>3</v>
      </c>
      <c r="AC8">
        <f>'Mall, Citadel, Rotana'!Q9+'Mall, Citadel, Rotana'!S9</f>
        <v>109</v>
      </c>
      <c r="AD8" s="33">
        <f t="shared" si="1"/>
        <v>71.112294599999998</v>
      </c>
      <c r="AE8" s="33">
        <f t="shared" si="2"/>
        <v>468.43470539999998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690</v>
      </c>
      <c r="F9" s="35">
        <f>Water!E10</f>
        <v>350</v>
      </c>
      <c r="G9" s="35">
        <f>Water!G10</f>
        <v>329.4</v>
      </c>
      <c r="H9" s="35">
        <f>Water!I10</f>
        <v>5.4809999999999999</v>
      </c>
      <c r="I9" s="35">
        <f>ELECT.!F10</f>
        <v>9903</v>
      </c>
      <c r="J9" s="35">
        <f>ELECT.!H10</f>
        <v>30017</v>
      </c>
      <c r="K9" s="35">
        <f>ELECT.!K10</f>
        <v>8414</v>
      </c>
      <c r="L9" s="35">
        <f>ELECT.!M10</f>
        <v>3884</v>
      </c>
      <c r="M9" s="35">
        <f>ELECT.!O10</f>
        <v>5876</v>
      </c>
      <c r="N9" s="35">
        <f>ELECT.!Q10</f>
        <v>2524</v>
      </c>
      <c r="O9" s="35">
        <f>ELECT.!S10</f>
        <v>7263</v>
      </c>
      <c r="P9" s="35">
        <f>ELECT.!W10*2</f>
        <v>15392</v>
      </c>
      <c r="Q9" s="35">
        <f>ELECT.!D10</f>
        <v>320</v>
      </c>
      <c r="R9" s="128">
        <f>BTU!C10</f>
        <v>2.2969999999986612</v>
      </c>
      <c r="S9" s="128">
        <f>BTU!F10</f>
        <v>0.69500000000061846</v>
      </c>
      <c r="T9" s="128">
        <f>BTU!I10</f>
        <v>2</v>
      </c>
      <c r="U9" s="128">
        <f>BTU!O10</f>
        <v>1.3679999999999382</v>
      </c>
      <c r="V9" s="128">
        <f>BTU!L10</f>
        <v>0.4500000000007276</v>
      </c>
      <c r="W9" s="128">
        <f>BTU!R10</f>
        <v>0</v>
      </c>
      <c r="X9" s="33">
        <f>ELECT.!B10</f>
        <v>255</v>
      </c>
      <c r="Y9" s="33">
        <f t="shared" si="0"/>
        <v>-3433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429</v>
      </c>
      <c r="AB9">
        <f>'Mall, Citadel, Rotana'!O10</f>
        <v>4</v>
      </c>
      <c r="AC9">
        <f>'Mall, Citadel, Rotana'!Q10+'Mall, Citadel, Rotana'!S10</f>
        <v>113</v>
      </c>
      <c r="AD9" s="33">
        <f t="shared" si="1"/>
        <v>64.650404199999997</v>
      </c>
      <c r="AE9" s="33">
        <f t="shared" si="2"/>
        <v>425.86859579999998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740</v>
      </c>
      <c r="F10" s="35">
        <f>Water!E11</f>
        <v>340</v>
      </c>
      <c r="G10" s="35">
        <f>Water!G11</f>
        <v>383.4</v>
      </c>
      <c r="H10" s="35">
        <f>Water!I11</f>
        <v>4.9409999999999998</v>
      </c>
      <c r="I10" s="35">
        <f>ELECT.!F11</f>
        <v>17887</v>
      </c>
      <c r="J10" s="35">
        <f>ELECT.!H11</f>
        <v>50247</v>
      </c>
      <c r="K10" s="35">
        <f>ELECT.!K11</f>
        <v>12758</v>
      </c>
      <c r="L10" s="35">
        <f>ELECT.!M11</f>
        <v>6836</v>
      </c>
      <c r="M10" s="35">
        <f>ELECT.!O11</f>
        <v>10818</v>
      </c>
      <c r="N10" s="35">
        <f>ELECT.!Q11</f>
        <v>3243</v>
      </c>
      <c r="O10" s="35">
        <f>ELECT.!S11</f>
        <v>12852</v>
      </c>
      <c r="P10" s="35">
        <f>ELECT.!W11*2</f>
        <v>26776</v>
      </c>
      <c r="Q10" s="35">
        <f>ELECT.!D11</f>
        <v>320</v>
      </c>
      <c r="R10" s="128">
        <f>BTU!C11</f>
        <v>3.5300000000024738</v>
      </c>
      <c r="S10" s="128">
        <f>BTU!F11</f>
        <v>0.67299999999977445</v>
      </c>
      <c r="T10" s="128">
        <f>BTU!I11</f>
        <v>3</v>
      </c>
      <c r="U10" s="128">
        <f>BTU!O11</f>
        <v>2.4630000000001928</v>
      </c>
      <c r="V10" s="128">
        <f>BTU!L11</f>
        <v>1.1199999999989814</v>
      </c>
      <c r="W10" s="128">
        <f>BTU!R11</f>
        <v>0</v>
      </c>
      <c r="X10" s="33">
        <f>ELECT.!B11</f>
        <v>265</v>
      </c>
      <c r="Y10" s="33">
        <f t="shared" si="0"/>
        <v>-5149</v>
      </c>
      <c r="Z10">
        <f>'Mall, Citadel, Rotana'!C11+'Mall, Citadel, Rotana'!E11+'Mall, Citadel, Rotana'!G11+'Mall, Citadel, Rotana'!I11</f>
        <v>1378</v>
      </c>
      <c r="AA10">
        <f>'Mall, Citadel, Rotana'!K11+'Mall, Citadel, Rotana'!M11</f>
        <v>215</v>
      </c>
      <c r="AB10">
        <f>'Mall, Citadel, Rotana'!O11</f>
        <v>3</v>
      </c>
      <c r="AC10">
        <f>'Mall, Citadel, Rotana'!Q11+'Mall, Citadel, Rotana'!S11</f>
        <v>120</v>
      </c>
      <c r="AD10" s="33">
        <f t="shared" si="1"/>
        <v>71.31157619999999</v>
      </c>
      <c r="AE10" s="33">
        <f t="shared" si="2"/>
        <v>469.74742379999998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740</v>
      </c>
      <c r="F11" s="35">
        <f>Water!E12</f>
        <v>360</v>
      </c>
      <c r="G11" s="35">
        <f>Water!G12</f>
        <v>359.1</v>
      </c>
      <c r="H11" s="35">
        <f>Water!I12</f>
        <v>5.5350000000000001</v>
      </c>
      <c r="I11" s="35">
        <f>ELECT.!F12</f>
        <v>14419</v>
      </c>
      <c r="J11" s="35">
        <f>ELECT.!H12</f>
        <v>40201</v>
      </c>
      <c r="K11" s="35">
        <f>ELECT.!K12</f>
        <v>10468</v>
      </c>
      <c r="L11" s="35">
        <f>ELECT.!M12</f>
        <v>5404</v>
      </c>
      <c r="M11" s="35">
        <f>ELECT.!O12</f>
        <v>8828</v>
      </c>
      <c r="N11" s="35">
        <f>ELECT.!Q12</f>
        <v>2681</v>
      </c>
      <c r="O11" s="35">
        <f>ELECT.!S12</f>
        <v>10244</v>
      </c>
      <c r="P11" s="35">
        <f>ELECT.!W12*2</f>
        <v>21156</v>
      </c>
      <c r="Q11" s="35">
        <f>ELECT.!D12</f>
        <v>480</v>
      </c>
      <c r="R11" s="128">
        <f>BTU!C12</f>
        <v>3.6440000000002328</v>
      </c>
      <c r="S11" s="128">
        <f>BTU!F12</f>
        <v>0.65799999999944703</v>
      </c>
      <c r="T11" s="128">
        <f>BTU!I12</f>
        <v>3</v>
      </c>
      <c r="U11" s="128">
        <f>BTU!O12</f>
        <v>2.2649999999998727</v>
      </c>
      <c r="V11" s="128">
        <f>BTU!L12</f>
        <v>1.0200000000004366</v>
      </c>
      <c r="W11" s="128">
        <f>BTU!R12</f>
        <v>0</v>
      </c>
      <c r="X11" s="33">
        <f>ELECT.!B12</f>
        <v>240</v>
      </c>
      <c r="Y11" s="33">
        <f t="shared" si="0"/>
        <v>-4161</v>
      </c>
      <c r="Z11">
        <f>'Mall, Citadel, Rotana'!C12+'Mall, Citadel, Rotana'!E12+'Mall, Citadel, Rotana'!G12+'Mall, Citadel, Rotana'!I12</f>
        <v>1203</v>
      </c>
      <c r="AA11">
        <f>'Mall, Citadel, Rotana'!K12+'Mall, Citadel, Rotana'!M12</f>
        <v>261</v>
      </c>
      <c r="AB11">
        <f>'Mall, Citadel, Rotana'!O12</f>
        <v>3</v>
      </c>
      <c r="AC11">
        <f>'Mall, Citadel, Rotana'!Q12+'Mall, Citadel, Rotana'!S12</f>
        <v>84</v>
      </c>
      <c r="AD11" s="33">
        <f t="shared" si="1"/>
        <v>71.233287000000004</v>
      </c>
      <c r="AE11" s="33">
        <f t="shared" si="2"/>
        <v>469.23171300000001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720</v>
      </c>
      <c r="F12" s="35">
        <f>Water!E13</f>
        <v>360</v>
      </c>
      <c r="G12" s="35">
        <f>Water!G13</f>
        <v>318.60000000000002</v>
      </c>
      <c r="H12" s="35">
        <f>Water!I13</f>
        <v>6.3449999999999998</v>
      </c>
      <c r="I12" s="35">
        <f>ELECT.!F13</f>
        <v>17340</v>
      </c>
      <c r="J12" s="35">
        <f>ELECT.!H13</f>
        <v>47767</v>
      </c>
      <c r="K12" s="35">
        <f>ELECT.!K13</f>
        <v>13514</v>
      </c>
      <c r="L12" s="35">
        <f>ELECT.!M13</f>
        <v>6738</v>
      </c>
      <c r="M12" s="35">
        <f>ELECT.!O13</f>
        <v>10386</v>
      </c>
      <c r="N12" s="35">
        <f>ELECT.!Q13</f>
        <v>2908</v>
      </c>
      <c r="O12" s="35">
        <f>ELECT.!S13</f>
        <v>11887</v>
      </c>
      <c r="P12" s="35">
        <f>ELECT.!W13*2</f>
        <v>25200</v>
      </c>
      <c r="Q12" s="35">
        <f>ELECT.!D13</f>
        <v>480</v>
      </c>
      <c r="R12" s="128">
        <f>BTU!C13</f>
        <v>3.6069999999999709</v>
      </c>
      <c r="S12" s="128">
        <f>BTU!F13</f>
        <v>0.92200000000048021</v>
      </c>
      <c r="T12" s="128">
        <f>BTU!I13</f>
        <v>3</v>
      </c>
      <c r="U12" s="128">
        <f>BTU!O13</f>
        <v>1.5090000000000146</v>
      </c>
      <c r="V12" s="128">
        <f>BTU!L13</f>
        <v>0.97000000000116415</v>
      </c>
      <c r="W12" s="128">
        <f>BTU!R13</f>
        <v>0</v>
      </c>
      <c r="X12" s="33">
        <f>ELECT.!B13</f>
        <v>168</v>
      </c>
      <c r="Y12" s="33">
        <f t="shared" si="0"/>
        <v>-5526</v>
      </c>
      <c r="Z12">
        <f>'Mall, Citadel, Rotana'!C13+'Mall, Citadel, Rotana'!E13+'Mall, Citadel, Rotana'!G13+'Mall, Citadel, Rotana'!I13</f>
        <v>1202</v>
      </c>
      <c r="AA12">
        <f>'Mall, Citadel, Rotana'!K13+'Mall, Citadel, Rotana'!M13</f>
        <v>414</v>
      </c>
      <c r="AB12">
        <f>'Mall, Citadel, Rotana'!O13</f>
        <v>3</v>
      </c>
      <c r="AC12">
        <f>'Mall, Citadel, Rotana'!Q13+'Mall, Citadel, Rotana'!S13</f>
        <v>0</v>
      </c>
      <c r="AD12" s="33">
        <f t="shared" si="1"/>
        <v>68.490528999999995</v>
      </c>
      <c r="AE12" s="33">
        <f t="shared" si="2"/>
        <v>451.16447099999993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720</v>
      </c>
      <c r="F13" s="35">
        <f>Water!E14</f>
        <v>360</v>
      </c>
      <c r="G13" s="35">
        <f>Water!G14</f>
        <v>351</v>
      </c>
      <c r="H13" s="35">
        <f>Water!I14</f>
        <v>5.9130000000000003</v>
      </c>
      <c r="I13" s="35">
        <f>ELECT.!F14</f>
        <v>9953</v>
      </c>
      <c r="J13" s="35">
        <f>ELECT.!H14</f>
        <v>27816</v>
      </c>
      <c r="K13" s="35">
        <f>ELECT.!K14</f>
        <v>8156</v>
      </c>
      <c r="L13" s="35">
        <f>ELECT.!M14</f>
        <v>3956</v>
      </c>
      <c r="M13" s="35">
        <f>ELECT.!O14</f>
        <v>5868</v>
      </c>
      <c r="N13" s="35">
        <f>ELECT.!Q14</f>
        <v>1812</v>
      </c>
      <c r="O13" s="35">
        <f>ELECT.!S14</f>
        <v>6650</v>
      </c>
      <c r="P13" s="35">
        <f>ELECT.!W14*2</f>
        <v>14674</v>
      </c>
      <c r="Q13" s="35">
        <f>ELECT.!D14</f>
        <v>480</v>
      </c>
      <c r="R13" s="128">
        <f>BTU!C14</f>
        <v>3.3489999999983411</v>
      </c>
      <c r="S13" s="128">
        <f>BTU!F14</f>
        <v>1.1390000000001237</v>
      </c>
      <c r="T13" s="128">
        <f>BTU!I14</f>
        <v>3</v>
      </c>
      <c r="U13" s="128">
        <f>BTU!O14</f>
        <v>3.3000000000001819</v>
      </c>
      <c r="V13" s="128">
        <f>BTU!L14</f>
        <v>0.96999999999934516</v>
      </c>
      <c r="W13" s="128">
        <f>BTU!R14</f>
        <v>0</v>
      </c>
      <c r="X13" s="33">
        <f>ELECT.!B14</f>
        <v>235</v>
      </c>
      <c r="Y13" s="33">
        <f t="shared" si="0"/>
        <v>-3347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355</v>
      </c>
      <c r="AB13">
        <f>'Mall, Citadel, Rotana'!O14</f>
        <v>3</v>
      </c>
      <c r="AC13">
        <f>'Mall, Citadel, Rotana'!Q14+'Mall, Citadel, Rotana'!S14</f>
        <v>257</v>
      </c>
      <c r="AD13" s="33">
        <f t="shared" si="1"/>
        <v>68.547466599999993</v>
      </c>
      <c r="AE13" s="33">
        <f t="shared" si="2"/>
        <v>451.53953339999998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 t="str">
        <f>ELECT.!F15</f>
        <v>0</v>
      </c>
      <c r="J14" s="35" t="str">
        <f>ELECT.!H15</f>
        <v>0</v>
      </c>
      <c r="K14" s="35">
        <f>ELECT.!K15</f>
        <v>0</v>
      </c>
      <c r="L14" s="35" t="str">
        <f>ELECT.!M15</f>
        <v>0</v>
      </c>
      <c r="M14" s="35">
        <f>ELECT.!O15</f>
        <v>0</v>
      </c>
      <c r="N14" s="35" t="str">
        <f>ELECT.!Q15</f>
        <v>0</v>
      </c>
      <c r="O14" s="35" t="str">
        <f>ELECT.!S15</f>
        <v>0</v>
      </c>
      <c r="P14" s="35">
        <f>ELECT.!W15*2</f>
        <v>0</v>
      </c>
      <c r="Q14" s="35">
        <f>ELECT.!D15</f>
        <v>0</v>
      </c>
      <c r="R14" s="128" t="str">
        <f>BTU!C15</f>
        <v>0</v>
      </c>
      <c r="S14" s="128" t="str">
        <f>BTU!F15</f>
        <v>0</v>
      </c>
      <c r="T14" s="128" t="str">
        <f>BTU!I15</f>
        <v>0</v>
      </c>
      <c r="U14" s="128" t="str">
        <f>BTU!O15</f>
        <v>0</v>
      </c>
      <c r="V14" s="128" t="str">
        <f>BTU!L15</f>
        <v>0</v>
      </c>
      <c r="W14" s="128" t="str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C17" sqref="C1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v>47941</v>
      </c>
      <c r="C6" s="14">
        <f t="shared" si="3"/>
        <v>640</v>
      </c>
      <c r="D6" s="31">
        <v>41199</v>
      </c>
      <c r="E6" s="14">
        <f t="shared" si="4"/>
        <v>480</v>
      </c>
      <c r="F6" s="31">
        <v>22352</v>
      </c>
      <c r="G6" s="14">
        <f t="shared" si="5"/>
        <v>60</v>
      </c>
      <c r="H6" s="31">
        <v>260651</v>
      </c>
      <c r="I6" s="14">
        <f t="shared" si="6"/>
        <v>25</v>
      </c>
      <c r="J6" s="31">
        <v>345726</v>
      </c>
      <c r="K6" s="14">
        <f t="shared" si="7"/>
        <v>165</v>
      </c>
      <c r="L6" s="31">
        <v>26743</v>
      </c>
      <c r="M6" s="14">
        <f t="shared" si="8"/>
        <v>240</v>
      </c>
      <c r="N6" s="31">
        <v>226635</v>
      </c>
      <c r="O6" s="14">
        <f t="shared" si="9"/>
        <v>3</v>
      </c>
      <c r="P6" s="31">
        <v>181439</v>
      </c>
      <c r="Q6" s="14">
        <f t="shared" si="2"/>
        <v>120</v>
      </c>
      <c r="R6" s="31">
        <f t="shared" si="10"/>
        <v>55047</v>
      </c>
      <c r="S6" s="14">
        <v>0</v>
      </c>
      <c r="T6" s="31">
        <v>4108</v>
      </c>
      <c r="U6" s="14">
        <f t="shared" si="11"/>
        <v>160</v>
      </c>
    </row>
    <row r="7" spans="1:24" ht="13.5" thickBot="1" x14ac:dyDescent="0.25">
      <c r="A7" s="9">
        <v>44900</v>
      </c>
      <c r="B7" s="31">
        <v>47946</v>
      </c>
      <c r="C7" s="14">
        <f t="shared" si="3"/>
        <v>800</v>
      </c>
      <c r="D7" s="31">
        <v>41202</v>
      </c>
      <c r="E7" s="14">
        <f t="shared" si="4"/>
        <v>480</v>
      </c>
      <c r="F7" s="31">
        <v>22356</v>
      </c>
      <c r="G7" s="14">
        <f t="shared" si="5"/>
        <v>80</v>
      </c>
      <c r="H7" s="31">
        <v>260678</v>
      </c>
      <c r="I7" s="14">
        <f t="shared" si="6"/>
        <v>27</v>
      </c>
      <c r="J7" s="31">
        <v>345911</v>
      </c>
      <c r="K7" s="14">
        <f t="shared" si="7"/>
        <v>185</v>
      </c>
      <c r="L7" s="31">
        <v>26747</v>
      </c>
      <c r="M7" s="14">
        <f t="shared" si="8"/>
        <v>240</v>
      </c>
      <c r="N7" s="31">
        <v>226639</v>
      </c>
      <c r="O7" s="14">
        <f t="shared" si="9"/>
        <v>4</v>
      </c>
      <c r="P7" s="31">
        <v>181560</v>
      </c>
      <c r="Q7" s="14">
        <f t="shared" si="2"/>
        <v>121</v>
      </c>
      <c r="R7" s="31">
        <f t="shared" si="10"/>
        <v>55047</v>
      </c>
      <c r="S7" s="14">
        <v>0</v>
      </c>
      <c r="T7" s="31">
        <v>4109</v>
      </c>
      <c r="U7" s="14">
        <f t="shared" si="11"/>
        <v>160</v>
      </c>
    </row>
    <row r="8" spans="1:24" ht="13.5" thickBot="1" x14ac:dyDescent="0.25">
      <c r="A8" s="9">
        <v>44901</v>
      </c>
      <c r="B8" s="31">
        <v>47950</v>
      </c>
      <c r="C8" s="14">
        <f t="shared" si="3"/>
        <v>640</v>
      </c>
      <c r="D8" s="31">
        <v>41205</v>
      </c>
      <c r="E8" s="14">
        <f t="shared" si="4"/>
        <v>480</v>
      </c>
      <c r="F8" s="31">
        <v>22359</v>
      </c>
      <c r="G8" s="14">
        <f t="shared" si="5"/>
        <v>60</v>
      </c>
      <c r="H8" s="31">
        <v>260707</v>
      </c>
      <c r="I8" s="14">
        <f t="shared" si="6"/>
        <v>29</v>
      </c>
      <c r="J8" s="31">
        <v>346089</v>
      </c>
      <c r="K8" s="14">
        <f t="shared" si="7"/>
        <v>178</v>
      </c>
      <c r="L8" s="31">
        <v>26751</v>
      </c>
      <c r="M8" s="14">
        <f t="shared" si="8"/>
        <v>240</v>
      </c>
      <c r="N8" s="31">
        <v>226642</v>
      </c>
      <c r="O8" s="14">
        <f t="shared" si="9"/>
        <v>3</v>
      </c>
      <c r="P8" s="31">
        <v>181682</v>
      </c>
      <c r="Q8" s="14">
        <f t="shared" si="2"/>
        <v>122</v>
      </c>
      <c r="R8" s="31">
        <f t="shared" si="10"/>
        <v>55047</v>
      </c>
      <c r="S8" s="14">
        <f>R8-R7</f>
        <v>0</v>
      </c>
      <c r="T8" s="31">
        <v>4110</v>
      </c>
      <c r="U8" s="14">
        <f t="shared" si="11"/>
        <v>160</v>
      </c>
    </row>
    <row r="9" spans="1:24" ht="13.5" thickBot="1" x14ac:dyDescent="0.25">
      <c r="A9" s="9">
        <v>44902</v>
      </c>
      <c r="B9" s="31">
        <v>47954</v>
      </c>
      <c r="C9" s="14">
        <f t="shared" si="3"/>
        <v>640</v>
      </c>
      <c r="D9" s="31">
        <v>41208</v>
      </c>
      <c r="E9" s="14">
        <f t="shared" si="4"/>
        <v>480</v>
      </c>
      <c r="F9" s="31">
        <v>22362</v>
      </c>
      <c r="G9" s="14">
        <f t="shared" si="5"/>
        <v>60</v>
      </c>
      <c r="H9" s="31">
        <v>260729</v>
      </c>
      <c r="I9" s="14">
        <f t="shared" si="6"/>
        <v>22</v>
      </c>
      <c r="J9" s="31">
        <v>346250</v>
      </c>
      <c r="K9" s="14">
        <f t="shared" si="7"/>
        <v>161</v>
      </c>
      <c r="L9" s="31">
        <v>26753</v>
      </c>
      <c r="M9" s="14">
        <f t="shared" si="8"/>
        <v>120</v>
      </c>
      <c r="N9" s="31">
        <v>226645</v>
      </c>
      <c r="O9" s="14">
        <f t="shared" si="9"/>
        <v>3</v>
      </c>
      <c r="P9" s="31">
        <v>181791</v>
      </c>
      <c r="Q9" s="14">
        <f t="shared" si="2"/>
        <v>109</v>
      </c>
      <c r="R9" s="31">
        <f t="shared" si="10"/>
        <v>55047</v>
      </c>
      <c r="S9" s="14">
        <f>R9-R8</f>
        <v>0</v>
      </c>
      <c r="T9" s="31">
        <f t="shared" ref="T9:T33" si="13">T8</f>
        <v>4110</v>
      </c>
      <c r="U9" s="14">
        <f t="shared" si="11"/>
        <v>0</v>
      </c>
    </row>
    <row r="10" spans="1:24" ht="13.5" thickBot="1" x14ac:dyDescent="0.25">
      <c r="A10" s="9">
        <v>44903</v>
      </c>
      <c r="B10" s="31">
        <v>47959</v>
      </c>
      <c r="C10" s="14">
        <f t="shared" si="3"/>
        <v>800</v>
      </c>
      <c r="D10" s="31">
        <v>41211</v>
      </c>
      <c r="E10" s="14">
        <f t="shared" si="4"/>
        <v>480</v>
      </c>
      <c r="F10" s="31">
        <v>22366</v>
      </c>
      <c r="G10" s="14">
        <f t="shared" si="5"/>
        <v>80</v>
      </c>
      <c r="H10" s="31">
        <v>260756</v>
      </c>
      <c r="I10" s="14">
        <f t="shared" si="6"/>
        <v>27</v>
      </c>
      <c r="J10" s="31">
        <v>346439</v>
      </c>
      <c r="K10" s="14">
        <f t="shared" si="7"/>
        <v>189</v>
      </c>
      <c r="L10" s="31">
        <v>26757</v>
      </c>
      <c r="M10" s="14">
        <f t="shared" si="8"/>
        <v>240</v>
      </c>
      <c r="N10" s="31">
        <v>226649</v>
      </c>
      <c r="O10" s="14">
        <f t="shared" si="9"/>
        <v>4</v>
      </c>
      <c r="P10" s="31">
        <v>181904</v>
      </c>
      <c r="Q10" s="14">
        <f t="shared" si="2"/>
        <v>113</v>
      </c>
      <c r="R10" s="31">
        <f t="shared" si="10"/>
        <v>55047</v>
      </c>
      <c r="S10" s="14">
        <f>R10-R9</f>
        <v>0</v>
      </c>
      <c r="T10" s="31">
        <v>4111</v>
      </c>
      <c r="U10" s="14">
        <f t="shared" si="11"/>
        <v>160</v>
      </c>
    </row>
    <row r="11" spans="1:24" ht="13.5" thickBot="1" x14ac:dyDescent="0.25">
      <c r="A11" s="9">
        <v>44904</v>
      </c>
      <c r="B11" s="31">
        <v>47964</v>
      </c>
      <c r="C11" s="14">
        <f t="shared" si="3"/>
        <v>800</v>
      </c>
      <c r="D11" s="31">
        <v>41214</v>
      </c>
      <c r="E11" s="14">
        <f t="shared" si="4"/>
        <v>480</v>
      </c>
      <c r="F11" s="31">
        <v>22370</v>
      </c>
      <c r="G11" s="14">
        <f t="shared" si="5"/>
        <v>80</v>
      </c>
      <c r="H11" s="31">
        <v>260774</v>
      </c>
      <c r="I11" s="14">
        <f t="shared" si="6"/>
        <v>18</v>
      </c>
      <c r="J11" s="31">
        <v>346534</v>
      </c>
      <c r="K11" s="14">
        <f t="shared" si="7"/>
        <v>95</v>
      </c>
      <c r="L11" s="31">
        <v>26759</v>
      </c>
      <c r="M11" s="14">
        <f t="shared" si="8"/>
        <v>120</v>
      </c>
      <c r="N11" s="31">
        <v>226652</v>
      </c>
      <c r="O11" s="14">
        <f t="shared" si="9"/>
        <v>3</v>
      </c>
      <c r="P11" s="31">
        <v>182024</v>
      </c>
      <c r="Q11" s="14">
        <f t="shared" si="2"/>
        <v>120</v>
      </c>
      <c r="R11" s="31">
        <f t="shared" si="10"/>
        <v>55047</v>
      </c>
      <c r="S11" s="14">
        <f t="shared" si="12"/>
        <v>0</v>
      </c>
      <c r="T11" s="31">
        <v>4112</v>
      </c>
      <c r="U11" s="14">
        <f t="shared" si="11"/>
        <v>160</v>
      </c>
    </row>
    <row r="12" spans="1:24" ht="13.5" thickBot="1" x14ac:dyDescent="0.25">
      <c r="A12" s="9">
        <v>44905</v>
      </c>
      <c r="B12" s="31">
        <v>47968</v>
      </c>
      <c r="C12" s="14">
        <f t="shared" si="3"/>
        <v>640</v>
      </c>
      <c r="D12" s="31">
        <v>41217</v>
      </c>
      <c r="E12" s="14">
        <f t="shared" si="4"/>
        <v>480</v>
      </c>
      <c r="F12" s="31">
        <v>22373</v>
      </c>
      <c r="G12" s="14">
        <f t="shared" si="5"/>
        <v>60</v>
      </c>
      <c r="H12" s="31">
        <v>260797</v>
      </c>
      <c r="I12" s="14">
        <f t="shared" si="6"/>
        <v>23</v>
      </c>
      <c r="J12" s="31">
        <v>346675</v>
      </c>
      <c r="K12" s="14">
        <f t="shared" si="7"/>
        <v>141</v>
      </c>
      <c r="L12" s="31">
        <v>26761</v>
      </c>
      <c r="M12" s="14">
        <f t="shared" si="8"/>
        <v>120</v>
      </c>
      <c r="N12" s="31">
        <v>226655</v>
      </c>
      <c r="O12" s="14">
        <f t="shared" si="9"/>
        <v>3</v>
      </c>
      <c r="P12" s="31">
        <v>182108</v>
      </c>
      <c r="Q12" s="14">
        <f t="shared" si="2"/>
        <v>84</v>
      </c>
      <c r="R12" s="31">
        <f t="shared" si="10"/>
        <v>55047</v>
      </c>
      <c r="S12" s="14">
        <f t="shared" si="12"/>
        <v>0</v>
      </c>
      <c r="T12" s="31">
        <f t="shared" si="13"/>
        <v>4112</v>
      </c>
      <c r="U12" s="14">
        <f t="shared" si="11"/>
        <v>0</v>
      </c>
    </row>
    <row r="13" spans="1:24" ht="13.5" thickBot="1" x14ac:dyDescent="0.25">
      <c r="A13" s="9">
        <v>44906</v>
      </c>
      <c r="B13" s="31">
        <v>47972</v>
      </c>
      <c r="C13" s="14">
        <f t="shared" si="3"/>
        <v>640</v>
      </c>
      <c r="D13" s="31">
        <v>41220</v>
      </c>
      <c r="E13" s="14">
        <f t="shared" si="4"/>
        <v>480</v>
      </c>
      <c r="F13" s="31">
        <v>22376</v>
      </c>
      <c r="G13" s="14">
        <f t="shared" si="5"/>
        <v>60</v>
      </c>
      <c r="H13" s="31">
        <v>260819</v>
      </c>
      <c r="I13" s="14">
        <f t="shared" si="6"/>
        <v>22</v>
      </c>
      <c r="J13" s="31">
        <v>346849</v>
      </c>
      <c r="K13" s="14">
        <f t="shared" si="7"/>
        <v>174</v>
      </c>
      <c r="L13" s="31">
        <v>26765</v>
      </c>
      <c r="M13" s="14">
        <f t="shared" si="8"/>
        <v>240</v>
      </c>
      <c r="N13" s="31">
        <v>226658</v>
      </c>
      <c r="O13" s="14">
        <f t="shared" si="9"/>
        <v>3</v>
      </c>
      <c r="P13" s="31">
        <f t="shared" ref="P13:P33" si="14">P12</f>
        <v>182108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4113</v>
      </c>
      <c r="U13" s="14">
        <f t="shared" si="11"/>
        <v>160</v>
      </c>
    </row>
    <row r="14" spans="1:24" ht="13.5" thickBot="1" x14ac:dyDescent="0.25">
      <c r="A14" s="9">
        <v>44907</v>
      </c>
      <c r="B14" s="31">
        <v>47977</v>
      </c>
      <c r="C14" s="14">
        <f t="shared" si="3"/>
        <v>800</v>
      </c>
      <c r="D14" s="31">
        <v>41223</v>
      </c>
      <c r="E14" s="14">
        <f t="shared" si="4"/>
        <v>480</v>
      </c>
      <c r="F14" s="31">
        <v>22379</v>
      </c>
      <c r="G14" s="14">
        <f t="shared" si="5"/>
        <v>60</v>
      </c>
      <c r="H14" s="31">
        <v>260836</v>
      </c>
      <c r="I14" s="14">
        <f t="shared" si="6"/>
        <v>17</v>
      </c>
      <c r="J14" s="31">
        <v>347024</v>
      </c>
      <c r="K14" s="14">
        <f t="shared" si="7"/>
        <v>175</v>
      </c>
      <c r="L14" s="31">
        <v>26768</v>
      </c>
      <c r="M14" s="14">
        <f t="shared" si="8"/>
        <v>180</v>
      </c>
      <c r="N14" s="31">
        <v>226661</v>
      </c>
      <c r="O14" s="14">
        <f t="shared" si="9"/>
        <v>3</v>
      </c>
      <c r="P14" s="31">
        <v>182365</v>
      </c>
      <c r="Q14" s="14">
        <f t="shared" si="2"/>
        <v>257</v>
      </c>
      <c r="R14" s="31">
        <f t="shared" si="10"/>
        <v>55047</v>
      </c>
      <c r="S14" s="14">
        <v>0</v>
      </c>
      <c r="T14" s="31">
        <v>4114</v>
      </c>
      <c r="U14" s="14">
        <f t="shared" si="11"/>
        <v>160</v>
      </c>
    </row>
    <row r="15" spans="1:24" ht="13.5" thickBot="1" x14ac:dyDescent="0.25">
      <c r="A15" s="9">
        <v>44908</v>
      </c>
      <c r="B15" s="31">
        <f t="shared" ref="B14:B33" si="15">B14</f>
        <v>47977</v>
      </c>
      <c r="C15" s="14">
        <f t="shared" si="3"/>
        <v>0</v>
      </c>
      <c r="D15" s="31">
        <f t="shared" ref="D14:D33" si="16">D14</f>
        <v>41223</v>
      </c>
      <c r="E15" s="14">
        <f t="shared" si="4"/>
        <v>0</v>
      </c>
      <c r="F15" s="31">
        <f t="shared" ref="F14:F33" si="17">F14</f>
        <v>22379</v>
      </c>
      <c r="G15" s="14">
        <f t="shared" si="5"/>
        <v>0</v>
      </c>
      <c r="H15" s="31">
        <f t="shared" ref="H14:H33" si="18">H14</f>
        <v>260836</v>
      </c>
      <c r="I15" s="14">
        <f t="shared" si="6"/>
        <v>0</v>
      </c>
      <c r="J15" s="31">
        <f t="shared" ref="J14:J33" si="19">J14</f>
        <v>347024</v>
      </c>
      <c r="K15" s="14">
        <f t="shared" si="7"/>
        <v>0</v>
      </c>
      <c r="L15" s="31">
        <f t="shared" ref="L14:L33" si="20">L14</f>
        <v>26768</v>
      </c>
      <c r="M15" s="14">
        <f t="shared" si="8"/>
        <v>0</v>
      </c>
      <c r="N15" s="31">
        <f t="shared" ref="N14:N33" si="21">N14</f>
        <v>226661</v>
      </c>
      <c r="O15" s="14">
        <f t="shared" si="9"/>
        <v>0</v>
      </c>
      <c r="P15" s="31">
        <f t="shared" si="14"/>
        <v>182365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si="13"/>
        <v>4114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f t="shared" si="15"/>
        <v>47977</v>
      </c>
      <c r="C16" s="14">
        <f t="shared" si="3"/>
        <v>0</v>
      </c>
      <c r="D16" s="31">
        <f t="shared" si="16"/>
        <v>41223</v>
      </c>
      <c r="E16" s="14">
        <f t="shared" si="4"/>
        <v>0</v>
      </c>
      <c r="F16" s="31">
        <f t="shared" si="17"/>
        <v>22379</v>
      </c>
      <c r="G16" s="14">
        <f t="shared" si="5"/>
        <v>0</v>
      </c>
      <c r="H16" s="31">
        <f t="shared" si="18"/>
        <v>260836</v>
      </c>
      <c r="I16" s="14">
        <f t="shared" si="6"/>
        <v>0</v>
      </c>
      <c r="J16" s="31">
        <f t="shared" si="19"/>
        <v>347024</v>
      </c>
      <c r="K16" s="14">
        <f t="shared" si="7"/>
        <v>0</v>
      </c>
      <c r="L16" s="31">
        <f t="shared" si="20"/>
        <v>26768</v>
      </c>
      <c r="M16" s="14">
        <f t="shared" si="8"/>
        <v>0</v>
      </c>
      <c r="N16" s="31">
        <f t="shared" si="21"/>
        <v>226661</v>
      </c>
      <c r="O16" s="14">
        <f t="shared" si="9"/>
        <v>0</v>
      </c>
      <c r="P16" s="31">
        <f t="shared" si="14"/>
        <v>182365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13"/>
        <v>4114</v>
      </c>
      <c r="U16" s="14">
        <f t="shared" si="11"/>
        <v>0</v>
      </c>
      <c r="W16" t="s">
        <v>12</v>
      </c>
    </row>
    <row r="17" spans="1:23" ht="13.5" thickBot="1" x14ac:dyDescent="0.25">
      <c r="A17" s="9">
        <v>44910</v>
      </c>
      <c r="B17" s="31">
        <f t="shared" si="15"/>
        <v>47977</v>
      </c>
      <c r="C17" s="14">
        <f t="shared" si="3"/>
        <v>0</v>
      </c>
      <c r="D17" s="31">
        <f t="shared" si="16"/>
        <v>41223</v>
      </c>
      <c r="E17" s="14">
        <f t="shared" si="4"/>
        <v>0</v>
      </c>
      <c r="F17" s="31">
        <f t="shared" si="17"/>
        <v>22379</v>
      </c>
      <c r="G17" s="14">
        <f t="shared" si="5"/>
        <v>0</v>
      </c>
      <c r="H17" s="31">
        <f t="shared" si="18"/>
        <v>260836</v>
      </c>
      <c r="I17" s="14">
        <f t="shared" si="6"/>
        <v>0</v>
      </c>
      <c r="J17" s="31">
        <f t="shared" si="19"/>
        <v>347024</v>
      </c>
      <c r="K17" s="14">
        <f t="shared" si="7"/>
        <v>0</v>
      </c>
      <c r="L17" s="31">
        <f t="shared" si="20"/>
        <v>26768</v>
      </c>
      <c r="M17" s="14">
        <f t="shared" si="8"/>
        <v>0</v>
      </c>
      <c r="N17" s="31">
        <f t="shared" si="21"/>
        <v>226661</v>
      </c>
      <c r="O17" s="14">
        <f t="shared" si="9"/>
        <v>0</v>
      </c>
      <c r="P17" s="31">
        <f t="shared" si="14"/>
        <v>182365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13"/>
        <v>4114</v>
      </c>
      <c r="U17" s="14">
        <f t="shared" si="11"/>
        <v>0</v>
      </c>
    </row>
    <row r="18" spans="1:23" ht="13.5" thickBot="1" x14ac:dyDescent="0.25">
      <c r="A18" s="9">
        <v>44911</v>
      </c>
      <c r="B18" s="31">
        <f t="shared" si="15"/>
        <v>47977</v>
      </c>
      <c r="C18" s="14">
        <f t="shared" si="3"/>
        <v>0</v>
      </c>
      <c r="D18" s="31">
        <f t="shared" si="16"/>
        <v>41223</v>
      </c>
      <c r="E18" s="14">
        <f t="shared" si="4"/>
        <v>0</v>
      </c>
      <c r="F18" s="31">
        <f t="shared" si="17"/>
        <v>22379</v>
      </c>
      <c r="G18" s="14">
        <f t="shared" si="5"/>
        <v>0</v>
      </c>
      <c r="H18" s="31">
        <f t="shared" si="18"/>
        <v>260836</v>
      </c>
      <c r="I18" s="14">
        <f t="shared" si="6"/>
        <v>0</v>
      </c>
      <c r="J18" s="31">
        <f t="shared" si="19"/>
        <v>347024</v>
      </c>
      <c r="K18" s="14">
        <f t="shared" si="7"/>
        <v>0</v>
      </c>
      <c r="L18" s="31">
        <f t="shared" si="20"/>
        <v>26768</v>
      </c>
      <c r="M18" s="14">
        <f t="shared" si="8"/>
        <v>0</v>
      </c>
      <c r="N18" s="31">
        <f t="shared" si="21"/>
        <v>226661</v>
      </c>
      <c r="O18" s="14">
        <f t="shared" si="9"/>
        <v>0</v>
      </c>
      <c r="P18" s="31">
        <f t="shared" si="14"/>
        <v>182365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13"/>
        <v>4114</v>
      </c>
      <c r="U18" s="14">
        <f t="shared" si="11"/>
        <v>0</v>
      </c>
    </row>
    <row r="19" spans="1:23" ht="13.5" thickBot="1" x14ac:dyDescent="0.25">
      <c r="A19" s="9">
        <v>44912</v>
      </c>
      <c r="B19" s="31">
        <f t="shared" si="15"/>
        <v>47977</v>
      </c>
      <c r="C19" s="14">
        <f t="shared" si="3"/>
        <v>0</v>
      </c>
      <c r="D19" s="31">
        <f t="shared" si="16"/>
        <v>41223</v>
      </c>
      <c r="E19" s="14">
        <f t="shared" si="4"/>
        <v>0</v>
      </c>
      <c r="F19" s="31">
        <f t="shared" si="17"/>
        <v>22379</v>
      </c>
      <c r="G19" s="14">
        <f t="shared" si="5"/>
        <v>0</v>
      </c>
      <c r="H19" s="31">
        <f t="shared" si="18"/>
        <v>260836</v>
      </c>
      <c r="I19" s="14">
        <f t="shared" si="6"/>
        <v>0</v>
      </c>
      <c r="J19" s="31">
        <f t="shared" si="19"/>
        <v>347024</v>
      </c>
      <c r="K19" s="14">
        <f t="shared" si="7"/>
        <v>0</v>
      </c>
      <c r="L19" s="31">
        <f t="shared" si="20"/>
        <v>26768</v>
      </c>
      <c r="M19" s="14">
        <f t="shared" si="8"/>
        <v>0</v>
      </c>
      <c r="N19" s="31">
        <f t="shared" si="21"/>
        <v>226661</v>
      </c>
      <c r="O19" s="14">
        <f t="shared" si="9"/>
        <v>0</v>
      </c>
      <c r="P19" s="31">
        <f t="shared" si="14"/>
        <v>182365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13"/>
        <v>4114</v>
      </c>
      <c r="U19" s="14">
        <f t="shared" si="11"/>
        <v>0</v>
      </c>
      <c r="W19" t="s">
        <v>12</v>
      </c>
    </row>
    <row r="20" spans="1:23" ht="13.5" thickBot="1" x14ac:dyDescent="0.25">
      <c r="A20" s="9">
        <v>44913</v>
      </c>
      <c r="B20" s="31">
        <f t="shared" si="15"/>
        <v>47977</v>
      </c>
      <c r="C20" s="14">
        <f t="shared" si="3"/>
        <v>0</v>
      </c>
      <c r="D20" s="31">
        <f t="shared" si="16"/>
        <v>41223</v>
      </c>
      <c r="E20" s="14">
        <f t="shared" si="4"/>
        <v>0</v>
      </c>
      <c r="F20" s="31">
        <f t="shared" si="17"/>
        <v>22379</v>
      </c>
      <c r="G20" s="14">
        <f t="shared" si="5"/>
        <v>0</v>
      </c>
      <c r="H20" s="31">
        <f t="shared" si="18"/>
        <v>260836</v>
      </c>
      <c r="I20" s="14">
        <f t="shared" si="6"/>
        <v>0</v>
      </c>
      <c r="J20" s="31">
        <f t="shared" si="19"/>
        <v>347024</v>
      </c>
      <c r="K20" s="14">
        <f t="shared" si="7"/>
        <v>0</v>
      </c>
      <c r="L20" s="31">
        <f t="shared" si="20"/>
        <v>26768</v>
      </c>
      <c r="M20" s="14">
        <f t="shared" si="8"/>
        <v>0</v>
      </c>
      <c r="N20" s="31">
        <f t="shared" si="21"/>
        <v>226661</v>
      </c>
      <c r="O20" s="14">
        <f t="shared" si="9"/>
        <v>0</v>
      </c>
      <c r="P20" s="31">
        <f t="shared" si="14"/>
        <v>182365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13"/>
        <v>4114</v>
      </c>
      <c r="U20" s="14">
        <f t="shared" si="11"/>
        <v>0</v>
      </c>
    </row>
    <row r="21" spans="1:23" ht="13.5" thickBot="1" x14ac:dyDescent="0.25">
      <c r="A21" s="9">
        <v>44914</v>
      </c>
      <c r="B21" s="31">
        <f t="shared" si="15"/>
        <v>47977</v>
      </c>
      <c r="C21" s="14">
        <f t="shared" si="3"/>
        <v>0</v>
      </c>
      <c r="D21" s="31">
        <f t="shared" si="16"/>
        <v>41223</v>
      </c>
      <c r="E21" s="14">
        <f t="shared" si="4"/>
        <v>0</v>
      </c>
      <c r="F21" s="31">
        <f t="shared" si="17"/>
        <v>22379</v>
      </c>
      <c r="G21" s="14">
        <f t="shared" si="5"/>
        <v>0</v>
      </c>
      <c r="H21" s="31">
        <f t="shared" si="18"/>
        <v>260836</v>
      </c>
      <c r="I21" s="14">
        <f t="shared" si="6"/>
        <v>0</v>
      </c>
      <c r="J21" s="31">
        <f t="shared" si="19"/>
        <v>347024</v>
      </c>
      <c r="K21" s="14">
        <f t="shared" si="7"/>
        <v>0</v>
      </c>
      <c r="L21" s="31">
        <f t="shared" si="20"/>
        <v>26768</v>
      </c>
      <c r="M21" s="14">
        <f t="shared" si="8"/>
        <v>0</v>
      </c>
      <c r="N21" s="31">
        <f t="shared" si="21"/>
        <v>226661</v>
      </c>
      <c r="O21" s="14">
        <f t="shared" si="9"/>
        <v>0</v>
      </c>
      <c r="P21" s="31">
        <f t="shared" si="14"/>
        <v>182365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13"/>
        <v>4114</v>
      </c>
      <c r="U21" s="14">
        <f t="shared" si="11"/>
        <v>0</v>
      </c>
    </row>
    <row r="22" spans="1:23" ht="13.5" thickBot="1" x14ac:dyDescent="0.25">
      <c r="A22" s="9">
        <v>44915</v>
      </c>
      <c r="B22" s="31">
        <f t="shared" si="15"/>
        <v>47977</v>
      </c>
      <c r="C22" s="14">
        <f t="shared" si="3"/>
        <v>0</v>
      </c>
      <c r="D22" s="31">
        <f t="shared" si="16"/>
        <v>41223</v>
      </c>
      <c r="E22" s="14">
        <f t="shared" si="4"/>
        <v>0</v>
      </c>
      <c r="F22" s="31">
        <f t="shared" si="17"/>
        <v>22379</v>
      </c>
      <c r="G22" s="14">
        <f t="shared" si="5"/>
        <v>0</v>
      </c>
      <c r="H22" s="31">
        <f t="shared" si="18"/>
        <v>260836</v>
      </c>
      <c r="I22" s="14">
        <f t="shared" si="6"/>
        <v>0</v>
      </c>
      <c r="J22" s="31">
        <f t="shared" si="19"/>
        <v>347024</v>
      </c>
      <c r="K22" s="14">
        <f t="shared" si="7"/>
        <v>0</v>
      </c>
      <c r="L22" s="31">
        <f t="shared" si="20"/>
        <v>26768</v>
      </c>
      <c r="M22" s="14">
        <f t="shared" si="8"/>
        <v>0</v>
      </c>
      <c r="N22" s="31">
        <f t="shared" si="21"/>
        <v>226661</v>
      </c>
      <c r="O22" s="14">
        <f t="shared" si="9"/>
        <v>0</v>
      </c>
      <c r="P22" s="31">
        <f t="shared" si="14"/>
        <v>182365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13"/>
        <v>4114</v>
      </c>
      <c r="U22" s="14">
        <f t="shared" si="11"/>
        <v>0</v>
      </c>
    </row>
    <row r="23" spans="1:23" ht="13.5" thickBot="1" x14ac:dyDescent="0.25">
      <c r="A23" s="9">
        <v>44916</v>
      </c>
      <c r="B23" s="31">
        <f t="shared" si="15"/>
        <v>47977</v>
      </c>
      <c r="C23" s="14">
        <f t="shared" si="3"/>
        <v>0</v>
      </c>
      <c r="D23" s="31">
        <f t="shared" si="16"/>
        <v>41223</v>
      </c>
      <c r="E23" s="14">
        <f t="shared" si="4"/>
        <v>0</v>
      </c>
      <c r="F23" s="31">
        <f t="shared" si="17"/>
        <v>22379</v>
      </c>
      <c r="G23" s="14">
        <f t="shared" si="5"/>
        <v>0</v>
      </c>
      <c r="H23" s="31">
        <f t="shared" si="18"/>
        <v>260836</v>
      </c>
      <c r="I23" s="14">
        <f t="shared" si="6"/>
        <v>0</v>
      </c>
      <c r="J23" s="31">
        <f t="shared" si="19"/>
        <v>347024</v>
      </c>
      <c r="K23" s="14">
        <f t="shared" si="7"/>
        <v>0</v>
      </c>
      <c r="L23" s="31">
        <f t="shared" si="20"/>
        <v>26768</v>
      </c>
      <c r="M23" s="14">
        <f t="shared" si="8"/>
        <v>0</v>
      </c>
      <c r="N23" s="31">
        <f t="shared" si="21"/>
        <v>226661</v>
      </c>
      <c r="O23" s="14">
        <f t="shared" si="9"/>
        <v>0</v>
      </c>
      <c r="P23" s="31">
        <f t="shared" si="14"/>
        <v>182365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13"/>
        <v>4114</v>
      </c>
      <c r="U23" s="14">
        <f t="shared" si="11"/>
        <v>0</v>
      </c>
    </row>
    <row r="24" spans="1:23" s="118" customFormat="1" ht="13.5" thickBot="1" x14ac:dyDescent="0.25">
      <c r="A24" s="9">
        <v>44917</v>
      </c>
      <c r="B24" s="31">
        <f t="shared" si="15"/>
        <v>47977</v>
      </c>
      <c r="C24" s="14">
        <f t="shared" si="3"/>
        <v>0</v>
      </c>
      <c r="D24" s="31">
        <f t="shared" si="16"/>
        <v>41223</v>
      </c>
      <c r="E24" s="14">
        <f t="shared" si="4"/>
        <v>0</v>
      </c>
      <c r="F24" s="31">
        <f t="shared" si="17"/>
        <v>22379</v>
      </c>
      <c r="G24" s="14">
        <f t="shared" si="5"/>
        <v>0</v>
      </c>
      <c r="H24" s="31">
        <f t="shared" si="18"/>
        <v>260836</v>
      </c>
      <c r="I24" s="14">
        <f t="shared" si="6"/>
        <v>0</v>
      </c>
      <c r="J24" s="31">
        <f t="shared" si="19"/>
        <v>347024</v>
      </c>
      <c r="K24" s="14">
        <f t="shared" si="7"/>
        <v>0</v>
      </c>
      <c r="L24" s="31">
        <f t="shared" si="20"/>
        <v>26768</v>
      </c>
      <c r="M24" s="14">
        <f t="shared" si="8"/>
        <v>0</v>
      </c>
      <c r="N24" s="31">
        <f t="shared" si="21"/>
        <v>226661</v>
      </c>
      <c r="O24" s="14">
        <f t="shared" si="9"/>
        <v>0</v>
      </c>
      <c r="P24" s="31">
        <f t="shared" si="14"/>
        <v>182365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13"/>
        <v>4114</v>
      </c>
      <c r="U24" s="14">
        <f t="shared" si="11"/>
        <v>0</v>
      </c>
    </row>
    <row r="25" spans="1:23" ht="13.5" thickBot="1" x14ac:dyDescent="0.25">
      <c r="A25" s="9">
        <v>44918</v>
      </c>
      <c r="B25" s="31">
        <f t="shared" si="15"/>
        <v>47977</v>
      </c>
      <c r="C25" s="14">
        <f t="shared" si="3"/>
        <v>0</v>
      </c>
      <c r="D25" s="31">
        <f t="shared" si="16"/>
        <v>41223</v>
      </c>
      <c r="E25" s="14">
        <f t="shared" si="4"/>
        <v>0</v>
      </c>
      <c r="F25" s="31">
        <f t="shared" si="17"/>
        <v>22379</v>
      </c>
      <c r="G25" s="14">
        <f t="shared" si="5"/>
        <v>0</v>
      </c>
      <c r="H25" s="31">
        <f t="shared" si="18"/>
        <v>260836</v>
      </c>
      <c r="I25" s="14">
        <f t="shared" si="6"/>
        <v>0</v>
      </c>
      <c r="J25" s="31">
        <f t="shared" si="19"/>
        <v>347024</v>
      </c>
      <c r="K25" s="14">
        <f t="shared" si="7"/>
        <v>0</v>
      </c>
      <c r="L25" s="31">
        <f t="shared" si="20"/>
        <v>26768</v>
      </c>
      <c r="M25" s="14">
        <f t="shared" si="8"/>
        <v>0</v>
      </c>
      <c r="N25" s="31">
        <f t="shared" si="21"/>
        <v>226661</v>
      </c>
      <c r="O25" s="14">
        <f t="shared" si="9"/>
        <v>0</v>
      </c>
      <c r="P25" s="31">
        <f t="shared" si="14"/>
        <v>182365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13"/>
        <v>4114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44919</v>
      </c>
      <c r="B26" s="31">
        <f t="shared" si="15"/>
        <v>47977</v>
      </c>
      <c r="C26" s="14">
        <f t="shared" si="3"/>
        <v>0</v>
      </c>
      <c r="D26" s="31">
        <f t="shared" si="16"/>
        <v>41223</v>
      </c>
      <c r="E26" s="14">
        <f t="shared" si="4"/>
        <v>0</v>
      </c>
      <c r="F26" s="31">
        <f t="shared" si="17"/>
        <v>22379</v>
      </c>
      <c r="G26" s="14">
        <f t="shared" si="5"/>
        <v>0</v>
      </c>
      <c r="H26" s="31">
        <f t="shared" si="18"/>
        <v>260836</v>
      </c>
      <c r="I26" s="14">
        <f t="shared" si="6"/>
        <v>0</v>
      </c>
      <c r="J26" s="31">
        <f t="shared" si="19"/>
        <v>347024</v>
      </c>
      <c r="K26" s="14">
        <f t="shared" si="7"/>
        <v>0</v>
      </c>
      <c r="L26" s="31">
        <f t="shared" si="20"/>
        <v>26768</v>
      </c>
      <c r="M26" s="14">
        <f t="shared" si="8"/>
        <v>0</v>
      </c>
      <c r="N26" s="31">
        <f t="shared" si="21"/>
        <v>226661</v>
      </c>
      <c r="O26" s="14">
        <f t="shared" si="9"/>
        <v>0</v>
      </c>
      <c r="P26" s="31">
        <f t="shared" si="14"/>
        <v>182365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13"/>
        <v>4114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f t="shared" si="15"/>
        <v>47977</v>
      </c>
      <c r="C27" s="14">
        <f t="shared" si="3"/>
        <v>0</v>
      </c>
      <c r="D27" s="31">
        <f t="shared" si="16"/>
        <v>41223</v>
      </c>
      <c r="E27" s="14">
        <f t="shared" si="4"/>
        <v>0</v>
      </c>
      <c r="F27" s="31">
        <f t="shared" si="17"/>
        <v>22379</v>
      </c>
      <c r="G27" s="14">
        <f t="shared" si="5"/>
        <v>0</v>
      </c>
      <c r="H27" s="31">
        <f t="shared" si="18"/>
        <v>260836</v>
      </c>
      <c r="I27" s="14">
        <f t="shared" si="6"/>
        <v>0</v>
      </c>
      <c r="J27" s="31">
        <f t="shared" si="19"/>
        <v>347024</v>
      </c>
      <c r="K27" s="14">
        <f t="shared" si="7"/>
        <v>0</v>
      </c>
      <c r="L27" s="31">
        <f t="shared" si="20"/>
        <v>26768</v>
      </c>
      <c r="M27" s="14">
        <f t="shared" si="8"/>
        <v>0</v>
      </c>
      <c r="N27" s="31">
        <f t="shared" si="21"/>
        <v>226661</v>
      </c>
      <c r="O27" s="14">
        <f t="shared" si="9"/>
        <v>0</v>
      </c>
      <c r="P27" s="31">
        <f t="shared" si="14"/>
        <v>182365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13"/>
        <v>4114</v>
      </c>
      <c r="U27" s="14">
        <f t="shared" si="11"/>
        <v>0</v>
      </c>
    </row>
    <row r="28" spans="1:23" ht="13.5" thickBot="1" x14ac:dyDescent="0.25">
      <c r="A28" s="9">
        <v>44921</v>
      </c>
      <c r="B28" s="31">
        <f t="shared" si="15"/>
        <v>47977</v>
      </c>
      <c r="C28" s="14">
        <f t="shared" si="3"/>
        <v>0</v>
      </c>
      <c r="D28" s="31">
        <f t="shared" si="16"/>
        <v>41223</v>
      </c>
      <c r="E28" s="14">
        <f t="shared" si="4"/>
        <v>0</v>
      </c>
      <c r="F28" s="31">
        <f t="shared" si="17"/>
        <v>22379</v>
      </c>
      <c r="G28" s="14">
        <f t="shared" si="5"/>
        <v>0</v>
      </c>
      <c r="H28" s="31">
        <f t="shared" si="18"/>
        <v>260836</v>
      </c>
      <c r="I28" s="14">
        <f t="shared" si="6"/>
        <v>0</v>
      </c>
      <c r="J28" s="31">
        <f t="shared" si="19"/>
        <v>347024</v>
      </c>
      <c r="K28" s="14">
        <f t="shared" si="7"/>
        <v>0</v>
      </c>
      <c r="L28" s="31">
        <f t="shared" si="20"/>
        <v>26768</v>
      </c>
      <c r="M28" s="14">
        <f t="shared" si="8"/>
        <v>0</v>
      </c>
      <c r="N28" s="31">
        <f t="shared" si="21"/>
        <v>226661</v>
      </c>
      <c r="O28" s="14">
        <f t="shared" si="9"/>
        <v>0</v>
      </c>
      <c r="P28" s="31">
        <f t="shared" si="14"/>
        <v>182365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13"/>
        <v>4114</v>
      </c>
      <c r="U28" s="14">
        <f t="shared" si="11"/>
        <v>0</v>
      </c>
    </row>
    <row r="29" spans="1:23" ht="13.5" thickBot="1" x14ac:dyDescent="0.25">
      <c r="A29" s="9">
        <v>44922</v>
      </c>
      <c r="B29" s="31">
        <f t="shared" si="15"/>
        <v>47977</v>
      </c>
      <c r="C29" s="14">
        <f t="shared" si="3"/>
        <v>0</v>
      </c>
      <c r="D29" s="31">
        <f t="shared" si="16"/>
        <v>41223</v>
      </c>
      <c r="E29" s="14">
        <f t="shared" si="4"/>
        <v>0</v>
      </c>
      <c r="F29" s="31">
        <f t="shared" si="17"/>
        <v>22379</v>
      </c>
      <c r="G29" s="14">
        <f t="shared" si="5"/>
        <v>0</v>
      </c>
      <c r="H29" s="31">
        <f t="shared" si="18"/>
        <v>260836</v>
      </c>
      <c r="I29" s="14">
        <f t="shared" si="6"/>
        <v>0</v>
      </c>
      <c r="J29" s="31">
        <f t="shared" si="19"/>
        <v>347024</v>
      </c>
      <c r="K29" s="14">
        <f t="shared" si="7"/>
        <v>0</v>
      </c>
      <c r="L29" s="31">
        <f t="shared" si="20"/>
        <v>26768</v>
      </c>
      <c r="M29" s="14">
        <f t="shared" si="8"/>
        <v>0</v>
      </c>
      <c r="N29" s="31">
        <f t="shared" si="21"/>
        <v>226661</v>
      </c>
      <c r="O29" s="14">
        <f t="shared" si="9"/>
        <v>0</v>
      </c>
      <c r="P29" s="31">
        <f t="shared" si="14"/>
        <v>182365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13"/>
        <v>4114</v>
      </c>
      <c r="U29" s="14">
        <f t="shared" si="11"/>
        <v>0</v>
      </c>
    </row>
    <row r="30" spans="1:23" ht="13.5" thickBot="1" x14ac:dyDescent="0.25">
      <c r="A30" s="9">
        <v>44923</v>
      </c>
      <c r="B30" s="31">
        <f t="shared" si="15"/>
        <v>47977</v>
      </c>
      <c r="C30" s="14">
        <f t="shared" si="3"/>
        <v>0</v>
      </c>
      <c r="D30" s="31">
        <f t="shared" si="16"/>
        <v>41223</v>
      </c>
      <c r="E30" s="14">
        <f t="shared" si="4"/>
        <v>0</v>
      </c>
      <c r="F30" s="31">
        <f t="shared" si="17"/>
        <v>22379</v>
      </c>
      <c r="G30" s="14">
        <f t="shared" si="5"/>
        <v>0</v>
      </c>
      <c r="H30" s="31">
        <f t="shared" si="18"/>
        <v>260836</v>
      </c>
      <c r="I30" s="14">
        <f t="shared" si="6"/>
        <v>0</v>
      </c>
      <c r="J30" s="31">
        <f t="shared" si="19"/>
        <v>347024</v>
      </c>
      <c r="K30" s="14">
        <f t="shared" si="7"/>
        <v>0</v>
      </c>
      <c r="L30" s="31">
        <f t="shared" si="20"/>
        <v>26768</v>
      </c>
      <c r="M30" s="14">
        <f t="shared" si="8"/>
        <v>0</v>
      </c>
      <c r="N30" s="31">
        <f t="shared" si="21"/>
        <v>226661</v>
      </c>
      <c r="O30" s="14">
        <f t="shared" si="9"/>
        <v>0</v>
      </c>
      <c r="P30" s="31">
        <f t="shared" si="14"/>
        <v>182365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13"/>
        <v>4114</v>
      </c>
      <c r="U30" s="14">
        <f t="shared" si="11"/>
        <v>0</v>
      </c>
    </row>
    <row r="31" spans="1:23" ht="13.5" thickBot="1" x14ac:dyDescent="0.25">
      <c r="A31" s="9">
        <v>44924</v>
      </c>
      <c r="B31" s="31">
        <f t="shared" si="15"/>
        <v>47977</v>
      </c>
      <c r="C31" s="14">
        <f t="shared" si="3"/>
        <v>0</v>
      </c>
      <c r="D31" s="31">
        <f t="shared" si="16"/>
        <v>41223</v>
      </c>
      <c r="E31" s="14">
        <f t="shared" si="4"/>
        <v>0</v>
      </c>
      <c r="F31" s="31">
        <f t="shared" si="17"/>
        <v>22379</v>
      </c>
      <c r="G31" s="14">
        <f t="shared" si="5"/>
        <v>0</v>
      </c>
      <c r="H31" s="31">
        <f t="shared" si="18"/>
        <v>260836</v>
      </c>
      <c r="I31" s="14">
        <f t="shared" si="6"/>
        <v>0</v>
      </c>
      <c r="J31" s="31">
        <f t="shared" si="19"/>
        <v>347024</v>
      </c>
      <c r="K31" s="14">
        <f t="shared" si="7"/>
        <v>0</v>
      </c>
      <c r="L31" s="31">
        <f t="shared" si="20"/>
        <v>26768</v>
      </c>
      <c r="M31" s="14">
        <f t="shared" si="8"/>
        <v>0</v>
      </c>
      <c r="N31" s="31">
        <f t="shared" si="21"/>
        <v>226661</v>
      </c>
      <c r="O31" s="14">
        <f t="shared" si="9"/>
        <v>0</v>
      </c>
      <c r="P31" s="31">
        <f t="shared" si="14"/>
        <v>182365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13"/>
        <v>4114</v>
      </c>
      <c r="U31" s="14">
        <f t="shared" si="11"/>
        <v>0</v>
      </c>
    </row>
    <row r="32" spans="1:23" ht="13.5" thickBot="1" x14ac:dyDescent="0.25">
      <c r="A32" s="9">
        <v>44925</v>
      </c>
      <c r="B32" s="31">
        <f t="shared" si="15"/>
        <v>47977</v>
      </c>
      <c r="C32" s="14">
        <f>(B32-B31)*800/5</f>
        <v>0</v>
      </c>
      <c r="D32" s="31">
        <f t="shared" si="16"/>
        <v>41223</v>
      </c>
      <c r="E32" s="14">
        <f>(D32-D31)*800/5</f>
        <v>0</v>
      </c>
      <c r="F32" s="31">
        <f t="shared" si="17"/>
        <v>22379</v>
      </c>
      <c r="G32" s="14">
        <f>(F32-F31)*100/5</f>
        <v>0</v>
      </c>
      <c r="H32" s="31">
        <f t="shared" si="18"/>
        <v>260836</v>
      </c>
      <c r="I32" s="14">
        <f>(H32-H31)</f>
        <v>0</v>
      </c>
      <c r="J32" s="31">
        <f t="shared" si="19"/>
        <v>347024</v>
      </c>
      <c r="K32" s="14">
        <f>(J32-J31)</f>
        <v>0</v>
      </c>
      <c r="L32" s="31">
        <f t="shared" si="20"/>
        <v>26768</v>
      </c>
      <c r="M32" s="14">
        <f>(L32-L31)*300/5</f>
        <v>0</v>
      </c>
      <c r="N32" s="31">
        <f t="shared" si="21"/>
        <v>226661</v>
      </c>
      <c r="O32" s="14">
        <f>N32-N31</f>
        <v>0</v>
      </c>
      <c r="P32" s="31">
        <f t="shared" si="14"/>
        <v>182365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13"/>
        <v>4114</v>
      </c>
      <c r="U32" s="14">
        <f>(T32-T31)*800/5</f>
        <v>0</v>
      </c>
    </row>
    <row r="33" spans="1:21" ht="13.5" thickBot="1" x14ac:dyDescent="0.25">
      <c r="A33" s="9">
        <v>44926</v>
      </c>
      <c r="B33" s="31">
        <f t="shared" si="15"/>
        <v>47977</v>
      </c>
      <c r="C33" s="14">
        <f>(B33-B32)*800/5</f>
        <v>0</v>
      </c>
      <c r="D33" s="31">
        <f t="shared" si="16"/>
        <v>41223</v>
      </c>
      <c r="E33" s="14">
        <f>(D33-D32)*800/5</f>
        <v>0</v>
      </c>
      <c r="F33" s="31">
        <f t="shared" si="17"/>
        <v>22379</v>
      </c>
      <c r="G33" s="14">
        <f>(F33-F32)*100/5</f>
        <v>0</v>
      </c>
      <c r="H33" s="31">
        <f t="shared" si="18"/>
        <v>260836</v>
      </c>
      <c r="I33" s="14">
        <f>(H33-H32)</f>
        <v>0</v>
      </c>
      <c r="J33" s="31">
        <f t="shared" si="19"/>
        <v>347024</v>
      </c>
      <c r="K33" s="14">
        <f>(J33-J32)</f>
        <v>0</v>
      </c>
      <c r="L33" s="31">
        <f t="shared" si="20"/>
        <v>26768</v>
      </c>
      <c r="M33" s="14">
        <f>(L33-L32)*300/5</f>
        <v>0</v>
      </c>
      <c r="N33" s="31">
        <f t="shared" si="21"/>
        <v>226661</v>
      </c>
      <c r="O33" s="14">
        <f>N33-N32</f>
        <v>0</v>
      </c>
      <c r="P33" s="31">
        <f t="shared" si="14"/>
        <v>182365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13"/>
        <v>4114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8320</v>
      </c>
      <c r="D34" s="14"/>
      <c r="E34" s="14">
        <f>SUM(E3:E33)</f>
        <v>5600</v>
      </c>
      <c r="F34" s="14"/>
      <c r="G34" s="14">
        <f>SUM(G3:G33)</f>
        <v>800</v>
      </c>
      <c r="H34" s="14"/>
      <c r="I34" s="14">
        <f>SUM(I3:I33)</f>
        <v>263</v>
      </c>
      <c r="J34" s="14"/>
      <c r="K34" s="14">
        <f>SUM(K3:K33)</f>
        <v>1891</v>
      </c>
      <c r="L34" s="14"/>
      <c r="M34" s="14">
        <f>SUM(M3:M33)</f>
        <v>2160</v>
      </c>
      <c r="N34" s="14"/>
      <c r="O34" s="14">
        <f>SUM(O3:O33)</f>
        <v>38</v>
      </c>
      <c r="P34" s="14"/>
      <c r="Q34" s="14">
        <f>SUM(Q3:Q33)</f>
        <v>1409</v>
      </c>
      <c r="R34" s="14"/>
      <c r="S34" s="14">
        <f>SUM(S3:S33)</f>
        <v>0</v>
      </c>
      <c r="T34" s="14"/>
      <c r="U34" s="14">
        <f>SUM(U3:U33)</f>
        <v>1280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B15" sqref="B15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>
        <v>263</v>
      </c>
      <c r="C6" s="130">
        <v>20380</v>
      </c>
      <c r="D6" s="37">
        <f t="shared" si="4"/>
        <v>320</v>
      </c>
      <c r="E6" s="131">
        <v>34877754</v>
      </c>
      <c r="F6" s="37">
        <f t="shared" si="5"/>
        <v>13759</v>
      </c>
      <c r="G6" s="132">
        <v>9677539</v>
      </c>
      <c r="H6" s="37">
        <f t="shared" si="6"/>
        <v>36931</v>
      </c>
      <c r="I6" s="133">
        <f t="shared" si="7"/>
        <v>50690</v>
      </c>
      <c r="J6" s="131">
        <v>979738</v>
      </c>
      <c r="K6" s="37">
        <f t="shared" si="15"/>
        <v>11004</v>
      </c>
      <c r="L6" s="134">
        <v>1291997</v>
      </c>
      <c r="M6" s="37">
        <f t="shared" si="8"/>
        <v>4986</v>
      </c>
      <c r="N6" s="131">
        <v>7920131</v>
      </c>
      <c r="O6" s="37">
        <f t="shared" si="16"/>
        <v>8612</v>
      </c>
      <c r="P6" s="134">
        <v>8953725</v>
      </c>
      <c r="Q6" s="37">
        <f t="shared" si="9"/>
        <v>2268</v>
      </c>
      <c r="R6" s="131">
        <v>23269289</v>
      </c>
      <c r="S6" s="37">
        <f t="shared" si="10"/>
        <v>9195</v>
      </c>
      <c r="T6" s="131"/>
      <c r="U6" s="135"/>
      <c r="V6" s="131">
        <v>1357002</v>
      </c>
      <c r="W6" s="37">
        <f t="shared" si="11"/>
        <v>9556</v>
      </c>
      <c r="X6" s="19">
        <f t="shared" si="12"/>
        <v>45621</v>
      </c>
      <c r="Y6" s="150">
        <f t="shared" si="13"/>
        <v>5069</v>
      </c>
      <c r="Z6" s="3">
        <f t="shared" si="14"/>
        <v>6126.2285552000003</v>
      </c>
      <c r="AA6" s="3">
        <f>SUM(Z1:Z6)</f>
        <v>28860.922500799999</v>
      </c>
    </row>
    <row r="7" spans="1:27" ht="16.5" thickBot="1" x14ac:dyDescent="0.3">
      <c r="A7" s="9">
        <v>44900</v>
      </c>
      <c r="B7" s="37">
        <v>245</v>
      </c>
      <c r="C7" s="130">
        <v>20383</v>
      </c>
      <c r="D7" s="37">
        <f t="shared" si="4"/>
        <v>480</v>
      </c>
      <c r="E7" s="131">
        <v>34898184</v>
      </c>
      <c r="F7" s="37">
        <f t="shared" si="5"/>
        <v>20430</v>
      </c>
      <c r="G7" s="132">
        <v>9731482</v>
      </c>
      <c r="H7" s="37">
        <f t="shared" si="6"/>
        <v>53943</v>
      </c>
      <c r="I7" s="133">
        <f t="shared" si="7"/>
        <v>74373</v>
      </c>
      <c r="J7" s="131">
        <v>987448</v>
      </c>
      <c r="K7" s="37">
        <f t="shared" si="15"/>
        <v>15420</v>
      </c>
      <c r="L7" s="134">
        <v>1299492</v>
      </c>
      <c r="M7" s="37">
        <f t="shared" si="8"/>
        <v>7495</v>
      </c>
      <c r="N7" s="131">
        <v>7926482</v>
      </c>
      <c r="O7" s="37">
        <f t="shared" si="16"/>
        <v>12702</v>
      </c>
      <c r="P7" s="134">
        <v>8957276</v>
      </c>
      <c r="Q7" s="37">
        <f t="shared" si="9"/>
        <v>3551</v>
      </c>
      <c r="R7" s="131">
        <v>23282528</v>
      </c>
      <c r="S7" s="37">
        <f t="shared" si="10"/>
        <v>13239</v>
      </c>
      <c r="T7" s="131"/>
      <c r="U7" s="135"/>
      <c r="V7" s="131">
        <v>1371109</v>
      </c>
      <c r="W7" s="37">
        <f t="shared" si="11"/>
        <v>14107</v>
      </c>
      <c r="X7" s="19">
        <f t="shared" si="12"/>
        <v>66514</v>
      </c>
      <c r="Y7" s="150">
        <f t="shared" si="13"/>
        <v>7859</v>
      </c>
      <c r="Z7" s="3">
        <f t="shared" si="14"/>
        <v>8990.2041632</v>
      </c>
      <c r="AA7" s="3">
        <f>SUM(Z1:Z7)</f>
        <v>37851.126663999996</v>
      </c>
    </row>
    <row r="8" spans="1:27" ht="16.5" thickBot="1" x14ac:dyDescent="0.3">
      <c r="A8" s="9">
        <v>44901</v>
      </c>
      <c r="B8" s="37">
        <v>264</v>
      </c>
      <c r="C8" s="130">
        <v>20385</v>
      </c>
      <c r="D8" s="37">
        <f t="shared" si="4"/>
        <v>320</v>
      </c>
      <c r="E8" s="131">
        <v>34912377</v>
      </c>
      <c r="F8" s="37">
        <f t="shared" si="5"/>
        <v>14193</v>
      </c>
      <c r="G8" s="132">
        <v>9769228</v>
      </c>
      <c r="H8" s="37">
        <f t="shared" si="6"/>
        <v>37746</v>
      </c>
      <c r="I8" s="133">
        <f t="shared" si="7"/>
        <v>51939</v>
      </c>
      <c r="J8" s="131">
        <v>992675</v>
      </c>
      <c r="K8" s="37">
        <f t="shared" si="15"/>
        <v>10454</v>
      </c>
      <c r="L8" s="134">
        <v>1305003</v>
      </c>
      <c r="M8" s="37">
        <f t="shared" si="8"/>
        <v>5511</v>
      </c>
      <c r="N8" s="131">
        <v>7930731</v>
      </c>
      <c r="O8" s="37">
        <f t="shared" si="16"/>
        <v>8498</v>
      </c>
      <c r="P8" s="134">
        <v>8959646</v>
      </c>
      <c r="Q8" s="37">
        <f t="shared" si="9"/>
        <v>2370</v>
      </c>
      <c r="R8" s="131">
        <v>23291732</v>
      </c>
      <c r="S8" s="37">
        <f t="shared" si="10"/>
        <v>9204</v>
      </c>
      <c r="T8" s="131"/>
      <c r="U8" s="135"/>
      <c r="V8" s="131">
        <v>1381141</v>
      </c>
      <c r="W8" s="37">
        <f t="shared" si="11"/>
        <v>10032</v>
      </c>
      <c r="X8" s="19">
        <f t="shared" si="12"/>
        <v>46069</v>
      </c>
      <c r="Y8" s="150">
        <f t="shared" si="13"/>
        <v>5870</v>
      </c>
      <c r="Z8" s="3">
        <f t="shared" si="14"/>
        <v>6242.2082111999998</v>
      </c>
      <c r="AA8" s="3">
        <f>SUM(Z1:Z8)</f>
        <v>44093.334875199995</v>
      </c>
    </row>
    <row r="9" spans="1:27" ht="16.5" thickBot="1" x14ac:dyDescent="0.3">
      <c r="A9" s="9">
        <v>44902</v>
      </c>
      <c r="B9" s="37">
        <v>266</v>
      </c>
      <c r="C9" s="130">
        <v>20388</v>
      </c>
      <c r="D9" s="37">
        <f t="shared" si="4"/>
        <v>480</v>
      </c>
      <c r="E9" s="131">
        <v>34929407</v>
      </c>
      <c r="F9" s="37">
        <f t="shared" si="5"/>
        <v>17030</v>
      </c>
      <c r="G9" s="132">
        <v>9818211</v>
      </c>
      <c r="H9" s="37">
        <f t="shared" si="6"/>
        <v>48983</v>
      </c>
      <c r="I9" s="133">
        <f t="shared" si="7"/>
        <v>66013</v>
      </c>
      <c r="J9" s="131">
        <v>999313</v>
      </c>
      <c r="K9" s="37">
        <f t="shared" si="15"/>
        <v>13276</v>
      </c>
      <c r="L9" s="134">
        <v>1311136</v>
      </c>
      <c r="M9" s="37">
        <f t="shared" si="8"/>
        <v>6133</v>
      </c>
      <c r="N9" s="131">
        <v>7936079</v>
      </c>
      <c r="O9" s="37">
        <f t="shared" si="16"/>
        <v>10696</v>
      </c>
      <c r="P9" s="134">
        <v>8963046</v>
      </c>
      <c r="Q9" s="37">
        <f t="shared" si="9"/>
        <v>3400</v>
      </c>
      <c r="R9" s="131">
        <v>23303517</v>
      </c>
      <c r="S9" s="37">
        <f t="shared" si="10"/>
        <v>11785</v>
      </c>
      <c r="T9" s="131"/>
      <c r="U9" s="135"/>
      <c r="V9" s="131">
        <v>1394228</v>
      </c>
      <c r="W9" s="37">
        <f t="shared" si="11"/>
        <v>13087</v>
      </c>
      <c r="X9" s="19">
        <f t="shared" si="12"/>
        <v>58377</v>
      </c>
      <c r="Y9" s="150">
        <f t="shared" si="13"/>
        <v>7636</v>
      </c>
      <c r="Z9" s="3">
        <f t="shared" si="14"/>
        <v>8077.4621824000005</v>
      </c>
      <c r="AA9" s="3">
        <f>SUM(Z1:Z9)</f>
        <v>52170.797057599993</v>
      </c>
    </row>
    <row r="10" spans="1:27" ht="16.5" thickBot="1" x14ac:dyDescent="0.3">
      <c r="A10" s="9">
        <v>44903</v>
      </c>
      <c r="B10" s="37">
        <v>255</v>
      </c>
      <c r="C10" s="130">
        <v>20390</v>
      </c>
      <c r="D10" s="37">
        <f>IF((C10-C9)&lt;0,"0",(C10-C9))*160</f>
        <v>320</v>
      </c>
      <c r="E10" s="131">
        <v>34939310</v>
      </c>
      <c r="F10" s="37">
        <f t="shared" si="5"/>
        <v>9903</v>
      </c>
      <c r="G10" s="132">
        <v>9848228</v>
      </c>
      <c r="H10" s="37">
        <f t="shared" si="6"/>
        <v>30017</v>
      </c>
      <c r="I10" s="133">
        <f t="shared" si="7"/>
        <v>39920</v>
      </c>
      <c r="J10" s="131">
        <v>1003520</v>
      </c>
      <c r="K10" s="37">
        <f t="shared" si="15"/>
        <v>8414</v>
      </c>
      <c r="L10" s="134">
        <v>1315020</v>
      </c>
      <c r="M10" s="37">
        <f t="shared" si="8"/>
        <v>3884</v>
      </c>
      <c r="N10" s="131">
        <v>7939017</v>
      </c>
      <c r="O10" s="37">
        <f t="shared" si="16"/>
        <v>5876</v>
      </c>
      <c r="P10" s="134">
        <v>8965570</v>
      </c>
      <c r="Q10" s="37">
        <f t="shared" si="9"/>
        <v>2524</v>
      </c>
      <c r="R10" s="131">
        <v>23310780</v>
      </c>
      <c r="S10" s="37">
        <f t="shared" si="10"/>
        <v>7263</v>
      </c>
      <c r="T10" s="131"/>
      <c r="U10" s="135"/>
      <c r="V10" s="131">
        <v>1401924</v>
      </c>
      <c r="W10" s="37">
        <f t="shared" si="11"/>
        <v>7696</v>
      </c>
      <c r="X10" s="19">
        <f t="shared" si="12"/>
        <v>35657</v>
      </c>
      <c r="Y10" s="150">
        <f t="shared" si="13"/>
        <v>4263</v>
      </c>
      <c r="Z10" s="3">
        <f t="shared" si="14"/>
        <v>4846.8278768000009</v>
      </c>
      <c r="AA10" s="3">
        <f>SUM(Z1:Z10)</f>
        <v>57017.624934399995</v>
      </c>
    </row>
    <row r="11" spans="1:27" ht="15.75" customHeight="1" thickBot="1" x14ac:dyDescent="0.3">
      <c r="A11" s="9">
        <v>44904</v>
      </c>
      <c r="B11" s="37">
        <v>265</v>
      </c>
      <c r="C11" s="130">
        <v>20392</v>
      </c>
      <c r="D11" s="37">
        <f>IF((C11-C10)&lt;0,"0",(C11-C10))*160</f>
        <v>320</v>
      </c>
      <c r="E11" s="131">
        <v>34957197</v>
      </c>
      <c r="F11" s="37">
        <f t="shared" si="5"/>
        <v>17887</v>
      </c>
      <c r="G11" s="132">
        <v>9898475</v>
      </c>
      <c r="H11" s="37">
        <f t="shared" si="6"/>
        <v>50247</v>
      </c>
      <c r="I11" s="133">
        <f t="shared" si="7"/>
        <v>68134</v>
      </c>
      <c r="J11" s="131">
        <v>1009899</v>
      </c>
      <c r="K11" s="37">
        <f t="shared" si="15"/>
        <v>12758</v>
      </c>
      <c r="L11" s="134">
        <v>1321856</v>
      </c>
      <c r="M11" s="37">
        <f t="shared" si="8"/>
        <v>6836</v>
      </c>
      <c r="N11" s="131">
        <v>7944426</v>
      </c>
      <c r="O11" s="37">
        <f t="shared" si="16"/>
        <v>10818</v>
      </c>
      <c r="P11" s="134">
        <v>8968813</v>
      </c>
      <c r="Q11" s="37">
        <f t="shared" si="9"/>
        <v>3243</v>
      </c>
      <c r="R11" s="131">
        <v>23323632</v>
      </c>
      <c r="S11" s="37">
        <f t="shared" si="10"/>
        <v>12852</v>
      </c>
      <c r="T11" s="131"/>
      <c r="U11" s="135"/>
      <c r="V11" s="131">
        <v>1415312</v>
      </c>
      <c r="W11" s="37">
        <f t="shared" si="11"/>
        <v>13388</v>
      </c>
      <c r="X11" s="19">
        <f t="shared" si="12"/>
        <v>59895</v>
      </c>
      <c r="Y11" s="150">
        <f t="shared" si="13"/>
        <v>8239</v>
      </c>
      <c r="Z11" s="3">
        <f t="shared" si="14"/>
        <v>8404.4296959999992</v>
      </c>
      <c r="AA11" s="3">
        <f>SUM(Z1:Z11)</f>
        <v>65422.054630399994</v>
      </c>
    </row>
    <row r="12" spans="1:27" ht="16.5" thickBot="1" x14ac:dyDescent="0.3">
      <c r="A12" s="9">
        <v>44905</v>
      </c>
      <c r="B12" s="37">
        <v>240</v>
      </c>
      <c r="C12" s="130">
        <v>20395</v>
      </c>
      <c r="D12" s="37">
        <f>IF((C12-C11)&lt;0,"0",(C12-C11))*160</f>
        <v>480</v>
      </c>
      <c r="E12" s="131">
        <v>34971616</v>
      </c>
      <c r="F12" s="37">
        <f t="shared" si="5"/>
        <v>14419</v>
      </c>
      <c r="G12" s="132">
        <v>9938676</v>
      </c>
      <c r="H12" s="37">
        <f t="shared" si="6"/>
        <v>40201</v>
      </c>
      <c r="I12" s="133">
        <f t="shared" si="7"/>
        <v>54620</v>
      </c>
      <c r="J12" s="131">
        <v>1015133</v>
      </c>
      <c r="K12" s="37">
        <f t="shared" si="15"/>
        <v>10468</v>
      </c>
      <c r="L12" s="134">
        <v>1327260</v>
      </c>
      <c r="M12" s="37">
        <f t="shared" si="8"/>
        <v>5404</v>
      </c>
      <c r="N12" s="131">
        <v>7948840</v>
      </c>
      <c r="O12" s="37">
        <f t="shared" si="16"/>
        <v>8828</v>
      </c>
      <c r="P12" s="134">
        <v>8971494</v>
      </c>
      <c r="Q12" s="37">
        <f t="shared" si="9"/>
        <v>2681</v>
      </c>
      <c r="R12" s="131">
        <v>23333876</v>
      </c>
      <c r="S12" s="37">
        <f t="shared" si="10"/>
        <v>10244</v>
      </c>
      <c r="T12" s="131"/>
      <c r="U12" s="135"/>
      <c r="V12" s="131">
        <v>1425890</v>
      </c>
      <c r="W12" s="37">
        <f t="shared" si="11"/>
        <v>10578</v>
      </c>
      <c r="X12" s="19">
        <f t="shared" si="12"/>
        <v>48203</v>
      </c>
      <c r="Y12" s="150">
        <f t="shared" si="13"/>
        <v>6417</v>
      </c>
      <c r="Z12" s="3">
        <f t="shared" si="14"/>
        <v>6719.9508064000001</v>
      </c>
      <c r="AA12" s="3">
        <f>SUM(Z1:Z12)</f>
        <v>72142.005436799998</v>
      </c>
    </row>
    <row r="13" spans="1:27" ht="16.5" thickBot="1" x14ac:dyDescent="0.3">
      <c r="A13" s="9">
        <v>44906</v>
      </c>
      <c r="B13" s="37">
        <v>168</v>
      </c>
      <c r="C13" s="130">
        <v>20398</v>
      </c>
      <c r="D13" s="37">
        <f t="shared" ref="D13" si="17">IF((C13-C12)&lt;0,"0",(C13-C12))*160</f>
        <v>480</v>
      </c>
      <c r="E13" s="131">
        <v>34988956</v>
      </c>
      <c r="F13" s="37">
        <f t="shared" ref="F13" si="18">IF((E13-E12)&lt;0,"0",(E13-E12))</f>
        <v>17340</v>
      </c>
      <c r="G13" s="132">
        <v>9986443</v>
      </c>
      <c r="H13" s="37">
        <f t="shared" si="6"/>
        <v>47767</v>
      </c>
      <c r="I13" s="133">
        <f t="shared" ref="I13" si="19">F13+H13</f>
        <v>65107</v>
      </c>
      <c r="J13" s="131">
        <v>1021890</v>
      </c>
      <c r="K13" s="37">
        <f t="shared" ref="K13" si="20">(IF((J13-J12)&lt;0,"0",(J13-J12)))*2</f>
        <v>13514</v>
      </c>
      <c r="L13" s="134">
        <v>1333998</v>
      </c>
      <c r="M13" s="37">
        <f t="shared" ref="M13" si="21">IF((L13-L12)&lt;0,"0",(L13-L12))</f>
        <v>6738</v>
      </c>
      <c r="N13" s="131">
        <v>7954033</v>
      </c>
      <c r="O13" s="37">
        <f t="shared" ref="O13" si="22">(IF((N13-N12)&lt;0,"0",(N13-N12)))*2</f>
        <v>10386</v>
      </c>
      <c r="P13" s="134">
        <v>8974402</v>
      </c>
      <c r="Q13" s="37">
        <f t="shared" ref="Q13" si="23">IF((P13-P12)&lt;0,"0",(P13-P12))</f>
        <v>2908</v>
      </c>
      <c r="R13" s="131">
        <v>23345763</v>
      </c>
      <c r="S13" s="37">
        <f t="shared" ref="S13" si="24">IF((R13-R12)&lt;0,"0",(R13-R12))</f>
        <v>11887</v>
      </c>
      <c r="T13" s="131"/>
      <c r="U13" s="135"/>
      <c r="V13" s="131">
        <v>1438490</v>
      </c>
      <c r="W13" s="37">
        <f t="shared" si="11"/>
        <v>12600</v>
      </c>
      <c r="X13" s="19">
        <f t="shared" ref="X13" si="25">K13+M13+O13+Q13+S13+U13+W13</f>
        <v>58033</v>
      </c>
      <c r="Y13" s="150">
        <f t="shared" si="13"/>
        <v>7074</v>
      </c>
      <c r="Z13" s="3">
        <f t="shared" ref="Z13" si="26">(0.93352*(W13+S13)+0.5568*(Q13+O13))*0.26</f>
        <v>7867.9128944000004</v>
      </c>
      <c r="AA13" s="3">
        <f>SUM(Z1:Z13)</f>
        <v>80009.918331199995</v>
      </c>
    </row>
    <row r="14" spans="1:27" ht="16.5" thickBot="1" x14ac:dyDescent="0.3">
      <c r="A14" s="9">
        <v>44907</v>
      </c>
      <c r="B14" s="37">
        <v>235</v>
      </c>
      <c r="C14" s="130">
        <v>20401</v>
      </c>
      <c r="D14" s="37">
        <f t="shared" si="4"/>
        <v>480</v>
      </c>
      <c r="E14" s="131">
        <v>34998909</v>
      </c>
      <c r="F14" s="37">
        <f t="shared" si="5"/>
        <v>9953</v>
      </c>
      <c r="G14" s="132">
        <v>10014259</v>
      </c>
      <c r="H14" s="37">
        <f t="shared" si="6"/>
        <v>27816</v>
      </c>
      <c r="I14" s="133">
        <f t="shared" si="7"/>
        <v>37769</v>
      </c>
      <c r="J14" s="131">
        <v>1025968</v>
      </c>
      <c r="K14" s="37">
        <f t="shared" si="15"/>
        <v>8156</v>
      </c>
      <c r="L14" s="134">
        <v>1337954</v>
      </c>
      <c r="M14" s="37">
        <f t="shared" si="8"/>
        <v>3956</v>
      </c>
      <c r="N14" s="131">
        <v>7956967</v>
      </c>
      <c r="O14" s="37">
        <f t="shared" si="16"/>
        <v>5868</v>
      </c>
      <c r="P14" s="134">
        <v>8976214</v>
      </c>
      <c r="Q14" s="37">
        <f t="shared" si="9"/>
        <v>1812</v>
      </c>
      <c r="R14" s="131">
        <v>23352413</v>
      </c>
      <c r="S14" s="37">
        <f>IF((R14-R13)&lt;0,"0",(R14-R13))</f>
        <v>6650</v>
      </c>
      <c r="T14" s="131"/>
      <c r="U14" s="135"/>
      <c r="V14" s="131">
        <v>1445827</v>
      </c>
      <c r="W14" s="37">
        <f t="shared" si="11"/>
        <v>7337</v>
      </c>
      <c r="X14" s="19">
        <f t="shared" si="12"/>
        <v>33779</v>
      </c>
      <c r="Y14" s="150">
        <f t="shared" si="13"/>
        <v>3990</v>
      </c>
      <c r="Z14" s="3">
        <f t="shared" si="14"/>
        <v>4506.6757423999998</v>
      </c>
      <c r="AA14" s="3">
        <f>SUM(Z1:Z14)</f>
        <v>84516.59407359999</v>
      </c>
    </row>
    <row r="15" spans="1:27" ht="16.5" thickBot="1" x14ac:dyDescent="0.3">
      <c r="A15" s="9">
        <v>44908</v>
      </c>
      <c r="B15" s="37"/>
      <c r="C15" s="130"/>
      <c r="D15" s="37">
        <f t="shared" si="4"/>
        <v>0</v>
      </c>
      <c r="E15" s="131"/>
      <c r="F15" s="37" t="str">
        <f t="shared" si="5"/>
        <v>0</v>
      </c>
      <c r="G15" s="132"/>
      <c r="H15" s="37" t="str">
        <f t="shared" si="6"/>
        <v>0</v>
      </c>
      <c r="I15" s="133">
        <f t="shared" si="7"/>
        <v>0</v>
      </c>
      <c r="J15" s="131"/>
      <c r="K15" s="37">
        <f t="shared" si="15"/>
        <v>0</v>
      </c>
      <c r="L15" s="134"/>
      <c r="M15" s="37" t="str">
        <f t="shared" si="8"/>
        <v>0</v>
      </c>
      <c r="N15" s="131"/>
      <c r="O15" s="37">
        <f t="shared" si="16"/>
        <v>0</v>
      </c>
      <c r="P15" s="134"/>
      <c r="Q15" s="37" t="str">
        <f t="shared" si="9"/>
        <v>0</v>
      </c>
      <c r="R15" s="131"/>
      <c r="S15" s="37" t="str">
        <f>IF((R15-R14)&lt;0,"0",(R15-R14))</f>
        <v>0</v>
      </c>
      <c r="T15" s="131"/>
      <c r="U15" s="135"/>
      <c r="V15" s="131"/>
      <c r="W15" s="37" t="str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84516.59407359999</v>
      </c>
    </row>
    <row r="16" spans="1:27" ht="16.5" thickBot="1" x14ac:dyDescent="0.3">
      <c r="A16" s="9">
        <v>44909</v>
      </c>
      <c r="B16" s="37"/>
      <c r="C16" s="130"/>
      <c r="D16" s="37">
        <f t="shared" si="4"/>
        <v>0</v>
      </c>
      <c r="E16" s="131"/>
      <c r="F16" s="37">
        <f t="shared" si="5"/>
        <v>0</v>
      </c>
      <c r="G16" s="132"/>
      <c r="H16" s="37">
        <f t="shared" si="6"/>
        <v>0</v>
      </c>
      <c r="I16" s="133">
        <f t="shared" si="7"/>
        <v>0</v>
      </c>
      <c r="J16" s="131"/>
      <c r="K16" s="37">
        <f t="shared" si="15"/>
        <v>0</v>
      </c>
      <c r="L16" s="134"/>
      <c r="M16" s="37">
        <f t="shared" si="8"/>
        <v>0</v>
      </c>
      <c r="N16" s="131"/>
      <c r="O16" s="37">
        <f t="shared" si="16"/>
        <v>0</v>
      </c>
      <c r="P16" s="134"/>
      <c r="Q16" s="37">
        <f t="shared" si="9"/>
        <v>0</v>
      </c>
      <c r="R16" s="131"/>
      <c r="S16" s="37">
        <f t="shared" si="10"/>
        <v>0</v>
      </c>
      <c r="T16" s="131"/>
      <c r="U16" s="135"/>
      <c r="V16" s="131"/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84516.59407359999</v>
      </c>
    </row>
    <row r="17" spans="1:27" s="117" customFormat="1" ht="16.5" thickBot="1" x14ac:dyDescent="0.3">
      <c r="A17" s="9">
        <v>44910</v>
      </c>
      <c r="B17" s="37"/>
      <c r="C17" s="130"/>
      <c r="D17" s="37">
        <f t="shared" si="4"/>
        <v>0</v>
      </c>
      <c r="E17" s="131"/>
      <c r="F17" s="37">
        <f t="shared" si="5"/>
        <v>0</v>
      </c>
      <c r="G17" s="132"/>
      <c r="H17" s="37">
        <f t="shared" si="6"/>
        <v>0</v>
      </c>
      <c r="I17" s="136">
        <f t="shared" si="7"/>
        <v>0</v>
      </c>
      <c r="J17" s="131"/>
      <c r="K17" s="116">
        <f t="shared" si="15"/>
        <v>0</v>
      </c>
      <c r="L17" s="134"/>
      <c r="M17" s="116">
        <f t="shared" si="8"/>
        <v>0</v>
      </c>
      <c r="N17" s="131"/>
      <c r="O17" s="116">
        <f t="shared" si="16"/>
        <v>0</v>
      </c>
      <c r="P17" s="134"/>
      <c r="Q17" s="116">
        <f t="shared" si="9"/>
        <v>0</v>
      </c>
      <c r="R17" s="131"/>
      <c r="S17" s="116">
        <f t="shared" si="10"/>
        <v>0</v>
      </c>
      <c r="T17" s="137"/>
      <c r="U17" s="135"/>
      <c r="V17" s="131"/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84516.59407359999</v>
      </c>
    </row>
    <row r="18" spans="1:27" s="117" customFormat="1" ht="16.5" thickBot="1" x14ac:dyDescent="0.3">
      <c r="A18" s="9">
        <v>44911</v>
      </c>
      <c r="B18" s="37"/>
      <c r="C18" s="130"/>
      <c r="D18" s="37">
        <f t="shared" si="4"/>
        <v>0</v>
      </c>
      <c r="E18" s="131"/>
      <c r="F18" s="37">
        <f t="shared" si="5"/>
        <v>0</v>
      </c>
      <c r="G18" s="132"/>
      <c r="H18" s="37">
        <f t="shared" si="6"/>
        <v>0</v>
      </c>
      <c r="I18" s="136">
        <f t="shared" si="7"/>
        <v>0</v>
      </c>
      <c r="J18" s="131"/>
      <c r="K18" s="116">
        <f t="shared" si="15"/>
        <v>0</v>
      </c>
      <c r="L18" s="134"/>
      <c r="M18" s="116">
        <f t="shared" si="8"/>
        <v>0</v>
      </c>
      <c r="N18" s="131"/>
      <c r="O18" s="116">
        <f t="shared" si="16"/>
        <v>0</v>
      </c>
      <c r="P18" s="134"/>
      <c r="Q18" s="116">
        <f t="shared" si="9"/>
        <v>0</v>
      </c>
      <c r="R18" s="131"/>
      <c r="S18" s="116">
        <f t="shared" si="10"/>
        <v>0</v>
      </c>
      <c r="T18" s="137"/>
      <c r="U18" s="135"/>
      <c r="V18" s="131"/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84516.59407359999</v>
      </c>
    </row>
    <row r="19" spans="1:27" s="117" customFormat="1" ht="16.5" thickBot="1" x14ac:dyDescent="0.3">
      <c r="A19" s="9">
        <v>44912</v>
      </c>
      <c r="B19" s="37"/>
      <c r="C19" s="130"/>
      <c r="D19" s="37">
        <f t="shared" si="4"/>
        <v>0</v>
      </c>
      <c r="E19" s="131"/>
      <c r="F19" s="37">
        <f t="shared" si="5"/>
        <v>0</v>
      </c>
      <c r="G19" s="132"/>
      <c r="H19" s="37">
        <f t="shared" si="6"/>
        <v>0</v>
      </c>
      <c r="I19" s="136">
        <f t="shared" si="7"/>
        <v>0</v>
      </c>
      <c r="J19" s="131"/>
      <c r="K19" s="116">
        <f t="shared" si="15"/>
        <v>0</v>
      </c>
      <c r="L19" s="134"/>
      <c r="M19" s="116">
        <f t="shared" si="8"/>
        <v>0</v>
      </c>
      <c r="N19" s="131"/>
      <c r="O19" s="116">
        <f t="shared" si="16"/>
        <v>0</v>
      </c>
      <c r="P19" s="134"/>
      <c r="Q19" s="116">
        <f t="shared" si="9"/>
        <v>0</v>
      </c>
      <c r="R19" s="131"/>
      <c r="S19" s="116">
        <f t="shared" si="10"/>
        <v>0</v>
      </c>
      <c r="T19" s="137"/>
      <c r="U19" s="135"/>
      <c r="V19" s="131"/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84516.59407359999</v>
      </c>
    </row>
    <row r="20" spans="1:27" s="117" customFormat="1" ht="16.5" thickBot="1" x14ac:dyDescent="0.3">
      <c r="A20" s="9">
        <v>44913</v>
      </c>
      <c r="B20" s="37"/>
      <c r="C20" s="130"/>
      <c r="D20" s="37">
        <f t="shared" si="4"/>
        <v>0</v>
      </c>
      <c r="E20" s="131"/>
      <c r="F20" s="37">
        <f t="shared" si="5"/>
        <v>0</v>
      </c>
      <c r="G20" s="132"/>
      <c r="H20" s="37">
        <f t="shared" si="6"/>
        <v>0</v>
      </c>
      <c r="I20" s="136">
        <f t="shared" si="7"/>
        <v>0</v>
      </c>
      <c r="J20" s="131"/>
      <c r="K20" s="116">
        <f t="shared" si="15"/>
        <v>0</v>
      </c>
      <c r="L20" s="134"/>
      <c r="M20" s="116">
        <f t="shared" si="8"/>
        <v>0</v>
      </c>
      <c r="N20" s="131"/>
      <c r="O20" s="116">
        <f t="shared" si="16"/>
        <v>0</v>
      </c>
      <c r="P20" s="134"/>
      <c r="Q20" s="116">
        <f t="shared" si="9"/>
        <v>0</v>
      </c>
      <c r="R20" s="131"/>
      <c r="S20" s="116">
        <f t="shared" si="10"/>
        <v>0</v>
      </c>
      <c r="T20" s="137"/>
      <c r="U20" s="135"/>
      <c r="V20" s="131"/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84516.59407359999</v>
      </c>
    </row>
    <row r="21" spans="1:27" s="117" customFormat="1" ht="16.5" thickBot="1" x14ac:dyDescent="0.3">
      <c r="A21" s="9">
        <v>44914</v>
      </c>
      <c r="B21" s="37"/>
      <c r="C21" s="130"/>
      <c r="D21" s="37">
        <f t="shared" si="4"/>
        <v>0</v>
      </c>
      <c r="E21" s="131"/>
      <c r="F21" s="37">
        <f t="shared" si="5"/>
        <v>0</v>
      </c>
      <c r="G21" s="132"/>
      <c r="H21" s="37">
        <f t="shared" si="6"/>
        <v>0</v>
      </c>
      <c r="I21" s="136">
        <f t="shared" si="7"/>
        <v>0</v>
      </c>
      <c r="J21" s="131"/>
      <c r="K21" s="116">
        <f t="shared" si="15"/>
        <v>0</v>
      </c>
      <c r="L21" s="134"/>
      <c r="M21" s="116">
        <f t="shared" si="8"/>
        <v>0</v>
      </c>
      <c r="N21" s="131"/>
      <c r="O21" s="116">
        <f t="shared" si="16"/>
        <v>0</v>
      </c>
      <c r="P21" s="134"/>
      <c r="Q21" s="116">
        <f t="shared" si="9"/>
        <v>0</v>
      </c>
      <c r="R21" s="131"/>
      <c r="S21" s="116">
        <f t="shared" si="10"/>
        <v>0</v>
      </c>
      <c r="T21" s="137"/>
      <c r="U21" s="135"/>
      <c r="V21" s="131"/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84516.59407359999</v>
      </c>
    </row>
    <row r="22" spans="1:27" ht="16.5" thickBot="1" x14ac:dyDescent="0.3">
      <c r="A22" s="9">
        <v>44915</v>
      </c>
      <c r="B22" s="37"/>
      <c r="C22" s="130"/>
      <c r="D22" s="37">
        <f t="shared" si="4"/>
        <v>0</v>
      </c>
      <c r="E22" s="131"/>
      <c r="F22" s="37">
        <f t="shared" si="5"/>
        <v>0</v>
      </c>
      <c r="G22" s="132"/>
      <c r="H22" s="37">
        <f t="shared" si="6"/>
        <v>0</v>
      </c>
      <c r="I22" s="133">
        <f t="shared" si="7"/>
        <v>0</v>
      </c>
      <c r="J22" s="131"/>
      <c r="K22" s="116">
        <f t="shared" si="15"/>
        <v>0</v>
      </c>
      <c r="L22" s="134"/>
      <c r="M22" s="37">
        <f t="shared" si="8"/>
        <v>0</v>
      </c>
      <c r="N22" s="131"/>
      <c r="O22" s="37">
        <f t="shared" si="16"/>
        <v>0</v>
      </c>
      <c r="P22" s="134"/>
      <c r="Q22" s="37">
        <f t="shared" si="9"/>
        <v>0</v>
      </c>
      <c r="R22" s="131"/>
      <c r="S22" s="37">
        <f t="shared" si="10"/>
        <v>0</v>
      </c>
      <c r="T22" s="131"/>
      <c r="U22" s="135"/>
      <c r="V22" s="131"/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84516.59407359999</v>
      </c>
    </row>
    <row r="23" spans="1:27" ht="16.5" thickBot="1" x14ac:dyDescent="0.3">
      <c r="A23" s="9">
        <v>44916</v>
      </c>
      <c r="B23" s="37"/>
      <c r="C23" s="130"/>
      <c r="D23" s="37">
        <f t="shared" si="4"/>
        <v>0</v>
      </c>
      <c r="E23" s="131"/>
      <c r="F23" s="37">
        <f t="shared" si="5"/>
        <v>0</v>
      </c>
      <c r="G23" s="132"/>
      <c r="H23" s="37">
        <f t="shared" si="6"/>
        <v>0</v>
      </c>
      <c r="I23" s="133">
        <f t="shared" si="7"/>
        <v>0</v>
      </c>
      <c r="J23" s="131"/>
      <c r="K23" s="116">
        <f t="shared" si="15"/>
        <v>0</v>
      </c>
      <c r="L23" s="134"/>
      <c r="M23" s="37">
        <f t="shared" si="8"/>
        <v>0</v>
      </c>
      <c r="N23" s="131"/>
      <c r="O23" s="37">
        <f t="shared" si="16"/>
        <v>0</v>
      </c>
      <c r="P23" s="134"/>
      <c r="Q23" s="37">
        <f t="shared" si="9"/>
        <v>0</v>
      </c>
      <c r="R23" s="131"/>
      <c r="S23" s="37">
        <f t="shared" si="10"/>
        <v>0</v>
      </c>
      <c r="T23" s="131"/>
      <c r="U23" s="135"/>
      <c r="V23" s="131"/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84516.59407359999</v>
      </c>
    </row>
    <row r="24" spans="1:27" ht="16.5" thickBot="1" x14ac:dyDescent="0.3">
      <c r="A24" s="9">
        <v>44917</v>
      </c>
      <c r="B24" s="37"/>
      <c r="C24" s="130"/>
      <c r="D24" s="37">
        <f t="shared" si="4"/>
        <v>0</v>
      </c>
      <c r="E24" s="131"/>
      <c r="F24" s="37">
        <f t="shared" si="5"/>
        <v>0</v>
      </c>
      <c r="G24" s="132"/>
      <c r="H24" s="37">
        <f t="shared" si="6"/>
        <v>0</v>
      </c>
      <c r="I24" s="133">
        <f t="shared" si="7"/>
        <v>0</v>
      </c>
      <c r="J24" s="131"/>
      <c r="K24" s="116">
        <f t="shared" si="15"/>
        <v>0</v>
      </c>
      <c r="L24" s="134"/>
      <c r="M24" s="37">
        <f t="shared" si="8"/>
        <v>0</v>
      </c>
      <c r="N24" s="131"/>
      <c r="O24" s="37">
        <f t="shared" si="16"/>
        <v>0</v>
      </c>
      <c r="P24" s="134"/>
      <c r="Q24" s="37">
        <f t="shared" si="9"/>
        <v>0</v>
      </c>
      <c r="R24" s="131"/>
      <c r="S24" s="37">
        <f t="shared" si="10"/>
        <v>0</v>
      </c>
      <c r="T24" s="131"/>
      <c r="U24" s="135"/>
      <c r="V24" s="131"/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84516.59407359999</v>
      </c>
    </row>
    <row r="25" spans="1:27" ht="16.5" thickBot="1" x14ac:dyDescent="0.3">
      <c r="A25" s="9">
        <v>44918</v>
      </c>
      <c r="B25" s="37"/>
      <c r="C25" s="130"/>
      <c r="D25" s="37">
        <f t="shared" si="4"/>
        <v>0</v>
      </c>
      <c r="E25" s="131"/>
      <c r="F25" s="37">
        <f t="shared" si="5"/>
        <v>0</v>
      </c>
      <c r="G25" s="132"/>
      <c r="H25" s="37">
        <f t="shared" si="6"/>
        <v>0</v>
      </c>
      <c r="I25" s="133">
        <f t="shared" si="7"/>
        <v>0</v>
      </c>
      <c r="J25" s="131"/>
      <c r="K25" s="116">
        <f t="shared" si="15"/>
        <v>0</v>
      </c>
      <c r="L25" s="134"/>
      <c r="M25" s="37">
        <f t="shared" si="8"/>
        <v>0</v>
      </c>
      <c r="N25" s="131"/>
      <c r="O25" s="37">
        <f t="shared" si="16"/>
        <v>0</v>
      </c>
      <c r="P25" s="134"/>
      <c r="Q25" s="37">
        <f t="shared" si="9"/>
        <v>0</v>
      </c>
      <c r="R25" s="131"/>
      <c r="S25" s="37">
        <f t="shared" si="10"/>
        <v>0</v>
      </c>
      <c r="T25" s="131"/>
      <c r="U25" s="135"/>
      <c r="V25" s="131"/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84516.59407359999</v>
      </c>
    </row>
    <row r="26" spans="1:27" ht="16.5" thickBot="1" x14ac:dyDescent="0.3">
      <c r="A26" s="9">
        <v>44919</v>
      </c>
      <c r="B26" s="37"/>
      <c r="C26" s="130"/>
      <c r="D26" s="37">
        <f t="shared" si="4"/>
        <v>0</v>
      </c>
      <c r="E26" s="131"/>
      <c r="F26" s="37">
        <f t="shared" si="5"/>
        <v>0</v>
      </c>
      <c r="G26" s="132"/>
      <c r="H26" s="37">
        <f t="shared" si="6"/>
        <v>0</v>
      </c>
      <c r="I26" s="133">
        <f t="shared" si="7"/>
        <v>0</v>
      </c>
      <c r="J26" s="131"/>
      <c r="K26" s="116">
        <f t="shared" si="15"/>
        <v>0</v>
      </c>
      <c r="L26" s="134"/>
      <c r="M26" s="37">
        <f t="shared" si="8"/>
        <v>0</v>
      </c>
      <c r="N26" s="131"/>
      <c r="O26" s="37">
        <f t="shared" si="16"/>
        <v>0</v>
      </c>
      <c r="P26" s="134"/>
      <c r="Q26" s="37">
        <f t="shared" si="9"/>
        <v>0</v>
      </c>
      <c r="R26" s="131"/>
      <c r="S26" s="37">
        <f t="shared" si="10"/>
        <v>0</v>
      </c>
      <c r="T26" s="131"/>
      <c r="U26" s="135"/>
      <c r="V26" s="131"/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84516.59407359999</v>
      </c>
    </row>
    <row r="27" spans="1:27" ht="16.5" thickBot="1" x14ac:dyDescent="0.3">
      <c r="A27" s="9">
        <v>44920</v>
      </c>
      <c r="B27" s="37"/>
      <c r="C27" s="130"/>
      <c r="D27" s="37">
        <f t="shared" si="4"/>
        <v>0</v>
      </c>
      <c r="E27" s="131"/>
      <c r="F27" s="37">
        <f t="shared" si="5"/>
        <v>0</v>
      </c>
      <c r="G27" s="132"/>
      <c r="H27" s="37">
        <f t="shared" si="6"/>
        <v>0</v>
      </c>
      <c r="I27" s="133">
        <f t="shared" si="7"/>
        <v>0</v>
      </c>
      <c r="J27" s="131"/>
      <c r="K27" s="116">
        <f t="shared" si="15"/>
        <v>0</v>
      </c>
      <c r="L27" s="134"/>
      <c r="M27" s="37">
        <f t="shared" si="8"/>
        <v>0</v>
      </c>
      <c r="N27" s="131"/>
      <c r="O27" s="37">
        <f t="shared" si="16"/>
        <v>0</v>
      </c>
      <c r="P27" s="134"/>
      <c r="Q27" s="37">
        <f t="shared" si="9"/>
        <v>0</v>
      </c>
      <c r="R27" s="131"/>
      <c r="S27" s="37">
        <f t="shared" si="10"/>
        <v>0</v>
      </c>
      <c r="T27" s="131"/>
      <c r="U27" s="135"/>
      <c r="V27" s="131"/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84516.59407359999</v>
      </c>
    </row>
    <row r="28" spans="1:27" ht="16.5" thickBot="1" x14ac:dyDescent="0.3">
      <c r="A28" s="9">
        <v>44921</v>
      </c>
      <c r="B28" s="37"/>
      <c r="C28" s="130"/>
      <c r="D28" s="37">
        <f t="shared" si="4"/>
        <v>0</v>
      </c>
      <c r="E28" s="131"/>
      <c r="F28" s="37">
        <f t="shared" si="5"/>
        <v>0</v>
      </c>
      <c r="G28" s="132"/>
      <c r="H28" s="37">
        <f t="shared" si="6"/>
        <v>0</v>
      </c>
      <c r="I28" s="133">
        <f t="shared" si="7"/>
        <v>0</v>
      </c>
      <c r="J28" s="131"/>
      <c r="K28" s="116">
        <f t="shared" si="15"/>
        <v>0</v>
      </c>
      <c r="L28" s="134"/>
      <c r="M28" s="37">
        <f t="shared" si="8"/>
        <v>0</v>
      </c>
      <c r="N28" s="131"/>
      <c r="O28" s="37">
        <f t="shared" si="16"/>
        <v>0</v>
      </c>
      <c r="P28" s="134"/>
      <c r="Q28" s="37">
        <f t="shared" si="9"/>
        <v>0</v>
      </c>
      <c r="R28" s="131"/>
      <c r="S28" s="37">
        <f t="shared" si="10"/>
        <v>0</v>
      </c>
      <c r="T28" s="131"/>
      <c r="U28" s="135"/>
      <c r="V28" s="131"/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84516.59407359999</v>
      </c>
    </row>
    <row r="29" spans="1:27" ht="16.5" thickBot="1" x14ac:dyDescent="0.3">
      <c r="A29" s="9">
        <v>44922</v>
      </c>
      <c r="B29" s="37"/>
      <c r="C29" s="130"/>
      <c r="D29" s="37">
        <f t="shared" si="4"/>
        <v>0</v>
      </c>
      <c r="E29" s="131"/>
      <c r="F29" s="37">
        <f t="shared" si="5"/>
        <v>0</v>
      </c>
      <c r="G29" s="132"/>
      <c r="H29" s="37">
        <f t="shared" si="6"/>
        <v>0</v>
      </c>
      <c r="I29" s="133">
        <f t="shared" si="7"/>
        <v>0</v>
      </c>
      <c r="J29" s="131"/>
      <c r="K29" s="116">
        <f t="shared" si="15"/>
        <v>0</v>
      </c>
      <c r="L29" s="134"/>
      <c r="M29" s="37">
        <f t="shared" si="8"/>
        <v>0</v>
      </c>
      <c r="N29" s="131"/>
      <c r="O29" s="37">
        <f t="shared" si="16"/>
        <v>0</v>
      </c>
      <c r="P29" s="134"/>
      <c r="Q29" s="37">
        <f t="shared" si="9"/>
        <v>0</v>
      </c>
      <c r="R29" s="131"/>
      <c r="S29" s="37">
        <f t="shared" si="10"/>
        <v>0</v>
      </c>
      <c r="T29" s="131"/>
      <c r="U29" s="135"/>
      <c r="V29" s="131"/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84516.59407359999</v>
      </c>
    </row>
    <row r="30" spans="1:27" ht="16.5" thickBot="1" x14ac:dyDescent="0.3">
      <c r="A30" s="9">
        <v>44923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6"/>
        <v>0</v>
      </c>
      <c r="I30" s="133">
        <f t="shared" si="7"/>
        <v>0</v>
      </c>
      <c r="J30" s="131"/>
      <c r="K30" s="116">
        <f t="shared" si="15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10"/>
        <v>0</v>
      </c>
      <c r="T30" s="131"/>
      <c r="U30" s="135"/>
      <c r="V30" s="131"/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84516.59407359999</v>
      </c>
    </row>
    <row r="31" spans="1:27" ht="16.5" thickBot="1" x14ac:dyDescent="0.3">
      <c r="A31" s="9">
        <v>44924</v>
      </c>
      <c r="B31" s="37"/>
      <c r="C31" s="130"/>
      <c r="D31" s="37">
        <f t="shared" ref="D31" si="27">IF((C31-C30)&lt;0,"0",(C31-C30))*160</f>
        <v>0</v>
      </c>
      <c r="E31" s="131"/>
      <c r="F31" s="37">
        <f t="shared" ref="F31" si="28">IF((E31-E30)&lt;0,"0",(E31-E30))</f>
        <v>0</v>
      </c>
      <c r="G31" s="132"/>
      <c r="H31" s="37">
        <f t="shared" si="6"/>
        <v>0</v>
      </c>
      <c r="I31" s="133">
        <f t="shared" ref="I31:I32" si="29">F31+H31</f>
        <v>0</v>
      </c>
      <c r="J31" s="131"/>
      <c r="K31" s="116">
        <f t="shared" si="15"/>
        <v>0</v>
      </c>
      <c r="L31" s="134"/>
      <c r="M31" s="37">
        <f t="shared" ref="M31" si="30">IF((L31-L30)&lt;0,"0",(L31-L30))</f>
        <v>0</v>
      </c>
      <c r="N31" s="131"/>
      <c r="O31" s="37">
        <f t="shared" ref="O31" si="31">(IF((N31-N30)&lt;0,"0",(N31-N30)))*2</f>
        <v>0</v>
      </c>
      <c r="P31" s="134"/>
      <c r="Q31" s="37">
        <f t="shared" ref="Q31" si="32">IF((P31-P30)&lt;0,"0",(P31-P30))</f>
        <v>0</v>
      </c>
      <c r="R31" s="131"/>
      <c r="S31" s="37">
        <f t="shared" ref="S31" si="33">IF((R31-R30)&lt;0,"0",(R31-R30))</f>
        <v>0</v>
      </c>
      <c r="T31" s="131"/>
      <c r="U31" s="135"/>
      <c r="V31" s="131"/>
      <c r="W31" s="37">
        <f t="shared" ref="W31" si="34">IF((V31-V30)&lt;0,"0",(V31-V30))</f>
        <v>0</v>
      </c>
      <c r="X31" s="19">
        <f t="shared" ref="X31:X32" si="35">K31+M31+O31+Q31+S31+U31+W31</f>
        <v>0</v>
      </c>
      <c r="Y31" s="150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84516.59407359999</v>
      </c>
    </row>
    <row r="32" spans="1:27" ht="16.5" thickBot="1" x14ac:dyDescent="0.3">
      <c r="A32" s="9">
        <v>44925</v>
      </c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29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84516.59407359999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38">K33+M33+O33+Q33+S33+U33+W33</f>
        <v>0</v>
      </c>
      <c r="Y33" s="150">
        <f t="shared" ref="Y33" si="39">I33-X33</f>
        <v>0</v>
      </c>
      <c r="Z33" s="3">
        <f t="shared" ref="Z33" si="40">(0.93352*(W33+S33)+0.5568*(Q33+O33))*0.26</f>
        <v>0</v>
      </c>
      <c r="AA33" s="3">
        <f>SUM(Z2:Z33)</f>
        <v>84516.59407359999</v>
      </c>
    </row>
    <row r="34" spans="1:27" ht="16.5" thickBot="1" x14ac:dyDescent="0.3">
      <c r="A34" s="123" t="s">
        <v>23</v>
      </c>
      <c r="B34" s="123">
        <f>SUM(B3:B33)</f>
        <v>3023</v>
      </c>
      <c r="C34" s="123"/>
      <c r="D34" s="123">
        <f>SUM(D3:D33)</f>
        <v>4960</v>
      </c>
      <c r="E34" s="54"/>
      <c r="F34" s="123">
        <f>SUM(F3:F33)</f>
        <v>185237</v>
      </c>
      <c r="G34" s="54"/>
      <c r="H34" s="123">
        <f>SUM(H3:H33)</f>
        <v>509080</v>
      </c>
      <c r="I34" s="123">
        <f t="shared" ref="I34" si="41">F34+H34</f>
        <v>694317</v>
      </c>
      <c r="J34" s="54"/>
      <c r="K34" s="123">
        <f>SUM(K3:K33)</f>
        <v>141422</v>
      </c>
      <c r="L34" s="54"/>
      <c r="M34" s="123">
        <f>SUM(M3:M33)</f>
        <v>69141</v>
      </c>
      <c r="N34" s="54"/>
      <c r="O34" s="123">
        <f>SUM(O3:O33)</f>
        <v>113788</v>
      </c>
      <c r="P34" s="54"/>
      <c r="Q34" s="123">
        <f>SUM(Q3:Q33)</f>
        <v>33223</v>
      </c>
      <c r="R34" s="54"/>
      <c r="S34" s="123">
        <f>SUM(S3:S33)</f>
        <v>126947</v>
      </c>
      <c r="T34" s="54"/>
      <c r="U34" s="123">
        <f>SUM(U3:U33)</f>
        <v>0</v>
      </c>
      <c r="V34" s="54"/>
      <c r="W34" s="123">
        <f>SUM(W3:W33)</f>
        <v>133581</v>
      </c>
      <c r="X34" s="123">
        <f>SUM(X3:X33)</f>
        <v>618102</v>
      </c>
      <c r="Y34" s="123">
        <f>SUM(Y3:Y33)</f>
        <v>76215</v>
      </c>
      <c r="Z34" s="123">
        <f>SUM(Z3:Z33)</f>
        <v>84516.59407359999</v>
      </c>
      <c r="AA34" s="123">
        <f>SUM(AA2:AA33)</f>
        <v>2176178.2591951988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5 B7:AA34 B6:D6 F6:AA6">
    <cfRule type="cellIs" dxfId="4" priority="3" operator="lessThan">
      <formula>0</formula>
    </cfRule>
  </conditionalFormatting>
  <conditionalFormatting sqref="E6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14" sqref="K1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>
        <v>468124</v>
      </c>
      <c r="C6" s="37">
        <f t="shared" si="2"/>
        <v>680</v>
      </c>
      <c r="D6" s="3">
        <v>16445</v>
      </c>
      <c r="E6" s="37">
        <f t="shared" si="2"/>
        <v>360</v>
      </c>
      <c r="F6" s="3">
        <v>12971200</v>
      </c>
      <c r="G6" s="37">
        <f t="shared" si="5"/>
        <v>297</v>
      </c>
      <c r="H6" s="3">
        <v>825707</v>
      </c>
      <c r="I6" s="42">
        <f t="shared" si="6"/>
        <v>5.8049999999999997</v>
      </c>
      <c r="J6" s="19">
        <f t="shared" si="3"/>
        <v>1342.8050000000001</v>
      </c>
      <c r="K6" s="162">
        <f t="shared" si="4"/>
        <v>7868.8373000000011</v>
      </c>
    </row>
    <row r="7" spans="1:14" ht="16.5" thickBot="1" x14ac:dyDescent="0.3">
      <c r="A7" s="9">
        <v>44900</v>
      </c>
      <c r="B7" s="3">
        <v>468192</v>
      </c>
      <c r="C7" s="37">
        <f t="shared" si="2"/>
        <v>680</v>
      </c>
      <c r="D7" s="3">
        <v>16479</v>
      </c>
      <c r="E7" s="37">
        <f t="shared" si="2"/>
        <v>340</v>
      </c>
      <c r="F7" s="3">
        <v>12984000</v>
      </c>
      <c r="G7" s="37">
        <f t="shared" si="5"/>
        <v>345.6</v>
      </c>
      <c r="H7" s="3">
        <v>825880</v>
      </c>
      <c r="I7" s="42">
        <f t="shared" si="6"/>
        <v>4.6710000000000003</v>
      </c>
      <c r="J7" s="19">
        <f t="shared" si="3"/>
        <v>1370.271</v>
      </c>
      <c r="K7" s="162">
        <f t="shared" si="4"/>
        <v>8029.7880599999999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>
        <v>468268</v>
      </c>
      <c r="C8" s="37">
        <f t="shared" si="2"/>
        <v>760</v>
      </c>
      <c r="D8" s="3">
        <v>16516</v>
      </c>
      <c r="E8" s="37">
        <f t="shared" si="2"/>
        <v>370</v>
      </c>
      <c r="F8" s="3">
        <v>12997100</v>
      </c>
      <c r="G8" s="37">
        <f t="shared" si="5"/>
        <v>353.7</v>
      </c>
      <c r="H8" s="3">
        <v>826102</v>
      </c>
      <c r="I8" s="42">
        <f t="shared" si="6"/>
        <v>5.9939999999999998</v>
      </c>
      <c r="J8" s="19">
        <f t="shared" si="3"/>
        <v>1489.694</v>
      </c>
      <c r="K8" s="162">
        <f t="shared" si="4"/>
        <v>8729.6068400000004</v>
      </c>
    </row>
    <row r="9" spans="1:14" ht="16.5" thickBot="1" x14ac:dyDescent="0.3">
      <c r="A9" s="9">
        <v>44902</v>
      </c>
      <c r="B9" s="3">
        <v>468342</v>
      </c>
      <c r="C9" s="37">
        <f t="shared" ref="C9:C32" si="7">(IF((B9-B8)&lt;0,"0",(B9-B8)))*10</f>
        <v>740</v>
      </c>
      <c r="D9" s="3">
        <v>16553</v>
      </c>
      <c r="E9" s="37">
        <f t="shared" si="2"/>
        <v>370</v>
      </c>
      <c r="F9" s="3">
        <v>13010000</v>
      </c>
      <c r="G9" s="37">
        <f t="shared" si="5"/>
        <v>348.3</v>
      </c>
      <c r="H9" s="3">
        <v>826341</v>
      </c>
      <c r="I9" s="42">
        <f t="shared" si="6"/>
        <v>6.4530000000000003</v>
      </c>
      <c r="J9" s="19">
        <f t="shared" si="3"/>
        <v>1464.7529999999999</v>
      </c>
      <c r="K9" s="162">
        <f t="shared" si="4"/>
        <v>8583.4525799999992</v>
      </c>
    </row>
    <row r="10" spans="1:14" ht="16.5" thickBot="1" x14ac:dyDescent="0.3">
      <c r="A10" s="9">
        <v>44903</v>
      </c>
      <c r="B10" s="3">
        <v>468411</v>
      </c>
      <c r="C10" s="37">
        <f>(IF((B10-B9)&lt;0,"0",(B10-B9)))*10</f>
        <v>690</v>
      </c>
      <c r="D10" s="3">
        <v>16588</v>
      </c>
      <c r="E10" s="37">
        <f t="shared" si="2"/>
        <v>350</v>
      </c>
      <c r="F10" s="3">
        <v>13022200</v>
      </c>
      <c r="G10" s="37">
        <f t="shared" si="5"/>
        <v>329.4</v>
      </c>
      <c r="H10" s="3">
        <v>826544</v>
      </c>
      <c r="I10" s="42">
        <f t="shared" si="6"/>
        <v>5.4809999999999999</v>
      </c>
      <c r="J10" s="19">
        <f t="shared" si="3"/>
        <v>1374.8810000000001</v>
      </c>
      <c r="K10" s="162">
        <f t="shared" si="4"/>
        <v>8056.8026600000012</v>
      </c>
    </row>
    <row r="11" spans="1:14" ht="16.5" thickBot="1" x14ac:dyDescent="0.3">
      <c r="A11" s="9">
        <v>44904</v>
      </c>
      <c r="B11" s="3">
        <v>468485</v>
      </c>
      <c r="C11" s="37">
        <f t="shared" si="7"/>
        <v>740</v>
      </c>
      <c r="D11" s="3">
        <v>16622</v>
      </c>
      <c r="E11" s="37">
        <f t="shared" si="2"/>
        <v>340</v>
      </c>
      <c r="F11" s="3">
        <v>13036400</v>
      </c>
      <c r="G11" s="37">
        <f t="shared" si="5"/>
        <v>383.4</v>
      </c>
      <c r="H11" s="3">
        <v>826727</v>
      </c>
      <c r="I11" s="42">
        <f t="shared" si="6"/>
        <v>4.9409999999999998</v>
      </c>
      <c r="J11" s="19">
        <f t="shared" si="3"/>
        <v>1468.3410000000001</v>
      </c>
      <c r="K11" s="162">
        <f t="shared" si="4"/>
        <v>8604.4782600000017</v>
      </c>
      <c r="N11" t="s">
        <v>12</v>
      </c>
    </row>
    <row r="12" spans="1:14" ht="16.5" thickBot="1" x14ac:dyDescent="0.3">
      <c r="A12" s="9">
        <v>44905</v>
      </c>
      <c r="B12" s="3">
        <v>468559</v>
      </c>
      <c r="C12" s="37">
        <f t="shared" si="7"/>
        <v>740</v>
      </c>
      <c r="D12" s="3">
        <v>16658</v>
      </c>
      <c r="E12" s="37">
        <f t="shared" si="2"/>
        <v>360</v>
      </c>
      <c r="F12" s="3">
        <v>13049700</v>
      </c>
      <c r="G12" s="37">
        <f t="shared" si="5"/>
        <v>359.1</v>
      </c>
      <c r="H12" s="3">
        <v>826932</v>
      </c>
      <c r="I12" s="42">
        <f t="shared" si="6"/>
        <v>5.5350000000000001</v>
      </c>
      <c r="J12" s="19">
        <f t="shared" si="3"/>
        <v>1464.635</v>
      </c>
      <c r="K12" s="162">
        <f t="shared" si="4"/>
        <v>8582.7610999999997</v>
      </c>
    </row>
    <row r="13" spans="1:14" ht="16.5" thickBot="1" x14ac:dyDescent="0.3">
      <c r="A13" s="9">
        <v>44906</v>
      </c>
      <c r="B13" s="3">
        <v>468631</v>
      </c>
      <c r="C13" s="37">
        <f t="shared" si="7"/>
        <v>720</v>
      </c>
      <c r="D13" s="3">
        <v>16694</v>
      </c>
      <c r="E13" s="37">
        <f t="shared" si="2"/>
        <v>360</v>
      </c>
      <c r="F13" s="3">
        <v>13061500</v>
      </c>
      <c r="G13" s="37">
        <f t="shared" si="5"/>
        <v>318.60000000000002</v>
      </c>
      <c r="H13" s="3">
        <v>827167</v>
      </c>
      <c r="I13" s="42">
        <f t="shared" si="6"/>
        <v>6.3449999999999998</v>
      </c>
      <c r="J13" s="19">
        <f t="shared" si="3"/>
        <v>1404.9449999999999</v>
      </c>
      <c r="K13" s="162">
        <f t="shared" si="4"/>
        <v>8232.9776999999995</v>
      </c>
    </row>
    <row r="14" spans="1:14" ht="16.5" thickBot="1" x14ac:dyDescent="0.3">
      <c r="A14" s="9">
        <v>44907</v>
      </c>
      <c r="B14" s="3">
        <v>468703</v>
      </c>
      <c r="C14" s="37">
        <f t="shared" si="7"/>
        <v>720</v>
      </c>
      <c r="D14" s="3">
        <v>16730</v>
      </c>
      <c r="E14" s="37">
        <f t="shared" si="2"/>
        <v>360</v>
      </c>
      <c r="F14" s="3">
        <v>13074500</v>
      </c>
      <c r="G14" s="37">
        <f t="shared" si="5"/>
        <v>351</v>
      </c>
      <c r="H14" s="3">
        <v>827386</v>
      </c>
      <c r="I14" s="42">
        <f t="shared" si="6"/>
        <v>5.9130000000000003</v>
      </c>
      <c r="J14" s="19">
        <f t="shared" si="3"/>
        <v>1436.913</v>
      </c>
      <c r="K14" s="162">
        <f t="shared" si="4"/>
        <v>8420.3101800000004</v>
      </c>
    </row>
    <row r="15" spans="1:14" ht="16.5" thickBot="1" x14ac:dyDescent="0.3">
      <c r="A15" s="9">
        <v>44908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162">
        <f t="shared" si="4"/>
        <v>0</v>
      </c>
    </row>
    <row r="16" spans="1:14" ht="16.5" thickBot="1" x14ac:dyDescent="0.3">
      <c r="A16" s="9">
        <v>44909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2">
        <f t="shared" si="4"/>
        <v>0</v>
      </c>
    </row>
    <row r="17" spans="1:25" ht="16.5" thickBot="1" x14ac:dyDescent="0.3">
      <c r="A17" s="9">
        <v>44910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2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2">
        <f t="shared" si="4"/>
        <v>0</v>
      </c>
      <c r="Q18" t="s">
        <v>43</v>
      </c>
    </row>
    <row r="19" spans="1:25" ht="16.5" thickBot="1" x14ac:dyDescent="0.3">
      <c r="A19" s="9">
        <v>44912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2">
        <f t="shared" si="4"/>
        <v>0</v>
      </c>
      <c r="Q19" t="s">
        <v>12</v>
      </c>
    </row>
    <row r="20" spans="1:25" ht="16.5" thickBot="1" x14ac:dyDescent="0.3">
      <c r="A20" s="9">
        <v>44913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2">
        <f t="shared" si="4"/>
        <v>0</v>
      </c>
    </row>
    <row r="21" spans="1:25" ht="16.5" thickBot="1" x14ac:dyDescent="0.3">
      <c r="A21" s="9">
        <v>44914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2">
        <f t="shared" si="4"/>
        <v>0</v>
      </c>
    </row>
    <row r="22" spans="1:25" ht="16.5" thickBot="1" x14ac:dyDescent="0.3">
      <c r="A22" s="9">
        <v>44915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2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2">
        <f t="shared" si="4"/>
        <v>0</v>
      </c>
      <c r="Q23" t="s">
        <v>12</v>
      </c>
    </row>
    <row r="24" spans="1:25" ht="16.5" thickBot="1" x14ac:dyDescent="0.3">
      <c r="A24" s="9">
        <v>44917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2">
        <f t="shared" si="4"/>
        <v>0</v>
      </c>
      <c r="N24" s="151"/>
    </row>
    <row r="25" spans="1:25" ht="17.25" customHeight="1" thickBot="1" x14ac:dyDescent="0.4">
      <c r="A25" s="9">
        <v>44918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2">
        <f t="shared" si="4"/>
        <v>0</v>
      </c>
      <c r="Y25" s="53"/>
    </row>
    <row r="26" spans="1:25" ht="16.5" thickBot="1" x14ac:dyDescent="0.3">
      <c r="A26" s="9">
        <v>44919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2">
        <f t="shared" si="4"/>
        <v>0</v>
      </c>
      <c r="L26" t="s">
        <v>12</v>
      </c>
    </row>
    <row r="27" spans="1:25" ht="16.5" thickBot="1" x14ac:dyDescent="0.3">
      <c r="A27" s="9">
        <v>44920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2">
        <f t="shared" si="4"/>
        <v>0</v>
      </c>
      <c r="N27" s="33"/>
      <c r="O27" t="s">
        <v>12</v>
      </c>
    </row>
    <row r="28" spans="1:25" ht="16.5" thickBot="1" x14ac:dyDescent="0.3">
      <c r="A28" s="9">
        <v>44921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2">
        <f t="shared" si="4"/>
        <v>0</v>
      </c>
    </row>
    <row r="29" spans="1:25" ht="16.5" thickBot="1" x14ac:dyDescent="0.3">
      <c r="A29" s="9">
        <v>44922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2">
        <f t="shared" si="4"/>
        <v>0</v>
      </c>
    </row>
    <row r="30" spans="1:25" ht="16.5" thickBot="1" x14ac:dyDescent="0.3">
      <c r="A30" s="9">
        <v>44923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2">
        <f t="shared" si="4"/>
        <v>0</v>
      </c>
    </row>
    <row r="31" spans="1:25" ht="16.5" thickBot="1" x14ac:dyDescent="0.3">
      <c r="A31" s="9">
        <v>44924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2">
        <f t="shared" si="4"/>
        <v>0</v>
      </c>
    </row>
    <row r="32" spans="1:25" ht="16.5" thickBot="1" x14ac:dyDescent="0.3">
      <c r="A32" s="9">
        <v>44925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2">
        <f t="shared" si="4"/>
        <v>0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8750</v>
      </c>
      <c r="D34" s="54"/>
      <c r="E34" s="54">
        <f t="shared" ref="E34:K34" si="15">SUM(E3:E33)</f>
        <v>4270</v>
      </c>
      <c r="F34" s="54"/>
      <c r="G34" s="54">
        <f t="shared" si="15"/>
        <v>3879.9</v>
      </c>
      <c r="H34" s="54"/>
      <c r="I34" s="54">
        <f t="shared" si="15"/>
        <v>67.878</v>
      </c>
      <c r="J34" s="54">
        <f t="shared" si="15"/>
        <v>16967.777999999998</v>
      </c>
      <c r="K34" s="54">
        <f t="shared" si="15"/>
        <v>99431.179080000016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F15" sqref="F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3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>
        <v>18611481</v>
      </c>
      <c r="C6" s="43">
        <f>IF((B6-B5)&lt;0,"0",(B6-B5))</f>
        <v>2135</v>
      </c>
      <c r="F6" s="33"/>
    </row>
    <row r="7" spans="1:9" ht="24" thickBot="1" x14ac:dyDescent="0.4">
      <c r="A7" s="9">
        <v>44900</v>
      </c>
      <c r="B7" s="119">
        <v>18613521</v>
      </c>
      <c r="C7" s="43">
        <f t="shared" si="0"/>
        <v>2040</v>
      </c>
    </row>
    <row r="8" spans="1:9" ht="24" thickBot="1" x14ac:dyDescent="0.4">
      <c r="A8" s="9">
        <v>44901</v>
      </c>
      <c r="B8" s="119">
        <v>18615678</v>
      </c>
      <c r="C8" s="43">
        <f t="shared" si="0"/>
        <v>2157</v>
      </c>
    </row>
    <row r="9" spans="1:9" ht="24" thickBot="1" x14ac:dyDescent="0.4">
      <c r="A9" s="9">
        <v>44902</v>
      </c>
      <c r="B9" s="119">
        <v>18617178</v>
      </c>
      <c r="C9" s="43">
        <f t="shared" si="0"/>
        <v>1500</v>
      </c>
    </row>
    <row r="10" spans="1:9" ht="24" thickBot="1" x14ac:dyDescent="0.4">
      <c r="A10" s="9">
        <v>44903</v>
      </c>
      <c r="B10" s="119">
        <v>18619014</v>
      </c>
      <c r="C10" s="43">
        <f t="shared" si="0"/>
        <v>1836</v>
      </c>
    </row>
    <row r="11" spans="1:9" ht="24" thickBot="1" x14ac:dyDescent="0.4">
      <c r="A11" s="9">
        <v>44904</v>
      </c>
      <c r="B11" s="119">
        <v>18621207</v>
      </c>
      <c r="C11" s="43">
        <f t="shared" si="0"/>
        <v>2193</v>
      </c>
    </row>
    <row r="12" spans="1:9" ht="24" thickBot="1" x14ac:dyDescent="0.4">
      <c r="A12" s="9">
        <v>44905</v>
      </c>
      <c r="B12" s="119">
        <v>18622927</v>
      </c>
      <c r="C12" s="43">
        <f t="shared" si="0"/>
        <v>1720</v>
      </c>
    </row>
    <row r="13" spans="1:9" ht="24" thickBot="1" x14ac:dyDescent="0.4">
      <c r="A13" s="9">
        <v>44906</v>
      </c>
      <c r="B13" s="119">
        <v>18624614</v>
      </c>
      <c r="C13" s="43">
        <f t="shared" si="0"/>
        <v>1687</v>
      </c>
    </row>
    <row r="14" spans="1:9" ht="24" thickBot="1" x14ac:dyDescent="0.4">
      <c r="A14" s="9">
        <v>44907</v>
      </c>
      <c r="B14" s="119">
        <v>18626324</v>
      </c>
      <c r="C14" s="43">
        <f t="shared" si="0"/>
        <v>1710</v>
      </c>
      <c r="I14" s="33"/>
    </row>
    <row r="15" spans="1:9" ht="24" thickBot="1" x14ac:dyDescent="0.4">
      <c r="A15" s="9">
        <v>44908</v>
      </c>
      <c r="B15" s="119"/>
      <c r="C15" s="43" t="str">
        <f t="shared" si="0"/>
        <v>0</v>
      </c>
      <c r="I15" t="s">
        <v>12</v>
      </c>
    </row>
    <row r="16" spans="1:9" ht="26.25" customHeight="1" thickBot="1" x14ac:dyDescent="0.4">
      <c r="A16" s="9">
        <v>44909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44910</v>
      </c>
      <c r="B17" s="119"/>
      <c r="C17" s="43">
        <f t="shared" si="0"/>
        <v>0</v>
      </c>
    </row>
    <row r="18" spans="1:9" ht="24" thickBot="1" x14ac:dyDescent="0.4">
      <c r="A18" s="9">
        <v>44911</v>
      </c>
      <c r="B18" s="119"/>
      <c r="C18" s="43">
        <f t="shared" si="0"/>
        <v>0</v>
      </c>
      <c r="I18" s="33"/>
    </row>
    <row r="19" spans="1:9" ht="24" thickBot="1" x14ac:dyDescent="0.4">
      <c r="A19" s="9">
        <v>44912</v>
      </c>
      <c r="B19" s="119"/>
      <c r="C19" s="43">
        <f t="shared" si="0"/>
        <v>0</v>
      </c>
    </row>
    <row r="20" spans="1:9" ht="24" thickBot="1" x14ac:dyDescent="0.4">
      <c r="A20" s="9">
        <v>44913</v>
      </c>
      <c r="B20" s="119"/>
      <c r="C20" s="43">
        <f t="shared" si="0"/>
        <v>0</v>
      </c>
      <c r="I20" s="33"/>
    </row>
    <row r="21" spans="1:9" ht="24" thickBot="1" x14ac:dyDescent="0.4">
      <c r="A21" s="9">
        <v>44914</v>
      </c>
      <c r="B21" s="119"/>
      <c r="C21" s="43">
        <f t="shared" si="0"/>
        <v>0</v>
      </c>
    </row>
    <row r="22" spans="1:9" ht="24" thickBot="1" x14ac:dyDescent="0.4">
      <c r="A22" s="9">
        <v>44915</v>
      </c>
      <c r="B22" s="119"/>
      <c r="C22" s="43">
        <f t="shared" si="0"/>
        <v>0</v>
      </c>
    </row>
    <row r="23" spans="1:9" ht="24" thickBot="1" x14ac:dyDescent="0.4">
      <c r="A23" s="9">
        <v>44916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44917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44918</v>
      </c>
      <c r="B25" s="119"/>
      <c r="C25" s="43">
        <f t="shared" si="0"/>
        <v>0</v>
      </c>
    </row>
    <row r="26" spans="1:9" ht="24" thickBot="1" x14ac:dyDescent="0.4">
      <c r="A26" s="9">
        <v>44919</v>
      </c>
      <c r="B26" s="119"/>
      <c r="C26" s="43">
        <f t="shared" si="0"/>
        <v>0</v>
      </c>
    </row>
    <row r="27" spans="1:9" ht="24" thickBot="1" x14ac:dyDescent="0.4">
      <c r="A27" s="9">
        <v>44920</v>
      </c>
      <c r="B27" s="119"/>
      <c r="C27" s="43">
        <f t="shared" si="0"/>
        <v>0</v>
      </c>
    </row>
    <row r="28" spans="1:9" ht="24" thickBot="1" x14ac:dyDescent="0.4">
      <c r="A28" s="9">
        <v>44921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44922</v>
      </c>
      <c r="B29" s="119"/>
      <c r="C29" s="43">
        <f t="shared" si="0"/>
        <v>0</v>
      </c>
    </row>
    <row r="30" spans="1:9" ht="24" thickBot="1" x14ac:dyDescent="0.4">
      <c r="A30" s="9">
        <v>44923</v>
      </c>
      <c r="B30" s="119"/>
      <c r="C30" s="43">
        <f t="shared" si="0"/>
        <v>0</v>
      </c>
    </row>
    <row r="31" spans="1:9" ht="24" thickBot="1" x14ac:dyDescent="0.4">
      <c r="A31" s="9">
        <v>44924</v>
      </c>
      <c r="B31" s="119"/>
      <c r="C31" s="43">
        <f t="shared" si="0"/>
        <v>0</v>
      </c>
    </row>
    <row r="32" spans="1:9" ht="24" thickBot="1" x14ac:dyDescent="0.4">
      <c r="A32" s="9">
        <v>44925</v>
      </c>
      <c r="B32" s="119"/>
      <c r="C32" s="43">
        <f t="shared" si="0"/>
        <v>0</v>
      </c>
    </row>
    <row r="33" spans="1:3" ht="24" thickBot="1" x14ac:dyDescent="0.4">
      <c r="A33" s="9">
        <v>44926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21201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K1" zoomScaleNormal="100" workbookViewId="0">
      <pane ySplit="1" topLeftCell="A2" activePane="bottomLeft" state="frozen"/>
      <selection pane="bottomLeft" activeCell="AD14" sqref="AD14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828</v>
      </c>
      <c r="AE4" s="146">
        <f t="shared" si="21"/>
        <v>2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830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>
        <v>25511.463</v>
      </c>
      <c r="C6" s="42">
        <f t="shared" si="22"/>
        <v>3.9269999999996799</v>
      </c>
      <c r="D6" s="27">
        <f t="shared" si="23"/>
        <v>7461.2999999993908</v>
      </c>
      <c r="E6" s="1">
        <v>4683.6080000000002</v>
      </c>
      <c r="F6" s="42">
        <f t="shared" si="24"/>
        <v>1.1000000000003638</v>
      </c>
      <c r="G6" s="27">
        <f t="shared" si="25"/>
        <v>2090.0000000006912</v>
      </c>
      <c r="H6" s="1">
        <v>6573</v>
      </c>
      <c r="I6" s="42">
        <f t="shared" si="26"/>
        <v>4</v>
      </c>
      <c r="J6" s="27">
        <f t="shared" si="27"/>
        <v>7600</v>
      </c>
      <c r="K6" s="7">
        <v>14327.85</v>
      </c>
      <c r="L6" s="42">
        <f t="shared" si="28"/>
        <v>1.2800000000006548</v>
      </c>
      <c r="M6" s="27">
        <f t="shared" si="29"/>
        <v>2432.0000000012442</v>
      </c>
      <c r="N6" s="7">
        <v>3932.1289999999999</v>
      </c>
      <c r="O6" s="42">
        <f t="shared" si="30"/>
        <v>2.4739999999997053</v>
      </c>
      <c r="P6" s="27">
        <f t="shared" si="31"/>
        <v>4700.5999999994401</v>
      </c>
      <c r="Q6" s="7">
        <v>5671.07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12.781000000000404</v>
      </c>
      <c r="U6" s="29">
        <f t="shared" si="34"/>
        <v>24283.900000000765</v>
      </c>
      <c r="W6" s="140">
        <v>44899</v>
      </c>
      <c r="X6" s="141">
        <v>224287</v>
      </c>
      <c r="Y6" s="146">
        <f t="shared" si="21"/>
        <v>55</v>
      </c>
      <c r="Z6" s="141">
        <v>10302</v>
      </c>
      <c r="AA6" s="146">
        <f t="shared" si="21"/>
        <v>3</v>
      </c>
      <c r="AB6" s="141">
        <v>62</v>
      </c>
      <c r="AC6" s="146">
        <f t="shared" si="21"/>
        <v>0</v>
      </c>
      <c r="AD6" s="141">
        <v>831</v>
      </c>
      <c r="AE6" s="146">
        <f t="shared" si="21"/>
        <v>1</v>
      </c>
      <c r="AF6" s="141">
        <v>9920</v>
      </c>
      <c r="AG6" s="146">
        <f t="shared" si="21"/>
        <v>15</v>
      </c>
    </row>
    <row r="7" spans="1:33" ht="16.5" thickBot="1" x14ac:dyDescent="0.25">
      <c r="A7" s="9">
        <v>44900</v>
      </c>
      <c r="B7" s="143">
        <v>25516.098999999998</v>
      </c>
      <c r="C7" s="42">
        <f t="shared" si="22"/>
        <v>4.635999999998603</v>
      </c>
      <c r="D7" s="27">
        <f t="shared" si="23"/>
        <v>8808.3999999973457</v>
      </c>
      <c r="E7" s="1">
        <v>4685.1729999999998</v>
      </c>
      <c r="F7" s="42">
        <f t="shared" si="24"/>
        <v>1.5649999999995998</v>
      </c>
      <c r="G7" s="27">
        <f t="shared" si="25"/>
        <v>2973.4999999992392</v>
      </c>
      <c r="H7" s="1">
        <v>6576</v>
      </c>
      <c r="I7" s="42">
        <f t="shared" si="26"/>
        <v>3</v>
      </c>
      <c r="J7" s="27">
        <f t="shared" si="27"/>
        <v>5699.9999999999991</v>
      </c>
      <c r="K7" s="7">
        <v>14329.4</v>
      </c>
      <c r="L7" s="42">
        <f t="shared" si="28"/>
        <v>1.5499999999992724</v>
      </c>
      <c r="M7" s="27">
        <f t="shared" si="29"/>
        <v>2944.9999999986176</v>
      </c>
      <c r="N7" s="7">
        <v>3935.0219999999999</v>
      </c>
      <c r="O7" s="42">
        <f t="shared" si="30"/>
        <v>2.8930000000000291</v>
      </c>
      <c r="P7" s="27">
        <f t="shared" si="31"/>
        <v>5496.7000000000544</v>
      </c>
      <c r="Q7" s="7">
        <v>5671.07</v>
      </c>
      <c r="R7" s="42">
        <f t="shared" si="32"/>
        <v>0</v>
      </c>
      <c r="S7" s="27">
        <f t="shared" si="33"/>
        <v>0</v>
      </c>
      <c r="T7" s="8">
        <f t="shared" si="35"/>
        <v>13.643999999997504</v>
      </c>
      <c r="U7" s="29">
        <f t="shared" si="34"/>
        <v>25923.599999995258</v>
      </c>
      <c r="W7" s="140">
        <v>44900</v>
      </c>
      <c r="X7" s="141">
        <v>224373</v>
      </c>
      <c r="Y7" s="146">
        <f t="shared" si="21"/>
        <v>86</v>
      </c>
      <c r="Z7" s="141">
        <v>10305</v>
      </c>
      <c r="AA7" s="146">
        <f t="shared" si="21"/>
        <v>3</v>
      </c>
      <c r="AB7" s="141">
        <v>62</v>
      </c>
      <c r="AC7" s="146">
        <f t="shared" si="21"/>
        <v>0</v>
      </c>
      <c r="AD7" s="141">
        <v>832</v>
      </c>
      <c r="AE7" s="146">
        <f t="shared" si="21"/>
        <v>1</v>
      </c>
      <c r="AF7" s="141">
        <v>9929</v>
      </c>
      <c r="AG7" s="146">
        <f t="shared" si="21"/>
        <v>9</v>
      </c>
    </row>
    <row r="8" spans="1:33" ht="16.5" thickBot="1" x14ac:dyDescent="0.25">
      <c r="A8" s="9">
        <v>44901</v>
      </c>
      <c r="B8" s="143">
        <v>25519.949000000001</v>
      </c>
      <c r="C8" s="42">
        <f t="shared" si="22"/>
        <v>3.8500000000021828</v>
      </c>
      <c r="D8" s="27">
        <f t="shared" si="23"/>
        <v>7315.0000000041473</v>
      </c>
      <c r="E8" s="1">
        <v>4687.2439999999997</v>
      </c>
      <c r="F8" s="42">
        <f t="shared" si="24"/>
        <v>2.0709999999999127</v>
      </c>
      <c r="G8" s="27">
        <f t="shared" si="25"/>
        <v>3934.8999999998337</v>
      </c>
      <c r="H8" s="1">
        <v>6579</v>
      </c>
      <c r="I8" s="42">
        <f t="shared" si="26"/>
        <v>3</v>
      </c>
      <c r="J8" s="27">
        <f t="shared" si="27"/>
        <v>5699.9999999999991</v>
      </c>
      <c r="K8" s="7">
        <v>14330.9</v>
      </c>
      <c r="L8" s="42">
        <f t="shared" si="28"/>
        <v>1.5</v>
      </c>
      <c r="M8" s="27">
        <f t="shared" si="29"/>
        <v>2849.9999999999995</v>
      </c>
      <c r="N8" s="7">
        <v>3937.4050000000002</v>
      </c>
      <c r="O8" s="42">
        <f t="shared" si="30"/>
        <v>2.3830000000002656</v>
      </c>
      <c r="P8" s="27">
        <f t="shared" si="31"/>
        <v>4527.7000000005046</v>
      </c>
      <c r="Q8" s="7">
        <v>5671.07</v>
      </c>
      <c r="R8" s="42">
        <f t="shared" si="32"/>
        <v>0</v>
      </c>
      <c r="S8" s="27">
        <f t="shared" si="33"/>
        <v>0</v>
      </c>
      <c r="T8" s="8">
        <f t="shared" si="35"/>
        <v>12.804000000002361</v>
      </c>
      <c r="U8" s="29">
        <f t="shared" si="34"/>
        <v>24327.600000004484</v>
      </c>
      <c r="W8" s="140">
        <v>44901</v>
      </c>
      <c r="X8" s="141">
        <v>224417</v>
      </c>
      <c r="Y8" s="146">
        <f t="shared" si="21"/>
        <v>44</v>
      </c>
      <c r="Z8" s="141">
        <v>10305</v>
      </c>
      <c r="AA8" s="146">
        <f t="shared" si="21"/>
        <v>0</v>
      </c>
      <c r="AB8" s="141">
        <v>62</v>
      </c>
      <c r="AC8" s="146">
        <f t="shared" si="21"/>
        <v>0</v>
      </c>
      <c r="AD8" s="141">
        <v>833</v>
      </c>
      <c r="AE8" s="146">
        <f t="shared" si="21"/>
        <v>1</v>
      </c>
      <c r="AF8" s="141">
        <v>9937</v>
      </c>
      <c r="AG8" s="146">
        <f t="shared" si="21"/>
        <v>8</v>
      </c>
    </row>
    <row r="9" spans="1:33" ht="16.5" thickBot="1" x14ac:dyDescent="0.25">
      <c r="A9" s="9">
        <v>44902</v>
      </c>
      <c r="B9" s="143">
        <v>25524.573</v>
      </c>
      <c r="C9" s="42">
        <f t="shared" si="22"/>
        <v>4.6239999999997963</v>
      </c>
      <c r="D9" s="27">
        <f t="shared" si="23"/>
        <v>8785.5999999996129</v>
      </c>
      <c r="E9" s="1">
        <v>4687.7129999999997</v>
      </c>
      <c r="F9" s="42">
        <f t="shared" si="24"/>
        <v>0.46900000000005093</v>
      </c>
      <c r="G9" s="27">
        <f t="shared" si="25"/>
        <v>891.10000000009666</v>
      </c>
      <c r="H9" s="1">
        <v>6583</v>
      </c>
      <c r="I9" s="42">
        <f t="shared" si="26"/>
        <v>4</v>
      </c>
      <c r="J9" s="27">
        <f t="shared" si="27"/>
        <v>7600</v>
      </c>
      <c r="K9" s="7">
        <v>14332.23</v>
      </c>
      <c r="L9" s="42">
        <f t="shared" si="28"/>
        <v>1.3299999999999272</v>
      </c>
      <c r="M9" s="27">
        <f t="shared" si="29"/>
        <v>2526.9999999998618</v>
      </c>
      <c r="N9" s="7">
        <v>3940.395</v>
      </c>
      <c r="O9" s="42">
        <f t="shared" si="30"/>
        <v>2.9899999999997817</v>
      </c>
      <c r="P9" s="27">
        <f t="shared" si="31"/>
        <v>5680.9999999995853</v>
      </c>
      <c r="Q9" s="7">
        <v>5671.07</v>
      </c>
      <c r="R9" s="42">
        <f t="shared" si="32"/>
        <v>0</v>
      </c>
      <c r="S9" s="27">
        <f t="shared" si="33"/>
        <v>0</v>
      </c>
      <c r="T9" s="8">
        <f t="shared" si="35"/>
        <v>13.412999999999556</v>
      </c>
      <c r="U9" s="29">
        <f t="shared" si="34"/>
        <v>25484.699999999153</v>
      </c>
      <c r="W9" s="140">
        <v>44902</v>
      </c>
      <c r="X9" s="141">
        <v>224488</v>
      </c>
      <c r="Y9" s="146">
        <f t="shared" si="21"/>
        <v>71</v>
      </c>
      <c r="Z9" s="141">
        <v>10305</v>
      </c>
      <c r="AA9" s="146">
        <f t="shared" si="21"/>
        <v>0</v>
      </c>
      <c r="AB9" s="141">
        <v>63</v>
      </c>
      <c r="AC9" s="146">
        <f t="shared" si="21"/>
        <v>1</v>
      </c>
      <c r="AD9" s="141">
        <v>834</v>
      </c>
      <c r="AE9" s="146">
        <f t="shared" si="21"/>
        <v>1</v>
      </c>
      <c r="AF9" s="141">
        <v>9945</v>
      </c>
      <c r="AG9" s="146">
        <f t="shared" si="21"/>
        <v>8</v>
      </c>
    </row>
    <row r="10" spans="1:33" ht="16.5" thickBot="1" x14ac:dyDescent="0.25">
      <c r="A10" s="9">
        <v>44903</v>
      </c>
      <c r="B10" s="143">
        <v>25526.87</v>
      </c>
      <c r="C10" s="42">
        <f t="shared" si="22"/>
        <v>2.2969999999986612</v>
      </c>
      <c r="D10" s="27">
        <f t="shared" si="23"/>
        <v>4364.2999999974563</v>
      </c>
      <c r="E10" s="1">
        <v>4688.4080000000004</v>
      </c>
      <c r="F10" s="42">
        <f t="shared" si="24"/>
        <v>0.69500000000061846</v>
      </c>
      <c r="G10" s="27">
        <f t="shared" si="25"/>
        <v>1320.5000000011751</v>
      </c>
      <c r="H10" s="1">
        <v>6585</v>
      </c>
      <c r="I10" s="42">
        <f t="shared" si="26"/>
        <v>2</v>
      </c>
      <c r="J10" s="27">
        <f t="shared" si="27"/>
        <v>3800</v>
      </c>
      <c r="K10" s="7">
        <v>14332.68</v>
      </c>
      <c r="L10" s="42">
        <f t="shared" si="28"/>
        <v>0.4500000000007276</v>
      </c>
      <c r="M10" s="27">
        <f t="shared" si="29"/>
        <v>855.00000000138243</v>
      </c>
      <c r="N10" s="7">
        <v>3941.7629999999999</v>
      </c>
      <c r="O10" s="42">
        <f>IF((N10-N9)&lt;0,"0",(N10-N9))</f>
        <v>1.3679999999999382</v>
      </c>
      <c r="P10" s="27">
        <f t="shared" si="31"/>
        <v>2599.1999999998825</v>
      </c>
      <c r="Q10" s="7">
        <v>5671.07</v>
      </c>
      <c r="R10" s="42">
        <f t="shared" si="32"/>
        <v>0</v>
      </c>
      <c r="S10" s="27">
        <f t="shared" si="33"/>
        <v>0</v>
      </c>
      <c r="T10" s="8">
        <f t="shared" si="35"/>
        <v>6.8099999999999454</v>
      </c>
      <c r="U10" s="29">
        <f t="shared" si="34"/>
        <v>12938.999999999894</v>
      </c>
      <c r="W10" s="140">
        <v>44903</v>
      </c>
      <c r="X10" s="141">
        <v>224597</v>
      </c>
      <c r="Y10" s="146">
        <f t="shared" si="21"/>
        <v>109</v>
      </c>
      <c r="Z10" s="141">
        <v>10307</v>
      </c>
      <c r="AA10" s="146">
        <f t="shared" si="21"/>
        <v>2</v>
      </c>
      <c r="AB10" s="141">
        <v>63</v>
      </c>
      <c r="AC10" s="146">
        <f t="shared" si="21"/>
        <v>0</v>
      </c>
      <c r="AD10" s="141">
        <v>835</v>
      </c>
      <c r="AE10" s="146">
        <f t="shared" si="21"/>
        <v>1</v>
      </c>
      <c r="AF10" s="141">
        <v>9949</v>
      </c>
      <c r="AG10" s="146">
        <f t="shared" si="21"/>
        <v>4</v>
      </c>
    </row>
    <row r="11" spans="1:33" ht="16.5" thickBot="1" x14ac:dyDescent="0.25">
      <c r="A11" s="9">
        <v>44904</v>
      </c>
      <c r="B11" s="143">
        <v>25530.400000000001</v>
      </c>
      <c r="C11" s="42">
        <f t="shared" si="22"/>
        <v>3.5300000000024738</v>
      </c>
      <c r="D11" s="27">
        <f t="shared" si="23"/>
        <v>6707.0000000047003</v>
      </c>
      <c r="E11" s="1">
        <v>4689.0810000000001</v>
      </c>
      <c r="F11" s="42">
        <f t="shared" si="24"/>
        <v>0.67299999999977445</v>
      </c>
      <c r="G11" s="27">
        <f t="shared" si="25"/>
        <v>1278.6999999995714</v>
      </c>
      <c r="H11" s="1">
        <v>6588</v>
      </c>
      <c r="I11" s="42">
        <f t="shared" si="26"/>
        <v>3</v>
      </c>
      <c r="J11" s="27">
        <f t="shared" si="27"/>
        <v>5699.9999999999991</v>
      </c>
      <c r="K11" s="7">
        <v>14333.8</v>
      </c>
      <c r="L11" s="42">
        <f t="shared" si="28"/>
        <v>1.1199999999989814</v>
      </c>
      <c r="M11" s="27">
        <f t="shared" si="29"/>
        <v>2127.9999999980641</v>
      </c>
      <c r="N11" s="7">
        <v>3944.2260000000001</v>
      </c>
      <c r="O11" s="42">
        <f t="shared" si="30"/>
        <v>2.4630000000001928</v>
      </c>
      <c r="P11" s="27">
        <f t="shared" si="31"/>
        <v>4679.7000000003663</v>
      </c>
      <c r="Q11" s="7">
        <v>5671.07</v>
      </c>
      <c r="R11" s="42">
        <f t="shared" si="32"/>
        <v>0</v>
      </c>
      <c r="S11" s="27">
        <f t="shared" si="33"/>
        <v>0</v>
      </c>
      <c r="T11" s="8">
        <f t="shared" si="35"/>
        <v>10.786000000001422</v>
      </c>
      <c r="U11" s="29">
        <f t="shared" si="34"/>
        <v>20493.400000002701</v>
      </c>
      <c r="W11" s="140">
        <v>44904</v>
      </c>
      <c r="X11" s="141">
        <v>224637</v>
      </c>
      <c r="Y11" s="146">
        <f t="shared" si="21"/>
        <v>40</v>
      </c>
      <c r="Z11" s="141">
        <v>10312</v>
      </c>
      <c r="AA11" s="146">
        <f t="shared" si="21"/>
        <v>5</v>
      </c>
      <c r="AB11" s="141">
        <v>63</v>
      </c>
      <c r="AC11" s="146">
        <f t="shared" si="21"/>
        <v>0</v>
      </c>
      <c r="AD11" s="141">
        <v>836</v>
      </c>
      <c r="AE11" s="146">
        <f t="shared" si="21"/>
        <v>1</v>
      </c>
      <c r="AF11" s="141">
        <v>9956</v>
      </c>
      <c r="AG11" s="146">
        <f t="shared" si="21"/>
        <v>7</v>
      </c>
    </row>
    <row r="12" spans="1:33" ht="16.5" thickBot="1" x14ac:dyDescent="0.25">
      <c r="A12" s="9">
        <v>44905</v>
      </c>
      <c r="B12" s="143">
        <v>25534.044000000002</v>
      </c>
      <c r="C12" s="42">
        <f t="shared" si="22"/>
        <v>3.6440000000002328</v>
      </c>
      <c r="D12" s="27">
        <f t="shared" si="23"/>
        <v>6923.6000000004415</v>
      </c>
      <c r="E12" s="1">
        <v>4689.7389999999996</v>
      </c>
      <c r="F12" s="42">
        <f t="shared" si="24"/>
        <v>0.65799999999944703</v>
      </c>
      <c r="G12" s="27">
        <f t="shared" si="25"/>
        <v>1250.1999999989494</v>
      </c>
      <c r="H12" s="1">
        <v>6591</v>
      </c>
      <c r="I12" s="42">
        <f t="shared" si="26"/>
        <v>3</v>
      </c>
      <c r="J12" s="27">
        <f t="shared" si="27"/>
        <v>5699.9999999999991</v>
      </c>
      <c r="K12" s="7">
        <v>14334.82</v>
      </c>
      <c r="L12" s="42">
        <f t="shared" si="28"/>
        <v>1.0200000000004366</v>
      </c>
      <c r="M12" s="27">
        <f t="shared" si="29"/>
        <v>1938.0000000008292</v>
      </c>
      <c r="N12" s="7">
        <v>3946.491</v>
      </c>
      <c r="O12" s="42">
        <f t="shared" si="30"/>
        <v>2.2649999999998727</v>
      </c>
      <c r="P12" s="27">
        <f t="shared" si="31"/>
        <v>4303.4999999997581</v>
      </c>
      <c r="Q12" s="7">
        <v>5671.07</v>
      </c>
      <c r="R12" s="42">
        <f t="shared" si="32"/>
        <v>0</v>
      </c>
      <c r="S12" s="27">
        <f t="shared" si="33"/>
        <v>0</v>
      </c>
      <c r="T12" s="8">
        <f t="shared" si="35"/>
        <v>10.586999999999989</v>
      </c>
      <c r="U12" s="29">
        <f t="shared" si="34"/>
        <v>20115.299999999981</v>
      </c>
      <c r="W12" s="140">
        <v>44905</v>
      </c>
      <c r="X12" s="141">
        <v>224710</v>
      </c>
      <c r="Y12" s="146">
        <f t="shared" si="21"/>
        <v>73</v>
      </c>
      <c r="Z12" s="141">
        <v>10317</v>
      </c>
      <c r="AA12" s="146">
        <f t="shared" si="21"/>
        <v>5</v>
      </c>
      <c r="AB12" s="141">
        <v>63</v>
      </c>
      <c r="AC12" s="146">
        <f t="shared" si="21"/>
        <v>0</v>
      </c>
      <c r="AD12" s="141">
        <v>837</v>
      </c>
      <c r="AE12" s="146">
        <f t="shared" si="21"/>
        <v>1</v>
      </c>
      <c r="AF12" s="141">
        <v>9963</v>
      </c>
      <c r="AG12" s="146">
        <f t="shared" si="21"/>
        <v>7</v>
      </c>
    </row>
    <row r="13" spans="1:33" ht="16.5" thickBot="1" x14ac:dyDescent="0.25">
      <c r="A13" s="9">
        <v>44906</v>
      </c>
      <c r="B13" s="143">
        <v>25537.651000000002</v>
      </c>
      <c r="C13" s="42">
        <f t="shared" si="22"/>
        <v>3.6069999999999709</v>
      </c>
      <c r="D13" s="27">
        <f t="shared" si="23"/>
        <v>6853.2999999999438</v>
      </c>
      <c r="E13" s="1">
        <v>4690.6610000000001</v>
      </c>
      <c r="F13" s="42">
        <f t="shared" si="24"/>
        <v>0.92200000000048021</v>
      </c>
      <c r="G13" s="27">
        <f t="shared" si="25"/>
        <v>1751.8000000009124</v>
      </c>
      <c r="H13" s="1">
        <v>6594</v>
      </c>
      <c r="I13" s="42">
        <f t="shared" si="26"/>
        <v>3</v>
      </c>
      <c r="J13" s="27">
        <f t="shared" si="27"/>
        <v>5699.9999999999991</v>
      </c>
      <c r="K13" s="7">
        <v>14335.79</v>
      </c>
      <c r="L13" s="42">
        <f t="shared" si="28"/>
        <v>0.97000000000116415</v>
      </c>
      <c r="M13" s="27">
        <f t="shared" si="29"/>
        <v>1843.0000000022117</v>
      </c>
      <c r="N13" s="7">
        <v>3948</v>
      </c>
      <c r="O13" s="42">
        <f t="shared" si="30"/>
        <v>1.5090000000000146</v>
      </c>
      <c r="P13" s="27">
        <f t="shared" si="31"/>
        <v>2867.1000000000272</v>
      </c>
      <c r="Q13" s="7">
        <v>5671.07</v>
      </c>
      <c r="R13" s="42">
        <f t="shared" si="32"/>
        <v>0</v>
      </c>
      <c r="S13" s="27">
        <f t="shared" si="33"/>
        <v>0</v>
      </c>
      <c r="T13" s="8">
        <f t="shared" si="35"/>
        <v>10.00800000000163</v>
      </c>
      <c r="U13" s="29">
        <f t="shared" si="34"/>
        <v>19015.200000003093</v>
      </c>
      <c r="W13" s="140">
        <v>44906</v>
      </c>
      <c r="X13" s="141">
        <v>224776</v>
      </c>
      <c r="Y13" s="146">
        <f t="shared" si="21"/>
        <v>66</v>
      </c>
      <c r="Z13" s="141">
        <v>10323</v>
      </c>
      <c r="AA13" s="146">
        <f t="shared" si="21"/>
        <v>6</v>
      </c>
      <c r="AB13" s="141">
        <v>63</v>
      </c>
      <c r="AC13" s="146">
        <f t="shared" si="21"/>
        <v>0</v>
      </c>
      <c r="AD13" s="141">
        <v>840</v>
      </c>
      <c r="AE13" s="146">
        <f t="shared" si="21"/>
        <v>3</v>
      </c>
      <c r="AF13" s="141">
        <v>9971</v>
      </c>
      <c r="AG13" s="146">
        <f t="shared" si="21"/>
        <v>8</v>
      </c>
    </row>
    <row r="14" spans="1:33" ht="16.5" thickBot="1" x14ac:dyDescent="0.25">
      <c r="A14" s="9">
        <v>44907</v>
      </c>
      <c r="B14" s="143">
        <v>25541</v>
      </c>
      <c r="C14" s="42">
        <f t="shared" si="22"/>
        <v>3.3489999999983411</v>
      </c>
      <c r="D14" s="27">
        <f t="shared" si="23"/>
        <v>6363.0999999968481</v>
      </c>
      <c r="E14" s="1">
        <v>4691.8</v>
      </c>
      <c r="F14" s="42">
        <f t="shared" si="24"/>
        <v>1.1390000000001237</v>
      </c>
      <c r="G14" s="27">
        <f t="shared" si="25"/>
        <v>2164.100000000235</v>
      </c>
      <c r="H14" s="1">
        <v>6597</v>
      </c>
      <c r="I14" s="42">
        <f t="shared" si="26"/>
        <v>3</v>
      </c>
      <c r="J14" s="27">
        <f t="shared" si="27"/>
        <v>5699.9999999999991</v>
      </c>
      <c r="K14" s="7">
        <v>14336.76</v>
      </c>
      <c r="L14" s="42">
        <f t="shared" si="28"/>
        <v>0.96999999999934516</v>
      </c>
      <c r="M14" s="27">
        <f t="shared" si="29"/>
        <v>1842.9999999987556</v>
      </c>
      <c r="N14" s="7">
        <v>3951.3</v>
      </c>
      <c r="O14" s="42">
        <f>IF((N14-N13)&lt;0,"0",(N14-N13))</f>
        <v>3.3000000000001819</v>
      </c>
      <c r="P14" s="27">
        <f t="shared" si="31"/>
        <v>6270.0000000003447</v>
      </c>
      <c r="Q14" s="7">
        <v>5671.07</v>
      </c>
      <c r="R14" s="42">
        <f t="shared" si="32"/>
        <v>0</v>
      </c>
      <c r="S14" s="27">
        <f t="shared" si="33"/>
        <v>0</v>
      </c>
      <c r="T14" s="8">
        <f t="shared" si="35"/>
        <v>11.757999999997992</v>
      </c>
      <c r="U14" s="29">
        <f t="shared" si="34"/>
        <v>22340.199999996184</v>
      </c>
      <c r="W14" s="140">
        <v>44907</v>
      </c>
      <c r="X14" s="141">
        <v>224878</v>
      </c>
      <c r="Y14" s="146">
        <f t="shared" si="21"/>
        <v>102</v>
      </c>
      <c r="Z14" s="141">
        <v>10327</v>
      </c>
      <c r="AA14" s="146">
        <f t="shared" si="21"/>
        <v>4</v>
      </c>
      <c r="AB14" s="141">
        <v>63</v>
      </c>
      <c r="AC14" s="146">
        <f t="shared" si="21"/>
        <v>0</v>
      </c>
      <c r="AD14" s="141">
        <v>843</v>
      </c>
      <c r="AE14" s="146">
        <f t="shared" si="21"/>
        <v>3</v>
      </c>
      <c r="AF14" s="141">
        <v>9982</v>
      </c>
      <c r="AG14" s="146">
        <f t="shared" si="21"/>
        <v>11</v>
      </c>
    </row>
    <row r="15" spans="1:33" ht="16.5" thickBot="1" x14ac:dyDescent="0.25">
      <c r="A15" s="9">
        <v>44908</v>
      </c>
      <c r="B15" s="143"/>
      <c r="C15" s="42" t="str">
        <f t="shared" ref="C15" si="36">IF((B15-B14)&lt;0,"0",(B15-B14))</f>
        <v>0</v>
      </c>
      <c r="D15" s="27">
        <f t="shared" ref="D15" si="37">C15*1.9*1000</f>
        <v>0</v>
      </c>
      <c r="E15" s="1"/>
      <c r="F15" s="42" t="str">
        <f t="shared" ref="F15" si="38">IF((E15-E14)&lt;0,"0",(E15-E14))</f>
        <v>0</v>
      </c>
      <c r="G15" s="27">
        <f t="shared" ref="G15" si="39">F15*1.9*1000</f>
        <v>0</v>
      </c>
      <c r="H15" s="1"/>
      <c r="I15" s="42" t="str">
        <f t="shared" ref="I15" si="40">IF((H15-H14)&lt;0,"0",(H15-H14))</f>
        <v>0</v>
      </c>
      <c r="J15" s="27">
        <f t="shared" ref="J15" si="41">I15*1.9*1000</f>
        <v>0</v>
      </c>
      <c r="K15" s="7"/>
      <c r="L15" s="42" t="str">
        <f t="shared" ref="L15" si="42">IF((K15-K14)&lt;0,"0",(K15-K14))</f>
        <v>0</v>
      </c>
      <c r="M15" s="27">
        <f t="shared" ref="M15" si="43">L15*1.9*1000</f>
        <v>0</v>
      </c>
      <c r="N15" s="7"/>
      <c r="O15" s="42" t="str">
        <f>IF((N15-N14)&lt;0,"0",(N15-N14))</f>
        <v>0</v>
      </c>
      <c r="P15" s="27">
        <f t="shared" ref="P15" si="44">O15*1.9*1000</f>
        <v>0</v>
      </c>
      <c r="Q15" s="7"/>
      <c r="R15" s="42" t="str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0</v>
      </c>
      <c r="U15" s="29">
        <f t="shared" ref="U15" si="48">T15*1.9*1000</f>
        <v>0</v>
      </c>
      <c r="W15" s="140">
        <v>44908</v>
      </c>
      <c r="X15" s="141"/>
      <c r="Y15" s="146" t="str">
        <f t="shared" si="21"/>
        <v>0</v>
      </c>
      <c r="Z15" s="141"/>
      <c r="AA15" s="146" t="str">
        <f t="shared" si="21"/>
        <v>0</v>
      </c>
      <c r="AB15" s="141"/>
      <c r="AC15" s="146" t="str">
        <f t="shared" si="21"/>
        <v>0</v>
      </c>
      <c r="AD15" s="141"/>
      <c r="AE15" s="146" t="str">
        <f t="shared" si="21"/>
        <v>0</v>
      </c>
      <c r="AF15" s="141"/>
      <c r="AG15" s="146" t="str">
        <f t="shared" si="21"/>
        <v>0</v>
      </c>
    </row>
    <row r="16" spans="1:33" ht="16.5" thickBot="1" x14ac:dyDescent="0.25">
      <c r="A16" s="9">
        <v>44909</v>
      </c>
      <c r="B16" s="143"/>
      <c r="C16" s="42">
        <f t="shared" si="22"/>
        <v>0</v>
      </c>
      <c r="D16" s="27">
        <f t="shared" si="23"/>
        <v>0</v>
      </c>
      <c r="E16" s="1"/>
      <c r="F16" s="42">
        <f t="shared" si="24"/>
        <v>0</v>
      </c>
      <c r="G16" s="27">
        <f t="shared" si="25"/>
        <v>0</v>
      </c>
      <c r="H16" s="1"/>
      <c r="I16" s="42">
        <f t="shared" si="26"/>
        <v>0</v>
      </c>
      <c r="J16" s="27">
        <f t="shared" si="27"/>
        <v>0</v>
      </c>
      <c r="K16" s="7"/>
      <c r="L16" s="42">
        <f t="shared" si="28"/>
        <v>0</v>
      </c>
      <c r="M16" s="27">
        <f t="shared" si="29"/>
        <v>0</v>
      </c>
      <c r="N16" s="7"/>
      <c r="O16" s="42">
        <f t="shared" si="30"/>
        <v>0</v>
      </c>
      <c r="P16" s="27">
        <f t="shared" si="31"/>
        <v>0</v>
      </c>
      <c r="Q16" s="7"/>
      <c r="R16" s="42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44909</v>
      </c>
      <c r="X16" s="141"/>
      <c r="Y16" s="146">
        <f t="shared" si="21"/>
        <v>0</v>
      </c>
      <c r="Z16" s="141"/>
      <c r="AA16" s="146">
        <f t="shared" si="21"/>
        <v>0</v>
      </c>
      <c r="AB16" s="141"/>
      <c r="AC16" s="146">
        <f t="shared" si="21"/>
        <v>0</v>
      </c>
      <c r="AD16" s="141"/>
      <c r="AE16" s="146">
        <f t="shared" si="21"/>
        <v>0</v>
      </c>
      <c r="AF16" s="141"/>
      <c r="AG16" s="146">
        <f t="shared" si="21"/>
        <v>0</v>
      </c>
    </row>
    <row r="17" spans="1:33" ht="16.5" thickBot="1" x14ac:dyDescent="0.25">
      <c r="A17" s="9">
        <v>44910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44910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9">
        <v>44911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44911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9">
        <v>44912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44912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9">
        <v>44913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44913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9">
        <v>44914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44914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9">
        <v>44915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44915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9">
        <v>44916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44916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9">
        <v>44917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44917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9">
        <v>44918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44918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9">
        <v>44919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44919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9">
        <v>44920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44920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9">
        <v>44921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44921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9">
        <v>44922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44922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9">
        <v>44923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44923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>
        <v>44924</v>
      </c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>
        <v>44924</v>
      </c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>
        <v>44925</v>
      </c>
      <c r="B32" s="143"/>
      <c r="C32" s="42">
        <f t="shared" si="22"/>
        <v>0</v>
      </c>
      <c r="D32" s="27">
        <f t="shared" si="23"/>
        <v>0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>
        <v>44925</v>
      </c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>
        <v>44926</v>
      </c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44.208999999998923</v>
      </c>
      <c r="D34" s="123">
        <f>SUM(D3:D33)</f>
        <v>83997.099999997954</v>
      </c>
      <c r="E34" s="123"/>
      <c r="F34" s="123">
        <f t="shared" ref="F34:U34" si="73">SUM(F3:F33)</f>
        <v>11.73700000000008</v>
      </c>
      <c r="G34" s="123">
        <f t="shared" si="73"/>
        <v>22300.300000000152</v>
      </c>
      <c r="H34" s="123"/>
      <c r="I34" s="123">
        <f t="shared" si="73"/>
        <v>37</v>
      </c>
      <c r="J34" s="123">
        <f t="shared" si="73"/>
        <v>70299.999999999985</v>
      </c>
      <c r="K34" s="123"/>
      <c r="L34" s="123">
        <f t="shared" si="73"/>
        <v>13.700000000000728</v>
      </c>
      <c r="M34" s="123">
        <f t="shared" si="73"/>
        <v>26030.000000001382</v>
      </c>
      <c r="N34" s="123"/>
      <c r="O34" s="123">
        <f t="shared" si="73"/>
        <v>28.634000000000015</v>
      </c>
      <c r="P34" s="123">
        <f t="shared" si="73"/>
        <v>54404.600000000028</v>
      </c>
      <c r="Q34" s="123">
        <f t="shared" si="73"/>
        <v>68052.84</v>
      </c>
      <c r="R34" s="123">
        <f t="shared" si="73"/>
        <v>0</v>
      </c>
      <c r="S34" s="123">
        <f t="shared" si="73"/>
        <v>0</v>
      </c>
      <c r="T34" s="123">
        <f t="shared" si="73"/>
        <v>135.27999999999975</v>
      </c>
      <c r="U34" s="123">
        <f t="shared" si="73"/>
        <v>257031.99999999948</v>
      </c>
      <c r="V34"/>
      <c r="W34" s="123" t="s">
        <v>139</v>
      </c>
      <c r="X34" s="123"/>
      <c r="Y34" s="123">
        <f>SUM(Y3:Y33)</f>
        <v>759</v>
      </c>
      <c r="Z34" s="123"/>
      <c r="AA34" s="123">
        <f t="shared" ref="AA34:AG34" si="74">SUM(AA3:AA33)</f>
        <v>43</v>
      </c>
      <c r="AB34" s="123"/>
      <c r="AC34" s="123">
        <f t="shared" si="74"/>
        <v>1</v>
      </c>
      <c r="AD34" s="123"/>
      <c r="AE34" s="123">
        <f t="shared" si="74"/>
        <v>18</v>
      </c>
      <c r="AF34" s="123"/>
      <c r="AG34" s="123">
        <f t="shared" si="74"/>
        <v>100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2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2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73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73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73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2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2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73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73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73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2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2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2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2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2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2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2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2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73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73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73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2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2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73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73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73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2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2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73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73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73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2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73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73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73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73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73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2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2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73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73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73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2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2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73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73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73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2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2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73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73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73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2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2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73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73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73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2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2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73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73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2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2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73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73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73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4"/>
        <v>0</v>
      </c>
      <c r="G49" s="61"/>
      <c r="I49" s="172">
        <v>23</v>
      </c>
      <c r="J49" s="58" t="s">
        <v>81</v>
      </c>
      <c r="K49" s="59"/>
      <c r="L49" s="59"/>
      <c r="M49" s="60">
        <f t="shared" si="1"/>
        <v>0</v>
      </c>
      <c r="N49" s="61"/>
      <c r="P49" s="172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4"/>
        <v>0</v>
      </c>
      <c r="G50" s="61"/>
      <c r="I50" s="173"/>
      <c r="J50" s="58" t="s">
        <v>80</v>
      </c>
      <c r="K50" s="59"/>
      <c r="L50" s="59"/>
      <c r="M50" s="60">
        <f t="shared" si="1"/>
        <v>0</v>
      </c>
      <c r="N50" s="61"/>
      <c r="P50" s="173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75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75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76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76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76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2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2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2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2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4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1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3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4"/>
        <v>0</v>
      </c>
      <c r="G63" s="170"/>
      <c r="H63" s="154"/>
      <c r="I63" s="174"/>
      <c r="J63" s="168"/>
      <c r="K63" s="59"/>
      <c r="L63" s="59"/>
      <c r="M63" s="60">
        <f t="shared" si="1"/>
        <v>0</v>
      </c>
      <c r="N63" s="170"/>
      <c r="P63" s="174"/>
      <c r="Q63" s="168"/>
      <c r="R63" s="59"/>
      <c r="S63" s="59"/>
      <c r="T63" s="60">
        <f t="shared" si="3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38228</v>
      </c>
      <c r="G64" s="73"/>
      <c r="H64" s="154"/>
      <c r="I64" s="171" t="s">
        <v>86</v>
      </c>
      <c r="J64" s="171"/>
      <c r="K64" s="171"/>
      <c r="L64" s="171"/>
      <c r="M64" s="72">
        <f>SUM(M2:M63)</f>
        <v>33510</v>
      </c>
      <c r="N64" s="73"/>
      <c r="P64" s="171" t="s">
        <v>86</v>
      </c>
      <c r="Q64" s="171"/>
      <c r="R64" s="171"/>
      <c r="S64" s="171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44835</v>
      </c>
      <c r="B69" s="179"/>
      <c r="C69" s="179"/>
      <c r="D69" s="180"/>
      <c r="E69" s="157"/>
      <c r="F69" s="178">
        <v>44866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-16244823</v>
      </c>
      <c r="D2" s="83">
        <f>C2*1.27</f>
        <v>-20630925.210000001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0</v>
      </c>
      <c r="K3" s="149">
        <f>J3-I3</f>
        <v>-34813672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0</v>
      </c>
      <c r="K4" s="149">
        <f>J4-I4</f>
        <v>-9505179</v>
      </c>
    </row>
    <row r="5" spans="1:13" ht="13.5" thickBot="1" x14ac:dyDescent="0.25">
      <c r="A5" s="81"/>
      <c r="B5" s="87" t="s">
        <v>27</v>
      </c>
      <c r="C5" s="91">
        <f>(K10+K12)*0.842284+K26</f>
        <v>-25032206.024072003</v>
      </c>
      <c r="D5" s="91">
        <f t="shared" ref="D5:D11" si="0">C5*1.27</f>
        <v>-31790901.650571443</v>
      </c>
      <c r="E5" s="92"/>
      <c r="F5" s="81"/>
      <c r="G5" s="81"/>
      <c r="H5" s="87" t="s">
        <v>23</v>
      </c>
      <c r="I5" s="93"/>
      <c r="J5" s="93"/>
      <c r="K5" s="113">
        <f>K3+K4</f>
        <v>-44318851</v>
      </c>
    </row>
    <row r="6" spans="1:13" ht="13.5" thickBot="1" x14ac:dyDescent="0.25">
      <c r="A6" s="81"/>
      <c r="B6" s="87" t="s">
        <v>97</v>
      </c>
      <c r="C6" s="91">
        <f>(K10+K12+K26)*0.1488</f>
        <v>-4331442.7103999993</v>
      </c>
      <c r="D6" s="91">
        <f t="shared" si="0"/>
        <v>-5500932.2422079993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0</v>
      </c>
      <c r="K6" s="149">
        <f>J6-I6</f>
        <v>-955257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1011849</v>
      </c>
      <c r="D7" s="91">
        <f t="shared" si="0"/>
        <v>1285048.23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0</v>
      </c>
      <c r="K7" s="149">
        <f>J7-I7</f>
        <v>-1268813</v>
      </c>
    </row>
    <row r="8" spans="1:13" ht="13.5" thickBot="1" x14ac:dyDescent="0.25">
      <c r="A8" s="81"/>
      <c r="B8" s="87" t="s">
        <v>101</v>
      </c>
      <c r="C8" s="91">
        <f>K21+K22+K23+K24</f>
        <v>12903</v>
      </c>
      <c r="D8" s="91">
        <f t="shared" si="0"/>
        <v>16386.810000000001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0</v>
      </c>
      <c r="K8" s="78">
        <f>(J8-I8)*2</f>
        <v>-15800146</v>
      </c>
    </row>
    <row r="9" spans="1:13" ht="13.5" thickBot="1" x14ac:dyDescent="0.25">
      <c r="A9" s="81"/>
      <c r="B9" s="87" t="s">
        <v>135</v>
      </c>
      <c r="C9" s="91">
        <f>K25+K16+K17</f>
        <v>3209</v>
      </c>
      <c r="D9" s="91">
        <f t="shared" si="0"/>
        <v>4075.43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0</v>
      </c>
      <c r="K9" s="78">
        <f>J9-I9</f>
        <v>-8942991</v>
      </c>
    </row>
    <row r="10" spans="1:13" ht="13.5" thickBot="1" x14ac:dyDescent="0.25">
      <c r="A10" s="81"/>
      <c r="B10" s="87" t="s">
        <v>104</v>
      </c>
      <c r="C10" s="91">
        <f>K18</f>
        <v>5760</v>
      </c>
      <c r="D10" s="91">
        <f t="shared" si="0"/>
        <v>7315.2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0</v>
      </c>
      <c r="K10" s="78">
        <f>J10-I10</f>
        <v>-23225466</v>
      </c>
    </row>
    <row r="11" spans="1:13" ht="13.5" thickBot="1" x14ac:dyDescent="0.25">
      <c r="A11" s="81"/>
      <c r="B11" s="87" t="s">
        <v>106</v>
      </c>
      <c r="C11" s="91">
        <f>K19+K20</f>
        <v>1409</v>
      </c>
      <c r="D11" s="91">
        <f t="shared" si="0"/>
        <v>1789.43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0</v>
      </c>
      <c r="K12" s="78">
        <f>(J12-I12)*2</f>
        <v>-2624492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-52817165</v>
      </c>
    </row>
    <row r="14" spans="1:13" ht="13.5" thickBot="1" x14ac:dyDescent="0.25">
      <c r="A14" s="81"/>
      <c r="B14" s="87" t="s">
        <v>42</v>
      </c>
      <c r="C14" s="91">
        <f>K29</f>
        <v>-4678280</v>
      </c>
      <c r="D14" s="99">
        <f t="shared" ref="D14:D22" si="1">C14*10.03</f>
        <v>-46923148.399999999</v>
      </c>
      <c r="E14" s="100"/>
      <c r="F14" s="81"/>
      <c r="G14" s="81"/>
      <c r="H14" s="87" t="s">
        <v>112</v>
      </c>
      <c r="I14" s="96"/>
      <c r="J14" s="97"/>
      <c r="K14" s="79">
        <f>K5-K13</f>
        <v>8498314</v>
      </c>
    </row>
    <row r="15" spans="1:13" ht="13.5" thickBot="1" x14ac:dyDescent="0.25">
      <c r="A15" s="81"/>
      <c r="B15" s="87" t="s">
        <v>113</v>
      </c>
      <c r="C15" s="101">
        <f>K30</f>
        <v>-22271.543999999998</v>
      </c>
      <c r="D15" s="99">
        <f t="shared" si="1"/>
        <v>-223383.58631999997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-614428.99050080008</v>
      </c>
      <c r="D16" s="99">
        <f t="shared" si="1"/>
        <v>-6162722.7747230241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4114</v>
      </c>
      <c r="K16" s="80">
        <f>(J16-I16)*160</f>
        <v>1280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347024</v>
      </c>
      <c r="K17" s="80">
        <f>(J17-I17)</f>
        <v>1891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26768</v>
      </c>
      <c r="K18" s="80">
        <f>(J18-I18)*160</f>
        <v>5760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182365</v>
      </c>
      <c r="K19" s="80">
        <f>J19-I19</f>
        <v>1409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47977</v>
      </c>
      <c r="K21" s="80">
        <f>(J21-I21)*120</f>
        <v>6240</v>
      </c>
    </row>
    <row r="22" spans="1:11" ht="13.5" thickBot="1" x14ac:dyDescent="0.25">
      <c r="A22" s="81"/>
      <c r="B22" s="87" t="s">
        <v>117</v>
      </c>
      <c r="C22" s="99">
        <f>C14-(C15+C16+C17+C18+C19+C20+C21)</f>
        <v>-4047399.4654991999</v>
      </c>
      <c r="D22" s="99">
        <f t="shared" si="1"/>
        <v>-40595416.638956971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41223</v>
      </c>
      <c r="K22" s="80">
        <f>(J22-I22)*160</f>
        <v>5600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22379</v>
      </c>
      <c r="K23" s="80">
        <f>(J23-I23)*20</f>
        <v>800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260836</v>
      </c>
      <c r="K24" s="80">
        <f>J24-I24</f>
        <v>263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226661</v>
      </c>
      <c r="K25" s="80">
        <f>J25-I25</f>
        <v>38</v>
      </c>
    </row>
    <row r="26" spans="1:11" ht="13.5" thickBot="1" x14ac:dyDescent="0.25">
      <c r="A26" s="81"/>
      <c r="B26" s="87" t="s">
        <v>42</v>
      </c>
      <c r="C26" s="105">
        <f>K35</f>
        <v>-18602968</v>
      </c>
      <c r="D26" s="91">
        <f>C26*3.65</f>
        <v>-67900833.200000003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0</v>
      </c>
      <c r="K26" s="80">
        <f>(J26-I26)*160</f>
        <v>-3259200</v>
      </c>
    </row>
    <row r="27" spans="1:11" ht="13.5" thickBot="1" x14ac:dyDescent="0.25">
      <c r="A27" s="81"/>
      <c r="B27" s="82" t="s">
        <v>122</v>
      </c>
      <c r="C27" s="105">
        <f>C26</f>
        <v>-18602968</v>
      </c>
      <c r="D27" s="91">
        <f>C27*3.65</f>
        <v>-67900833.200000003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0</v>
      </c>
      <c r="K29" s="80">
        <f>(J29-I29)*10</f>
        <v>-4678280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0</v>
      </c>
      <c r="K30" s="80">
        <f>(J30-I30)*0.027</f>
        <v>-22271.543999999998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0</v>
      </c>
      <c r="K31" s="80">
        <f>(J31-I31)*0.027</f>
        <v>-440.18099999999998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0</v>
      </c>
      <c r="K32" s="80">
        <f>(J32-I32)*0.027</f>
        <v>-349131.6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0</v>
      </c>
      <c r="K35" s="111">
        <f>J35-I35</f>
        <v>-18602968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2022-12-12T23:22:07Z</dcterms:modified>
</cp:coreProperties>
</file>